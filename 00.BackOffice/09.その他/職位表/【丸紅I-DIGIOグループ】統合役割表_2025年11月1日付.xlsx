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1252\Desktop\事務\"/>
    </mc:Choice>
  </mc:AlternateContent>
  <xr:revisionPtr revIDLastSave="0" documentId="8_{11DD317D-0942-4968-8AB6-2F58FF634784}" xr6:coauthVersionLast="47" xr6:coauthVersionMax="47" xr10:uidLastSave="{00000000-0000-0000-0000-000000000000}"/>
  <bookViews>
    <workbookView xWindow="-108" yWindow="-108" windowWidth="23256" windowHeight="13896" xr2:uid="{4A4313EF-83FC-449D-B237-3179985DCEE0}"/>
  </bookViews>
  <sheets>
    <sheet name="統合役割表" sheetId="1" r:id="rId1"/>
  </sheets>
  <definedNames>
    <definedName name="_xlnm._FilterDatabase" localSheetId="0" hidden="1">統合役割表!$AB$1:$AB$2386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統合役割表!$A$1:$AS$2376</definedName>
    <definedName name="_xlnm.Print_Titles" localSheetId="0">統合役割表!$1:$4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60" i="1" l="1"/>
  <c r="AC1639" i="1"/>
  <c r="AM1639" i="1"/>
  <c r="AC1489" i="1"/>
  <c r="AM1489" i="1"/>
  <c r="AM1242" i="1"/>
  <c r="AC1229" i="1"/>
  <c r="AM1299" i="1"/>
  <c r="S1755" i="1" l="1"/>
  <c r="AC1755" i="1"/>
  <c r="AM1952" i="1"/>
  <c r="AM1981" i="1"/>
  <c r="AC475" i="1"/>
  <c r="X475" i="1"/>
  <c r="AC1645" i="1" l="1"/>
  <c r="S1645" i="1"/>
  <c r="AM1835" i="1"/>
  <c r="AM1165" i="1"/>
  <c r="AM1263" i="1"/>
  <c r="S2308" i="1"/>
  <c r="S1634" i="1"/>
  <c r="AC1634" i="1"/>
  <c r="S97" i="1"/>
  <c r="AM111" i="1"/>
  <c r="AM1825" i="1"/>
  <c r="AM1989" i="1"/>
  <c r="AM285" i="1"/>
  <c r="AM329" i="1"/>
  <c r="AM339" i="1"/>
  <c r="S1687" i="1" l="1"/>
  <c r="AC757" i="1"/>
  <c r="S156" i="1"/>
  <c r="AM1970" i="1"/>
  <c r="AM1961" i="1"/>
  <c r="AC1989" i="1"/>
  <c r="AC2068" i="1"/>
  <c r="S1932" i="1"/>
  <c r="AC2045" i="1"/>
  <c r="AM2045" i="1" l="1"/>
  <c r="AC1932" i="1" l="1"/>
  <c r="X1932" i="1" s="1"/>
  <c r="AM1585" i="1"/>
  <c r="AM1694" i="1"/>
  <c r="AM1687" i="1"/>
  <c r="AC1506" i="1"/>
  <c r="AC285" i="1" l="1"/>
  <c r="AM1557" i="1"/>
  <c r="I1312" i="1"/>
  <c r="S2062" i="1"/>
  <c r="AM1568" i="1"/>
  <c r="AC1543" i="1"/>
  <c r="S1459" i="1"/>
  <c r="AM1666" i="1"/>
  <c r="AM1660" i="1"/>
  <c r="AM350" i="1" l="1"/>
  <c r="AM263" i="1"/>
  <c r="AC263" i="1"/>
  <c r="AC848" i="1"/>
  <c r="AM880" i="1"/>
  <c r="AM2187" i="1"/>
  <c r="AM1914" i="1"/>
  <c r="S1937" i="1"/>
  <c r="AM199" i="1"/>
  <c r="AC1459" i="1"/>
  <c r="N1932" i="1"/>
  <c r="S118" i="1"/>
  <c r="AC131" i="1"/>
  <c r="AM104" i="1"/>
  <c r="I1352" i="1"/>
  <c r="AM1400" i="1"/>
  <c r="AC480" i="1"/>
  <c r="X480" i="1" s="1"/>
  <c r="AC841" i="1"/>
  <c r="S841" i="1"/>
  <c r="S1017" i="1"/>
  <c r="AM1506" i="1"/>
  <c r="AC1568" i="1"/>
  <c r="AM1111" i="1"/>
  <c r="AM1081" i="1"/>
  <c r="AM1199" i="1" l="1"/>
  <c r="AC125" i="1"/>
  <c r="AM436" i="1" l="1"/>
  <c r="AM403" i="1"/>
  <c r="AM303" i="1"/>
  <c r="AM369" i="1"/>
  <c r="X285" i="1"/>
  <c r="N285" i="1" s="1"/>
  <c r="AM1098" i="1" l="1"/>
  <c r="AM1144" i="1"/>
  <c r="AM1193" i="1" l="1"/>
  <c r="AM1867" i="1"/>
  <c r="AC986" i="1"/>
  <c r="AC880" i="1"/>
  <c r="I825" i="1"/>
  <c r="AC669" i="1"/>
  <c r="AM1744" i="1"/>
  <c r="AC1732" i="1"/>
  <c r="AM269" i="1"/>
  <c r="AC2032" i="1"/>
  <c r="AC1874" i="1"/>
  <c r="AM1423" i="1"/>
  <c r="AC1423" i="1"/>
  <c r="AM1874" i="1"/>
  <c r="AM1902" i="1"/>
  <c r="AM1849" i="1"/>
  <c r="AM1051" i="1"/>
  <c r="AM1408" i="1"/>
  <c r="AM1037" i="1"/>
  <c r="AM1434" i="1"/>
  <c r="AM2117" i="1" l="1"/>
  <c r="AC957" i="1" l="1"/>
  <c r="AM1700" i="1"/>
  <c r="AM1604" i="1"/>
  <c r="AC2187" i="1"/>
  <c r="AM2124" i="1"/>
  <c r="AM2108" i="1"/>
  <c r="AM2226" i="1"/>
  <c r="AM2279" i="1"/>
  <c r="AC1700" i="1" l="1"/>
  <c r="AC1193" i="1"/>
  <c r="AM1443" i="1"/>
  <c r="AM2085" i="1"/>
  <c r="AM2002" i="1" l="1"/>
  <c r="AM2173" i="1" l="1"/>
  <c r="AC1825" i="1"/>
  <c r="X1825" i="1" s="1"/>
  <c r="AM176" i="1"/>
  <c r="AM1279" i="1" l="1"/>
  <c r="AM1533" i="1"/>
  <c r="AM1476" i="1"/>
  <c r="AM848" i="1"/>
  <c r="AC836" i="1" l="1"/>
  <c r="AM2195" i="1"/>
  <c r="AM2179" i="1"/>
  <c r="AM156" i="1" l="1"/>
  <c r="AM2009" i="1"/>
  <c r="S2052" i="1" l="1"/>
  <c r="AC1945" i="1"/>
  <c r="AM1229" i="1" l="1"/>
  <c r="AM1886" i="1"/>
  <c r="AM1680" i="1"/>
  <c r="AC1677" i="1"/>
  <c r="S199" i="1" l="1"/>
  <c r="AM1511" i="1"/>
  <c r="AC1650" i="1"/>
  <c r="S1677" i="1" l="1"/>
  <c r="AC1065" i="1"/>
  <c r="AM1654" i="1"/>
  <c r="AM210" i="1"/>
  <c r="AM1459" i="1"/>
  <c r="X1459" i="1" s="1"/>
  <c r="S1814" i="1"/>
  <c r="AM944" i="1" l="1"/>
  <c r="AC944" i="1"/>
  <c r="AC2372" i="1"/>
  <c r="X2372" i="1" s="1"/>
  <c r="N2372" i="1" s="1"/>
  <c r="AM2363" i="1"/>
  <c r="AM2358" i="1"/>
  <c r="AM2350" i="1"/>
  <c r="S2350" i="1"/>
  <c r="AM2265" i="1"/>
  <c r="AC2265" i="1"/>
  <c r="AM2246" i="1"/>
  <c r="AC2246" i="1"/>
  <c r="AM2239" i="1"/>
  <c r="AC2226" i="1"/>
  <c r="S2226" i="1"/>
  <c r="AM2217" i="1"/>
  <c r="AC2217" i="1"/>
  <c r="AM2207" i="1"/>
  <c r="AM2200" i="1"/>
  <c r="AC2173" i="1"/>
  <c r="S2173" i="1"/>
  <c r="AM2164" i="1"/>
  <c r="AM2154" i="1"/>
  <c r="AM2145" i="1"/>
  <c r="AC2145" i="1"/>
  <c r="AM2139" i="1"/>
  <c r="AM2134" i="1"/>
  <c r="AC2124" i="1"/>
  <c r="AM2098" i="1"/>
  <c r="AC2098" i="1"/>
  <c r="X2098" i="1" s="1"/>
  <c r="AC2092" i="1"/>
  <c r="X2092" i="1" s="1"/>
  <c r="AM2079" i="1"/>
  <c r="AM2074" i="1"/>
  <c r="AM2068" i="1"/>
  <c r="AM2062" i="1"/>
  <c r="AC2062" i="1"/>
  <c r="AM2052" i="1"/>
  <c r="AC2052" i="1"/>
  <c r="S2045" i="1"/>
  <c r="X2032" i="1"/>
  <c r="AC2023" i="1"/>
  <c r="X2023" i="1" s="1"/>
  <c r="AC2009" i="1"/>
  <c r="AC2002" i="1"/>
  <c r="AM1997" i="1"/>
  <c r="AC1997" i="1"/>
  <c r="X1997" i="1" s="1"/>
  <c r="X1989" i="1"/>
  <c r="AC1970" i="1"/>
  <c r="AC1952" i="1"/>
  <c r="X1945" i="1"/>
  <c r="AC1937" i="1"/>
  <c r="X1937" i="1" s="1"/>
  <c r="AM1926" i="1"/>
  <c r="AC1902" i="1"/>
  <c r="AM1861" i="1"/>
  <c r="AC1849" i="1"/>
  <c r="AC1814" i="1"/>
  <c r="X1814" i="1" s="1"/>
  <c r="I1800" i="1"/>
  <c r="I1782" i="1"/>
  <c r="I1770" i="1"/>
  <c r="X1755" i="1"/>
  <c r="N1755" i="1" s="1"/>
  <c r="AM1750" i="1"/>
  <c r="AM1739" i="1"/>
  <c r="AM1732" i="1"/>
  <c r="S1732" i="1"/>
  <c r="AM1726" i="1"/>
  <c r="AC1726" i="1"/>
  <c r="S1726" i="1"/>
  <c r="AM1717" i="1"/>
  <c r="AC1717" i="1"/>
  <c r="AC1687" i="1"/>
  <c r="X1687" i="1" s="1"/>
  <c r="AM1677" i="1"/>
  <c r="X1677" i="1" s="1"/>
  <c r="N1677" i="1" s="1"/>
  <c r="AM1650" i="1"/>
  <c r="X1650" i="1" s="1"/>
  <c r="X1645" i="1"/>
  <c r="X1634" i="1"/>
  <c r="AM1620" i="1"/>
  <c r="AC1620" i="1"/>
  <c r="AM1612" i="1"/>
  <c r="AM1595" i="1"/>
  <c r="AC1595" i="1"/>
  <c r="AM1577" i="1"/>
  <c r="AM1543" i="1"/>
  <c r="AC1533" i="1"/>
  <c r="AM1529" i="1"/>
  <c r="AM1523" i="1"/>
  <c r="AC1523" i="1"/>
  <c r="AC1476" i="1"/>
  <c r="AM1467" i="1"/>
  <c r="AC1467" i="1"/>
  <c r="AM1451" i="1"/>
  <c r="AC1443" i="1"/>
  <c r="S1443" i="1"/>
  <c r="AM1417" i="1"/>
  <c r="AC1408" i="1"/>
  <c r="AM1395" i="1"/>
  <c r="AM1390" i="1"/>
  <c r="AC1390" i="1"/>
  <c r="AM1382" i="1"/>
  <c r="AM1376" i="1"/>
  <c r="AM1369" i="1"/>
  <c r="AM1365" i="1"/>
  <c r="AC1365" i="1"/>
  <c r="S1365" i="1"/>
  <c r="I1325" i="1"/>
  <c r="AM1288" i="1"/>
  <c r="AC1288" i="1"/>
  <c r="AC1279" i="1"/>
  <c r="AM1273" i="1"/>
  <c r="AM1258" i="1"/>
  <c r="AC1224" i="1"/>
  <c r="X1224" i="1" s="1"/>
  <c r="AM1212" i="1"/>
  <c r="AM1205" i="1"/>
  <c r="S1193" i="1"/>
  <c r="AM1188" i="1"/>
  <c r="AC1188" i="1"/>
  <c r="S1188" i="1"/>
  <c r="AM1172" i="1"/>
  <c r="AM1156" i="1"/>
  <c r="AC1156" i="1"/>
  <c r="AM1131" i="1"/>
  <c r="AM1119" i="1"/>
  <c r="AC1119" i="1"/>
  <c r="AM1065" i="1"/>
  <c r="AC1051" i="1"/>
  <c r="X1051" i="1" s="1"/>
  <c r="AC1037" i="1"/>
  <c r="AM1026" i="1"/>
  <c r="AC1026" i="1"/>
  <c r="AM1021" i="1"/>
  <c r="AM1017" i="1"/>
  <c r="AC1017" i="1"/>
  <c r="I1006" i="1"/>
  <c r="I1001" i="1"/>
  <c r="X986" i="1"/>
  <c r="AC977" i="1"/>
  <c r="X977" i="1" s="1"/>
  <c r="AM970" i="1"/>
  <c r="AM965" i="1"/>
  <c r="AM957" i="1"/>
  <c r="X957" i="1" s="1"/>
  <c r="AM951" i="1"/>
  <c r="X944" i="1" s="1"/>
  <c r="AM935" i="1"/>
  <c r="AM921" i="1"/>
  <c r="AC921" i="1"/>
  <c r="AM912" i="1"/>
  <c r="AM904" i="1"/>
  <c r="AM896" i="1"/>
  <c r="AM888" i="1"/>
  <c r="AM873" i="1"/>
  <c r="AM861" i="1"/>
  <c r="X841" i="1"/>
  <c r="X836" i="1"/>
  <c r="D833" i="1" s="1"/>
  <c r="AC804" i="1"/>
  <c r="X804" i="1" s="1"/>
  <c r="D804" i="1" s="1"/>
  <c r="X757" i="1"/>
  <c r="D757" i="1" s="1"/>
  <c r="X669" i="1"/>
  <c r="D669" i="1" s="1"/>
  <c r="D480" i="1"/>
  <c r="AM279" i="1"/>
  <c r="AC279" i="1"/>
  <c r="X279" i="1" s="1"/>
  <c r="AM274" i="1"/>
  <c r="AM255" i="1"/>
  <c r="AM245" i="1"/>
  <c r="AC245" i="1"/>
  <c r="AM238" i="1"/>
  <c r="AM226" i="1"/>
  <c r="AC226" i="1"/>
  <c r="AM217" i="1"/>
  <c r="AC199" i="1"/>
  <c r="AM191" i="1"/>
  <c r="AM184" i="1"/>
  <c r="AC184" i="1"/>
  <c r="AC176" i="1"/>
  <c r="AM166" i="1"/>
  <c r="AC156" i="1"/>
  <c r="AC145" i="1"/>
  <c r="X145" i="1" s="1"/>
  <c r="AC139" i="1"/>
  <c r="X139" i="1" s="1"/>
  <c r="S139" i="1"/>
  <c r="AC135" i="1"/>
  <c r="X135" i="1" s="1"/>
  <c r="X131" i="1"/>
  <c r="AC128" i="1"/>
  <c r="X128" i="1" s="1"/>
  <c r="X125" i="1"/>
  <c r="AM118" i="1"/>
  <c r="AC118" i="1"/>
  <c r="AC111" i="1"/>
  <c r="AM97" i="1"/>
  <c r="AC97" i="1"/>
  <c r="AC86" i="1"/>
  <c r="X86" i="1" s="1"/>
  <c r="I49" i="1"/>
  <c r="X1970" i="1" l="1"/>
  <c r="X111" i="1"/>
  <c r="X97" i="1"/>
  <c r="N97" i="1" s="1"/>
  <c r="X1717" i="1"/>
  <c r="X1874" i="1"/>
  <c r="X921" i="1"/>
  <c r="X1026" i="1"/>
  <c r="X1188" i="1"/>
  <c r="N1188" i="1" s="1"/>
  <c r="X1489" i="1"/>
  <c r="X1660" i="1"/>
  <c r="N1645" i="1" s="1"/>
  <c r="X2173" i="1"/>
  <c r="X1476" i="1"/>
  <c r="X156" i="1"/>
  <c r="X263" i="1"/>
  <c r="X1726" i="1"/>
  <c r="N1726" i="1" s="1"/>
  <c r="D1352" i="1" s="1"/>
  <c r="X1390" i="1"/>
  <c r="X226" i="1"/>
  <c r="X245" i="1"/>
  <c r="X1595" i="1"/>
  <c r="X1639" i="1"/>
  <c r="N1634" i="1" s="1"/>
  <c r="X2052" i="1"/>
  <c r="N2052" i="1" s="1"/>
  <c r="X199" i="1"/>
  <c r="X1423" i="1"/>
  <c r="X2265" i="1"/>
  <c r="X1279" i="1"/>
  <c r="X1467" i="1"/>
  <c r="X1568" i="1"/>
  <c r="X1620" i="1"/>
  <c r="X2062" i="1"/>
  <c r="X118" i="1"/>
  <c r="N118" i="1" s="1"/>
  <c r="X176" i="1"/>
  <c r="X1700" i="1"/>
  <c r="X1443" i="1"/>
  <c r="N1443" i="1" s="1"/>
  <c r="X2045" i="1"/>
  <c r="N2045" i="1" s="1"/>
  <c r="X1408" i="1"/>
  <c r="X1533" i="1"/>
  <c r="X2246" i="1"/>
  <c r="X184" i="1"/>
  <c r="X1119" i="1"/>
  <c r="X1732" i="1"/>
  <c r="N1732" i="1" s="1"/>
  <c r="X1902" i="1"/>
  <c r="X2002" i="1"/>
  <c r="X2145" i="1"/>
  <c r="X2187" i="1"/>
  <c r="X2226" i="1"/>
  <c r="X880" i="1"/>
  <c r="X1037" i="1"/>
  <c r="X1849" i="1"/>
  <c r="N139" i="1"/>
  <c r="D139" i="1" s="1"/>
  <c r="X848" i="1"/>
  <c r="X1156" i="1"/>
  <c r="X1288" i="1"/>
  <c r="X1506" i="1"/>
  <c r="X2009" i="1"/>
  <c r="X1017" i="1"/>
  <c r="X1229" i="1"/>
  <c r="X2068" i="1"/>
  <c r="X2124" i="1"/>
  <c r="N2350" i="1"/>
  <c r="X1065" i="1"/>
  <c r="X1193" i="1"/>
  <c r="X1365" i="1"/>
  <c r="X1543" i="1"/>
  <c r="X1952" i="1"/>
  <c r="X2217" i="1"/>
  <c r="X1523" i="1"/>
  <c r="N1687" i="1"/>
  <c r="D97" i="1" l="1"/>
  <c r="N2062" i="1"/>
  <c r="N841" i="1"/>
  <c r="D825" i="1" s="1"/>
  <c r="D821" i="1" s="1"/>
  <c r="N2226" i="1"/>
  <c r="N1937" i="1"/>
  <c r="N2173" i="1"/>
  <c r="N156" i="1"/>
  <c r="N199" i="1"/>
  <c r="N1193" i="1"/>
  <c r="D1006" i="1" s="1"/>
  <c r="D1800" i="1"/>
  <c r="N1814" i="1"/>
  <c r="D1782" i="1" s="1"/>
  <c r="N1017" i="1"/>
  <c r="D1001" i="1" s="1"/>
  <c r="N1365" i="1"/>
  <c r="D1325" i="1" s="1"/>
  <c r="N1459" i="1"/>
  <c r="D1312" i="1" s="1"/>
  <c r="D1770" i="1" l="1"/>
  <c r="D1307" i="1"/>
  <c r="D156" i="1"/>
  <c r="D49" i="1" s="1"/>
  <c r="D43" i="1" s="1"/>
  <c r="D997" i="1"/>
  <c r="D1765" i="1"/>
</calcChain>
</file>

<file path=xl/sharedStrings.xml><?xml version="1.0" encoding="utf-8"?>
<sst xmlns="http://schemas.openxmlformats.org/spreadsheetml/2006/main" count="7886" uniqueCount="2267">
  <si>
    <t>セグメント</t>
    <phoneticPr fontId="4"/>
  </si>
  <si>
    <t>［原籍］</t>
    <rPh sb="1" eb="3">
      <t>ゲンセキ</t>
    </rPh>
    <phoneticPr fontId="4"/>
  </si>
  <si>
    <t>従事比率</t>
    <rPh sb="0" eb="4">
      <t>ジュウジヒリツ</t>
    </rPh>
    <phoneticPr fontId="4"/>
  </si>
  <si>
    <t>備考</t>
    <rPh sb="0" eb="2">
      <t>ビコウ</t>
    </rPh>
    <phoneticPr fontId="4"/>
  </si>
  <si>
    <t>事業本部／本部／事業室</t>
    <rPh sb="0" eb="4">
      <t>ジギョウホンブ</t>
    </rPh>
    <rPh sb="5" eb="7">
      <t>ホンブ</t>
    </rPh>
    <rPh sb="8" eb="11">
      <t>ジギョウシツ</t>
    </rPh>
    <phoneticPr fontId="4"/>
  </si>
  <si>
    <t>部／室</t>
    <rPh sb="0" eb="1">
      <t>ブ</t>
    </rPh>
    <rPh sb="2" eb="3">
      <t>シツ</t>
    </rPh>
    <phoneticPr fontId="4"/>
  </si>
  <si>
    <t>課</t>
    <rPh sb="0" eb="1">
      <t>カ</t>
    </rPh>
    <phoneticPr fontId="4"/>
  </si>
  <si>
    <t>丸紅I-DIGIOホールディングス株式会社</t>
    <phoneticPr fontId="4"/>
  </si>
  <si>
    <t>代表取締役社長</t>
  </si>
  <si>
    <t>佐藤　由浩</t>
  </si>
  <si>
    <t>本社</t>
  </si>
  <si>
    <t>［丸紅］</t>
  </si>
  <si>
    <t>常務執行役員</t>
  </si>
  <si>
    <t>堀　佳介</t>
  </si>
  <si>
    <t>［MIH］</t>
  </si>
  <si>
    <t>須金　一浩</t>
  </si>
  <si>
    <t>長尾　頼明</t>
  </si>
  <si>
    <t>池田　孝</t>
  </si>
  <si>
    <t>［MIH］</t>
    <phoneticPr fontId="4"/>
  </si>
  <si>
    <t>山中　茂生</t>
  </si>
  <si>
    <t>執行役員</t>
  </si>
  <si>
    <t>上原　志津子</t>
    <phoneticPr fontId="4"/>
  </si>
  <si>
    <t>監査役</t>
  </si>
  <si>
    <t>御子柴　雅資</t>
    <phoneticPr fontId="4"/>
  </si>
  <si>
    <t>経営役</t>
  </si>
  <si>
    <t>奥山　重宏</t>
  </si>
  <si>
    <t>清水　浩祐</t>
  </si>
  <si>
    <t>清水　隆晴</t>
  </si>
  <si>
    <t>篠原　晃一郎</t>
  </si>
  <si>
    <t>小澤　政弘</t>
  </si>
  <si>
    <t>稲村　雄号</t>
  </si>
  <si>
    <t>野田　朋宏</t>
  </si>
  <si>
    <t>花垣　敦士</t>
  </si>
  <si>
    <t>特別顧問</t>
  </si>
  <si>
    <t>徳田　幸次</t>
  </si>
  <si>
    <t>丸紅情報システムズ株式会社</t>
  </si>
  <si>
    <t>取締役</t>
  </si>
  <si>
    <t>佐野　元彦</t>
  </si>
  <si>
    <t>丸紅ITソリューションズ株式会社</t>
  </si>
  <si>
    <t>須藤　拓人</t>
  </si>
  <si>
    <t>［NRI］</t>
  </si>
  <si>
    <t>丸紅ネットワークソリューションズ株式会社</t>
    <phoneticPr fontId="4"/>
  </si>
  <si>
    <t>福元　邦博</t>
  </si>
  <si>
    <t>［M-NETS］</t>
    <phoneticPr fontId="4"/>
  </si>
  <si>
    <t>株式会社イーツ</t>
  </si>
  <si>
    <t>コーポレートセグメント</t>
    <phoneticPr fontId="4"/>
  </si>
  <si>
    <t>グループCEO</t>
    <phoneticPr fontId="4"/>
  </si>
  <si>
    <t>グループCSO</t>
    <phoneticPr fontId="4"/>
  </si>
  <si>
    <t>グループCTO</t>
    <phoneticPr fontId="4"/>
  </si>
  <si>
    <t>グループCAO</t>
    <phoneticPr fontId="4"/>
  </si>
  <si>
    <t>上原　志津子</t>
  </si>
  <si>
    <t>A000</t>
  </si>
  <si>
    <t>コーポレートセグメント（MIH）</t>
    <phoneticPr fontId="4"/>
  </si>
  <si>
    <t>グループ内出向者（MIH原籍）</t>
    <phoneticPr fontId="4"/>
  </si>
  <si>
    <t>（デジタルソリューションセグメント向）</t>
    <rPh sb="17" eb="18">
      <t>ム</t>
    </rPh>
    <phoneticPr fontId="4"/>
  </si>
  <si>
    <t>国内出向</t>
    <phoneticPr fontId="4"/>
  </si>
  <si>
    <t>MISOL</t>
    <phoneticPr fontId="4"/>
  </si>
  <si>
    <t>兼</t>
    <rPh sb="0" eb="1">
      <t>ケン</t>
    </rPh>
    <phoneticPr fontId="4"/>
  </si>
  <si>
    <t>MSYS</t>
    <phoneticPr fontId="4"/>
  </si>
  <si>
    <t>清水　浩祐</t>
    <phoneticPr fontId="4"/>
  </si>
  <si>
    <t>国内出向</t>
  </si>
  <si>
    <t>i2ts</t>
  </si>
  <si>
    <t>M-NETS</t>
    <phoneticPr fontId="4"/>
  </si>
  <si>
    <t>MSYS</t>
  </si>
  <si>
    <t>MISOL</t>
    <phoneticPr fontId="6"/>
  </si>
  <si>
    <t>稲毛　正嗣</t>
  </si>
  <si>
    <t>須藤　正信</t>
  </si>
  <si>
    <t>（流通・産業ソリューションセグメント向）</t>
    <rPh sb="1" eb="3">
      <t>リュウツウ</t>
    </rPh>
    <rPh sb="4" eb="6">
      <t>サンギョウ</t>
    </rPh>
    <rPh sb="18" eb="19">
      <t>ム</t>
    </rPh>
    <phoneticPr fontId="4"/>
  </si>
  <si>
    <t>MSYS</t>
    <phoneticPr fontId="6"/>
  </si>
  <si>
    <t>（IT基盤サービスセグメント向）</t>
    <rPh sb="3" eb="5">
      <t>キバン</t>
    </rPh>
    <rPh sb="14" eb="15">
      <t>ム</t>
    </rPh>
    <phoneticPr fontId="4"/>
  </si>
  <si>
    <t>国内出向</t>
    <rPh sb="0" eb="4">
      <t>コクナイシュッコウ</t>
    </rPh>
    <phoneticPr fontId="4"/>
  </si>
  <si>
    <t>i2ts</t>
    <phoneticPr fontId="4"/>
  </si>
  <si>
    <t>原田　達夫</t>
    <phoneticPr fontId="4"/>
  </si>
  <si>
    <t>社長直轄</t>
  </si>
  <si>
    <t>A210</t>
  </si>
  <si>
    <t>内部監査室（MIH）</t>
    <phoneticPr fontId="4"/>
  </si>
  <si>
    <t>室長</t>
    <rPh sb="0" eb="2">
      <t>シツチョウ</t>
    </rPh>
    <phoneticPr fontId="4"/>
  </si>
  <si>
    <t>高橋　健司</t>
  </si>
  <si>
    <t>［MSYS］</t>
  </si>
  <si>
    <t>大橋　英明</t>
  </si>
  <si>
    <t>本社</t>
    <rPh sb="0" eb="2">
      <t>ホンシャ</t>
    </rPh>
    <phoneticPr fontId="4"/>
  </si>
  <si>
    <t>中川　達実</t>
  </si>
  <si>
    <t>藤原　格</t>
    <rPh sb="3" eb="4">
      <t>カク</t>
    </rPh>
    <phoneticPr fontId="4"/>
  </si>
  <si>
    <t>北野　淳一</t>
    <phoneticPr fontId="4"/>
  </si>
  <si>
    <t>内田　賢</t>
    <phoneticPr fontId="4"/>
  </si>
  <si>
    <t>［i2ts］</t>
    <phoneticPr fontId="4"/>
  </si>
  <si>
    <t>菅野　崇</t>
  </si>
  <si>
    <t>藤村　若奈</t>
  </si>
  <si>
    <t>丸紅（株）</t>
    <rPh sb="0" eb="2">
      <t>マルベニ</t>
    </rPh>
    <phoneticPr fontId="4"/>
  </si>
  <si>
    <t>グループCSO管掌</t>
    <rPh sb="7" eb="9">
      <t>カンショウ</t>
    </rPh>
    <phoneticPr fontId="4"/>
  </si>
  <si>
    <t>A300</t>
  </si>
  <si>
    <t>経営戦略本部（MIH）</t>
    <phoneticPr fontId="4"/>
  </si>
  <si>
    <t>A320</t>
  </si>
  <si>
    <t>事業戦略部（MIH）</t>
    <phoneticPr fontId="4"/>
  </si>
  <si>
    <t>A322</t>
  </si>
  <si>
    <t>戦略企画課（MIH）</t>
    <rPh sb="0" eb="5">
      <t>センリャクキカクカ</t>
    </rPh>
    <phoneticPr fontId="4"/>
  </si>
  <si>
    <t>本部長</t>
    <rPh sb="0" eb="3">
      <t>ホンブチョウ</t>
    </rPh>
    <phoneticPr fontId="4"/>
  </si>
  <si>
    <t>三宅　崇文</t>
  </si>
  <si>
    <t>部長</t>
    <rPh sb="0" eb="2">
      <t>ブチョウ</t>
    </rPh>
    <phoneticPr fontId="4"/>
  </si>
  <si>
    <t>小見山　晃輔</t>
    <phoneticPr fontId="4"/>
  </si>
  <si>
    <t>課長</t>
  </si>
  <si>
    <t>岸　優希</t>
  </si>
  <si>
    <t>本部長付担当部長</t>
  </si>
  <si>
    <t>田辺　幸輔</t>
  </si>
  <si>
    <t>鳥田　恵里</t>
    <phoneticPr fontId="4"/>
  </si>
  <si>
    <t>郡司　直樹</t>
  </si>
  <si>
    <t>水上　慎一郎</t>
    <phoneticPr fontId="4"/>
  </si>
  <si>
    <t>何　穎賢</t>
  </si>
  <si>
    <t>久保田　翔也</t>
    <rPh sb="0" eb="3">
      <t>クボタ</t>
    </rPh>
    <phoneticPr fontId="7"/>
  </si>
  <si>
    <t>本社</t>
    <phoneticPr fontId="4"/>
  </si>
  <si>
    <t>［MISOL］</t>
  </si>
  <si>
    <t>甲賀　涼</t>
  </si>
  <si>
    <t>山本　正晃</t>
    <phoneticPr fontId="4"/>
  </si>
  <si>
    <t>A323</t>
  </si>
  <si>
    <t>事業基盤課（MIH）</t>
    <rPh sb="0" eb="2">
      <t>ジギョウ</t>
    </rPh>
    <rPh sb="2" eb="4">
      <t>キバン</t>
    </rPh>
    <rPh sb="4" eb="5">
      <t>カ</t>
    </rPh>
    <phoneticPr fontId="4"/>
  </si>
  <si>
    <t>北山　武志</t>
  </si>
  <si>
    <t>曾根　一樹</t>
  </si>
  <si>
    <t>辻　俊介</t>
  </si>
  <si>
    <t>A330</t>
  </si>
  <si>
    <t>投資・アライアンス部（MIH）</t>
    <phoneticPr fontId="4"/>
  </si>
  <si>
    <t>A332</t>
  </si>
  <si>
    <t>投資・アライアンス推進課（MIH）</t>
    <phoneticPr fontId="4"/>
  </si>
  <si>
    <t>渋田　晋作</t>
    <phoneticPr fontId="4"/>
  </si>
  <si>
    <t>渋田　晋作</t>
  </si>
  <si>
    <t>［丸紅］</t>
    <rPh sb="1" eb="3">
      <t>マルベニ</t>
    </rPh>
    <phoneticPr fontId="4"/>
  </si>
  <si>
    <t>笹川　健太</t>
    <phoneticPr fontId="4"/>
  </si>
  <si>
    <t>A400</t>
  </si>
  <si>
    <t>コンサルティング＆SI本部（MIH）</t>
    <phoneticPr fontId="4"/>
  </si>
  <si>
    <t>A420</t>
  </si>
  <si>
    <t>戦略アカウント営業部（MIH）</t>
    <phoneticPr fontId="4"/>
  </si>
  <si>
    <t>A422</t>
  </si>
  <si>
    <t>営業課（MIH）</t>
    <rPh sb="0" eb="3">
      <t>エイギョウカ</t>
    </rPh>
    <phoneticPr fontId="4"/>
  </si>
  <si>
    <t>荻布　哲士</t>
    <phoneticPr fontId="4"/>
  </si>
  <si>
    <t>副本部長</t>
    <rPh sb="0" eb="1">
      <t>フク</t>
    </rPh>
    <rPh sb="1" eb="4">
      <t>ホンブチョウ</t>
    </rPh>
    <phoneticPr fontId="4"/>
  </si>
  <si>
    <t>幡中　博喜</t>
    <phoneticPr fontId="4"/>
  </si>
  <si>
    <t>岡崎　森</t>
    <phoneticPr fontId="4"/>
  </si>
  <si>
    <t>田中　美来</t>
    <phoneticPr fontId="4"/>
  </si>
  <si>
    <t>浦川　隆弘</t>
    <phoneticPr fontId="4"/>
  </si>
  <si>
    <t>兼</t>
  </si>
  <si>
    <t>A430</t>
  </si>
  <si>
    <t>ITコンサルティング部（MIH）</t>
    <phoneticPr fontId="4"/>
  </si>
  <si>
    <t>A440</t>
  </si>
  <si>
    <t>中部支店（MIH）</t>
    <phoneticPr fontId="4"/>
  </si>
  <si>
    <t>支店長</t>
    <rPh sb="0" eb="3">
      <t>シテンチョウ</t>
    </rPh>
    <phoneticPr fontId="4"/>
  </si>
  <si>
    <t>加藤　健治</t>
  </si>
  <si>
    <t>名古屋</t>
  </si>
  <si>
    <t>［M-NETS］</t>
  </si>
  <si>
    <t>A450</t>
  </si>
  <si>
    <t>関西支店（MIH）</t>
    <phoneticPr fontId="4"/>
  </si>
  <si>
    <t>村本　真之介</t>
  </si>
  <si>
    <t>大阪支店</t>
  </si>
  <si>
    <t>A460</t>
  </si>
  <si>
    <t>九州支店（MIH）</t>
    <phoneticPr fontId="4"/>
  </si>
  <si>
    <t>平山　武志</t>
  </si>
  <si>
    <t>九州</t>
  </si>
  <si>
    <t>グループCTO管掌</t>
    <rPh sb="7" eb="9">
      <t>カンショウ</t>
    </rPh>
    <phoneticPr fontId="4"/>
  </si>
  <si>
    <t>A500</t>
  </si>
  <si>
    <t>技術戦略本部（MIH）</t>
    <phoneticPr fontId="4"/>
  </si>
  <si>
    <t>A520</t>
  </si>
  <si>
    <t>技術戦略室（MIH）</t>
    <phoneticPr fontId="4"/>
  </si>
  <si>
    <t>大塚　洋平</t>
  </si>
  <si>
    <t>岡田　洋一</t>
  </si>
  <si>
    <t>川合　敬大</t>
  </si>
  <si>
    <t>A530</t>
  </si>
  <si>
    <t>品質管理室（MIH）</t>
    <phoneticPr fontId="4"/>
  </si>
  <si>
    <t>森　康宣</t>
  </si>
  <si>
    <t>［MISOL］</t>
    <phoneticPr fontId="4"/>
  </si>
  <si>
    <t>野村　浩二</t>
  </si>
  <si>
    <t>小池　衛</t>
  </si>
  <si>
    <t>佐藤　剛</t>
  </si>
  <si>
    <t>金子　瑞穂</t>
  </si>
  <si>
    <t>小林　三紀恵</t>
  </si>
  <si>
    <t>野手　佳楠子</t>
  </si>
  <si>
    <t>大内　貴靖</t>
  </si>
  <si>
    <t>吉　雅宏</t>
  </si>
  <si>
    <t>グループCAO管掌</t>
    <rPh sb="7" eb="9">
      <t>カンショウ</t>
    </rPh>
    <phoneticPr fontId="4"/>
  </si>
  <si>
    <t>A600</t>
  </si>
  <si>
    <t>経営基盤本部（MIH）</t>
    <phoneticPr fontId="4"/>
  </si>
  <si>
    <t>A620</t>
  </si>
  <si>
    <t>経営管理部（MIH）</t>
    <phoneticPr fontId="4"/>
  </si>
  <si>
    <t>A622</t>
  </si>
  <si>
    <t>企画課（MIH）</t>
    <rPh sb="0" eb="3">
      <t>キカクカ</t>
    </rPh>
    <phoneticPr fontId="4"/>
  </si>
  <si>
    <t>上野　陽司</t>
  </si>
  <si>
    <t>斉藤　健志</t>
    <phoneticPr fontId="4"/>
  </si>
  <si>
    <t>小林　秀行</t>
  </si>
  <si>
    <t>志賀　浩哉</t>
    <phoneticPr fontId="4"/>
  </si>
  <si>
    <t>副部長</t>
    <rPh sb="0" eb="3">
      <t>フクブチョウ</t>
    </rPh>
    <phoneticPr fontId="4"/>
  </si>
  <si>
    <t>松田　崇</t>
    <phoneticPr fontId="4"/>
  </si>
  <si>
    <t>本部長付担当部長</t>
    <phoneticPr fontId="4"/>
  </si>
  <si>
    <t>熊倉　由華</t>
    <phoneticPr fontId="4"/>
  </si>
  <si>
    <t>増田　祥郎</t>
  </si>
  <si>
    <t>宮島　仁志</t>
  </si>
  <si>
    <t>水戸　雅樹</t>
  </si>
  <si>
    <t>吉川　成世</t>
  </si>
  <si>
    <t>篠田　直哉</t>
  </si>
  <si>
    <t>谷　あずさ</t>
  </si>
  <si>
    <t>近藤　かよ</t>
  </si>
  <si>
    <t>上田　真帆</t>
    <phoneticPr fontId="4"/>
  </si>
  <si>
    <t>A623</t>
  </si>
  <si>
    <t>ガバナンス課（MIH）</t>
    <phoneticPr fontId="4"/>
  </si>
  <si>
    <t>熊谷　恒治</t>
  </si>
  <si>
    <t>潮田　裕子</t>
  </si>
  <si>
    <t>山田　直樹</t>
  </si>
  <si>
    <t>庄司　幸樹</t>
  </si>
  <si>
    <t>若井　聡</t>
  </si>
  <si>
    <t>梅原　達也</t>
  </si>
  <si>
    <t>池田　美園</t>
  </si>
  <si>
    <t>A630</t>
  </si>
  <si>
    <t>財務経理第一部（MIH）</t>
    <phoneticPr fontId="4"/>
  </si>
  <si>
    <t>A632</t>
  </si>
  <si>
    <t>グループ統括管理課（MIH）</t>
    <phoneticPr fontId="4"/>
  </si>
  <si>
    <t>風間　大介</t>
    <phoneticPr fontId="4"/>
  </si>
  <si>
    <t>三木　俊一</t>
  </si>
  <si>
    <t>松澤　力也</t>
    <phoneticPr fontId="4"/>
  </si>
  <si>
    <t>松戸　暢子</t>
  </si>
  <si>
    <t>松野　浩二</t>
    <phoneticPr fontId="4"/>
  </si>
  <si>
    <t>宮内　和夫</t>
  </si>
  <si>
    <t>宮田　晃圭</t>
  </si>
  <si>
    <t>A640</t>
  </si>
  <si>
    <t>財務経理第二部（MIH）</t>
    <phoneticPr fontId="4"/>
  </si>
  <si>
    <t>A642</t>
  </si>
  <si>
    <t>主計第一課（MIH）</t>
    <rPh sb="0" eb="5">
      <t>シュケイダイイチカ</t>
    </rPh>
    <phoneticPr fontId="4"/>
  </si>
  <si>
    <t>日下部　功輝</t>
    <phoneticPr fontId="4"/>
  </si>
  <si>
    <t>［i2ts］</t>
  </si>
  <si>
    <t>宮内　和夫</t>
    <phoneticPr fontId="4"/>
  </si>
  <si>
    <t>橋本　幸子</t>
  </si>
  <si>
    <t>鳩貝　桃子</t>
  </si>
  <si>
    <t>星野　真実</t>
  </si>
  <si>
    <t>小花　恒輔</t>
    <rPh sb="0" eb="2">
      <t>コバナ</t>
    </rPh>
    <rPh sb="3" eb="4">
      <t>ヒサシ</t>
    </rPh>
    <rPh sb="4" eb="5">
      <t>タスク</t>
    </rPh>
    <phoneticPr fontId="2"/>
  </si>
  <si>
    <t>本社</t>
    <rPh sb="0" eb="2">
      <t>ホンシャ</t>
    </rPh>
    <phoneticPr fontId="2"/>
  </si>
  <si>
    <t>A643</t>
  </si>
  <si>
    <t>主計第二課（MIH）</t>
    <rPh sb="0" eb="5">
      <t>シュケイダイニカ</t>
    </rPh>
    <phoneticPr fontId="4"/>
  </si>
  <si>
    <t>木崎　伊津子</t>
  </si>
  <si>
    <t>青柳　理美</t>
  </si>
  <si>
    <t>鍋島　智道</t>
  </si>
  <si>
    <t>小池　麻由美</t>
    <rPh sb="0" eb="2">
      <t>コイケ</t>
    </rPh>
    <phoneticPr fontId="4"/>
  </si>
  <si>
    <t>A700</t>
  </si>
  <si>
    <t>管理本部（MIH）</t>
    <phoneticPr fontId="4"/>
  </si>
  <si>
    <t>A720</t>
  </si>
  <si>
    <t>人事部（MIH）</t>
    <phoneticPr fontId="4"/>
  </si>
  <si>
    <t>A722</t>
  </si>
  <si>
    <t>人事課（MIH）</t>
    <rPh sb="0" eb="3">
      <t>ジンジカ</t>
    </rPh>
    <phoneticPr fontId="4"/>
  </si>
  <si>
    <t>上原　志津子</t>
    <rPh sb="0" eb="2">
      <t>ウエハラ</t>
    </rPh>
    <rPh sb="3" eb="6">
      <t>シヅコ</t>
    </rPh>
    <phoneticPr fontId="4"/>
  </si>
  <si>
    <t>岩本　美穂</t>
    <phoneticPr fontId="4"/>
  </si>
  <si>
    <t>八木　章嗣</t>
  </si>
  <si>
    <t>小坂田　直尚</t>
    <phoneticPr fontId="4"/>
  </si>
  <si>
    <t>池田　和彦</t>
    <phoneticPr fontId="4"/>
  </si>
  <si>
    <t>塚田　諭史</t>
  </si>
  <si>
    <t>高村　裕美子</t>
  </si>
  <si>
    <t>滝口　典子</t>
  </si>
  <si>
    <t>門馬　小百合</t>
  </si>
  <si>
    <t>山田　耕平</t>
    <phoneticPr fontId="4"/>
  </si>
  <si>
    <t>三浦　辰也</t>
    <phoneticPr fontId="4"/>
  </si>
  <si>
    <t>A723</t>
  </si>
  <si>
    <t>人財戦略課（MIH）</t>
    <rPh sb="0" eb="5">
      <t>ジンザイセンリャクカ</t>
    </rPh>
    <phoneticPr fontId="4"/>
  </si>
  <si>
    <t>橋本　輝久</t>
  </si>
  <si>
    <t>大脇　寛之</t>
  </si>
  <si>
    <t>上原　真太郎</t>
  </si>
  <si>
    <t>折口　陽菜</t>
  </si>
  <si>
    <t>髙村　真織</t>
  </si>
  <si>
    <t>A724</t>
  </si>
  <si>
    <t>採用課（MIH）</t>
    <rPh sb="0" eb="3">
      <t>サイヨウカ</t>
    </rPh>
    <phoneticPr fontId="4"/>
  </si>
  <si>
    <t>外川　慎一朗</t>
  </si>
  <si>
    <t>岩前　えりか</t>
  </si>
  <si>
    <t>内田　翔兵</t>
  </si>
  <si>
    <t>有田　弘之</t>
  </si>
  <si>
    <t>牧野　浩子</t>
  </si>
  <si>
    <t>A730</t>
  </si>
  <si>
    <t>総務部（MIH）</t>
    <phoneticPr fontId="4"/>
  </si>
  <si>
    <t>A732</t>
  </si>
  <si>
    <t>総務課（MIH）</t>
    <rPh sb="0" eb="3">
      <t>ソウムカ</t>
    </rPh>
    <phoneticPr fontId="4"/>
  </si>
  <si>
    <t>本間　丈彦</t>
    <phoneticPr fontId="4"/>
  </si>
  <si>
    <t>山本　隆志</t>
    <phoneticPr fontId="4"/>
  </si>
  <si>
    <t>泉谷　篤史</t>
    <phoneticPr fontId="4"/>
  </si>
  <si>
    <t>南　さつき</t>
  </si>
  <si>
    <t>山本　幸樹</t>
    <phoneticPr fontId="4"/>
  </si>
  <si>
    <t>［MSYS］</t>
    <phoneticPr fontId="4"/>
  </si>
  <si>
    <t>尾張　達也</t>
  </si>
  <si>
    <t>多賀　雅哉</t>
  </si>
  <si>
    <t>合掌　香鶴</t>
  </si>
  <si>
    <t>上田　真帆</t>
  </si>
  <si>
    <t>北村　信也</t>
  </si>
  <si>
    <t>大阪</t>
    <rPh sb="0" eb="2">
      <t>オオサカ</t>
    </rPh>
    <phoneticPr fontId="4"/>
  </si>
  <si>
    <t>平塚　秀樹</t>
  </si>
  <si>
    <t>名古屋</t>
    <rPh sb="0" eb="3">
      <t>ナゴヤ</t>
    </rPh>
    <phoneticPr fontId="4"/>
  </si>
  <si>
    <t>A733</t>
  </si>
  <si>
    <t>認証課（MIH）</t>
    <rPh sb="0" eb="3">
      <t>ニンショウカ</t>
    </rPh>
    <phoneticPr fontId="4"/>
  </si>
  <si>
    <t>関根　涼史</t>
  </si>
  <si>
    <t>市川　敬一</t>
  </si>
  <si>
    <t>A740</t>
  </si>
  <si>
    <t>法務審査部（MIH）</t>
    <phoneticPr fontId="4"/>
  </si>
  <si>
    <t>A742</t>
  </si>
  <si>
    <t>法務課（MIH）</t>
    <rPh sb="0" eb="3">
      <t>ホウムカ</t>
    </rPh>
    <phoneticPr fontId="4"/>
  </si>
  <si>
    <t>太田　浩城</t>
    <phoneticPr fontId="4"/>
  </si>
  <si>
    <t>中村　豊</t>
  </si>
  <si>
    <t>中村　豊</t>
    <phoneticPr fontId="4"/>
  </si>
  <si>
    <t>佐藤　泰子</t>
  </si>
  <si>
    <t>安藤　眞人</t>
  </si>
  <si>
    <t>桑原　惇</t>
  </si>
  <si>
    <t>谷口　亜希子</t>
  </si>
  <si>
    <t>原田　友子</t>
  </si>
  <si>
    <t>古市　奈緒子</t>
  </si>
  <si>
    <t>田中　義信</t>
  </si>
  <si>
    <t>A743</t>
  </si>
  <si>
    <t>審査課（MIH）</t>
    <rPh sb="0" eb="3">
      <t>シンサカ</t>
    </rPh>
    <phoneticPr fontId="4"/>
  </si>
  <si>
    <t>谷　淳哉</t>
  </si>
  <si>
    <t>稲田　晃一</t>
  </si>
  <si>
    <t>上條　昇一</t>
  </si>
  <si>
    <t>礒山　洋右</t>
  </si>
  <si>
    <t>大沼　慶太</t>
  </si>
  <si>
    <t>益満　貴志</t>
  </si>
  <si>
    <t>A750</t>
  </si>
  <si>
    <t>情報企画部（MIH）</t>
    <phoneticPr fontId="4"/>
  </si>
  <si>
    <t>A752</t>
  </si>
  <si>
    <t>情報企画課（MIH）</t>
    <rPh sb="0" eb="5">
      <t>ジョウホウキカクカ</t>
    </rPh>
    <phoneticPr fontId="4"/>
  </si>
  <si>
    <t>喜多　大樹</t>
    <phoneticPr fontId="4"/>
  </si>
  <si>
    <t>塚田　曜</t>
  </si>
  <si>
    <t>吉川　泰博</t>
    <phoneticPr fontId="4"/>
  </si>
  <si>
    <t>齋藤　健治</t>
  </si>
  <si>
    <t>古塩　英之</t>
    <phoneticPr fontId="4"/>
  </si>
  <si>
    <t>竹田　衿花</t>
  </si>
  <si>
    <t>恒成　秀一</t>
  </si>
  <si>
    <t>A753</t>
  </si>
  <si>
    <t>グループインフラ運用課（MIH）</t>
    <phoneticPr fontId="4"/>
  </si>
  <si>
    <t>菅井　真</t>
  </si>
  <si>
    <t>A754</t>
  </si>
  <si>
    <t>グループシステム管理課（MIH）</t>
    <rPh sb="8" eb="11">
      <t>カンリカ</t>
    </rPh>
    <phoneticPr fontId="4"/>
  </si>
  <si>
    <t>中澤　寛之</t>
  </si>
  <si>
    <t>長都　誠二</t>
  </si>
  <si>
    <t>A760</t>
  </si>
  <si>
    <t>マーケティング＆コミュニケーション部（MIH）</t>
    <phoneticPr fontId="4"/>
  </si>
  <si>
    <t>A762</t>
  </si>
  <si>
    <t>広報課（MIH）</t>
    <rPh sb="0" eb="3">
      <t>コウホウカ</t>
    </rPh>
    <phoneticPr fontId="4"/>
  </si>
  <si>
    <t>小泉　智道</t>
    <phoneticPr fontId="4"/>
  </si>
  <si>
    <t>松井　邦宜</t>
  </si>
  <si>
    <t>杉本　瑞季</t>
  </si>
  <si>
    <t>原　かおる</t>
  </si>
  <si>
    <t>グループCAO直轄</t>
    <rPh sb="7" eb="9">
      <t>チョッカツ</t>
    </rPh>
    <phoneticPr fontId="4"/>
  </si>
  <si>
    <t>A810</t>
  </si>
  <si>
    <t>ビジネスサポート部（MIH）</t>
    <phoneticPr fontId="4"/>
  </si>
  <si>
    <t>A812</t>
  </si>
  <si>
    <t>BS第一課（MIH）</t>
    <phoneticPr fontId="4"/>
  </si>
  <si>
    <t>嶋岡　健司</t>
    <phoneticPr fontId="4"/>
  </si>
  <si>
    <t>佐藤　雅洋</t>
  </si>
  <si>
    <t>山森　克美</t>
    <phoneticPr fontId="4"/>
  </si>
  <si>
    <t>太田　稔</t>
    <phoneticPr fontId="4"/>
  </si>
  <si>
    <t>清水　秀明</t>
  </si>
  <si>
    <t>秋山　美由紀</t>
  </si>
  <si>
    <t>江口　慶多</t>
  </si>
  <si>
    <t>遠藤　礼子</t>
  </si>
  <si>
    <t>大谷　仁美</t>
  </si>
  <si>
    <t>中山　いずみ</t>
    <rPh sb="0" eb="2">
      <t>ナカヤマ</t>
    </rPh>
    <phoneticPr fontId="2"/>
  </si>
  <si>
    <t>森田　一将</t>
    <phoneticPr fontId="4"/>
  </si>
  <si>
    <t>山本　啓成</t>
  </si>
  <si>
    <t>吉澤　正治</t>
  </si>
  <si>
    <t>吉田　舞子</t>
  </si>
  <si>
    <t>冨山　雅弘</t>
    <rPh sb="0" eb="2">
      <t>トミヤマ</t>
    </rPh>
    <rPh sb="3" eb="5">
      <t>マサヒロ</t>
    </rPh>
    <phoneticPr fontId="2"/>
  </si>
  <si>
    <t>吉田　洋一</t>
  </si>
  <si>
    <t>兼</t>
    <rPh sb="0" eb="1">
      <t>ケン</t>
    </rPh>
    <phoneticPr fontId="2"/>
  </si>
  <si>
    <t>大谷　恭史</t>
  </si>
  <si>
    <t>川崎　正夫</t>
  </si>
  <si>
    <t>松尾　嘉憲</t>
  </si>
  <si>
    <t>隠崎　佳奈子</t>
  </si>
  <si>
    <t>大阪</t>
  </si>
  <si>
    <t>武山　良男</t>
  </si>
  <si>
    <t>高橋　直記</t>
  </si>
  <si>
    <t>廣田　有香</t>
  </si>
  <si>
    <t>名古屋</t>
    <rPh sb="0" eb="3">
      <t>ナゴヤ</t>
    </rPh>
    <phoneticPr fontId="2"/>
  </si>
  <si>
    <t>福島　伸一</t>
  </si>
  <si>
    <t>望月　利光</t>
  </si>
  <si>
    <t>安岡　賢太</t>
  </si>
  <si>
    <t>八木　啓行</t>
  </si>
  <si>
    <t>岡田　真治</t>
  </si>
  <si>
    <t>志村　剛</t>
  </si>
  <si>
    <t>太田　潔志</t>
  </si>
  <si>
    <t>A813</t>
  </si>
  <si>
    <t>BS第二課（MIH）</t>
    <phoneticPr fontId="4"/>
  </si>
  <si>
    <t>清水　賢</t>
  </si>
  <si>
    <t>高井　規伊子</t>
  </si>
  <si>
    <t>鴨作　一也</t>
  </si>
  <si>
    <t>清和　慶隆</t>
    <phoneticPr fontId="4"/>
  </si>
  <si>
    <t>南郷　良子</t>
  </si>
  <si>
    <t>三浦　華世</t>
  </si>
  <si>
    <t>村手　久美子</t>
  </si>
  <si>
    <t>斎藤　裕幸</t>
    <phoneticPr fontId="4"/>
  </si>
  <si>
    <t>鈴木　宏樹</t>
  </si>
  <si>
    <t>西村　美佐子</t>
  </si>
  <si>
    <t>峰　和彦</t>
  </si>
  <si>
    <t>山部　純子</t>
  </si>
  <si>
    <t>川上　舞帆</t>
    <rPh sb="0" eb="2">
      <t>カワカミ</t>
    </rPh>
    <rPh sb="3" eb="4">
      <t>マイ</t>
    </rPh>
    <rPh sb="4" eb="5">
      <t>ホ</t>
    </rPh>
    <phoneticPr fontId="2"/>
  </si>
  <si>
    <t>村田　聡子</t>
    <rPh sb="0" eb="2">
      <t>ムラタ</t>
    </rPh>
    <rPh sb="3" eb="5">
      <t>サトコ</t>
    </rPh>
    <phoneticPr fontId="2"/>
  </si>
  <si>
    <t>西　かおり</t>
  </si>
  <si>
    <t>岡本　歩</t>
  </si>
  <si>
    <t>長野　美和</t>
  </si>
  <si>
    <t>皆川　直枝</t>
    <rPh sb="0" eb="2">
      <t>ミナガワ</t>
    </rPh>
    <rPh sb="3" eb="5">
      <t>ナオエ</t>
    </rPh>
    <phoneticPr fontId="2"/>
  </si>
  <si>
    <t>森野　ありさ</t>
    <rPh sb="0" eb="2">
      <t>モリノ</t>
    </rPh>
    <phoneticPr fontId="2"/>
  </si>
  <si>
    <t>吉松　美和</t>
  </si>
  <si>
    <t>下平　貴之</t>
    <rPh sb="0" eb="2">
      <t>シモヒラ</t>
    </rPh>
    <rPh sb="3" eb="5">
      <t>タカユキ</t>
    </rPh>
    <phoneticPr fontId="2"/>
  </si>
  <si>
    <t>伊井　美智子</t>
    <phoneticPr fontId="4"/>
  </si>
  <si>
    <t>A814</t>
  </si>
  <si>
    <t>BS第三課（MIH）</t>
    <phoneticPr fontId="4"/>
  </si>
  <si>
    <t>藤崎　伸一郎</t>
  </si>
  <si>
    <t>中嶋　優</t>
  </si>
  <si>
    <t>鹿島　高洋</t>
    <rPh sb="0" eb="2">
      <t>カシマ</t>
    </rPh>
    <rPh sb="3" eb="4">
      <t>タカ</t>
    </rPh>
    <rPh sb="4" eb="5">
      <t>ヨウ</t>
    </rPh>
    <phoneticPr fontId="2"/>
  </si>
  <si>
    <t>田口　昇</t>
    <rPh sb="0" eb="2">
      <t>タグチ</t>
    </rPh>
    <rPh sb="3" eb="4">
      <t>ノボル</t>
    </rPh>
    <phoneticPr fontId="2"/>
  </si>
  <si>
    <t>野口　賢司</t>
    <rPh sb="0" eb="2">
      <t>ノグチ</t>
    </rPh>
    <rPh sb="3" eb="5">
      <t>ケンジ</t>
    </rPh>
    <phoneticPr fontId="2"/>
  </si>
  <si>
    <t>長谷部　雅洋</t>
  </si>
  <si>
    <t>山平　哲也</t>
    <rPh sb="0" eb="2">
      <t>ヤマヒラ</t>
    </rPh>
    <rPh sb="3" eb="5">
      <t>テツヤ</t>
    </rPh>
    <phoneticPr fontId="2"/>
  </si>
  <si>
    <t>前田　賢一</t>
    <rPh sb="0" eb="2">
      <t>マエダ</t>
    </rPh>
    <phoneticPr fontId="2"/>
  </si>
  <si>
    <t>森下　幸雄</t>
    <rPh sb="0" eb="2">
      <t>モリシタ</t>
    </rPh>
    <rPh sb="3" eb="5">
      <t>ユキオ</t>
    </rPh>
    <phoneticPr fontId="2"/>
  </si>
  <si>
    <t>吉井　克行</t>
  </si>
  <si>
    <t>穴水　繁生</t>
  </si>
  <si>
    <t>佐野　順平</t>
  </si>
  <si>
    <t>忠政　篤史</t>
  </si>
  <si>
    <t>福田　芳之</t>
  </si>
  <si>
    <t>A817</t>
  </si>
  <si>
    <t>営業サポート課（MIH）</t>
    <phoneticPr fontId="4"/>
  </si>
  <si>
    <t>金子　美由紀</t>
    <rPh sb="0" eb="2">
      <t>カネコ</t>
    </rPh>
    <rPh sb="3" eb="6">
      <t>ミユキ</t>
    </rPh>
    <phoneticPr fontId="2"/>
  </si>
  <si>
    <t>丸紅</t>
    <rPh sb="0" eb="2">
      <t>マルベニ</t>
    </rPh>
    <phoneticPr fontId="2"/>
  </si>
  <si>
    <t>石井　透</t>
    <rPh sb="0" eb="2">
      <t>イシイ</t>
    </rPh>
    <rPh sb="3" eb="4">
      <t>トウ</t>
    </rPh>
    <phoneticPr fontId="2"/>
  </si>
  <si>
    <t>鈴木　武蔵</t>
    <rPh sb="0" eb="2">
      <t>スズキ</t>
    </rPh>
    <rPh sb="3" eb="5">
      <t>ムサシ</t>
    </rPh>
    <phoneticPr fontId="2"/>
  </si>
  <si>
    <t>橋本　健太</t>
    <rPh sb="0" eb="2">
      <t>ハシモト</t>
    </rPh>
    <rPh sb="3" eb="5">
      <t>ケンタ</t>
    </rPh>
    <phoneticPr fontId="2"/>
  </si>
  <si>
    <t>深町　佳胤</t>
    <phoneticPr fontId="2"/>
  </si>
  <si>
    <t>山岸　秀暢</t>
    <rPh sb="0" eb="2">
      <t>ヤマギシ</t>
    </rPh>
    <phoneticPr fontId="2"/>
  </si>
  <si>
    <t>山室　基生</t>
    <rPh sb="0" eb="2">
      <t>ヤマムロ</t>
    </rPh>
    <rPh sb="3" eb="4">
      <t>キ</t>
    </rPh>
    <rPh sb="4" eb="5">
      <t>イ</t>
    </rPh>
    <phoneticPr fontId="2"/>
  </si>
  <si>
    <t>牧山　美裕</t>
    <rPh sb="0" eb="2">
      <t>マキヤマ</t>
    </rPh>
    <rPh sb="3" eb="4">
      <t>ミ</t>
    </rPh>
    <rPh sb="4" eb="5">
      <t>ユウ</t>
    </rPh>
    <phoneticPr fontId="2"/>
  </si>
  <si>
    <t>武田　信之</t>
  </si>
  <si>
    <t>和田　修</t>
  </si>
  <si>
    <t>野沢　利之</t>
  </si>
  <si>
    <t>鳥海　恵</t>
    <phoneticPr fontId="4"/>
  </si>
  <si>
    <t>甲森　会美子</t>
  </si>
  <si>
    <t>久野　裕美</t>
    <rPh sb="0" eb="2">
      <t>ヒサノ</t>
    </rPh>
    <rPh sb="3" eb="5">
      <t>ヒロミ</t>
    </rPh>
    <phoneticPr fontId="2"/>
  </si>
  <si>
    <t>梅澤　正昭</t>
    <rPh sb="0" eb="2">
      <t>ウメザワ</t>
    </rPh>
    <rPh sb="3" eb="5">
      <t>マサアキ</t>
    </rPh>
    <phoneticPr fontId="2"/>
  </si>
  <si>
    <t>高橋　明日香</t>
  </si>
  <si>
    <t>後藤　法子</t>
    <phoneticPr fontId="4"/>
  </si>
  <si>
    <t>長尾　尚子</t>
  </si>
  <si>
    <t>小林　南帆</t>
  </si>
  <si>
    <t>土田　純子</t>
  </si>
  <si>
    <t>畔見　裕生</t>
    <rPh sb="0" eb="1">
      <t>アゼ</t>
    </rPh>
    <rPh sb="1" eb="2">
      <t>ミ</t>
    </rPh>
    <rPh sb="3" eb="4">
      <t>ユウ</t>
    </rPh>
    <rPh sb="4" eb="5">
      <t>ショウ</t>
    </rPh>
    <phoneticPr fontId="2"/>
  </si>
  <si>
    <t>関　建一</t>
  </si>
  <si>
    <t>安部　正治</t>
    <rPh sb="0" eb="2">
      <t>アベ</t>
    </rPh>
    <rPh sb="3" eb="5">
      <t>マサハル</t>
    </rPh>
    <phoneticPr fontId="4"/>
  </si>
  <si>
    <t>久保　光雄</t>
  </si>
  <si>
    <t>新蔵　夏実</t>
  </si>
  <si>
    <t>段下　公貴</t>
    <rPh sb="0" eb="1">
      <t>ダン</t>
    </rPh>
    <rPh sb="1" eb="2">
      <t>シタ</t>
    </rPh>
    <rPh sb="3" eb="4">
      <t>コウ</t>
    </rPh>
    <rPh sb="4" eb="5">
      <t>キ</t>
    </rPh>
    <phoneticPr fontId="2"/>
  </si>
  <si>
    <t>中西　竜一</t>
  </si>
  <si>
    <t>大阪</t>
    <rPh sb="0" eb="2">
      <t>オオサカ</t>
    </rPh>
    <phoneticPr fontId="2"/>
  </si>
  <si>
    <t>A816</t>
  </si>
  <si>
    <t>営業事務第一課（MIH）</t>
    <phoneticPr fontId="4"/>
  </si>
  <si>
    <t>林　健太郎</t>
    <rPh sb="2" eb="5">
      <t>ケンタロウ</t>
    </rPh>
    <phoneticPr fontId="2"/>
  </si>
  <si>
    <t>斎藤　陽子</t>
  </si>
  <si>
    <t>石堂　恒</t>
  </si>
  <si>
    <t>太田　稔</t>
  </si>
  <si>
    <t>佐藤　頼子</t>
  </si>
  <si>
    <t>鈴木　美穂</t>
  </si>
  <si>
    <t>森　里奈</t>
  </si>
  <si>
    <t>後藤　幸代</t>
  </si>
  <si>
    <t>多賀　明治</t>
  </si>
  <si>
    <t>齋藤　一如</t>
  </si>
  <si>
    <t>上辻　みどり</t>
  </si>
  <si>
    <t>城谷　満姫</t>
  </si>
  <si>
    <t>松川　輝次</t>
  </si>
  <si>
    <t>林　智子</t>
    <phoneticPr fontId="4"/>
  </si>
  <si>
    <t>加納　千津子</t>
  </si>
  <si>
    <t>小坂　佳代</t>
  </si>
  <si>
    <t>作本　則子</t>
  </si>
  <si>
    <t>武井　智恵</t>
  </si>
  <si>
    <t>仲川　友規</t>
  </si>
  <si>
    <t>中山　紗也香</t>
  </si>
  <si>
    <t>山下　詩織</t>
  </si>
  <si>
    <t>碓井　泉美</t>
    <phoneticPr fontId="4"/>
  </si>
  <si>
    <t>佐藤　千紘</t>
  </si>
  <si>
    <t>本社</t>
    <phoneticPr fontId="2"/>
  </si>
  <si>
    <t>A815</t>
  </si>
  <si>
    <t>営業事務第二課（MIH）</t>
    <rPh sb="5" eb="6">
      <t>ニ</t>
    </rPh>
    <phoneticPr fontId="4"/>
  </si>
  <si>
    <t>町田　渡里</t>
  </si>
  <si>
    <t>一政　早百合</t>
  </si>
  <si>
    <t>北林　潤子</t>
  </si>
  <si>
    <t>桜井　真由美</t>
  </si>
  <si>
    <t>島村　茜</t>
    <phoneticPr fontId="4"/>
  </si>
  <si>
    <t>竹内　麻子</t>
  </si>
  <si>
    <t>新元　愛美</t>
  </si>
  <si>
    <t>八板　郁恵</t>
  </si>
  <si>
    <t>堰本　美香</t>
  </si>
  <si>
    <t>桑原　加奈子</t>
  </si>
  <si>
    <t>有若　麻衣子</t>
  </si>
  <si>
    <t>小野　梨里香</t>
    <phoneticPr fontId="4"/>
  </si>
  <si>
    <t>近藤　尚未</t>
  </si>
  <si>
    <t>高野　美咲</t>
  </si>
  <si>
    <t>手塚　圭子</t>
  </si>
  <si>
    <t>鈴木　志穂</t>
  </si>
  <si>
    <t>小西　美雪</t>
  </si>
  <si>
    <t>髙久　夕貴</t>
  </si>
  <si>
    <t>田原　玲央菜</t>
  </si>
  <si>
    <t>西久保　さおり</t>
  </si>
  <si>
    <t>渡邉　真由</t>
  </si>
  <si>
    <t>井上　ゆか</t>
  </si>
  <si>
    <t>大沢　明</t>
  </si>
  <si>
    <t>戸澤　由美</t>
  </si>
  <si>
    <t>祁答院　天佳子</t>
  </si>
  <si>
    <t>廣野　瑠理子</t>
  </si>
  <si>
    <t>石坂　真里奈</t>
  </si>
  <si>
    <t>コーポレートセグメント（MSYS）</t>
    <phoneticPr fontId="4"/>
  </si>
  <si>
    <t>A650</t>
  </si>
  <si>
    <t>コーポレート業務室（MSYS）</t>
    <phoneticPr fontId="4"/>
  </si>
  <si>
    <t>佐野　元彦</t>
    <phoneticPr fontId="4"/>
  </si>
  <si>
    <t>室長</t>
    <rPh sb="0" eb="1">
      <t>シツ</t>
    </rPh>
    <rPh sb="1" eb="2">
      <t>チョウ</t>
    </rPh>
    <phoneticPr fontId="4"/>
  </si>
  <si>
    <t>塚田　諭史</t>
    <phoneticPr fontId="4"/>
  </si>
  <si>
    <t>陶守　沙也加</t>
  </si>
  <si>
    <t>丸紅（株）</t>
  </si>
  <si>
    <t>宇野　ちあき</t>
  </si>
  <si>
    <t>奥澤　直</t>
  </si>
  <si>
    <t>城田　典子</t>
  </si>
  <si>
    <t>矢場　佳枝</t>
  </si>
  <si>
    <t>前田　里美</t>
  </si>
  <si>
    <t>徳島　千亜紀</t>
  </si>
  <si>
    <t>渡辺　鉄也</t>
  </si>
  <si>
    <t>佐藤　茉有</t>
    <phoneticPr fontId="4"/>
  </si>
  <si>
    <t>浅野　優</t>
  </si>
  <si>
    <t>安倍　真優</t>
  </si>
  <si>
    <t>遠藤　颯大</t>
  </si>
  <si>
    <t>大橋　琉希</t>
  </si>
  <si>
    <t>加藤　大樹</t>
  </si>
  <si>
    <t>閑戸　麻有</t>
  </si>
  <si>
    <t>古谷　宙也</t>
  </si>
  <si>
    <t>小林　柊偉</t>
  </si>
  <si>
    <t>小林　直道</t>
  </si>
  <si>
    <t>小牟田　裕介</t>
  </si>
  <si>
    <t>篠　枝里香</t>
  </si>
  <si>
    <t>下村　彩奈</t>
  </si>
  <si>
    <t>高橋　知暉</t>
  </si>
  <si>
    <t>高橋　陸</t>
  </si>
  <si>
    <t>田中　琴音</t>
  </si>
  <si>
    <t>富山　裕加</t>
  </si>
  <si>
    <t>中澤　駿介</t>
  </si>
  <si>
    <t>中島　佑萌</t>
  </si>
  <si>
    <t>西坂　胡蘭</t>
  </si>
  <si>
    <t>服部　椋</t>
  </si>
  <si>
    <t>宮　京正</t>
  </si>
  <si>
    <t>宮負　萌</t>
  </si>
  <si>
    <t>守屋　恵人</t>
  </si>
  <si>
    <t>箭内　鈴子</t>
  </si>
  <si>
    <t>市場　江里子</t>
  </si>
  <si>
    <t>森　美知子</t>
  </si>
  <si>
    <t>グループ内出向者（MSYS原籍）</t>
    <phoneticPr fontId="4"/>
  </si>
  <si>
    <t>武田　一徳</t>
  </si>
  <si>
    <t>尾村　達弥</t>
  </si>
  <si>
    <t>有田　幸司</t>
  </si>
  <si>
    <t>（コーポレートセグメント向）</t>
    <rPh sb="12" eb="13">
      <t>ム</t>
    </rPh>
    <phoneticPr fontId="4"/>
  </si>
  <si>
    <t>MIH</t>
    <phoneticPr fontId="4"/>
  </si>
  <si>
    <t>水上　慎一郎</t>
  </si>
  <si>
    <t>鳥田　恵里</t>
  </si>
  <si>
    <t>荻布　哲士</t>
  </si>
  <si>
    <t>岡崎　森</t>
  </si>
  <si>
    <t>浦川　隆弘</t>
  </si>
  <si>
    <t>志賀　浩哉</t>
  </si>
  <si>
    <t>斉藤　健志</t>
  </si>
  <si>
    <t>風間　大介</t>
  </si>
  <si>
    <t>岩本　美穂</t>
  </si>
  <si>
    <t>池田　和彦</t>
  </si>
  <si>
    <t>泉谷　篤史</t>
  </si>
  <si>
    <t>吉川　泰博</t>
  </si>
  <si>
    <t>小泉　智道</t>
  </si>
  <si>
    <t>山森　克美</t>
  </si>
  <si>
    <t>森田　一将</t>
  </si>
  <si>
    <t>林　智子</t>
  </si>
  <si>
    <t>碓井　泉美</t>
  </si>
  <si>
    <t>コーポレートセグメント（MISOL）</t>
    <phoneticPr fontId="4"/>
  </si>
  <si>
    <t>A660</t>
  </si>
  <si>
    <t>コーポレート業務室（MISOL）</t>
    <phoneticPr fontId="4"/>
  </si>
  <si>
    <t>増田　祥郎</t>
    <phoneticPr fontId="4"/>
  </si>
  <si>
    <t>小寺　七未</t>
  </si>
  <si>
    <t>税所　彩</t>
  </si>
  <si>
    <t>中澤　志野</t>
  </si>
  <si>
    <t>小野　あゆみ</t>
  </si>
  <si>
    <t>小林　正子</t>
  </si>
  <si>
    <t>青木　一郎</t>
  </si>
  <si>
    <t>海老澤　昌弘</t>
  </si>
  <si>
    <t>岩本　ひなた</t>
  </si>
  <si>
    <t>氏家　有海</t>
  </si>
  <si>
    <t>桐原　拓也</t>
  </si>
  <si>
    <t>河野　夏樹</t>
  </si>
  <si>
    <t>小杉　龍一</t>
  </si>
  <si>
    <t>小林　大起</t>
  </si>
  <si>
    <t>鈴木　駿</t>
  </si>
  <si>
    <t>舘野　彩</t>
  </si>
  <si>
    <t>田邊　悟</t>
  </si>
  <si>
    <t>永山　慧</t>
  </si>
  <si>
    <t>新見　優輝</t>
  </si>
  <si>
    <t>根岸　勇真</t>
  </si>
  <si>
    <t>原　千夏</t>
  </si>
  <si>
    <t>平井　颯馬</t>
  </si>
  <si>
    <t>蛭川　大嵩</t>
  </si>
  <si>
    <t>廣田　芙雪</t>
  </si>
  <si>
    <t>本田　雄大</t>
  </si>
  <si>
    <t>前田　祐希</t>
  </si>
  <si>
    <t>馬橋　サリア</t>
  </si>
  <si>
    <t>三浦　佳菜美</t>
  </si>
  <si>
    <t>南山　大周</t>
  </si>
  <si>
    <t>柳谷　壮良実</t>
  </si>
  <si>
    <t>和田　恭佳</t>
  </si>
  <si>
    <t>グループ内出向者（MISOL原籍）</t>
    <phoneticPr fontId="4"/>
  </si>
  <si>
    <t>幡中　博喜</t>
  </si>
  <si>
    <t>松田　崇</t>
  </si>
  <si>
    <t>山本　隆志</t>
  </si>
  <si>
    <t>喜多　大樹</t>
  </si>
  <si>
    <t>嶋岡　健司</t>
  </si>
  <si>
    <t>斎藤　裕幸</t>
  </si>
  <si>
    <t>吉井　克行</t>
    <phoneticPr fontId="4"/>
  </si>
  <si>
    <t>和田　修</t>
    <phoneticPr fontId="4"/>
  </si>
  <si>
    <t>後藤　法子</t>
  </si>
  <si>
    <t>コーポレートセグメント（M-NETS）</t>
    <phoneticPr fontId="4"/>
  </si>
  <si>
    <t>A670</t>
  </si>
  <si>
    <t>コーポレート業務室（M-NETS）</t>
    <phoneticPr fontId="4"/>
  </si>
  <si>
    <t>河内　しおり</t>
  </si>
  <si>
    <t>山田　彩友美</t>
  </si>
  <si>
    <t>志摩　安伶</t>
  </si>
  <si>
    <t>小松　亮太</t>
  </si>
  <si>
    <t>木澤　翔吾</t>
  </si>
  <si>
    <t>那須　愛華</t>
  </si>
  <si>
    <t>西山　瑛人</t>
  </si>
  <si>
    <t>志村　なつ</t>
  </si>
  <si>
    <t>西　陽弘</t>
  </si>
  <si>
    <t>谷内　更紗</t>
  </si>
  <si>
    <t>佐藤　光</t>
  </si>
  <si>
    <t>グループ内出向者（M-NETS原籍）</t>
    <phoneticPr fontId="4"/>
  </si>
  <si>
    <t>梅田　侃</t>
  </si>
  <si>
    <t>秋山　欣一郎</t>
  </si>
  <si>
    <t>大塚　直樹</t>
  </si>
  <si>
    <t>新井　孝典</t>
  </si>
  <si>
    <t>北野　淳一</t>
  </si>
  <si>
    <t>田中　美来</t>
  </si>
  <si>
    <t>松澤　力也</t>
  </si>
  <si>
    <t>松野　浩二</t>
  </si>
  <si>
    <t>鍋島　智道</t>
    <phoneticPr fontId="4"/>
  </si>
  <si>
    <t>山田　耕平</t>
  </si>
  <si>
    <t>太田　浩城</t>
  </si>
  <si>
    <t>古塩　英之</t>
  </si>
  <si>
    <t>コーポレートセグメント（i2ts）</t>
    <phoneticPr fontId="4"/>
  </si>
  <si>
    <t>A680</t>
  </si>
  <si>
    <t>コーポレート業務室（i2ts）</t>
    <phoneticPr fontId="4"/>
  </si>
  <si>
    <t>岡崎　晃大</t>
  </si>
  <si>
    <t>菊田　悟従</t>
  </si>
  <si>
    <t>竹原　英作</t>
  </si>
  <si>
    <t>長南　凪音</t>
  </si>
  <si>
    <t>原野　伶眞</t>
  </si>
  <si>
    <t>平野　達也</t>
  </si>
  <si>
    <t>グループ内出向者（i2ts原籍）</t>
    <phoneticPr fontId="4"/>
  </si>
  <si>
    <t>内田　賢</t>
  </si>
  <si>
    <t>日下部　功輝</t>
  </si>
  <si>
    <t>本間　丈彦</t>
  </si>
  <si>
    <t>製造ソリューションセグメント</t>
  </si>
  <si>
    <t>セグメントCEO</t>
    <phoneticPr fontId="4"/>
  </si>
  <si>
    <t>セグメントCTO</t>
    <phoneticPr fontId="4"/>
  </si>
  <si>
    <t>赤羽　孝彦</t>
  </si>
  <si>
    <t>B000</t>
  </si>
  <si>
    <t>製造ソリューションセグメント（MSYS）</t>
    <rPh sb="0" eb="2">
      <t>セイゾウ</t>
    </rPh>
    <phoneticPr fontId="4"/>
  </si>
  <si>
    <t>上田　史夫</t>
  </si>
  <si>
    <t>グループ内同セグメント出向者（MSYS原籍）</t>
    <rPh sb="4" eb="5">
      <t>ナイ</t>
    </rPh>
    <rPh sb="5" eb="6">
      <t>ドウ</t>
    </rPh>
    <rPh sb="11" eb="14">
      <t>シュッコウシャ</t>
    </rPh>
    <rPh sb="19" eb="21">
      <t>ゲンセキ</t>
    </rPh>
    <phoneticPr fontId="4"/>
  </si>
  <si>
    <t>池田　壮秀</t>
  </si>
  <si>
    <t>森田　剛</t>
    <phoneticPr fontId="2"/>
  </si>
  <si>
    <t>渡邉　貴生</t>
  </si>
  <si>
    <t>藤井　健太</t>
  </si>
  <si>
    <t>平野　綾夏</t>
  </si>
  <si>
    <t>濵中　大和</t>
  </si>
  <si>
    <t>B000</t>
    <phoneticPr fontId="4"/>
  </si>
  <si>
    <t>製造ソリューションセグメント（MIH）</t>
    <rPh sb="0" eb="2">
      <t>セイゾウ</t>
    </rPh>
    <phoneticPr fontId="4"/>
  </si>
  <si>
    <t>B120</t>
  </si>
  <si>
    <t>デジタルエンジニアリング事業開発室（MIH）</t>
    <rPh sb="12" eb="17">
      <t>ジギョウカイハツシツ</t>
    </rPh>
    <phoneticPr fontId="4"/>
  </si>
  <si>
    <t>森田　剛</t>
    <phoneticPr fontId="4"/>
  </si>
  <si>
    <t>池田　壮秀</t>
    <phoneticPr fontId="4"/>
  </si>
  <si>
    <t>B200</t>
  </si>
  <si>
    <t>製造ソリューション事業本部（MSYS）</t>
    <phoneticPr fontId="4"/>
  </si>
  <si>
    <t>B220</t>
  </si>
  <si>
    <t>事業本部支援室（MSYS）</t>
    <phoneticPr fontId="4"/>
  </si>
  <si>
    <t>事業本部長</t>
    <rPh sb="0" eb="5">
      <t>ジギョウホンブチョウ</t>
    </rPh>
    <phoneticPr fontId="4"/>
  </si>
  <si>
    <t>山口　寿</t>
  </si>
  <si>
    <t>伊藤　典子</t>
    <phoneticPr fontId="4"/>
  </si>
  <si>
    <t>副事業本部長</t>
    <rPh sb="0" eb="1">
      <t>フク</t>
    </rPh>
    <rPh sb="1" eb="6">
      <t>ジギョウホンブチョウ</t>
    </rPh>
    <phoneticPr fontId="4"/>
  </si>
  <si>
    <t>菊地　健一</t>
    <phoneticPr fontId="4"/>
  </si>
  <si>
    <t>高瀬　知幸</t>
    <phoneticPr fontId="4"/>
  </si>
  <si>
    <t>片岡　咲子</t>
    <phoneticPr fontId="4"/>
  </si>
  <si>
    <t>岡﨑　広祐</t>
  </si>
  <si>
    <t>渡辺　政典</t>
    <phoneticPr fontId="4"/>
  </si>
  <si>
    <t>新田　友司</t>
    <phoneticPr fontId="4"/>
  </si>
  <si>
    <t>国内出向</t>
    <rPh sb="0" eb="2">
      <t>コクナイ</t>
    </rPh>
    <rPh sb="2" eb="4">
      <t>シュッコウ</t>
    </rPh>
    <phoneticPr fontId="4"/>
  </si>
  <si>
    <t>テスコ（株）</t>
    <phoneticPr fontId="4"/>
  </si>
  <si>
    <t>B230</t>
  </si>
  <si>
    <t>計測製造ソリューション営業部（MSYS）</t>
    <phoneticPr fontId="4"/>
  </si>
  <si>
    <t>B232</t>
  </si>
  <si>
    <t>第一課（MSYS）</t>
    <phoneticPr fontId="4"/>
  </si>
  <si>
    <t>木村　篤</t>
    <phoneticPr fontId="4"/>
  </si>
  <si>
    <t>山口　矩史</t>
  </si>
  <si>
    <t>吉嵜　昌也</t>
    <phoneticPr fontId="4"/>
  </si>
  <si>
    <t>名古屋支店</t>
  </si>
  <si>
    <t>浅谷　浩康</t>
  </si>
  <si>
    <t>笠間　裕和</t>
    <phoneticPr fontId="4"/>
  </si>
  <si>
    <t>竺原　安宏</t>
  </si>
  <si>
    <t>近藤　秀行</t>
  </si>
  <si>
    <t>池田　淑豊</t>
  </si>
  <si>
    <t>唐沢　豪朗</t>
  </si>
  <si>
    <t>池見　翔</t>
  </si>
  <si>
    <t>井上　悠輝</t>
  </si>
  <si>
    <t>吉田　哲朗</t>
  </si>
  <si>
    <t>瀧　湧太朗</t>
  </si>
  <si>
    <t>村上　彩乃</t>
  </si>
  <si>
    <t>黒川　慶輝</t>
  </si>
  <si>
    <t>應矢　衣里</t>
  </si>
  <si>
    <t>B233</t>
  </si>
  <si>
    <t>第二課（MSYS）</t>
    <rPh sb="1" eb="2">
      <t>ニ</t>
    </rPh>
    <phoneticPr fontId="4"/>
  </si>
  <si>
    <t>柏　大樹</t>
  </si>
  <si>
    <t>那須　雄治郎</t>
  </si>
  <si>
    <t>百松　悠斗</t>
  </si>
  <si>
    <t>青木　裕子</t>
  </si>
  <si>
    <t>川畑　航</t>
  </si>
  <si>
    <t>上木原　裕依</t>
  </si>
  <si>
    <t>佐野　悠真</t>
  </si>
  <si>
    <t>新発田　健司</t>
  </si>
  <si>
    <t>鈴木　美結莉</t>
  </si>
  <si>
    <t>B234</t>
  </si>
  <si>
    <t>第三課（MSYS）</t>
    <rPh sb="1" eb="2">
      <t>サン</t>
    </rPh>
    <phoneticPr fontId="4"/>
  </si>
  <si>
    <t>高柳　亮</t>
  </si>
  <si>
    <t>早川　直樹</t>
  </si>
  <si>
    <t>中村　珠実</t>
  </si>
  <si>
    <t>高安　大輝</t>
  </si>
  <si>
    <t>B240</t>
  </si>
  <si>
    <t>計測ソリューション技術部（MSYS）</t>
    <phoneticPr fontId="4"/>
  </si>
  <si>
    <t>B242</t>
  </si>
  <si>
    <t>清野　光央</t>
    <phoneticPr fontId="4"/>
  </si>
  <si>
    <t>田山　裕一</t>
  </si>
  <si>
    <t>宮下　進太郎</t>
    <phoneticPr fontId="4"/>
  </si>
  <si>
    <t>山口　篤</t>
  </si>
  <si>
    <t>今井　和広</t>
  </si>
  <si>
    <t>治村　至流</t>
  </si>
  <si>
    <t>田辺　一裕</t>
  </si>
  <si>
    <t>原子　朋奈</t>
  </si>
  <si>
    <t>由利　杏奈</t>
  </si>
  <si>
    <t>角田　彩海</t>
  </si>
  <si>
    <t>B243</t>
  </si>
  <si>
    <t>三木　通崇</t>
  </si>
  <si>
    <t>堀　徹雄</t>
  </si>
  <si>
    <t>大前　猛雄</t>
  </si>
  <si>
    <t>中村　倫理</t>
  </si>
  <si>
    <t>堀　圭輝</t>
  </si>
  <si>
    <t>B244</t>
  </si>
  <si>
    <t>青木　壮太</t>
  </si>
  <si>
    <t>川崎　雄介</t>
  </si>
  <si>
    <t>岡田　薫</t>
  </si>
  <si>
    <t>武馬　優介</t>
  </si>
  <si>
    <t>竹内　晃</t>
  </si>
  <si>
    <t>トヨタ自動車（株）</t>
    <phoneticPr fontId="4"/>
  </si>
  <si>
    <t>村坂　康恒</t>
  </si>
  <si>
    <t>B245</t>
  </si>
  <si>
    <t>第四課（MSYS）</t>
    <rPh sb="1" eb="2">
      <t>ヨン</t>
    </rPh>
    <phoneticPr fontId="4"/>
  </si>
  <si>
    <t>赤木　信也</t>
  </si>
  <si>
    <t>志原　尚幸</t>
  </si>
  <si>
    <t>井上　博史</t>
  </si>
  <si>
    <t>西村　健志</t>
  </si>
  <si>
    <t>中村　礼孝</t>
  </si>
  <si>
    <t>大阪支店</t>
    <phoneticPr fontId="4"/>
  </si>
  <si>
    <t>B246</t>
  </si>
  <si>
    <t>第五課（MSYS）</t>
    <rPh sb="1" eb="2">
      <t>ゴ</t>
    </rPh>
    <phoneticPr fontId="4"/>
  </si>
  <si>
    <t>伊吹　宏之</t>
  </si>
  <si>
    <t>内藤　輝英</t>
  </si>
  <si>
    <t>林　佑二</t>
  </si>
  <si>
    <t>田中　良</t>
  </si>
  <si>
    <t>秋山　幸男</t>
  </si>
  <si>
    <t>伊藤　誠浩</t>
  </si>
  <si>
    <t>B250</t>
  </si>
  <si>
    <t>製造ソリューション技術部（MSYS）</t>
    <phoneticPr fontId="4"/>
  </si>
  <si>
    <t>B252</t>
  </si>
  <si>
    <t>野口　成幸</t>
    <phoneticPr fontId="4"/>
  </si>
  <si>
    <t>山田　春一</t>
  </si>
  <si>
    <t>柴田　竜一</t>
  </si>
  <si>
    <t>廣瀬　貴之</t>
  </si>
  <si>
    <t>大和杉　徹</t>
  </si>
  <si>
    <t>山本　正晃</t>
  </si>
  <si>
    <t>齋藤　雅美</t>
  </si>
  <si>
    <t>湯本　哲平</t>
  </si>
  <si>
    <t>吉田　聖貴</t>
  </si>
  <si>
    <t>MIH</t>
  </si>
  <si>
    <t>B253</t>
  </si>
  <si>
    <t>黒川　孝雄</t>
  </si>
  <si>
    <t>加藤　泰輔</t>
  </si>
  <si>
    <t>山内　勉</t>
  </si>
  <si>
    <t>山本　千裕</t>
  </si>
  <si>
    <t>磯村　拓未</t>
  </si>
  <si>
    <t>B260</t>
  </si>
  <si>
    <t>デジタルマニュファクチャリング営業部（MSYS）</t>
    <phoneticPr fontId="4"/>
  </si>
  <si>
    <t>B262</t>
  </si>
  <si>
    <t>営業課（MSYS）</t>
    <phoneticPr fontId="4"/>
  </si>
  <si>
    <t>佐藤　友基</t>
    <phoneticPr fontId="4"/>
  </si>
  <si>
    <t>宮津　泰将</t>
  </si>
  <si>
    <t>副部長</t>
  </si>
  <si>
    <t>遠藤　直己</t>
  </si>
  <si>
    <t>梅本　光男</t>
  </si>
  <si>
    <t>吉田　武史</t>
  </si>
  <si>
    <t>河本　慎平</t>
  </si>
  <si>
    <t>前田　寛泰</t>
  </si>
  <si>
    <t>片岡　一博</t>
  </si>
  <si>
    <t>B263</t>
  </si>
  <si>
    <t>カスタマーリレーション推進課（MSYS）</t>
    <phoneticPr fontId="4"/>
  </si>
  <si>
    <t>緒方　英胤</t>
  </si>
  <si>
    <t>池田　雄一</t>
  </si>
  <si>
    <t>内藤　一</t>
  </si>
  <si>
    <t>B270</t>
  </si>
  <si>
    <t>デジタルマニュファクチャリング技術部（MSYS）</t>
    <phoneticPr fontId="4"/>
  </si>
  <si>
    <t>武田　知也</t>
  </si>
  <si>
    <t>B272</t>
  </si>
  <si>
    <t>黒崎　隆介</t>
  </si>
  <si>
    <t>前川　真樹</t>
  </si>
  <si>
    <t>吉田　健一</t>
  </si>
  <si>
    <t>佐野　久</t>
  </si>
  <si>
    <t>中村　祐太</t>
  </si>
  <si>
    <t>五代　順司</t>
  </si>
  <si>
    <t>B273</t>
  </si>
  <si>
    <t>片山　眞</t>
  </si>
  <si>
    <t>甲斐　康明</t>
  </si>
  <si>
    <t>高畑　誠</t>
  </si>
  <si>
    <t>B274</t>
  </si>
  <si>
    <t>サービス推進課（MSYS）</t>
    <phoneticPr fontId="4"/>
  </si>
  <si>
    <t>小山　丈博</t>
  </si>
  <si>
    <t>袁　承力</t>
  </si>
  <si>
    <t>西田　真人</t>
  </si>
  <si>
    <t>新田　賢司</t>
  </si>
  <si>
    <t>B280</t>
  </si>
  <si>
    <t>製造ソフトウェアセキュリティ室（MSYS）</t>
    <phoneticPr fontId="4"/>
  </si>
  <si>
    <t>室長</t>
    <rPh sb="0" eb="2">
      <t>シツチョウ</t>
    </rPh>
    <phoneticPr fontId="2"/>
  </si>
  <si>
    <t>工藤　康児</t>
    <rPh sb="0" eb="2">
      <t>クドウ</t>
    </rPh>
    <rPh sb="3" eb="4">
      <t>ヤスシ</t>
    </rPh>
    <rPh sb="4" eb="5">
      <t>ジ</t>
    </rPh>
    <phoneticPr fontId="2"/>
  </si>
  <si>
    <t>副室長</t>
    <rPh sb="0" eb="1">
      <t>フク</t>
    </rPh>
    <rPh sb="1" eb="3">
      <t>シツチョウ</t>
    </rPh>
    <phoneticPr fontId="2"/>
  </si>
  <si>
    <t>村井　充</t>
  </si>
  <si>
    <t>半田　信裕</t>
  </si>
  <si>
    <t>石井　純子</t>
  </si>
  <si>
    <t>谷　義隆</t>
  </si>
  <si>
    <t>伊藤　嘉英</t>
  </si>
  <si>
    <t>加藤　剛宏</t>
  </si>
  <si>
    <t>B290</t>
  </si>
  <si>
    <t>デジタルエンジニアリング事業開発室（MSYS）</t>
    <rPh sb="12" eb="17">
      <t>ジギョウカイハツシツ</t>
    </rPh>
    <phoneticPr fontId="4"/>
  </si>
  <si>
    <t>流通・産業ソリューションセグメント</t>
    <phoneticPr fontId="4"/>
  </si>
  <si>
    <t>C000</t>
  </si>
  <si>
    <t>流通・産業ソリューションセグメント（MISOL）</t>
    <phoneticPr fontId="4"/>
  </si>
  <si>
    <t>C000</t>
    <phoneticPr fontId="4"/>
  </si>
  <si>
    <t>流通・産業ソリューションセグメント（MSYS）</t>
    <phoneticPr fontId="4"/>
  </si>
  <si>
    <t>白井　勇</t>
    <rPh sb="0" eb="2">
      <t>シライ</t>
    </rPh>
    <rPh sb="3" eb="4">
      <t>イサム</t>
    </rPh>
    <phoneticPr fontId="4"/>
  </si>
  <si>
    <t>油井　準人</t>
  </si>
  <si>
    <t>須田　武宏</t>
  </si>
  <si>
    <t>大内　健太郎</t>
    <rPh sb="0" eb="2">
      <t>オオウチ</t>
    </rPh>
    <rPh sb="3" eb="6">
      <t>ケンタロウ</t>
    </rPh>
    <phoneticPr fontId="9"/>
  </si>
  <si>
    <t>C300</t>
    <phoneticPr fontId="4"/>
  </si>
  <si>
    <t>システムインテグレーション事業本部（MISOL）</t>
    <phoneticPr fontId="4"/>
  </si>
  <si>
    <t>C320</t>
  </si>
  <si>
    <t>営業部（MISOL）</t>
    <phoneticPr fontId="4"/>
  </si>
  <si>
    <t>C322</t>
  </si>
  <si>
    <t>営業課（MISOL）</t>
    <phoneticPr fontId="4"/>
  </si>
  <si>
    <t>砂田　未生</t>
    <phoneticPr fontId="4"/>
  </si>
  <si>
    <t>事業本部長付担当部長</t>
    <rPh sb="0" eb="2">
      <t>ジギョウ</t>
    </rPh>
    <rPh sb="2" eb="4">
      <t>ホンブ</t>
    </rPh>
    <rPh sb="4" eb="5">
      <t>チョウ</t>
    </rPh>
    <rPh sb="5" eb="6">
      <t>ツキ</t>
    </rPh>
    <rPh sb="6" eb="8">
      <t>タントウ</t>
    </rPh>
    <rPh sb="8" eb="10">
      <t>ブチョウ</t>
    </rPh>
    <phoneticPr fontId="4"/>
  </si>
  <si>
    <t>寺井　寛</t>
    <phoneticPr fontId="4"/>
  </si>
  <si>
    <t>井上　幸子</t>
  </si>
  <si>
    <t>C323</t>
  </si>
  <si>
    <t>プリセールス課（MISOL）</t>
    <phoneticPr fontId="4"/>
  </si>
  <si>
    <t>白川　翔</t>
  </si>
  <si>
    <t>丸紅</t>
  </si>
  <si>
    <t>岡安　太</t>
  </si>
  <si>
    <t>C330</t>
  </si>
  <si>
    <t>クラウドERP事業部（MISOL）</t>
  </si>
  <si>
    <t>C332</t>
  </si>
  <si>
    <t>SAPクラウド推進課（MISOL）</t>
  </si>
  <si>
    <t>鷲田　哲</t>
    <phoneticPr fontId="4"/>
  </si>
  <si>
    <t>矢部　英史</t>
  </si>
  <si>
    <t>亀山　幸雄</t>
  </si>
  <si>
    <t>小関　萌美</t>
  </si>
  <si>
    <t>松本　彩里</t>
  </si>
  <si>
    <t>田中　達也</t>
  </si>
  <si>
    <t>松原　正則</t>
  </si>
  <si>
    <t>児玉　俊輔</t>
  </si>
  <si>
    <t>引間　彩華</t>
  </si>
  <si>
    <t>C340</t>
  </si>
  <si>
    <t>開発事業部（MISOL）</t>
    <phoneticPr fontId="4"/>
  </si>
  <si>
    <t>C342</t>
  </si>
  <si>
    <t>システムインテグレーション課（MISOL）</t>
    <phoneticPr fontId="4"/>
  </si>
  <si>
    <t>須田　武宏</t>
    <phoneticPr fontId="4"/>
  </si>
  <si>
    <t>上山　翔</t>
  </si>
  <si>
    <t>宇山　健一</t>
  </si>
  <si>
    <t>菅澤　真実</t>
    <phoneticPr fontId="4"/>
  </si>
  <si>
    <t>宮本　浩男</t>
  </si>
  <si>
    <t>松原　ななみ</t>
  </si>
  <si>
    <t>渡部　勇樹</t>
  </si>
  <si>
    <t>守野　芳郎</t>
  </si>
  <si>
    <t>岩佐　拓斗</t>
  </si>
  <si>
    <t>佐藤　拓哉</t>
  </si>
  <si>
    <t>三宅　光</t>
  </si>
  <si>
    <t>C350</t>
  </si>
  <si>
    <t>鉄鋼システム事業部（MISOL）</t>
  </si>
  <si>
    <t>C352</t>
  </si>
  <si>
    <t>MISI課（MISOL）</t>
    <phoneticPr fontId="4"/>
  </si>
  <si>
    <t>袴田　治伸</t>
    <phoneticPr fontId="4"/>
  </si>
  <si>
    <t>森山　正教</t>
  </si>
  <si>
    <t>青木　重人</t>
  </si>
  <si>
    <t>石村　大海</t>
  </si>
  <si>
    <t>小林　隆夫</t>
  </si>
  <si>
    <t>伊藤忠丸紅鉄鋼（株）</t>
    <rPh sb="0" eb="7">
      <t>イトウチュウマルベニテッコウ</t>
    </rPh>
    <phoneticPr fontId="4"/>
  </si>
  <si>
    <t>堤　仁志</t>
  </si>
  <si>
    <t>新名谷　夏希</t>
  </si>
  <si>
    <t>星出　雄太</t>
  </si>
  <si>
    <t>渡辺　悠太郎</t>
    <rPh sb="0" eb="2">
      <t>ワタナベ</t>
    </rPh>
    <rPh sb="3" eb="6">
      <t>ユウタロウ</t>
    </rPh>
    <phoneticPr fontId="10"/>
  </si>
  <si>
    <t>C360</t>
  </si>
  <si>
    <t>丸紅基幹システム事業部（MISOL）</t>
    <phoneticPr fontId="4"/>
  </si>
  <si>
    <t>C362</t>
  </si>
  <si>
    <t>GRANDIT推進課（MISOL）</t>
    <phoneticPr fontId="4"/>
  </si>
  <si>
    <t>長野　優一郎</t>
    <phoneticPr fontId="4"/>
  </si>
  <si>
    <t>堀田　寿雄</t>
  </si>
  <si>
    <t>堀田　寿雄</t>
    <phoneticPr fontId="4"/>
  </si>
  <si>
    <t>佐藤　周作</t>
  </si>
  <si>
    <t>今西　拓麻</t>
    <phoneticPr fontId="4"/>
  </si>
  <si>
    <t>小幡　史郎</t>
  </si>
  <si>
    <t>吉田　善彦</t>
    <phoneticPr fontId="4"/>
  </si>
  <si>
    <t>杉崎　拓郎</t>
  </si>
  <si>
    <t>伊藤　昭</t>
    <rPh sb="0" eb="2">
      <t>イトウ</t>
    </rPh>
    <rPh sb="3" eb="4">
      <t>アキラ</t>
    </rPh>
    <phoneticPr fontId="4"/>
  </si>
  <si>
    <t>田中　裕</t>
  </si>
  <si>
    <t>藤本　和也</t>
  </si>
  <si>
    <t>谷原　和夫</t>
  </si>
  <si>
    <t>小松　慎介</t>
    <rPh sb="0" eb="2">
      <t>コマツ</t>
    </rPh>
    <rPh sb="3" eb="5">
      <t>シンスケ</t>
    </rPh>
    <phoneticPr fontId="10"/>
  </si>
  <si>
    <t>照沼　雅俊</t>
  </si>
  <si>
    <t>平野　広陽</t>
  </si>
  <si>
    <t>石川　莉彩</t>
  </si>
  <si>
    <t>斎藤　千紘</t>
  </si>
  <si>
    <t>滝田　昂生</t>
  </si>
  <si>
    <t>鈴木　仁</t>
  </si>
  <si>
    <t>江口　浩二</t>
  </si>
  <si>
    <t>高畠　広行</t>
  </si>
  <si>
    <t>松下　和貴</t>
    <rPh sb="0" eb="2">
      <t>マツシタ</t>
    </rPh>
    <rPh sb="3" eb="5">
      <t>カズタカ</t>
    </rPh>
    <phoneticPr fontId="10"/>
  </si>
  <si>
    <t>本社</t>
    <rPh sb="0" eb="2">
      <t>ホンシャ</t>
    </rPh>
    <phoneticPr fontId="10"/>
  </si>
  <si>
    <t>C363</t>
  </si>
  <si>
    <t>海外新基幹システム課（MISOL）</t>
    <phoneticPr fontId="4"/>
  </si>
  <si>
    <t>長山　智哉</t>
  </si>
  <si>
    <t>日下部　潤士</t>
  </si>
  <si>
    <t>末田　義裕</t>
  </si>
  <si>
    <t>三浦　貴志</t>
  </si>
  <si>
    <t>清水　葉月</t>
  </si>
  <si>
    <t>須藤　由佳</t>
  </si>
  <si>
    <t>大野　樹里</t>
    <rPh sb="0" eb="2">
      <t>オオノ</t>
    </rPh>
    <rPh sb="3" eb="5">
      <t>ジュリ</t>
    </rPh>
    <phoneticPr fontId="10"/>
  </si>
  <si>
    <t>山重　鷹彬</t>
  </si>
  <si>
    <t>Wina　Wijaya</t>
    <phoneticPr fontId="4"/>
  </si>
  <si>
    <t>［丸紅アセアン］</t>
    <phoneticPr fontId="4"/>
  </si>
  <si>
    <t>スズキロウ　力　トーマス</t>
    <phoneticPr fontId="4"/>
  </si>
  <si>
    <t>水谷　勇輝</t>
  </si>
  <si>
    <t>岩澤　耶和子</t>
  </si>
  <si>
    <t>三枝　翔</t>
  </si>
  <si>
    <t>C364</t>
  </si>
  <si>
    <t>基幹システム課（MISOL）</t>
    <phoneticPr fontId="4"/>
  </si>
  <si>
    <t>青木　哲也</t>
    <rPh sb="0" eb="2">
      <t>アオキ</t>
    </rPh>
    <rPh sb="3" eb="5">
      <t>テツヤ</t>
    </rPh>
    <phoneticPr fontId="10"/>
  </si>
  <si>
    <t>十時　広明</t>
  </si>
  <si>
    <t>大河原　健矢</t>
  </si>
  <si>
    <t>新井　晋彦</t>
  </si>
  <si>
    <t>宇山　結衣</t>
  </si>
  <si>
    <t>望月　千尋</t>
    <rPh sb="0" eb="2">
      <t>モチヅキ</t>
    </rPh>
    <rPh sb="3" eb="5">
      <t>チヒロ</t>
    </rPh>
    <phoneticPr fontId="10"/>
  </si>
  <si>
    <t>岡田　志穂</t>
  </si>
  <si>
    <t>小松崎　玲那</t>
  </si>
  <si>
    <t>冨田　麻衣</t>
  </si>
  <si>
    <t>渡辺　悠太</t>
  </si>
  <si>
    <t>C365</t>
  </si>
  <si>
    <t>丸紅営業課（MISOL）</t>
    <phoneticPr fontId="4"/>
  </si>
  <si>
    <t>西川　洋一</t>
  </si>
  <si>
    <t>安田　龍一</t>
  </si>
  <si>
    <t>山野　健</t>
  </si>
  <si>
    <t>宮田　直武</t>
  </si>
  <si>
    <t>菊地　勝之</t>
  </si>
  <si>
    <t>小豆澤　実花</t>
  </si>
  <si>
    <t>五十嵐　陸</t>
  </si>
  <si>
    <t>C370</t>
  </si>
  <si>
    <t>コーポレートシステム事業部（MISOL）</t>
    <phoneticPr fontId="4"/>
  </si>
  <si>
    <t>C372</t>
  </si>
  <si>
    <t>コーポレートシステム第一課（MISOL）</t>
    <rPh sb="10" eb="11">
      <t>ダイ</t>
    </rPh>
    <phoneticPr fontId="4"/>
  </si>
  <si>
    <t>篠田　恵美子</t>
    <phoneticPr fontId="4"/>
  </si>
  <si>
    <t>初谷　和信</t>
  </si>
  <si>
    <t>若林　大介</t>
    <phoneticPr fontId="4"/>
  </si>
  <si>
    <t>小池　重雄</t>
  </si>
  <si>
    <t>水岡　豊</t>
    <phoneticPr fontId="4"/>
  </si>
  <si>
    <t>松野　沙織</t>
  </si>
  <si>
    <t>釜本　龍祐</t>
    <rPh sb="0" eb="2">
      <t>カマモト</t>
    </rPh>
    <phoneticPr fontId="10"/>
  </si>
  <si>
    <t>市河　哲</t>
  </si>
  <si>
    <t>押田　治</t>
  </si>
  <si>
    <t>梶田　秀明</t>
  </si>
  <si>
    <t>錦見　友梨菜</t>
  </si>
  <si>
    <t>平硲　千晴</t>
  </si>
  <si>
    <t>C373</t>
  </si>
  <si>
    <t>コーポレートシステム第二課（MISOL）</t>
    <rPh sb="10" eb="11">
      <t>ダイ</t>
    </rPh>
    <phoneticPr fontId="4"/>
  </si>
  <si>
    <t>若林　大介</t>
  </si>
  <si>
    <t>石井　克治</t>
    <phoneticPr fontId="4"/>
  </si>
  <si>
    <t>大久保　智章</t>
  </si>
  <si>
    <t>石川　美徳</t>
  </si>
  <si>
    <t>川田　将太</t>
  </si>
  <si>
    <t>水木　秀貴</t>
  </si>
  <si>
    <t>森田　昭紀</t>
  </si>
  <si>
    <t>上野　麻衣</t>
  </si>
  <si>
    <t>渋谷　悠人</t>
  </si>
  <si>
    <t>森田　理架</t>
  </si>
  <si>
    <t>C374</t>
  </si>
  <si>
    <t>データ活用推進課（MISOL）</t>
    <phoneticPr fontId="4"/>
  </si>
  <si>
    <t>長谷川　雅紀</t>
    <phoneticPr fontId="4"/>
  </si>
  <si>
    <t>松元　勇作</t>
  </si>
  <si>
    <t>谷畑　輝幸</t>
  </si>
  <si>
    <t>山本　千花</t>
  </si>
  <si>
    <t>山本　翠</t>
  </si>
  <si>
    <t>萩野　水麗</t>
  </si>
  <si>
    <t>川村　健輔</t>
  </si>
  <si>
    <t>岩堀　慶</t>
  </si>
  <si>
    <t>C380</t>
  </si>
  <si>
    <t>システムエージェント部（MISOL）</t>
    <phoneticPr fontId="4"/>
  </si>
  <si>
    <t>C382</t>
  </si>
  <si>
    <t>インキュベーション第一課（MISOL）</t>
    <rPh sb="9" eb="10">
      <t>ダイ</t>
    </rPh>
    <phoneticPr fontId="4"/>
  </si>
  <si>
    <t>福山　道博</t>
    <phoneticPr fontId="4"/>
  </si>
  <si>
    <t>髙島　雅人</t>
  </si>
  <si>
    <t>岩本　裕司</t>
    <phoneticPr fontId="4"/>
  </si>
  <si>
    <t>安部　雅善</t>
  </si>
  <si>
    <t>吉岡　朝文</t>
  </si>
  <si>
    <t>池田　卓司</t>
  </si>
  <si>
    <t>橋本　幸二</t>
  </si>
  <si>
    <t>松田　泰隆</t>
  </si>
  <si>
    <t>奈良田　英男</t>
    <rPh sb="0" eb="3">
      <t>ナラダ</t>
    </rPh>
    <rPh sb="4" eb="6">
      <t>ヒデオ</t>
    </rPh>
    <phoneticPr fontId="10"/>
  </si>
  <si>
    <t>澤田　康</t>
  </si>
  <si>
    <t>C383</t>
  </si>
  <si>
    <t>インキュベーション第二課（MISOL）</t>
    <rPh sb="9" eb="10">
      <t>ダイ</t>
    </rPh>
    <phoneticPr fontId="4"/>
  </si>
  <si>
    <t>鈴木　克彦</t>
  </si>
  <si>
    <t>井田　泰介</t>
  </si>
  <si>
    <t>大畑　多佳子</t>
  </si>
  <si>
    <t>小林　勝義</t>
  </si>
  <si>
    <t>C384</t>
  </si>
  <si>
    <t>インキュベーション第三課（MISOL）</t>
    <rPh sb="9" eb="10">
      <t>ダイ</t>
    </rPh>
    <rPh sb="10" eb="11">
      <t>サン</t>
    </rPh>
    <phoneticPr fontId="4"/>
  </si>
  <si>
    <t>谷口　洋二</t>
  </si>
  <si>
    <t>稲田　俊之</t>
  </si>
  <si>
    <t>岩本　裕司</t>
  </si>
  <si>
    <t>岡嶋　大介</t>
  </si>
  <si>
    <t>椎葉　潤一</t>
  </si>
  <si>
    <t>本間　拓也</t>
  </si>
  <si>
    <t>右田　夏子</t>
  </si>
  <si>
    <t>丸紅</t>
    <phoneticPr fontId="4"/>
  </si>
  <si>
    <t>安村　元孝</t>
  </si>
  <si>
    <t>加藤　洋樹</t>
  </si>
  <si>
    <t>田邊　友香</t>
  </si>
  <si>
    <t>冨田　雅晶</t>
  </si>
  <si>
    <t>飯田　麻衣子</t>
  </si>
  <si>
    <t>檜山　直樹</t>
  </si>
  <si>
    <t>C300</t>
  </si>
  <si>
    <t>システムインテグレーション事業本部（MSYS）</t>
  </si>
  <si>
    <t>営業部（MSYS）</t>
  </si>
  <si>
    <t>C325</t>
  </si>
  <si>
    <t>営業課（MSYS）</t>
  </si>
  <si>
    <t>C200</t>
  </si>
  <si>
    <t>エンタープライズソリューション事業本部（MSYS）</t>
    <phoneticPr fontId="4"/>
  </si>
  <si>
    <t>C220</t>
  </si>
  <si>
    <t>営業第一部（MSYS）</t>
    <rPh sb="2" eb="4">
      <t>ダイイチ</t>
    </rPh>
    <phoneticPr fontId="4"/>
  </si>
  <si>
    <t>C222</t>
  </si>
  <si>
    <t>営業第一課（MSYS）</t>
    <rPh sb="2" eb="3">
      <t>ダイ</t>
    </rPh>
    <phoneticPr fontId="4"/>
  </si>
  <si>
    <t>岩井　裕明</t>
    <phoneticPr fontId="4"/>
  </si>
  <si>
    <t>北川　雄三</t>
    <phoneticPr fontId="4"/>
  </si>
  <si>
    <t>北風　杏奈</t>
  </si>
  <si>
    <t>木村　珠季</t>
  </si>
  <si>
    <t>川尻　歩唯</t>
  </si>
  <si>
    <t>C223</t>
  </si>
  <si>
    <t>営業第二課（MSYS）</t>
    <phoneticPr fontId="4"/>
  </si>
  <si>
    <t>前川　友岳</t>
  </si>
  <si>
    <t>渡辺　智哉</t>
  </si>
  <si>
    <t>小林　陸冬</t>
  </si>
  <si>
    <t>C224</t>
  </si>
  <si>
    <t>営業第三課（MSYS）</t>
    <phoneticPr fontId="4"/>
  </si>
  <si>
    <t>千葉　駿一</t>
  </si>
  <si>
    <t>大當　秀憲</t>
  </si>
  <si>
    <t>宮﨑　あかり</t>
  </si>
  <si>
    <t>平松　優希</t>
  </si>
  <si>
    <t>森埜　陸斗</t>
  </si>
  <si>
    <t>C225</t>
  </si>
  <si>
    <t>クラウド推進課（MSYS）</t>
    <phoneticPr fontId="4"/>
  </si>
  <si>
    <t>梅村　光雄</t>
  </si>
  <si>
    <t>樋村　栄大</t>
  </si>
  <si>
    <t>磯井　洋輔</t>
  </si>
  <si>
    <t>植松　ありさ</t>
  </si>
  <si>
    <t>大橋　礼菜</t>
  </si>
  <si>
    <t>土田　桃子</t>
  </si>
  <si>
    <t>岡本　隼</t>
  </si>
  <si>
    <t>佐藤　公平</t>
  </si>
  <si>
    <t>若林　孝典</t>
  </si>
  <si>
    <t>C230</t>
  </si>
  <si>
    <t>サービス企画室（MSYS）</t>
    <rPh sb="6" eb="7">
      <t>シツ</t>
    </rPh>
    <phoneticPr fontId="4"/>
  </si>
  <si>
    <t>樋口　健一郎</t>
    <phoneticPr fontId="4"/>
  </si>
  <si>
    <t>加藤　雅紀</t>
    <rPh sb="0" eb="2">
      <t>カトウ</t>
    </rPh>
    <rPh sb="3" eb="5">
      <t>マサキ</t>
    </rPh>
    <phoneticPr fontId="4"/>
  </si>
  <si>
    <t>C240</t>
  </si>
  <si>
    <t>技術第一部（MSYS）</t>
    <rPh sb="0" eb="2">
      <t>ギジュツ</t>
    </rPh>
    <rPh sb="2" eb="4">
      <t>ダイイチ</t>
    </rPh>
    <rPh sb="4" eb="5">
      <t>ブ</t>
    </rPh>
    <phoneticPr fontId="4"/>
  </si>
  <si>
    <t>C242</t>
  </si>
  <si>
    <t>技術第一課（MSYS）</t>
    <phoneticPr fontId="4"/>
  </si>
  <si>
    <t>御手洗　大典</t>
    <phoneticPr fontId="4"/>
  </si>
  <si>
    <t>西林　孝浩</t>
  </si>
  <si>
    <t>若林　孝典</t>
    <phoneticPr fontId="4"/>
  </si>
  <si>
    <t>谷本　太朗</t>
  </si>
  <si>
    <t>長田　昇</t>
  </si>
  <si>
    <t>岩橋　将史</t>
  </si>
  <si>
    <t>瀬川　賢一</t>
  </si>
  <si>
    <t>松澤　太</t>
    <rPh sb="0" eb="2">
      <t>マツザワ</t>
    </rPh>
    <rPh sb="3" eb="4">
      <t>フト</t>
    </rPh>
    <phoneticPr fontId="6"/>
  </si>
  <si>
    <t>小林　大蔵</t>
  </si>
  <si>
    <t>春原　卓也</t>
    <rPh sb="0" eb="2">
      <t>ハルバラ</t>
    </rPh>
    <rPh sb="3" eb="5">
      <t>タクヤ</t>
    </rPh>
    <phoneticPr fontId="1"/>
  </si>
  <si>
    <t>寺本　遥南</t>
  </si>
  <si>
    <t>村上　壮汰</t>
  </si>
  <si>
    <t>森山　友貴</t>
  </si>
  <si>
    <t>荻野　庄吾</t>
  </si>
  <si>
    <t>C243</t>
  </si>
  <si>
    <t>技術第二課（MSYS）</t>
    <rPh sb="3" eb="4">
      <t>ニ</t>
    </rPh>
    <phoneticPr fontId="4"/>
  </si>
  <si>
    <t>水野　草太</t>
  </si>
  <si>
    <t>廣野　祐之</t>
  </si>
  <si>
    <t>三井住友カード（株）</t>
    <rPh sb="0" eb="4">
      <t>ミツイスミトモ</t>
    </rPh>
    <phoneticPr fontId="6"/>
  </si>
  <si>
    <t>福田　憲人</t>
  </si>
  <si>
    <t>高橋　雄太</t>
  </si>
  <si>
    <t>SMBCコンシューマーファイナンス（株）</t>
    <rPh sb="18" eb="19">
      <t>カブ</t>
    </rPh>
    <phoneticPr fontId="11"/>
  </si>
  <si>
    <t>中井　敏幸</t>
    <rPh sb="0" eb="2">
      <t>ナカイ</t>
    </rPh>
    <rPh sb="3" eb="5">
      <t>トシユキ</t>
    </rPh>
    <phoneticPr fontId="4"/>
  </si>
  <si>
    <t>橋本　玄太</t>
  </si>
  <si>
    <t>勝美　好博</t>
  </si>
  <si>
    <t>室井　敏延</t>
  </si>
  <si>
    <t>小黒　篤大</t>
    <rPh sb="0" eb="2">
      <t>オグロ</t>
    </rPh>
    <rPh sb="3" eb="4">
      <t>アツシ</t>
    </rPh>
    <rPh sb="4" eb="5">
      <t>ダイ</t>
    </rPh>
    <phoneticPr fontId="4"/>
  </si>
  <si>
    <t>森　耀平</t>
  </si>
  <si>
    <t>橋本　和士</t>
  </si>
  <si>
    <t>岡田　葵</t>
  </si>
  <si>
    <t>C244</t>
  </si>
  <si>
    <t>技術第三課（MSYS）</t>
    <rPh sb="3" eb="4">
      <t>サン</t>
    </rPh>
    <phoneticPr fontId="4"/>
  </si>
  <si>
    <t>師田　克彦</t>
  </si>
  <si>
    <t>野田　雄資</t>
  </si>
  <si>
    <t>佐々木　哲也</t>
  </si>
  <si>
    <t>C245</t>
  </si>
  <si>
    <t>技術第四課（MSYS）</t>
    <rPh sb="3" eb="4">
      <t>ヨン</t>
    </rPh>
    <phoneticPr fontId="4"/>
  </si>
  <si>
    <t>田島　桂</t>
  </si>
  <si>
    <t>山中　隆史</t>
  </si>
  <si>
    <t>田中　慶紀</t>
    <rPh sb="0" eb="2">
      <t>タナカ</t>
    </rPh>
    <rPh sb="3" eb="4">
      <t>ケイ</t>
    </rPh>
    <rPh sb="4" eb="5">
      <t>キ</t>
    </rPh>
    <phoneticPr fontId="1"/>
  </si>
  <si>
    <t>福田　栞菜</t>
  </si>
  <si>
    <t>宮浦　幹太</t>
  </si>
  <si>
    <t>C246</t>
  </si>
  <si>
    <t>運営推進課（MSYS）</t>
    <phoneticPr fontId="4"/>
  </si>
  <si>
    <t>新美　康晴</t>
  </si>
  <si>
    <t>秋山　和士</t>
  </si>
  <si>
    <t>池之上　隆信</t>
  </si>
  <si>
    <t>C250</t>
  </si>
  <si>
    <t>営業第二部（MSYS）</t>
    <rPh sb="2" eb="4">
      <t>ダイニ</t>
    </rPh>
    <rPh sb="4" eb="5">
      <t>ブ</t>
    </rPh>
    <phoneticPr fontId="4"/>
  </si>
  <si>
    <t>C252</t>
  </si>
  <si>
    <t>郷津　智樹</t>
    <phoneticPr fontId="4"/>
  </si>
  <si>
    <t>鈴木　翔</t>
  </si>
  <si>
    <t>笠井　英樹</t>
  </si>
  <si>
    <t>寺田　秀和</t>
  </si>
  <si>
    <t>横井　稜正</t>
    <rPh sb="0" eb="2">
      <t>ヨコイ</t>
    </rPh>
    <rPh sb="3" eb="4">
      <t>リョウ</t>
    </rPh>
    <rPh sb="4" eb="5">
      <t>マサ</t>
    </rPh>
    <phoneticPr fontId="1"/>
  </si>
  <si>
    <t>菅原　美桜</t>
  </si>
  <si>
    <t>C260</t>
  </si>
  <si>
    <t>C262</t>
  </si>
  <si>
    <t>小林　匡</t>
  </si>
  <si>
    <t>杉山　仁一</t>
  </si>
  <si>
    <t>南波　伸嘉</t>
  </si>
  <si>
    <t>溝口　茉奈</t>
  </si>
  <si>
    <t>福士　竜大</t>
  </si>
  <si>
    <t>中山　愛唯</t>
  </si>
  <si>
    <t>吉本　由紀枝</t>
  </si>
  <si>
    <t>杉山　幸輝</t>
  </si>
  <si>
    <t>井之上　千春</t>
  </si>
  <si>
    <t>C263</t>
  </si>
  <si>
    <t>虻川　奈緒</t>
  </si>
  <si>
    <t>高木　雄矢</t>
  </si>
  <si>
    <t>飯野　道博</t>
  </si>
  <si>
    <t>デジタルソリューションセグメント</t>
    <phoneticPr fontId="4"/>
  </si>
  <si>
    <t>セグメントCEO補佐</t>
    <rPh sb="8" eb="10">
      <t>ホサ</t>
    </rPh>
    <phoneticPr fontId="4"/>
  </si>
  <si>
    <t>木村　直喜</t>
  </si>
  <si>
    <t>曽我　大輔</t>
  </si>
  <si>
    <t>D000</t>
  </si>
  <si>
    <t>デジタルソリューションセグメント（MSYS）</t>
    <phoneticPr fontId="4"/>
  </si>
  <si>
    <t>セグメントCEO</t>
  </si>
  <si>
    <t>岩佐　大樹</t>
  </si>
  <si>
    <t>藤田　徳宏</t>
  </si>
  <si>
    <t>張　馨予</t>
  </si>
  <si>
    <t>平地　慶太</t>
    <rPh sb="0" eb="2">
      <t>ヘイチ</t>
    </rPh>
    <phoneticPr fontId="7"/>
  </si>
  <si>
    <t>i2ts</t>
    <phoneticPr fontId="6"/>
  </si>
  <si>
    <t>デジタルソリューションセグメント（MISOL）</t>
    <phoneticPr fontId="4"/>
  </si>
  <si>
    <t>グループ内同セグメント出向者（MISOL原籍）</t>
    <rPh sb="4" eb="5">
      <t>ナイ</t>
    </rPh>
    <rPh sb="5" eb="6">
      <t>ドウ</t>
    </rPh>
    <rPh sb="11" eb="14">
      <t>シュッコウシャ</t>
    </rPh>
    <rPh sb="20" eb="22">
      <t>ゲンセキ</t>
    </rPh>
    <phoneticPr fontId="4"/>
  </si>
  <si>
    <t>高城　崇之</t>
    <rPh sb="0" eb="2">
      <t>タカギ</t>
    </rPh>
    <phoneticPr fontId="7"/>
  </si>
  <si>
    <t>山口　智</t>
  </si>
  <si>
    <t>吉本　健一</t>
    <rPh sb="4" eb="5">
      <t>イチ</t>
    </rPh>
    <phoneticPr fontId="4"/>
  </si>
  <si>
    <t>山下　輝志</t>
  </si>
  <si>
    <t>川田　歩</t>
  </si>
  <si>
    <t>高久　隆</t>
  </si>
  <si>
    <t>丸伊　希</t>
  </si>
  <si>
    <t>井上　泰治</t>
  </si>
  <si>
    <t>星野　渉</t>
  </si>
  <si>
    <t>吉正　尚人</t>
  </si>
  <si>
    <t>秩父　彩香</t>
  </si>
  <si>
    <t>岩永　奈津子</t>
  </si>
  <si>
    <t>山﨑　航太</t>
  </si>
  <si>
    <t>中島　龍大</t>
  </si>
  <si>
    <t>麻田　瑞貴</t>
  </si>
  <si>
    <t>鈴木　健斗</t>
  </si>
  <si>
    <t>松村　里音</t>
  </si>
  <si>
    <t>川畑　一</t>
  </si>
  <si>
    <t>柳川　俊平</t>
    <phoneticPr fontId="4"/>
  </si>
  <si>
    <t>海外出向</t>
    <rPh sb="0" eb="2">
      <t>カイガイ</t>
    </rPh>
    <phoneticPr fontId="4"/>
  </si>
  <si>
    <t>デジタルソリューションセグメント（i2ts）</t>
    <phoneticPr fontId="4"/>
  </si>
  <si>
    <t>グループ内同セグメント出向者（i2ts原籍）</t>
    <rPh sb="4" eb="5">
      <t>ナイ</t>
    </rPh>
    <rPh sb="5" eb="6">
      <t>ドウ</t>
    </rPh>
    <rPh sb="11" eb="14">
      <t>シュッコウシャ</t>
    </rPh>
    <rPh sb="19" eb="21">
      <t>ゲンセキ</t>
    </rPh>
    <phoneticPr fontId="4"/>
  </si>
  <si>
    <t>加藤　暁彦</t>
  </si>
  <si>
    <t>平田　渡</t>
    <rPh sb="0" eb="2">
      <t>ヒラタ</t>
    </rPh>
    <phoneticPr fontId="7"/>
  </si>
  <si>
    <t>馬場　喜史</t>
  </si>
  <si>
    <t>小室　香</t>
  </si>
  <si>
    <t>石黒　ひとみ</t>
  </si>
  <si>
    <t>羽田　健一</t>
  </si>
  <si>
    <t>川上　あゆみ</t>
  </si>
  <si>
    <t>D200</t>
  </si>
  <si>
    <t>CXディレクション事業本部（MISOL）</t>
    <phoneticPr fontId="4"/>
  </si>
  <si>
    <t>D220</t>
  </si>
  <si>
    <t>Box事業部（MISOL）</t>
  </si>
  <si>
    <t>D222</t>
  </si>
  <si>
    <t>ソリューション第一課（MISOL）</t>
    <rPh sb="7" eb="8">
      <t>ダイ</t>
    </rPh>
    <phoneticPr fontId="4"/>
  </si>
  <si>
    <t>上手　亮二</t>
    <phoneticPr fontId="4"/>
  </si>
  <si>
    <t>課長</t>
    <rPh sb="0" eb="2">
      <t>カチョウ</t>
    </rPh>
    <phoneticPr fontId="7"/>
  </si>
  <si>
    <t>増田　健吾</t>
    <rPh sb="0" eb="2">
      <t>マスダ</t>
    </rPh>
    <phoneticPr fontId="7"/>
  </si>
  <si>
    <t>矢ヶ部　博</t>
    <phoneticPr fontId="4"/>
  </si>
  <si>
    <t>副部長</t>
    <rPh sb="0" eb="3">
      <t>フクブチョウ</t>
    </rPh>
    <phoneticPr fontId="7"/>
  </si>
  <si>
    <t>千田　容啓</t>
    <rPh sb="0" eb="2">
      <t>センダ</t>
    </rPh>
    <phoneticPr fontId="7"/>
  </si>
  <si>
    <t>矢野　里奈</t>
  </si>
  <si>
    <t>大阪</t>
    <phoneticPr fontId="4"/>
  </si>
  <si>
    <t>押田　康宏</t>
    <phoneticPr fontId="4"/>
  </si>
  <si>
    <t>杉安　隆之</t>
    <rPh sb="0" eb="1">
      <t>スギ</t>
    </rPh>
    <phoneticPr fontId="7"/>
  </si>
  <si>
    <t>住田　豊英</t>
  </si>
  <si>
    <t>D223</t>
  </si>
  <si>
    <t>ソリューション第二課（MISOL）</t>
    <phoneticPr fontId="4"/>
  </si>
  <si>
    <t>兼</t>
    <rPh sb="0" eb="1">
      <t>ケン</t>
    </rPh>
    <phoneticPr fontId="7"/>
  </si>
  <si>
    <t>吉村　名央</t>
  </si>
  <si>
    <t>神林　佑</t>
  </si>
  <si>
    <t>松永　聖史</t>
  </si>
  <si>
    <t>D224</t>
  </si>
  <si>
    <t>ソリューション第三課（MISOL）</t>
    <phoneticPr fontId="4"/>
  </si>
  <si>
    <t>上手　亮二</t>
    <rPh sb="0" eb="2">
      <t>ジョウズ</t>
    </rPh>
    <phoneticPr fontId="7"/>
  </si>
  <si>
    <t>小田桐　紗良</t>
  </si>
  <si>
    <t>小林　真菜美</t>
  </si>
  <si>
    <t>D225</t>
  </si>
  <si>
    <t>ソリューション第四課（MISOL）</t>
    <phoneticPr fontId="4"/>
  </si>
  <si>
    <t>澁谷　祐子</t>
    <rPh sb="0" eb="2">
      <t>シブヤ</t>
    </rPh>
    <rPh sb="3" eb="4">
      <t>ユウ</t>
    </rPh>
    <phoneticPr fontId="9"/>
  </si>
  <si>
    <t>伊藤　巧</t>
  </si>
  <si>
    <t>加藤　舞</t>
  </si>
  <si>
    <t>野間　菜月</t>
  </si>
  <si>
    <t>D230</t>
  </si>
  <si>
    <t>ソリューション営業部（MISOL）</t>
    <phoneticPr fontId="4"/>
  </si>
  <si>
    <t>D232</t>
  </si>
  <si>
    <t>企画推進第一課（MISOL）</t>
    <phoneticPr fontId="4"/>
  </si>
  <si>
    <t>室岡　芳彦</t>
    <phoneticPr fontId="4"/>
  </si>
  <si>
    <t>樋口　愛弓</t>
  </si>
  <si>
    <t>森川　清貴</t>
  </si>
  <si>
    <t>田鎖　淳一</t>
  </si>
  <si>
    <t>D233</t>
  </si>
  <si>
    <t>企画推進第二課（MISOL）</t>
    <phoneticPr fontId="4"/>
  </si>
  <si>
    <t>室岡　芳彦</t>
  </si>
  <si>
    <t>奥谷　公希</t>
  </si>
  <si>
    <t>田中　菜央</t>
  </si>
  <si>
    <t>D234</t>
  </si>
  <si>
    <t>企画推進第三課（MISOL）</t>
    <phoneticPr fontId="4"/>
  </si>
  <si>
    <t>中村　友紀</t>
  </si>
  <si>
    <t>岡田　高志</t>
  </si>
  <si>
    <t>根本　崇広</t>
  </si>
  <si>
    <t>中村　友哉</t>
    <phoneticPr fontId="4"/>
  </si>
  <si>
    <t>D240</t>
  </si>
  <si>
    <t>カスタマーサクセス事業部（MISOL）</t>
    <phoneticPr fontId="4"/>
  </si>
  <si>
    <t>D242</t>
  </si>
  <si>
    <t>カスタマーサクセス課（MISOL）</t>
    <phoneticPr fontId="4"/>
  </si>
  <si>
    <t>伊藤　晶子</t>
    <phoneticPr fontId="4"/>
  </si>
  <si>
    <t>稲垣　宜彦</t>
    <rPh sb="0" eb="2">
      <t>イナガキ</t>
    </rPh>
    <phoneticPr fontId="7"/>
  </si>
  <si>
    <t>鈴木　理美子</t>
  </si>
  <si>
    <t>是永　有里</t>
  </si>
  <si>
    <t>廣瀬　翼</t>
  </si>
  <si>
    <t>関川　春奈</t>
  </si>
  <si>
    <t>D243</t>
  </si>
  <si>
    <t>カスタマーサポート課（MISOL）</t>
    <phoneticPr fontId="4"/>
  </si>
  <si>
    <t>正田　梨於奈</t>
  </si>
  <si>
    <t>相川　里江</t>
  </si>
  <si>
    <t>山本　理恵</t>
    <rPh sb="0" eb="2">
      <t>ヤマモト</t>
    </rPh>
    <rPh sb="3" eb="5">
      <t>リエ</t>
    </rPh>
    <phoneticPr fontId="9"/>
  </si>
  <si>
    <t>D250</t>
  </si>
  <si>
    <t>プロダクト事業部（MISOL）</t>
    <phoneticPr fontId="4"/>
  </si>
  <si>
    <t>D252</t>
  </si>
  <si>
    <t>プラットフォーム技術第一課（MISOL）</t>
    <phoneticPr fontId="4"/>
  </si>
  <si>
    <t>部長</t>
    <rPh sb="0" eb="2">
      <t>ブチョウ</t>
    </rPh>
    <phoneticPr fontId="7"/>
  </si>
  <si>
    <t>西野　智文</t>
  </si>
  <si>
    <t>近藤　洋平</t>
    <rPh sb="0" eb="2">
      <t>コンドウ</t>
    </rPh>
    <rPh sb="3" eb="5">
      <t>ヨウヘイ</t>
    </rPh>
    <phoneticPr fontId="7"/>
  </si>
  <si>
    <t>葛目　圭彦</t>
  </si>
  <si>
    <t>柴田　大輔</t>
  </si>
  <si>
    <t>横山　光</t>
  </si>
  <si>
    <t>阿部　聖志朗</t>
  </si>
  <si>
    <t>久保　知輝</t>
  </si>
  <si>
    <t>西澤　郁弥</t>
  </si>
  <si>
    <t>D253</t>
  </si>
  <si>
    <t>プラットフォーム技術第二課（MISOL）</t>
    <phoneticPr fontId="4"/>
  </si>
  <si>
    <t>山口　望</t>
  </si>
  <si>
    <t>白井　崇康</t>
  </si>
  <si>
    <t>舘　克己</t>
  </si>
  <si>
    <t>畑中　衛</t>
  </si>
  <si>
    <t>堀川　恭平</t>
  </si>
  <si>
    <t>CXディレクション事業本部（MSYS）</t>
    <phoneticPr fontId="4"/>
  </si>
  <si>
    <t>D260</t>
  </si>
  <si>
    <t>RPA事業部（MSYS）</t>
    <phoneticPr fontId="4"/>
  </si>
  <si>
    <t>D262</t>
  </si>
  <si>
    <t>デジタルイノベーション課（MSYS）</t>
    <phoneticPr fontId="4"/>
  </si>
  <si>
    <t>安藤　久人</t>
    <phoneticPr fontId="4"/>
  </si>
  <si>
    <t>青栁　紀行</t>
  </si>
  <si>
    <t>青栁　紀行</t>
    <rPh sb="0" eb="2">
      <t>アオヤギ</t>
    </rPh>
    <phoneticPr fontId="7"/>
  </si>
  <si>
    <t>津田　浩希</t>
    <rPh sb="0" eb="2">
      <t>ツダ</t>
    </rPh>
    <rPh sb="3" eb="4">
      <t>ヒロシ</t>
    </rPh>
    <phoneticPr fontId="12"/>
  </si>
  <si>
    <t>徳田　愛里</t>
  </si>
  <si>
    <t>渡辺　海斗</t>
  </si>
  <si>
    <t>平井　和真</t>
  </si>
  <si>
    <t>D263</t>
  </si>
  <si>
    <t>RPA技術課（MSYS）</t>
    <phoneticPr fontId="4"/>
  </si>
  <si>
    <t>樋口　陽子</t>
    <phoneticPr fontId="4"/>
  </si>
  <si>
    <t>滝田　勇稀</t>
    <phoneticPr fontId="4"/>
  </si>
  <si>
    <t>藤田　睦</t>
    <phoneticPr fontId="4"/>
  </si>
  <si>
    <t>牧　良幸</t>
  </si>
  <si>
    <t>D400</t>
  </si>
  <si>
    <t>デジタルプラットフォーム事業本部（MSYS）</t>
    <phoneticPr fontId="4"/>
  </si>
  <si>
    <t>D420</t>
  </si>
  <si>
    <t>事業推進部（MSYS）</t>
    <phoneticPr fontId="4"/>
  </si>
  <si>
    <t>岩佐　大樹</t>
    <phoneticPr fontId="4"/>
  </si>
  <si>
    <t>井上　雄貴</t>
    <rPh sb="0" eb="2">
      <t>イノウエ</t>
    </rPh>
    <phoneticPr fontId="7"/>
  </si>
  <si>
    <t>天瀬　郁恵</t>
    <phoneticPr fontId="4"/>
  </si>
  <si>
    <t>池添　翔</t>
  </si>
  <si>
    <t>小野　弘正</t>
    <phoneticPr fontId="4"/>
  </si>
  <si>
    <t>小林　淳</t>
  </si>
  <si>
    <t>末代　信輔</t>
  </si>
  <si>
    <t>船津　侑衣夏</t>
  </si>
  <si>
    <t>井出　誠将</t>
  </si>
  <si>
    <t>D424</t>
  </si>
  <si>
    <t>岡本　尚之</t>
    <rPh sb="0" eb="2">
      <t>オカモト</t>
    </rPh>
    <phoneticPr fontId="7"/>
  </si>
  <si>
    <t>本杉　聡</t>
  </si>
  <si>
    <t>柏崎　大知</t>
  </si>
  <si>
    <t>兼</t>
    <phoneticPr fontId="4"/>
  </si>
  <si>
    <t>太田　一誠</t>
    <phoneticPr fontId="4"/>
  </si>
  <si>
    <t>松田　省吾</t>
    <rPh sb="0" eb="2">
      <t>マツダ</t>
    </rPh>
    <rPh sb="3" eb="5">
      <t>ショウゴ</t>
    </rPh>
    <phoneticPr fontId="7"/>
  </si>
  <si>
    <t>D430</t>
  </si>
  <si>
    <t>データプラットフォームソリューション営業部（MSYS）</t>
    <phoneticPr fontId="4"/>
  </si>
  <si>
    <t>D432</t>
  </si>
  <si>
    <t>小川　健一</t>
    <phoneticPr fontId="4"/>
  </si>
  <si>
    <t>加藤　亮</t>
    <rPh sb="0" eb="2">
      <t>カトウ</t>
    </rPh>
    <phoneticPr fontId="7"/>
  </si>
  <si>
    <t>朝妻　勇太</t>
  </si>
  <si>
    <t>鈴木　大育</t>
  </si>
  <si>
    <t>丸山　尚之</t>
  </si>
  <si>
    <t>栃木　勇希</t>
  </si>
  <si>
    <t>及川　開世</t>
  </si>
  <si>
    <t>D440</t>
  </si>
  <si>
    <t>エンタープライズソリューション営業部（MSYS）</t>
    <phoneticPr fontId="4"/>
  </si>
  <si>
    <t>D442</t>
  </si>
  <si>
    <t>星野　智紀</t>
    <phoneticPr fontId="4"/>
  </si>
  <si>
    <t>髙山　秀人</t>
    <rPh sb="0" eb="2">
      <t>タカヤマ</t>
    </rPh>
    <phoneticPr fontId="12"/>
  </si>
  <si>
    <t>佐藤　春樹</t>
    <rPh sb="0" eb="2">
      <t>サトウ</t>
    </rPh>
    <rPh sb="3" eb="5">
      <t>ハルキ</t>
    </rPh>
    <phoneticPr fontId="12"/>
  </si>
  <si>
    <t>武者　祥昭</t>
  </si>
  <si>
    <t>荻巣　紘輔</t>
  </si>
  <si>
    <t>小笠原　慧</t>
  </si>
  <si>
    <t>関口　颯斗</t>
  </si>
  <si>
    <t>山根　康嗣</t>
  </si>
  <si>
    <t>勝原　夏樹</t>
    <phoneticPr fontId="4"/>
  </si>
  <si>
    <t>D450</t>
  </si>
  <si>
    <t>セキュリティソリューション営業部（MSYS）</t>
    <phoneticPr fontId="4"/>
  </si>
  <si>
    <t>D453</t>
  </si>
  <si>
    <t>藤田　徳宏</t>
    <phoneticPr fontId="4"/>
  </si>
  <si>
    <t>作間　健司</t>
  </si>
  <si>
    <t>齋藤　弾</t>
    <rPh sb="0" eb="2">
      <t>サイトウ</t>
    </rPh>
    <rPh sb="3" eb="4">
      <t>ハズム</t>
    </rPh>
    <phoneticPr fontId="7"/>
  </si>
  <si>
    <t>永井　翔</t>
  </si>
  <si>
    <t>銭貫　峻</t>
  </si>
  <si>
    <t>南　響希</t>
  </si>
  <si>
    <t>尾崎　哲郎</t>
    <rPh sb="0" eb="2">
      <t>オザキ</t>
    </rPh>
    <rPh sb="3" eb="5">
      <t>テツロウ</t>
    </rPh>
    <phoneticPr fontId="4"/>
  </si>
  <si>
    <t>斉藤　真央</t>
  </si>
  <si>
    <t>D460</t>
  </si>
  <si>
    <t>ネットワークソリューション営業部（MSYS）</t>
    <phoneticPr fontId="4"/>
  </si>
  <si>
    <t>D462</t>
  </si>
  <si>
    <t>営業第一課（MSYS）</t>
    <phoneticPr fontId="4"/>
  </si>
  <si>
    <t>千葉　隆之</t>
    <phoneticPr fontId="4"/>
  </si>
  <si>
    <t>小島　淳志</t>
    <rPh sb="0" eb="2">
      <t>コジマ</t>
    </rPh>
    <phoneticPr fontId="7"/>
  </si>
  <si>
    <t>須賀　一樹</t>
    <phoneticPr fontId="4"/>
  </si>
  <si>
    <t>東上　豊</t>
    <phoneticPr fontId="4"/>
  </si>
  <si>
    <t>多賀　年秀</t>
  </si>
  <si>
    <t>下薗　正樹</t>
    <phoneticPr fontId="4"/>
  </si>
  <si>
    <t>山岸　広樹</t>
  </si>
  <si>
    <t>一政　大朗</t>
  </si>
  <si>
    <t>D463</t>
  </si>
  <si>
    <t>木村　智史</t>
    <rPh sb="0" eb="2">
      <t>キムラ</t>
    </rPh>
    <phoneticPr fontId="7"/>
  </si>
  <si>
    <t>津國　孝</t>
  </si>
  <si>
    <t>中澤　雄馬</t>
  </si>
  <si>
    <t>湯澤　誠</t>
  </si>
  <si>
    <t>日比野　政弥</t>
  </si>
  <si>
    <t>森　敦弥</t>
  </si>
  <si>
    <t>竹内　元気</t>
  </si>
  <si>
    <t>内山　七海</t>
  </si>
  <si>
    <t>古川　香</t>
    <phoneticPr fontId="4"/>
  </si>
  <si>
    <t>D470</t>
  </si>
  <si>
    <t>西日本営業部（MSYS）</t>
    <phoneticPr fontId="4"/>
  </si>
  <si>
    <t>D472</t>
  </si>
  <si>
    <t>村本　真之介</t>
    <phoneticPr fontId="4"/>
  </si>
  <si>
    <t>大澤　泰一郎</t>
    <rPh sb="0" eb="2">
      <t>オオサワ</t>
    </rPh>
    <phoneticPr fontId="7"/>
  </si>
  <si>
    <t>帯田　正典</t>
  </si>
  <si>
    <t>小岩　明</t>
  </si>
  <si>
    <t>川上　文基</t>
    <phoneticPr fontId="4"/>
  </si>
  <si>
    <t>D473</t>
  </si>
  <si>
    <t>九州営業課（MSYS）</t>
    <phoneticPr fontId="4"/>
  </si>
  <si>
    <t>平山　武志</t>
    <rPh sb="0" eb="2">
      <t>ヒラヤマ</t>
    </rPh>
    <phoneticPr fontId="7"/>
  </si>
  <si>
    <t>D480</t>
  </si>
  <si>
    <t>中部営業部（MSYS）</t>
    <phoneticPr fontId="4"/>
  </si>
  <si>
    <t>D482</t>
  </si>
  <si>
    <t>布川　恭子</t>
    <phoneticPr fontId="4"/>
  </si>
  <si>
    <t>羽田野　泰弘</t>
    <rPh sb="0" eb="3">
      <t>ハタノ</t>
    </rPh>
    <phoneticPr fontId="7"/>
  </si>
  <si>
    <t>小林　和生</t>
  </si>
  <si>
    <t>田島　侑一郎</t>
  </si>
  <si>
    <t>古川　正司</t>
  </si>
  <si>
    <t>大栗　宙人</t>
    <rPh sb="0" eb="2">
      <t>オオグリ</t>
    </rPh>
    <rPh sb="3" eb="4">
      <t>ヒロ</t>
    </rPh>
    <rPh sb="4" eb="5">
      <t>ヒト</t>
    </rPh>
    <phoneticPr fontId="7"/>
  </si>
  <si>
    <t>宇田川　晃太朗</t>
    <phoneticPr fontId="4"/>
  </si>
  <si>
    <t>D490</t>
  </si>
  <si>
    <t>アーキテクチャー技術部（MSYS）</t>
    <phoneticPr fontId="4"/>
  </si>
  <si>
    <t>D492</t>
  </si>
  <si>
    <t>合田　純也</t>
    <rPh sb="0" eb="2">
      <t>ゴウダ</t>
    </rPh>
    <phoneticPr fontId="7"/>
  </si>
  <si>
    <t>矢口　祐介</t>
    <rPh sb="0" eb="2">
      <t>ヤグチ</t>
    </rPh>
    <rPh sb="3" eb="5">
      <t>ユウスケ</t>
    </rPh>
    <phoneticPr fontId="7"/>
  </si>
  <si>
    <t>小川　芳彦</t>
  </si>
  <si>
    <t>金子　匡秀</t>
  </si>
  <si>
    <t>和田　基敬</t>
  </si>
  <si>
    <t>西口　統太</t>
  </si>
  <si>
    <t>峯岸　洋輔</t>
  </si>
  <si>
    <t>神部　真音</t>
  </si>
  <si>
    <t>久郷　夏輝</t>
  </si>
  <si>
    <t>小林　雪乃</t>
  </si>
  <si>
    <t>原田　雅博</t>
    <phoneticPr fontId="4"/>
  </si>
  <si>
    <t>広兼　光彦</t>
    <phoneticPr fontId="7"/>
  </si>
  <si>
    <t>碩　哲司</t>
    <rPh sb="0" eb="1">
      <t>セキ</t>
    </rPh>
    <rPh sb="2" eb="4">
      <t>テツジ</t>
    </rPh>
    <phoneticPr fontId="7"/>
  </si>
  <si>
    <t>D493</t>
  </si>
  <si>
    <t>技術第二課（MSYS）</t>
    <phoneticPr fontId="4"/>
  </si>
  <si>
    <t>平野　能久</t>
  </si>
  <si>
    <t>齋藤　さくら</t>
  </si>
  <si>
    <t>杉本　君瑠</t>
  </si>
  <si>
    <t>村田　瑞樹</t>
  </si>
  <si>
    <t>D4A0</t>
  </si>
  <si>
    <t>ネットワーク技術部（MSYS）</t>
    <phoneticPr fontId="4"/>
  </si>
  <si>
    <t>D4A2</t>
  </si>
  <si>
    <t>ネットワーク技術第一課（MSYS）</t>
    <phoneticPr fontId="4"/>
  </si>
  <si>
    <t>武田　一徳</t>
    <phoneticPr fontId="4"/>
  </si>
  <si>
    <t>尾村　達弥</t>
    <rPh sb="0" eb="2">
      <t>オムラ</t>
    </rPh>
    <phoneticPr fontId="7"/>
  </si>
  <si>
    <t>仁村　聖</t>
    <phoneticPr fontId="4"/>
  </si>
  <si>
    <t>笠原　亮太</t>
  </si>
  <si>
    <t>赤木　公二</t>
    <rPh sb="0" eb="2">
      <t>アカギ</t>
    </rPh>
    <phoneticPr fontId="7"/>
  </si>
  <si>
    <t>高橋　克明</t>
  </si>
  <si>
    <t>下田　圭介</t>
  </si>
  <si>
    <t>澁谷　哲也</t>
  </si>
  <si>
    <t>菅野　圭吾</t>
    <rPh sb="0" eb="2">
      <t>カンノ</t>
    </rPh>
    <rPh sb="3" eb="5">
      <t>ケイゴ</t>
    </rPh>
    <phoneticPr fontId="6"/>
  </si>
  <si>
    <t>D4A3</t>
  </si>
  <si>
    <t>ネットワーク技術第二課（MSYS）</t>
    <phoneticPr fontId="4"/>
  </si>
  <si>
    <t>宮田　大志</t>
    <rPh sb="0" eb="2">
      <t>ミヤタ</t>
    </rPh>
    <phoneticPr fontId="7"/>
  </si>
  <si>
    <t>福元　貴之</t>
  </si>
  <si>
    <t>阿部　哲也</t>
  </si>
  <si>
    <t>新井　翔馬</t>
    <phoneticPr fontId="4"/>
  </si>
  <si>
    <t>九州営業所</t>
  </si>
  <si>
    <t>林　澤奇</t>
  </si>
  <si>
    <t>D4A4</t>
  </si>
  <si>
    <t>ネットワーク技術第三課（MSYS）</t>
    <phoneticPr fontId="4"/>
  </si>
  <si>
    <t>山縣　慧</t>
    <rPh sb="0" eb="2">
      <t>ヤマガタ</t>
    </rPh>
    <phoneticPr fontId="7"/>
  </si>
  <si>
    <t>大沼　尚徳</t>
  </si>
  <si>
    <t>西原　正人</t>
  </si>
  <si>
    <t>石川　雄大</t>
  </si>
  <si>
    <t>大柳　毅朗</t>
  </si>
  <si>
    <t>吉岡　翼</t>
  </si>
  <si>
    <t>D4B0</t>
  </si>
  <si>
    <t>セキュリティサービス技術部（MSYS）</t>
    <phoneticPr fontId="4"/>
  </si>
  <si>
    <t>D4B2</t>
  </si>
  <si>
    <t>セキュリティサービス技術課（MSYS）</t>
    <phoneticPr fontId="4"/>
  </si>
  <si>
    <t>赤間　勇</t>
    <phoneticPr fontId="4"/>
  </si>
  <si>
    <t>佐藤　智之</t>
    <rPh sb="0" eb="2">
      <t>サトウ</t>
    </rPh>
    <phoneticPr fontId="7"/>
  </si>
  <si>
    <t>杉本　浩基</t>
    <phoneticPr fontId="4"/>
  </si>
  <si>
    <t>立木　政彦</t>
  </si>
  <si>
    <t>西川　顕</t>
  </si>
  <si>
    <t>増田　啓人</t>
  </si>
  <si>
    <t>仲谷　玖真</t>
  </si>
  <si>
    <t>長山　厳誉</t>
  </si>
  <si>
    <t>D4B3</t>
  </si>
  <si>
    <t>中部技術課（MSYS）</t>
    <phoneticPr fontId="4"/>
  </si>
  <si>
    <t>水谷　智大</t>
    <rPh sb="0" eb="2">
      <t>ミズタニ</t>
    </rPh>
    <phoneticPr fontId="7"/>
  </si>
  <si>
    <t>藤綱　友彦</t>
  </si>
  <si>
    <t>矢島　一憲</t>
  </si>
  <si>
    <t>岩井　幹太</t>
    <rPh sb="3" eb="5">
      <t>カンタ</t>
    </rPh>
    <phoneticPr fontId="6"/>
  </si>
  <si>
    <t>川﨑　力</t>
  </si>
  <si>
    <t>D4B4</t>
  </si>
  <si>
    <t>西日本技術課（MSYS）</t>
    <phoneticPr fontId="4"/>
  </si>
  <si>
    <t>杉本　浩基</t>
    <rPh sb="0" eb="2">
      <t>スギモト</t>
    </rPh>
    <phoneticPr fontId="7"/>
  </si>
  <si>
    <t>岡本　優</t>
  </si>
  <si>
    <t>原　聖一</t>
  </si>
  <si>
    <t>宮田　晃良</t>
    <rPh sb="0" eb="2">
      <t>ミヤタ</t>
    </rPh>
    <rPh sb="3" eb="4">
      <t>アキラ</t>
    </rPh>
    <rPh sb="4" eb="5">
      <t>ヨ</t>
    </rPh>
    <phoneticPr fontId="6"/>
  </si>
  <si>
    <t>礒田　憲郎</t>
    <phoneticPr fontId="4"/>
  </si>
  <si>
    <t>D4C0</t>
  </si>
  <si>
    <t>インフラ技術部（MSYS）</t>
    <phoneticPr fontId="4"/>
  </si>
  <si>
    <t>D4C2</t>
  </si>
  <si>
    <t>大河内　純一</t>
    <phoneticPr fontId="4"/>
  </si>
  <si>
    <t>宮良　健</t>
    <rPh sb="0" eb="2">
      <t>ミヤヨシ</t>
    </rPh>
    <phoneticPr fontId="7"/>
  </si>
  <si>
    <t>桑原　昌紀</t>
  </si>
  <si>
    <t>笹本　紳一郎</t>
  </si>
  <si>
    <t>手塚　隆之</t>
  </si>
  <si>
    <t>森　喜芳</t>
  </si>
  <si>
    <t>松崎　哲也</t>
  </si>
  <si>
    <t>常岡　誉</t>
  </si>
  <si>
    <t>東島　和久</t>
  </si>
  <si>
    <t>濱中　直希</t>
  </si>
  <si>
    <t>安藤　桃花</t>
  </si>
  <si>
    <t>丸山　萌樹</t>
  </si>
  <si>
    <t>曲田　浩展</t>
    <phoneticPr fontId="4"/>
  </si>
  <si>
    <t>デジタルプラットフォーム事業本部（MISOL）</t>
    <phoneticPr fontId="4"/>
  </si>
  <si>
    <t>事業推進部（MISOL）</t>
    <phoneticPr fontId="4"/>
  </si>
  <si>
    <t>セキュリティソリューション営業部（MISOL）</t>
  </si>
  <si>
    <t>D454</t>
  </si>
  <si>
    <t>営業課（MISOL）</t>
  </si>
  <si>
    <t>D300</t>
  </si>
  <si>
    <t>セキュリティソリューション事業本部（MSYS）</t>
    <phoneticPr fontId="4"/>
  </si>
  <si>
    <t>D320</t>
  </si>
  <si>
    <t>ITコンサルティング部（MSYS）</t>
    <phoneticPr fontId="4"/>
  </si>
  <si>
    <t>稲毛　正嗣</t>
    <phoneticPr fontId="4"/>
  </si>
  <si>
    <t>須藤　正信</t>
    <phoneticPr fontId="4"/>
  </si>
  <si>
    <t>本部長付部長</t>
    <rPh sb="0" eb="6">
      <t>ホンブチョウヅケブチョウ</t>
    </rPh>
    <phoneticPr fontId="7"/>
  </si>
  <si>
    <t>高久　隆</t>
    <phoneticPr fontId="4"/>
  </si>
  <si>
    <t>D330</t>
  </si>
  <si>
    <t>プリセールス部（MSYS）</t>
    <phoneticPr fontId="4"/>
  </si>
  <si>
    <t>D332</t>
  </si>
  <si>
    <t>プリセールス第一課（MSYS）</t>
    <phoneticPr fontId="4"/>
  </si>
  <si>
    <t>高久　隆</t>
    <phoneticPr fontId="7"/>
  </si>
  <si>
    <t>大西　豊</t>
    <phoneticPr fontId="4"/>
  </si>
  <si>
    <t>松本　匡弘</t>
    <phoneticPr fontId="4"/>
  </si>
  <si>
    <t>九州</t>
    <rPh sb="0" eb="2">
      <t>キュウシュウ</t>
    </rPh>
    <phoneticPr fontId="4"/>
  </si>
  <si>
    <t>D333</t>
  </si>
  <si>
    <t>プリセールス第二課（MSYS）</t>
    <phoneticPr fontId="4"/>
  </si>
  <si>
    <t>井上　泰治</t>
    <phoneticPr fontId="4"/>
  </si>
  <si>
    <t>梅田　侃</t>
    <phoneticPr fontId="4"/>
  </si>
  <si>
    <t>D340</t>
  </si>
  <si>
    <t>インテグレーション技術部（MSYS）</t>
    <phoneticPr fontId="4"/>
  </si>
  <si>
    <t>D343</t>
  </si>
  <si>
    <t>曽我　大輔</t>
    <phoneticPr fontId="4"/>
  </si>
  <si>
    <t>吉正　尚人</t>
    <phoneticPr fontId="4"/>
  </si>
  <si>
    <t>丸伊　希</t>
    <phoneticPr fontId="4"/>
  </si>
  <si>
    <t>D344</t>
  </si>
  <si>
    <t>麻田　瑞貴</t>
    <phoneticPr fontId="4"/>
  </si>
  <si>
    <t>秋山　欣一郎</t>
    <phoneticPr fontId="4"/>
  </si>
  <si>
    <t>セキュリティソリューション事業本部（MISOL）</t>
    <phoneticPr fontId="4"/>
  </si>
  <si>
    <t>インテグレーション技術部（MISOL）</t>
    <phoneticPr fontId="4"/>
  </si>
  <si>
    <t>D345</t>
  </si>
  <si>
    <t>技術第一課（MISOL）</t>
    <phoneticPr fontId="4"/>
  </si>
  <si>
    <t>D346</t>
  </si>
  <si>
    <t>技術第二課（MISOL）</t>
    <phoneticPr fontId="4"/>
  </si>
  <si>
    <t>D500</t>
  </si>
  <si>
    <t>DXソリューション事業本部（MSYS）</t>
    <phoneticPr fontId="4"/>
  </si>
  <si>
    <t>D520</t>
  </si>
  <si>
    <t>DXソリューション営業部（MSYS）</t>
    <phoneticPr fontId="4"/>
  </si>
  <si>
    <t>D523</t>
  </si>
  <si>
    <t>事業本部長</t>
    <rPh sb="0" eb="2">
      <t>ジギョウ</t>
    </rPh>
    <rPh sb="2" eb="5">
      <t>ホンブチョウ</t>
    </rPh>
    <phoneticPr fontId="4"/>
  </si>
  <si>
    <t>平地　慶太</t>
    <phoneticPr fontId="4"/>
  </si>
  <si>
    <t>須田　陽介</t>
    <rPh sb="0" eb="2">
      <t>スダ</t>
    </rPh>
    <phoneticPr fontId="7"/>
  </si>
  <si>
    <t>副事業本部長</t>
    <rPh sb="0" eb="6">
      <t>フクジギョウホンブチョウ</t>
    </rPh>
    <phoneticPr fontId="7"/>
  </si>
  <si>
    <t>須田　陽介</t>
    <phoneticPr fontId="4"/>
  </si>
  <si>
    <t>小磯　直也</t>
  </si>
  <si>
    <t>松本　龍弥</t>
  </si>
  <si>
    <t>石黒　ひとみ</t>
    <phoneticPr fontId="4"/>
  </si>
  <si>
    <t>中村　健人</t>
  </si>
  <si>
    <t>D530</t>
  </si>
  <si>
    <t>DXエンジニアリング部（MSYS）</t>
    <phoneticPr fontId="4"/>
  </si>
  <si>
    <t>D532</t>
  </si>
  <si>
    <t>エンジニアリング課（MSYS）</t>
    <phoneticPr fontId="4"/>
  </si>
  <si>
    <t>曽原　未央</t>
  </si>
  <si>
    <t>石森　慎弥</t>
    <phoneticPr fontId="4"/>
  </si>
  <si>
    <t>山崎　直人</t>
  </si>
  <si>
    <t>梶田　春香</t>
  </si>
  <si>
    <t>クラウドエース（株）</t>
    <phoneticPr fontId="4"/>
  </si>
  <si>
    <t>高根　明梨</t>
  </si>
  <si>
    <t>柊　司遠</t>
  </si>
  <si>
    <t>菊地　万里</t>
  </si>
  <si>
    <t>寺本　明音</t>
  </si>
  <si>
    <t>堀田　慎之介</t>
  </si>
  <si>
    <t>D540</t>
  </si>
  <si>
    <t>クラウドエンジニアリング部（MSYS）</t>
    <phoneticPr fontId="4"/>
  </si>
  <si>
    <t>D542</t>
  </si>
  <si>
    <t>クラウドエンジニアリング課（MSYS）</t>
    <phoneticPr fontId="4"/>
  </si>
  <si>
    <t>加藤　暁彦</t>
    <phoneticPr fontId="4"/>
  </si>
  <si>
    <t>平田　渡</t>
    <rPh sb="0" eb="2">
      <t>ヒラタ</t>
    </rPh>
    <phoneticPr fontId="11"/>
  </si>
  <si>
    <t>黒井　真</t>
  </si>
  <si>
    <t>馬場　喜史</t>
    <phoneticPr fontId="4"/>
  </si>
  <si>
    <t>山下　輝志</t>
    <phoneticPr fontId="4"/>
  </si>
  <si>
    <t>川田　歩</t>
    <phoneticPr fontId="4"/>
  </si>
  <si>
    <t>DXソリューション事業本部（i2ts）</t>
    <phoneticPr fontId="4"/>
  </si>
  <si>
    <t>DXソリューション営業部（i2ts）</t>
    <phoneticPr fontId="4"/>
  </si>
  <si>
    <t>D524</t>
  </si>
  <si>
    <t>営業第二課（i2ts）</t>
    <phoneticPr fontId="4"/>
  </si>
  <si>
    <t>鈴木　啓太</t>
    <rPh sb="0" eb="2">
      <t>スズキ</t>
    </rPh>
    <phoneticPr fontId="7"/>
  </si>
  <si>
    <t>鈴木　隆維</t>
  </si>
  <si>
    <t>井手　浩三</t>
  </si>
  <si>
    <t>D600</t>
  </si>
  <si>
    <t>グローバル事業本部（MSYS）</t>
    <phoneticPr fontId="4"/>
  </si>
  <si>
    <t>D620</t>
  </si>
  <si>
    <t>グローバルソリューション部（MSYS）</t>
    <phoneticPr fontId="4"/>
  </si>
  <si>
    <t>D622</t>
  </si>
  <si>
    <t>白井　清正</t>
  </si>
  <si>
    <t>池田　義行</t>
    <phoneticPr fontId="4"/>
  </si>
  <si>
    <t>名取　直樹</t>
    <rPh sb="0" eb="2">
      <t>ナトリ</t>
    </rPh>
    <phoneticPr fontId="7"/>
  </si>
  <si>
    <t>山下　大輔</t>
    <phoneticPr fontId="4"/>
  </si>
  <si>
    <t>八幡　耕</t>
  </si>
  <si>
    <t>木口　幹雄</t>
    <phoneticPr fontId="7"/>
  </si>
  <si>
    <t>（株）PubteX</t>
    <phoneticPr fontId="4"/>
  </si>
  <si>
    <t>中森　通成</t>
  </si>
  <si>
    <t>武田　弘高</t>
  </si>
  <si>
    <t>D623</t>
  </si>
  <si>
    <t>伊達　貴裕</t>
    <rPh sb="0" eb="2">
      <t>ダテ</t>
    </rPh>
    <phoneticPr fontId="7"/>
  </si>
  <si>
    <t>三宅　隆之</t>
    <phoneticPr fontId="4"/>
  </si>
  <si>
    <t>林　翼</t>
    <rPh sb="0" eb="1">
      <t>ハヤシ</t>
    </rPh>
    <rPh sb="2" eb="3">
      <t>ツバサ</t>
    </rPh>
    <phoneticPr fontId="12"/>
  </si>
  <si>
    <t>D624</t>
  </si>
  <si>
    <t>小宮　孝仁</t>
    <rPh sb="0" eb="2">
      <t>コミヤ</t>
    </rPh>
    <phoneticPr fontId="7"/>
  </si>
  <si>
    <t>水野　豊</t>
  </si>
  <si>
    <t>吉澤　歩</t>
  </si>
  <si>
    <t>D625</t>
  </si>
  <si>
    <t>技術サポート課（MSYS）</t>
    <phoneticPr fontId="4"/>
  </si>
  <si>
    <t>桂山　元希</t>
    <rPh sb="0" eb="2">
      <t>カツラヤマ</t>
    </rPh>
    <phoneticPr fontId="7"/>
  </si>
  <si>
    <t>鈴木　偉也</t>
  </si>
  <si>
    <t>D700</t>
  </si>
  <si>
    <t>AGXクリエーション本部（MSYS）</t>
    <phoneticPr fontId="4"/>
  </si>
  <si>
    <t>D720</t>
  </si>
  <si>
    <t>イノベーション推進部（MSYS）</t>
    <phoneticPr fontId="4"/>
  </si>
  <si>
    <t>山崎　僚</t>
    <phoneticPr fontId="4"/>
  </si>
  <si>
    <t>柳川　俊平</t>
  </si>
  <si>
    <t>海外出向</t>
  </si>
  <si>
    <t>MSYS-USA</t>
  </si>
  <si>
    <t>一戸　貞行</t>
    <phoneticPr fontId="4"/>
  </si>
  <si>
    <t>山内　慎太朗</t>
  </si>
  <si>
    <t>川端　大輔</t>
    <phoneticPr fontId="4"/>
  </si>
  <si>
    <t>山口　智</t>
    <phoneticPr fontId="4"/>
  </si>
  <si>
    <t>新井　孝典</t>
    <phoneticPr fontId="4"/>
  </si>
  <si>
    <t>IT基盤サービスセグメント</t>
    <rPh sb="2" eb="4">
      <t>キバン</t>
    </rPh>
    <phoneticPr fontId="4"/>
  </si>
  <si>
    <t>E000</t>
  </si>
  <si>
    <t>IT基盤サービスセグメント（M-NETS）</t>
    <phoneticPr fontId="4"/>
  </si>
  <si>
    <t>グループ内同セグメント出向者（M-NETS原籍）</t>
    <rPh sb="4" eb="5">
      <t>ナイ</t>
    </rPh>
    <rPh sb="5" eb="6">
      <t>ドウ</t>
    </rPh>
    <rPh sb="11" eb="14">
      <t>シュッコウシャ</t>
    </rPh>
    <rPh sb="21" eb="23">
      <t>ゲンセキ</t>
    </rPh>
    <phoneticPr fontId="4"/>
  </si>
  <si>
    <t>鶴目　幸太</t>
  </si>
  <si>
    <t>井上　隆義</t>
  </si>
  <si>
    <t>河合　伸一</t>
  </si>
  <si>
    <t>國枝　博希</t>
  </si>
  <si>
    <t>IT基盤サービスセグメント（MISOL）</t>
    <phoneticPr fontId="4"/>
  </si>
  <si>
    <t>浅田　祐輔</t>
  </si>
  <si>
    <t>オムリ　ユーセフ</t>
  </si>
  <si>
    <t>橋元　大輔</t>
  </si>
  <si>
    <t>大越　慧</t>
    <phoneticPr fontId="4"/>
  </si>
  <si>
    <t>宮崎　沙菜</t>
  </si>
  <si>
    <t>名島　稔</t>
  </si>
  <si>
    <t>後藤　一浩</t>
  </si>
  <si>
    <t>阿部　成人</t>
  </si>
  <si>
    <t>小林　聡美</t>
  </si>
  <si>
    <t>武松　同仁</t>
  </si>
  <si>
    <t>淺井　実祈</t>
  </si>
  <si>
    <t>遠藤　大輔</t>
  </si>
  <si>
    <t>柾　竣介</t>
  </si>
  <si>
    <t>IT基盤サービスセグメント（i2ts）</t>
    <phoneticPr fontId="4"/>
  </si>
  <si>
    <t>長山　善道</t>
  </si>
  <si>
    <t>中川　政彦</t>
  </si>
  <si>
    <t>中川　剛</t>
  </si>
  <si>
    <t>村上　貴之</t>
  </si>
  <si>
    <t>菊地　正彦</t>
  </si>
  <si>
    <t>小坂　優子</t>
  </si>
  <si>
    <t>E200</t>
  </si>
  <si>
    <t>基盤第一事業本部（MISOL）</t>
    <phoneticPr fontId="4"/>
  </si>
  <si>
    <t>E220</t>
  </si>
  <si>
    <t>IT基盤事業推進室（MISOL）</t>
    <phoneticPr fontId="4"/>
  </si>
  <si>
    <t>箭本　直之</t>
    <phoneticPr fontId="4"/>
  </si>
  <si>
    <t>前田　一成</t>
  </si>
  <si>
    <t>副室長</t>
    <rPh sb="0" eb="3">
      <t>フクシツチョウ</t>
    </rPh>
    <phoneticPr fontId="4"/>
  </si>
  <si>
    <t>徳永　武久</t>
    <phoneticPr fontId="4"/>
  </si>
  <si>
    <t>隠居　浩利</t>
  </si>
  <si>
    <t>忰田　克行</t>
  </si>
  <si>
    <t>藤井　聡</t>
  </si>
  <si>
    <t>阿部　秀一</t>
  </si>
  <si>
    <t>新井　博和</t>
  </si>
  <si>
    <t>加藤　荷湖瑠</t>
  </si>
  <si>
    <t>中崎　充</t>
  </si>
  <si>
    <t>菊池　弥生</t>
  </si>
  <si>
    <t>韓　佳秀</t>
    <phoneticPr fontId="4"/>
  </si>
  <si>
    <t>E230</t>
  </si>
  <si>
    <t>インフラソリューション部（MISOL）</t>
    <phoneticPr fontId="4"/>
  </si>
  <si>
    <t>E232</t>
  </si>
  <si>
    <t>インフラソリューション課（MISOL）</t>
    <phoneticPr fontId="4"/>
  </si>
  <si>
    <t>浅田　祐輔</t>
    <phoneticPr fontId="4"/>
  </si>
  <si>
    <t>山下　貴志</t>
    <phoneticPr fontId="4"/>
  </si>
  <si>
    <t>下田　直哉</t>
    <phoneticPr fontId="4"/>
  </si>
  <si>
    <t>キョ　シュンセン</t>
    <phoneticPr fontId="4"/>
  </si>
  <si>
    <t>菅原　祐希</t>
  </si>
  <si>
    <t>伊藤　浩三</t>
  </si>
  <si>
    <t>中野　滋</t>
  </si>
  <si>
    <t>窪田　弘晶</t>
  </si>
  <si>
    <t>佐野　絢子</t>
  </si>
  <si>
    <t>西村　梨花</t>
  </si>
  <si>
    <t>舩越　佑衣</t>
  </si>
  <si>
    <t>赤津　祐一</t>
  </si>
  <si>
    <t>鶴目　幸太</t>
    <phoneticPr fontId="4"/>
  </si>
  <si>
    <t>E234</t>
  </si>
  <si>
    <t>デバイスマネジメント課（MISOL）</t>
    <phoneticPr fontId="4"/>
  </si>
  <si>
    <t>佐藤　駿</t>
  </si>
  <si>
    <t>橋本　良介</t>
  </si>
  <si>
    <t>安齋　颯真</t>
  </si>
  <si>
    <t>原田　蘭</t>
  </si>
  <si>
    <t>E240</t>
  </si>
  <si>
    <t>サイバーセキュリティ推進部（MISOL）</t>
    <phoneticPr fontId="4"/>
  </si>
  <si>
    <t>E242</t>
  </si>
  <si>
    <t>セキュリティ推進課（MISOL）</t>
    <phoneticPr fontId="4"/>
  </si>
  <si>
    <t>郷野　禅</t>
    <phoneticPr fontId="4"/>
  </si>
  <si>
    <t>田中　実</t>
  </si>
  <si>
    <t>田中　実</t>
    <phoneticPr fontId="4"/>
  </si>
  <si>
    <t>石川　璃琴</t>
  </si>
  <si>
    <t>小菅　馨</t>
  </si>
  <si>
    <t>大津　紗奏</t>
  </si>
  <si>
    <t>岡田　豪起</t>
  </si>
  <si>
    <t>今　南実</t>
  </si>
  <si>
    <t>地石　祐介</t>
  </si>
  <si>
    <t>山本　英知</t>
  </si>
  <si>
    <t>佐藤　堅一朗</t>
  </si>
  <si>
    <t>E243</t>
  </si>
  <si>
    <t>M-IGSサービス課（MISOL）</t>
    <phoneticPr fontId="4"/>
  </si>
  <si>
    <t>木村　修二</t>
  </si>
  <si>
    <t>嶋崎　浩太</t>
  </si>
  <si>
    <t>山下　建</t>
  </si>
  <si>
    <t>E244</t>
  </si>
  <si>
    <t>M-IGS業務支援課（MISOL）</t>
    <phoneticPr fontId="4"/>
  </si>
  <si>
    <t>朝倉　理浩</t>
  </si>
  <si>
    <t>伊藤　智彦</t>
  </si>
  <si>
    <t>鈴木　智菜実</t>
    <phoneticPr fontId="4"/>
  </si>
  <si>
    <t>E250</t>
  </si>
  <si>
    <t>クラウドビジネス部（MISOL）</t>
    <phoneticPr fontId="4"/>
  </si>
  <si>
    <t>E252</t>
  </si>
  <si>
    <t>クラウドビジネス課（MISOL）</t>
    <phoneticPr fontId="4"/>
  </si>
  <si>
    <t>前田　一成</t>
    <phoneticPr fontId="4"/>
  </si>
  <si>
    <t>山川　拓輝</t>
  </si>
  <si>
    <t>田中　隼矢</t>
    <phoneticPr fontId="4"/>
  </si>
  <si>
    <t>濱田　義之</t>
  </si>
  <si>
    <t>北岡　晨晴</t>
  </si>
  <si>
    <t>宮田　達成</t>
  </si>
  <si>
    <t>反町　美優</t>
  </si>
  <si>
    <t>池田　亮</t>
  </si>
  <si>
    <t>中西　理</t>
  </si>
  <si>
    <t>牧口　凱</t>
  </si>
  <si>
    <t>宮田　裕貴</t>
  </si>
  <si>
    <t>E253</t>
  </si>
  <si>
    <t>業務システム課（MISOL）</t>
    <phoneticPr fontId="4"/>
  </si>
  <si>
    <t>堀井　敏夫</t>
  </si>
  <si>
    <t>小嶋　聖士</t>
  </si>
  <si>
    <t>五ノ井　洋</t>
  </si>
  <si>
    <t>小峰　健太郎</t>
  </si>
  <si>
    <t>根村　和之</t>
  </si>
  <si>
    <t>濱田　宜久</t>
  </si>
  <si>
    <t>水島　宏貴</t>
  </si>
  <si>
    <t>石井　順一朗</t>
  </si>
  <si>
    <t>笹原　陽一郎</t>
  </si>
  <si>
    <t>灘　浩行</t>
  </si>
  <si>
    <t>山本　尚史</t>
  </si>
  <si>
    <t>北古賀　瞬</t>
  </si>
  <si>
    <t>中川　隆至</t>
    <phoneticPr fontId="4"/>
  </si>
  <si>
    <t>E260</t>
  </si>
  <si>
    <t>エンドポイントソリューション部（MISOL）</t>
    <phoneticPr fontId="4"/>
  </si>
  <si>
    <t>E262</t>
  </si>
  <si>
    <t>デスクトップソリューション課（MISOL）</t>
    <phoneticPr fontId="4"/>
  </si>
  <si>
    <t>熊谷　夕香</t>
    <phoneticPr fontId="4"/>
  </si>
  <si>
    <t>田中　博人</t>
  </si>
  <si>
    <t>計良　美幸</t>
    <phoneticPr fontId="4"/>
  </si>
  <si>
    <t>土橋　弘敬</t>
  </si>
  <si>
    <t>吉田　大輔</t>
  </si>
  <si>
    <t>中田　浩</t>
  </si>
  <si>
    <t>深澤　真由美</t>
  </si>
  <si>
    <t>小畠　望美</t>
  </si>
  <si>
    <t>田中　協</t>
  </si>
  <si>
    <t>水流　耕太郎</t>
  </si>
  <si>
    <t>湯浅　舞香</t>
  </si>
  <si>
    <t>中川　凌太</t>
  </si>
  <si>
    <t>E263</t>
  </si>
  <si>
    <t>CX推進課（MISOL）</t>
    <phoneticPr fontId="4"/>
  </si>
  <si>
    <t>計良　美幸</t>
  </si>
  <si>
    <t>小林　俊也</t>
  </si>
  <si>
    <t>阿藤　江利子</t>
  </si>
  <si>
    <t>伊藤　絵里</t>
  </si>
  <si>
    <t>中西　光弘</t>
  </si>
  <si>
    <t>櫻田　悠香</t>
  </si>
  <si>
    <t>杉本　憲太郎</t>
  </si>
  <si>
    <t>永井　拓真</t>
  </si>
  <si>
    <t>山本　麻莉</t>
  </si>
  <si>
    <t>E264</t>
  </si>
  <si>
    <t>ITプロダクト課（MISOL）</t>
    <phoneticPr fontId="4"/>
  </si>
  <si>
    <t>今野　卓也</t>
  </si>
  <si>
    <t>石川　健介</t>
  </si>
  <si>
    <t>基盤第一事業本部（M-NETS）</t>
    <phoneticPr fontId="4"/>
  </si>
  <si>
    <t>インフラソリューション部（M-NETS）</t>
    <phoneticPr fontId="4"/>
  </si>
  <si>
    <t>E300</t>
  </si>
  <si>
    <t>基盤第二事業本部（M-NETS）</t>
    <phoneticPr fontId="4"/>
  </si>
  <si>
    <t>E320</t>
  </si>
  <si>
    <t>IT基盤デザイン室（M-NETS）</t>
    <phoneticPr fontId="4"/>
  </si>
  <si>
    <t>橋元　大輔</t>
    <phoneticPr fontId="4"/>
  </si>
  <si>
    <t>清水　弘一</t>
  </si>
  <si>
    <t>大越　慧</t>
  </si>
  <si>
    <t>斉藤　武志</t>
    <phoneticPr fontId="4"/>
  </si>
  <si>
    <t>［沖電気工業］</t>
    <rPh sb="1" eb="6">
      <t>オキデンキコウギョウ</t>
    </rPh>
    <phoneticPr fontId="4"/>
  </si>
  <si>
    <t>中川　輝道</t>
  </si>
  <si>
    <t>赤井　聡</t>
    <phoneticPr fontId="4"/>
  </si>
  <si>
    <t>三枝　祐介</t>
  </si>
  <si>
    <t>清水目　佳高</t>
    <phoneticPr fontId="4"/>
  </si>
  <si>
    <t>三國　さくら</t>
    <phoneticPr fontId="4"/>
  </si>
  <si>
    <t>E330</t>
  </si>
  <si>
    <t>事業統括部（M-NETS）</t>
    <phoneticPr fontId="4"/>
  </si>
  <si>
    <t>邉見　丞</t>
    <phoneticPr fontId="4"/>
  </si>
  <si>
    <t>清水　弘一</t>
    <phoneticPr fontId="4"/>
  </si>
  <si>
    <t>荒井　梨沙</t>
  </si>
  <si>
    <t>E340</t>
  </si>
  <si>
    <t>エンタープライズ営業第一部（M-NETS）</t>
    <phoneticPr fontId="4"/>
  </si>
  <si>
    <t>E342</t>
  </si>
  <si>
    <t>金融営業課（M-NETS）</t>
    <phoneticPr fontId="4"/>
  </si>
  <si>
    <t>三枝　祐介</t>
    <phoneticPr fontId="4"/>
  </si>
  <si>
    <t>長山　善道</t>
    <phoneticPr fontId="4"/>
  </si>
  <si>
    <t>権田　誠一</t>
    <phoneticPr fontId="4"/>
  </si>
  <si>
    <t>中村　鳳成</t>
  </si>
  <si>
    <t>坪田　珠代</t>
    <phoneticPr fontId="4"/>
  </si>
  <si>
    <t>中野　陽介</t>
  </si>
  <si>
    <t>E343</t>
  </si>
  <si>
    <t>広域営業課（M-NETS）</t>
    <phoneticPr fontId="4"/>
  </si>
  <si>
    <t>川山　昌也</t>
  </si>
  <si>
    <t>川島　優子</t>
  </si>
  <si>
    <t>福田　美羽</t>
  </si>
  <si>
    <t>春山　英明</t>
  </si>
  <si>
    <t>E350</t>
  </si>
  <si>
    <t>エンタープライズ営業第二部（M-NETS）</t>
    <phoneticPr fontId="4"/>
  </si>
  <si>
    <t>E352</t>
  </si>
  <si>
    <t>製造・流通営業課（M-NETS）</t>
    <phoneticPr fontId="4"/>
  </si>
  <si>
    <t>吉成　大樹</t>
  </si>
  <si>
    <t>三嶋　崇徳</t>
  </si>
  <si>
    <t>吉岡　亮真</t>
  </si>
  <si>
    <t>浅沼　幸仁</t>
    <phoneticPr fontId="4"/>
  </si>
  <si>
    <t>糠　将也</t>
  </si>
  <si>
    <t>野濱　寛</t>
  </si>
  <si>
    <t>田岡　咲貴</t>
  </si>
  <si>
    <t>池内　哲</t>
  </si>
  <si>
    <t>E353</t>
  </si>
  <si>
    <t>営業開発課（M-NETS）</t>
    <phoneticPr fontId="4"/>
  </si>
  <si>
    <t>小島　康平</t>
  </si>
  <si>
    <t>玉井　莉子</t>
    <phoneticPr fontId="4"/>
  </si>
  <si>
    <t>中野　萌美</t>
  </si>
  <si>
    <t>E360</t>
  </si>
  <si>
    <t>エンタープライズ営業第三部（M-NETS）</t>
    <phoneticPr fontId="4"/>
  </si>
  <si>
    <t>E363</t>
  </si>
  <si>
    <t>営業課（M-NETS）</t>
    <phoneticPr fontId="4"/>
  </si>
  <si>
    <t>部長</t>
  </si>
  <si>
    <t>大庭　健</t>
  </si>
  <si>
    <t>謝村　洋仁</t>
  </si>
  <si>
    <t>E370</t>
  </si>
  <si>
    <t>エンタープライズ営業第四部（M-NETS）</t>
    <phoneticPr fontId="4"/>
  </si>
  <si>
    <t>E373</t>
  </si>
  <si>
    <t>営業第二課（M-NETS）</t>
    <rPh sb="0" eb="2">
      <t>エイギョウ</t>
    </rPh>
    <rPh sb="2" eb="3">
      <t>ダイ</t>
    </rPh>
    <rPh sb="3" eb="4">
      <t>ニ</t>
    </rPh>
    <rPh sb="4" eb="5">
      <t>カ</t>
    </rPh>
    <phoneticPr fontId="4"/>
  </si>
  <si>
    <t>井上　隆義</t>
    <phoneticPr fontId="4"/>
  </si>
  <si>
    <t>佐藤　達朗</t>
  </si>
  <si>
    <t>中川　政彦</t>
    <phoneticPr fontId="4"/>
  </si>
  <si>
    <t>石原　雅之</t>
  </si>
  <si>
    <t>E390</t>
  </si>
  <si>
    <t>OKIグループ営業部（M-NETS）</t>
    <phoneticPr fontId="4"/>
  </si>
  <si>
    <t>E392</t>
  </si>
  <si>
    <t>小林　謙一郎</t>
    <phoneticPr fontId="4"/>
  </si>
  <si>
    <t>中川　剛</t>
    <phoneticPr fontId="4"/>
  </si>
  <si>
    <t>関根　広大</t>
  </si>
  <si>
    <t>E380</t>
  </si>
  <si>
    <t>パートナー営業部（M-NETS）</t>
    <phoneticPr fontId="4"/>
  </si>
  <si>
    <t>E382</t>
  </si>
  <si>
    <t>坂本　雅博</t>
    <phoneticPr fontId="4"/>
  </si>
  <si>
    <t>中川　純</t>
  </si>
  <si>
    <t>江間　圭晃</t>
  </si>
  <si>
    <t>佐々　淳一郎</t>
  </si>
  <si>
    <t>富重　寛文</t>
    <phoneticPr fontId="4"/>
  </si>
  <si>
    <t>矢口　聖一</t>
  </si>
  <si>
    <t>田原　宏城</t>
  </si>
  <si>
    <t>坂田　葵</t>
  </si>
  <si>
    <t>柏原　克宏</t>
    <phoneticPr fontId="4"/>
  </si>
  <si>
    <t>香山　弘</t>
  </si>
  <si>
    <t>E3A0</t>
  </si>
  <si>
    <t>西日本営業部（M-NETS）</t>
    <phoneticPr fontId="4"/>
  </si>
  <si>
    <t>二井家　徹</t>
  </si>
  <si>
    <t>五十川　文香</t>
  </si>
  <si>
    <t>戎﨑　寛人</t>
    <phoneticPr fontId="4"/>
  </si>
  <si>
    <t>池田　創</t>
  </si>
  <si>
    <t>井上　渚生</t>
    <phoneticPr fontId="4"/>
  </si>
  <si>
    <t>E3C0</t>
  </si>
  <si>
    <t>ソリューション営業部（M-NETS）</t>
    <phoneticPr fontId="4"/>
  </si>
  <si>
    <t>國枝　博希</t>
    <phoneticPr fontId="4"/>
  </si>
  <si>
    <t>井手　豊</t>
  </si>
  <si>
    <t>松尾　拓磨</t>
  </si>
  <si>
    <t>基盤第二事業本部（MISOL）</t>
    <phoneticPr fontId="4"/>
  </si>
  <si>
    <t>エンタープライズ営業第三部（MISOL）</t>
    <phoneticPr fontId="4"/>
  </si>
  <si>
    <t>E364</t>
  </si>
  <si>
    <t>基盤第二事業本部（i2ts）</t>
    <phoneticPr fontId="4"/>
  </si>
  <si>
    <t>エンタープライズ営業第四部（i2ts）</t>
    <phoneticPr fontId="4"/>
  </si>
  <si>
    <t>E374</t>
  </si>
  <si>
    <t>営業第一課（i2ts）</t>
    <rPh sb="0" eb="5">
      <t>エイギョウダイイチカ</t>
    </rPh>
    <phoneticPr fontId="4"/>
  </si>
  <si>
    <t>木村　拓朗</t>
  </si>
  <si>
    <t>王　暁文</t>
  </si>
  <si>
    <t>清水　亮佑</t>
  </si>
  <si>
    <t>平本　実朱希</t>
  </si>
  <si>
    <t>小澤　莉奈</t>
  </si>
  <si>
    <t>田宮　唯衣</t>
  </si>
  <si>
    <t>E400</t>
  </si>
  <si>
    <t>基盤技術本部（M-NETS）</t>
    <phoneticPr fontId="4"/>
  </si>
  <si>
    <t>E420</t>
  </si>
  <si>
    <t>基盤技術推進部（M-NETS）</t>
  </si>
  <si>
    <t>E422</t>
  </si>
  <si>
    <t>基盤技術推進課（M-NETS）</t>
    <phoneticPr fontId="4"/>
  </si>
  <si>
    <t>中村　丈志</t>
  </si>
  <si>
    <t>苧野　晋吾</t>
  </si>
  <si>
    <t>筧　晃一</t>
  </si>
  <si>
    <t>四本木　正男</t>
  </si>
  <si>
    <t>澤口　純世</t>
  </si>
  <si>
    <t>木下　貴惠</t>
  </si>
  <si>
    <t>E430</t>
  </si>
  <si>
    <t>ソリューションSE部（M-NETS）</t>
  </si>
  <si>
    <t>E432</t>
  </si>
  <si>
    <t>第一課（M-NETS）</t>
    <phoneticPr fontId="4"/>
  </si>
  <si>
    <t>下田　圭介</t>
    <phoneticPr fontId="4"/>
  </si>
  <si>
    <t>石井　精司</t>
  </si>
  <si>
    <t>板橋　久昭</t>
  </si>
  <si>
    <t>大和田　理史</t>
  </si>
  <si>
    <t>綿貫　健一</t>
  </si>
  <si>
    <t>吉井　大輔</t>
  </si>
  <si>
    <t>E433</t>
  </si>
  <si>
    <t>第二課（M-NETS）</t>
    <rPh sb="1" eb="2">
      <t>ニ</t>
    </rPh>
    <phoneticPr fontId="4"/>
  </si>
  <si>
    <t>深澤　辰徳</t>
  </si>
  <si>
    <t>中村　萌恵</t>
  </si>
  <si>
    <t>E434</t>
  </si>
  <si>
    <t>第三課（M-NETS）</t>
    <rPh sb="1" eb="2">
      <t>サン</t>
    </rPh>
    <phoneticPr fontId="4"/>
  </si>
  <si>
    <t>川井　真一</t>
  </si>
  <si>
    <t>白畑　有加</t>
  </si>
  <si>
    <t>E435</t>
  </si>
  <si>
    <t>第四課（M-NETS）</t>
    <rPh sb="1" eb="2">
      <t>ヨン</t>
    </rPh>
    <phoneticPr fontId="4"/>
  </si>
  <si>
    <t>土屋　祐一</t>
  </si>
  <si>
    <t>百百　英海</t>
  </si>
  <si>
    <t>宮崎　守弘</t>
  </si>
  <si>
    <t>E440</t>
  </si>
  <si>
    <t>ネットワークデリバリ部（M-NETS）</t>
    <phoneticPr fontId="4"/>
  </si>
  <si>
    <t>中山　一広</t>
    <phoneticPr fontId="4"/>
  </si>
  <si>
    <t>青木　勇磨</t>
  </si>
  <si>
    <t>中村　智之</t>
    <phoneticPr fontId="4"/>
  </si>
  <si>
    <t>E450</t>
  </si>
  <si>
    <t>基盤SE第一部（M-NETS）</t>
    <phoneticPr fontId="4"/>
  </si>
  <si>
    <t>E452</t>
  </si>
  <si>
    <t>西田　勝一</t>
    <phoneticPr fontId="4"/>
  </si>
  <si>
    <t>伊藤　大輔</t>
    <phoneticPr fontId="4"/>
  </si>
  <si>
    <t>佐藤　潤</t>
  </si>
  <si>
    <t>多嘉良　知式</t>
    <phoneticPr fontId="4"/>
  </si>
  <si>
    <t>能登　高浩</t>
  </si>
  <si>
    <t>照井　萌加</t>
  </si>
  <si>
    <t>市川　麻央</t>
  </si>
  <si>
    <t>澤田　創</t>
  </si>
  <si>
    <t>佐藤　佑樹</t>
  </si>
  <si>
    <t>E453</t>
  </si>
  <si>
    <t>櫻井　貴裕</t>
  </si>
  <si>
    <t>清水　篤史</t>
  </si>
  <si>
    <t>田中　雄大</t>
  </si>
  <si>
    <t>大石　千絵美</t>
  </si>
  <si>
    <t>亀井　優菜</t>
  </si>
  <si>
    <t>野中　惠太</t>
  </si>
  <si>
    <t>E454</t>
  </si>
  <si>
    <t>苅込　淳</t>
    <phoneticPr fontId="4"/>
  </si>
  <si>
    <t>福嵜　直哉</t>
    <phoneticPr fontId="4"/>
  </si>
  <si>
    <t>芦田　利久</t>
  </si>
  <si>
    <t>E460</t>
  </si>
  <si>
    <t>基盤SE第二部（M-NETS）</t>
    <phoneticPr fontId="4"/>
  </si>
  <si>
    <t>E462</t>
  </si>
  <si>
    <t>桝井　徳幸</t>
    <phoneticPr fontId="4"/>
  </si>
  <si>
    <t>髙野　文春</t>
  </si>
  <si>
    <t>上田　雅博</t>
  </si>
  <si>
    <t>川元　健一</t>
  </si>
  <si>
    <t>内山　聡</t>
  </si>
  <si>
    <t>石川　正人</t>
  </si>
  <si>
    <t>今成　亜藍</t>
  </si>
  <si>
    <t>中台　主烈</t>
  </si>
  <si>
    <t>大畑　璃奈</t>
  </si>
  <si>
    <t>E463</t>
  </si>
  <si>
    <t>桝井　徳幸</t>
  </si>
  <si>
    <t>新井　学</t>
  </si>
  <si>
    <t>稲垣　尊士</t>
  </si>
  <si>
    <t>E464</t>
  </si>
  <si>
    <t>鈴木　航志</t>
    <phoneticPr fontId="4"/>
  </si>
  <si>
    <t>西園寺　ちひろ</t>
  </si>
  <si>
    <t>青柳　聡</t>
  </si>
  <si>
    <t>E470</t>
  </si>
  <si>
    <t>基盤SE第三部（M-NETS）</t>
    <phoneticPr fontId="4"/>
  </si>
  <si>
    <t>E472</t>
  </si>
  <si>
    <t>佐藤　靖崇</t>
    <phoneticPr fontId="4"/>
  </si>
  <si>
    <t>小野　貴洋</t>
  </si>
  <si>
    <t>平吹　孝雄</t>
  </si>
  <si>
    <t>関口　卓</t>
  </si>
  <si>
    <t>渡辺　夏菜</t>
  </si>
  <si>
    <t>舘石　岳人</t>
  </si>
  <si>
    <t>福澤　俊幸</t>
    <phoneticPr fontId="4"/>
  </si>
  <si>
    <t>E473</t>
  </si>
  <si>
    <t>牧野　英一</t>
  </si>
  <si>
    <t>内村　正</t>
  </si>
  <si>
    <t>田中　裕一</t>
    <phoneticPr fontId="4"/>
  </si>
  <si>
    <t>鈴木　大輝</t>
  </si>
  <si>
    <t>渡邊　大輝</t>
  </si>
  <si>
    <t>岸本　彰</t>
  </si>
  <si>
    <t>篠田　優</t>
  </si>
  <si>
    <t>E474</t>
  </si>
  <si>
    <t>佐藤　靖崇</t>
  </si>
  <si>
    <t>岩本　涼平</t>
  </si>
  <si>
    <t>西田　一成</t>
  </si>
  <si>
    <t>谷崎　亮</t>
  </si>
  <si>
    <t>佐藤　啓一</t>
  </si>
  <si>
    <t>柳瀬　葵</t>
  </si>
  <si>
    <t>E500</t>
  </si>
  <si>
    <t>マネージドサービス本部（M-NETS）</t>
    <phoneticPr fontId="4"/>
  </si>
  <si>
    <t>E520</t>
  </si>
  <si>
    <t>サービスSE第一部（M-NETS）</t>
    <phoneticPr fontId="4"/>
  </si>
  <si>
    <t>E523</t>
  </si>
  <si>
    <t>川原　拓也</t>
  </si>
  <si>
    <t>坂口　丈太</t>
  </si>
  <si>
    <t>徳正　愛</t>
  </si>
  <si>
    <t>石田　佳奈恵</t>
  </si>
  <si>
    <t>E524</t>
  </si>
  <si>
    <t>井古田　和之</t>
  </si>
  <si>
    <t>遠藤　瞳</t>
  </si>
  <si>
    <t>山田　雄大</t>
  </si>
  <si>
    <t>E540</t>
  </si>
  <si>
    <t>ICTサービス部（M-NETS）</t>
    <phoneticPr fontId="4"/>
  </si>
  <si>
    <t>E542</t>
  </si>
  <si>
    <t>河本　圭</t>
    <phoneticPr fontId="4"/>
  </si>
  <si>
    <t>佐藤　雄二</t>
    <phoneticPr fontId="4"/>
  </si>
  <si>
    <t>畑中　智和</t>
  </si>
  <si>
    <t>森田　裕介</t>
  </si>
  <si>
    <t>吉澤　匠</t>
  </si>
  <si>
    <t>田中　康友</t>
  </si>
  <si>
    <t>E543</t>
  </si>
  <si>
    <t>岡澤　順也</t>
  </si>
  <si>
    <t>E544</t>
  </si>
  <si>
    <t>武松　同仁</t>
    <phoneticPr fontId="4"/>
  </si>
  <si>
    <t>淺井　実祈</t>
    <phoneticPr fontId="4"/>
  </si>
  <si>
    <t>遠藤　大輔</t>
    <phoneticPr fontId="4"/>
  </si>
  <si>
    <t>柾　竣介</t>
    <phoneticPr fontId="4"/>
  </si>
  <si>
    <t>塩野　純</t>
    <phoneticPr fontId="4"/>
  </si>
  <si>
    <t>E545</t>
  </si>
  <si>
    <t>運用基盤課（M-NETS）</t>
    <phoneticPr fontId="4"/>
  </si>
  <si>
    <t>露口　和弘</t>
  </si>
  <si>
    <t>高木　伸和</t>
  </si>
  <si>
    <t>岡島　一尚</t>
  </si>
  <si>
    <t>池本　浩幸</t>
  </si>
  <si>
    <t>真家　礼衣</t>
  </si>
  <si>
    <t>大川　沙弥加</t>
  </si>
  <si>
    <t>E530</t>
  </si>
  <si>
    <t>サービスSE第二部（M-NETS）</t>
    <phoneticPr fontId="4"/>
  </si>
  <si>
    <t>E533</t>
  </si>
  <si>
    <t>菊地　正彦</t>
    <phoneticPr fontId="4"/>
  </si>
  <si>
    <t>手塚　正伸</t>
  </si>
  <si>
    <t>枡谷　亮仁</t>
  </si>
  <si>
    <t>西島　幹博</t>
  </si>
  <si>
    <t>藤柳　聡一朗</t>
    <phoneticPr fontId="4"/>
  </si>
  <si>
    <t>吉羽　勝栄</t>
  </si>
  <si>
    <t>本田　雅宏</t>
  </si>
  <si>
    <t>マネージドサービス本部（i2ts）</t>
    <phoneticPr fontId="4"/>
  </si>
  <si>
    <t>サービスSE第一部（i2ts）</t>
    <phoneticPr fontId="4"/>
  </si>
  <si>
    <t>E525</t>
  </si>
  <si>
    <t>第三課（i2ts）</t>
    <rPh sb="1" eb="2">
      <t>サン</t>
    </rPh>
    <phoneticPr fontId="4"/>
  </si>
  <si>
    <t>宮畑　義史</t>
  </si>
  <si>
    <t>宮川　憲一</t>
  </si>
  <si>
    <t>平田　渡</t>
  </si>
  <si>
    <t>佐藤　倫彦</t>
  </si>
  <si>
    <t>川邉　一貴</t>
  </si>
  <si>
    <t>湊　将閣</t>
  </si>
  <si>
    <t>千葉　裕人</t>
  </si>
  <si>
    <t>加賀田　剛輝</t>
  </si>
  <si>
    <t>毛利　祐貴</t>
  </si>
  <si>
    <t>渡辺　茂夫</t>
  </si>
  <si>
    <t>E526</t>
  </si>
  <si>
    <t>第四課（i2ts）</t>
    <rPh sb="1" eb="2">
      <t>ヨン</t>
    </rPh>
    <phoneticPr fontId="4"/>
  </si>
  <si>
    <t>切澤　尚平</t>
  </si>
  <si>
    <t>落合　一輝</t>
    <phoneticPr fontId="4"/>
  </si>
  <si>
    <t>朝香　維真</t>
  </si>
  <si>
    <t>サービスSE第二部（i2ts）</t>
    <phoneticPr fontId="4"/>
  </si>
  <si>
    <t>E534</t>
  </si>
  <si>
    <t>第二課（i2ts）</t>
    <rPh sb="1" eb="2">
      <t>ニ</t>
    </rPh>
    <phoneticPr fontId="4"/>
  </si>
  <si>
    <t>中村　信介</t>
  </si>
  <si>
    <t>皆川　浩一</t>
  </si>
  <si>
    <t>関口　鉄平</t>
  </si>
  <si>
    <t>辻　直之</t>
  </si>
  <si>
    <t>福田　聡</t>
  </si>
  <si>
    <t>松重　匠</t>
  </si>
  <si>
    <t>佐川　朋也</t>
  </si>
  <si>
    <t>光桑野　裕介</t>
  </si>
  <si>
    <t>佐藤　大</t>
  </si>
  <si>
    <t>鈴木　理弘</t>
    <rPh sb="0" eb="2">
      <t>スズキ</t>
    </rPh>
    <rPh sb="3" eb="4">
      <t>リ</t>
    </rPh>
    <rPh sb="4" eb="5">
      <t>ヒロ</t>
    </rPh>
    <phoneticPr fontId="2"/>
  </si>
  <si>
    <t>齊藤　聡</t>
  </si>
  <si>
    <t>日比　雄介</t>
  </si>
  <si>
    <t>大場　健寛</t>
  </si>
  <si>
    <t>生畑目　光希</t>
  </si>
  <si>
    <t>太田　竜一</t>
  </si>
  <si>
    <t>E550</t>
  </si>
  <si>
    <t>サービスオペレーション部（i2ts）</t>
    <phoneticPr fontId="4"/>
  </si>
  <si>
    <t>E553</t>
  </si>
  <si>
    <t>第一課（i2ts）</t>
    <phoneticPr fontId="4"/>
  </si>
  <si>
    <t>河合　伸一</t>
    <phoneticPr fontId="4"/>
  </si>
  <si>
    <t>鈴木　守一</t>
  </si>
  <si>
    <t>渡邉　賢太郎</t>
    <phoneticPr fontId="4"/>
  </si>
  <si>
    <t>武井　宏道</t>
  </si>
  <si>
    <t>山本　恵子</t>
  </si>
  <si>
    <t>高橋　良介</t>
  </si>
  <si>
    <t>伊藤　圭介</t>
  </si>
  <si>
    <t>村松　拓馬</t>
  </si>
  <si>
    <t>長谷川　萌</t>
  </si>
  <si>
    <t>MA　NING</t>
  </si>
  <si>
    <t>平井　祐文</t>
  </si>
  <si>
    <t>大塚　幸太郎</t>
  </si>
  <si>
    <t>長澤　龍生</t>
  </si>
  <si>
    <t>E554</t>
  </si>
  <si>
    <t>斉藤　洋祐</t>
  </si>
  <si>
    <t>宮城　楽</t>
  </si>
  <si>
    <t>佐藤　銀河</t>
  </si>
  <si>
    <t>高村　陸</t>
  </si>
  <si>
    <t>齋藤　隆</t>
  </si>
  <si>
    <t>木本　舞子</t>
  </si>
  <si>
    <t>中野　玲皇</t>
  </si>
  <si>
    <t>古賀　南帆</t>
  </si>
  <si>
    <t>生出　悠太</t>
  </si>
  <si>
    <t>黒川　優一</t>
  </si>
  <si>
    <t>石山　堅太</t>
  </si>
  <si>
    <t>久野　紋菜</t>
  </si>
  <si>
    <t>林　良明</t>
    <rPh sb="0" eb="1">
      <t>ハヤシ</t>
    </rPh>
    <rPh sb="2" eb="4">
      <t>ヨシアキ</t>
    </rPh>
    <phoneticPr fontId="2"/>
  </si>
  <si>
    <t>青野　貴優</t>
    <rPh sb="0" eb="2">
      <t>アオノ</t>
    </rPh>
    <rPh sb="3" eb="4">
      <t>タット</t>
    </rPh>
    <rPh sb="4" eb="5">
      <t>ユウ</t>
    </rPh>
    <phoneticPr fontId="2"/>
  </si>
  <si>
    <t>太田　響</t>
    <rPh sb="0" eb="2">
      <t>オオタ</t>
    </rPh>
    <rPh sb="3" eb="4">
      <t>ヒビ</t>
    </rPh>
    <phoneticPr fontId="2"/>
  </si>
  <si>
    <t>齊藤　僚大</t>
  </si>
  <si>
    <t>安則　友瑛</t>
    <rPh sb="0" eb="2">
      <t>ヤスノリ</t>
    </rPh>
    <rPh sb="3" eb="4">
      <t>ユウ</t>
    </rPh>
    <rPh sb="4" eb="5">
      <t>エイ</t>
    </rPh>
    <phoneticPr fontId="2"/>
  </si>
  <si>
    <t>村松　恵美子</t>
  </si>
  <si>
    <t>金子　由佳利</t>
  </si>
  <si>
    <t>木村　佳南</t>
  </si>
  <si>
    <t>加藤　大輔</t>
  </si>
  <si>
    <t>林　大將</t>
    <phoneticPr fontId="4"/>
  </si>
  <si>
    <t>E600</t>
  </si>
  <si>
    <t>モバイルソリューション事業本部（M-NETS）</t>
    <phoneticPr fontId="4"/>
  </si>
  <si>
    <t>臼井　嘉宣</t>
    <phoneticPr fontId="4"/>
  </si>
  <si>
    <t>杉浦　雄一</t>
  </si>
  <si>
    <t>鈴木　淳平</t>
    <phoneticPr fontId="4"/>
  </si>
  <si>
    <t>今野　準</t>
  </si>
  <si>
    <t>加藤　篤史</t>
    <phoneticPr fontId="4"/>
  </si>
  <si>
    <t>大谷　あゆみ</t>
  </si>
  <si>
    <t>石垣　順一</t>
    <phoneticPr fontId="4"/>
  </si>
  <si>
    <t>高木　要輔</t>
  </si>
  <si>
    <t>小林　智子</t>
    <phoneticPr fontId="4"/>
  </si>
  <si>
    <t>荒木　真由子</t>
    <phoneticPr fontId="4"/>
  </si>
  <si>
    <t>三瓶　聡</t>
  </si>
  <si>
    <t>村田　瑞季</t>
    <phoneticPr fontId="4"/>
  </si>
  <si>
    <t>佐藤　真人</t>
  </si>
  <si>
    <t>竹島　佳輝</t>
  </si>
  <si>
    <t>森山　史之</t>
    <phoneticPr fontId="4"/>
  </si>
  <si>
    <t>吉田　倫己</t>
  </si>
  <si>
    <t>中田　悠介</t>
  </si>
  <si>
    <t>長田　遼</t>
  </si>
  <si>
    <t>野村　祥一</t>
    <phoneticPr fontId="4"/>
  </si>
  <si>
    <t>下村　武</t>
  </si>
  <si>
    <t>今泉　賢一</t>
  </si>
  <si>
    <t>塚本　亮</t>
    <phoneticPr fontId="4"/>
  </si>
  <si>
    <t>山下　敦之</t>
  </si>
  <si>
    <t>伊藤　茂泰</t>
    <phoneticPr fontId="4"/>
  </si>
  <si>
    <t>小澤　瑛莉子</t>
  </si>
  <si>
    <t>吉岡　あおい</t>
  </si>
  <si>
    <t>中山　絵梨香</t>
  </si>
  <si>
    <t>大島　清美</t>
  </si>
  <si>
    <t>岡田　真理子</t>
  </si>
  <si>
    <t>比嘉　奈津美</t>
  </si>
  <si>
    <t>山口　恵凪</t>
  </si>
  <si>
    <t>E700</t>
  </si>
  <si>
    <t>エッジソリューション事業室（M-NETS）</t>
    <phoneticPr fontId="4"/>
  </si>
  <si>
    <t>E721</t>
    <phoneticPr fontId="4"/>
  </si>
  <si>
    <t>AI営業課（M-NETS）</t>
    <phoneticPr fontId="4"/>
  </si>
  <si>
    <t>事業室長</t>
    <rPh sb="0" eb="2">
      <t>ジギョウ</t>
    </rPh>
    <rPh sb="2" eb="4">
      <t>シツチョウ</t>
    </rPh>
    <phoneticPr fontId="4"/>
  </si>
  <si>
    <t>栗原　希典</t>
  </si>
  <si>
    <t>副事業室長</t>
    <rPh sb="0" eb="1">
      <t>フク</t>
    </rPh>
    <rPh sb="1" eb="3">
      <t>ジギョウ</t>
    </rPh>
    <rPh sb="3" eb="5">
      <t>シツチョウ</t>
    </rPh>
    <phoneticPr fontId="4"/>
  </si>
  <si>
    <t>鴨川　航</t>
    <phoneticPr fontId="4"/>
  </si>
  <si>
    <t>前田　悠太</t>
  </si>
  <si>
    <t>市川　達也</t>
    <phoneticPr fontId="4"/>
  </si>
  <si>
    <t>下川　綾夏</t>
  </si>
  <si>
    <t>佐々倉　彬能</t>
  </si>
  <si>
    <t>岩田　祐輝</t>
  </si>
  <si>
    <t>久保　あゆみ</t>
    <phoneticPr fontId="4"/>
  </si>
  <si>
    <t>E731</t>
    <phoneticPr fontId="4"/>
  </si>
  <si>
    <t>ビジネスIT推進課（M-NETS）</t>
    <phoneticPr fontId="4"/>
  </si>
  <si>
    <t>澤田　勝美</t>
  </si>
  <si>
    <t>寺尾　綾音</t>
  </si>
  <si>
    <t>E741</t>
    <phoneticPr fontId="4"/>
  </si>
  <si>
    <t>技術課（M-NETS）</t>
    <phoneticPr fontId="4"/>
  </si>
  <si>
    <t>市川　達也</t>
  </si>
  <si>
    <t>田崎　悠平</t>
  </si>
  <si>
    <t>清水　優一</t>
  </si>
  <si>
    <t>茂呂　賢一</t>
  </si>
  <si>
    <t>山口　孝之</t>
  </si>
  <si>
    <t>本多　祐司</t>
  </si>
  <si>
    <t>IT基盤サービスセグメントCEO直轄</t>
    <rPh sb="2" eb="4">
      <t>キバン</t>
    </rPh>
    <rPh sb="16" eb="18">
      <t>チョッカツ</t>
    </rPh>
    <phoneticPr fontId="4"/>
  </si>
  <si>
    <t>E810</t>
  </si>
  <si>
    <t>サービス企画室（M-NETS）</t>
    <phoneticPr fontId="4"/>
  </si>
  <si>
    <t>井手　豊</t>
    <phoneticPr fontId="4"/>
  </si>
  <si>
    <t>安田　真</t>
  </si>
  <si>
    <t>桑原　彩夏</t>
  </si>
  <si>
    <t>木村　佳誉</t>
    <phoneticPr fontId="4"/>
  </si>
  <si>
    <t>高橋　靖生</t>
    <phoneticPr fontId="4"/>
  </si>
  <si>
    <t>薮木　空樹</t>
    <phoneticPr fontId="4"/>
  </si>
  <si>
    <t>和田　祐里亜</t>
    <phoneticPr fontId="4"/>
  </si>
  <si>
    <t>トヨタ自動車（株）</t>
  </si>
  <si>
    <t>Ngoxuan　Ky</t>
    <phoneticPr fontId="4"/>
  </si>
  <si>
    <t>今泉　理沙</t>
    <phoneticPr fontId="4"/>
  </si>
  <si>
    <t>池田　将太</t>
    <phoneticPr fontId="4"/>
  </si>
  <si>
    <t>松本　靖史</t>
    <phoneticPr fontId="4"/>
  </si>
  <si>
    <t>若林　勇斗</t>
    <phoneticPr fontId="4"/>
  </si>
  <si>
    <t>藤原　遊</t>
    <phoneticPr fontId="4"/>
  </si>
  <si>
    <t>鯉沼　貴行</t>
    <phoneticPr fontId="4"/>
  </si>
  <si>
    <t>小倉　清史</t>
    <phoneticPr fontId="4"/>
  </si>
  <si>
    <t>西澤　敏</t>
    <phoneticPr fontId="4"/>
  </si>
  <si>
    <t>山田　天地</t>
    <phoneticPr fontId="4"/>
  </si>
  <si>
    <t>技術第二部（MSYS）</t>
    <phoneticPr fontId="4"/>
  </si>
  <si>
    <t>磯崎　慎太郎</t>
    <phoneticPr fontId="4"/>
  </si>
  <si>
    <t>［丸紅］</t>
    <phoneticPr fontId="4"/>
  </si>
  <si>
    <t>松木　慎一郎</t>
    <phoneticPr fontId="4"/>
  </si>
  <si>
    <t>木野　純武</t>
    <phoneticPr fontId="4"/>
  </si>
  <si>
    <t>荒木　陽介</t>
    <phoneticPr fontId="4"/>
  </si>
  <si>
    <t>井口　直之</t>
    <phoneticPr fontId="4"/>
  </si>
  <si>
    <t>板場　俊也</t>
    <phoneticPr fontId="4"/>
  </si>
  <si>
    <t>臼田　夏菜</t>
    <phoneticPr fontId="4"/>
  </si>
  <si>
    <t>安藤　奈美子</t>
    <phoneticPr fontId="4"/>
  </si>
  <si>
    <t>長谷川　拓央</t>
    <phoneticPr fontId="4"/>
  </si>
  <si>
    <t>副室長</t>
    <rPh sb="0" eb="1">
      <t>フク</t>
    </rPh>
    <rPh sb="1" eb="3">
      <t>シツチョウ</t>
    </rPh>
    <phoneticPr fontId="4"/>
  </si>
  <si>
    <t>課長</t>
    <rPh sb="0" eb="2">
      <t>カチョウ</t>
    </rPh>
    <phoneticPr fontId="4"/>
  </si>
  <si>
    <t>（株）ミソラコネクト</t>
  </si>
  <si>
    <t>ニン　ミャティーダ</t>
    <phoneticPr fontId="4"/>
  </si>
  <si>
    <t>堀　佳介</t>
    <phoneticPr fontId="4"/>
  </si>
  <si>
    <t>長尾　頼明</t>
    <phoneticPr fontId="4"/>
  </si>
  <si>
    <t>森田　暢達</t>
  </si>
  <si>
    <t>奥山　紗央里</t>
    <phoneticPr fontId="4"/>
  </si>
  <si>
    <t>野澤　真哉</t>
    <phoneticPr fontId="4"/>
  </si>
  <si>
    <t>城尾　健二</t>
    <phoneticPr fontId="4"/>
  </si>
  <si>
    <t>木原　比斗美</t>
    <phoneticPr fontId="4"/>
  </si>
  <si>
    <t>高島　汀子</t>
    <phoneticPr fontId="4"/>
  </si>
  <si>
    <t>高部　泰成</t>
    <phoneticPr fontId="4"/>
  </si>
  <si>
    <t>松尾　佳憲</t>
    <phoneticPr fontId="4"/>
  </si>
  <si>
    <t>CTO補佐</t>
    <rPh sb="3" eb="5">
      <t>ホサ</t>
    </rPh>
    <phoneticPr fontId="4"/>
  </si>
  <si>
    <t>（株）ミソラコネクト</t>
    <phoneticPr fontId="4"/>
  </si>
  <si>
    <t>（株）中本&amp;アソシエイツ</t>
    <phoneticPr fontId="4"/>
  </si>
  <si>
    <t>片岡　咲子</t>
  </si>
  <si>
    <t>小見山　晃輔</t>
  </si>
  <si>
    <t>［クラウドエース］</t>
    <phoneticPr fontId="4"/>
  </si>
  <si>
    <t>［コミュニケーション・アライアンス］</t>
    <phoneticPr fontId="4"/>
  </si>
  <si>
    <t>副支店長</t>
    <phoneticPr fontId="4"/>
  </si>
  <si>
    <t>渡邊　陽香</t>
    <phoneticPr fontId="4"/>
  </si>
  <si>
    <t>小川　莉花</t>
    <phoneticPr fontId="4"/>
  </si>
  <si>
    <t>横田　修平</t>
    <phoneticPr fontId="4"/>
  </si>
  <si>
    <t>大曲　康裕</t>
    <phoneticPr fontId="4"/>
  </si>
  <si>
    <t>坂口　暁</t>
    <phoneticPr fontId="4"/>
  </si>
  <si>
    <t>名古屋支店</t>
    <phoneticPr fontId="4"/>
  </si>
  <si>
    <t>BS第四課（MIH）</t>
    <rPh sb="3" eb="4">
      <t>ヨン</t>
    </rPh>
    <phoneticPr fontId="4"/>
  </si>
  <si>
    <t>BS第五課（MIH）</t>
    <rPh sb="3" eb="4">
      <t>ゴ</t>
    </rPh>
    <phoneticPr fontId="4"/>
  </si>
  <si>
    <t>広兼　光彦</t>
    <phoneticPr fontId="4"/>
  </si>
  <si>
    <t>A818</t>
    <phoneticPr fontId="4"/>
  </si>
  <si>
    <t>A819</t>
    <phoneticPr fontId="4"/>
  </si>
  <si>
    <t>営業企画課（MSYS）</t>
    <phoneticPr fontId="4"/>
  </si>
  <si>
    <t>鎌田　瞬</t>
    <phoneticPr fontId="4"/>
  </si>
  <si>
    <t>北村　望</t>
    <phoneticPr fontId="4"/>
  </si>
  <si>
    <t>張　智評</t>
    <phoneticPr fontId="4"/>
  </si>
  <si>
    <t>伊坂　陸</t>
    <phoneticPr fontId="4"/>
  </si>
  <si>
    <t>王　彤暉</t>
    <phoneticPr fontId="4"/>
  </si>
  <si>
    <t>四本木　正男</t>
    <phoneticPr fontId="4"/>
  </si>
  <si>
    <t>大阪（新大阪）</t>
    <phoneticPr fontId="4"/>
  </si>
  <si>
    <t>D525</t>
    <phoneticPr fontId="4"/>
  </si>
  <si>
    <t>事業本部長補佐</t>
    <rPh sb="0" eb="5">
      <t>ジギョウホンブチョウ</t>
    </rPh>
    <rPh sb="5" eb="7">
      <t>ホサ</t>
    </rPh>
    <phoneticPr fontId="2"/>
  </si>
  <si>
    <t>大森　興太郎</t>
    <phoneticPr fontId="4"/>
  </si>
  <si>
    <t>佐藤　雅美</t>
    <phoneticPr fontId="4"/>
  </si>
  <si>
    <t>山口　静香</t>
    <phoneticPr fontId="4"/>
  </si>
  <si>
    <t>岩元　瑠理</t>
    <phoneticPr fontId="4"/>
  </si>
  <si>
    <t>下田　雅亮</t>
    <phoneticPr fontId="4"/>
  </si>
  <si>
    <t>崎山　祐作</t>
    <phoneticPr fontId="4"/>
  </si>
  <si>
    <t>業務改革推進室（MIH）</t>
    <phoneticPr fontId="4"/>
  </si>
  <si>
    <t>西村　幸枝</t>
    <phoneticPr fontId="4"/>
  </si>
  <si>
    <t>丸紅I-DIGIOグループ　統合役割表 2025年11月1日付</t>
    <rPh sb="14" eb="16">
      <t>トウゴウ</t>
    </rPh>
    <rPh sb="16" eb="19">
      <t>ヤクワリヒョウ</t>
    </rPh>
    <rPh sb="24" eb="25">
      <t>ネン</t>
    </rPh>
    <rPh sb="27" eb="28">
      <t>ガツ</t>
    </rPh>
    <rPh sb="29" eb="30">
      <t>ヒ</t>
    </rPh>
    <rPh sb="30" eb="31">
      <t>ツ</t>
    </rPh>
    <phoneticPr fontId="2"/>
  </si>
  <si>
    <t>A910</t>
    <phoneticPr fontId="4"/>
  </si>
  <si>
    <t>本部長補佐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</si>
</sst>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rgb="FF0061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0012"/>
        <bgColor indexed="64"/>
      </patternFill>
    </fill>
    <fill>
      <patternFill patternType="solid">
        <fgColor rgb="FFFADBDA"/>
        <bgColor indexed="64"/>
      </patternFill>
    </fill>
    <fill>
      <patternFill patternType="solid">
        <fgColor rgb="FFFFE4C9"/>
        <bgColor indexed="64"/>
      </patternFill>
    </fill>
    <fill>
      <patternFill patternType="solid">
        <fgColor rgb="FF00479D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D7EEF1"/>
        <bgColor indexed="64"/>
      </patternFill>
    </fill>
    <fill>
      <patternFill patternType="solid">
        <fgColor rgb="FFEE7800"/>
        <bgColor indexed="64"/>
      </patternFill>
    </fill>
    <fill>
      <patternFill patternType="solid">
        <fgColor rgb="FF009AA3"/>
        <bgColor indexed="64"/>
      </patternFill>
    </fill>
    <fill>
      <patternFill patternType="solid">
        <fgColor rgb="FF009854"/>
        <bgColor indexed="64"/>
      </patternFill>
    </fill>
    <fill>
      <patternFill patternType="solid">
        <fgColor rgb="FFD5EAD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</cellStyleXfs>
  <cellXfs count="52">
    <xf numFmtId="0" fontId="0" fillId="0" borderId="0" xfId="0">
      <alignment vertical="center"/>
    </xf>
    <xf numFmtId="9" fontId="3" fillId="0" borderId="0" xfId="0" applyNumberFormat="1" applyFont="1">
      <alignment vertical="center"/>
    </xf>
    <xf numFmtId="9" fontId="3" fillId="4" borderId="0" xfId="0" applyNumberFormat="1" applyFont="1" applyFill="1">
      <alignment vertical="center"/>
    </xf>
    <xf numFmtId="0" fontId="3" fillId="0" borderId="0" xfId="1" applyNumberFormat="1" applyFont="1" applyAlignment="1">
      <alignment vertical="center"/>
    </xf>
    <xf numFmtId="0" fontId="3" fillId="4" borderId="0" xfId="1" applyNumberFormat="1" applyFont="1" applyFill="1" applyAlignment="1">
      <alignment vertical="center"/>
    </xf>
    <xf numFmtId="0" fontId="3" fillId="0" borderId="0" xfId="1" applyNumberFormat="1" applyFont="1" applyFill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3" fillId="0" borderId="3" xfId="1" applyNumberFormat="1" applyFont="1" applyFill="1" applyBorder="1" applyAlignment="1">
      <alignment vertical="center"/>
    </xf>
    <xf numFmtId="9" fontId="5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3" fillId="2" borderId="0" xfId="0" applyFont="1" applyFill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5" borderId="0" xfId="0" applyFont="1" applyFill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0" fontId="3" fillId="0" borderId="2" xfId="0" applyFont="1" applyBorder="1" applyAlignment="1">
      <alignment horizontal="center" vertical="center"/>
    </xf>
    <xf numFmtId="0" fontId="3" fillId="4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11" borderId="0" xfId="0" applyFont="1" applyFill="1">
      <alignment vertical="center"/>
    </xf>
    <xf numFmtId="0" fontId="3" fillId="11" borderId="2" xfId="0" applyFont="1" applyFill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4" borderId="0" xfId="2" applyFont="1" applyFill="1">
      <alignment vertical="center"/>
    </xf>
    <xf numFmtId="0" fontId="3" fillId="0" borderId="0" xfId="2" applyFont="1">
      <alignment vertical="center"/>
    </xf>
    <xf numFmtId="0" fontId="3" fillId="12" borderId="0" xfId="0" applyFont="1" applyFill="1">
      <alignment vertical="center"/>
    </xf>
    <xf numFmtId="0" fontId="3" fillId="12" borderId="2" xfId="0" applyFont="1" applyFill="1" applyBorder="1" applyAlignment="1">
      <alignment horizontal="center" vertical="center"/>
    </xf>
    <xf numFmtId="0" fontId="3" fillId="10" borderId="0" xfId="0" applyFont="1" applyFill="1">
      <alignment vertical="center"/>
    </xf>
    <xf numFmtId="0" fontId="3" fillId="0" borderId="0" xfId="3" applyFont="1">
      <alignment vertical="center"/>
    </xf>
    <xf numFmtId="0" fontId="3" fillId="0" borderId="3" xfId="0" applyFont="1" applyBorder="1">
      <alignment vertical="center"/>
    </xf>
    <xf numFmtId="0" fontId="3" fillId="13" borderId="0" xfId="0" applyFont="1" applyFill="1">
      <alignment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0" xfId="0" applyFont="1" applyFill="1">
      <alignment vertical="center"/>
    </xf>
    <xf numFmtId="9" fontId="5" fillId="0" borderId="1" xfId="1" applyFont="1" applyBorder="1" applyAlignment="1">
      <alignment vertical="center"/>
    </xf>
    <xf numFmtId="9" fontId="3" fillId="0" borderId="0" xfId="1" applyFont="1" applyFill="1" applyAlignment="1">
      <alignment vertical="center"/>
    </xf>
    <xf numFmtId="9" fontId="3" fillId="4" borderId="0" xfId="1" applyFont="1" applyFill="1" applyAlignment="1">
      <alignment vertical="center"/>
    </xf>
    <xf numFmtId="0" fontId="3" fillId="0" borderId="2" xfId="0" applyFont="1" applyBorder="1">
      <alignment vertical="center"/>
    </xf>
    <xf numFmtId="0" fontId="3" fillId="4" borderId="2" xfId="0" applyFont="1" applyFill="1" applyBorder="1">
      <alignment vertical="center"/>
    </xf>
    <xf numFmtId="0" fontId="3" fillId="6" borderId="2" xfId="0" applyFont="1" applyFill="1" applyBorder="1">
      <alignment vertical="center"/>
    </xf>
    <xf numFmtId="0" fontId="3" fillId="9" borderId="2" xfId="0" applyFont="1" applyFill="1" applyBorder="1">
      <alignment vertical="center"/>
    </xf>
    <xf numFmtId="0" fontId="3" fillId="7" borderId="2" xfId="0" applyFont="1" applyFill="1" applyBorder="1">
      <alignment vertical="center"/>
    </xf>
    <xf numFmtId="0" fontId="3" fillId="1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14" borderId="2" xfId="0" applyFont="1" applyFill="1" applyBorder="1">
      <alignment vertical="center"/>
    </xf>
  </cellXfs>
  <cellStyles count="4">
    <cellStyle name="パーセント" xfId="1" builtinId="5"/>
    <cellStyle name="標準" xfId="0" builtinId="0"/>
    <cellStyle name="標準 3 2" xfId="3" xr:uid="{B6EF5A28-7364-4293-8146-6CDBA3FBDEF6}"/>
    <cellStyle name="標準 3 6" xfId="2" xr:uid="{9314C433-E021-49DD-88C7-5F8CE436D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43FC-9832-437D-AA22-14F932808658}">
  <sheetPr codeName="Sheet1">
    <tabColor theme="5"/>
    <pageSetUpPr fitToPage="1"/>
  </sheetPr>
  <dimension ref="B1:AP2376"/>
  <sheetViews>
    <sheetView showGridLines="0" tabSelected="1" view="pageBreakPreview" zoomScaleNormal="60" zoomScaleSheetLayoutView="100" workbookViewId="0">
      <selection activeCell="O15" sqref="O15"/>
    </sheetView>
  </sheetViews>
  <sheetFormatPr defaultColWidth="9" defaultRowHeight="18" outlineLevelCol="1"/>
  <cols>
    <col min="1" max="1" width="1.59765625" style="11" customWidth="1"/>
    <col min="2" max="2" width="2.59765625" style="11" customWidth="1"/>
    <col min="3" max="3" width="1.59765625" style="11" customWidth="1"/>
    <col min="4" max="5" width="6.59765625" style="11" customWidth="1"/>
    <col min="6" max="6" width="4.59765625" style="11" customWidth="1"/>
    <col min="7" max="7" width="34.59765625" style="11" customWidth="1"/>
    <col min="8" max="8" width="18.59765625" style="11" customWidth="1"/>
    <col min="9" max="9" width="12.59765625" style="11" customWidth="1"/>
    <col min="10" max="10" width="20.59765625" style="11" customWidth="1"/>
    <col min="11" max="11" width="12.59765625" style="11" hidden="1" customWidth="1" outlineLevel="1"/>
    <col min="12" max="12" width="16.59765625" style="11" customWidth="1" collapsed="1"/>
    <col min="13" max="13" width="4.59765625" style="11" customWidth="1"/>
    <col min="14" max="15" width="6.59765625" style="11" customWidth="1"/>
    <col min="16" max="16" width="4.59765625" style="11" customWidth="1"/>
    <col min="17" max="17" width="34.59765625" style="11" customWidth="1"/>
    <col min="18" max="18" width="18.59765625" style="11" customWidth="1"/>
    <col min="19" max="19" width="12.59765625" style="11" customWidth="1"/>
    <col min="20" max="20" width="20.59765625" style="11" customWidth="1"/>
    <col min="21" max="21" width="12.59765625" style="11" hidden="1" customWidth="1" outlineLevel="1"/>
    <col min="22" max="22" width="16.59765625" style="11" customWidth="1" collapsed="1"/>
    <col min="23" max="23" width="4.59765625" style="11" customWidth="1"/>
    <col min="24" max="25" width="6.59765625" style="11" customWidth="1"/>
    <col min="26" max="26" width="4.59765625" style="11" customWidth="1"/>
    <col min="27" max="27" width="34.59765625" style="11" customWidth="1"/>
    <col min="28" max="28" width="18.59765625" style="11" customWidth="1"/>
    <col min="29" max="29" width="12.59765625" style="11" customWidth="1"/>
    <col min="30" max="30" width="20.59765625" style="11" customWidth="1"/>
    <col min="31" max="31" width="12.59765625" style="3" hidden="1" customWidth="1" outlineLevel="1"/>
    <col min="32" max="32" width="16.59765625" style="11" customWidth="1" collapsed="1"/>
    <col min="33" max="33" width="4.59765625" style="11" customWidth="1"/>
    <col min="34" max="35" width="6.59765625" style="11" customWidth="1"/>
    <col min="36" max="36" width="4.59765625" style="11" customWidth="1"/>
    <col min="37" max="37" width="34.59765625" style="11" customWidth="1"/>
    <col min="38" max="38" width="18.59765625" style="11" customWidth="1"/>
    <col min="39" max="39" width="12.59765625" style="11" customWidth="1"/>
    <col min="40" max="40" width="20.59765625" style="11" customWidth="1"/>
    <col min="41" max="41" width="12.59765625" style="11" hidden="1" customWidth="1" outlineLevel="1"/>
    <col min="42" max="42" width="16.59765625" style="11" customWidth="1" collapsed="1"/>
    <col min="43" max="16384" width="9" style="11"/>
  </cols>
  <sheetData>
    <row r="1" spans="2:42">
      <c r="D1" s="12" t="s">
        <v>2264</v>
      </c>
    </row>
    <row r="3" spans="2:42">
      <c r="D3" s="13" t="s">
        <v>0</v>
      </c>
      <c r="E3" s="13"/>
      <c r="F3" s="13"/>
      <c r="G3" s="13"/>
      <c r="H3" s="13"/>
      <c r="I3" s="13"/>
      <c r="J3" s="13" t="s">
        <v>1</v>
      </c>
      <c r="K3" s="10" t="s">
        <v>2</v>
      </c>
      <c r="L3" s="13" t="s">
        <v>3</v>
      </c>
      <c r="M3" s="12"/>
      <c r="N3" s="13" t="s">
        <v>4</v>
      </c>
      <c r="O3" s="13"/>
      <c r="P3" s="13"/>
      <c r="Q3" s="13"/>
      <c r="R3" s="13"/>
      <c r="S3" s="13"/>
      <c r="T3" s="13" t="s">
        <v>1</v>
      </c>
      <c r="U3" s="10" t="s">
        <v>2</v>
      </c>
      <c r="V3" s="13" t="s">
        <v>3</v>
      </c>
      <c r="W3" s="12"/>
      <c r="X3" s="13" t="s">
        <v>5</v>
      </c>
      <c r="Y3" s="13"/>
      <c r="Z3" s="13"/>
      <c r="AA3" s="13"/>
      <c r="AB3" s="13"/>
      <c r="AC3" s="13"/>
      <c r="AD3" s="13" t="s">
        <v>1</v>
      </c>
      <c r="AE3" s="39" t="s">
        <v>2</v>
      </c>
      <c r="AF3" s="13" t="s">
        <v>3</v>
      </c>
      <c r="AG3" s="12"/>
      <c r="AH3" s="13" t="s">
        <v>6</v>
      </c>
      <c r="AI3" s="13"/>
      <c r="AJ3" s="13"/>
      <c r="AK3" s="13"/>
      <c r="AL3" s="13"/>
      <c r="AM3" s="13"/>
      <c r="AN3" s="13" t="s">
        <v>1</v>
      </c>
      <c r="AO3" s="10" t="s">
        <v>2</v>
      </c>
      <c r="AP3" s="13" t="s">
        <v>3</v>
      </c>
    </row>
    <row r="5" spans="2:42">
      <c r="B5" s="14"/>
      <c r="E5" s="15"/>
      <c r="F5" s="43" t="s">
        <v>7</v>
      </c>
      <c r="G5" s="43"/>
      <c r="H5" s="43"/>
    </row>
    <row r="6" spans="2:42">
      <c r="B6" s="14"/>
      <c r="G6" s="11" t="s">
        <v>8</v>
      </c>
      <c r="H6" s="11" t="s">
        <v>9</v>
      </c>
      <c r="I6" s="11" t="s">
        <v>10</v>
      </c>
      <c r="J6" s="11" t="s">
        <v>11</v>
      </c>
    </row>
    <row r="7" spans="2:42">
      <c r="B7" s="14"/>
      <c r="G7" s="11" t="s">
        <v>12</v>
      </c>
      <c r="H7" s="11" t="s">
        <v>2217</v>
      </c>
      <c r="I7" s="11" t="s">
        <v>10</v>
      </c>
      <c r="J7" s="11" t="s">
        <v>14</v>
      </c>
    </row>
    <row r="8" spans="2:42">
      <c r="B8" s="14"/>
      <c r="G8" s="11" t="s">
        <v>12</v>
      </c>
      <c r="H8" s="11" t="s">
        <v>15</v>
      </c>
      <c r="I8" s="11" t="s">
        <v>10</v>
      </c>
      <c r="J8" s="11" t="s">
        <v>14</v>
      </c>
    </row>
    <row r="9" spans="2:42">
      <c r="B9" s="14"/>
      <c r="G9" s="11" t="s">
        <v>12</v>
      </c>
      <c r="H9" s="11" t="s">
        <v>16</v>
      </c>
      <c r="I9" s="11" t="s">
        <v>10</v>
      </c>
      <c r="J9" s="11" t="s">
        <v>11</v>
      </c>
    </row>
    <row r="10" spans="2:42">
      <c r="B10" s="14"/>
      <c r="G10" s="11" t="s">
        <v>12</v>
      </c>
      <c r="H10" s="11" t="s">
        <v>17</v>
      </c>
      <c r="I10" s="11" t="s">
        <v>10</v>
      </c>
      <c r="J10" s="11" t="s">
        <v>18</v>
      </c>
    </row>
    <row r="11" spans="2:42">
      <c r="B11" s="14"/>
      <c r="G11" s="11" t="s">
        <v>12</v>
      </c>
      <c r="H11" s="11" t="s">
        <v>19</v>
      </c>
      <c r="I11" s="11" t="s">
        <v>10</v>
      </c>
      <c r="J11" s="11" t="s">
        <v>14</v>
      </c>
    </row>
    <row r="12" spans="2:42">
      <c r="B12" s="14"/>
      <c r="G12" s="11" t="s">
        <v>20</v>
      </c>
      <c r="H12" s="11" t="s">
        <v>21</v>
      </c>
      <c r="I12" s="11" t="s">
        <v>10</v>
      </c>
      <c r="J12" s="11" t="s">
        <v>18</v>
      </c>
    </row>
    <row r="13" spans="2:42">
      <c r="B13" s="14"/>
      <c r="G13" s="11" t="s">
        <v>22</v>
      </c>
      <c r="H13" s="11" t="s">
        <v>23</v>
      </c>
      <c r="I13" s="11" t="s">
        <v>10</v>
      </c>
      <c r="J13" s="11" t="s">
        <v>11</v>
      </c>
    </row>
    <row r="14" spans="2:42">
      <c r="B14" s="14"/>
      <c r="G14" s="11" t="s">
        <v>24</v>
      </c>
      <c r="H14" s="11" t="s">
        <v>25</v>
      </c>
      <c r="I14" s="11" t="s">
        <v>10</v>
      </c>
      <c r="J14" s="11" t="s">
        <v>14</v>
      </c>
    </row>
    <row r="15" spans="2:42">
      <c r="B15" s="14"/>
      <c r="G15" s="11" t="s">
        <v>24</v>
      </c>
      <c r="H15" s="11" t="s">
        <v>26</v>
      </c>
      <c r="I15" s="11" t="s">
        <v>10</v>
      </c>
      <c r="J15" s="11" t="s">
        <v>14</v>
      </c>
    </row>
    <row r="16" spans="2:42">
      <c r="B16" s="14"/>
      <c r="G16" s="11" t="s">
        <v>24</v>
      </c>
      <c r="H16" s="11" t="s">
        <v>27</v>
      </c>
      <c r="I16" s="11" t="s">
        <v>10</v>
      </c>
      <c r="J16" s="11" t="s">
        <v>14</v>
      </c>
    </row>
    <row r="17" spans="2:10">
      <c r="B17" s="14"/>
      <c r="G17" s="11" t="s">
        <v>24</v>
      </c>
      <c r="H17" s="11" t="s">
        <v>28</v>
      </c>
      <c r="I17" s="11" t="s">
        <v>10</v>
      </c>
      <c r="J17" s="11" t="s">
        <v>14</v>
      </c>
    </row>
    <row r="18" spans="2:10">
      <c r="B18" s="14"/>
      <c r="G18" s="11" t="s">
        <v>24</v>
      </c>
      <c r="H18" s="11" t="s">
        <v>29</v>
      </c>
      <c r="I18" s="11" t="s">
        <v>10</v>
      </c>
      <c r="J18" s="11" t="s">
        <v>14</v>
      </c>
    </row>
    <row r="19" spans="2:10">
      <c r="B19" s="14"/>
      <c r="G19" s="11" t="s">
        <v>24</v>
      </c>
      <c r="H19" s="11" t="s">
        <v>30</v>
      </c>
      <c r="I19" s="11" t="s">
        <v>10</v>
      </c>
      <c r="J19" s="11" t="s">
        <v>14</v>
      </c>
    </row>
    <row r="20" spans="2:10">
      <c r="B20" s="14"/>
      <c r="G20" s="11" t="s">
        <v>24</v>
      </c>
      <c r="H20" s="11" t="s">
        <v>31</v>
      </c>
      <c r="I20" s="11" t="s">
        <v>10</v>
      </c>
      <c r="J20" s="11" t="s">
        <v>14</v>
      </c>
    </row>
    <row r="21" spans="2:10">
      <c r="B21" s="14"/>
      <c r="G21" s="11" t="s">
        <v>24</v>
      </c>
      <c r="H21" s="11" t="s">
        <v>32</v>
      </c>
      <c r="I21" s="11" t="s">
        <v>10</v>
      </c>
      <c r="J21" s="11" t="s">
        <v>14</v>
      </c>
    </row>
    <row r="22" spans="2:10">
      <c r="B22" s="14"/>
      <c r="G22" s="11" t="s">
        <v>33</v>
      </c>
      <c r="H22" s="11" t="s">
        <v>34</v>
      </c>
      <c r="I22" s="11" t="s">
        <v>10</v>
      </c>
      <c r="J22" s="11" t="s">
        <v>11</v>
      </c>
    </row>
    <row r="23" spans="2:10">
      <c r="B23" s="14"/>
    </row>
    <row r="24" spans="2:10">
      <c r="B24" s="14"/>
      <c r="E24" s="15"/>
      <c r="F24" s="43" t="s">
        <v>35</v>
      </c>
      <c r="G24" s="43"/>
      <c r="H24" s="43"/>
    </row>
    <row r="25" spans="2:10">
      <c r="B25" s="14"/>
      <c r="G25" s="11" t="s">
        <v>8</v>
      </c>
      <c r="H25" s="11" t="s">
        <v>9</v>
      </c>
      <c r="I25" s="11" t="s">
        <v>10</v>
      </c>
      <c r="J25" s="11" t="s">
        <v>11</v>
      </c>
    </row>
    <row r="26" spans="2:10">
      <c r="B26" s="14"/>
      <c r="G26" s="11" t="s">
        <v>36</v>
      </c>
      <c r="H26" s="11" t="s">
        <v>26</v>
      </c>
      <c r="I26" s="11" t="s">
        <v>10</v>
      </c>
      <c r="J26" s="11" t="s">
        <v>14</v>
      </c>
    </row>
    <row r="27" spans="2:10">
      <c r="B27" s="14"/>
      <c r="G27" s="11" t="s">
        <v>36</v>
      </c>
      <c r="H27" s="11" t="s">
        <v>37</v>
      </c>
      <c r="I27" s="11" t="s">
        <v>10</v>
      </c>
      <c r="J27" s="11" t="s">
        <v>18</v>
      </c>
    </row>
    <row r="28" spans="2:10">
      <c r="B28" s="14"/>
    </row>
    <row r="29" spans="2:10">
      <c r="B29" s="14"/>
      <c r="E29" s="15"/>
      <c r="F29" s="43" t="s">
        <v>38</v>
      </c>
      <c r="G29" s="43"/>
      <c r="H29" s="43"/>
    </row>
    <row r="30" spans="2:10">
      <c r="B30" s="14"/>
      <c r="G30" s="11" t="s">
        <v>8</v>
      </c>
      <c r="H30" s="11" t="s">
        <v>9</v>
      </c>
      <c r="I30" s="11" t="s">
        <v>10</v>
      </c>
      <c r="J30" s="11" t="s">
        <v>11</v>
      </c>
    </row>
    <row r="31" spans="2:10">
      <c r="B31" s="14"/>
      <c r="G31" s="11" t="s">
        <v>36</v>
      </c>
      <c r="H31" s="11" t="s">
        <v>17</v>
      </c>
      <c r="I31" s="11" t="s">
        <v>10</v>
      </c>
      <c r="J31" s="11" t="s">
        <v>18</v>
      </c>
    </row>
    <row r="32" spans="2:10">
      <c r="B32" s="14"/>
      <c r="G32" s="11" t="s">
        <v>36</v>
      </c>
      <c r="H32" s="11" t="s">
        <v>39</v>
      </c>
      <c r="I32" s="11" t="s">
        <v>10</v>
      </c>
      <c r="J32" s="11" t="s">
        <v>40</v>
      </c>
    </row>
    <row r="33" spans="2:10">
      <c r="B33" s="14"/>
    </row>
    <row r="34" spans="2:10">
      <c r="B34" s="14"/>
      <c r="E34" s="15"/>
      <c r="F34" s="43" t="s">
        <v>41</v>
      </c>
      <c r="G34" s="43"/>
      <c r="H34" s="43"/>
    </row>
    <row r="35" spans="2:10">
      <c r="B35" s="14"/>
      <c r="G35" s="11" t="s">
        <v>8</v>
      </c>
      <c r="H35" s="11" t="s">
        <v>9</v>
      </c>
      <c r="I35" s="11" t="s">
        <v>10</v>
      </c>
      <c r="J35" s="11" t="s">
        <v>11</v>
      </c>
    </row>
    <row r="36" spans="2:10">
      <c r="B36" s="14"/>
      <c r="G36" s="11" t="s">
        <v>36</v>
      </c>
      <c r="H36" s="11" t="s">
        <v>16</v>
      </c>
      <c r="I36" s="11" t="s">
        <v>10</v>
      </c>
      <c r="J36" s="11" t="s">
        <v>11</v>
      </c>
    </row>
    <row r="37" spans="2:10">
      <c r="B37" s="14"/>
      <c r="G37" s="11" t="s">
        <v>36</v>
      </c>
      <c r="H37" s="11" t="s">
        <v>42</v>
      </c>
      <c r="I37" s="11" t="s">
        <v>10</v>
      </c>
      <c r="J37" s="11" t="s">
        <v>43</v>
      </c>
    </row>
    <row r="38" spans="2:10">
      <c r="B38" s="14"/>
      <c r="G38" s="11" t="s">
        <v>36</v>
      </c>
      <c r="H38" s="11" t="s">
        <v>27</v>
      </c>
      <c r="I38" s="11" t="s">
        <v>10</v>
      </c>
      <c r="J38" s="11" t="s">
        <v>14</v>
      </c>
    </row>
    <row r="39" spans="2:10">
      <c r="B39" s="14"/>
    </row>
    <row r="40" spans="2:10">
      <c r="B40" s="14"/>
      <c r="E40" s="15"/>
      <c r="F40" s="43" t="s">
        <v>44</v>
      </c>
      <c r="G40" s="43"/>
      <c r="H40" s="43"/>
    </row>
    <row r="41" spans="2:10">
      <c r="B41" s="14"/>
      <c r="G41" s="11" t="s">
        <v>8</v>
      </c>
      <c r="H41" s="11" t="s">
        <v>9</v>
      </c>
      <c r="I41" s="11" t="s">
        <v>10</v>
      </c>
      <c r="J41" s="11" t="s">
        <v>11</v>
      </c>
    </row>
    <row r="42" spans="2:10">
      <c r="E42" s="16"/>
      <c r="F42" s="16"/>
      <c r="G42" s="16"/>
      <c r="H42" s="16"/>
    </row>
    <row r="43" spans="2:10">
      <c r="B43" s="17"/>
      <c r="D43" s="11">
        <f>SUM(D49,D480,D669,D757,D804)</f>
        <v>320</v>
      </c>
      <c r="E43" s="18"/>
      <c r="F43" s="44" t="s">
        <v>45</v>
      </c>
      <c r="G43" s="44"/>
      <c r="H43" s="44"/>
    </row>
    <row r="44" spans="2:10">
      <c r="B44" s="17"/>
      <c r="G44" s="11" t="s">
        <v>46</v>
      </c>
      <c r="H44" s="11" t="s">
        <v>9</v>
      </c>
      <c r="I44" s="11" t="s">
        <v>10</v>
      </c>
      <c r="J44" s="11" t="s">
        <v>11</v>
      </c>
    </row>
    <row r="45" spans="2:10">
      <c r="B45" s="17"/>
      <c r="G45" s="11" t="s">
        <v>47</v>
      </c>
      <c r="H45" s="11" t="s">
        <v>13</v>
      </c>
      <c r="I45" s="11" t="s">
        <v>10</v>
      </c>
      <c r="J45" s="11" t="s">
        <v>14</v>
      </c>
    </row>
    <row r="46" spans="2:10">
      <c r="B46" s="17"/>
      <c r="G46" s="11" t="s">
        <v>48</v>
      </c>
      <c r="H46" s="11" t="s">
        <v>15</v>
      </c>
      <c r="I46" s="11" t="s">
        <v>10</v>
      </c>
      <c r="J46" s="11" t="s">
        <v>14</v>
      </c>
    </row>
    <row r="47" spans="2:10">
      <c r="B47" s="17"/>
      <c r="G47" s="11" t="s">
        <v>49</v>
      </c>
      <c r="H47" s="11" t="s">
        <v>50</v>
      </c>
      <c r="I47" s="11" t="s">
        <v>10</v>
      </c>
      <c r="J47" s="11" t="s">
        <v>18</v>
      </c>
    </row>
    <row r="48" spans="2:10">
      <c r="B48" s="17"/>
    </row>
    <row r="49" spans="2:12">
      <c r="B49" s="19"/>
      <c r="D49" s="11">
        <f>SUM(I49,X86,D97,D139,D156)</f>
        <v>301</v>
      </c>
      <c r="E49" s="20" t="s">
        <v>51</v>
      </c>
      <c r="F49" s="42" t="s">
        <v>52</v>
      </c>
      <c r="G49" s="42"/>
      <c r="H49" s="42"/>
      <c r="I49" s="11">
        <f>COUNTA(H50:H54)-COUNTIF(F50:F54,"兼")</f>
        <v>5</v>
      </c>
    </row>
    <row r="50" spans="2:12">
      <c r="B50" s="19"/>
      <c r="G50" s="11" t="s">
        <v>46</v>
      </c>
      <c r="H50" s="11" t="s">
        <v>9</v>
      </c>
      <c r="I50" s="11" t="s">
        <v>10</v>
      </c>
      <c r="J50" s="11" t="s">
        <v>11</v>
      </c>
      <c r="K50" s="1">
        <v>0.9</v>
      </c>
    </row>
    <row r="51" spans="2:12">
      <c r="B51" s="19"/>
      <c r="G51" s="11" t="s">
        <v>47</v>
      </c>
      <c r="H51" s="11" t="s">
        <v>13</v>
      </c>
      <c r="I51" s="11" t="s">
        <v>10</v>
      </c>
      <c r="J51" s="11" t="s">
        <v>14</v>
      </c>
      <c r="K51" s="1">
        <v>0.5</v>
      </c>
    </row>
    <row r="52" spans="2:12">
      <c r="B52" s="19"/>
      <c r="G52" s="11" t="s">
        <v>48</v>
      </c>
      <c r="H52" s="11" t="s">
        <v>15</v>
      </c>
      <c r="I52" s="11" t="s">
        <v>10</v>
      </c>
      <c r="J52" s="11" t="s">
        <v>14</v>
      </c>
      <c r="K52" s="1">
        <v>0.6</v>
      </c>
    </row>
    <row r="53" spans="2:12">
      <c r="B53" s="19"/>
      <c r="G53" s="11" t="s">
        <v>49</v>
      </c>
      <c r="H53" s="11" t="s">
        <v>21</v>
      </c>
      <c r="I53" s="11" t="s">
        <v>10</v>
      </c>
      <c r="J53" s="11" t="s">
        <v>18</v>
      </c>
      <c r="K53" s="1">
        <v>0.6</v>
      </c>
    </row>
    <row r="54" spans="2:12">
      <c r="B54" s="19"/>
      <c r="H54" s="11" t="s">
        <v>34</v>
      </c>
      <c r="I54" s="11" t="s">
        <v>10</v>
      </c>
      <c r="J54" s="11" t="s">
        <v>11</v>
      </c>
      <c r="K54" s="1">
        <v>1</v>
      </c>
    </row>
    <row r="55" spans="2:12">
      <c r="B55" s="19"/>
    </row>
    <row r="56" spans="2:12">
      <c r="B56" s="19"/>
      <c r="F56" s="21"/>
      <c r="G56" s="21" t="s">
        <v>53</v>
      </c>
      <c r="H56" s="21"/>
      <c r="I56" s="21"/>
      <c r="J56" s="21"/>
      <c r="K56" s="4"/>
      <c r="L56" s="21"/>
    </row>
    <row r="57" spans="2:12">
      <c r="B57" s="19"/>
      <c r="F57" s="21"/>
      <c r="G57" s="21" t="s">
        <v>54</v>
      </c>
      <c r="H57" s="21"/>
      <c r="I57" s="21"/>
      <c r="J57" s="21"/>
      <c r="K57" s="4"/>
      <c r="L57" s="21"/>
    </row>
    <row r="58" spans="2:12">
      <c r="B58" s="19"/>
      <c r="F58" s="21"/>
      <c r="G58" s="21"/>
      <c r="H58" s="21" t="s">
        <v>25</v>
      </c>
      <c r="I58" s="21" t="s">
        <v>55</v>
      </c>
      <c r="J58" s="21" t="s">
        <v>14</v>
      </c>
      <c r="K58" s="2">
        <v>0.6</v>
      </c>
      <c r="L58" s="21" t="s">
        <v>56</v>
      </c>
    </row>
    <row r="59" spans="2:12">
      <c r="B59" s="19"/>
      <c r="F59" s="21" t="s">
        <v>57</v>
      </c>
      <c r="G59" s="21"/>
      <c r="H59" s="21" t="s">
        <v>25</v>
      </c>
      <c r="I59" s="21" t="s">
        <v>55</v>
      </c>
      <c r="J59" s="21" t="s">
        <v>14</v>
      </c>
      <c r="K59" s="2">
        <v>0.4</v>
      </c>
      <c r="L59" s="21" t="s">
        <v>58</v>
      </c>
    </row>
    <row r="60" spans="2:12">
      <c r="B60" s="19"/>
      <c r="F60" s="21"/>
      <c r="G60" s="21"/>
      <c r="H60" s="21" t="s">
        <v>59</v>
      </c>
      <c r="I60" s="21" t="s">
        <v>60</v>
      </c>
      <c r="J60" s="21" t="s">
        <v>14</v>
      </c>
      <c r="K60" s="2">
        <v>0.6</v>
      </c>
      <c r="L60" s="21" t="s">
        <v>58</v>
      </c>
    </row>
    <row r="61" spans="2:12">
      <c r="B61" s="19"/>
      <c r="F61" s="21" t="s">
        <v>57</v>
      </c>
      <c r="G61" s="21"/>
      <c r="H61" s="21" t="s">
        <v>59</v>
      </c>
      <c r="I61" s="21" t="s">
        <v>60</v>
      </c>
      <c r="J61" s="21" t="s">
        <v>14</v>
      </c>
      <c r="K61" s="2">
        <v>0.4</v>
      </c>
      <c r="L61" s="21" t="s">
        <v>61</v>
      </c>
    </row>
    <row r="62" spans="2:12">
      <c r="B62" s="19"/>
      <c r="F62" s="21"/>
      <c r="G62" s="21"/>
      <c r="H62" s="21" t="s">
        <v>27</v>
      </c>
      <c r="I62" s="21" t="s">
        <v>60</v>
      </c>
      <c r="J62" s="21" t="s">
        <v>14</v>
      </c>
      <c r="K62" s="2">
        <v>1</v>
      </c>
      <c r="L62" s="21" t="s">
        <v>62</v>
      </c>
    </row>
    <row r="63" spans="2:12">
      <c r="B63" s="19"/>
      <c r="F63" s="21"/>
      <c r="G63" s="21"/>
      <c r="H63" s="21" t="s">
        <v>29</v>
      </c>
      <c r="I63" s="21" t="s">
        <v>60</v>
      </c>
      <c r="J63" s="21" t="s">
        <v>14</v>
      </c>
      <c r="K63" s="2">
        <v>0.6</v>
      </c>
      <c r="L63" s="21" t="s">
        <v>63</v>
      </c>
    </row>
    <row r="64" spans="2:12">
      <c r="B64" s="19"/>
      <c r="F64" s="21" t="s">
        <v>57</v>
      </c>
      <c r="G64" s="21"/>
      <c r="H64" s="21" t="s">
        <v>29</v>
      </c>
      <c r="I64" s="21" t="s">
        <v>60</v>
      </c>
      <c r="J64" s="21" t="s">
        <v>14</v>
      </c>
      <c r="K64" s="2">
        <v>0.4</v>
      </c>
      <c r="L64" s="21" t="s">
        <v>64</v>
      </c>
    </row>
    <row r="65" spans="2:31">
      <c r="B65" s="19"/>
      <c r="F65" s="21"/>
      <c r="G65" s="21"/>
      <c r="H65" s="21" t="s">
        <v>65</v>
      </c>
      <c r="I65" s="21" t="s">
        <v>60</v>
      </c>
      <c r="J65" s="21" t="s">
        <v>14</v>
      </c>
      <c r="K65" s="2">
        <v>1</v>
      </c>
      <c r="L65" s="21" t="s">
        <v>58</v>
      </c>
    </row>
    <row r="66" spans="2:31">
      <c r="B66" s="19"/>
      <c r="F66" s="21"/>
      <c r="G66" s="21"/>
      <c r="H66" s="21" t="s">
        <v>66</v>
      </c>
      <c r="I66" s="21" t="s">
        <v>60</v>
      </c>
      <c r="J66" s="21" t="s">
        <v>14</v>
      </c>
      <c r="K66" s="2">
        <v>1</v>
      </c>
      <c r="L66" s="21" t="s">
        <v>58</v>
      </c>
    </row>
    <row r="67" spans="2:31">
      <c r="B67" s="19"/>
      <c r="F67" s="21"/>
      <c r="G67" s="21"/>
      <c r="H67" s="21" t="s">
        <v>2261</v>
      </c>
      <c r="I67" s="21" t="s">
        <v>60</v>
      </c>
      <c r="J67" s="21" t="s">
        <v>14</v>
      </c>
      <c r="K67" s="2">
        <v>1</v>
      </c>
      <c r="L67" s="21" t="s">
        <v>58</v>
      </c>
    </row>
    <row r="68" spans="2:31">
      <c r="B68" s="19"/>
      <c r="AE68" s="5"/>
    </row>
    <row r="69" spans="2:31">
      <c r="B69" s="19"/>
      <c r="F69" s="21"/>
      <c r="G69" s="21" t="s">
        <v>53</v>
      </c>
      <c r="H69" s="21"/>
      <c r="I69" s="21"/>
      <c r="J69" s="21"/>
      <c r="K69" s="4"/>
      <c r="L69" s="21"/>
    </row>
    <row r="70" spans="2:31">
      <c r="B70" s="19"/>
      <c r="F70" s="21"/>
      <c r="G70" s="21" t="s">
        <v>67</v>
      </c>
      <c r="H70" s="21"/>
      <c r="I70" s="21"/>
      <c r="J70" s="21"/>
      <c r="K70" s="4"/>
      <c r="L70" s="21"/>
    </row>
    <row r="71" spans="2:31">
      <c r="B71" s="19"/>
      <c r="F71" s="21"/>
      <c r="G71" s="21"/>
      <c r="H71" s="21" t="s">
        <v>28</v>
      </c>
      <c r="I71" s="21" t="s">
        <v>60</v>
      </c>
      <c r="J71" s="21" t="s">
        <v>14</v>
      </c>
      <c r="K71" s="2">
        <v>1</v>
      </c>
      <c r="L71" s="21" t="s">
        <v>58</v>
      </c>
    </row>
    <row r="72" spans="2:31">
      <c r="B72" s="19"/>
      <c r="F72" s="21"/>
      <c r="G72" s="21"/>
      <c r="H72" s="21" t="s">
        <v>32</v>
      </c>
      <c r="I72" s="21" t="s">
        <v>60</v>
      </c>
      <c r="J72" s="21" t="s">
        <v>14</v>
      </c>
      <c r="K72" s="2">
        <v>0.8</v>
      </c>
      <c r="L72" s="21" t="s">
        <v>56</v>
      </c>
    </row>
    <row r="73" spans="2:31">
      <c r="B73" s="19"/>
      <c r="F73" s="21" t="s">
        <v>57</v>
      </c>
      <c r="G73" s="21"/>
      <c r="H73" s="21" t="s">
        <v>32</v>
      </c>
      <c r="I73" s="21" t="s">
        <v>60</v>
      </c>
      <c r="J73" s="21" t="s">
        <v>14</v>
      </c>
      <c r="K73" s="2">
        <v>0.2</v>
      </c>
      <c r="L73" s="21" t="s">
        <v>68</v>
      </c>
    </row>
    <row r="74" spans="2:31">
      <c r="B74" s="19"/>
      <c r="AE74" s="5"/>
    </row>
    <row r="75" spans="2:31">
      <c r="B75" s="19"/>
      <c r="F75" s="21"/>
      <c r="G75" s="21" t="s">
        <v>53</v>
      </c>
      <c r="H75" s="21"/>
      <c r="I75" s="21"/>
      <c r="J75" s="21"/>
      <c r="K75" s="4"/>
      <c r="L75" s="21"/>
    </row>
    <row r="76" spans="2:31">
      <c r="B76" s="19"/>
      <c r="F76" s="21"/>
      <c r="G76" s="21" t="s">
        <v>69</v>
      </c>
      <c r="H76" s="21"/>
      <c r="I76" s="21"/>
      <c r="J76" s="21"/>
      <c r="K76" s="4"/>
      <c r="L76" s="21"/>
    </row>
    <row r="77" spans="2:31">
      <c r="B77" s="19"/>
      <c r="F77" s="21"/>
      <c r="G77" s="21"/>
      <c r="H77" s="21" t="s">
        <v>30</v>
      </c>
      <c r="I77" s="21" t="s">
        <v>70</v>
      </c>
      <c r="J77" s="21" t="s">
        <v>14</v>
      </c>
      <c r="K77" s="2">
        <v>1</v>
      </c>
      <c r="L77" s="21" t="s">
        <v>64</v>
      </c>
      <c r="AE77" s="5"/>
    </row>
    <row r="78" spans="2:31">
      <c r="B78" s="19"/>
      <c r="F78" s="21" t="s">
        <v>57</v>
      </c>
      <c r="G78" s="21"/>
      <c r="H78" s="21" t="s">
        <v>30</v>
      </c>
      <c r="I78" s="21" t="s">
        <v>70</v>
      </c>
      <c r="J78" s="21" t="s">
        <v>14</v>
      </c>
      <c r="K78" s="2">
        <v>0</v>
      </c>
      <c r="L78" s="21" t="s">
        <v>62</v>
      </c>
      <c r="AE78" s="5"/>
    </row>
    <row r="79" spans="2:31">
      <c r="B79" s="19"/>
      <c r="F79" s="21"/>
      <c r="G79" s="21"/>
      <c r="H79" s="21" t="s">
        <v>31</v>
      </c>
      <c r="I79" s="21" t="s">
        <v>70</v>
      </c>
      <c r="J79" s="21" t="s">
        <v>14</v>
      </c>
      <c r="K79" s="2">
        <v>0.6</v>
      </c>
      <c r="L79" s="21" t="s">
        <v>62</v>
      </c>
      <c r="AE79" s="5"/>
    </row>
    <row r="80" spans="2:31">
      <c r="B80" s="19"/>
      <c r="F80" s="21" t="s">
        <v>57</v>
      </c>
      <c r="G80" s="21"/>
      <c r="H80" s="21" t="s">
        <v>31</v>
      </c>
      <c r="I80" s="21" t="s">
        <v>70</v>
      </c>
      <c r="J80" s="21" t="s">
        <v>14</v>
      </c>
      <c r="K80" s="2">
        <v>0.2</v>
      </c>
      <c r="L80" s="21" t="s">
        <v>56</v>
      </c>
      <c r="AE80" s="5"/>
    </row>
    <row r="81" spans="2:42">
      <c r="B81" s="19"/>
      <c r="F81" s="21" t="s">
        <v>57</v>
      </c>
      <c r="G81" s="21"/>
      <c r="H81" s="21" t="s">
        <v>31</v>
      </c>
      <c r="I81" s="21" t="s">
        <v>70</v>
      </c>
      <c r="J81" s="21" t="s">
        <v>14</v>
      </c>
      <c r="K81" s="2">
        <v>0.2</v>
      </c>
      <c r="L81" s="21" t="s">
        <v>71</v>
      </c>
      <c r="AE81" s="5"/>
    </row>
    <row r="82" spans="2:42">
      <c r="B82" s="19"/>
      <c r="F82" s="21"/>
      <c r="G82" s="21"/>
      <c r="H82" s="21" t="s">
        <v>72</v>
      </c>
      <c r="I82" s="21" t="s">
        <v>60</v>
      </c>
      <c r="J82" s="21" t="s">
        <v>14</v>
      </c>
      <c r="K82" s="2">
        <v>0.7</v>
      </c>
      <c r="L82" s="21" t="s">
        <v>58</v>
      </c>
    </row>
    <row r="83" spans="2:42">
      <c r="B83" s="19"/>
      <c r="F83" s="21" t="s">
        <v>57</v>
      </c>
      <c r="G83" s="21"/>
      <c r="H83" s="21" t="s">
        <v>72</v>
      </c>
      <c r="I83" s="21" t="s">
        <v>60</v>
      </c>
      <c r="J83" s="21" t="s">
        <v>14</v>
      </c>
      <c r="K83" s="2">
        <v>0.3</v>
      </c>
      <c r="L83" s="21" t="s">
        <v>62</v>
      </c>
    </row>
    <row r="84" spans="2:42">
      <c r="B84" s="19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</row>
    <row r="85" spans="2:42">
      <c r="B85" s="19"/>
      <c r="AE85" s="5"/>
    </row>
    <row r="86" spans="2:42">
      <c r="B86" s="19"/>
      <c r="F86" s="11" t="s">
        <v>73</v>
      </c>
      <c r="X86" s="11">
        <f>SUM(AC86)</f>
        <v>8</v>
      </c>
      <c r="Y86" s="20" t="s">
        <v>74</v>
      </c>
      <c r="Z86" s="42" t="s">
        <v>75</v>
      </c>
      <c r="AA86" s="42"/>
      <c r="AB86" s="42"/>
      <c r="AC86" s="11">
        <f>COUNTA(AB87:AB94)-COUNTIF(Z87:Z94,"兼")</f>
        <v>8</v>
      </c>
      <c r="AE86" s="5"/>
    </row>
    <row r="87" spans="2:42">
      <c r="B87" s="19"/>
      <c r="AA87" s="11" t="s">
        <v>76</v>
      </c>
      <c r="AB87" s="11" t="s">
        <v>77</v>
      </c>
      <c r="AC87" s="11" t="s">
        <v>10</v>
      </c>
      <c r="AD87" s="11" t="s">
        <v>78</v>
      </c>
      <c r="AE87" s="40">
        <v>1</v>
      </c>
    </row>
    <row r="88" spans="2:42">
      <c r="B88" s="19"/>
      <c r="AB88" s="11" t="s">
        <v>79</v>
      </c>
      <c r="AC88" s="11" t="s">
        <v>80</v>
      </c>
      <c r="AD88" s="11" t="s">
        <v>11</v>
      </c>
      <c r="AE88" s="40">
        <v>1</v>
      </c>
    </row>
    <row r="89" spans="2:42">
      <c r="B89" s="19"/>
      <c r="AB89" s="11" t="s">
        <v>81</v>
      </c>
      <c r="AC89" s="11" t="s">
        <v>10</v>
      </c>
      <c r="AD89" s="11" t="s">
        <v>43</v>
      </c>
      <c r="AE89" s="40">
        <v>1</v>
      </c>
    </row>
    <row r="90" spans="2:42">
      <c r="B90" s="19"/>
      <c r="AB90" s="11" t="s">
        <v>82</v>
      </c>
      <c r="AC90" s="11" t="s">
        <v>10</v>
      </c>
      <c r="AD90" s="11" t="s">
        <v>78</v>
      </c>
      <c r="AE90" s="40">
        <v>1</v>
      </c>
    </row>
    <row r="91" spans="2:42">
      <c r="B91" s="19"/>
      <c r="AB91" s="11" t="s">
        <v>83</v>
      </c>
      <c r="AC91" s="11" t="s">
        <v>10</v>
      </c>
      <c r="AD91" s="11" t="s">
        <v>43</v>
      </c>
      <c r="AE91" s="40">
        <v>1</v>
      </c>
    </row>
    <row r="92" spans="2:42">
      <c r="B92" s="19"/>
      <c r="AB92" s="11" t="s">
        <v>84</v>
      </c>
      <c r="AC92" s="11" t="s">
        <v>10</v>
      </c>
      <c r="AD92" s="11" t="s">
        <v>85</v>
      </c>
      <c r="AE92" s="40">
        <v>1</v>
      </c>
    </row>
    <row r="93" spans="2:42">
      <c r="B93" s="19"/>
      <c r="AB93" s="11" t="s">
        <v>86</v>
      </c>
      <c r="AC93" s="11" t="s">
        <v>10</v>
      </c>
      <c r="AD93" s="11" t="s">
        <v>78</v>
      </c>
      <c r="AE93" s="40">
        <v>1</v>
      </c>
    </row>
    <row r="94" spans="2:42">
      <c r="B94" s="19"/>
      <c r="AB94" s="11" t="s">
        <v>87</v>
      </c>
      <c r="AC94" s="11" t="s">
        <v>70</v>
      </c>
      <c r="AD94" s="11" t="s">
        <v>78</v>
      </c>
      <c r="AE94" s="40">
        <v>1</v>
      </c>
      <c r="AF94" s="11" t="s">
        <v>88</v>
      </c>
    </row>
    <row r="95" spans="2:42">
      <c r="B95" s="1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7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</row>
    <row r="96" spans="2:42">
      <c r="B96" s="19"/>
      <c r="AE96" s="5"/>
    </row>
    <row r="97" spans="2:42">
      <c r="B97" s="19"/>
      <c r="D97" s="11">
        <f>SUM(N97,N118)</f>
        <v>27</v>
      </c>
      <c r="F97" s="11" t="s">
        <v>89</v>
      </c>
      <c r="N97" s="11">
        <f>SUM(S97,X97,X111)</f>
        <v>16</v>
      </c>
      <c r="O97" s="20" t="s">
        <v>90</v>
      </c>
      <c r="P97" s="42" t="s">
        <v>91</v>
      </c>
      <c r="Q97" s="42"/>
      <c r="R97" s="42"/>
      <c r="S97" s="11">
        <f>COUNTA(R98:R103)-COUNTIF(P98:P103,"兼")</f>
        <v>5</v>
      </c>
      <c r="X97" s="11">
        <f>SUM(AC97,AM97,AM104)</f>
        <v>7</v>
      </c>
      <c r="Y97" s="20" t="s">
        <v>92</v>
      </c>
      <c r="Z97" s="42" t="s">
        <v>93</v>
      </c>
      <c r="AA97" s="42"/>
      <c r="AB97" s="42"/>
      <c r="AC97" s="11">
        <f>COUNTA(AB98:AB99)-COUNTIF(Z98:Z99,"兼")</f>
        <v>1</v>
      </c>
      <c r="AE97" s="5"/>
      <c r="AI97" s="20" t="s">
        <v>94</v>
      </c>
      <c r="AJ97" s="42" t="s">
        <v>95</v>
      </c>
      <c r="AK97" s="42"/>
      <c r="AL97" s="42"/>
      <c r="AM97" s="11">
        <f>COUNTA(AL98:AL102)-COUNTIF(AJ98:AJ102,"兼")</f>
        <v>3</v>
      </c>
    </row>
    <row r="98" spans="2:42">
      <c r="B98" s="19"/>
      <c r="Q98" s="11" t="s">
        <v>96</v>
      </c>
      <c r="R98" s="11" t="s">
        <v>97</v>
      </c>
      <c r="S98" s="11" t="s">
        <v>10</v>
      </c>
      <c r="T98" s="11" t="s">
        <v>11</v>
      </c>
      <c r="U98" s="1">
        <v>1</v>
      </c>
      <c r="AA98" s="11" t="s">
        <v>98</v>
      </c>
      <c r="AB98" s="11" t="s">
        <v>99</v>
      </c>
      <c r="AC98" s="11" t="s">
        <v>10</v>
      </c>
      <c r="AD98" s="11" t="s">
        <v>11</v>
      </c>
      <c r="AE98" s="40">
        <v>0.5</v>
      </c>
      <c r="AK98" s="11" t="s">
        <v>100</v>
      </c>
      <c r="AL98" s="11" t="s">
        <v>101</v>
      </c>
      <c r="AM98" s="11" t="s">
        <v>10</v>
      </c>
      <c r="AN98" s="11" t="s">
        <v>78</v>
      </c>
      <c r="AO98" s="1">
        <v>0.6</v>
      </c>
    </row>
    <row r="99" spans="2:42">
      <c r="B99" s="19"/>
      <c r="Q99" s="11" t="s">
        <v>102</v>
      </c>
      <c r="R99" s="11" t="s">
        <v>103</v>
      </c>
      <c r="S99" s="11" t="s">
        <v>10</v>
      </c>
      <c r="T99" s="11" t="s">
        <v>11</v>
      </c>
      <c r="U99" s="1">
        <v>1</v>
      </c>
      <c r="Z99" s="11" t="s">
        <v>57</v>
      </c>
      <c r="AB99" s="11" t="s">
        <v>104</v>
      </c>
      <c r="AC99" s="11" t="s">
        <v>10</v>
      </c>
      <c r="AD99" s="11" t="s">
        <v>78</v>
      </c>
      <c r="AE99" s="40">
        <v>0.4</v>
      </c>
      <c r="AL99" s="11" t="s">
        <v>105</v>
      </c>
      <c r="AM99" s="11" t="s">
        <v>10</v>
      </c>
      <c r="AN99" s="11" t="s">
        <v>43</v>
      </c>
      <c r="AO99" s="1">
        <v>0.6</v>
      </c>
    </row>
    <row r="100" spans="2:42">
      <c r="B100" s="19"/>
      <c r="R100" s="11" t="s">
        <v>106</v>
      </c>
      <c r="S100" s="11" t="s">
        <v>10</v>
      </c>
      <c r="T100" s="11" t="s">
        <v>78</v>
      </c>
      <c r="U100" s="1">
        <v>1</v>
      </c>
      <c r="AE100" s="5"/>
      <c r="AL100" s="11" t="s">
        <v>107</v>
      </c>
      <c r="AM100" s="11" t="s">
        <v>10</v>
      </c>
      <c r="AN100" s="11" t="s">
        <v>78</v>
      </c>
      <c r="AO100" s="1">
        <v>1</v>
      </c>
    </row>
    <row r="101" spans="2:42">
      <c r="B101" s="19"/>
      <c r="R101" s="11" t="s">
        <v>108</v>
      </c>
      <c r="S101" s="11" t="s">
        <v>109</v>
      </c>
      <c r="T101" s="11" t="s">
        <v>110</v>
      </c>
      <c r="U101" s="40">
        <v>1</v>
      </c>
      <c r="AE101" s="5"/>
      <c r="AJ101" s="11" t="s">
        <v>57</v>
      </c>
      <c r="AL101" s="11" t="s">
        <v>111</v>
      </c>
      <c r="AM101" s="11" t="s">
        <v>10</v>
      </c>
      <c r="AN101" s="11" t="s">
        <v>78</v>
      </c>
      <c r="AO101" s="1">
        <v>0.4</v>
      </c>
    </row>
    <row r="102" spans="2:42">
      <c r="B102" s="19"/>
      <c r="R102" s="11" t="s">
        <v>125</v>
      </c>
      <c r="S102" s="11" t="s">
        <v>10</v>
      </c>
      <c r="T102" s="11" t="s">
        <v>124</v>
      </c>
      <c r="U102" s="1">
        <v>0.6</v>
      </c>
      <c r="AE102" s="5"/>
      <c r="AJ102" s="11" t="s">
        <v>57</v>
      </c>
      <c r="AL102" s="11" t="s">
        <v>112</v>
      </c>
      <c r="AM102" s="11" t="s">
        <v>10</v>
      </c>
      <c r="AN102" s="11" t="s">
        <v>78</v>
      </c>
      <c r="AO102" s="1">
        <v>0.5</v>
      </c>
    </row>
    <row r="103" spans="2:42">
      <c r="B103" s="19"/>
      <c r="P103" s="11" t="s">
        <v>57</v>
      </c>
      <c r="R103" s="11" t="s">
        <v>125</v>
      </c>
      <c r="S103" s="11" t="s">
        <v>684</v>
      </c>
      <c r="T103" s="11" t="s">
        <v>124</v>
      </c>
      <c r="U103" s="1">
        <v>0.4</v>
      </c>
      <c r="V103" s="11" t="s">
        <v>2229</v>
      </c>
      <c r="AE103" s="5"/>
    </row>
    <row r="104" spans="2:42">
      <c r="B104" s="19"/>
      <c r="AE104" s="5"/>
      <c r="AI104" s="20" t="s">
        <v>113</v>
      </c>
      <c r="AJ104" s="42" t="s">
        <v>114</v>
      </c>
      <c r="AK104" s="42"/>
      <c r="AL104" s="42"/>
      <c r="AM104" s="11">
        <f>COUNTA(AL105:AL108)-COUNTIF(AJ105:AJ108,"兼")</f>
        <v>3</v>
      </c>
    </row>
    <row r="105" spans="2:42">
      <c r="B105" s="19"/>
      <c r="AE105" s="5"/>
      <c r="AI105" s="25"/>
      <c r="AJ105" s="11" t="s">
        <v>57</v>
      </c>
      <c r="AK105" s="11" t="s">
        <v>2214</v>
      </c>
      <c r="AL105" s="11" t="s">
        <v>2231</v>
      </c>
      <c r="AM105" s="11" t="s">
        <v>10</v>
      </c>
      <c r="AN105" s="11" t="s">
        <v>11</v>
      </c>
      <c r="AO105" s="1">
        <v>0.5</v>
      </c>
    </row>
    <row r="106" spans="2:42">
      <c r="B106" s="19"/>
      <c r="AE106" s="5"/>
      <c r="AL106" s="11" t="s">
        <v>115</v>
      </c>
      <c r="AM106" s="11" t="s">
        <v>10</v>
      </c>
      <c r="AN106" s="11" t="s">
        <v>78</v>
      </c>
      <c r="AO106" s="1">
        <v>1</v>
      </c>
    </row>
    <row r="107" spans="2:42">
      <c r="B107" s="19"/>
      <c r="AE107" s="5"/>
      <c r="AL107" s="11" t="s">
        <v>116</v>
      </c>
      <c r="AM107" s="11" t="s">
        <v>10</v>
      </c>
      <c r="AN107" s="11" t="s">
        <v>78</v>
      </c>
      <c r="AO107" s="1">
        <v>1</v>
      </c>
    </row>
    <row r="108" spans="2:42">
      <c r="B108" s="19"/>
      <c r="AE108" s="5"/>
      <c r="AL108" s="11" t="s">
        <v>117</v>
      </c>
      <c r="AM108" s="11" t="s">
        <v>10</v>
      </c>
      <c r="AN108" s="11" t="s">
        <v>78</v>
      </c>
      <c r="AO108" s="1">
        <v>1</v>
      </c>
    </row>
    <row r="109" spans="2:42">
      <c r="B109" s="19"/>
      <c r="X109" s="16"/>
      <c r="Y109" s="16"/>
      <c r="Z109" s="16"/>
      <c r="AA109" s="16"/>
      <c r="AB109" s="16"/>
      <c r="AC109" s="16"/>
      <c r="AD109" s="16"/>
      <c r="AE109" s="7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</row>
    <row r="110" spans="2:42">
      <c r="B110" s="19"/>
      <c r="AE110" s="5"/>
    </row>
    <row r="111" spans="2:42">
      <c r="B111" s="19"/>
      <c r="X111" s="11">
        <f>SUM(AC111,AM111)</f>
        <v>4</v>
      </c>
      <c r="Y111" s="20" t="s">
        <v>118</v>
      </c>
      <c r="Z111" s="42" t="s">
        <v>119</v>
      </c>
      <c r="AA111" s="42"/>
      <c r="AB111" s="42"/>
      <c r="AC111" s="11">
        <f>COUNTA(AB112)-COUNTIF(Z112,"兼")</f>
        <v>1</v>
      </c>
      <c r="AE111" s="5"/>
      <c r="AI111" s="20" t="s">
        <v>120</v>
      </c>
      <c r="AJ111" s="42" t="s">
        <v>121</v>
      </c>
      <c r="AK111" s="42"/>
      <c r="AL111" s="42"/>
      <c r="AM111" s="11">
        <f>COUNTA(AL112:AL115)-COUNTIF(AJ112:AJ115,"兼")</f>
        <v>3</v>
      </c>
    </row>
    <row r="112" spans="2:42">
      <c r="B112" s="19"/>
      <c r="AA112" s="11" t="s">
        <v>98</v>
      </c>
      <c r="AB112" s="11" t="s">
        <v>122</v>
      </c>
      <c r="AC112" s="11" t="s">
        <v>10</v>
      </c>
      <c r="AD112" s="11" t="s">
        <v>11</v>
      </c>
      <c r="AE112" s="40">
        <v>0.6</v>
      </c>
      <c r="AJ112" s="11" t="s">
        <v>57</v>
      </c>
      <c r="AK112" s="11" t="s">
        <v>100</v>
      </c>
      <c r="AL112" s="11" t="s">
        <v>123</v>
      </c>
      <c r="AM112" s="11" t="s">
        <v>10</v>
      </c>
      <c r="AN112" s="11" t="s">
        <v>124</v>
      </c>
      <c r="AO112" s="1">
        <v>0.4</v>
      </c>
    </row>
    <row r="113" spans="2:42">
      <c r="B113" s="19"/>
      <c r="AE113" s="5"/>
      <c r="AL113" s="11" t="s">
        <v>516</v>
      </c>
      <c r="AM113" s="11" t="s">
        <v>10</v>
      </c>
      <c r="AN113" s="11" t="s">
        <v>78</v>
      </c>
      <c r="AO113" s="40">
        <v>1</v>
      </c>
    </row>
    <row r="114" spans="2:42">
      <c r="B114" s="19"/>
      <c r="AE114" s="5"/>
      <c r="AL114" s="11" t="s">
        <v>2251</v>
      </c>
      <c r="AM114" s="11" t="s">
        <v>10</v>
      </c>
      <c r="AN114" s="11" t="s">
        <v>18</v>
      </c>
      <c r="AO114" s="40">
        <v>1</v>
      </c>
    </row>
    <row r="115" spans="2:42">
      <c r="B115" s="19"/>
      <c r="AE115" s="5"/>
      <c r="AL115" s="11" t="s">
        <v>1418</v>
      </c>
      <c r="AM115" s="11" t="s">
        <v>10</v>
      </c>
      <c r="AN115" s="11" t="s">
        <v>78</v>
      </c>
      <c r="AO115" s="1">
        <v>1</v>
      </c>
    </row>
    <row r="116" spans="2:42">
      <c r="B116" s="19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7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</row>
    <row r="117" spans="2:42">
      <c r="B117" s="19"/>
      <c r="AE117" s="5"/>
    </row>
    <row r="118" spans="2:42">
      <c r="B118" s="19"/>
      <c r="N118" s="11">
        <f>SUM(S118,X118,X125,X128,X131,X135)</f>
        <v>11</v>
      </c>
      <c r="O118" s="20" t="s">
        <v>126</v>
      </c>
      <c r="P118" s="42" t="s">
        <v>127</v>
      </c>
      <c r="Q118" s="42"/>
      <c r="R118" s="42"/>
      <c r="S118" s="11">
        <f>COUNTA(R119:R121)-COUNTIF(P119:P121,"兼")</f>
        <v>2</v>
      </c>
      <c r="X118" s="11">
        <f>SUM(AC118,AM118)</f>
        <v>4</v>
      </c>
      <c r="Y118" s="20" t="s">
        <v>128</v>
      </c>
      <c r="Z118" s="42" t="s">
        <v>129</v>
      </c>
      <c r="AA118" s="42"/>
      <c r="AB118" s="42"/>
      <c r="AC118" s="11">
        <f>COUNTA(AB119)-COUNTIF(Z119,"兼")</f>
        <v>1</v>
      </c>
      <c r="AE118" s="5"/>
      <c r="AI118" s="20" t="s">
        <v>130</v>
      </c>
      <c r="AJ118" s="42" t="s">
        <v>131</v>
      </c>
      <c r="AK118" s="42"/>
      <c r="AL118" s="42"/>
      <c r="AM118" s="11">
        <f>COUNTA(AL119:AL122)-COUNTIF(AJ119:AJ122,"兼")</f>
        <v>3</v>
      </c>
    </row>
    <row r="119" spans="2:42">
      <c r="B119" s="19"/>
      <c r="P119" s="11" t="s">
        <v>57</v>
      </c>
      <c r="Q119" s="11" t="s">
        <v>96</v>
      </c>
      <c r="R119" s="11" t="s">
        <v>13</v>
      </c>
      <c r="S119" s="11" t="s">
        <v>10</v>
      </c>
      <c r="T119" s="11" t="s">
        <v>18</v>
      </c>
      <c r="U119" s="1">
        <v>0.5</v>
      </c>
      <c r="AA119" s="11" t="s">
        <v>98</v>
      </c>
      <c r="AB119" s="11" t="s">
        <v>132</v>
      </c>
      <c r="AC119" s="11" t="s">
        <v>10</v>
      </c>
      <c r="AD119" s="11" t="s">
        <v>78</v>
      </c>
      <c r="AE119" s="40">
        <v>0.6</v>
      </c>
      <c r="AJ119" s="11" t="s">
        <v>57</v>
      </c>
      <c r="AK119" s="11" t="s">
        <v>100</v>
      </c>
      <c r="AL119" s="11" t="s">
        <v>132</v>
      </c>
      <c r="AM119" s="11" t="s">
        <v>10</v>
      </c>
      <c r="AN119" s="11" t="s">
        <v>78</v>
      </c>
      <c r="AO119" s="1">
        <v>0.4</v>
      </c>
    </row>
    <row r="120" spans="2:42">
      <c r="B120" s="19"/>
      <c r="Q120" s="11" t="s">
        <v>133</v>
      </c>
      <c r="R120" s="11" t="s">
        <v>134</v>
      </c>
      <c r="S120" s="11" t="s">
        <v>10</v>
      </c>
      <c r="T120" s="11" t="s">
        <v>110</v>
      </c>
      <c r="U120" s="1">
        <v>1</v>
      </c>
      <c r="AE120" s="5"/>
      <c r="AL120" s="11" t="s">
        <v>135</v>
      </c>
      <c r="AM120" s="11" t="s">
        <v>10</v>
      </c>
      <c r="AN120" s="11" t="s">
        <v>78</v>
      </c>
      <c r="AO120" s="1">
        <v>1</v>
      </c>
    </row>
    <row r="121" spans="2:42">
      <c r="B121" s="19"/>
      <c r="Q121" s="11" t="s">
        <v>2266</v>
      </c>
      <c r="R121" s="11" t="s">
        <v>2200</v>
      </c>
      <c r="S121" s="11" t="s">
        <v>2253</v>
      </c>
      <c r="T121" s="11" t="s">
        <v>18</v>
      </c>
      <c r="U121" s="1">
        <v>1</v>
      </c>
      <c r="AE121" s="5"/>
      <c r="AL121" s="11" t="s">
        <v>136</v>
      </c>
      <c r="AM121" s="11" t="s">
        <v>109</v>
      </c>
      <c r="AN121" s="11" t="s">
        <v>43</v>
      </c>
      <c r="AO121" s="1">
        <v>1</v>
      </c>
    </row>
    <row r="122" spans="2:42">
      <c r="B122" s="19"/>
      <c r="AE122" s="5"/>
      <c r="AL122" s="11" t="s">
        <v>137</v>
      </c>
      <c r="AM122" s="11" t="s">
        <v>10</v>
      </c>
      <c r="AN122" s="11" t="s">
        <v>78</v>
      </c>
      <c r="AO122" s="1">
        <v>0.5</v>
      </c>
    </row>
    <row r="123" spans="2:42">
      <c r="B123" s="19"/>
      <c r="X123" s="16"/>
      <c r="Y123" s="16"/>
      <c r="Z123" s="16"/>
      <c r="AA123" s="16"/>
      <c r="AB123" s="16"/>
      <c r="AC123" s="16"/>
      <c r="AD123" s="16"/>
      <c r="AE123" s="7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</row>
    <row r="124" spans="2:42">
      <c r="B124" s="19"/>
      <c r="AE124" s="5"/>
    </row>
    <row r="125" spans="2:42">
      <c r="B125" s="19"/>
      <c r="X125" s="11">
        <f>SUM(AC125)</f>
        <v>1</v>
      </c>
      <c r="Y125" s="20" t="s">
        <v>139</v>
      </c>
      <c r="Z125" s="42" t="s">
        <v>140</v>
      </c>
      <c r="AA125" s="42"/>
      <c r="AB125" s="42"/>
      <c r="AC125" s="11">
        <f>COUNTA(AB126:AB126)-COUNTIF(Z126:Z126,"兼")</f>
        <v>1</v>
      </c>
      <c r="AE125" s="5"/>
    </row>
    <row r="126" spans="2:42">
      <c r="B126" s="19"/>
      <c r="AA126" s="11" t="s">
        <v>98</v>
      </c>
      <c r="AB126" s="11" t="s">
        <v>2211</v>
      </c>
      <c r="AC126" s="11" t="s">
        <v>10</v>
      </c>
      <c r="AD126" s="11" t="s">
        <v>14</v>
      </c>
      <c r="AE126" s="40">
        <v>1</v>
      </c>
    </row>
    <row r="127" spans="2:42">
      <c r="B127" s="19"/>
      <c r="AE127" s="5"/>
    </row>
    <row r="128" spans="2:42">
      <c r="B128" s="19"/>
      <c r="X128" s="11">
        <f>SUM(AC128)</f>
        <v>1</v>
      </c>
      <c r="Y128" s="20" t="s">
        <v>141</v>
      </c>
      <c r="Z128" s="42" t="s">
        <v>142</v>
      </c>
      <c r="AA128" s="42"/>
      <c r="AB128" s="42"/>
      <c r="AC128" s="11">
        <f>COUNTA(AB129)-COUNTIF(Z129,"兼")</f>
        <v>1</v>
      </c>
      <c r="AE128" s="5"/>
    </row>
    <row r="129" spans="2:42">
      <c r="B129" s="19"/>
      <c r="AA129" s="11" t="s">
        <v>143</v>
      </c>
      <c r="AB129" s="11" t="s">
        <v>144</v>
      </c>
      <c r="AC129" s="11" t="s">
        <v>145</v>
      </c>
      <c r="AD129" s="11" t="s">
        <v>146</v>
      </c>
      <c r="AE129" s="40">
        <v>0.6</v>
      </c>
    </row>
    <row r="130" spans="2:42">
      <c r="B130" s="19"/>
      <c r="AE130" s="5"/>
    </row>
    <row r="131" spans="2:42">
      <c r="B131" s="19"/>
      <c r="X131" s="11">
        <f>SUM(AC131)</f>
        <v>2</v>
      </c>
      <c r="Y131" s="20" t="s">
        <v>147</v>
      </c>
      <c r="Z131" s="42" t="s">
        <v>148</v>
      </c>
      <c r="AA131" s="42"/>
      <c r="AB131" s="42"/>
      <c r="AC131" s="11">
        <f>COUNTA(AB132:AB133)-COUNTIF(Z132:Z133,"兼")</f>
        <v>2</v>
      </c>
      <c r="AE131" s="5"/>
    </row>
    <row r="132" spans="2:42">
      <c r="B132" s="19"/>
      <c r="AA132" s="11" t="s">
        <v>143</v>
      </c>
      <c r="AB132" s="11" t="s">
        <v>149</v>
      </c>
      <c r="AC132" s="11" t="s">
        <v>150</v>
      </c>
      <c r="AD132" s="11" t="s">
        <v>78</v>
      </c>
      <c r="AE132" s="40">
        <v>0.6</v>
      </c>
    </row>
    <row r="133" spans="2:42">
      <c r="B133" s="19"/>
      <c r="AA133" s="11" t="s">
        <v>2234</v>
      </c>
      <c r="AB133" s="11" t="s">
        <v>2226</v>
      </c>
      <c r="AC133" s="11" t="s">
        <v>758</v>
      </c>
      <c r="AD133" s="11" t="s">
        <v>18</v>
      </c>
      <c r="AE133" s="1">
        <v>1</v>
      </c>
    </row>
    <row r="134" spans="2:42">
      <c r="B134" s="19"/>
      <c r="AE134" s="5"/>
    </row>
    <row r="135" spans="2:42">
      <c r="B135" s="19"/>
      <c r="X135" s="11">
        <f>SUM(AC135)</f>
        <v>1</v>
      </c>
      <c r="Y135" s="20" t="s">
        <v>151</v>
      </c>
      <c r="Z135" s="42" t="s">
        <v>152</v>
      </c>
      <c r="AA135" s="42"/>
      <c r="AB135" s="42"/>
      <c r="AC135" s="11">
        <f>COUNTA(AB136)-COUNTIF(Z136,"兼")</f>
        <v>1</v>
      </c>
      <c r="AE135" s="5"/>
    </row>
    <row r="136" spans="2:42">
      <c r="B136" s="19"/>
      <c r="AA136" s="11" t="s">
        <v>143</v>
      </c>
      <c r="AB136" s="11" t="s">
        <v>153</v>
      </c>
      <c r="AC136" s="11" t="s">
        <v>154</v>
      </c>
      <c r="AD136" s="11" t="s">
        <v>78</v>
      </c>
      <c r="AE136" s="40">
        <v>0.6</v>
      </c>
    </row>
    <row r="137" spans="2:42">
      <c r="B137" s="19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7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</row>
    <row r="138" spans="2:42">
      <c r="B138" s="19"/>
      <c r="AE138" s="5"/>
    </row>
    <row r="139" spans="2:42">
      <c r="B139" s="19"/>
      <c r="D139" s="11">
        <f>SUM(N139)</f>
        <v>11</v>
      </c>
      <c r="F139" s="11" t="s">
        <v>155</v>
      </c>
      <c r="N139" s="11">
        <f>SUM(S139,X139,X145)</f>
        <v>11</v>
      </c>
      <c r="O139" s="20" t="s">
        <v>156</v>
      </c>
      <c r="P139" s="42" t="s">
        <v>157</v>
      </c>
      <c r="Q139" s="42"/>
      <c r="R139" s="42"/>
      <c r="S139" s="11">
        <f>COUNTA(R140)-COUNTIF(P140,"兼")</f>
        <v>0</v>
      </c>
      <c r="X139" s="11">
        <f>SUM(AC139)</f>
        <v>3</v>
      </c>
      <c r="Y139" s="20" t="s">
        <v>158</v>
      </c>
      <c r="Z139" s="42" t="s">
        <v>159</v>
      </c>
      <c r="AA139" s="42"/>
      <c r="AB139" s="42"/>
      <c r="AC139" s="11">
        <f>COUNTA(AB140:AB142)-COUNTIF(Z140:Z142,"兼")</f>
        <v>3</v>
      </c>
      <c r="AE139" s="5"/>
    </row>
    <row r="140" spans="2:42">
      <c r="B140" s="19"/>
      <c r="P140" s="11" t="s">
        <v>57</v>
      </c>
      <c r="Q140" s="11" t="s">
        <v>96</v>
      </c>
      <c r="R140" s="11" t="s">
        <v>15</v>
      </c>
      <c r="S140" s="11" t="s">
        <v>10</v>
      </c>
      <c r="T140" s="11" t="s">
        <v>14</v>
      </c>
      <c r="U140" s="1">
        <v>0.4</v>
      </c>
      <c r="AA140" s="11" t="s">
        <v>76</v>
      </c>
      <c r="AB140" s="11" t="s">
        <v>160</v>
      </c>
      <c r="AC140" s="11" t="s">
        <v>10</v>
      </c>
      <c r="AD140" s="11" t="s">
        <v>78</v>
      </c>
      <c r="AE140" s="40">
        <v>1</v>
      </c>
    </row>
    <row r="141" spans="2:42">
      <c r="B141" s="19"/>
      <c r="AB141" s="11" t="s">
        <v>161</v>
      </c>
      <c r="AC141" s="11" t="s">
        <v>10</v>
      </c>
      <c r="AD141" s="11" t="s">
        <v>78</v>
      </c>
      <c r="AE141" s="40">
        <v>1</v>
      </c>
    </row>
    <row r="142" spans="2:42">
      <c r="B142" s="19"/>
      <c r="AB142" s="11" t="s">
        <v>162</v>
      </c>
      <c r="AC142" s="11" t="s">
        <v>10</v>
      </c>
      <c r="AD142" s="11" t="s">
        <v>43</v>
      </c>
      <c r="AE142" s="40">
        <v>1</v>
      </c>
    </row>
    <row r="143" spans="2:42">
      <c r="B143" s="19"/>
      <c r="X143" s="16"/>
      <c r="Y143" s="16"/>
      <c r="Z143" s="16"/>
      <c r="AA143" s="16"/>
      <c r="AB143" s="16"/>
      <c r="AC143" s="16"/>
      <c r="AD143" s="16"/>
      <c r="AE143" s="7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</row>
    <row r="144" spans="2:42">
      <c r="B144" s="19"/>
      <c r="AE144" s="5"/>
    </row>
    <row r="145" spans="2:42">
      <c r="B145" s="19"/>
      <c r="X145" s="11">
        <f>SUM(AC145)</f>
        <v>8</v>
      </c>
      <c r="Y145" s="20" t="s">
        <v>163</v>
      </c>
      <c r="Z145" s="42" t="s">
        <v>164</v>
      </c>
      <c r="AA145" s="42"/>
      <c r="AB145" s="42"/>
      <c r="AC145" s="11">
        <f>COUNTA(AB146:AB153)-COUNTIF(Z146:Z153,"兼")</f>
        <v>8</v>
      </c>
      <c r="AE145" s="5"/>
    </row>
    <row r="146" spans="2:42">
      <c r="B146" s="19"/>
      <c r="AA146" s="11" t="s">
        <v>76</v>
      </c>
      <c r="AB146" s="11" t="s">
        <v>165</v>
      </c>
      <c r="AC146" s="11" t="s">
        <v>10</v>
      </c>
      <c r="AD146" s="11" t="s">
        <v>166</v>
      </c>
      <c r="AE146" s="40">
        <v>1</v>
      </c>
    </row>
    <row r="147" spans="2:42">
      <c r="B147" s="19"/>
      <c r="AB147" s="11" t="s">
        <v>168</v>
      </c>
      <c r="AC147" s="11" t="s">
        <v>10</v>
      </c>
      <c r="AD147" s="11" t="s">
        <v>78</v>
      </c>
      <c r="AE147" s="40">
        <v>1</v>
      </c>
    </row>
    <row r="148" spans="2:42">
      <c r="B148" s="19"/>
      <c r="AB148" s="11" t="s">
        <v>169</v>
      </c>
      <c r="AC148" s="11" t="s">
        <v>10</v>
      </c>
      <c r="AD148" s="11" t="s">
        <v>78</v>
      </c>
      <c r="AE148" s="40">
        <v>1</v>
      </c>
    </row>
    <row r="149" spans="2:42">
      <c r="B149" s="19"/>
      <c r="AB149" s="11" t="s">
        <v>170</v>
      </c>
      <c r="AC149" s="11" t="s">
        <v>10</v>
      </c>
      <c r="AD149" s="11" t="s">
        <v>78</v>
      </c>
      <c r="AE149" s="40">
        <v>1</v>
      </c>
    </row>
    <row r="150" spans="2:42">
      <c r="B150" s="19"/>
      <c r="AB150" s="11" t="s">
        <v>171</v>
      </c>
      <c r="AC150" s="11" t="s">
        <v>10</v>
      </c>
      <c r="AD150" s="11" t="s">
        <v>166</v>
      </c>
      <c r="AE150" s="40">
        <v>1</v>
      </c>
    </row>
    <row r="151" spans="2:42">
      <c r="B151" s="19"/>
      <c r="AB151" s="11" t="s">
        <v>172</v>
      </c>
      <c r="AC151" s="11" t="s">
        <v>10</v>
      </c>
      <c r="AD151" s="11" t="s">
        <v>166</v>
      </c>
      <c r="AE151" s="40">
        <v>1</v>
      </c>
    </row>
    <row r="152" spans="2:42">
      <c r="B152" s="19"/>
      <c r="AB152" s="11" t="s">
        <v>173</v>
      </c>
      <c r="AC152" s="11" t="s">
        <v>10</v>
      </c>
      <c r="AD152" s="11" t="s">
        <v>166</v>
      </c>
      <c r="AE152" s="40">
        <v>1</v>
      </c>
    </row>
    <row r="153" spans="2:42">
      <c r="B153" s="19"/>
      <c r="AB153" s="11" t="s">
        <v>174</v>
      </c>
      <c r="AC153" s="11" t="s">
        <v>10</v>
      </c>
      <c r="AD153" s="11" t="s">
        <v>43</v>
      </c>
      <c r="AE153" s="40">
        <v>1</v>
      </c>
    </row>
    <row r="154" spans="2:42">
      <c r="B154" s="19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7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</row>
    <row r="155" spans="2:42">
      <c r="B155" s="19"/>
      <c r="AE155" s="5"/>
    </row>
    <row r="156" spans="2:42">
      <c r="B156" s="19"/>
      <c r="D156" s="11">
        <f>SUM(N156,N199,N285)</f>
        <v>250</v>
      </c>
      <c r="F156" s="11" t="s">
        <v>175</v>
      </c>
      <c r="N156" s="11">
        <f>SUM(S156,X156,X176,X184)</f>
        <v>36</v>
      </c>
      <c r="O156" s="20" t="s">
        <v>176</v>
      </c>
      <c r="P156" s="42" t="s">
        <v>177</v>
      </c>
      <c r="Q156" s="42"/>
      <c r="R156" s="42"/>
      <c r="S156" s="11">
        <f>COUNTA(R157:R161)-COUNTIF(P157:P161,"兼")</f>
        <v>5</v>
      </c>
      <c r="X156" s="11">
        <f>SUM(AC156,AM156,AM166)</f>
        <v>15</v>
      </c>
      <c r="Y156" s="20" t="s">
        <v>178</v>
      </c>
      <c r="Z156" s="42" t="s">
        <v>179</v>
      </c>
      <c r="AA156" s="42"/>
      <c r="AB156" s="42"/>
      <c r="AC156" s="11">
        <f>COUNTA(AB157:AB160)-COUNTIF(Z157:Z160,"兼")</f>
        <v>3</v>
      </c>
      <c r="AE156" s="5"/>
      <c r="AI156" s="20" t="s">
        <v>180</v>
      </c>
      <c r="AJ156" s="42" t="s">
        <v>181</v>
      </c>
      <c r="AK156" s="42"/>
      <c r="AL156" s="42"/>
      <c r="AM156" s="11">
        <f>COUNTA(AL157:AL164)-COUNTIF(AJ157:AJ164,"兼")</f>
        <v>6</v>
      </c>
    </row>
    <row r="157" spans="2:42">
      <c r="B157" s="19"/>
      <c r="Q157" s="11" t="s">
        <v>96</v>
      </c>
      <c r="R157" s="11" t="s">
        <v>182</v>
      </c>
      <c r="S157" s="11" t="s">
        <v>10</v>
      </c>
      <c r="T157" s="11" t="s">
        <v>11</v>
      </c>
      <c r="U157" s="1">
        <v>1</v>
      </c>
      <c r="AA157" s="11" t="s">
        <v>98</v>
      </c>
      <c r="AB157" s="11" t="s">
        <v>183</v>
      </c>
      <c r="AC157" s="11" t="s">
        <v>10</v>
      </c>
      <c r="AD157" s="11" t="s">
        <v>78</v>
      </c>
      <c r="AE157" s="40">
        <v>1</v>
      </c>
      <c r="AK157" s="11" t="s">
        <v>100</v>
      </c>
      <c r="AL157" s="11" t="s">
        <v>184</v>
      </c>
      <c r="AM157" s="11" t="s">
        <v>10</v>
      </c>
      <c r="AN157" s="11" t="s">
        <v>78</v>
      </c>
      <c r="AO157" s="1">
        <v>1</v>
      </c>
    </row>
    <row r="158" spans="2:42">
      <c r="B158" s="19"/>
      <c r="Q158" s="11" t="s">
        <v>133</v>
      </c>
      <c r="R158" s="11" t="s">
        <v>185</v>
      </c>
      <c r="S158" s="11" t="s">
        <v>10</v>
      </c>
      <c r="T158" s="11" t="s">
        <v>78</v>
      </c>
      <c r="U158" s="1">
        <v>0.6</v>
      </c>
      <c r="AA158" s="11" t="s">
        <v>186</v>
      </c>
      <c r="AB158" s="11" t="s">
        <v>187</v>
      </c>
      <c r="AC158" s="11" t="s">
        <v>10</v>
      </c>
      <c r="AD158" s="11" t="s">
        <v>110</v>
      </c>
      <c r="AE158" s="40">
        <v>1</v>
      </c>
      <c r="AJ158" s="11" t="s">
        <v>57</v>
      </c>
      <c r="AL158" s="11" t="s">
        <v>101</v>
      </c>
      <c r="AM158" s="11" t="s">
        <v>10</v>
      </c>
      <c r="AN158" s="11" t="s">
        <v>78</v>
      </c>
      <c r="AO158" s="1">
        <v>0.4</v>
      </c>
    </row>
    <row r="159" spans="2:42">
      <c r="B159" s="19"/>
      <c r="Q159" s="11" t="s">
        <v>188</v>
      </c>
      <c r="R159" s="11" t="s">
        <v>189</v>
      </c>
      <c r="S159" s="11" t="s">
        <v>10</v>
      </c>
      <c r="T159" s="11" t="s">
        <v>11</v>
      </c>
      <c r="U159" s="1">
        <v>1</v>
      </c>
      <c r="Z159" s="11" t="s">
        <v>138</v>
      </c>
      <c r="AB159" s="11" t="s">
        <v>190</v>
      </c>
      <c r="AC159" s="11" t="s">
        <v>10</v>
      </c>
      <c r="AD159" s="11" t="s">
        <v>110</v>
      </c>
      <c r="AE159" s="40">
        <v>0.4</v>
      </c>
      <c r="AL159" s="11" t="s">
        <v>111</v>
      </c>
      <c r="AM159" s="11" t="s">
        <v>10</v>
      </c>
      <c r="AN159" s="11" t="s">
        <v>78</v>
      </c>
      <c r="AO159" s="1">
        <v>0.6</v>
      </c>
    </row>
    <row r="160" spans="2:42">
      <c r="B160" s="19"/>
      <c r="R160" s="11" t="s">
        <v>191</v>
      </c>
      <c r="S160" s="11" t="s">
        <v>10</v>
      </c>
      <c r="T160" s="11" t="s">
        <v>11</v>
      </c>
      <c r="U160" s="1">
        <v>1</v>
      </c>
      <c r="AB160" s="11" t="s">
        <v>192</v>
      </c>
      <c r="AC160" s="11" t="s">
        <v>60</v>
      </c>
      <c r="AD160" s="11" t="s">
        <v>78</v>
      </c>
      <c r="AE160" s="1">
        <v>1</v>
      </c>
      <c r="AF160" s="11" t="s">
        <v>88</v>
      </c>
      <c r="AL160" s="11" t="s">
        <v>193</v>
      </c>
      <c r="AM160" s="11" t="s">
        <v>10</v>
      </c>
      <c r="AN160" s="11" t="s">
        <v>78</v>
      </c>
      <c r="AO160" s="1">
        <v>1</v>
      </c>
    </row>
    <row r="161" spans="2:42">
      <c r="B161" s="19"/>
      <c r="R161" s="11" t="s">
        <v>194</v>
      </c>
      <c r="S161" s="11" t="s">
        <v>109</v>
      </c>
      <c r="T161" s="11" t="s">
        <v>14</v>
      </c>
      <c r="U161" s="1">
        <v>1</v>
      </c>
      <c r="AE161" s="5"/>
      <c r="AL161" s="11" t="s">
        <v>195</v>
      </c>
      <c r="AM161" s="11" t="s">
        <v>10</v>
      </c>
      <c r="AN161" s="11" t="s">
        <v>78</v>
      </c>
      <c r="AO161" s="1">
        <v>1</v>
      </c>
    </row>
    <row r="162" spans="2:42">
      <c r="B162" s="19"/>
      <c r="AE162" s="5"/>
      <c r="AL162" s="11" t="s">
        <v>196</v>
      </c>
      <c r="AM162" s="11" t="s">
        <v>10</v>
      </c>
      <c r="AN162" s="11" t="s">
        <v>166</v>
      </c>
      <c r="AO162" s="1">
        <v>1</v>
      </c>
    </row>
    <row r="163" spans="2:42">
      <c r="B163" s="19"/>
      <c r="AE163" s="5"/>
      <c r="AJ163" s="11" t="s">
        <v>57</v>
      </c>
      <c r="AL163" s="11" t="s">
        <v>197</v>
      </c>
      <c r="AM163" s="11" t="s">
        <v>10</v>
      </c>
      <c r="AN163" s="11" t="s">
        <v>85</v>
      </c>
      <c r="AO163" s="1">
        <v>0.25</v>
      </c>
    </row>
    <row r="164" spans="2:42">
      <c r="B164" s="19"/>
      <c r="AE164" s="5"/>
      <c r="AL164" s="11" t="s">
        <v>2190</v>
      </c>
      <c r="AM164" s="11" t="s">
        <v>10</v>
      </c>
      <c r="AN164" s="11" t="s">
        <v>14</v>
      </c>
      <c r="AO164" s="1">
        <v>1</v>
      </c>
    </row>
    <row r="165" spans="2:42">
      <c r="B165" s="19"/>
      <c r="AE165" s="5"/>
    </row>
    <row r="166" spans="2:42">
      <c r="B166" s="19"/>
      <c r="AE166" s="5"/>
      <c r="AI166" s="20" t="s">
        <v>198</v>
      </c>
      <c r="AJ166" s="42" t="s">
        <v>199</v>
      </c>
      <c r="AK166" s="42"/>
      <c r="AL166" s="42"/>
      <c r="AM166" s="11">
        <f>COUNTA(AL167:AL173)-COUNTIF(AJ167:AJ173,"兼")</f>
        <v>6</v>
      </c>
    </row>
    <row r="167" spans="2:42">
      <c r="B167" s="19"/>
      <c r="AE167" s="5"/>
      <c r="AK167" s="11" t="s">
        <v>100</v>
      </c>
      <c r="AL167" s="11" t="s">
        <v>200</v>
      </c>
      <c r="AM167" s="11" t="s">
        <v>10</v>
      </c>
      <c r="AN167" s="11" t="s">
        <v>78</v>
      </c>
      <c r="AO167" s="1">
        <v>1</v>
      </c>
    </row>
    <row r="168" spans="2:42">
      <c r="B168" s="19"/>
      <c r="AE168" s="5"/>
      <c r="AL168" s="11" t="s">
        <v>201</v>
      </c>
      <c r="AM168" s="11" t="s">
        <v>10</v>
      </c>
      <c r="AN168" s="11" t="s">
        <v>78</v>
      </c>
      <c r="AO168" s="1">
        <v>1</v>
      </c>
    </row>
    <row r="169" spans="2:42">
      <c r="B169" s="19"/>
      <c r="AE169" s="5"/>
      <c r="AL169" s="11" t="s">
        <v>202</v>
      </c>
      <c r="AM169" s="11" t="s">
        <v>10</v>
      </c>
      <c r="AN169" s="11" t="s">
        <v>78</v>
      </c>
      <c r="AO169" s="1">
        <v>1</v>
      </c>
    </row>
    <row r="170" spans="2:42">
      <c r="B170" s="19"/>
      <c r="AE170" s="5"/>
      <c r="AL170" s="11" t="s">
        <v>203</v>
      </c>
      <c r="AM170" s="11" t="s">
        <v>10</v>
      </c>
      <c r="AN170" s="11" t="s">
        <v>166</v>
      </c>
      <c r="AO170" s="1">
        <v>1</v>
      </c>
    </row>
    <row r="171" spans="2:42">
      <c r="B171" s="19"/>
      <c r="AE171" s="5"/>
      <c r="AL171" s="11" t="s">
        <v>204</v>
      </c>
      <c r="AM171" s="11" t="s">
        <v>10</v>
      </c>
      <c r="AN171" s="11" t="s">
        <v>166</v>
      </c>
      <c r="AO171" s="1">
        <v>1</v>
      </c>
    </row>
    <row r="172" spans="2:42">
      <c r="B172" s="19"/>
      <c r="AE172" s="5"/>
      <c r="AL172" s="11" t="s">
        <v>205</v>
      </c>
      <c r="AM172" s="11" t="s">
        <v>10</v>
      </c>
      <c r="AN172" s="11" t="s">
        <v>43</v>
      </c>
      <c r="AO172" s="1">
        <v>1</v>
      </c>
    </row>
    <row r="173" spans="2:42">
      <c r="B173" s="19"/>
      <c r="AE173" s="5"/>
      <c r="AJ173" s="11" t="s">
        <v>57</v>
      </c>
      <c r="AL173" s="11" t="s">
        <v>206</v>
      </c>
      <c r="AM173" s="11" t="s">
        <v>10</v>
      </c>
      <c r="AN173" s="11" t="s">
        <v>85</v>
      </c>
      <c r="AO173" s="1">
        <v>0.2</v>
      </c>
    </row>
    <row r="174" spans="2:42">
      <c r="B174" s="19"/>
      <c r="X174" s="16"/>
      <c r="Y174" s="16"/>
      <c r="Z174" s="16"/>
      <c r="AA174" s="16"/>
      <c r="AB174" s="16"/>
      <c r="AC174" s="16"/>
      <c r="AD174" s="16"/>
      <c r="AE174" s="7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</row>
    <row r="175" spans="2:42">
      <c r="B175" s="19"/>
      <c r="AE175" s="5"/>
    </row>
    <row r="176" spans="2:42">
      <c r="B176" s="19"/>
      <c r="X176" s="11">
        <f>SUM(AC176,AM176)</f>
        <v>5</v>
      </c>
      <c r="Y176" s="20" t="s">
        <v>207</v>
      </c>
      <c r="Z176" s="42" t="s">
        <v>208</v>
      </c>
      <c r="AA176" s="42"/>
      <c r="AB176" s="42"/>
      <c r="AC176" s="11">
        <f>COUNTA(AB177:AB179)-COUNTIF(Z177:Z179,"兼")</f>
        <v>2</v>
      </c>
      <c r="AE176" s="5"/>
      <c r="AI176" s="20" t="s">
        <v>209</v>
      </c>
      <c r="AJ176" s="42" t="s">
        <v>210</v>
      </c>
      <c r="AK176" s="42"/>
      <c r="AL176" s="42"/>
      <c r="AM176" s="11">
        <f>COUNTA(AL177:AL181)-COUNTIF(AJ177:AJ181,"兼")</f>
        <v>3</v>
      </c>
    </row>
    <row r="177" spans="2:42">
      <c r="B177" s="19"/>
      <c r="AA177" s="11" t="s">
        <v>98</v>
      </c>
      <c r="AB177" s="11" t="s">
        <v>211</v>
      </c>
      <c r="AC177" s="11" t="s">
        <v>10</v>
      </c>
      <c r="AD177" s="11" t="s">
        <v>78</v>
      </c>
      <c r="AE177" s="40">
        <v>1</v>
      </c>
      <c r="AK177" s="11" t="s">
        <v>100</v>
      </c>
      <c r="AL177" s="11" t="s">
        <v>212</v>
      </c>
      <c r="AM177" s="11" t="s">
        <v>10</v>
      </c>
      <c r="AN177" s="11" t="s">
        <v>78</v>
      </c>
      <c r="AO177" s="1">
        <v>1</v>
      </c>
    </row>
    <row r="178" spans="2:42">
      <c r="B178" s="19"/>
      <c r="AA178" s="11" t="s">
        <v>186</v>
      </c>
      <c r="AB178" s="11" t="s">
        <v>213</v>
      </c>
      <c r="AC178" s="11" t="s">
        <v>10</v>
      </c>
      <c r="AD178" s="11" t="s">
        <v>146</v>
      </c>
      <c r="AE178" s="40">
        <v>1</v>
      </c>
      <c r="AL178" s="11" t="s">
        <v>214</v>
      </c>
      <c r="AM178" s="11" t="s">
        <v>10</v>
      </c>
      <c r="AN178" s="11" t="s">
        <v>43</v>
      </c>
      <c r="AO178" s="1">
        <v>1</v>
      </c>
    </row>
    <row r="179" spans="2:42">
      <c r="B179" s="19"/>
      <c r="Z179" s="11" t="s">
        <v>57</v>
      </c>
      <c r="AB179" s="11" t="s">
        <v>215</v>
      </c>
      <c r="AC179" s="11" t="s">
        <v>10</v>
      </c>
      <c r="AD179" s="11" t="s">
        <v>146</v>
      </c>
      <c r="AE179" s="40">
        <v>0.4</v>
      </c>
      <c r="AJ179" s="11" t="s">
        <v>57</v>
      </c>
      <c r="AL179" s="11" t="s">
        <v>216</v>
      </c>
      <c r="AM179" s="11" t="s">
        <v>10</v>
      </c>
      <c r="AN179" s="11" t="s">
        <v>78</v>
      </c>
      <c r="AO179" s="1">
        <v>0.2</v>
      </c>
    </row>
    <row r="180" spans="2:42">
      <c r="B180" s="19"/>
      <c r="AE180" s="5"/>
      <c r="AJ180" s="11" t="s">
        <v>57</v>
      </c>
      <c r="AL180" s="11" t="s">
        <v>217</v>
      </c>
      <c r="AM180" s="11" t="s">
        <v>10</v>
      </c>
      <c r="AN180" s="11" t="s">
        <v>43</v>
      </c>
      <c r="AO180" s="1">
        <v>0.4</v>
      </c>
    </row>
    <row r="181" spans="2:42">
      <c r="B181" s="19"/>
      <c r="AE181" s="5"/>
      <c r="AL181" s="11" t="s">
        <v>435</v>
      </c>
      <c r="AM181" s="11" t="s">
        <v>229</v>
      </c>
      <c r="AN181" s="11" t="s">
        <v>78</v>
      </c>
      <c r="AO181" s="1">
        <v>0.5</v>
      </c>
    </row>
    <row r="182" spans="2:42">
      <c r="B182" s="19"/>
      <c r="X182" s="16"/>
      <c r="Y182" s="16"/>
      <c r="Z182" s="16"/>
      <c r="AA182" s="16"/>
      <c r="AB182" s="16"/>
      <c r="AC182" s="16"/>
      <c r="AD182" s="16"/>
      <c r="AE182" s="7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</row>
    <row r="183" spans="2:42">
      <c r="B183" s="19"/>
      <c r="AE183" s="5"/>
    </row>
    <row r="184" spans="2:42">
      <c r="B184" s="19"/>
      <c r="X184" s="11">
        <f>SUM(AC184,AM184,AM191)</f>
        <v>11</v>
      </c>
      <c r="Y184" s="20" t="s">
        <v>218</v>
      </c>
      <c r="Z184" s="42" t="s">
        <v>219</v>
      </c>
      <c r="AA184" s="42"/>
      <c r="AB184" s="42"/>
      <c r="AC184" s="11">
        <f>COUNTA(AB185:AB186)-COUNTIF(Z185:Z186,"兼")</f>
        <v>2</v>
      </c>
      <c r="AE184" s="5"/>
      <c r="AI184" s="20" t="s">
        <v>220</v>
      </c>
      <c r="AJ184" s="42" t="s">
        <v>221</v>
      </c>
      <c r="AK184" s="42"/>
      <c r="AL184" s="42"/>
      <c r="AM184" s="11">
        <f>COUNTA(AL185:AL189)-COUNTIF(AJ185:AJ189,"兼")</f>
        <v>4</v>
      </c>
    </row>
    <row r="185" spans="2:42">
      <c r="B185" s="19"/>
      <c r="AA185" s="11" t="s">
        <v>98</v>
      </c>
      <c r="AB185" s="11" t="s">
        <v>222</v>
      </c>
      <c r="AC185" s="11" t="s">
        <v>10</v>
      </c>
      <c r="AD185" s="11" t="s">
        <v>223</v>
      </c>
      <c r="AE185" s="40">
        <v>1</v>
      </c>
      <c r="AJ185" s="11" t="s">
        <v>57</v>
      </c>
      <c r="AK185" s="11" t="s">
        <v>100</v>
      </c>
      <c r="AL185" s="11" t="s">
        <v>216</v>
      </c>
      <c r="AM185" s="11" t="s">
        <v>10</v>
      </c>
      <c r="AN185" s="11" t="s">
        <v>78</v>
      </c>
      <c r="AO185" s="1">
        <v>0.2</v>
      </c>
    </row>
    <row r="186" spans="2:42">
      <c r="B186" s="19"/>
      <c r="AA186" s="11" t="s">
        <v>186</v>
      </c>
      <c r="AB186" s="11" t="s">
        <v>224</v>
      </c>
      <c r="AC186" s="11" t="s">
        <v>10</v>
      </c>
      <c r="AD186" s="11" t="s">
        <v>78</v>
      </c>
      <c r="AE186" s="40">
        <v>0.6</v>
      </c>
      <c r="AL186" s="11" t="s">
        <v>225</v>
      </c>
      <c r="AM186" s="11" t="s">
        <v>10</v>
      </c>
      <c r="AN186" s="11" t="s">
        <v>78</v>
      </c>
      <c r="AO186" s="1">
        <v>1</v>
      </c>
    </row>
    <row r="187" spans="2:42">
      <c r="B187" s="19"/>
      <c r="AE187" s="5"/>
      <c r="AL187" s="11" t="s">
        <v>226</v>
      </c>
      <c r="AM187" s="11" t="s">
        <v>10</v>
      </c>
      <c r="AN187" s="11" t="s">
        <v>78</v>
      </c>
      <c r="AO187" s="1">
        <v>1</v>
      </c>
    </row>
    <row r="188" spans="2:42">
      <c r="B188" s="19"/>
      <c r="AE188" s="5"/>
      <c r="AL188" s="11" t="s">
        <v>227</v>
      </c>
      <c r="AM188" s="11" t="s">
        <v>10</v>
      </c>
      <c r="AN188" s="11" t="s">
        <v>78</v>
      </c>
      <c r="AO188" s="1">
        <v>1</v>
      </c>
    </row>
    <row r="189" spans="2:42">
      <c r="B189" s="19"/>
      <c r="AE189" s="5"/>
      <c r="AL189" s="11" t="s">
        <v>228</v>
      </c>
      <c r="AM189" s="11" t="s">
        <v>229</v>
      </c>
      <c r="AN189" s="11" t="s">
        <v>78</v>
      </c>
      <c r="AO189" s="1">
        <v>1</v>
      </c>
    </row>
    <row r="190" spans="2:42">
      <c r="B190" s="19"/>
      <c r="AE190" s="5"/>
    </row>
    <row r="191" spans="2:42">
      <c r="B191" s="19"/>
      <c r="AE191" s="5"/>
      <c r="AI191" s="20" t="s">
        <v>230</v>
      </c>
      <c r="AJ191" s="42" t="s">
        <v>231</v>
      </c>
      <c r="AK191" s="42"/>
      <c r="AL191" s="42"/>
      <c r="AM191" s="11">
        <f>COUNTA(AL192:AL196)-COUNTIF(AJ192:AJ196,"兼")</f>
        <v>5</v>
      </c>
    </row>
    <row r="192" spans="2:42">
      <c r="B192" s="19"/>
      <c r="AE192" s="5"/>
      <c r="AK192" s="11" t="s">
        <v>100</v>
      </c>
      <c r="AL192" s="11" t="s">
        <v>232</v>
      </c>
      <c r="AM192" s="11" t="s">
        <v>10</v>
      </c>
      <c r="AN192" s="11" t="s">
        <v>223</v>
      </c>
      <c r="AO192" s="1">
        <v>1</v>
      </c>
    </row>
    <row r="193" spans="2:42">
      <c r="B193" s="19"/>
      <c r="AE193" s="5"/>
      <c r="AL193" s="11" t="s">
        <v>217</v>
      </c>
      <c r="AM193" s="11" t="s">
        <v>10</v>
      </c>
      <c r="AN193" s="11" t="s">
        <v>146</v>
      </c>
      <c r="AO193" s="1">
        <v>0.6</v>
      </c>
    </row>
    <row r="194" spans="2:42">
      <c r="B194" s="19"/>
      <c r="AE194" s="5"/>
      <c r="AL194" s="11" t="s">
        <v>233</v>
      </c>
      <c r="AM194" s="11" t="s">
        <v>109</v>
      </c>
      <c r="AN194" s="11" t="s">
        <v>43</v>
      </c>
      <c r="AO194" s="1">
        <v>1</v>
      </c>
    </row>
    <row r="195" spans="2:42">
      <c r="B195" s="19"/>
      <c r="AE195" s="5"/>
      <c r="AL195" s="11" t="s">
        <v>234</v>
      </c>
      <c r="AM195" s="11" t="s">
        <v>10</v>
      </c>
      <c r="AN195" s="11" t="s">
        <v>43</v>
      </c>
      <c r="AO195" s="1">
        <v>1</v>
      </c>
    </row>
    <row r="196" spans="2:42">
      <c r="B196" s="19"/>
      <c r="AE196" s="8"/>
      <c r="AL196" s="11" t="s">
        <v>235</v>
      </c>
      <c r="AM196" s="11" t="s">
        <v>10</v>
      </c>
      <c r="AN196" s="11" t="s">
        <v>85</v>
      </c>
      <c r="AO196" s="1">
        <v>1</v>
      </c>
    </row>
    <row r="197" spans="2:42">
      <c r="B197" s="19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7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</row>
    <row r="198" spans="2:42">
      <c r="B198" s="19"/>
      <c r="AE198" s="5"/>
    </row>
    <row r="199" spans="2:42">
      <c r="B199" s="19"/>
      <c r="N199" s="11">
        <f>SUM(S199,X199,X245,X226,X263,X279)</f>
        <v>67</v>
      </c>
      <c r="O199" s="20" t="s">
        <v>236</v>
      </c>
      <c r="P199" s="42" t="s">
        <v>237</v>
      </c>
      <c r="Q199" s="42"/>
      <c r="R199" s="42"/>
      <c r="S199" s="11">
        <f>COUNTA(R200:R201)-COUNTIF(P200:P201,"兼")</f>
        <v>1</v>
      </c>
      <c r="X199" s="11">
        <f>SUM(AC199,AM199,AM210,AM217)</f>
        <v>22</v>
      </c>
      <c r="Y199" s="20" t="s">
        <v>238</v>
      </c>
      <c r="Z199" s="42" t="s">
        <v>239</v>
      </c>
      <c r="AA199" s="42"/>
      <c r="AB199" s="42"/>
      <c r="AC199" s="11">
        <f>COUNTA(AB200:AB202)-COUNTIF(Z200:Z202,"兼")</f>
        <v>3</v>
      </c>
      <c r="AE199" s="5"/>
      <c r="AI199" s="20" t="s">
        <v>240</v>
      </c>
      <c r="AJ199" s="42" t="s">
        <v>241</v>
      </c>
      <c r="AK199" s="42"/>
      <c r="AL199" s="42"/>
      <c r="AM199" s="11">
        <f>COUNTA(AL200:AL208)-COUNTIF(AJ200:AJ208,"兼")</f>
        <v>8</v>
      </c>
    </row>
    <row r="200" spans="2:42">
      <c r="B200" s="19"/>
      <c r="P200" s="11" t="s">
        <v>57</v>
      </c>
      <c r="Q200" s="11" t="s">
        <v>96</v>
      </c>
      <c r="R200" s="11" t="s">
        <v>242</v>
      </c>
      <c r="S200" s="11" t="s">
        <v>10</v>
      </c>
      <c r="T200" s="11" t="s">
        <v>18</v>
      </c>
      <c r="U200" s="1">
        <v>0.4</v>
      </c>
      <c r="AA200" s="11" t="s">
        <v>98</v>
      </c>
      <c r="AB200" s="11" t="s">
        <v>243</v>
      </c>
      <c r="AC200" s="11" t="s">
        <v>10</v>
      </c>
      <c r="AD200" s="11" t="s">
        <v>78</v>
      </c>
      <c r="AE200" s="40">
        <v>1</v>
      </c>
      <c r="AK200" s="11" t="s">
        <v>100</v>
      </c>
      <c r="AL200" s="11" t="s">
        <v>244</v>
      </c>
      <c r="AM200" s="11" t="s">
        <v>10</v>
      </c>
      <c r="AN200" s="11" t="s">
        <v>78</v>
      </c>
      <c r="AO200" s="1">
        <v>1</v>
      </c>
    </row>
    <row r="201" spans="2:42">
      <c r="B201" s="19"/>
      <c r="Q201" s="11" t="s">
        <v>133</v>
      </c>
      <c r="R201" s="11" t="s">
        <v>245</v>
      </c>
      <c r="S201" s="11" t="s">
        <v>10</v>
      </c>
      <c r="T201" s="11" t="s">
        <v>124</v>
      </c>
      <c r="U201" s="1">
        <v>0.5</v>
      </c>
      <c r="AA201" s="11" t="s">
        <v>186</v>
      </c>
      <c r="AB201" s="11" t="s">
        <v>246</v>
      </c>
      <c r="AC201" s="11" t="s">
        <v>10</v>
      </c>
      <c r="AD201" s="11" t="s">
        <v>78</v>
      </c>
      <c r="AE201" s="40">
        <v>1</v>
      </c>
      <c r="AL201" s="11" t="s">
        <v>247</v>
      </c>
      <c r="AM201" s="11" t="s">
        <v>10</v>
      </c>
      <c r="AN201" s="11" t="s">
        <v>78</v>
      </c>
      <c r="AO201" s="1">
        <v>0.9</v>
      </c>
    </row>
    <row r="202" spans="2:42">
      <c r="B202" s="19"/>
      <c r="AB202" s="11" t="s">
        <v>37</v>
      </c>
      <c r="AC202" s="11" t="s">
        <v>10</v>
      </c>
      <c r="AD202" s="11" t="s">
        <v>18</v>
      </c>
      <c r="AE202" s="40">
        <v>0.8</v>
      </c>
      <c r="AL202" s="11" t="s">
        <v>248</v>
      </c>
      <c r="AM202" s="11" t="s">
        <v>10</v>
      </c>
      <c r="AN202" s="11" t="s">
        <v>78</v>
      </c>
      <c r="AO202" s="1">
        <v>1</v>
      </c>
    </row>
    <row r="203" spans="2:42">
      <c r="B203" s="19"/>
      <c r="AE203" s="5"/>
      <c r="AL203" s="11" t="s">
        <v>249</v>
      </c>
      <c r="AM203" s="11" t="s">
        <v>10</v>
      </c>
      <c r="AN203" s="11" t="s">
        <v>166</v>
      </c>
      <c r="AO203" s="1">
        <v>1</v>
      </c>
    </row>
    <row r="204" spans="2:42">
      <c r="B204" s="19"/>
      <c r="AE204" s="5"/>
      <c r="AL204" s="11" t="s">
        <v>250</v>
      </c>
      <c r="AM204" s="11" t="s">
        <v>10</v>
      </c>
      <c r="AN204" s="11" t="s">
        <v>43</v>
      </c>
      <c r="AO204" s="1">
        <v>1</v>
      </c>
    </row>
    <row r="205" spans="2:42">
      <c r="B205" s="19"/>
      <c r="AE205" s="5"/>
      <c r="AL205" s="11" t="s">
        <v>251</v>
      </c>
      <c r="AM205" s="11" t="s">
        <v>10</v>
      </c>
      <c r="AN205" s="11" t="s">
        <v>43</v>
      </c>
      <c r="AO205" s="1">
        <v>1</v>
      </c>
    </row>
    <row r="206" spans="2:42">
      <c r="B206" s="19"/>
      <c r="AE206" s="5"/>
      <c r="AL206" s="11" t="s">
        <v>252</v>
      </c>
      <c r="AM206" s="11" t="s">
        <v>10</v>
      </c>
      <c r="AN206" s="11" t="s">
        <v>43</v>
      </c>
      <c r="AO206" s="1">
        <v>1</v>
      </c>
    </row>
    <row r="207" spans="2:42">
      <c r="B207" s="19"/>
      <c r="AE207" s="5"/>
      <c r="AJ207" s="11" t="s">
        <v>57</v>
      </c>
      <c r="AL207" s="11" t="s">
        <v>206</v>
      </c>
      <c r="AM207" s="11" t="s">
        <v>10</v>
      </c>
      <c r="AN207" s="11" t="s">
        <v>85</v>
      </c>
      <c r="AO207" s="1">
        <v>0.2</v>
      </c>
    </row>
    <row r="208" spans="2:42">
      <c r="B208" s="19"/>
      <c r="AE208" s="5"/>
      <c r="AL208" s="11" t="s">
        <v>2235</v>
      </c>
      <c r="AM208" s="11" t="s">
        <v>10</v>
      </c>
      <c r="AN208" s="11" t="s">
        <v>43</v>
      </c>
      <c r="AO208" s="1">
        <v>1</v>
      </c>
    </row>
    <row r="209" spans="2:42">
      <c r="B209" s="19"/>
      <c r="AE209" s="5"/>
    </row>
    <row r="210" spans="2:42">
      <c r="B210" s="19"/>
      <c r="AE210" s="5"/>
      <c r="AI210" s="20" t="s">
        <v>253</v>
      </c>
      <c r="AJ210" s="42" t="s">
        <v>254</v>
      </c>
      <c r="AK210" s="42"/>
      <c r="AL210" s="42"/>
      <c r="AM210" s="11">
        <f>COUNTA(AL211:AL215)-COUNTIF(AJ211:AJ215,"兼")</f>
        <v>5</v>
      </c>
    </row>
    <row r="211" spans="2:42">
      <c r="B211" s="19"/>
      <c r="AE211" s="5"/>
      <c r="AK211" s="11" t="s">
        <v>100</v>
      </c>
      <c r="AL211" s="11" t="s">
        <v>255</v>
      </c>
      <c r="AM211" s="11" t="s">
        <v>10</v>
      </c>
      <c r="AN211" s="11" t="s">
        <v>166</v>
      </c>
      <c r="AO211" s="1">
        <v>1</v>
      </c>
    </row>
    <row r="212" spans="2:42">
      <c r="B212" s="19"/>
      <c r="AE212" s="5"/>
      <c r="AL212" s="11" t="s">
        <v>256</v>
      </c>
      <c r="AM212" s="11" t="s">
        <v>10</v>
      </c>
      <c r="AN212" s="11" t="s">
        <v>78</v>
      </c>
      <c r="AO212" s="1">
        <v>1</v>
      </c>
    </row>
    <row r="213" spans="2:42">
      <c r="B213" s="19"/>
      <c r="AE213" s="5"/>
      <c r="AL213" s="11" t="s">
        <v>257</v>
      </c>
      <c r="AM213" s="11" t="s">
        <v>10</v>
      </c>
      <c r="AN213" s="11" t="s">
        <v>43</v>
      </c>
      <c r="AO213" s="1">
        <v>1</v>
      </c>
    </row>
    <row r="214" spans="2:42">
      <c r="B214" s="19"/>
      <c r="AE214" s="5"/>
      <c r="AL214" s="11" t="s">
        <v>258</v>
      </c>
      <c r="AM214" s="11" t="s">
        <v>10</v>
      </c>
      <c r="AN214" s="11" t="s">
        <v>78</v>
      </c>
      <c r="AO214" s="1">
        <v>1</v>
      </c>
    </row>
    <row r="215" spans="2:42">
      <c r="B215" s="19"/>
      <c r="AE215" s="5"/>
      <c r="AL215" s="11" t="s">
        <v>259</v>
      </c>
      <c r="AM215" s="11" t="s">
        <v>10</v>
      </c>
      <c r="AN215" s="11" t="s">
        <v>110</v>
      </c>
      <c r="AO215" s="1">
        <v>1</v>
      </c>
    </row>
    <row r="216" spans="2:42">
      <c r="B216" s="19"/>
      <c r="AE216" s="5"/>
    </row>
    <row r="217" spans="2:42">
      <c r="B217" s="19"/>
      <c r="AE217" s="5"/>
      <c r="AI217" s="20" t="s">
        <v>260</v>
      </c>
      <c r="AJ217" s="42" t="s">
        <v>261</v>
      </c>
      <c r="AK217" s="42"/>
      <c r="AL217" s="42"/>
      <c r="AM217" s="11">
        <f>COUNTA(AL218:AL223)-COUNTIF(AJ218:AJ223,"兼")</f>
        <v>6</v>
      </c>
    </row>
    <row r="218" spans="2:42">
      <c r="B218" s="19"/>
      <c r="AE218" s="5"/>
      <c r="AK218" s="11" t="s">
        <v>100</v>
      </c>
      <c r="AL218" s="11" t="s">
        <v>262</v>
      </c>
      <c r="AM218" s="11" t="s">
        <v>10</v>
      </c>
      <c r="AN218" s="11" t="s">
        <v>85</v>
      </c>
      <c r="AO218" s="1">
        <v>1</v>
      </c>
    </row>
    <row r="219" spans="2:42">
      <c r="B219" s="19"/>
      <c r="AE219" s="5"/>
      <c r="AL219" s="11" t="s">
        <v>263</v>
      </c>
      <c r="AM219" s="11" t="s">
        <v>10</v>
      </c>
      <c r="AN219" s="11" t="s">
        <v>166</v>
      </c>
      <c r="AO219" s="1">
        <v>1</v>
      </c>
    </row>
    <row r="220" spans="2:42">
      <c r="B220" s="19"/>
      <c r="AE220" s="5"/>
      <c r="AL220" s="11" t="s">
        <v>264</v>
      </c>
      <c r="AM220" s="11" t="s">
        <v>10</v>
      </c>
      <c r="AN220" s="11" t="s">
        <v>78</v>
      </c>
      <c r="AO220" s="1">
        <v>1</v>
      </c>
    </row>
    <row r="221" spans="2:42">
      <c r="B221" s="19"/>
      <c r="AE221" s="5"/>
      <c r="AL221" s="11" t="s">
        <v>265</v>
      </c>
      <c r="AM221" s="11" t="s">
        <v>10</v>
      </c>
      <c r="AN221" s="11" t="s">
        <v>166</v>
      </c>
      <c r="AO221" s="1">
        <v>1</v>
      </c>
    </row>
    <row r="222" spans="2:42">
      <c r="B222" s="19"/>
      <c r="AE222" s="8"/>
      <c r="AL222" s="11" t="s">
        <v>266</v>
      </c>
      <c r="AM222" s="11" t="s">
        <v>10</v>
      </c>
      <c r="AN222" s="11" t="s">
        <v>43</v>
      </c>
      <c r="AO222" s="1">
        <v>1</v>
      </c>
    </row>
    <row r="223" spans="2:42">
      <c r="B223" s="19"/>
      <c r="AE223" s="8"/>
      <c r="AL223" s="11" t="s">
        <v>2236</v>
      </c>
      <c r="AM223" s="11" t="s">
        <v>10</v>
      </c>
      <c r="AN223" s="11" t="s">
        <v>276</v>
      </c>
      <c r="AO223" s="1">
        <v>1</v>
      </c>
    </row>
    <row r="224" spans="2:42">
      <c r="B224" s="19"/>
      <c r="X224" s="16"/>
      <c r="Y224" s="16"/>
      <c r="Z224" s="16"/>
      <c r="AA224" s="16"/>
      <c r="AB224" s="16"/>
      <c r="AC224" s="16"/>
      <c r="AD224" s="16"/>
      <c r="AE224" s="7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</row>
    <row r="225" spans="2:41">
      <c r="B225" s="19"/>
      <c r="AE225" s="5"/>
    </row>
    <row r="226" spans="2:41">
      <c r="B226" s="19"/>
      <c r="X226" s="11">
        <f>SUM(AC226,AM226,AM238)</f>
        <v>14</v>
      </c>
      <c r="Y226" s="20" t="s">
        <v>267</v>
      </c>
      <c r="Z226" s="42" t="s">
        <v>268</v>
      </c>
      <c r="AA226" s="42"/>
      <c r="AB226" s="42"/>
      <c r="AC226" s="11">
        <f>COUNTA(AB227:AB228)-COUNTIF(Z227:Z228,"兼")</f>
        <v>2</v>
      </c>
      <c r="AE226" s="5"/>
      <c r="AI226" s="20" t="s">
        <v>269</v>
      </c>
      <c r="AJ226" s="42" t="s">
        <v>270</v>
      </c>
      <c r="AK226" s="42"/>
      <c r="AL226" s="42"/>
      <c r="AM226" s="11">
        <f>COUNTA(AL227:AL236)-COUNTIF(AJ227:AJ236,"兼")</f>
        <v>9</v>
      </c>
    </row>
    <row r="227" spans="2:41">
      <c r="B227" s="19"/>
      <c r="AA227" s="11" t="s">
        <v>98</v>
      </c>
      <c r="AB227" s="11" t="s">
        <v>271</v>
      </c>
      <c r="AC227" s="11" t="s">
        <v>10</v>
      </c>
      <c r="AD227" s="11" t="s">
        <v>223</v>
      </c>
      <c r="AE227" s="40">
        <v>0.9</v>
      </c>
      <c r="AK227" s="11" t="s">
        <v>100</v>
      </c>
      <c r="AL227" s="11" t="s">
        <v>272</v>
      </c>
      <c r="AM227" s="11" t="s">
        <v>10</v>
      </c>
      <c r="AN227" s="11" t="s">
        <v>166</v>
      </c>
      <c r="AO227" s="1">
        <v>1</v>
      </c>
    </row>
    <row r="228" spans="2:41">
      <c r="B228" s="19"/>
      <c r="AA228" s="11" t="s">
        <v>186</v>
      </c>
      <c r="AB228" s="11" t="s">
        <v>273</v>
      </c>
      <c r="AC228" s="11" t="s">
        <v>10</v>
      </c>
      <c r="AD228" s="11" t="s">
        <v>78</v>
      </c>
      <c r="AE228" s="40">
        <v>1</v>
      </c>
      <c r="AL228" s="11" t="s">
        <v>274</v>
      </c>
      <c r="AM228" s="11" t="s">
        <v>10</v>
      </c>
      <c r="AN228" s="11" t="s">
        <v>78</v>
      </c>
      <c r="AO228" s="1">
        <v>1</v>
      </c>
    </row>
    <row r="229" spans="2:41">
      <c r="B229" s="19"/>
      <c r="AE229" s="5"/>
      <c r="AL229" s="11" t="s">
        <v>275</v>
      </c>
      <c r="AM229" s="11" t="s">
        <v>10</v>
      </c>
      <c r="AN229" s="11" t="s">
        <v>276</v>
      </c>
      <c r="AO229" s="1">
        <v>1</v>
      </c>
    </row>
    <row r="230" spans="2:41">
      <c r="B230" s="19"/>
      <c r="AE230" s="5"/>
      <c r="AL230" s="11" t="s">
        <v>277</v>
      </c>
      <c r="AM230" s="11" t="s">
        <v>10</v>
      </c>
      <c r="AN230" s="11" t="s">
        <v>166</v>
      </c>
      <c r="AO230" s="1">
        <v>1</v>
      </c>
    </row>
    <row r="231" spans="2:41">
      <c r="B231" s="19"/>
      <c r="AE231" s="5"/>
      <c r="AL231" s="11" t="s">
        <v>278</v>
      </c>
      <c r="AM231" s="11" t="s">
        <v>10</v>
      </c>
      <c r="AN231" s="11" t="s">
        <v>166</v>
      </c>
      <c r="AO231" s="1">
        <v>1</v>
      </c>
    </row>
    <row r="232" spans="2:41">
      <c r="B232" s="19"/>
      <c r="AE232" s="5"/>
      <c r="AL232" s="11" t="s">
        <v>279</v>
      </c>
      <c r="AM232" s="11" t="s">
        <v>10</v>
      </c>
      <c r="AN232" s="11" t="s">
        <v>43</v>
      </c>
      <c r="AO232" s="1">
        <v>1</v>
      </c>
    </row>
    <row r="233" spans="2:41">
      <c r="B233" s="19"/>
      <c r="AE233" s="5"/>
      <c r="AL233" s="11" t="s">
        <v>280</v>
      </c>
      <c r="AM233" s="11" t="s">
        <v>10</v>
      </c>
      <c r="AN233" s="11" t="s">
        <v>85</v>
      </c>
      <c r="AO233" s="1">
        <v>0.75</v>
      </c>
    </row>
    <row r="234" spans="2:41">
      <c r="B234" s="19"/>
      <c r="AE234" s="5"/>
      <c r="AJ234" s="11" t="s">
        <v>57</v>
      </c>
      <c r="AL234" s="11" t="s">
        <v>206</v>
      </c>
      <c r="AM234" s="11" t="s">
        <v>10</v>
      </c>
      <c r="AN234" s="11" t="s">
        <v>85</v>
      </c>
      <c r="AO234" s="1">
        <v>0.2</v>
      </c>
    </row>
    <row r="235" spans="2:41">
      <c r="B235" s="19"/>
      <c r="AE235" s="5"/>
      <c r="AL235" s="11" t="s">
        <v>281</v>
      </c>
      <c r="AM235" s="11" t="s">
        <v>282</v>
      </c>
      <c r="AN235" s="11" t="s">
        <v>78</v>
      </c>
      <c r="AO235" s="1">
        <v>0.6</v>
      </c>
    </row>
    <row r="236" spans="2:41">
      <c r="B236" s="19"/>
      <c r="AE236" s="5"/>
      <c r="AL236" s="11" t="s">
        <v>283</v>
      </c>
      <c r="AM236" s="11" t="s">
        <v>284</v>
      </c>
      <c r="AN236" s="11" t="s">
        <v>78</v>
      </c>
      <c r="AO236" s="1">
        <v>1</v>
      </c>
    </row>
    <row r="237" spans="2:41">
      <c r="B237" s="19"/>
      <c r="AE237" s="5"/>
    </row>
    <row r="238" spans="2:41">
      <c r="B238" s="19"/>
      <c r="AE238" s="5"/>
      <c r="AI238" s="20" t="s">
        <v>285</v>
      </c>
      <c r="AJ238" s="42" t="s">
        <v>286</v>
      </c>
      <c r="AK238" s="42"/>
      <c r="AL238" s="42"/>
      <c r="AM238" s="11">
        <f>COUNTA(AL239:AL242)-COUNTIF(AJ239:AJ242,"兼")</f>
        <v>3</v>
      </c>
    </row>
    <row r="239" spans="2:41">
      <c r="B239" s="19"/>
      <c r="AE239" s="5"/>
      <c r="AK239" s="11" t="s">
        <v>100</v>
      </c>
      <c r="AL239" s="11" t="s">
        <v>287</v>
      </c>
      <c r="AM239" s="11" t="s">
        <v>10</v>
      </c>
      <c r="AN239" s="11" t="s">
        <v>78</v>
      </c>
      <c r="AO239" s="1">
        <v>1</v>
      </c>
    </row>
    <row r="240" spans="2:41">
      <c r="B240" s="19"/>
      <c r="AE240" s="5"/>
      <c r="AL240" s="11" t="s">
        <v>288</v>
      </c>
      <c r="AM240" s="11" t="s">
        <v>10</v>
      </c>
      <c r="AN240" s="11" t="s">
        <v>166</v>
      </c>
      <c r="AO240" s="1">
        <v>1</v>
      </c>
    </row>
    <row r="241" spans="2:42">
      <c r="B241" s="19"/>
      <c r="AE241" s="5"/>
      <c r="AJ241" s="11" t="s">
        <v>57</v>
      </c>
      <c r="AL241" s="11" t="s">
        <v>281</v>
      </c>
      <c r="AM241" s="11" t="s">
        <v>282</v>
      </c>
      <c r="AN241" s="11" t="s">
        <v>78</v>
      </c>
      <c r="AO241" s="1">
        <v>0.4</v>
      </c>
    </row>
    <row r="242" spans="2:42">
      <c r="B242" s="19"/>
      <c r="AE242" s="5"/>
      <c r="AL242" s="11" t="s">
        <v>206</v>
      </c>
      <c r="AM242" s="11" t="s">
        <v>10</v>
      </c>
      <c r="AN242" s="11" t="s">
        <v>85</v>
      </c>
      <c r="AO242" s="1">
        <v>0.4</v>
      </c>
    </row>
    <row r="243" spans="2:42">
      <c r="B243" s="19"/>
      <c r="X243" s="16"/>
      <c r="Y243" s="16"/>
      <c r="Z243" s="16"/>
      <c r="AA243" s="16"/>
      <c r="AB243" s="16"/>
      <c r="AC243" s="16"/>
      <c r="AD243" s="16"/>
      <c r="AE243" s="7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</row>
    <row r="244" spans="2:42">
      <c r="B244" s="19"/>
      <c r="AE244" s="5"/>
    </row>
    <row r="245" spans="2:42">
      <c r="B245" s="19"/>
      <c r="X245" s="11">
        <f>SUM(AC245,AM245,AM255)</f>
        <v>14</v>
      </c>
      <c r="Y245" s="20" t="s">
        <v>289</v>
      </c>
      <c r="Z245" s="42" t="s">
        <v>290</v>
      </c>
      <c r="AA245" s="42"/>
      <c r="AB245" s="42"/>
      <c r="AC245" s="11">
        <f>COUNTA(AB246:AB247)-COUNTIF(Z246:Z247,"兼")</f>
        <v>2</v>
      </c>
      <c r="AE245" s="5"/>
      <c r="AI245" s="20" t="s">
        <v>291</v>
      </c>
      <c r="AJ245" s="42" t="s">
        <v>292</v>
      </c>
      <c r="AK245" s="42"/>
      <c r="AL245" s="42"/>
      <c r="AM245" s="11">
        <f>COUNTA(AL246:AL253)-COUNTIF(AJ246:AJ253,"兼")</f>
        <v>7</v>
      </c>
    </row>
    <row r="246" spans="2:42">
      <c r="B246" s="19"/>
      <c r="AA246" s="11" t="s">
        <v>98</v>
      </c>
      <c r="AB246" s="11" t="s">
        <v>293</v>
      </c>
      <c r="AC246" s="11" t="s">
        <v>10</v>
      </c>
      <c r="AD246" s="11" t="s">
        <v>146</v>
      </c>
      <c r="AE246" s="40">
        <v>1</v>
      </c>
      <c r="AJ246" s="11" t="s">
        <v>57</v>
      </c>
      <c r="AK246" s="11" t="s">
        <v>100</v>
      </c>
      <c r="AL246" s="11" t="s">
        <v>294</v>
      </c>
      <c r="AM246" s="11" t="s">
        <v>10</v>
      </c>
      <c r="AN246" s="11" t="s">
        <v>78</v>
      </c>
      <c r="AO246" s="1">
        <v>0.4</v>
      </c>
    </row>
    <row r="247" spans="2:42">
      <c r="B247" s="19"/>
      <c r="AA247" s="11" t="s">
        <v>186</v>
      </c>
      <c r="AB247" s="11" t="s">
        <v>295</v>
      </c>
      <c r="AC247" s="11" t="s">
        <v>10</v>
      </c>
      <c r="AD247" s="11" t="s">
        <v>78</v>
      </c>
      <c r="AE247" s="40">
        <v>0.6</v>
      </c>
      <c r="AL247" s="11" t="s">
        <v>296</v>
      </c>
      <c r="AM247" s="11" t="s">
        <v>10</v>
      </c>
      <c r="AN247" s="11" t="s">
        <v>166</v>
      </c>
      <c r="AO247" s="1">
        <v>1</v>
      </c>
    </row>
    <row r="248" spans="2:42">
      <c r="B248" s="19"/>
      <c r="AE248" s="5"/>
      <c r="AL248" s="11" t="s">
        <v>297</v>
      </c>
      <c r="AM248" s="11" t="s">
        <v>10</v>
      </c>
      <c r="AN248" s="11" t="s">
        <v>78</v>
      </c>
      <c r="AO248" s="1">
        <v>1</v>
      </c>
    </row>
    <row r="249" spans="2:42">
      <c r="B249" s="19"/>
      <c r="AE249" s="5"/>
      <c r="AL249" s="11" t="s">
        <v>298</v>
      </c>
      <c r="AM249" s="11" t="s">
        <v>10</v>
      </c>
      <c r="AN249" s="11" t="s">
        <v>78</v>
      </c>
      <c r="AO249" s="1">
        <v>1</v>
      </c>
    </row>
    <row r="250" spans="2:42">
      <c r="B250" s="19"/>
      <c r="AE250" s="5"/>
      <c r="AL250" s="11" t="s">
        <v>299</v>
      </c>
      <c r="AM250" s="11" t="s">
        <v>10</v>
      </c>
      <c r="AN250" s="11" t="s">
        <v>166</v>
      </c>
      <c r="AO250" s="1">
        <v>1</v>
      </c>
    </row>
    <row r="251" spans="2:42">
      <c r="B251" s="19"/>
      <c r="AE251" s="5"/>
      <c r="AL251" s="11" t="s">
        <v>300</v>
      </c>
      <c r="AM251" s="11" t="s">
        <v>10</v>
      </c>
      <c r="AN251" s="11" t="s">
        <v>166</v>
      </c>
      <c r="AO251" s="1">
        <v>1</v>
      </c>
    </row>
    <row r="252" spans="2:42">
      <c r="B252" s="19"/>
      <c r="AE252" s="5"/>
      <c r="AL252" s="11" t="s">
        <v>301</v>
      </c>
      <c r="AM252" s="11" t="s">
        <v>10</v>
      </c>
      <c r="AN252" s="11" t="s">
        <v>166</v>
      </c>
      <c r="AO252" s="1">
        <v>1</v>
      </c>
    </row>
    <row r="253" spans="2:42">
      <c r="B253" s="19"/>
      <c r="AE253" s="5"/>
      <c r="AL253" s="11" t="s">
        <v>302</v>
      </c>
      <c r="AM253" s="11" t="s">
        <v>10</v>
      </c>
      <c r="AN253" s="11" t="s">
        <v>43</v>
      </c>
      <c r="AO253" s="1">
        <v>1</v>
      </c>
    </row>
    <row r="254" spans="2:42">
      <c r="B254" s="19"/>
      <c r="AE254" s="5"/>
    </row>
    <row r="255" spans="2:42">
      <c r="B255" s="19"/>
      <c r="AE255" s="5"/>
      <c r="AI255" s="20" t="s">
        <v>303</v>
      </c>
      <c r="AJ255" s="42" t="s">
        <v>304</v>
      </c>
      <c r="AK255" s="42"/>
      <c r="AL255" s="42"/>
      <c r="AM255" s="11">
        <f>COUNTA(AL256:AL260)-COUNTIF(AJ256:AJ260,"兼")</f>
        <v>5</v>
      </c>
    </row>
    <row r="256" spans="2:42">
      <c r="B256" s="19"/>
      <c r="AE256" s="5"/>
      <c r="AK256" s="11" t="s">
        <v>100</v>
      </c>
      <c r="AL256" s="11" t="s">
        <v>305</v>
      </c>
      <c r="AM256" s="11" t="s">
        <v>10</v>
      </c>
      <c r="AN256" s="11" t="s">
        <v>166</v>
      </c>
      <c r="AO256" s="1">
        <v>1</v>
      </c>
    </row>
    <row r="257" spans="2:42">
      <c r="B257" s="19"/>
      <c r="AE257" s="5"/>
      <c r="AL257" s="11" t="s">
        <v>306</v>
      </c>
      <c r="AM257" s="11" t="s">
        <v>10</v>
      </c>
      <c r="AN257" s="11" t="s">
        <v>166</v>
      </c>
      <c r="AO257" s="1">
        <v>1</v>
      </c>
    </row>
    <row r="258" spans="2:42">
      <c r="B258" s="19"/>
      <c r="AE258" s="5"/>
      <c r="AL258" s="11" t="s">
        <v>308</v>
      </c>
      <c r="AM258" s="11" t="s">
        <v>10</v>
      </c>
      <c r="AN258" s="11" t="s">
        <v>78</v>
      </c>
      <c r="AO258" s="1">
        <v>1</v>
      </c>
    </row>
    <row r="259" spans="2:42">
      <c r="B259" s="19"/>
      <c r="AE259" s="5"/>
      <c r="AL259" s="11" t="s">
        <v>309</v>
      </c>
      <c r="AM259" s="11" t="s">
        <v>10</v>
      </c>
      <c r="AN259" s="11" t="s">
        <v>78</v>
      </c>
      <c r="AO259" s="1">
        <v>1</v>
      </c>
    </row>
    <row r="260" spans="2:42">
      <c r="B260" s="19"/>
      <c r="AE260" s="8"/>
      <c r="AL260" s="11" t="s">
        <v>310</v>
      </c>
      <c r="AM260" s="11" t="s">
        <v>10</v>
      </c>
      <c r="AN260" s="11" t="s">
        <v>78</v>
      </c>
      <c r="AO260" s="1">
        <v>1</v>
      </c>
    </row>
    <row r="261" spans="2:42">
      <c r="B261" s="19"/>
      <c r="X261" s="16"/>
      <c r="Y261" s="16"/>
      <c r="Z261" s="16"/>
      <c r="AA261" s="16"/>
      <c r="AB261" s="16"/>
      <c r="AC261" s="16"/>
      <c r="AD261" s="16"/>
      <c r="AE261" s="7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</row>
    <row r="262" spans="2:42">
      <c r="B262" s="19"/>
      <c r="AE262" s="5"/>
    </row>
    <row r="263" spans="2:42">
      <c r="B263" s="19"/>
      <c r="X263" s="11">
        <f>SUM(AC263,AM263,AM269,AM274)</f>
        <v>12</v>
      </c>
      <c r="Y263" s="20" t="s">
        <v>311</v>
      </c>
      <c r="Z263" s="42" t="s">
        <v>312</v>
      </c>
      <c r="AA263" s="42"/>
      <c r="AB263" s="42"/>
      <c r="AC263" s="11">
        <f>COUNTA(AB264:AB268)-COUNTIF(Z264:Z268,"兼")</f>
        <v>5</v>
      </c>
      <c r="AE263" s="5"/>
      <c r="AI263" s="20" t="s">
        <v>313</v>
      </c>
      <c r="AJ263" s="42" t="s">
        <v>314</v>
      </c>
      <c r="AK263" s="42"/>
      <c r="AL263" s="42"/>
      <c r="AM263" s="11">
        <f>COUNTA(AL264:AL267)-COUNTIF(AJ264:AJ267,"兼")</f>
        <v>3</v>
      </c>
    </row>
    <row r="264" spans="2:42">
      <c r="B264" s="19"/>
      <c r="Y264" s="25"/>
      <c r="AA264" s="11" t="s">
        <v>98</v>
      </c>
      <c r="AB264" s="11" t="s">
        <v>315</v>
      </c>
      <c r="AC264" s="11" t="s">
        <v>10</v>
      </c>
      <c r="AD264" s="11" t="s">
        <v>110</v>
      </c>
      <c r="AE264" s="40">
        <v>0.9</v>
      </c>
      <c r="AI264" s="25"/>
      <c r="AJ264" s="11" t="s">
        <v>57</v>
      </c>
      <c r="AK264" s="11" t="s">
        <v>2214</v>
      </c>
      <c r="AL264" s="11" t="s">
        <v>315</v>
      </c>
      <c r="AM264" s="11" t="s">
        <v>10</v>
      </c>
      <c r="AN264" s="11" t="s">
        <v>110</v>
      </c>
      <c r="AO264" s="40">
        <v>0.1</v>
      </c>
    </row>
    <row r="265" spans="2:42">
      <c r="B265" s="19"/>
      <c r="AA265" s="11" t="s">
        <v>186</v>
      </c>
      <c r="AB265" s="11" t="s">
        <v>317</v>
      </c>
      <c r="AC265" s="11" t="s">
        <v>10</v>
      </c>
      <c r="AD265" s="11" t="s">
        <v>78</v>
      </c>
      <c r="AE265" s="40">
        <v>1</v>
      </c>
      <c r="AL265" s="11" t="s">
        <v>318</v>
      </c>
      <c r="AM265" s="11" t="s">
        <v>10</v>
      </c>
      <c r="AN265" s="11" t="s">
        <v>78</v>
      </c>
      <c r="AO265" s="1">
        <v>1</v>
      </c>
    </row>
    <row r="266" spans="2:42">
      <c r="B266" s="19"/>
      <c r="AB266" s="11" t="s">
        <v>319</v>
      </c>
      <c r="AC266" s="11" t="s">
        <v>10</v>
      </c>
      <c r="AD266" s="11" t="s">
        <v>43</v>
      </c>
      <c r="AE266" s="40">
        <v>0.6</v>
      </c>
      <c r="AL266" s="11" t="s">
        <v>320</v>
      </c>
      <c r="AM266" s="11" t="s">
        <v>10</v>
      </c>
      <c r="AN266" s="11" t="s">
        <v>78</v>
      </c>
      <c r="AO266" s="1">
        <v>1</v>
      </c>
    </row>
    <row r="267" spans="2:42">
      <c r="B267" s="19"/>
      <c r="AB267" s="11" t="s">
        <v>2223</v>
      </c>
      <c r="AC267" s="11" t="s">
        <v>10</v>
      </c>
      <c r="AD267" s="11" t="s">
        <v>18</v>
      </c>
      <c r="AE267" s="40">
        <v>1</v>
      </c>
      <c r="AL267" s="11" t="s">
        <v>321</v>
      </c>
      <c r="AM267" s="11" t="s">
        <v>10</v>
      </c>
      <c r="AN267" s="11" t="s">
        <v>166</v>
      </c>
      <c r="AO267" s="1">
        <v>1</v>
      </c>
    </row>
    <row r="268" spans="2:42">
      <c r="B268" s="19"/>
      <c r="AB268" s="11" t="s">
        <v>2250</v>
      </c>
      <c r="AC268" s="11" t="s">
        <v>10</v>
      </c>
      <c r="AD268" s="11" t="s">
        <v>18</v>
      </c>
      <c r="AE268" s="40">
        <v>1</v>
      </c>
    </row>
    <row r="269" spans="2:42">
      <c r="B269" s="19"/>
      <c r="AE269" s="11"/>
      <c r="AI269" s="20" t="s">
        <v>322</v>
      </c>
      <c r="AJ269" s="42" t="s">
        <v>323</v>
      </c>
      <c r="AK269" s="42"/>
      <c r="AL269" s="42"/>
      <c r="AM269" s="11">
        <f>COUNTA(AL270:AL272)-COUNTIF(AJ270:AJ272,"兼")</f>
        <v>2</v>
      </c>
    </row>
    <row r="270" spans="2:42">
      <c r="B270" s="19"/>
      <c r="AE270" s="5"/>
      <c r="AJ270" s="11" t="s">
        <v>57</v>
      </c>
      <c r="AK270" s="11" t="s">
        <v>100</v>
      </c>
      <c r="AL270" s="11" t="s">
        <v>319</v>
      </c>
      <c r="AM270" s="11" t="s">
        <v>10</v>
      </c>
      <c r="AN270" s="11" t="s">
        <v>43</v>
      </c>
      <c r="AO270" s="1">
        <v>0.4</v>
      </c>
    </row>
    <row r="271" spans="2:42">
      <c r="B271" s="19"/>
      <c r="AE271" s="11"/>
      <c r="AL271" s="11" t="s">
        <v>324</v>
      </c>
      <c r="AM271" s="11" t="s">
        <v>10</v>
      </c>
      <c r="AN271" s="11" t="s">
        <v>166</v>
      </c>
      <c r="AO271" s="1">
        <v>1</v>
      </c>
    </row>
    <row r="272" spans="2:42">
      <c r="B272" s="19"/>
      <c r="AE272" s="5"/>
      <c r="AL272" s="11" t="s">
        <v>2210</v>
      </c>
      <c r="AM272" s="11" t="s">
        <v>10</v>
      </c>
      <c r="AN272" s="11" t="s">
        <v>18</v>
      </c>
      <c r="AO272" s="1">
        <v>1</v>
      </c>
    </row>
    <row r="273" spans="2:42">
      <c r="B273" s="19"/>
      <c r="AE273" s="5"/>
    </row>
    <row r="274" spans="2:42">
      <c r="B274" s="19"/>
      <c r="AE274" s="5"/>
      <c r="AI274" s="20" t="s">
        <v>325</v>
      </c>
      <c r="AJ274" s="42" t="s">
        <v>326</v>
      </c>
      <c r="AK274" s="42"/>
      <c r="AL274" s="42"/>
      <c r="AM274" s="11">
        <f>COUNTA(AL275:AL276)-COUNTIF(AJ275:AJ276,"兼")</f>
        <v>2</v>
      </c>
    </row>
    <row r="275" spans="2:42">
      <c r="B275" s="19"/>
      <c r="AE275" s="5"/>
      <c r="AK275" s="11" t="s">
        <v>100</v>
      </c>
      <c r="AL275" s="11" t="s">
        <v>327</v>
      </c>
      <c r="AM275" s="11" t="s">
        <v>10</v>
      </c>
      <c r="AN275" s="11" t="s">
        <v>78</v>
      </c>
      <c r="AO275" s="1">
        <v>1</v>
      </c>
    </row>
    <row r="276" spans="2:42">
      <c r="B276" s="19"/>
      <c r="AE276" s="5"/>
      <c r="AL276" s="11" t="s">
        <v>328</v>
      </c>
      <c r="AM276" s="11" t="s">
        <v>10</v>
      </c>
      <c r="AN276" s="11" t="s">
        <v>85</v>
      </c>
      <c r="AO276" s="1">
        <v>1</v>
      </c>
    </row>
    <row r="277" spans="2:42">
      <c r="B277" s="19"/>
      <c r="X277" s="16"/>
      <c r="Y277" s="16"/>
      <c r="Z277" s="16"/>
      <c r="AA277" s="16"/>
      <c r="AB277" s="16"/>
      <c r="AC277" s="16"/>
      <c r="AD277" s="16"/>
      <c r="AE277" s="7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</row>
    <row r="278" spans="2:42">
      <c r="B278" s="19"/>
      <c r="AE278" s="5"/>
    </row>
    <row r="279" spans="2:42">
      <c r="B279" s="19"/>
      <c r="X279" s="11">
        <f>SUM(AC279,AM279,)</f>
        <v>4</v>
      </c>
      <c r="Y279" s="20" t="s">
        <v>329</v>
      </c>
      <c r="Z279" s="42" t="s">
        <v>330</v>
      </c>
      <c r="AA279" s="42"/>
      <c r="AB279" s="42"/>
      <c r="AC279" s="11">
        <f>COUNTA(AB280)-COUNTIF(Z280,"兼")</f>
        <v>1</v>
      </c>
      <c r="AE279" s="5"/>
      <c r="AI279" s="20" t="s">
        <v>331</v>
      </c>
      <c r="AJ279" s="42" t="s">
        <v>332</v>
      </c>
      <c r="AK279" s="42"/>
      <c r="AL279" s="42"/>
      <c r="AM279" s="11">
        <f>COUNTA(AL280:AL282)-COUNTIF(AJ280:AJ282,"兼")</f>
        <v>3</v>
      </c>
    </row>
    <row r="280" spans="2:42">
      <c r="B280" s="19"/>
      <c r="AA280" s="11" t="s">
        <v>98</v>
      </c>
      <c r="AB280" s="11" t="s">
        <v>333</v>
      </c>
      <c r="AC280" s="11" t="s">
        <v>10</v>
      </c>
      <c r="AD280" s="11" t="s">
        <v>78</v>
      </c>
      <c r="AE280" s="40">
        <v>1</v>
      </c>
      <c r="AK280" s="11" t="s">
        <v>100</v>
      </c>
      <c r="AL280" s="11" t="s">
        <v>334</v>
      </c>
      <c r="AM280" s="11" t="s">
        <v>10</v>
      </c>
      <c r="AN280" s="11" t="s">
        <v>78</v>
      </c>
      <c r="AO280" s="1">
        <v>1</v>
      </c>
    </row>
    <row r="281" spans="2:42">
      <c r="B281" s="19"/>
      <c r="AE281" s="5"/>
      <c r="AL281" s="11" t="s">
        <v>335</v>
      </c>
      <c r="AM281" s="11" t="s">
        <v>10</v>
      </c>
      <c r="AN281" s="11" t="s">
        <v>78</v>
      </c>
      <c r="AO281" s="1">
        <v>1</v>
      </c>
    </row>
    <row r="282" spans="2:42">
      <c r="B282" s="19"/>
      <c r="AE282" s="8"/>
      <c r="AL282" s="11" t="s">
        <v>336</v>
      </c>
      <c r="AM282" s="11" t="s">
        <v>10</v>
      </c>
      <c r="AN282" s="11" t="s">
        <v>43</v>
      </c>
      <c r="AO282" s="1">
        <v>1</v>
      </c>
    </row>
    <row r="283" spans="2:42">
      <c r="B283" s="19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7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</row>
    <row r="284" spans="2:42">
      <c r="B284" s="19"/>
      <c r="AE284" s="5"/>
    </row>
    <row r="285" spans="2:42">
      <c r="B285" s="19"/>
      <c r="N285" s="11">
        <f>SUM(X285,X475)</f>
        <v>147</v>
      </c>
      <c r="P285" s="11" t="s">
        <v>337</v>
      </c>
      <c r="X285" s="11">
        <f>SUM(AC285,AM285,AM303,AM329,AM339,AM350,AM369,AM403,AM436)</f>
        <v>146</v>
      </c>
      <c r="Y285" s="20" t="s">
        <v>338</v>
      </c>
      <c r="Z285" s="42" t="s">
        <v>339</v>
      </c>
      <c r="AA285" s="42"/>
      <c r="AB285" s="42"/>
      <c r="AC285" s="11">
        <f>COUNTA(AB286:AB288)-COUNTIF(Z286:Z288,"兼")</f>
        <v>3</v>
      </c>
      <c r="AE285" s="5"/>
      <c r="AI285" s="20" t="s">
        <v>340</v>
      </c>
      <c r="AJ285" s="42" t="s">
        <v>341</v>
      </c>
      <c r="AK285" s="42"/>
      <c r="AL285" s="42"/>
      <c r="AM285" s="11">
        <f>COUNTA(AL286:AL301)-COUNTIF(AJ286:AJ301,"兼")</f>
        <v>13</v>
      </c>
    </row>
    <row r="286" spans="2:42">
      <c r="B286" s="19"/>
      <c r="AA286" s="11" t="s">
        <v>98</v>
      </c>
      <c r="AB286" s="11" t="s">
        <v>342</v>
      </c>
      <c r="AC286" s="11" t="s">
        <v>10</v>
      </c>
      <c r="AD286" s="11" t="s">
        <v>110</v>
      </c>
      <c r="AE286" s="40">
        <v>1</v>
      </c>
      <c r="AK286" s="11" t="s">
        <v>100</v>
      </c>
      <c r="AL286" s="11" t="s">
        <v>343</v>
      </c>
      <c r="AM286" s="11" t="s">
        <v>229</v>
      </c>
      <c r="AN286" s="11" t="s">
        <v>78</v>
      </c>
      <c r="AO286" s="1">
        <v>1</v>
      </c>
    </row>
    <row r="287" spans="2:42">
      <c r="B287" s="19"/>
      <c r="AA287" s="11" t="s">
        <v>186</v>
      </c>
      <c r="AB287" s="11" t="s">
        <v>344</v>
      </c>
      <c r="AC287" s="11" t="s">
        <v>10</v>
      </c>
      <c r="AD287" s="11" t="s">
        <v>78</v>
      </c>
      <c r="AE287" s="40">
        <v>0.6</v>
      </c>
      <c r="AL287" s="11" t="s">
        <v>362</v>
      </c>
      <c r="AM287" s="11" t="s">
        <v>363</v>
      </c>
      <c r="AN287" s="11" t="s">
        <v>78</v>
      </c>
      <c r="AO287" s="1">
        <v>1</v>
      </c>
    </row>
    <row r="288" spans="2:42">
      <c r="B288" s="19"/>
      <c r="AB288" s="11" t="s">
        <v>345</v>
      </c>
      <c r="AC288" s="11" t="s">
        <v>229</v>
      </c>
      <c r="AD288" s="11" t="s">
        <v>110</v>
      </c>
      <c r="AE288" s="40">
        <v>1</v>
      </c>
      <c r="AL288" s="11" t="s">
        <v>413</v>
      </c>
      <c r="AM288" s="11" t="s">
        <v>363</v>
      </c>
      <c r="AN288" s="11" t="s">
        <v>78</v>
      </c>
      <c r="AO288" s="1">
        <v>1</v>
      </c>
    </row>
    <row r="289" spans="2:41">
      <c r="B289" s="19"/>
      <c r="AE289" s="40"/>
      <c r="AL289" s="11" t="s">
        <v>366</v>
      </c>
      <c r="AM289" s="11" t="s">
        <v>367</v>
      </c>
      <c r="AN289" s="11" t="s">
        <v>78</v>
      </c>
      <c r="AO289" s="1">
        <v>1</v>
      </c>
    </row>
    <row r="290" spans="2:41">
      <c r="B290" s="19"/>
      <c r="AE290" s="40"/>
      <c r="AJ290" s="11" t="s">
        <v>358</v>
      </c>
      <c r="AL290" s="11" t="s">
        <v>374</v>
      </c>
      <c r="AM290" s="11" t="s">
        <v>363</v>
      </c>
      <c r="AN290" s="11" t="s">
        <v>110</v>
      </c>
      <c r="AO290" s="1">
        <v>0.5</v>
      </c>
    </row>
    <row r="291" spans="2:41">
      <c r="B291" s="19"/>
      <c r="AE291" s="40"/>
      <c r="AO291" s="1"/>
    </row>
    <row r="292" spans="2:41">
      <c r="B292" s="19"/>
      <c r="AE292" s="40"/>
      <c r="AL292" s="11" t="s">
        <v>368</v>
      </c>
      <c r="AM292" s="11" t="s">
        <v>229</v>
      </c>
      <c r="AN292" s="11" t="s">
        <v>78</v>
      </c>
      <c r="AO292" s="1">
        <v>1</v>
      </c>
    </row>
    <row r="293" spans="2:41">
      <c r="B293" s="19"/>
      <c r="AE293" s="40"/>
      <c r="AL293" s="11" t="s">
        <v>365</v>
      </c>
      <c r="AM293" s="11" t="s">
        <v>229</v>
      </c>
      <c r="AN293" s="11" t="s">
        <v>78</v>
      </c>
      <c r="AO293" s="1">
        <v>1</v>
      </c>
    </row>
    <row r="294" spans="2:41">
      <c r="B294" s="19"/>
      <c r="AE294" s="5"/>
      <c r="AL294" s="11" t="s">
        <v>370</v>
      </c>
      <c r="AM294" s="11" t="s">
        <v>229</v>
      </c>
      <c r="AN294" s="11" t="s">
        <v>110</v>
      </c>
      <c r="AO294" s="1">
        <v>1</v>
      </c>
    </row>
    <row r="295" spans="2:41">
      <c r="B295" s="19"/>
      <c r="AL295" s="11" t="s">
        <v>442</v>
      </c>
      <c r="AM295" s="11" t="s">
        <v>229</v>
      </c>
      <c r="AN295" s="11" t="s">
        <v>78</v>
      </c>
      <c r="AO295" s="1">
        <v>1</v>
      </c>
    </row>
    <row r="296" spans="2:41">
      <c r="B296" s="19"/>
      <c r="AL296" s="11" t="s">
        <v>1734</v>
      </c>
      <c r="AM296" s="11" t="s">
        <v>10</v>
      </c>
      <c r="AN296" s="11" t="s">
        <v>166</v>
      </c>
      <c r="AO296" s="1">
        <v>1</v>
      </c>
    </row>
    <row r="297" spans="2:41">
      <c r="B297" s="19"/>
      <c r="AE297" s="5"/>
      <c r="AL297" s="11" t="s">
        <v>372</v>
      </c>
      <c r="AM297" s="11" t="s">
        <v>229</v>
      </c>
      <c r="AN297" s="11" t="s">
        <v>110</v>
      </c>
      <c r="AO297" s="1">
        <v>1</v>
      </c>
    </row>
    <row r="298" spans="2:41">
      <c r="B298" s="19"/>
      <c r="AE298" s="5"/>
    </row>
    <row r="299" spans="2:41">
      <c r="B299" s="19"/>
      <c r="AE299" s="5"/>
      <c r="AL299" s="11" t="s">
        <v>369</v>
      </c>
      <c r="AM299" s="11" t="s">
        <v>229</v>
      </c>
      <c r="AN299" s="11" t="s">
        <v>110</v>
      </c>
      <c r="AO299" s="1">
        <v>1</v>
      </c>
    </row>
    <row r="300" spans="2:41">
      <c r="B300" s="19"/>
      <c r="AE300" s="5"/>
      <c r="AL300" s="11" t="s">
        <v>371</v>
      </c>
      <c r="AM300" s="11" t="s">
        <v>229</v>
      </c>
      <c r="AN300" s="11" t="s">
        <v>78</v>
      </c>
      <c r="AO300" s="1">
        <v>1</v>
      </c>
    </row>
    <row r="301" spans="2:41">
      <c r="B301" s="19"/>
      <c r="AE301" s="5"/>
      <c r="AL301" s="11" t="s">
        <v>373</v>
      </c>
      <c r="AM301" s="11" t="s">
        <v>229</v>
      </c>
      <c r="AN301" s="11" t="s">
        <v>110</v>
      </c>
      <c r="AO301" s="1">
        <v>1</v>
      </c>
    </row>
    <row r="302" spans="2:41">
      <c r="B302" s="19"/>
      <c r="AE302" s="5"/>
    </row>
    <row r="303" spans="2:41">
      <c r="B303" s="19"/>
      <c r="AE303" s="5"/>
      <c r="AI303" s="20" t="s">
        <v>375</v>
      </c>
      <c r="AJ303" s="42" t="s">
        <v>376</v>
      </c>
      <c r="AK303" s="42"/>
      <c r="AL303" s="42"/>
      <c r="AM303" s="11">
        <f>COUNTA(AL304:AL327)-COUNTIF(AJ304:AJ327,"兼")</f>
        <v>23</v>
      </c>
    </row>
    <row r="304" spans="2:41">
      <c r="B304" s="19"/>
      <c r="AE304" s="5"/>
      <c r="AK304" s="11" t="s">
        <v>100</v>
      </c>
      <c r="AL304" s="11" t="s">
        <v>377</v>
      </c>
      <c r="AM304" s="11" t="s">
        <v>10</v>
      </c>
      <c r="AN304" s="11" t="s">
        <v>78</v>
      </c>
      <c r="AO304" s="1">
        <v>1</v>
      </c>
    </row>
    <row r="305" spans="2:41">
      <c r="B305" s="19"/>
      <c r="AE305" s="5"/>
      <c r="AL305" s="11" t="s">
        <v>378</v>
      </c>
      <c r="AM305" s="11" t="s">
        <v>229</v>
      </c>
      <c r="AN305" s="11" t="s">
        <v>110</v>
      </c>
      <c r="AO305" s="1">
        <v>1</v>
      </c>
    </row>
    <row r="306" spans="2:41">
      <c r="B306" s="19"/>
      <c r="AE306" s="5"/>
      <c r="AL306" s="11" t="s">
        <v>379</v>
      </c>
      <c r="AM306" s="11" t="s">
        <v>229</v>
      </c>
      <c r="AN306" s="11" t="s">
        <v>78</v>
      </c>
      <c r="AO306" s="1">
        <v>1</v>
      </c>
    </row>
    <row r="307" spans="2:41">
      <c r="B307" s="19"/>
      <c r="AE307" s="5"/>
      <c r="AL307" s="11" t="s">
        <v>380</v>
      </c>
      <c r="AM307" s="11" t="s">
        <v>229</v>
      </c>
      <c r="AN307" s="11" t="s">
        <v>110</v>
      </c>
      <c r="AO307" s="1">
        <v>1</v>
      </c>
    </row>
    <row r="308" spans="2:41">
      <c r="B308" s="19"/>
      <c r="AE308" s="5"/>
      <c r="AL308" s="11" t="s">
        <v>381</v>
      </c>
      <c r="AM308" s="11" t="s">
        <v>229</v>
      </c>
      <c r="AN308" s="11" t="s">
        <v>78</v>
      </c>
      <c r="AO308" s="1">
        <v>1</v>
      </c>
    </row>
    <row r="309" spans="2:41">
      <c r="B309" s="19"/>
      <c r="AE309" s="5"/>
      <c r="AL309" s="11" t="s">
        <v>382</v>
      </c>
      <c r="AM309" s="11" t="s">
        <v>229</v>
      </c>
      <c r="AN309" s="11" t="s">
        <v>78</v>
      </c>
      <c r="AO309" s="1">
        <v>1</v>
      </c>
    </row>
    <row r="310" spans="2:41">
      <c r="B310" s="19"/>
      <c r="AE310" s="5"/>
      <c r="AL310" s="11" t="s">
        <v>383</v>
      </c>
      <c r="AM310" s="11" t="s">
        <v>229</v>
      </c>
      <c r="AN310" s="11" t="s">
        <v>78</v>
      </c>
      <c r="AO310" s="1">
        <v>1</v>
      </c>
    </row>
    <row r="311" spans="2:41">
      <c r="B311" s="19"/>
      <c r="AE311" s="5"/>
      <c r="AL311" s="11" t="s">
        <v>384</v>
      </c>
      <c r="AM311" s="11" t="s">
        <v>229</v>
      </c>
      <c r="AN311" s="11" t="s">
        <v>110</v>
      </c>
      <c r="AO311" s="1">
        <v>1</v>
      </c>
    </row>
    <row r="312" spans="2:41">
      <c r="B312" s="19"/>
      <c r="AE312" s="5"/>
      <c r="AL312" s="11" t="s">
        <v>385</v>
      </c>
      <c r="AM312" s="11" t="s">
        <v>229</v>
      </c>
      <c r="AN312" s="11" t="s">
        <v>78</v>
      </c>
      <c r="AO312" s="1">
        <v>1</v>
      </c>
    </row>
    <row r="313" spans="2:41">
      <c r="B313" s="19"/>
      <c r="AE313" s="5"/>
      <c r="AL313" s="11" t="s">
        <v>386</v>
      </c>
      <c r="AM313" s="11" t="s">
        <v>229</v>
      </c>
      <c r="AN313" s="11" t="s">
        <v>78</v>
      </c>
      <c r="AO313" s="1">
        <v>1</v>
      </c>
    </row>
    <row r="314" spans="2:41">
      <c r="B314" s="19"/>
      <c r="AE314" s="5"/>
      <c r="AL314" s="11" t="s">
        <v>387</v>
      </c>
      <c r="AM314" s="11" t="s">
        <v>229</v>
      </c>
      <c r="AN314" s="11" t="s">
        <v>78</v>
      </c>
      <c r="AO314" s="1">
        <v>1</v>
      </c>
    </row>
    <row r="315" spans="2:41">
      <c r="B315" s="19"/>
      <c r="AE315" s="5"/>
      <c r="AL315" s="11" t="s">
        <v>388</v>
      </c>
      <c r="AM315" s="11" t="s">
        <v>229</v>
      </c>
      <c r="AN315" s="11" t="s">
        <v>78</v>
      </c>
      <c r="AO315" s="1">
        <v>1</v>
      </c>
    </row>
    <row r="316" spans="2:41">
      <c r="B316" s="19"/>
      <c r="AE316" s="5"/>
      <c r="AL316" s="11" t="s">
        <v>389</v>
      </c>
      <c r="AM316" s="11" t="s">
        <v>229</v>
      </c>
      <c r="AN316" s="11" t="s">
        <v>78</v>
      </c>
      <c r="AO316" s="1">
        <v>1</v>
      </c>
    </row>
    <row r="317" spans="2:41">
      <c r="B317" s="19"/>
      <c r="AE317" s="5"/>
      <c r="AL317" s="11" t="s">
        <v>390</v>
      </c>
      <c r="AM317" s="11" t="s">
        <v>229</v>
      </c>
      <c r="AN317" s="11" t="s">
        <v>78</v>
      </c>
      <c r="AO317" s="1">
        <v>1</v>
      </c>
    </row>
    <row r="318" spans="2:41">
      <c r="B318" s="19"/>
      <c r="AE318" s="5"/>
    </row>
    <row r="319" spans="2:41">
      <c r="B319" s="19"/>
      <c r="AE319" s="5"/>
      <c r="AL319" s="11" t="s">
        <v>391</v>
      </c>
      <c r="AM319" s="11" t="s">
        <v>229</v>
      </c>
      <c r="AN319" s="11" t="s">
        <v>110</v>
      </c>
      <c r="AO319" s="1">
        <v>1</v>
      </c>
    </row>
    <row r="320" spans="2:41">
      <c r="B320" s="19"/>
      <c r="AE320" s="5"/>
      <c r="AL320" s="11" t="s">
        <v>440</v>
      </c>
      <c r="AM320" s="11" t="s">
        <v>229</v>
      </c>
      <c r="AN320" s="11" t="s">
        <v>43</v>
      </c>
      <c r="AO320" s="1">
        <v>1</v>
      </c>
    </row>
    <row r="321" spans="2:41">
      <c r="B321" s="19"/>
      <c r="AE321" s="5"/>
      <c r="AL321" s="11" t="s">
        <v>392</v>
      </c>
      <c r="AM321" s="11" t="s">
        <v>229</v>
      </c>
      <c r="AN321" s="11" t="s">
        <v>78</v>
      </c>
      <c r="AO321" s="1">
        <v>1</v>
      </c>
    </row>
    <row r="322" spans="2:41">
      <c r="B322" s="19"/>
      <c r="AE322" s="5"/>
      <c r="AL322" s="11" t="s">
        <v>394</v>
      </c>
      <c r="AM322" s="11" t="s">
        <v>229</v>
      </c>
      <c r="AN322" s="11" t="s">
        <v>78</v>
      </c>
      <c r="AO322" s="1">
        <v>1</v>
      </c>
    </row>
    <row r="323" spans="2:41">
      <c r="B323" s="19"/>
      <c r="AE323" s="5"/>
      <c r="AL323" s="11" t="s">
        <v>396</v>
      </c>
      <c r="AM323" s="11" t="s">
        <v>229</v>
      </c>
      <c r="AN323" s="11" t="s">
        <v>78</v>
      </c>
      <c r="AO323" s="1">
        <v>1</v>
      </c>
    </row>
    <row r="324" spans="2:41">
      <c r="B324" s="19"/>
      <c r="AE324" s="5"/>
      <c r="AL324" s="11" t="s">
        <v>393</v>
      </c>
      <c r="AM324" s="11" t="s">
        <v>229</v>
      </c>
      <c r="AN324" s="11" t="s">
        <v>78</v>
      </c>
      <c r="AO324" s="1">
        <v>1</v>
      </c>
    </row>
    <row r="325" spans="2:41">
      <c r="B325" s="19"/>
      <c r="AE325" s="5"/>
      <c r="AL325" s="11" t="s">
        <v>395</v>
      </c>
      <c r="AM325" s="11" t="s">
        <v>229</v>
      </c>
      <c r="AN325" s="11" t="s">
        <v>78</v>
      </c>
      <c r="AO325" s="1">
        <v>1</v>
      </c>
    </row>
    <row r="326" spans="2:41">
      <c r="B326" s="19"/>
      <c r="AE326" s="5"/>
      <c r="AL326" s="11" t="s">
        <v>397</v>
      </c>
      <c r="AM326" s="11" t="s">
        <v>229</v>
      </c>
      <c r="AN326" s="11" t="s">
        <v>110</v>
      </c>
      <c r="AO326" s="1">
        <v>1</v>
      </c>
    </row>
    <row r="327" spans="2:41">
      <c r="B327" s="19"/>
      <c r="AE327" s="5"/>
      <c r="AL327" s="11" t="s">
        <v>398</v>
      </c>
      <c r="AM327" s="11" t="s">
        <v>229</v>
      </c>
      <c r="AN327" s="11" t="s">
        <v>43</v>
      </c>
      <c r="AO327" s="1">
        <v>1</v>
      </c>
    </row>
    <row r="328" spans="2:41">
      <c r="B328" s="19"/>
      <c r="AE328" s="5"/>
    </row>
    <row r="329" spans="2:41">
      <c r="B329" s="19"/>
      <c r="AE329" s="5"/>
      <c r="AI329" s="20" t="s">
        <v>399</v>
      </c>
      <c r="AJ329" s="42" t="s">
        <v>400</v>
      </c>
      <c r="AK329" s="42"/>
      <c r="AL329" s="42"/>
      <c r="AM329" s="11">
        <f>COUNTA(AL330:AL337)-COUNTIF(AJ330:AJ337,"兼")</f>
        <v>8</v>
      </c>
    </row>
    <row r="330" spans="2:41">
      <c r="B330" s="19"/>
      <c r="AE330" s="5"/>
      <c r="AK330" s="11" t="s">
        <v>100</v>
      </c>
      <c r="AL330" s="11" t="s">
        <v>401</v>
      </c>
      <c r="AM330" s="11" t="s">
        <v>229</v>
      </c>
      <c r="AN330" s="11" t="s">
        <v>110</v>
      </c>
      <c r="AO330" s="1">
        <v>1</v>
      </c>
    </row>
    <row r="331" spans="2:41">
      <c r="B331" s="19"/>
      <c r="AE331" s="5"/>
      <c r="AL331" s="11" t="s">
        <v>406</v>
      </c>
      <c r="AM331" s="11" t="s">
        <v>229</v>
      </c>
      <c r="AN331" s="11" t="s">
        <v>78</v>
      </c>
      <c r="AO331" s="1">
        <v>1</v>
      </c>
    </row>
    <row r="332" spans="2:41">
      <c r="B332" s="19"/>
      <c r="AE332" s="5"/>
      <c r="AL332" s="11" t="s">
        <v>361</v>
      </c>
      <c r="AM332" s="11" t="s">
        <v>229</v>
      </c>
      <c r="AN332" s="11" t="s">
        <v>110</v>
      </c>
      <c r="AO332" s="1">
        <v>0.5</v>
      </c>
    </row>
    <row r="333" spans="2:41">
      <c r="B333" s="19"/>
      <c r="AE333" s="5"/>
      <c r="AL333" s="11" t="s">
        <v>411</v>
      </c>
      <c r="AM333" s="11" t="s">
        <v>229</v>
      </c>
      <c r="AN333" s="11" t="s">
        <v>110</v>
      </c>
      <c r="AO333" s="1">
        <v>1</v>
      </c>
    </row>
    <row r="334" spans="2:41">
      <c r="B334" s="19"/>
      <c r="AE334" s="5"/>
      <c r="AL334" s="11" t="s">
        <v>412</v>
      </c>
      <c r="AM334" s="11" t="s">
        <v>229</v>
      </c>
      <c r="AN334" s="11" t="s">
        <v>110</v>
      </c>
      <c r="AO334" s="1">
        <v>1</v>
      </c>
    </row>
    <row r="335" spans="2:41">
      <c r="B335" s="19"/>
      <c r="AE335" s="5"/>
      <c r="AL335" s="11" t="s">
        <v>414</v>
      </c>
      <c r="AM335" s="11" t="s">
        <v>229</v>
      </c>
      <c r="AN335" s="11" t="s">
        <v>78</v>
      </c>
      <c r="AO335" s="1">
        <v>1</v>
      </c>
    </row>
    <row r="336" spans="2:41">
      <c r="B336" s="19"/>
      <c r="AE336" s="5"/>
      <c r="AL336" s="11" t="s">
        <v>360</v>
      </c>
      <c r="AM336" s="11" t="s">
        <v>229</v>
      </c>
      <c r="AN336" s="11" t="s">
        <v>110</v>
      </c>
      <c r="AO336" s="1">
        <v>0.5</v>
      </c>
    </row>
    <row r="337" spans="2:41">
      <c r="B337" s="19"/>
      <c r="AE337" s="5"/>
      <c r="AL337" s="11" t="s">
        <v>1489</v>
      </c>
      <c r="AM337" s="11" t="s">
        <v>10</v>
      </c>
      <c r="AN337" s="11" t="s">
        <v>78</v>
      </c>
      <c r="AO337" s="1">
        <v>1</v>
      </c>
    </row>
    <row r="338" spans="2:41">
      <c r="B338" s="19"/>
      <c r="AE338" s="5"/>
      <c r="AO338" s="1"/>
    </row>
    <row r="339" spans="2:41">
      <c r="B339" s="19"/>
      <c r="AE339" s="5"/>
      <c r="AI339" s="20" t="s">
        <v>2244</v>
      </c>
      <c r="AJ339" s="42" t="s">
        <v>2241</v>
      </c>
      <c r="AK339" s="42"/>
      <c r="AL339" s="42"/>
      <c r="AM339" s="11">
        <f>COUNTA(AL340:AL348)-COUNTIF(AJ340:AJ348,"兼")</f>
        <v>9</v>
      </c>
      <c r="AO339" s="1"/>
    </row>
    <row r="340" spans="2:41">
      <c r="B340" s="19"/>
      <c r="AE340" s="5"/>
      <c r="AK340" s="11" t="s">
        <v>100</v>
      </c>
      <c r="AL340" s="11" t="s">
        <v>316</v>
      </c>
      <c r="AM340" s="11" t="s">
        <v>10</v>
      </c>
      <c r="AN340" s="11" t="s">
        <v>166</v>
      </c>
      <c r="AO340" s="1">
        <v>1</v>
      </c>
    </row>
    <row r="341" spans="2:41">
      <c r="B341" s="19"/>
      <c r="AE341" s="5"/>
      <c r="AL341" s="11" t="s">
        <v>403</v>
      </c>
      <c r="AM341" s="11" t="s">
        <v>229</v>
      </c>
      <c r="AN341" s="11" t="s">
        <v>78</v>
      </c>
      <c r="AO341" s="1">
        <v>1</v>
      </c>
    </row>
    <row r="342" spans="2:41">
      <c r="B342" s="19"/>
      <c r="AE342" s="5"/>
      <c r="AL342" s="11" t="s">
        <v>404</v>
      </c>
      <c r="AM342" s="11" t="s">
        <v>229</v>
      </c>
      <c r="AN342" s="11" t="s">
        <v>78</v>
      </c>
      <c r="AO342" s="1">
        <v>1</v>
      </c>
    </row>
    <row r="343" spans="2:41">
      <c r="B343" s="19"/>
      <c r="AE343" s="5"/>
      <c r="AL343" s="11" t="s">
        <v>405</v>
      </c>
      <c r="AM343" s="11" t="s">
        <v>229</v>
      </c>
      <c r="AN343" s="11" t="s">
        <v>78</v>
      </c>
      <c r="AO343" s="1">
        <v>1</v>
      </c>
    </row>
    <row r="344" spans="2:41">
      <c r="B344" s="19"/>
      <c r="AE344" s="5"/>
      <c r="AL344" s="11" t="s">
        <v>407</v>
      </c>
      <c r="AM344" s="11" t="s">
        <v>229</v>
      </c>
      <c r="AN344" s="11" t="s">
        <v>78</v>
      </c>
      <c r="AO344" s="1">
        <v>1</v>
      </c>
    </row>
    <row r="345" spans="2:41">
      <c r="B345" s="19"/>
      <c r="AE345" s="5"/>
      <c r="AL345" s="11" t="s">
        <v>402</v>
      </c>
      <c r="AM345" s="11" t="s">
        <v>229</v>
      </c>
      <c r="AN345" s="11" t="s">
        <v>110</v>
      </c>
      <c r="AO345" s="1">
        <v>1</v>
      </c>
    </row>
    <row r="346" spans="2:41">
      <c r="B346" s="19"/>
      <c r="AE346" s="5"/>
      <c r="AL346" s="11" t="s">
        <v>408</v>
      </c>
      <c r="AM346" s="11" t="s">
        <v>229</v>
      </c>
      <c r="AN346" s="11" t="s">
        <v>43</v>
      </c>
      <c r="AO346" s="1">
        <v>1</v>
      </c>
    </row>
    <row r="347" spans="2:41">
      <c r="B347" s="19"/>
      <c r="AE347" s="5"/>
      <c r="AL347" s="11" t="s">
        <v>409</v>
      </c>
      <c r="AM347" s="11" t="s">
        <v>229</v>
      </c>
      <c r="AN347" s="11" t="s">
        <v>43</v>
      </c>
      <c r="AO347" s="1">
        <v>1</v>
      </c>
    </row>
    <row r="348" spans="2:41">
      <c r="B348" s="19"/>
      <c r="AE348" s="5"/>
      <c r="AL348" s="11" t="s">
        <v>410</v>
      </c>
      <c r="AM348" s="11" t="s">
        <v>229</v>
      </c>
      <c r="AN348" s="11" t="s">
        <v>110</v>
      </c>
      <c r="AO348" s="1">
        <v>1</v>
      </c>
    </row>
    <row r="349" spans="2:41">
      <c r="B349" s="19"/>
      <c r="AE349" s="5"/>
      <c r="AO349" s="1"/>
    </row>
    <row r="350" spans="2:41">
      <c r="B350" s="19"/>
      <c r="AE350" s="5"/>
      <c r="AI350" s="20" t="s">
        <v>2245</v>
      </c>
      <c r="AJ350" s="42" t="s">
        <v>2242</v>
      </c>
      <c r="AK350" s="42"/>
      <c r="AL350" s="42"/>
      <c r="AM350" s="11">
        <f>COUNTA(AL351:AL367)-COUNTIF(AJ351:AJ367,"兼")</f>
        <v>14</v>
      </c>
      <c r="AO350" s="1"/>
    </row>
    <row r="351" spans="2:41">
      <c r="B351" s="19"/>
      <c r="AE351" s="5"/>
      <c r="AK351" s="11" t="s">
        <v>2214</v>
      </c>
      <c r="AL351" s="11" t="s">
        <v>346</v>
      </c>
      <c r="AM351" s="11" t="s">
        <v>229</v>
      </c>
      <c r="AN351" s="11" t="s">
        <v>78</v>
      </c>
      <c r="AO351" s="1">
        <v>1</v>
      </c>
    </row>
    <row r="352" spans="2:41">
      <c r="B352" s="19"/>
      <c r="AE352" s="5"/>
      <c r="AL352" s="11" t="s">
        <v>359</v>
      </c>
      <c r="AM352" s="11" t="s">
        <v>80</v>
      </c>
      <c r="AN352" s="11" t="s">
        <v>110</v>
      </c>
      <c r="AO352" s="1">
        <v>1</v>
      </c>
    </row>
    <row r="353" spans="2:41">
      <c r="B353" s="19"/>
      <c r="AE353" s="5"/>
      <c r="AL353" s="11" t="s">
        <v>511</v>
      </c>
      <c r="AM353" s="11" t="s">
        <v>471</v>
      </c>
      <c r="AN353" s="11" t="s">
        <v>78</v>
      </c>
      <c r="AO353" s="1">
        <v>1</v>
      </c>
    </row>
    <row r="354" spans="2:41">
      <c r="B354" s="19"/>
      <c r="AE354" s="5"/>
      <c r="AL354" s="11" t="s">
        <v>354</v>
      </c>
      <c r="AM354" s="11" t="s">
        <v>229</v>
      </c>
      <c r="AN354" s="11" t="s">
        <v>78</v>
      </c>
      <c r="AO354" s="1">
        <v>1</v>
      </c>
    </row>
    <row r="355" spans="2:41">
      <c r="B355" s="19"/>
      <c r="AE355" s="5"/>
      <c r="AL355" s="11" t="s">
        <v>347</v>
      </c>
      <c r="AM355" s="11" t="s">
        <v>229</v>
      </c>
      <c r="AN355" s="11" t="s">
        <v>78</v>
      </c>
      <c r="AO355" s="1">
        <v>1</v>
      </c>
    </row>
    <row r="356" spans="2:41">
      <c r="B356" s="19"/>
      <c r="AE356" s="5"/>
      <c r="AL356" s="11" t="s">
        <v>349</v>
      </c>
      <c r="AM356" s="11" t="s">
        <v>229</v>
      </c>
      <c r="AN356" s="11" t="s">
        <v>78</v>
      </c>
      <c r="AO356" s="1">
        <v>1</v>
      </c>
    </row>
    <row r="357" spans="2:41">
      <c r="B357" s="19"/>
      <c r="AE357" s="5"/>
      <c r="AL357" s="11" t="s">
        <v>355</v>
      </c>
      <c r="AM357" s="11" t="s">
        <v>229</v>
      </c>
      <c r="AN357" s="11" t="s">
        <v>78</v>
      </c>
      <c r="AO357" s="1">
        <v>1</v>
      </c>
    </row>
    <row r="358" spans="2:41">
      <c r="B358" s="19"/>
      <c r="AE358" s="5"/>
      <c r="AL358" s="11" t="s">
        <v>348</v>
      </c>
      <c r="AM358" s="11" t="s">
        <v>229</v>
      </c>
      <c r="AN358" s="11" t="s">
        <v>78</v>
      </c>
      <c r="AO358" s="1">
        <v>1</v>
      </c>
    </row>
    <row r="359" spans="2:41">
      <c r="B359" s="19"/>
      <c r="AE359" s="5"/>
      <c r="AL359" s="11" t="s">
        <v>352</v>
      </c>
      <c r="AM359" s="11" t="s">
        <v>229</v>
      </c>
      <c r="AN359" s="11" t="s">
        <v>78</v>
      </c>
      <c r="AO359" s="1">
        <v>1</v>
      </c>
    </row>
    <row r="360" spans="2:41">
      <c r="B360" s="19"/>
      <c r="AE360" s="5"/>
      <c r="AL360" s="11" t="s">
        <v>353</v>
      </c>
      <c r="AM360" s="11" t="s">
        <v>229</v>
      </c>
      <c r="AN360" s="11" t="s">
        <v>78</v>
      </c>
      <c r="AO360" s="1">
        <v>1</v>
      </c>
    </row>
    <row r="361" spans="2:41">
      <c r="B361" s="19"/>
      <c r="AE361" s="5"/>
      <c r="AL361" s="11" t="s">
        <v>356</v>
      </c>
      <c r="AM361" s="11" t="s">
        <v>229</v>
      </c>
      <c r="AN361" s="11" t="s">
        <v>124</v>
      </c>
      <c r="AO361" s="1">
        <v>1</v>
      </c>
    </row>
    <row r="362" spans="2:41">
      <c r="B362" s="19"/>
      <c r="AE362" s="5"/>
      <c r="AL362" s="11" t="s">
        <v>357</v>
      </c>
      <c r="AM362" s="11" t="s">
        <v>229</v>
      </c>
      <c r="AN362" s="11" t="s">
        <v>78</v>
      </c>
      <c r="AO362" s="1">
        <v>0.5</v>
      </c>
    </row>
    <row r="363" spans="2:41">
      <c r="B363" s="19"/>
      <c r="AE363" s="5"/>
      <c r="AJ363" s="11" t="s">
        <v>358</v>
      </c>
      <c r="AL363" s="11" t="s">
        <v>361</v>
      </c>
      <c r="AM363" s="11" t="s">
        <v>80</v>
      </c>
      <c r="AN363" s="11" t="s">
        <v>110</v>
      </c>
      <c r="AO363" s="1">
        <v>0.5</v>
      </c>
    </row>
    <row r="364" spans="2:41">
      <c r="B364" s="19"/>
      <c r="AE364" s="5"/>
      <c r="AJ364" s="11" t="s">
        <v>358</v>
      </c>
      <c r="AL364" s="11" t="s">
        <v>360</v>
      </c>
      <c r="AM364" s="11" t="s">
        <v>80</v>
      </c>
      <c r="AN364" s="11" t="s">
        <v>110</v>
      </c>
      <c r="AO364" s="1">
        <v>0.5</v>
      </c>
    </row>
    <row r="365" spans="2:41">
      <c r="B365" s="19"/>
      <c r="AE365" s="5"/>
    </row>
    <row r="366" spans="2:41">
      <c r="B366" s="19"/>
      <c r="AE366" s="5"/>
      <c r="AL366" s="11" t="s">
        <v>351</v>
      </c>
      <c r="AM366" s="11" t="s">
        <v>229</v>
      </c>
      <c r="AN366" s="11" t="s">
        <v>166</v>
      </c>
      <c r="AO366" s="1">
        <v>0.5</v>
      </c>
    </row>
    <row r="367" spans="2:41">
      <c r="B367" s="19"/>
      <c r="AE367" s="5"/>
      <c r="AL367" s="11" t="s">
        <v>350</v>
      </c>
      <c r="AM367" s="11" t="s">
        <v>229</v>
      </c>
      <c r="AN367" s="11" t="s">
        <v>78</v>
      </c>
      <c r="AO367" s="1">
        <v>1</v>
      </c>
    </row>
    <row r="368" spans="2:41">
      <c r="B368" s="19"/>
      <c r="AE368" s="5"/>
    </row>
    <row r="369" spans="2:41">
      <c r="B369" s="19"/>
      <c r="AE369" s="5"/>
      <c r="AI369" s="20" t="s">
        <v>415</v>
      </c>
      <c r="AJ369" s="42" t="s">
        <v>416</v>
      </c>
      <c r="AK369" s="42"/>
      <c r="AL369" s="42"/>
      <c r="AM369" s="11">
        <f>COUNTA(AL370:AL401)-COUNTIF(AJ370:AJ401,"兼")</f>
        <v>25</v>
      </c>
    </row>
    <row r="370" spans="2:41">
      <c r="B370" s="19"/>
      <c r="AE370" s="5"/>
      <c r="AK370" s="11" t="s">
        <v>100</v>
      </c>
      <c r="AL370" s="11" t="s">
        <v>417</v>
      </c>
      <c r="AM370" s="11" t="s">
        <v>418</v>
      </c>
      <c r="AN370" s="11" t="s">
        <v>110</v>
      </c>
      <c r="AO370" s="1">
        <v>1</v>
      </c>
    </row>
    <row r="371" spans="2:41">
      <c r="B371" s="19"/>
      <c r="AE371" s="5"/>
    </row>
    <row r="372" spans="2:41">
      <c r="B372" s="19"/>
      <c r="AE372" s="5"/>
      <c r="AL372" s="11" t="s">
        <v>419</v>
      </c>
      <c r="AM372" s="11" t="s">
        <v>229</v>
      </c>
      <c r="AN372" s="11" t="s">
        <v>110</v>
      </c>
      <c r="AO372" s="1">
        <v>1</v>
      </c>
    </row>
    <row r="373" spans="2:41">
      <c r="B373" s="19"/>
      <c r="AE373" s="5"/>
      <c r="AL373" s="11" t="s">
        <v>420</v>
      </c>
      <c r="AM373" s="11" t="s">
        <v>229</v>
      </c>
      <c r="AN373" s="11" t="s">
        <v>110</v>
      </c>
      <c r="AO373" s="1">
        <v>1</v>
      </c>
    </row>
    <row r="374" spans="2:41">
      <c r="B374" s="19"/>
      <c r="AE374" s="5"/>
      <c r="AL374" s="11" t="s">
        <v>421</v>
      </c>
      <c r="AM374" s="11" t="s">
        <v>229</v>
      </c>
      <c r="AN374" s="11" t="s">
        <v>78</v>
      </c>
      <c r="AO374" s="1">
        <v>1</v>
      </c>
    </row>
    <row r="375" spans="2:41">
      <c r="B375" s="19"/>
      <c r="AE375" s="5"/>
      <c r="AL375" s="11" t="s">
        <v>422</v>
      </c>
      <c r="AM375" s="11" t="s">
        <v>229</v>
      </c>
      <c r="AN375" s="11" t="s">
        <v>110</v>
      </c>
      <c r="AO375" s="1">
        <v>1</v>
      </c>
    </row>
    <row r="376" spans="2:41">
      <c r="B376" s="19"/>
      <c r="AE376" s="5"/>
      <c r="AL376" s="11" t="s">
        <v>423</v>
      </c>
      <c r="AM376" s="11" t="s">
        <v>229</v>
      </c>
      <c r="AN376" s="11" t="s">
        <v>78</v>
      </c>
      <c r="AO376" s="1">
        <v>1</v>
      </c>
    </row>
    <row r="377" spans="2:41">
      <c r="B377" s="19"/>
      <c r="AE377" s="5"/>
      <c r="AL377" s="11" t="s">
        <v>424</v>
      </c>
      <c r="AM377" s="11" t="s">
        <v>229</v>
      </c>
      <c r="AN377" s="11" t="s">
        <v>78</v>
      </c>
      <c r="AO377" s="1">
        <v>1</v>
      </c>
    </row>
    <row r="378" spans="2:41">
      <c r="B378" s="19"/>
      <c r="AE378" s="5"/>
      <c r="AL378" s="11" t="s">
        <v>425</v>
      </c>
      <c r="AM378" s="11" t="s">
        <v>229</v>
      </c>
      <c r="AN378" s="11" t="s">
        <v>78</v>
      </c>
      <c r="AO378" s="1">
        <v>1</v>
      </c>
    </row>
    <row r="379" spans="2:41">
      <c r="B379" s="19"/>
      <c r="AE379" s="5"/>
      <c r="AL379" s="11" t="s">
        <v>426</v>
      </c>
      <c r="AM379" s="11" t="s">
        <v>229</v>
      </c>
      <c r="AN379" s="11" t="s">
        <v>110</v>
      </c>
      <c r="AO379" s="1">
        <v>1</v>
      </c>
    </row>
    <row r="380" spans="2:41">
      <c r="B380" s="19"/>
      <c r="AE380" s="5"/>
      <c r="AL380" s="11" t="s">
        <v>427</v>
      </c>
      <c r="AM380" s="11" t="s">
        <v>229</v>
      </c>
      <c r="AN380" s="11" t="s">
        <v>110</v>
      </c>
      <c r="AO380" s="1">
        <v>1</v>
      </c>
    </row>
    <row r="381" spans="2:41">
      <c r="B381" s="19"/>
      <c r="AE381" s="5"/>
      <c r="AJ381" s="11" t="s">
        <v>358</v>
      </c>
      <c r="AL381" s="11" t="s">
        <v>351</v>
      </c>
      <c r="AM381" s="11" t="s">
        <v>229</v>
      </c>
      <c r="AN381" s="11" t="s">
        <v>110</v>
      </c>
      <c r="AO381" s="1">
        <v>0.5</v>
      </c>
    </row>
    <row r="382" spans="2:41">
      <c r="B382" s="19"/>
      <c r="AE382" s="5"/>
    </row>
    <row r="383" spans="2:41">
      <c r="B383" s="19"/>
      <c r="AE383" s="5"/>
      <c r="AL383" s="11" t="s">
        <v>428</v>
      </c>
      <c r="AM383" s="11" t="s">
        <v>229</v>
      </c>
      <c r="AN383" s="11" t="s">
        <v>110</v>
      </c>
      <c r="AO383" s="1">
        <v>1</v>
      </c>
    </row>
    <row r="384" spans="2:41">
      <c r="B384" s="19"/>
      <c r="AE384" s="5"/>
      <c r="AL384" s="11" t="s">
        <v>429</v>
      </c>
      <c r="AM384" s="11" t="s">
        <v>229</v>
      </c>
      <c r="AN384" s="11" t="s">
        <v>110</v>
      </c>
      <c r="AO384" s="1">
        <v>1</v>
      </c>
    </row>
    <row r="385" spans="2:41">
      <c r="B385" s="19"/>
      <c r="AE385" s="5"/>
      <c r="AL385" s="11" t="s">
        <v>430</v>
      </c>
      <c r="AM385" s="11" t="s">
        <v>229</v>
      </c>
      <c r="AN385" s="11" t="s">
        <v>110</v>
      </c>
      <c r="AO385" s="1">
        <v>1</v>
      </c>
    </row>
    <row r="386" spans="2:41">
      <c r="B386" s="19"/>
      <c r="AE386" s="5"/>
    </row>
    <row r="387" spans="2:41">
      <c r="B387" s="19"/>
      <c r="AE387" s="5"/>
      <c r="AL387" s="11" t="s">
        <v>431</v>
      </c>
      <c r="AM387" s="11" t="s">
        <v>418</v>
      </c>
      <c r="AN387" s="11" t="s">
        <v>110</v>
      </c>
      <c r="AO387" s="1">
        <v>1</v>
      </c>
    </row>
    <row r="388" spans="2:41">
      <c r="B388" s="19"/>
      <c r="AE388" s="5"/>
      <c r="AL388" s="11" t="s">
        <v>432</v>
      </c>
      <c r="AM388" s="11" t="s">
        <v>418</v>
      </c>
      <c r="AN388" s="11" t="s">
        <v>110</v>
      </c>
      <c r="AO388" s="1">
        <v>1</v>
      </c>
    </row>
    <row r="389" spans="2:41">
      <c r="B389" s="19"/>
      <c r="AE389" s="5"/>
      <c r="AL389" s="11" t="s">
        <v>433</v>
      </c>
      <c r="AM389" s="11" t="s">
        <v>418</v>
      </c>
      <c r="AN389" s="11" t="s">
        <v>78</v>
      </c>
      <c r="AO389" s="1">
        <v>1</v>
      </c>
    </row>
    <row r="390" spans="2:41">
      <c r="B390" s="19"/>
      <c r="AE390" s="5"/>
      <c r="AL390" s="11" t="s">
        <v>434</v>
      </c>
      <c r="AM390" s="11" t="s">
        <v>418</v>
      </c>
      <c r="AN390" s="11" t="s">
        <v>110</v>
      </c>
      <c r="AO390" s="1">
        <v>1</v>
      </c>
    </row>
    <row r="391" spans="2:41">
      <c r="B391" s="19"/>
      <c r="AE391" s="5"/>
    </row>
    <row r="392" spans="2:41">
      <c r="B392" s="19"/>
      <c r="AE392" s="5"/>
      <c r="AJ392" s="11" t="s">
        <v>57</v>
      </c>
      <c r="AL392" s="11" t="s">
        <v>435</v>
      </c>
      <c r="AM392" s="11" t="s">
        <v>229</v>
      </c>
      <c r="AN392" s="11" t="s">
        <v>78</v>
      </c>
      <c r="AO392" s="1">
        <v>0.5</v>
      </c>
    </row>
    <row r="393" spans="2:41">
      <c r="B393" s="19"/>
      <c r="AE393" s="5"/>
      <c r="AL393" s="11" t="s">
        <v>436</v>
      </c>
      <c r="AM393" s="11" t="s">
        <v>229</v>
      </c>
      <c r="AN393" s="11" t="s">
        <v>78</v>
      </c>
      <c r="AO393" s="1">
        <v>1</v>
      </c>
    </row>
    <row r="394" spans="2:41">
      <c r="B394" s="19"/>
      <c r="AE394" s="5"/>
      <c r="AL394" s="11" t="s">
        <v>437</v>
      </c>
      <c r="AM394" s="11" t="s">
        <v>229</v>
      </c>
      <c r="AN394" s="11" t="s">
        <v>78</v>
      </c>
      <c r="AO394" s="1">
        <v>1</v>
      </c>
    </row>
    <row r="395" spans="2:41">
      <c r="B395" s="19"/>
      <c r="AE395" s="5"/>
      <c r="AL395" s="11" t="s">
        <v>438</v>
      </c>
      <c r="AM395" s="11" t="s">
        <v>229</v>
      </c>
      <c r="AN395" s="11" t="s">
        <v>78</v>
      </c>
      <c r="AO395" s="1">
        <v>1</v>
      </c>
    </row>
    <row r="396" spans="2:41">
      <c r="B396" s="19"/>
      <c r="AE396" s="5"/>
    </row>
    <row r="397" spans="2:41">
      <c r="B397" s="19"/>
      <c r="AE397" s="5"/>
      <c r="AL397" s="11" t="s">
        <v>439</v>
      </c>
      <c r="AM397" s="11" t="s">
        <v>229</v>
      </c>
      <c r="AN397" s="11" t="s">
        <v>110</v>
      </c>
      <c r="AO397" s="1">
        <v>1</v>
      </c>
    </row>
    <row r="398" spans="2:41">
      <c r="B398" s="19"/>
      <c r="AE398" s="5"/>
      <c r="AL398" s="11" t="s">
        <v>444</v>
      </c>
      <c r="AM398" s="11" t="s">
        <v>445</v>
      </c>
      <c r="AN398" s="11" t="s">
        <v>78</v>
      </c>
      <c r="AO398" s="1">
        <v>1</v>
      </c>
    </row>
    <row r="399" spans="2:41">
      <c r="B399" s="19"/>
      <c r="AE399" s="5"/>
      <c r="AL399" s="11" t="s">
        <v>374</v>
      </c>
      <c r="AM399" s="11" t="s">
        <v>363</v>
      </c>
      <c r="AN399" s="11" t="s">
        <v>110</v>
      </c>
      <c r="AO399" s="1">
        <v>0.5</v>
      </c>
    </row>
    <row r="400" spans="2:41">
      <c r="B400" s="19"/>
      <c r="AE400" s="5"/>
      <c r="AL400" s="11" t="s">
        <v>441</v>
      </c>
      <c r="AM400" s="11" t="s">
        <v>229</v>
      </c>
      <c r="AN400" s="11" t="s">
        <v>110</v>
      </c>
      <c r="AO400" s="1">
        <v>1</v>
      </c>
    </row>
    <row r="401" spans="2:41">
      <c r="B401" s="19"/>
      <c r="AE401" s="5"/>
      <c r="AL401" s="11" t="s">
        <v>443</v>
      </c>
      <c r="AM401" s="11" t="s">
        <v>229</v>
      </c>
      <c r="AN401" s="11" t="s">
        <v>78</v>
      </c>
      <c r="AO401" s="1">
        <v>1</v>
      </c>
    </row>
    <row r="402" spans="2:41">
      <c r="B402" s="19"/>
      <c r="AE402" s="5"/>
    </row>
    <row r="403" spans="2:41">
      <c r="B403" s="19"/>
      <c r="AE403" s="5"/>
      <c r="AI403" s="20" t="s">
        <v>446</v>
      </c>
      <c r="AJ403" s="42" t="s">
        <v>447</v>
      </c>
      <c r="AK403" s="42"/>
      <c r="AL403" s="42"/>
      <c r="AM403" s="11">
        <f>COUNTA(AL404:AL434)-COUNTIF(AJ404:AJ434,"兼")</f>
        <v>23</v>
      </c>
    </row>
    <row r="404" spans="2:41">
      <c r="B404" s="19"/>
      <c r="AE404" s="5"/>
      <c r="AK404" s="11" t="s">
        <v>100</v>
      </c>
      <c r="AL404" s="11" t="s">
        <v>448</v>
      </c>
      <c r="AM404" s="11" t="s">
        <v>229</v>
      </c>
      <c r="AN404" s="11" t="s">
        <v>110</v>
      </c>
      <c r="AO404" s="1">
        <v>1</v>
      </c>
    </row>
    <row r="405" spans="2:41">
      <c r="B405" s="19"/>
      <c r="AE405" s="5"/>
    </row>
    <row r="406" spans="2:41">
      <c r="B406" s="19"/>
      <c r="AE406" s="5"/>
      <c r="AL406" s="11" t="s">
        <v>449</v>
      </c>
      <c r="AM406" s="11" t="s">
        <v>229</v>
      </c>
      <c r="AN406" s="11" t="s">
        <v>110</v>
      </c>
      <c r="AO406" s="1">
        <v>1</v>
      </c>
    </row>
    <row r="407" spans="2:41">
      <c r="B407" s="19"/>
      <c r="AE407" s="5"/>
      <c r="AL407" s="11" t="s">
        <v>450</v>
      </c>
      <c r="AM407" s="11" t="s">
        <v>229</v>
      </c>
      <c r="AN407" s="11" t="s">
        <v>110</v>
      </c>
      <c r="AO407" s="1">
        <v>1</v>
      </c>
    </row>
    <row r="408" spans="2:41">
      <c r="B408" s="19"/>
      <c r="AE408" s="5"/>
      <c r="AL408" s="11" t="s">
        <v>452</v>
      </c>
      <c r="AM408" s="11" t="s">
        <v>229</v>
      </c>
      <c r="AN408" s="11" t="s">
        <v>110</v>
      </c>
      <c r="AO408" s="1">
        <v>1</v>
      </c>
    </row>
    <row r="409" spans="2:41">
      <c r="B409" s="19"/>
      <c r="AE409" s="5"/>
      <c r="AL409" s="11" t="s">
        <v>453</v>
      </c>
      <c r="AM409" s="11" t="s">
        <v>229</v>
      </c>
      <c r="AN409" s="11" t="s">
        <v>110</v>
      </c>
      <c r="AO409" s="1">
        <v>1</v>
      </c>
    </row>
    <row r="410" spans="2:41">
      <c r="B410" s="19"/>
      <c r="AE410" s="5"/>
      <c r="AL410" s="11" t="s">
        <v>454</v>
      </c>
      <c r="AM410" s="11" t="s">
        <v>363</v>
      </c>
      <c r="AN410" s="11" t="s">
        <v>110</v>
      </c>
      <c r="AO410" s="1">
        <v>1</v>
      </c>
    </row>
    <row r="411" spans="2:41">
      <c r="B411" s="19"/>
      <c r="AE411" s="5"/>
      <c r="AL411" s="11" t="s">
        <v>455</v>
      </c>
      <c r="AM411" s="11" t="s">
        <v>229</v>
      </c>
      <c r="AN411" s="11" t="s">
        <v>110</v>
      </c>
      <c r="AO411" s="1">
        <v>1</v>
      </c>
    </row>
    <row r="412" spans="2:41">
      <c r="B412" s="19"/>
      <c r="AE412" s="5"/>
      <c r="AL412" s="11" t="s">
        <v>456</v>
      </c>
      <c r="AM412" s="11" t="s">
        <v>229</v>
      </c>
      <c r="AN412" s="11" t="s">
        <v>110</v>
      </c>
      <c r="AO412" s="1">
        <v>1</v>
      </c>
    </row>
    <row r="413" spans="2:41">
      <c r="B413" s="19"/>
      <c r="AE413" s="5"/>
      <c r="AJ413" s="11" t="s">
        <v>57</v>
      </c>
      <c r="AL413" s="11" t="s">
        <v>357</v>
      </c>
      <c r="AM413" s="11" t="s">
        <v>229</v>
      </c>
      <c r="AN413" s="11" t="s">
        <v>78</v>
      </c>
      <c r="AO413" s="1">
        <v>0.5</v>
      </c>
    </row>
    <row r="414" spans="2:41">
      <c r="B414" s="19"/>
      <c r="AE414" s="5"/>
    </row>
    <row r="415" spans="2:41">
      <c r="B415" s="19"/>
      <c r="AE415" s="5"/>
      <c r="AL415" s="11" t="s">
        <v>457</v>
      </c>
      <c r="AM415" s="11" t="s">
        <v>229</v>
      </c>
      <c r="AN415" s="11" t="s">
        <v>110</v>
      </c>
      <c r="AO415" s="1">
        <v>1</v>
      </c>
    </row>
    <row r="416" spans="2:41">
      <c r="B416" s="19"/>
      <c r="AE416" s="5"/>
      <c r="AL416" s="11" t="s">
        <v>458</v>
      </c>
      <c r="AM416" s="11" t="s">
        <v>363</v>
      </c>
      <c r="AN416" s="11" t="s">
        <v>110</v>
      </c>
      <c r="AO416" s="1">
        <v>1</v>
      </c>
    </row>
    <row r="417" spans="2:41">
      <c r="B417" s="19"/>
      <c r="AE417" s="5"/>
      <c r="AL417" s="11" t="s">
        <v>459</v>
      </c>
      <c r="AM417" s="11" t="s">
        <v>363</v>
      </c>
      <c r="AN417" s="11" t="s">
        <v>110</v>
      </c>
      <c r="AO417" s="1">
        <v>1</v>
      </c>
    </row>
    <row r="418" spans="2:41">
      <c r="B418" s="19"/>
      <c r="AE418" s="5"/>
      <c r="AL418" s="11" t="s">
        <v>460</v>
      </c>
      <c r="AM418" s="11" t="s">
        <v>229</v>
      </c>
      <c r="AN418" s="11" t="s">
        <v>110</v>
      </c>
      <c r="AO418" s="1">
        <v>1</v>
      </c>
    </row>
    <row r="419" spans="2:41">
      <c r="B419" s="19"/>
      <c r="AE419" s="5"/>
    </row>
    <row r="420" spans="2:41">
      <c r="B420" s="19"/>
      <c r="AE420" s="5"/>
      <c r="AL420" s="11" t="s">
        <v>461</v>
      </c>
      <c r="AM420" s="11" t="s">
        <v>229</v>
      </c>
      <c r="AN420" s="11" t="s">
        <v>78</v>
      </c>
      <c r="AO420" s="1">
        <v>1</v>
      </c>
    </row>
    <row r="421" spans="2:41">
      <c r="B421" s="19"/>
      <c r="AE421" s="5"/>
      <c r="AL421" s="11" t="s">
        <v>467</v>
      </c>
      <c r="AM421" s="11" t="s">
        <v>10</v>
      </c>
      <c r="AN421" s="11" t="s">
        <v>78</v>
      </c>
      <c r="AO421" s="1">
        <v>1</v>
      </c>
    </row>
    <row r="422" spans="2:41">
      <c r="B422" s="19"/>
      <c r="AE422" s="5"/>
      <c r="AL422" s="11" t="s">
        <v>469</v>
      </c>
      <c r="AM422" s="11" t="s">
        <v>229</v>
      </c>
      <c r="AN422" s="11" t="s">
        <v>78</v>
      </c>
      <c r="AO422" s="1">
        <v>1</v>
      </c>
    </row>
    <row r="423" spans="2:41">
      <c r="B423" s="19"/>
      <c r="AE423" s="5"/>
    </row>
    <row r="424" spans="2:41">
      <c r="B424" s="19"/>
      <c r="AE424" s="5"/>
      <c r="AL424" s="11" t="s">
        <v>463</v>
      </c>
      <c r="AM424" s="11" t="s">
        <v>10</v>
      </c>
      <c r="AN424" s="11" t="s">
        <v>78</v>
      </c>
      <c r="AO424" s="1">
        <v>1</v>
      </c>
    </row>
    <row r="425" spans="2:41">
      <c r="B425" s="19"/>
      <c r="AE425" s="5"/>
      <c r="AL425" s="11" t="s">
        <v>470</v>
      </c>
      <c r="AM425" s="11" t="s">
        <v>471</v>
      </c>
      <c r="AN425" s="11" t="s">
        <v>78</v>
      </c>
      <c r="AO425" s="1">
        <v>1</v>
      </c>
    </row>
    <row r="426" spans="2:41">
      <c r="B426" s="19"/>
      <c r="AE426" s="5"/>
    </row>
    <row r="427" spans="2:41">
      <c r="B427" s="19"/>
      <c r="AE427" s="5"/>
      <c r="AL427" s="11" t="s">
        <v>466</v>
      </c>
      <c r="AM427" s="11" t="s">
        <v>10</v>
      </c>
      <c r="AN427" s="11" t="s">
        <v>78</v>
      </c>
      <c r="AO427" s="1">
        <v>1</v>
      </c>
    </row>
    <row r="428" spans="2:41">
      <c r="B428" s="19"/>
      <c r="AE428" s="5"/>
      <c r="AL428" s="11" t="s">
        <v>495</v>
      </c>
      <c r="AM428" s="11" t="s">
        <v>229</v>
      </c>
      <c r="AN428" s="11" t="s">
        <v>78</v>
      </c>
      <c r="AO428" s="1">
        <v>1</v>
      </c>
    </row>
    <row r="429" spans="2:41">
      <c r="B429" s="19"/>
      <c r="AE429" s="5"/>
      <c r="AL429" s="11" t="s">
        <v>465</v>
      </c>
      <c r="AM429" s="11" t="s">
        <v>10</v>
      </c>
      <c r="AN429" s="11" t="s">
        <v>78</v>
      </c>
      <c r="AO429" s="1">
        <v>1</v>
      </c>
    </row>
    <row r="430" spans="2:41">
      <c r="B430" s="19"/>
      <c r="AE430" s="5"/>
    </row>
    <row r="431" spans="2:41">
      <c r="B431" s="19"/>
      <c r="AE431" s="5"/>
      <c r="AL431" s="11" t="s">
        <v>462</v>
      </c>
      <c r="AM431" s="11" t="s">
        <v>145</v>
      </c>
      <c r="AN431" s="11" t="s">
        <v>78</v>
      </c>
      <c r="AO431" s="1">
        <v>1</v>
      </c>
    </row>
    <row r="432" spans="2:41">
      <c r="B432" s="19"/>
      <c r="AE432" s="5"/>
      <c r="AL432" s="11" t="s">
        <v>468</v>
      </c>
      <c r="AM432" s="11" t="s">
        <v>145</v>
      </c>
      <c r="AN432" s="11" t="s">
        <v>78</v>
      </c>
      <c r="AO432" s="1">
        <v>1</v>
      </c>
    </row>
    <row r="433" spans="2:41">
      <c r="B433" s="19"/>
      <c r="AE433" s="5"/>
    </row>
    <row r="434" spans="2:41">
      <c r="B434" s="19"/>
      <c r="AE434" s="5"/>
      <c r="AL434" s="11" t="s">
        <v>464</v>
      </c>
      <c r="AM434" s="11" t="s">
        <v>363</v>
      </c>
      <c r="AN434" s="11" t="s">
        <v>78</v>
      </c>
      <c r="AO434" s="1">
        <v>1</v>
      </c>
    </row>
    <row r="435" spans="2:41">
      <c r="B435" s="19"/>
      <c r="AE435" s="5"/>
    </row>
    <row r="436" spans="2:41">
      <c r="B436" s="19"/>
      <c r="AE436" s="5"/>
      <c r="AI436" s="20" t="s">
        <v>472</v>
      </c>
      <c r="AJ436" s="42" t="s">
        <v>473</v>
      </c>
      <c r="AK436" s="42"/>
      <c r="AL436" s="42"/>
      <c r="AM436" s="11">
        <f>COUNTA(AL437:AL473)-COUNTIF(AJ437:AJ473,"兼")</f>
        <v>28</v>
      </c>
    </row>
    <row r="437" spans="2:41">
      <c r="B437" s="19"/>
      <c r="AE437" s="5"/>
      <c r="AJ437" s="11" t="s">
        <v>57</v>
      </c>
      <c r="AK437" s="11" t="s">
        <v>100</v>
      </c>
      <c r="AL437" s="11" t="s">
        <v>344</v>
      </c>
      <c r="AM437" s="11" t="s">
        <v>10</v>
      </c>
      <c r="AN437" s="11" t="s">
        <v>78</v>
      </c>
      <c r="AO437" s="1">
        <v>0.4</v>
      </c>
    </row>
    <row r="438" spans="2:41">
      <c r="B438" s="19"/>
      <c r="AE438" s="5"/>
    </row>
    <row r="439" spans="2:41">
      <c r="B439" s="19"/>
      <c r="AE439" s="5"/>
      <c r="AL439" s="11" t="s">
        <v>474</v>
      </c>
      <c r="AM439" s="11" t="s">
        <v>229</v>
      </c>
      <c r="AN439" s="11" t="s">
        <v>78</v>
      </c>
      <c r="AO439" s="1">
        <v>1</v>
      </c>
    </row>
    <row r="440" spans="2:41">
      <c r="B440" s="19"/>
      <c r="AE440" s="5"/>
      <c r="AL440" s="11" t="s">
        <v>475</v>
      </c>
      <c r="AM440" s="11" t="s">
        <v>229</v>
      </c>
      <c r="AN440" s="11" t="s">
        <v>78</v>
      </c>
      <c r="AO440" s="1">
        <v>1</v>
      </c>
    </row>
    <row r="441" spans="2:41">
      <c r="B441" s="19"/>
      <c r="AE441" s="5"/>
      <c r="AL441" s="11" t="s">
        <v>476</v>
      </c>
      <c r="AM441" s="11" t="s">
        <v>445</v>
      </c>
      <c r="AN441" s="11" t="s">
        <v>78</v>
      </c>
      <c r="AO441" s="1">
        <v>1</v>
      </c>
    </row>
    <row r="442" spans="2:41">
      <c r="B442" s="19"/>
      <c r="AE442" s="5"/>
      <c r="AL442" s="11" t="s">
        <v>478</v>
      </c>
      <c r="AM442" s="11" t="s">
        <v>367</v>
      </c>
      <c r="AN442" s="11" t="s">
        <v>78</v>
      </c>
      <c r="AO442" s="1">
        <v>1</v>
      </c>
    </row>
    <row r="443" spans="2:41">
      <c r="B443" s="19"/>
      <c r="AE443" s="5"/>
      <c r="AL443" s="11" t="s">
        <v>480</v>
      </c>
      <c r="AM443" s="11" t="s">
        <v>445</v>
      </c>
      <c r="AN443" s="11" t="s">
        <v>78</v>
      </c>
      <c r="AO443" s="1">
        <v>1</v>
      </c>
    </row>
    <row r="444" spans="2:41">
      <c r="B444" s="19"/>
      <c r="AE444" s="5"/>
    </row>
    <row r="445" spans="2:41">
      <c r="B445" s="19"/>
      <c r="AE445" s="5"/>
      <c r="AL445" s="11" t="s">
        <v>481</v>
      </c>
      <c r="AM445" s="11" t="s">
        <v>229</v>
      </c>
      <c r="AN445" s="11" t="s">
        <v>78</v>
      </c>
      <c r="AO445" s="1">
        <v>1</v>
      </c>
    </row>
    <row r="446" spans="2:41">
      <c r="B446" s="19"/>
      <c r="AE446" s="5"/>
      <c r="AL446" s="11" t="s">
        <v>477</v>
      </c>
      <c r="AM446" s="11" t="s">
        <v>367</v>
      </c>
      <c r="AN446" s="11" t="s">
        <v>78</v>
      </c>
      <c r="AO446" s="1">
        <v>1</v>
      </c>
    </row>
    <row r="447" spans="2:41">
      <c r="B447" s="19"/>
      <c r="AE447" s="5"/>
      <c r="AL447" s="11" t="s">
        <v>500</v>
      </c>
      <c r="AM447" s="11" t="s">
        <v>10</v>
      </c>
      <c r="AN447" s="11" t="s">
        <v>78</v>
      </c>
      <c r="AO447" s="1">
        <v>1</v>
      </c>
    </row>
    <row r="448" spans="2:41">
      <c r="B448" s="19"/>
      <c r="AE448" s="5"/>
      <c r="AL448" s="11" t="s">
        <v>510</v>
      </c>
      <c r="AM448" s="11" t="s">
        <v>471</v>
      </c>
      <c r="AN448" s="11" t="s">
        <v>78</v>
      </c>
      <c r="AO448" s="1">
        <v>1</v>
      </c>
    </row>
    <row r="449" spans="2:41">
      <c r="B449" s="19"/>
      <c r="AE449" s="5"/>
    </row>
    <row r="450" spans="2:41">
      <c r="B450" s="19"/>
      <c r="AE450" s="5"/>
      <c r="AL450" s="11" t="s">
        <v>479</v>
      </c>
      <c r="AM450" s="11" t="s">
        <v>229</v>
      </c>
      <c r="AN450" s="11" t="s">
        <v>78</v>
      </c>
      <c r="AO450" s="1">
        <v>1</v>
      </c>
    </row>
    <row r="451" spans="2:41">
      <c r="B451" s="19"/>
      <c r="AE451" s="5"/>
    </row>
    <row r="452" spans="2:41">
      <c r="B452" s="19"/>
      <c r="AE452" s="5"/>
      <c r="AL452" s="11" t="s">
        <v>482</v>
      </c>
      <c r="AM452" s="11" t="s">
        <v>229</v>
      </c>
      <c r="AN452" s="11" t="s">
        <v>78</v>
      </c>
      <c r="AO452" s="1">
        <v>1</v>
      </c>
    </row>
    <row r="453" spans="2:41">
      <c r="B453" s="19"/>
      <c r="AE453" s="5"/>
      <c r="AL453" s="11" t="s">
        <v>483</v>
      </c>
      <c r="AM453" s="11" t="s">
        <v>229</v>
      </c>
      <c r="AN453" s="11" t="s">
        <v>78</v>
      </c>
      <c r="AO453" s="1">
        <v>1</v>
      </c>
    </row>
    <row r="454" spans="2:41">
      <c r="B454" s="19"/>
      <c r="AE454" s="5"/>
    </row>
    <row r="455" spans="2:41">
      <c r="B455" s="19"/>
      <c r="AE455" s="5"/>
      <c r="AL455" s="11" t="s">
        <v>484</v>
      </c>
      <c r="AM455" s="11" t="s">
        <v>229</v>
      </c>
      <c r="AN455" s="11" t="s">
        <v>78</v>
      </c>
      <c r="AO455" s="1">
        <v>1</v>
      </c>
    </row>
    <row r="456" spans="2:41">
      <c r="B456" s="19"/>
      <c r="AE456" s="5"/>
      <c r="AL456" s="11" t="s">
        <v>509</v>
      </c>
      <c r="AM456" s="11" t="s">
        <v>471</v>
      </c>
      <c r="AN456" s="11" t="s">
        <v>78</v>
      </c>
      <c r="AO456" s="1">
        <v>1</v>
      </c>
    </row>
    <row r="457" spans="2:41">
      <c r="B457" s="19"/>
      <c r="AE457" s="5"/>
      <c r="AL457" s="11" t="s">
        <v>487</v>
      </c>
      <c r="AM457" s="11" t="s">
        <v>229</v>
      </c>
      <c r="AN457" s="11" t="s">
        <v>78</v>
      </c>
      <c r="AO457" s="1">
        <v>1</v>
      </c>
    </row>
    <row r="458" spans="2:41">
      <c r="B458" s="19"/>
      <c r="AE458" s="5"/>
    </row>
    <row r="459" spans="2:41">
      <c r="B459" s="19"/>
      <c r="AE459" s="5"/>
      <c r="AL459" s="11" t="s">
        <v>488</v>
      </c>
      <c r="AM459" s="11" t="s">
        <v>229</v>
      </c>
      <c r="AN459" s="11" t="s">
        <v>78</v>
      </c>
      <c r="AO459" s="1">
        <v>1</v>
      </c>
    </row>
    <row r="460" spans="2:41">
      <c r="B460" s="19"/>
      <c r="AE460" s="5"/>
      <c r="AL460" s="11" t="s">
        <v>486</v>
      </c>
      <c r="AM460" s="11" t="s">
        <v>367</v>
      </c>
      <c r="AN460" s="11" t="s">
        <v>78</v>
      </c>
      <c r="AO460" s="1">
        <v>1</v>
      </c>
    </row>
    <row r="461" spans="2:41">
      <c r="B461" s="19"/>
      <c r="AE461" s="5"/>
      <c r="AL461" s="11" t="s">
        <v>485</v>
      </c>
      <c r="AM461" s="11" t="s">
        <v>229</v>
      </c>
      <c r="AN461" s="11" t="s">
        <v>78</v>
      </c>
      <c r="AO461" s="1">
        <v>1</v>
      </c>
    </row>
    <row r="462" spans="2:41">
      <c r="B462" s="19"/>
      <c r="AE462" s="5"/>
    </row>
    <row r="463" spans="2:41">
      <c r="B463" s="19"/>
      <c r="AE463" s="5"/>
      <c r="AL463" s="11" t="s">
        <v>489</v>
      </c>
      <c r="AM463" s="11" t="s">
        <v>229</v>
      </c>
      <c r="AN463" s="11" t="s">
        <v>78</v>
      </c>
      <c r="AO463" s="1">
        <v>1</v>
      </c>
    </row>
    <row r="464" spans="2:41">
      <c r="B464" s="19"/>
      <c r="AE464" s="5"/>
      <c r="AL464" s="11" t="s">
        <v>491</v>
      </c>
      <c r="AM464" s="11" t="s">
        <v>229</v>
      </c>
      <c r="AN464" s="11" t="s">
        <v>78</v>
      </c>
      <c r="AO464" s="1">
        <v>1</v>
      </c>
    </row>
    <row r="465" spans="2:42">
      <c r="B465" s="19"/>
      <c r="AE465" s="5"/>
      <c r="AL465" s="11" t="s">
        <v>492</v>
      </c>
      <c r="AM465" s="11" t="s">
        <v>229</v>
      </c>
      <c r="AN465" s="11" t="s">
        <v>78</v>
      </c>
      <c r="AO465" s="1">
        <v>1</v>
      </c>
    </row>
    <row r="466" spans="2:42">
      <c r="B466" s="19"/>
      <c r="AE466" s="5"/>
      <c r="AL466" s="11" t="s">
        <v>496</v>
      </c>
      <c r="AM466" s="11" t="s">
        <v>229</v>
      </c>
      <c r="AN466" s="11" t="s">
        <v>78</v>
      </c>
      <c r="AO466" s="1">
        <v>1</v>
      </c>
    </row>
    <row r="467" spans="2:42">
      <c r="B467" s="19"/>
      <c r="AE467" s="5"/>
      <c r="AL467" s="11" t="s">
        <v>498</v>
      </c>
      <c r="AM467" s="11" t="s">
        <v>229</v>
      </c>
      <c r="AN467" s="11" t="s">
        <v>78</v>
      </c>
      <c r="AO467" s="1">
        <v>1</v>
      </c>
    </row>
    <row r="468" spans="2:42">
      <c r="B468" s="19"/>
      <c r="AE468" s="5"/>
    </row>
    <row r="469" spans="2:42">
      <c r="B469" s="19"/>
      <c r="AE469" s="5"/>
      <c r="AL469" s="11" t="s">
        <v>490</v>
      </c>
      <c r="AM469" s="11" t="s">
        <v>10</v>
      </c>
      <c r="AN469" s="11" t="s">
        <v>78</v>
      </c>
      <c r="AO469" s="1">
        <v>1</v>
      </c>
    </row>
    <row r="470" spans="2:42">
      <c r="B470" s="19"/>
      <c r="AE470" s="5"/>
      <c r="AL470" s="11" t="s">
        <v>493</v>
      </c>
      <c r="AM470" s="11" t="s">
        <v>229</v>
      </c>
      <c r="AN470" s="11" t="s">
        <v>78</v>
      </c>
      <c r="AO470" s="1">
        <v>1</v>
      </c>
    </row>
    <row r="471" spans="2:42">
      <c r="B471" s="19"/>
      <c r="AE471" s="5"/>
      <c r="AL471" s="11" t="s">
        <v>494</v>
      </c>
      <c r="AM471" s="11" t="s">
        <v>229</v>
      </c>
      <c r="AN471" s="11" t="s">
        <v>78</v>
      </c>
      <c r="AO471" s="1">
        <v>1</v>
      </c>
    </row>
    <row r="472" spans="2:42">
      <c r="B472" s="19"/>
      <c r="AE472" s="5"/>
      <c r="AL472" s="11" t="s">
        <v>497</v>
      </c>
      <c r="AM472" s="11" t="s">
        <v>229</v>
      </c>
      <c r="AN472" s="11" t="s">
        <v>78</v>
      </c>
      <c r="AO472" s="1">
        <v>1</v>
      </c>
    </row>
    <row r="473" spans="2:42">
      <c r="B473" s="19"/>
      <c r="AE473" s="5"/>
      <c r="AL473" s="11" t="s">
        <v>499</v>
      </c>
      <c r="AM473" s="11" t="s">
        <v>229</v>
      </c>
      <c r="AN473" s="11" t="s">
        <v>78</v>
      </c>
      <c r="AO473" s="1">
        <v>1</v>
      </c>
    </row>
    <row r="474" spans="2:42">
      <c r="B474" s="19"/>
      <c r="AE474" s="11"/>
    </row>
    <row r="475" spans="2:42">
      <c r="B475" s="19"/>
      <c r="X475" s="11">
        <f>SUM(AC475)</f>
        <v>1</v>
      </c>
      <c r="Y475" s="20" t="s">
        <v>2265</v>
      </c>
      <c r="Z475" s="42" t="s">
        <v>2262</v>
      </c>
      <c r="AA475" s="42"/>
      <c r="AB475" s="42"/>
      <c r="AC475" s="11">
        <f>COUNTA(AB476:AB477)-COUNTIF(Z476:Z477,"兼")</f>
        <v>1</v>
      </c>
      <c r="AE475" s="5"/>
    </row>
    <row r="476" spans="2:42">
      <c r="B476" s="19"/>
      <c r="Z476" s="11" t="s">
        <v>57</v>
      </c>
      <c r="AA476" s="11" t="s">
        <v>76</v>
      </c>
      <c r="AB476" s="11" t="s">
        <v>245</v>
      </c>
      <c r="AC476" s="11" t="s">
        <v>10</v>
      </c>
      <c r="AD476" s="11" t="s">
        <v>124</v>
      </c>
      <c r="AE476" s="1">
        <v>0.5</v>
      </c>
    </row>
    <row r="477" spans="2:42">
      <c r="B477" s="19"/>
      <c r="AB477" s="11" t="s">
        <v>2263</v>
      </c>
      <c r="AC477" s="11" t="s">
        <v>10</v>
      </c>
      <c r="AD477" s="11" t="s">
        <v>18</v>
      </c>
      <c r="AE477" s="1">
        <v>1</v>
      </c>
    </row>
    <row r="478" spans="2:42">
      <c r="B478" s="19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7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</row>
    <row r="479" spans="2:42">
      <c r="B479" s="19"/>
      <c r="AE479" s="5"/>
    </row>
    <row r="480" spans="2:42">
      <c r="B480" s="19"/>
      <c r="D480" s="11">
        <f>SUM(X480)</f>
        <v>9</v>
      </c>
      <c r="E480" s="20" t="s">
        <v>51</v>
      </c>
      <c r="F480" s="42" t="s">
        <v>501</v>
      </c>
      <c r="G480" s="42"/>
      <c r="H480" s="42"/>
      <c r="X480" s="11">
        <f>SUM(AC480)</f>
        <v>9</v>
      </c>
      <c r="Y480" s="20" t="s">
        <v>502</v>
      </c>
      <c r="Z480" s="42" t="s">
        <v>503</v>
      </c>
      <c r="AA480" s="42"/>
      <c r="AB480" s="42"/>
      <c r="AC480" s="11">
        <f>COUNTA(AB481:AB491)-COUNTIF(Z481:Z491,"兼")</f>
        <v>9</v>
      </c>
      <c r="AE480" s="5"/>
    </row>
    <row r="481" spans="2:32">
      <c r="B481" s="19"/>
      <c r="F481" s="11" t="s">
        <v>138</v>
      </c>
      <c r="H481" s="11" t="s">
        <v>504</v>
      </c>
      <c r="I481" s="11" t="s">
        <v>80</v>
      </c>
      <c r="J481" s="11" t="s">
        <v>18</v>
      </c>
      <c r="K481" s="1">
        <v>0.2</v>
      </c>
      <c r="Z481" s="11" t="s">
        <v>57</v>
      </c>
      <c r="AA481" s="11" t="s">
        <v>505</v>
      </c>
      <c r="AB481" s="11" t="s">
        <v>185</v>
      </c>
      <c r="AC481" s="11" t="s">
        <v>10</v>
      </c>
      <c r="AD481" s="11" t="s">
        <v>78</v>
      </c>
      <c r="AE481" s="40">
        <v>0.4</v>
      </c>
    </row>
    <row r="482" spans="2:32">
      <c r="B482" s="19"/>
      <c r="Z482" s="11" t="s">
        <v>57</v>
      </c>
      <c r="AB482" s="11" t="s">
        <v>506</v>
      </c>
      <c r="AC482" s="11" t="s">
        <v>10</v>
      </c>
      <c r="AD482" s="11" t="s">
        <v>78</v>
      </c>
      <c r="AE482" s="40">
        <v>0.1</v>
      </c>
    </row>
    <row r="483" spans="2:32">
      <c r="B483" s="19"/>
      <c r="AB483" s="11" t="s">
        <v>507</v>
      </c>
      <c r="AC483" s="11" t="s">
        <v>60</v>
      </c>
      <c r="AD483" s="11" t="s">
        <v>78</v>
      </c>
      <c r="AE483" s="1">
        <v>1</v>
      </c>
      <c r="AF483" s="11" t="s">
        <v>508</v>
      </c>
    </row>
    <row r="484" spans="2:32">
      <c r="B484" s="19"/>
      <c r="AB484" s="11" t="s">
        <v>512</v>
      </c>
      <c r="AC484" s="11" t="s">
        <v>10</v>
      </c>
      <c r="AD484" s="11" t="s">
        <v>78</v>
      </c>
      <c r="AE484" s="1">
        <v>1</v>
      </c>
    </row>
    <row r="485" spans="2:32">
      <c r="B485" s="19"/>
      <c r="AB485" s="11" t="s">
        <v>513</v>
      </c>
      <c r="AC485" s="11" t="s">
        <v>10</v>
      </c>
      <c r="AD485" s="11" t="s">
        <v>78</v>
      </c>
      <c r="AE485" s="40">
        <v>1</v>
      </c>
    </row>
    <row r="486" spans="2:32">
      <c r="B486" s="19"/>
      <c r="AB486" s="11" t="s">
        <v>514</v>
      </c>
      <c r="AC486" s="11" t="s">
        <v>10</v>
      </c>
      <c r="AD486" s="11" t="s">
        <v>78</v>
      </c>
      <c r="AE486" s="1">
        <v>1</v>
      </c>
    </row>
    <row r="487" spans="2:32">
      <c r="B487" s="19"/>
      <c r="AB487" s="11" t="s">
        <v>515</v>
      </c>
      <c r="AC487" s="11" t="s">
        <v>10</v>
      </c>
      <c r="AD487" s="11" t="s">
        <v>78</v>
      </c>
      <c r="AE487" s="1">
        <v>1</v>
      </c>
    </row>
    <row r="488" spans="2:32">
      <c r="B488" s="19"/>
      <c r="AB488" s="11" t="s">
        <v>541</v>
      </c>
      <c r="AC488" s="11" t="s">
        <v>10</v>
      </c>
      <c r="AD488" s="11" t="s">
        <v>78</v>
      </c>
      <c r="AE488" s="1">
        <v>1</v>
      </c>
    </row>
    <row r="489" spans="2:32">
      <c r="B489" s="19"/>
      <c r="AB489" s="11" t="s">
        <v>542</v>
      </c>
      <c r="AC489" s="11" t="s">
        <v>10</v>
      </c>
      <c r="AD489" s="11" t="s">
        <v>78</v>
      </c>
      <c r="AE489" s="1">
        <v>1</v>
      </c>
    </row>
    <row r="490" spans="2:32">
      <c r="B490" s="19"/>
      <c r="AB490" s="11" t="s">
        <v>307</v>
      </c>
      <c r="AC490" s="11" t="s">
        <v>10</v>
      </c>
      <c r="AD490" s="11" t="s">
        <v>78</v>
      </c>
      <c r="AE490" s="1">
        <v>1</v>
      </c>
    </row>
    <row r="491" spans="2:32">
      <c r="B491" s="19"/>
      <c r="AB491" s="11" t="s">
        <v>680</v>
      </c>
      <c r="AC491" s="11" t="s">
        <v>10</v>
      </c>
      <c r="AD491" s="11" t="s">
        <v>78</v>
      </c>
      <c r="AE491" s="40">
        <v>0</v>
      </c>
    </row>
    <row r="492" spans="2:32">
      <c r="B492" s="19"/>
      <c r="AE492" s="11"/>
    </row>
    <row r="493" spans="2:32">
      <c r="B493" s="19"/>
      <c r="Z493" s="21"/>
      <c r="AA493" s="21" t="s">
        <v>543</v>
      </c>
      <c r="AB493" s="21"/>
      <c r="AC493" s="21"/>
      <c r="AD493" s="21"/>
      <c r="AE493" s="4"/>
      <c r="AF493" s="21"/>
    </row>
    <row r="494" spans="2:32">
      <c r="B494" s="19"/>
      <c r="Z494" s="21"/>
      <c r="AA494" s="21" t="s">
        <v>69</v>
      </c>
      <c r="AB494" s="21"/>
      <c r="AC494" s="21"/>
      <c r="AD494" s="21"/>
      <c r="AE494" s="4"/>
      <c r="AF494" s="21"/>
    </row>
    <row r="495" spans="2:32">
      <c r="B495" s="19"/>
      <c r="Z495" s="21" t="s">
        <v>57</v>
      </c>
      <c r="AA495" s="21"/>
      <c r="AB495" s="21" t="s">
        <v>544</v>
      </c>
      <c r="AC495" s="21" t="s">
        <v>10</v>
      </c>
      <c r="AD495" s="21" t="s">
        <v>78</v>
      </c>
      <c r="AE495" s="41">
        <v>0.1</v>
      </c>
      <c r="AF495" s="21" t="s">
        <v>62</v>
      </c>
    </row>
    <row r="496" spans="2:32">
      <c r="B496" s="19"/>
      <c r="Z496" s="21" t="s">
        <v>57</v>
      </c>
      <c r="AA496" s="21"/>
      <c r="AB496" s="21" t="s">
        <v>545</v>
      </c>
      <c r="AC496" s="21" t="s">
        <v>10</v>
      </c>
      <c r="AD496" s="21" t="s">
        <v>78</v>
      </c>
      <c r="AE496" s="41">
        <v>0.1</v>
      </c>
      <c r="AF496" s="21" t="s">
        <v>62</v>
      </c>
    </row>
    <row r="497" spans="2:32">
      <c r="B497" s="19"/>
      <c r="Z497" s="21"/>
      <c r="AA497" s="21"/>
      <c r="AB497" s="21" t="s">
        <v>1433</v>
      </c>
      <c r="AC497" s="21" t="s">
        <v>10</v>
      </c>
      <c r="AD497" s="21" t="s">
        <v>78</v>
      </c>
      <c r="AE497" s="41">
        <v>1</v>
      </c>
      <c r="AF497" s="21" t="s">
        <v>62</v>
      </c>
    </row>
    <row r="498" spans="2:32">
      <c r="B498" s="19"/>
      <c r="Z498" s="21"/>
      <c r="AA498" s="21"/>
      <c r="AB498" s="21" t="s">
        <v>546</v>
      </c>
      <c r="AC498" s="21" t="s">
        <v>10</v>
      </c>
      <c r="AD498" s="21" t="s">
        <v>78</v>
      </c>
      <c r="AE498" s="41">
        <v>1</v>
      </c>
      <c r="AF498" s="21" t="s">
        <v>71</v>
      </c>
    </row>
    <row r="499" spans="2:32">
      <c r="B499" s="19"/>
    </row>
    <row r="500" spans="2:32">
      <c r="B500" s="19"/>
      <c r="Z500" s="21"/>
      <c r="AA500" s="21" t="s">
        <v>543</v>
      </c>
      <c r="AB500" s="21"/>
      <c r="AC500" s="21"/>
      <c r="AD500" s="21"/>
      <c r="AE500" s="4"/>
      <c r="AF500" s="21"/>
    </row>
    <row r="501" spans="2:32">
      <c r="B501" s="19"/>
      <c r="Z501" s="21"/>
      <c r="AA501" s="21" t="s">
        <v>547</v>
      </c>
      <c r="AB501" s="21"/>
      <c r="AC501" s="21"/>
      <c r="AD501" s="21"/>
      <c r="AE501" s="4"/>
      <c r="AF501" s="21"/>
    </row>
    <row r="502" spans="2:32">
      <c r="B502" s="19"/>
      <c r="Z502" s="21"/>
      <c r="AA502" s="21"/>
      <c r="AB502" s="21" t="s">
        <v>77</v>
      </c>
      <c r="AC502" s="21" t="s">
        <v>70</v>
      </c>
      <c r="AD502" s="21" t="s">
        <v>78</v>
      </c>
      <c r="AE502" s="41">
        <v>1</v>
      </c>
      <c r="AF502" s="21" t="s">
        <v>548</v>
      </c>
    </row>
    <row r="503" spans="2:32">
      <c r="B503" s="19"/>
      <c r="Z503" s="21"/>
      <c r="AA503" s="21"/>
      <c r="AB503" s="21" t="s">
        <v>82</v>
      </c>
      <c r="AC503" s="21" t="s">
        <v>70</v>
      </c>
      <c r="AD503" s="21" t="s">
        <v>78</v>
      </c>
      <c r="AE503" s="41">
        <v>1</v>
      </c>
      <c r="AF503" s="21" t="s">
        <v>548</v>
      </c>
    </row>
    <row r="504" spans="2:32">
      <c r="B504" s="19"/>
      <c r="Z504" s="21"/>
      <c r="AA504" s="21"/>
      <c r="AB504" s="21" t="s">
        <v>86</v>
      </c>
      <c r="AC504" s="21" t="s">
        <v>70</v>
      </c>
      <c r="AD504" s="21" t="s">
        <v>78</v>
      </c>
      <c r="AE504" s="41">
        <v>1</v>
      </c>
      <c r="AF504" s="21" t="s">
        <v>548</v>
      </c>
    </row>
    <row r="505" spans="2:32">
      <c r="B505" s="19"/>
      <c r="Z505" s="21"/>
      <c r="AA505" s="21"/>
      <c r="AB505" s="21" t="s">
        <v>87</v>
      </c>
      <c r="AC505" s="21" t="s">
        <v>70</v>
      </c>
      <c r="AD505" s="21" t="s">
        <v>78</v>
      </c>
      <c r="AE505" s="41">
        <v>1</v>
      </c>
      <c r="AF505" s="21" t="s">
        <v>548</v>
      </c>
    </row>
    <row r="506" spans="2:32">
      <c r="B506" s="19"/>
      <c r="Z506" s="21"/>
      <c r="AA506" s="21"/>
      <c r="AB506" s="21" t="s">
        <v>549</v>
      </c>
      <c r="AC506" s="21" t="s">
        <v>70</v>
      </c>
      <c r="AD506" s="21" t="s">
        <v>78</v>
      </c>
      <c r="AE506" s="41">
        <v>1</v>
      </c>
      <c r="AF506" s="21" t="s">
        <v>548</v>
      </c>
    </row>
    <row r="507" spans="2:32">
      <c r="B507" s="19"/>
      <c r="Z507" s="21" t="s">
        <v>57</v>
      </c>
      <c r="AA507" s="21"/>
      <c r="AB507" s="21" t="s">
        <v>550</v>
      </c>
      <c r="AC507" s="21" t="s">
        <v>70</v>
      </c>
      <c r="AD507" s="21" t="s">
        <v>78</v>
      </c>
      <c r="AE507" s="41">
        <v>0.4</v>
      </c>
      <c r="AF507" s="21" t="s">
        <v>548</v>
      </c>
    </row>
    <row r="508" spans="2:32">
      <c r="B508" s="19"/>
      <c r="Z508" s="21"/>
      <c r="AA508" s="21"/>
      <c r="AB508" s="21" t="s">
        <v>101</v>
      </c>
      <c r="AC508" s="21" t="s">
        <v>70</v>
      </c>
      <c r="AD508" s="21" t="s">
        <v>78</v>
      </c>
      <c r="AE508" s="41">
        <v>1</v>
      </c>
      <c r="AF508" s="21" t="s">
        <v>548</v>
      </c>
    </row>
    <row r="509" spans="2:32">
      <c r="B509" s="19"/>
      <c r="Z509" s="21"/>
      <c r="AA509" s="21"/>
      <c r="AB509" s="21" t="s">
        <v>107</v>
      </c>
      <c r="AC509" s="21" t="s">
        <v>70</v>
      </c>
      <c r="AD509" s="21" t="s">
        <v>78</v>
      </c>
      <c r="AE509" s="41">
        <v>1</v>
      </c>
      <c r="AF509" s="21" t="s">
        <v>548</v>
      </c>
    </row>
    <row r="510" spans="2:32">
      <c r="B510" s="19"/>
      <c r="Z510" s="21"/>
      <c r="AA510" s="21"/>
      <c r="AB510" s="21" t="s">
        <v>111</v>
      </c>
      <c r="AC510" s="21" t="s">
        <v>70</v>
      </c>
      <c r="AD510" s="21" t="s">
        <v>78</v>
      </c>
      <c r="AE510" s="41">
        <v>1</v>
      </c>
      <c r="AF510" s="21" t="s">
        <v>548</v>
      </c>
    </row>
    <row r="511" spans="2:32">
      <c r="B511" s="19"/>
      <c r="Z511" s="21"/>
      <c r="AA511" s="21"/>
      <c r="AB511" s="21" t="s">
        <v>115</v>
      </c>
      <c r="AC511" s="21" t="s">
        <v>70</v>
      </c>
      <c r="AD511" s="21" t="s">
        <v>78</v>
      </c>
      <c r="AE511" s="41">
        <v>1</v>
      </c>
      <c r="AF511" s="21" t="s">
        <v>548</v>
      </c>
    </row>
    <row r="512" spans="2:32">
      <c r="B512" s="19"/>
      <c r="Z512" s="21"/>
      <c r="AA512" s="21"/>
      <c r="AB512" s="21" t="s">
        <v>116</v>
      </c>
      <c r="AC512" s="21" t="s">
        <v>70</v>
      </c>
      <c r="AD512" s="21" t="s">
        <v>78</v>
      </c>
      <c r="AE512" s="41">
        <v>1</v>
      </c>
      <c r="AF512" s="21" t="s">
        <v>548</v>
      </c>
    </row>
    <row r="513" spans="2:32">
      <c r="B513" s="19"/>
      <c r="Z513" s="21"/>
      <c r="AA513" s="21"/>
      <c r="AB513" s="21" t="s">
        <v>117</v>
      </c>
      <c r="AC513" s="21" t="s">
        <v>70</v>
      </c>
      <c r="AD513" s="21" t="s">
        <v>78</v>
      </c>
      <c r="AE513" s="41">
        <v>1</v>
      </c>
      <c r="AF513" s="21" t="s">
        <v>548</v>
      </c>
    </row>
    <row r="514" spans="2:32">
      <c r="B514" s="19"/>
      <c r="Z514" s="21"/>
      <c r="AA514" s="21"/>
      <c r="AB514" s="21" t="s">
        <v>551</v>
      </c>
      <c r="AC514" s="21" t="s">
        <v>70</v>
      </c>
      <c r="AD514" s="21" t="s">
        <v>78</v>
      </c>
      <c r="AE514" s="41">
        <v>1</v>
      </c>
      <c r="AF514" s="21" t="s">
        <v>548</v>
      </c>
    </row>
    <row r="515" spans="2:32">
      <c r="B515" s="19"/>
      <c r="Z515" s="21"/>
      <c r="AA515" s="21"/>
      <c r="AB515" s="21" t="s">
        <v>552</v>
      </c>
      <c r="AC515" s="21" t="s">
        <v>70</v>
      </c>
      <c r="AD515" s="21" t="s">
        <v>78</v>
      </c>
      <c r="AE515" s="41">
        <v>1</v>
      </c>
      <c r="AF515" s="21" t="s">
        <v>548</v>
      </c>
    </row>
    <row r="516" spans="2:32">
      <c r="B516" s="19"/>
      <c r="Z516" s="21"/>
      <c r="AA516" s="21"/>
      <c r="AB516" s="21" t="s">
        <v>553</v>
      </c>
      <c r="AC516" s="21" t="s">
        <v>70</v>
      </c>
      <c r="AD516" s="21" t="s">
        <v>78</v>
      </c>
      <c r="AE516" s="41">
        <v>0.5</v>
      </c>
      <c r="AF516" s="21" t="s">
        <v>548</v>
      </c>
    </row>
    <row r="517" spans="2:32">
      <c r="B517" s="19"/>
      <c r="Z517" s="21"/>
      <c r="AA517" s="21"/>
      <c r="AB517" s="21" t="s">
        <v>149</v>
      </c>
      <c r="AC517" s="21" t="s">
        <v>70</v>
      </c>
      <c r="AD517" s="21" t="s">
        <v>78</v>
      </c>
      <c r="AE517" s="41">
        <v>0.6</v>
      </c>
      <c r="AF517" s="21" t="s">
        <v>548</v>
      </c>
    </row>
    <row r="518" spans="2:32">
      <c r="B518" s="19"/>
      <c r="Z518" s="21"/>
      <c r="AA518" s="21"/>
      <c r="AB518" s="21" t="s">
        <v>153</v>
      </c>
      <c r="AC518" s="21" t="s">
        <v>70</v>
      </c>
      <c r="AD518" s="21" t="s">
        <v>78</v>
      </c>
      <c r="AE518" s="41">
        <v>0.6</v>
      </c>
      <c r="AF518" s="21" t="s">
        <v>548</v>
      </c>
    </row>
    <row r="519" spans="2:32">
      <c r="B519" s="19"/>
      <c r="Z519" s="21"/>
      <c r="AA519" s="21"/>
      <c r="AB519" s="21" t="s">
        <v>160</v>
      </c>
      <c r="AC519" s="21" t="s">
        <v>70</v>
      </c>
      <c r="AD519" s="21" t="s">
        <v>78</v>
      </c>
      <c r="AE519" s="41">
        <v>1</v>
      </c>
      <c r="AF519" s="21" t="s">
        <v>548</v>
      </c>
    </row>
    <row r="520" spans="2:32">
      <c r="B520" s="19"/>
      <c r="Z520" s="21"/>
      <c r="AA520" s="21"/>
      <c r="AB520" s="21" t="s">
        <v>161</v>
      </c>
      <c r="AC520" s="21" t="s">
        <v>70</v>
      </c>
      <c r="AD520" s="21" t="s">
        <v>78</v>
      </c>
      <c r="AE520" s="41">
        <v>1</v>
      </c>
      <c r="AF520" s="21" t="s">
        <v>548</v>
      </c>
    </row>
    <row r="521" spans="2:32">
      <c r="B521" s="19"/>
      <c r="Z521" s="21"/>
      <c r="AA521" s="21"/>
      <c r="AB521" s="21" t="s">
        <v>168</v>
      </c>
      <c r="AC521" s="21" t="s">
        <v>70</v>
      </c>
      <c r="AD521" s="21" t="s">
        <v>78</v>
      </c>
      <c r="AE521" s="41">
        <v>1</v>
      </c>
      <c r="AF521" s="21" t="s">
        <v>548</v>
      </c>
    </row>
    <row r="522" spans="2:32">
      <c r="B522" s="19"/>
      <c r="Z522" s="21"/>
      <c r="AA522" s="21"/>
      <c r="AB522" s="21" t="s">
        <v>169</v>
      </c>
      <c r="AC522" s="21" t="s">
        <v>70</v>
      </c>
      <c r="AD522" s="21" t="s">
        <v>78</v>
      </c>
      <c r="AE522" s="41">
        <v>1</v>
      </c>
      <c r="AF522" s="21" t="s">
        <v>548</v>
      </c>
    </row>
    <row r="523" spans="2:32">
      <c r="B523" s="19"/>
      <c r="Z523" s="21"/>
      <c r="AA523" s="21"/>
      <c r="AB523" s="21" t="s">
        <v>170</v>
      </c>
      <c r="AC523" s="21" t="s">
        <v>70</v>
      </c>
      <c r="AD523" s="21" t="s">
        <v>78</v>
      </c>
      <c r="AE523" s="41">
        <v>1</v>
      </c>
      <c r="AF523" s="21" t="s">
        <v>548</v>
      </c>
    </row>
    <row r="524" spans="2:32">
      <c r="B524" s="19"/>
      <c r="Z524" s="21"/>
      <c r="AA524" s="21"/>
      <c r="AB524" s="21" t="s">
        <v>554</v>
      </c>
      <c r="AC524" s="21" t="s">
        <v>70</v>
      </c>
      <c r="AD524" s="21" t="s">
        <v>78</v>
      </c>
      <c r="AE524" s="41">
        <v>0.6</v>
      </c>
      <c r="AF524" s="21" t="s">
        <v>548</v>
      </c>
    </row>
    <row r="525" spans="2:32">
      <c r="B525" s="19"/>
      <c r="Z525" s="21"/>
      <c r="AA525" s="21"/>
      <c r="AB525" s="21" t="s">
        <v>555</v>
      </c>
      <c r="AC525" s="21" t="s">
        <v>70</v>
      </c>
      <c r="AD525" s="21" t="s">
        <v>78</v>
      </c>
      <c r="AE525" s="41">
        <v>1</v>
      </c>
      <c r="AF525" s="21" t="s">
        <v>548</v>
      </c>
    </row>
    <row r="526" spans="2:32">
      <c r="B526" s="19"/>
      <c r="Z526" s="21"/>
      <c r="AA526" s="21"/>
      <c r="AB526" s="21" t="s">
        <v>184</v>
      </c>
      <c r="AC526" s="21" t="s">
        <v>70</v>
      </c>
      <c r="AD526" s="21" t="s">
        <v>78</v>
      </c>
      <c r="AE526" s="41">
        <v>1</v>
      </c>
      <c r="AF526" s="21" t="s">
        <v>548</v>
      </c>
    </row>
    <row r="527" spans="2:32">
      <c r="B527" s="19"/>
      <c r="Z527" s="21"/>
      <c r="AA527" s="21"/>
      <c r="AB527" s="21" t="s">
        <v>193</v>
      </c>
      <c r="AC527" s="21" t="s">
        <v>70</v>
      </c>
      <c r="AD527" s="21" t="s">
        <v>78</v>
      </c>
      <c r="AE527" s="41">
        <v>1</v>
      </c>
      <c r="AF527" s="21" t="s">
        <v>548</v>
      </c>
    </row>
    <row r="528" spans="2:32">
      <c r="B528" s="19"/>
      <c r="Z528" s="21"/>
      <c r="AA528" s="21"/>
      <c r="AB528" s="21" t="s">
        <v>195</v>
      </c>
      <c r="AC528" s="21" t="s">
        <v>70</v>
      </c>
      <c r="AD528" s="21" t="s">
        <v>78</v>
      </c>
      <c r="AE528" s="41">
        <v>1</v>
      </c>
      <c r="AF528" s="21" t="s">
        <v>548</v>
      </c>
    </row>
    <row r="529" spans="2:32">
      <c r="B529" s="19"/>
      <c r="Z529" s="21"/>
      <c r="AA529" s="21"/>
      <c r="AB529" s="21" t="s">
        <v>200</v>
      </c>
      <c r="AC529" s="21" t="s">
        <v>70</v>
      </c>
      <c r="AD529" s="21" t="s">
        <v>78</v>
      </c>
      <c r="AE529" s="41">
        <v>1</v>
      </c>
      <c r="AF529" s="21" t="s">
        <v>548</v>
      </c>
    </row>
    <row r="530" spans="2:32">
      <c r="B530" s="19"/>
      <c r="Z530" s="21"/>
      <c r="AA530" s="21"/>
      <c r="AB530" s="21" t="s">
        <v>201</v>
      </c>
      <c r="AC530" s="21" t="s">
        <v>70</v>
      </c>
      <c r="AD530" s="21" t="s">
        <v>78</v>
      </c>
      <c r="AE530" s="41">
        <v>1</v>
      </c>
      <c r="AF530" s="21" t="s">
        <v>548</v>
      </c>
    </row>
    <row r="531" spans="2:32">
      <c r="B531" s="19"/>
      <c r="Z531" s="21"/>
      <c r="AA531" s="21"/>
      <c r="AB531" s="21" t="s">
        <v>202</v>
      </c>
      <c r="AC531" s="21" t="s">
        <v>70</v>
      </c>
      <c r="AD531" s="21" t="s">
        <v>78</v>
      </c>
      <c r="AE531" s="41">
        <v>1</v>
      </c>
      <c r="AF531" s="21" t="s">
        <v>548</v>
      </c>
    </row>
    <row r="532" spans="2:32">
      <c r="B532" s="19"/>
      <c r="Z532" s="21"/>
      <c r="AA532" s="21"/>
      <c r="AB532" s="21" t="s">
        <v>556</v>
      </c>
      <c r="AC532" s="21" t="s">
        <v>70</v>
      </c>
      <c r="AD532" s="21" t="s">
        <v>78</v>
      </c>
      <c r="AE532" s="41">
        <v>1</v>
      </c>
      <c r="AF532" s="21" t="s">
        <v>548</v>
      </c>
    </row>
    <row r="533" spans="2:32">
      <c r="B533" s="19"/>
      <c r="Z533" s="21"/>
      <c r="AA533" s="21"/>
      <c r="AB533" s="21" t="s">
        <v>212</v>
      </c>
      <c r="AC533" s="21" t="s">
        <v>70</v>
      </c>
      <c r="AD533" s="21" t="s">
        <v>78</v>
      </c>
      <c r="AE533" s="41">
        <v>1</v>
      </c>
      <c r="AF533" s="21" t="s">
        <v>548</v>
      </c>
    </row>
    <row r="534" spans="2:32">
      <c r="B534" s="19"/>
      <c r="Z534" s="21"/>
      <c r="AA534" s="21"/>
      <c r="AB534" s="21" t="s">
        <v>216</v>
      </c>
      <c r="AC534" s="21" t="s">
        <v>70</v>
      </c>
      <c r="AD534" s="21" t="s">
        <v>78</v>
      </c>
      <c r="AE534" s="41">
        <v>1</v>
      </c>
      <c r="AF534" s="21" t="s">
        <v>548</v>
      </c>
    </row>
    <row r="535" spans="2:32">
      <c r="B535" s="19"/>
      <c r="Z535" s="21"/>
      <c r="AA535" s="21"/>
      <c r="AB535" s="21" t="s">
        <v>225</v>
      </c>
      <c r="AC535" s="21" t="s">
        <v>70</v>
      </c>
      <c r="AD535" s="21" t="s">
        <v>78</v>
      </c>
      <c r="AE535" s="41">
        <v>1</v>
      </c>
      <c r="AF535" s="21" t="s">
        <v>548</v>
      </c>
    </row>
    <row r="536" spans="2:32">
      <c r="B536" s="19"/>
      <c r="Z536" s="21"/>
      <c r="AA536" s="21"/>
      <c r="AB536" s="21" t="s">
        <v>226</v>
      </c>
      <c r="AC536" s="21" t="s">
        <v>70</v>
      </c>
      <c r="AD536" s="21" t="s">
        <v>78</v>
      </c>
      <c r="AE536" s="41">
        <v>1</v>
      </c>
      <c r="AF536" s="21" t="s">
        <v>548</v>
      </c>
    </row>
    <row r="537" spans="2:32">
      <c r="B537" s="19"/>
      <c r="Z537" s="21"/>
      <c r="AA537" s="21"/>
      <c r="AB537" s="21" t="s">
        <v>227</v>
      </c>
      <c r="AC537" s="21" t="s">
        <v>70</v>
      </c>
      <c r="AD537" s="21" t="s">
        <v>78</v>
      </c>
      <c r="AE537" s="41">
        <v>1</v>
      </c>
      <c r="AF537" s="21" t="s">
        <v>548</v>
      </c>
    </row>
    <row r="538" spans="2:32">
      <c r="B538" s="19"/>
      <c r="Z538" s="21"/>
      <c r="AA538" s="21"/>
      <c r="AB538" s="21" t="s">
        <v>228</v>
      </c>
      <c r="AC538" s="21" t="s">
        <v>70</v>
      </c>
      <c r="AD538" s="21" t="s">
        <v>78</v>
      </c>
      <c r="AE538" s="41">
        <v>1</v>
      </c>
      <c r="AF538" s="21" t="s">
        <v>548</v>
      </c>
    </row>
    <row r="539" spans="2:32">
      <c r="B539" s="19"/>
      <c r="Z539" s="21"/>
      <c r="AA539" s="21"/>
      <c r="AB539" s="21" t="s">
        <v>557</v>
      </c>
      <c r="AC539" s="21" t="s">
        <v>70</v>
      </c>
      <c r="AD539" s="21" t="s">
        <v>78</v>
      </c>
      <c r="AE539" s="41">
        <v>1</v>
      </c>
      <c r="AF539" s="21" t="s">
        <v>548</v>
      </c>
    </row>
    <row r="540" spans="2:32">
      <c r="B540" s="19"/>
      <c r="Z540" s="21"/>
      <c r="AA540" s="21"/>
      <c r="AB540" s="21" t="s">
        <v>558</v>
      </c>
      <c r="AC540" s="21" t="s">
        <v>70</v>
      </c>
      <c r="AD540" s="21" t="s">
        <v>78</v>
      </c>
      <c r="AE540" s="41">
        <v>1</v>
      </c>
      <c r="AF540" s="21" t="s">
        <v>548</v>
      </c>
    </row>
    <row r="541" spans="2:32">
      <c r="B541" s="19"/>
      <c r="Z541" s="21"/>
      <c r="AA541" s="21"/>
      <c r="AB541" s="21" t="s">
        <v>37</v>
      </c>
      <c r="AC541" s="21" t="s">
        <v>70</v>
      </c>
      <c r="AD541" s="21" t="s">
        <v>78</v>
      </c>
      <c r="AE541" s="41">
        <v>0.8</v>
      </c>
      <c r="AF541" s="21" t="s">
        <v>548</v>
      </c>
    </row>
    <row r="542" spans="2:32">
      <c r="B542" s="19"/>
      <c r="Z542" s="21"/>
      <c r="AA542" s="21"/>
      <c r="AB542" s="21" t="s">
        <v>244</v>
      </c>
      <c r="AC542" s="21" t="s">
        <v>70</v>
      </c>
      <c r="AD542" s="21" t="s">
        <v>78</v>
      </c>
      <c r="AE542" s="41">
        <v>1</v>
      </c>
      <c r="AF542" s="21" t="s">
        <v>548</v>
      </c>
    </row>
    <row r="543" spans="2:32">
      <c r="B543" s="19"/>
      <c r="Z543" s="21"/>
      <c r="AA543" s="21"/>
      <c r="AB543" s="21" t="s">
        <v>247</v>
      </c>
      <c r="AC543" s="21" t="s">
        <v>70</v>
      </c>
      <c r="AD543" s="21" t="s">
        <v>78</v>
      </c>
      <c r="AE543" s="41">
        <v>0.9</v>
      </c>
      <c r="AF543" s="21" t="s">
        <v>548</v>
      </c>
    </row>
    <row r="544" spans="2:32">
      <c r="B544" s="19"/>
      <c r="Z544" s="21"/>
      <c r="AA544" s="21"/>
      <c r="AB544" s="21" t="s">
        <v>248</v>
      </c>
      <c r="AC544" s="21" t="s">
        <v>70</v>
      </c>
      <c r="AD544" s="21" t="s">
        <v>78</v>
      </c>
      <c r="AE544" s="41">
        <v>1</v>
      </c>
      <c r="AF544" s="21" t="s">
        <v>548</v>
      </c>
    </row>
    <row r="545" spans="2:32">
      <c r="B545" s="19"/>
      <c r="Z545" s="21"/>
      <c r="AA545" s="21"/>
      <c r="AB545" s="21" t="s">
        <v>256</v>
      </c>
      <c r="AC545" s="21" t="s">
        <v>70</v>
      </c>
      <c r="AD545" s="21" t="s">
        <v>78</v>
      </c>
      <c r="AE545" s="41">
        <v>1</v>
      </c>
      <c r="AF545" s="21" t="s">
        <v>548</v>
      </c>
    </row>
    <row r="546" spans="2:32">
      <c r="B546" s="19"/>
      <c r="Z546" s="21"/>
      <c r="AA546" s="21"/>
      <c r="AB546" s="21" t="s">
        <v>258</v>
      </c>
      <c r="AC546" s="21" t="s">
        <v>70</v>
      </c>
      <c r="AD546" s="21" t="s">
        <v>78</v>
      </c>
      <c r="AE546" s="41">
        <v>1</v>
      </c>
      <c r="AF546" s="21" t="s">
        <v>548</v>
      </c>
    </row>
    <row r="547" spans="2:32">
      <c r="B547" s="19"/>
      <c r="Z547" s="21"/>
      <c r="AA547" s="21"/>
      <c r="AB547" s="21" t="s">
        <v>264</v>
      </c>
      <c r="AC547" s="21" t="s">
        <v>70</v>
      </c>
      <c r="AD547" s="21" t="s">
        <v>78</v>
      </c>
      <c r="AE547" s="41">
        <v>1</v>
      </c>
      <c r="AF547" s="21" t="s">
        <v>548</v>
      </c>
    </row>
    <row r="548" spans="2:32">
      <c r="B548" s="19"/>
      <c r="Z548" s="21"/>
      <c r="AA548" s="21"/>
      <c r="AB548" s="21" t="s">
        <v>559</v>
      </c>
      <c r="AC548" s="21" t="s">
        <v>70</v>
      </c>
      <c r="AD548" s="21" t="s">
        <v>78</v>
      </c>
      <c r="AE548" s="41">
        <v>1</v>
      </c>
      <c r="AF548" s="21" t="s">
        <v>548</v>
      </c>
    </row>
    <row r="549" spans="2:32">
      <c r="B549" s="19"/>
      <c r="Z549" s="21"/>
      <c r="AA549" s="21"/>
      <c r="AB549" s="21" t="s">
        <v>274</v>
      </c>
      <c r="AC549" s="21" t="s">
        <v>70</v>
      </c>
      <c r="AD549" s="21" t="s">
        <v>78</v>
      </c>
      <c r="AE549" s="41">
        <v>1</v>
      </c>
      <c r="AF549" s="21" t="s">
        <v>548</v>
      </c>
    </row>
    <row r="550" spans="2:32">
      <c r="B550" s="19"/>
      <c r="Z550" s="21"/>
      <c r="AA550" s="21"/>
      <c r="AB550" s="21" t="s">
        <v>275</v>
      </c>
      <c r="AC550" s="21" t="s">
        <v>70</v>
      </c>
      <c r="AD550" s="21" t="s">
        <v>78</v>
      </c>
      <c r="AE550" s="41">
        <v>1</v>
      </c>
      <c r="AF550" s="21" t="s">
        <v>548</v>
      </c>
    </row>
    <row r="551" spans="2:32">
      <c r="B551" s="19"/>
      <c r="Z551" s="21"/>
      <c r="AA551" s="21"/>
      <c r="AB551" s="21" t="s">
        <v>281</v>
      </c>
      <c r="AC551" s="21" t="s">
        <v>70</v>
      </c>
      <c r="AD551" s="21" t="s">
        <v>78</v>
      </c>
      <c r="AE551" s="41">
        <v>1</v>
      </c>
      <c r="AF551" s="21" t="s">
        <v>548</v>
      </c>
    </row>
    <row r="552" spans="2:32">
      <c r="B552" s="19"/>
      <c r="Z552" s="21"/>
      <c r="AA552" s="21"/>
      <c r="AB552" s="21" t="s">
        <v>283</v>
      </c>
      <c r="AC552" s="21" t="s">
        <v>70</v>
      </c>
      <c r="AD552" s="21" t="s">
        <v>78</v>
      </c>
      <c r="AE552" s="41">
        <v>1</v>
      </c>
      <c r="AF552" s="21" t="s">
        <v>548</v>
      </c>
    </row>
    <row r="553" spans="2:32">
      <c r="B553" s="19"/>
      <c r="Z553" s="21"/>
      <c r="AA553" s="21"/>
      <c r="AB553" s="21" t="s">
        <v>287</v>
      </c>
      <c r="AC553" s="21" t="s">
        <v>70</v>
      </c>
      <c r="AD553" s="21" t="s">
        <v>78</v>
      </c>
      <c r="AE553" s="41">
        <v>1</v>
      </c>
      <c r="AF553" s="21" t="s">
        <v>548</v>
      </c>
    </row>
    <row r="554" spans="2:32">
      <c r="B554" s="19"/>
      <c r="Z554" s="21"/>
      <c r="AA554" s="21"/>
      <c r="AB554" s="21" t="s">
        <v>294</v>
      </c>
      <c r="AC554" s="21" t="s">
        <v>70</v>
      </c>
      <c r="AD554" s="21" t="s">
        <v>78</v>
      </c>
      <c r="AE554" s="41">
        <v>1</v>
      </c>
      <c r="AF554" s="21" t="s">
        <v>548</v>
      </c>
    </row>
    <row r="555" spans="2:32">
      <c r="B555" s="19"/>
      <c r="Z555" s="21"/>
      <c r="AA555" s="21"/>
      <c r="AB555" s="21" t="s">
        <v>297</v>
      </c>
      <c r="AC555" s="21" t="s">
        <v>70</v>
      </c>
      <c r="AD555" s="21" t="s">
        <v>78</v>
      </c>
      <c r="AE555" s="41">
        <v>1</v>
      </c>
      <c r="AF555" s="21" t="s">
        <v>548</v>
      </c>
    </row>
    <row r="556" spans="2:32">
      <c r="B556" s="19"/>
      <c r="Z556" s="21"/>
      <c r="AA556" s="21"/>
      <c r="AB556" s="21" t="s">
        <v>298</v>
      </c>
      <c r="AC556" s="21" t="s">
        <v>70</v>
      </c>
      <c r="AD556" s="21" t="s">
        <v>78</v>
      </c>
      <c r="AE556" s="41">
        <v>1</v>
      </c>
      <c r="AF556" s="21" t="s">
        <v>548</v>
      </c>
    </row>
    <row r="557" spans="2:32">
      <c r="B557" s="19"/>
      <c r="Z557" s="21"/>
      <c r="AA557" s="21"/>
      <c r="AB557" s="21" t="s">
        <v>307</v>
      </c>
      <c r="AC557" s="21" t="s">
        <v>70</v>
      </c>
      <c r="AD557" s="21" t="s">
        <v>78</v>
      </c>
      <c r="AE557" s="41">
        <v>1</v>
      </c>
      <c r="AF557" s="21" t="s">
        <v>548</v>
      </c>
    </row>
    <row r="558" spans="2:32">
      <c r="B558" s="19"/>
      <c r="Z558" s="21"/>
      <c r="AA558" s="21"/>
      <c r="AB558" s="21" t="s">
        <v>308</v>
      </c>
      <c r="AC558" s="21" t="s">
        <v>70</v>
      </c>
      <c r="AD558" s="21" t="s">
        <v>78</v>
      </c>
      <c r="AE558" s="41">
        <v>1</v>
      </c>
      <c r="AF558" s="21" t="s">
        <v>548</v>
      </c>
    </row>
    <row r="559" spans="2:32">
      <c r="B559" s="19"/>
      <c r="Z559" s="21"/>
      <c r="AA559" s="21"/>
      <c r="AB559" s="21" t="s">
        <v>309</v>
      </c>
      <c r="AC559" s="21" t="s">
        <v>70</v>
      </c>
      <c r="AD559" s="21" t="s">
        <v>78</v>
      </c>
      <c r="AE559" s="41">
        <v>1</v>
      </c>
      <c r="AF559" s="21" t="s">
        <v>548</v>
      </c>
    </row>
    <row r="560" spans="2:32">
      <c r="B560" s="19"/>
      <c r="Z560" s="21"/>
      <c r="AA560" s="21"/>
      <c r="AB560" s="21" t="s">
        <v>310</v>
      </c>
      <c r="AC560" s="21" t="s">
        <v>70</v>
      </c>
      <c r="AD560" s="21" t="s">
        <v>78</v>
      </c>
      <c r="AE560" s="41">
        <v>1</v>
      </c>
      <c r="AF560" s="21" t="s">
        <v>548</v>
      </c>
    </row>
    <row r="561" spans="2:32">
      <c r="B561" s="19"/>
      <c r="Z561" s="21"/>
      <c r="AA561" s="21"/>
      <c r="AB561" s="21" t="s">
        <v>560</v>
      </c>
      <c r="AC561" s="21" t="s">
        <v>70</v>
      </c>
      <c r="AD561" s="21" t="s">
        <v>78</v>
      </c>
      <c r="AE561" s="41">
        <v>1</v>
      </c>
      <c r="AF561" s="21" t="s">
        <v>548</v>
      </c>
    </row>
    <row r="562" spans="2:32">
      <c r="B562" s="19"/>
      <c r="Z562" s="21"/>
      <c r="AA562" s="21"/>
      <c r="AB562" s="21" t="s">
        <v>318</v>
      </c>
      <c r="AC562" s="21" t="s">
        <v>70</v>
      </c>
      <c r="AD562" s="21" t="s">
        <v>78</v>
      </c>
      <c r="AE562" s="41">
        <v>1</v>
      </c>
      <c r="AF562" s="21" t="s">
        <v>548</v>
      </c>
    </row>
    <row r="563" spans="2:32">
      <c r="B563" s="19"/>
      <c r="Z563" s="21"/>
      <c r="AA563" s="21"/>
      <c r="AB563" s="21" t="s">
        <v>320</v>
      </c>
      <c r="AC563" s="21" t="s">
        <v>70</v>
      </c>
      <c r="AD563" s="21" t="s">
        <v>78</v>
      </c>
      <c r="AE563" s="41">
        <v>1</v>
      </c>
      <c r="AF563" s="21" t="s">
        <v>548</v>
      </c>
    </row>
    <row r="564" spans="2:32">
      <c r="B564" s="19"/>
      <c r="Z564" s="21"/>
      <c r="AA564" s="21"/>
      <c r="AB564" s="21" t="s">
        <v>327</v>
      </c>
      <c r="AC564" s="21" t="s">
        <v>70</v>
      </c>
      <c r="AD564" s="21" t="s">
        <v>78</v>
      </c>
      <c r="AE564" s="41">
        <v>1</v>
      </c>
      <c r="AF564" s="21" t="s">
        <v>548</v>
      </c>
    </row>
    <row r="565" spans="2:32">
      <c r="B565" s="19"/>
      <c r="Z565" s="21"/>
      <c r="AA565" s="21"/>
      <c r="AB565" s="21" t="s">
        <v>561</v>
      </c>
      <c r="AC565" s="21" t="s">
        <v>70</v>
      </c>
      <c r="AD565" s="21" t="s">
        <v>78</v>
      </c>
      <c r="AE565" s="41">
        <v>1</v>
      </c>
      <c r="AF565" s="21" t="s">
        <v>548</v>
      </c>
    </row>
    <row r="566" spans="2:32">
      <c r="B566" s="19"/>
      <c r="Z566" s="21"/>
      <c r="AA566" s="21"/>
      <c r="AB566" s="21" t="s">
        <v>334</v>
      </c>
      <c r="AC566" s="21" t="s">
        <v>70</v>
      </c>
      <c r="AD566" s="21" t="s">
        <v>78</v>
      </c>
      <c r="AE566" s="41">
        <v>1</v>
      </c>
      <c r="AF566" s="21" t="s">
        <v>548</v>
      </c>
    </row>
    <row r="567" spans="2:32">
      <c r="B567" s="19"/>
      <c r="Z567" s="21"/>
      <c r="AA567" s="21"/>
      <c r="AB567" s="21" t="s">
        <v>335</v>
      </c>
      <c r="AC567" s="21" t="s">
        <v>70</v>
      </c>
      <c r="AD567" s="21" t="s">
        <v>78</v>
      </c>
      <c r="AE567" s="41">
        <v>1</v>
      </c>
      <c r="AF567" s="21" t="s">
        <v>548</v>
      </c>
    </row>
    <row r="568" spans="2:32">
      <c r="B568" s="19"/>
      <c r="Z568" s="21"/>
      <c r="AA568" s="21"/>
      <c r="AB568" s="21" t="s">
        <v>562</v>
      </c>
      <c r="AC568" s="21" t="s">
        <v>70</v>
      </c>
      <c r="AD568" s="21" t="s">
        <v>78</v>
      </c>
      <c r="AE568" s="41">
        <v>1</v>
      </c>
      <c r="AF568" s="21" t="s">
        <v>548</v>
      </c>
    </row>
    <row r="569" spans="2:32">
      <c r="B569" s="19"/>
      <c r="Z569" s="21"/>
      <c r="AA569" s="21"/>
      <c r="AB569" s="21" t="s">
        <v>343</v>
      </c>
      <c r="AC569" s="21" t="s">
        <v>70</v>
      </c>
      <c r="AD569" s="21" t="s">
        <v>78</v>
      </c>
      <c r="AE569" s="41">
        <v>1</v>
      </c>
      <c r="AF569" s="21" t="s">
        <v>548</v>
      </c>
    </row>
    <row r="570" spans="2:32">
      <c r="B570" s="19"/>
      <c r="Z570" s="21"/>
      <c r="AA570" s="21"/>
      <c r="AB570" s="21" t="s">
        <v>346</v>
      </c>
      <c r="AC570" s="21" t="s">
        <v>70</v>
      </c>
      <c r="AD570" s="21" t="s">
        <v>78</v>
      </c>
      <c r="AE570" s="41">
        <v>1</v>
      </c>
      <c r="AF570" s="21" t="s">
        <v>548</v>
      </c>
    </row>
    <row r="571" spans="2:32">
      <c r="B571" s="19"/>
      <c r="Z571" s="21"/>
      <c r="AA571" s="21"/>
      <c r="AB571" s="21" t="s">
        <v>347</v>
      </c>
      <c r="AC571" s="21" t="s">
        <v>70</v>
      </c>
      <c r="AD571" s="21" t="s">
        <v>78</v>
      </c>
      <c r="AE571" s="41">
        <v>1</v>
      </c>
      <c r="AF571" s="21" t="s">
        <v>548</v>
      </c>
    </row>
    <row r="572" spans="2:32">
      <c r="B572" s="19"/>
      <c r="Z572" s="21"/>
      <c r="AA572" s="21"/>
      <c r="AB572" s="21" t="s">
        <v>348</v>
      </c>
      <c r="AC572" s="21" t="s">
        <v>70</v>
      </c>
      <c r="AD572" s="21" t="s">
        <v>78</v>
      </c>
      <c r="AE572" s="41">
        <v>1</v>
      </c>
      <c r="AF572" s="21" t="s">
        <v>548</v>
      </c>
    </row>
    <row r="573" spans="2:32">
      <c r="B573" s="19"/>
      <c r="Z573" s="21"/>
      <c r="AA573" s="21"/>
      <c r="AB573" s="21" t="s">
        <v>349</v>
      </c>
      <c r="AC573" s="21" t="s">
        <v>70</v>
      </c>
      <c r="AD573" s="21" t="s">
        <v>78</v>
      </c>
      <c r="AE573" s="41">
        <v>1</v>
      </c>
      <c r="AF573" s="21" t="s">
        <v>548</v>
      </c>
    </row>
    <row r="574" spans="2:32">
      <c r="B574" s="19"/>
      <c r="Z574" s="21"/>
      <c r="AA574" s="21"/>
      <c r="AB574" s="21" t="s">
        <v>350</v>
      </c>
      <c r="AC574" s="21" t="s">
        <v>70</v>
      </c>
      <c r="AD574" s="21" t="s">
        <v>78</v>
      </c>
      <c r="AE574" s="41">
        <v>1</v>
      </c>
      <c r="AF574" s="21" t="s">
        <v>548</v>
      </c>
    </row>
    <row r="575" spans="2:32">
      <c r="B575" s="19"/>
      <c r="Z575" s="21"/>
      <c r="AA575" s="21"/>
      <c r="AB575" s="21" t="s">
        <v>563</v>
      </c>
      <c r="AC575" s="21" t="s">
        <v>70</v>
      </c>
      <c r="AD575" s="21" t="s">
        <v>78</v>
      </c>
      <c r="AE575" s="41">
        <v>1</v>
      </c>
      <c r="AF575" s="21" t="s">
        <v>548</v>
      </c>
    </row>
    <row r="576" spans="2:32">
      <c r="B576" s="19"/>
      <c r="Z576" s="21"/>
      <c r="AA576" s="21"/>
      <c r="AB576" s="21" t="s">
        <v>353</v>
      </c>
      <c r="AC576" s="21" t="s">
        <v>70</v>
      </c>
      <c r="AD576" s="21" t="s">
        <v>78</v>
      </c>
      <c r="AE576" s="41">
        <v>1</v>
      </c>
      <c r="AF576" s="21" t="s">
        <v>548</v>
      </c>
    </row>
    <row r="577" spans="2:32">
      <c r="B577" s="19"/>
      <c r="Z577" s="21"/>
      <c r="AA577" s="21"/>
      <c r="AB577" s="21" t="s">
        <v>354</v>
      </c>
      <c r="AC577" s="21" t="s">
        <v>70</v>
      </c>
      <c r="AD577" s="21" t="s">
        <v>78</v>
      </c>
      <c r="AE577" s="41">
        <v>1</v>
      </c>
      <c r="AF577" s="21" t="s">
        <v>548</v>
      </c>
    </row>
    <row r="578" spans="2:32">
      <c r="B578" s="19"/>
      <c r="Z578" s="21"/>
      <c r="AA578" s="21"/>
      <c r="AB578" s="21" t="s">
        <v>355</v>
      </c>
      <c r="AC578" s="21" t="s">
        <v>70</v>
      </c>
      <c r="AD578" s="21" t="s">
        <v>78</v>
      </c>
      <c r="AE578" s="41">
        <v>1</v>
      </c>
      <c r="AF578" s="21" t="s">
        <v>548</v>
      </c>
    </row>
    <row r="579" spans="2:32">
      <c r="B579" s="19"/>
      <c r="Z579" s="21"/>
      <c r="AA579" s="21"/>
      <c r="AB579" s="21" t="s">
        <v>498</v>
      </c>
      <c r="AC579" s="21" t="s">
        <v>70</v>
      </c>
      <c r="AD579" s="21" t="s">
        <v>78</v>
      </c>
      <c r="AE579" s="41">
        <v>1</v>
      </c>
      <c r="AF579" s="21" t="s">
        <v>548</v>
      </c>
    </row>
    <row r="580" spans="2:32">
      <c r="B580" s="19"/>
      <c r="Z580" s="21"/>
      <c r="AA580" s="21"/>
      <c r="AB580" s="21" t="s">
        <v>357</v>
      </c>
      <c r="AC580" s="21" t="s">
        <v>70</v>
      </c>
      <c r="AD580" s="21" t="s">
        <v>78</v>
      </c>
      <c r="AE580" s="41">
        <v>1</v>
      </c>
      <c r="AF580" s="21" t="s">
        <v>548</v>
      </c>
    </row>
    <row r="581" spans="2:32">
      <c r="B581" s="19"/>
      <c r="Z581" s="21"/>
      <c r="AA581" s="21"/>
      <c r="AB581" s="21" t="s">
        <v>362</v>
      </c>
      <c r="AC581" s="21" t="s">
        <v>70</v>
      </c>
      <c r="AD581" s="21" t="s">
        <v>78</v>
      </c>
      <c r="AE581" s="41">
        <v>1</v>
      </c>
      <c r="AF581" s="21" t="s">
        <v>548</v>
      </c>
    </row>
    <row r="582" spans="2:32">
      <c r="B582" s="19"/>
      <c r="Z582" s="21"/>
      <c r="AA582" s="21"/>
      <c r="AB582" s="21" t="s">
        <v>365</v>
      </c>
      <c r="AC582" s="21" t="s">
        <v>70</v>
      </c>
      <c r="AD582" s="21" t="s">
        <v>78</v>
      </c>
      <c r="AE582" s="41">
        <v>1</v>
      </c>
      <c r="AF582" s="21" t="s">
        <v>548</v>
      </c>
    </row>
    <row r="583" spans="2:32">
      <c r="B583" s="19"/>
      <c r="Z583" s="21"/>
      <c r="AA583" s="21"/>
      <c r="AB583" s="21" t="s">
        <v>366</v>
      </c>
      <c r="AC583" s="21" t="s">
        <v>70</v>
      </c>
      <c r="AD583" s="21" t="s">
        <v>78</v>
      </c>
      <c r="AE583" s="41">
        <v>1</v>
      </c>
      <c r="AF583" s="21" t="s">
        <v>548</v>
      </c>
    </row>
    <row r="584" spans="2:32">
      <c r="B584" s="19"/>
      <c r="Z584" s="21"/>
      <c r="AA584" s="21"/>
      <c r="AB584" s="21" t="s">
        <v>368</v>
      </c>
      <c r="AC584" s="21" t="s">
        <v>70</v>
      </c>
      <c r="AD584" s="21" t="s">
        <v>78</v>
      </c>
      <c r="AE584" s="41">
        <v>1</v>
      </c>
      <c r="AF584" s="21" t="s">
        <v>548</v>
      </c>
    </row>
    <row r="585" spans="2:32">
      <c r="B585" s="19"/>
      <c r="Z585" s="21"/>
      <c r="AA585" s="21"/>
      <c r="AB585" s="21" t="s">
        <v>371</v>
      </c>
      <c r="AC585" s="21" t="s">
        <v>70</v>
      </c>
      <c r="AD585" s="21" t="s">
        <v>78</v>
      </c>
      <c r="AE585" s="41">
        <v>1</v>
      </c>
      <c r="AF585" s="21" t="s">
        <v>548</v>
      </c>
    </row>
    <row r="586" spans="2:32">
      <c r="B586" s="19"/>
      <c r="Z586" s="21"/>
      <c r="AA586" s="21"/>
      <c r="AB586" s="21" t="s">
        <v>377</v>
      </c>
      <c r="AC586" s="21" t="s">
        <v>70</v>
      </c>
      <c r="AD586" s="21" t="s">
        <v>78</v>
      </c>
      <c r="AE586" s="41">
        <v>1</v>
      </c>
      <c r="AF586" s="21" t="s">
        <v>548</v>
      </c>
    </row>
    <row r="587" spans="2:32">
      <c r="B587" s="19"/>
      <c r="Z587" s="21"/>
      <c r="AA587" s="21"/>
      <c r="AB587" s="21" t="s">
        <v>379</v>
      </c>
      <c r="AC587" s="21" t="s">
        <v>70</v>
      </c>
      <c r="AD587" s="21" t="s">
        <v>78</v>
      </c>
      <c r="AE587" s="41">
        <v>1</v>
      </c>
      <c r="AF587" s="21" t="s">
        <v>548</v>
      </c>
    </row>
    <row r="588" spans="2:32">
      <c r="B588" s="19"/>
      <c r="Z588" s="21"/>
      <c r="AA588" s="21"/>
      <c r="AB588" s="21" t="s">
        <v>381</v>
      </c>
      <c r="AC588" s="21" t="s">
        <v>70</v>
      </c>
      <c r="AD588" s="21" t="s">
        <v>78</v>
      </c>
      <c r="AE588" s="41">
        <v>1</v>
      </c>
      <c r="AF588" s="21" t="s">
        <v>548</v>
      </c>
    </row>
    <row r="589" spans="2:32">
      <c r="B589" s="19"/>
      <c r="Z589" s="21"/>
      <c r="AA589" s="21"/>
      <c r="AB589" s="21" t="s">
        <v>382</v>
      </c>
      <c r="AC589" s="21" t="s">
        <v>70</v>
      </c>
      <c r="AD589" s="21" t="s">
        <v>78</v>
      </c>
      <c r="AE589" s="41">
        <v>1</v>
      </c>
      <c r="AF589" s="21" t="s">
        <v>548</v>
      </c>
    </row>
    <row r="590" spans="2:32">
      <c r="B590" s="19"/>
      <c r="Z590" s="21"/>
      <c r="AA590" s="21"/>
      <c r="AB590" s="21" t="s">
        <v>383</v>
      </c>
      <c r="AC590" s="21" t="s">
        <v>70</v>
      </c>
      <c r="AD590" s="21" t="s">
        <v>78</v>
      </c>
      <c r="AE590" s="41">
        <v>1</v>
      </c>
      <c r="AF590" s="21" t="s">
        <v>548</v>
      </c>
    </row>
    <row r="591" spans="2:32">
      <c r="B591" s="19"/>
      <c r="Z591" s="21"/>
      <c r="AA591" s="21"/>
      <c r="AB591" s="21" t="s">
        <v>385</v>
      </c>
      <c r="AC591" s="21" t="s">
        <v>70</v>
      </c>
      <c r="AD591" s="21" t="s">
        <v>78</v>
      </c>
      <c r="AE591" s="41">
        <v>1</v>
      </c>
      <c r="AF591" s="21" t="s">
        <v>548</v>
      </c>
    </row>
    <row r="592" spans="2:32">
      <c r="B592" s="19"/>
      <c r="Z592" s="21"/>
      <c r="AA592" s="21"/>
      <c r="AB592" s="21" t="s">
        <v>386</v>
      </c>
      <c r="AC592" s="21" t="s">
        <v>70</v>
      </c>
      <c r="AD592" s="21" t="s">
        <v>78</v>
      </c>
      <c r="AE592" s="41">
        <v>1</v>
      </c>
      <c r="AF592" s="21" t="s">
        <v>548</v>
      </c>
    </row>
    <row r="593" spans="2:32">
      <c r="B593" s="19"/>
      <c r="Z593" s="21"/>
      <c r="AA593" s="21"/>
      <c r="AB593" s="21" t="s">
        <v>387</v>
      </c>
      <c r="AC593" s="21" t="s">
        <v>70</v>
      </c>
      <c r="AD593" s="21" t="s">
        <v>78</v>
      </c>
      <c r="AE593" s="41">
        <v>1</v>
      </c>
      <c r="AF593" s="21" t="s">
        <v>548</v>
      </c>
    </row>
    <row r="594" spans="2:32">
      <c r="B594" s="19"/>
      <c r="Z594" s="21"/>
      <c r="AA594" s="21"/>
      <c r="AB594" s="21" t="s">
        <v>388</v>
      </c>
      <c r="AC594" s="21" t="s">
        <v>70</v>
      </c>
      <c r="AD594" s="21" t="s">
        <v>78</v>
      </c>
      <c r="AE594" s="41">
        <v>1</v>
      </c>
      <c r="AF594" s="21" t="s">
        <v>548</v>
      </c>
    </row>
    <row r="595" spans="2:32">
      <c r="B595" s="19"/>
      <c r="Z595" s="21"/>
      <c r="AA595" s="21"/>
      <c r="AB595" s="21" t="s">
        <v>389</v>
      </c>
      <c r="AC595" s="21" t="s">
        <v>70</v>
      </c>
      <c r="AD595" s="21" t="s">
        <v>78</v>
      </c>
      <c r="AE595" s="41">
        <v>1</v>
      </c>
      <c r="AF595" s="21" t="s">
        <v>548</v>
      </c>
    </row>
    <row r="596" spans="2:32">
      <c r="B596" s="19"/>
      <c r="Z596" s="21"/>
      <c r="AA596" s="21"/>
      <c r="AB596" s="21" t="s">
        <v>390</v>
      </c>
      <c r="AC596" s="21" t="s">
        <v>70</v>
      </c>
      <c r="AD596" s="21" t="s">
        <v>78</v>
      </c>
      <c r="AE596" s="41">
        <v>1</v>
      </c>
      <c r="AF596" s="21" t="s">
        <v>548</v>
      </c>
    </row>
    <row r="597" spans="2:32">
      <c r="B597" s="19"/>
      <c r="Z597" s="21"/>
      <c r="AA597" s="21"/>
      <c r="AB597" s="21" t="s">
        <v>392</v>
      </c>
      <c r="AC597" s="21" t="s">
        <v>70</v>
      </c>
      <c r="AD597" s="21" t="s">
        <v>78</v>
      </c>
      <c r="AE597" s="41">
        <v>1</v>
      </c>
      <c r="AF597" s="21" t="s">
        <v>548</v>
      </c>
    </row>
    <row r="598" spans="2:32">
      <c r="B598" s="19"/>
      <c r="Z598" s="21"/>
      <c r="AA598" s="21"/>
      <c r="AB598" s="21" t="s">
        <v>393</v>
      </c>
      <c r="AC598" s="21" t="s">
        <v>70</v>
      </c>
      <c r="AD598" s="21" t="s">
        <v>78</v>
      </c>
      <c r="AE598" s="41">
        <v>1</v>
      </c>
      <c r="AF598" s="21" t="s">
        <v>548</v>
      </c>
    </row>
    <row r="599" spans="2:32">
      <c r="B599" s="19"/>
      <c r="Z599" s="21"/>
      <c r="AA599" s="21"/>
      <c r="AB599" s="21" t="s">
        <v>394</v>
      </c>
      <c r="AC599" s="21" t="s">
        <v>70</v>
      </c>
      <c r="AD599" s="21" t="s">
        <v>78</v>
      </c>
      <c r="AE599" s="41">
        <v>1</v>
      </c>
      <c r="AF599" s="21" t="s">
        <v>548</v>
      </c>
    </row>
    <row r="600" spans="2:32">
      <c r="B600" s="19"/>
      <c r="Z600" s="21"/>
      <c r="AA600" s="21"/>
      <c r="AB600" s="21" t="s">
        <v>395</v>
      </c>
      <c r="AC600" s="21" t="s">
        <v>70</v>
      </c>
      <c r="AD600" s="21" t="s">
        <v>78</v>
      </c>
      <c r="AE600" s="41">
        <v>1</v>
      </c>
      <c r="AF600" s="21" t="s">
        <v>548</v>
      </c>
    </row>
    <row r="601" spans="2:32">
      <c r="B601" s="19"/>
      <c r="Z601" s="21"/>
      <c r="AA601" s="21"/>
      <c r="AB601" s="21" t="s">
        <v>396</v>
      </c>
      <c r="AC601" s="21" t="s">
        <v>70</v>
      </c>
      <c r="AD601" s="21" t="s">
        <v>78</v>
      </c>
      <c r="AE601" s="41">
        <v>1</v>
      </c>
      <c r="AF601" s="21" t="s">
        <v>548</v>
      </c>
    </row>
    <row r="602" spans="2:32">
      <c r="B602" s="19"/>
      <c r="Z602" s="21"/>
      <c r="AA602" s="21"/>
      <c r="AB602" s="21" t="s">
        <v>403</v>
      </c>
      <c r="AC602" s="21" t="s">
        <v>70</v>
      </c>
      <c r="AD602" s="21" t="s">
        <v>78</v>
      </c>
      <c r="AE602" s="41">
        <v>1</v>
      </c>
      <c r="AF602" s="21" t="s">
        <v>548</v>
      </c>
    </row>
    <row r="603" spans="2:32">
      <c r="B603" s="19"/>
      <c r="Z603" s="21"/>
      <c r="AA603" s="21"/>
      <c r="AB603" s="21" t="s">
        <v>404</v>
      </c>
      <c r="AC603" s="21" t="s">
        <v>70</v>
      </c>
      <c r="AD603" s="21" t="s">
        <v>78</v>
      </c>
      <c r="AE603" s="41">
        <v>1</v>
      </c>
      <c r="AF603" s="21" t="s">
        <v>548</v>
      </c>
    </row>
    <row r="604" spans="2:32">
      <c r="B604" s="19"/>
      <c r="Z604" s="21"/>
      <c r="AA604" s="21"/>
      <c r="AB604" s="21" t="s">
        <v>405</v>
      </c>
      <c r="AC604" s="21" t="s">
        <v>70</v>
      </c>
      <c r="AD604" s="21" t="s">
        <v>78</v>
      </c>
      <c r="AE604" s="41">
        <v>1</v>
      </c>
      <c r="AF604" s="21" t="s">
        <v>548</v>
      </c>
    </row>
    <row r="605" spans="2:32">
      <c r="B605" s="19"/>
      <c r="Z605" s="21"/>
      <c r="AA605" s="21"/>
      <c r="AB605" s="21" t="s">
        <v>406</v>
      </c>
      <c r="AC605" s="21" t="s">
        <v>70</v>
      </c>
      <c r="AD605" s="21" t="s">
        <v>78</v>
      </c>
      <c r="AE605" s="41">
        <v>1</v>
      </c>
      <c r="AF605" s="21" t="s">
        <v>548</v>
      </c>
    </row>
    <row r="606" spans="2:32">
      <c r="B606" s="19"/>
      <c r="Z606" s="21"/>
      <c r="AA606" s="21"/>
      <c r="AB606" s="21" t="s">
        <v>407</v>
      </c>
      <c r="AC606" s="21" t="s">
        <v>70</v>
      </c>
      <c r="AD606" s="21" t="s">
        <v>78</v>
      </c>
      <c r="AE606" s="41">
        <v>1</v>
      </c>
      <c r="AF606" s="21" t="s">
        <v>548</v>
      </c>
    </row>
    <row r="607" spans="2:32">
      <c r="B607" s="19"/>
      <c r="Z607" s="21"/>
      <c r="AA607" s="21"/>
      <c r="AB607" s="21" t="s">
        <v>413</v>
      </c>
      <c r="AC607" s="21" t="s">
        <v>70</v>
      </c>
      <c r="AD607" s="21" t="s">
        <v>78</v>
      </c>
      <c r="AE607" s="41">
        <v>1</v>
      </c>
      <c r="AF607" s="21" t="s">
        <v>548</v>
      </c>
    </row>
    <row r="608" spans="2:32">
      <c r="B608" s="19"/>
      <c r="Z608" s="21"/>
      <c r="AA608" s="21"/>
      <c r="AB608" s="21" t="s">
        <v>414</v>
      </c>
      <c r="AC608" s="21" t="s">
        <v>70</v>
      </c>
      <c r="AD608" s="21" t="s">
        <v>78</v>
      </c>
      <c r="AE608" s="41">
        <v>1</v>
      </c>
      <c r="AF608" s="21" t="s">
        <v>548</v>
      </c>
    </row>
    <row r="609" spans="2:32">
      <c r="B609" s="19"/>
      <c r="Z609" s="21"/>
      <c r="AA609" s="21"/>
      <c r="AB609" s="21" t="s">
        <v>435</v>
      </c>
      <c r="AC609" s="21" t="s">
        <v>70</v>
      </c>
      <c r="AD609" s="21" t="s">
        <v>78</v>
      </c>
      <c r="AE609" s="41">
        <v>1</v>
      </c>
      <c r="AF609" s="21" t="s">
        <v>548</v>
      </c>
    </row>
    <row r="610" spans="2:32">
      <c r="B610" s="19"/>
      <c r="Z610" s="21"/>
      <c r="AA610" s="21"/>
      <c r="AB610" s="21" t="s">
        <v>421</v>
      </c>
      <c r="AC610" s="21" t="s">
        <v>70</v>
      </c>
      <c r="AD610" s="21" t="s">
        <v>78</v>
      </c>
      <c r="AE610" s="41">
        <v>1</v>
      </c>
      <c r="AF610" s="21" t="s">
        <v>548</v>
      </c>
    </row>
    <row r="611" spans="2:32">
      <c r="B611" s="19"/>
      <c r="Z611" s="21"/>
      <c r="AA611" s="21"/>
      <c r="AB611" s="21" t="s">
        <v>423</v>
      </c>
      <c r="AC611" s="21" t="s">
        <v>70</v>
      </c>
      <c r="AD611" s="21" t="s">
        <v>78</v>
      </c>
      <c r="AE611" s="41">
        <v>1</v>
      </c>
      <c r="AF611" s="21" t="s">
        <v>548</v>
      </c>
    </row>
    <row r="612" spans="2:32">
      <c r="B612" s="19"/>
      <c r="Z612" s="21"/>
      <c r="AA612" s="21"/>
      <c r="AB612" s="21" t="s">
        <v>424</v>
      </c>
      <c r="AC612" s="21" t="s">
        <v>70</v>
      </c>
      <c r="AD612" s="21" t="s">
        <v>78</v>
      </c>
      <c r="AE612" s="41">
        <v>1</v>
      </c>
      <c r="AF612" s="21" t="s">
        <v>548</v>
      </c>
    </row>
    <row r="613" spans="2:32">
      <c r="B613" s="19"/>
      <c r="Z613" s="21"/>
      <c r="AA613" s="21"/>
      <c r="AB613" s="21" t="s">
        <v>425</v>
      </c>
      <c r="AC613" s="21" t="s">
        <v>70</v>
      </c>
      <c r="AD613" s="21" t="s">
        <v>78</v>
      </c>
      <c r="AE613" s="41">
        <v>1</v>
      </c>
      <c r="AF613" s="21" t="s">
        <v>548</v>
      </c>
    </row>
    <row r="614" spans="2:32">
      <c r="B614" s="19"/>
      <c r="Z614" s="21"/>
      <c r="AA614" s="21"/>
      <c r="AB614" s="21" t="s">
        <v>433</v>
      </c>
      <c r="AC614" s="21" t="s">
        <v>70</v>
      </c>
      <c r="AD614" s="21" t="s">
        <v>78</v>
      </c>
      <c r="AE614" s="41">
        <v>1</v>
      </c>
      <c r="AF614" s="21" t="s">
        <v>548</v>
      </c>
    </row>
    <row r="615" spans="2:32">
      <c r="B615" s="19"/>
      <c r="Z615" s="21"/>
      <c r="AA615" s="21"/>
      <c r="AB615" s="21" t="s">
        <v>436</v>
      </c>
      <c r="AC615" s="21" t="s">
        <v>70</v>
      </c>
      <c r="AD615" s="21" t="s">
        <v>78</v>
      </c>
      <c r="AE615" s="41">
        <v>1</v>
      </c>
      <c r="AF615" s="21" t="s">
        <v>548</v>
      </c>
    </row>
    <row r="616" spans="2:32">
      <c r="B616" s="19"/>
      <c r="Z616" s="21"/>
      <c r="AA616" s="21"/>
      <c r="AB616" s="21" t="s">
        <v>437</v>
      </c>
      <c r="AC616" s="21" t="s">
        <v>70</v>
      </c>
      <c r="AD616" s="21" t="s">
        <v>78</v>
      </c>
      <c r="AE616" s="41">
        <v>1</v>
      </c>
      <c r="AF616" s="21" t="s">
        <v>548</v>
      </c>
    </row>
    <row r="617" spans="2:32">
      <c r="B617" s="19"/>
      <c r="Z617" s="21"/>
      <c r="AA617" s="21"/>
      <c r="AB617" s="21" t="s">
        <v>438</v>
      </c>
      <c r="AC617" s="21" t="s">
        <v>70</v>
      </c>
      <c r="AD617" s="21" t="s">
        <v>78</v>
      </c>
      <c r="AE617" s="41">
        <v>1</v>
      </c>
      <c r="AF617" s="21" t="s">
        <v>548</v>
      </c>
    </row>
    <row r="618" spans="2:32">
      <c r="B618" s="19"/>
      <c r="Z618" s="21"/>
      <c r="AA618" s="21"/>
      <c r="AB618" s="21" t="s">
        <v>442</v>
      </c>
      <c r="AC618" s="21" t="s">
        <v>70</v>
      </c>
      <c r="AD618" s="21" t="s">
        <v>78</v>
      </c>
      <c r="AE618" s="41">
        <v>1</v>
      </c>
      <c r="AF618" s="21" t="s">
        <v>548</v>
      </c>
    </row>
    <row r="619" spans="2:32">
      <c r="B619" s="19"/>
      <c r="Z619" s="21"/>
      <c r="AA619" s="21"/>
      <c r="AB619" s="21" t="s">
        <v>443</v>
      </c>
      <c r="AC619" s="21" t="s">
        <v>70</v>
      </c>
      <c r="AD619" s="21" t="s">
        <v>78</v>
      </c>
      <c r="AE619" s="41">
        <v>1</v>
      </c>
      <c r="AF619" s="21" t="s">
        <v>548</v>
      </c>
    </row>
    <row r="620" spans="2:32">
      <c r="B620" s="19"/>
      <c r="Z620" s="21"/>
      <c r="AA620" s="21"/>
      <c r="AB620" s="21" t="s">
        <v>444</v>
      </c>
      <c r="AC620" s="21" t="s">
        <v>70</v>
      </c>
      <c r="AD620" s="21" t="s">
        <v>78</v>
      </c>
      <c r="AE620" s="41">
        <v>1</v>
      </c>
      <c r="AF620" s="21" t="s">
        <v>548</v>
      </c>
    </row>
    <row r="621" spans="2:32">
      <c r="B621" s="19"/>
      <c r="Z621" s="21"/>
      <c r="AA621" s="21"/>
      <c r="AB621" s="21" t="s">
        <v>564</v>
      </c>
      <c r="AC621" s="21" t="s">
        <v>70</v>
      </c>
      <c r="AD621" s="21" t="s">
        <v>78</v>
      </c>
      <c r="AE621" s="41">
        <v>1</v>
      </c>
      <c r="AF621" s="21" t="s">
        <v>548</v>
      </c>
    </row>
    <row r="622" spans="2:32">
      <c r="B622" s="19"/>
      <c r="Z622" s="21"/>
      <c r="AA622" s="21"/>
      <c r="AB622" s="21" t="s">
        <v>462</v>
      </c>
      <c r="AC622" s="21" t="s">
        <v>70</v>
      </c>
      <c r="AD622" s="21" t="s">
        <v>78</v>
      </c>
      <c r="AE622" s="41">
        <v>1</v>
      </c>
      <c r="AF622" s="21" t="s">
        <v>548</v>
      </c>
    </row>
    <row r="623" spans="2:32">
      <c r="B623" s="19"/>
      <c r="Z623" s="21"/>
      <c r="AA623" s="21"/>
      <c r="AB623" s="21" t="s">
        <v>463</v>
      </c>
      <c r="AC623" s="21" t="s">
        <v>70</v>
      </c>
      <c r="AD623" s="21" t="s">
        <v>78</v>
      </c>
      <c r="AE623" s="41">
        <v>1</v>
      </c>
      <c r="AF623" s="21" t="s">
        <v>548</v>
      </c>
    </row>
    <row r="624" spans="2:32">
      <c r="B624" s="19"/>
      <c r="Z624" s="21"/>
      <c r="AA624" s="21"/>
      <c r="AB624" s="21" t="s">
        <v>464</v>
      </c>
      <c r="AC624" s="21" t="s">
        <v>70</v>
      </c>
      <c r="AD624" s="21" t="s">
        <v>78</v>
      </c>
      <c r="AE624" s="41">
        <v>1</v>
      </c>
      <c r="AF624" s="21" t="s">
        <v>548</v>
      </c>
    </row>
    <row r="625" spans="2:32">
      <c r="B625" s="19"/>
      <c r="Z625" s="21"/>
      <c r="AA625" s="21"/>
      <c r="AB625" s="21" t="s">
        <v>465</v>
      </c>
      <c r="AC625" s="21" t="s">
        <v>70</v>
      </c>
      <c r="AD625" s="21" t="s">
        <v>78</v>
      </c>
      <c r="AE625" s="41">
        <v>1</v>
      </c>
      <c r="AF625" s="21" t="s">
        <v>548</v>
      </c>
    </row>
    <row r="626" spans="2:32">
      <c r="B626" s="19"/>
      <c r="Z626" s="21"/>
      <c r="AA626" s="21"/>
      <c r="AB626" s="21" t="s">
        <v>466</v>
      </c>
      <c r="AC626" s="21" t="s">
        <v>70</v>
      </c>
      <c r="AD626" s="21" t="s">
        <v>78</v>
      </c>
      <c r="AE626" s="41">
        <v>1</v>
      </c>
      <c r="AF626" s="21" t="s">
        <v>548</v>
      </c>
    </row>
    <row r="627" spans="2:32">
      <c r="B627" s="19"/>
      <c r="Z627" s="21"/>
      <c r="AA627" s="21"/>
      <c r="AB627" s="21" t="s">
        <v>467</v>
      </c>
      <c r="AC627" s="21" t="s">
        <v>70</v>
      </c>
      <c r="AD627" s="21" t="s">
        <v>78</v>
      </c>
      <c r="AE627" s="41">
        <v>1</v>
      </c>
      <c r="AF627" s="21" t="s">
        <v>548</v>
      </c>
    </row>
    <row r="628" spans="2:32">
      <c r="B628" s="19"/>
      <c r="Z628" s="21"/>
      <c r="AA628" s="21"/>
      <c r="AB628" s="21" t="s">
        <v>468</v>
      </c>
      <c r="AC628" s="21" t="s">
        <v>70</v>
      </c>
      <c r="AD628" s="21" t="s">
        <v>78</v>
      </c>
      <c r="AE628" s="41">
        <v>1</v>
      </c>
      <c r="AF628" s="21" t="s">
        <v>548</v>
      </c>
    </row>
    <row r="629" spans="2:32">
      <c r="B629" s="19"/>
      <c r="Z629" s="21"/>
      <c r="AA629" s="21"/>
      <c r="AB629" s="21" t="s">
        <v>482</v>
      </c>
      <c r="AC629" s="21" t="s">
        <v>70</v>
      </c>
      <c r="AD629" s="21" t="s">
        <v>78</v>
      </c>
      <c r="AE629" s="41">
        <v>1</v>
      </c>
      <c r="AF629" s="21" t="s">
        <v>548</v>
      </c>
    </row>
    <row r="630" spans="2:32">
      <c r="B630" s="19"/>
      <c r="Z630" s="21"/>
      <c r="AA630" s="21"/>
      <c r="AB630" s="21" t="s">
        <v>474</v>
      </c>
      <c r="AC630" s="21" t="s">
        <v>70</v>
      </c>
      <c r="AD630" s="21" t="s">
        <v>78</v>
      </c>
      <c r="AE630" s="41">
        <v>1</v>
      </c>
      <c r="AF630" s="21" t="s">
        <v>548</v>
      </c>
    </row>
    <row r="631" spans="2:32">
      <c r="B631" s="19"/>
      <c r="Z631" s="21"/>
      <c r="AA631" s="21"/>
      <c r="AB631" s="21" t="s">
        <v>489</v>
      </c>
      <c r="AC631" s="21" t="s">
        <v>70</v>
      </c>
      <c r="AD631" s="21" t="s">
        <v>78</v>
      </c>
      <c r="AE631" s="41">
        <v>1</v>
      </c>
      <c r="AF631" s="21" t="s">
        <v>548</v>
      </c>
    </row>
    <row r="632" spans="2:32">
      <c r="B632" s="19"/>
      <c r="Z632" s="21"/>
      <c r="AA632" s="21"/>
      <c r="AB632" s="21" t="s">
        <v>475</v>
      </c>
      <c r="AC632" s="21" t="s">
        <v>70</v>
      </c>
      <c r="AD632" s="21" t="s">
        <v>78</v>
      </c>
      <c r="AE632" s="41">
        <v>1</v>
      </c>
      <c r="AF632" s="21" t="s">
        <v>548</v>
      </c>
    </row>
    <row r="633" spans="2:32">
      <c r="B633" s="19"/>
      <c r="Z633" s="21"/>
      <c r="AA633" s="21"/>
      <c r="AB633" s="21" t="s">
        <v>476</v>
      </c>
      <c r="AC633" s="21" t="s">
        <v>70</v>
      </c>
      <c r="AD633" s="21" t="s">
        <v>78</v>
      </c>
      <c r="AE633" s="41">
        <v>1</v>
      </c>
      <c r="AF633" s="21" t="s">
        <v>548</v>
      </c>
    </row>
    <row r="634" spans="2:32">
      <c r="B634" s="19"/>
      <c r="Z634" s="21"/>
      <c r="AA634" s="21"/>
      <c r="AB634" s="21" t="s">
        <v>477</v>
      </c>
      <c r="AC634" s="21" t="s">
        <v>70</v>
      </c>
      <c r="AD634" s="21" t="s">
        <v>78</v>
      </c>
      <c r="AE634" s="41">
        <v>1</v>
      </c>
      <c r="AF634" s="21" t="s">
        <v>548</v>
      </c>
    </row>
    <row r="635" spans="2:32">
      <c r="B635" s="19"/>
      <c r="Z635" s="21"/>
      <c r="AA635" s="21"/>
      <c r="AB635" s="21" t="s">
        <v>479</v>
      </c>
      <c r="AC635" s="21" t="s">
        <v>70</v>
      </c>
      <c r="AD635" s="21" t="s">
        <v>78</v>
      </c>
      <c r="AE635" s="41">
        <v>1</v>
      </c>
      <c r="AF635" s="21" t="s">
        <v>548</v>
      </c>
    </row>
    <row r="636" spans="2:32">
      <c r="B636" s="19"/>
      <c r="Z636" s="21"/>
      <c r="AA636" s="21"/>
      <c r="AB636" s="21" t="s">
        <v>480</v>
      </c>
      <c r="AC636" s="21" t="s">
        <v>70</v>
      </c>
      <c r="AD636" s="21" t="s">
        <v>78</v>
      </c>
      <c r="AE636" s="41">
        <v>1</v>
      </c>
      <c r="AF636" s="21" t="s">
        <v>548</v>
      </c>
    </row>
    <row r="637" spans="2:32">
      <c r="B637" s="19"/>
      <c r="Z637" s="21"/>
      <c r="AA637" s="21"/>
      <c r="AB637" s="21" t="s">
        <v>481</v>
      </c>
      <c r="AC637" s="21" t="s">
        <v>70</v>
      </c>
      <c r="AD637" s="21" t="s">
        <v>78</v>
      </c>
      <c r="AE637" s="41">
        <v>1</v>
      </c>
      <c r="AF637" s="21" t="s">
        <v>548</v>
      </c>
    </row>
    <row r="638" spans="2:32">
      <c r="B638" s="19"/>
      <c r="Z638" s="21"/>
      <c r="AA638" s="21"/>
      <c r="AB638" s="21" t="s">
        <v>484</v>
      </c>
      <c r="AC638" s="21" t="s">
        <v>70</v>
      </c>
      <c r="AD638" s="21" t="s">
        <v>78</v>
      </c>
      <c r="AE638" s="41">
        <v>1</v>
      </c>
      <c r="AF638" s="21" t="s">
        <v>548</v>
      </c>
    </row>
    <row r="639" spans="2:32">
      <c r="B639" s="19"/>
      <c r="Z639" s="21"/>
      <c r="AA639" s="21"/>
      <c r="AB639" s="21" t="s">
        <v>485</v>
      </c>
      <c r="AC639" s="21" t="s">
        <v>70</v>
      </c>
      <c r="AD639" s="21" t="s">
        <v>78</v>
      </c>
      <c r="AE639" s="41">
        <v>1</v>
      </c>
      <c r="AF639" s="21" t="s">
        <v>548</v>
      </c>
    </row>
    <row r="640" spans="2:32">
      <c r="B640" s="19"/>
      <c r="Z640" s="21"/>
      <c r="AA640" s="21"/>
      <c r="AB640" s="21" t="s">
        <v>483</v>
      </c>
      <c r="AC640" s="21" t="s">
        <v>70</v>
      </c>
      <c r="AD640" s="21" t="s">
        <v>78</v>
      </c>
      <c r="AE640" s="41">
        <v>1</v>
      </c>
      <c r="AF640" s="21" t="s">
        <v>548</v>
      </c>
    </row>
    <row r="641" spans="2:32">
      <c r="B641" s="19"/>
      <c r="Z641" s="21"/>
      <c r="AA641" s="21"/>
      <c r="AB641" s="21" t="s">
        <v>486</v>
      </c>
      <c r="AC641" s="21" t="s">
        <v>70</v>
      </c>
      <c r="AD641" s="21" t="s">
        <v>78</v>
      </c>
      <c r="AE641" s="41">
        <v>1</v>
      </c>
      <c r="AF641" s="21" t="s">
        <v>548</v>
      </c>
    </row>
    <row r="642" spans="2:32">
      <c r="B642" s="19"/>
      <c r="Z642" s="21"/>
      <c r="AA642" s="21"/>
      <c r="AB642" s="21" t="s">
        <v>487</v>
      </c>
      <c r="AC642" s="21" t="s">
        <v>70</v>
      </c>
      <c r="AD642" s="21" t="s">
        <v>78</v>
      </c>
      <c r="AE642" s="41">
        <v>1</v>
      </c>
      <c r="AF642" s="21" t="s">
        <v>548</v>
      </c>
    </row>
    <row r="643" spans="2:32">
      <c r="B643" s="19"/>
      <c r="Z643" s="21"/>
      <c r="AA643" s="21"/>
      <c r="AB643" s="21" t="s">
        <v>488</v>
      </c>
      <c r="AC643" s="21" t="s">
        <v>70</v>
      </c>
      <c r="AD643" s="21" t="s">
        <v>78</v>
      </c>
      <c r="AE643" s="41">
        <v>1</v>
      </c>
      <c r="AF643" s="21" t="s">
        <v>548</v>
      </c>
    </row>
    <row r="644" spans="2:32">
      <c r="B644" s="19"/>
      <c r="Z644" s="21"/>
      <c r="AA644" s="21"/>
      <c r="AB644" s="21" t="s">
        <v>490</v>
      </c>
      <c r="AC644" s="21" t="s">
        <v>70</v>
      </c>
      <c r="AD644" s="21" t="s">
        <v>78</v>
      </c>
      <c r="AE644" s="41">
        <v>1</v>
      </c>
      <c r="AF644" s="21" t="s">
        <v>548</v>
      </c>
    </row>
    <row r="645" spans="2:32">
      <c r="B645" s="19"/>
      <c r="Z645" s="21"/>
      <c r="AA645" s="21"/>
      <c r="AB645" s="21" t="s">
        <v>491</v>
      </c>
      <c r="AC645" s="21" t="s">
        <v>70</v>
      </c>
      <c r="AD645" s="21" t="s">
        <v>78</v>
      </c>
      <c r="AE645" s="41">
        <v>1</v>
      </c>
      <c r="AF645" s="21" t="s">
        <v>548</v>
      </c>
    </row>
    <row r="646" spans="2:32">
      <c r="B646" s="19"/>
      <c r="Z646" s="21"/>
      <c r="AA646" s="21"/>
      <c r="AB646" s="21" t="s">
        <v>492</v>
      </c>
      <c r="AC646" s="21" t="s">
        <v>70</v>
      </c>
      <c r="AD646" s="21" t="s">
        <v>78</v>
      </c>
      <c r="AE646" s="41">
        <v>1</v>
      </c>
      <c r="AF646" s="21" t="s">
        <v>548</v>
      </c>
    </row>
    <row r="647" spans="2:32">
      <c r="B647" s="19"/>
      <c r="Z647" s="21"/>
      <c r="AA647" s="21"/>
      <c r="AB647" s="21" t="s">
        <v>493</v>
      </c>
      <c r="AC647" s="21" t="s">
        <v>70</v>
      </c>
      <c r="AD647" s="21" t="s">
        <v>78</v>
      </c>
      <c r="AE647" s="41">
        <v>1</v>
      </c>
      <c r="AF647" s="21" t="s">
        <v>548</v>
      </c>
    </row>
    <row r="648" spans="2:32">
      <c r="B648" s="19"/>
      <c r="Z648" s="21"/>
      <c r="AA648" s="21"/>
      <c r="AB648" s="21" t="s">
        <v>494</v>
      </c>
      <c r="AC648" s="21" t="s">
        <v>70</v>
      </c>
      <c r="AD648" s="21" t="s">
        <v>78</v>
      </c>
      <c r="AE648" s="41">
        <v>1</v>
      </c>
      <c r="AF648" s="21" t="s">
        <v>548</v>
      </c>
    </row>
    <row r="649" spans="2:32">
      <c r="B649" s="19"/>
      <c r="Z649" s="21"/>
      <c r="AA649" s="21"/>
      <c r="AB649" s="21" t="s">
        <v>495</v>
      </c>
      <c r="AC649" s="21" t="s">
        <v>70</v>
      </c>
      <c r="AD649" s="21" t="s">
        <v>78</v>
      </c>
      <c r="AE649" s="41">
        <v>1</v>
      </c>
      <c r="AF649" s="21" t="s">
        <v>548</v>
      </c>
    </row>
    <row r="650" spans="2:32">
      <c r="B650" s="19"/>
      <c r="Z650" s="21"/>
      <c r="AA650" s="21"/>
      <c r="AB650" s="21" t="s">
        <v>496</v>
      </c>
      <c r="AC650" s="21" t="s">
        <v>70</v>
      </c>
      <c r="AD650" s="21" t="s">
        <v>78</v>
      </c>
      <c r="AE650" s="41">
        <v>1</v>
      </c>
      <c r="AF650" s="21" t="s">
        <v>548</v>
      </c>
    </row>
    <row r="651" spans="2:32">
      <c r="B651" s="19"/>
      <c r="Z651" s="21"/>
      <c r="AA651" s="21"/>
      <c r="AB651" s="21" t="s">
        <v>497</v>
      </c>
      <c r="AC651" s="21" t="s">
        <v>70</v>
      </c>
      <c r="AD651" s="21" t="s">
        <v>78</v>
      </c>
      <c r="AE651" s="41">
        <v>1</v>
      </c>
      <c r="AF651" s="21" t="s">
        <v>548</v>
      </c>
    </row>
    <row r="652" spans="2:32">
      <c r="B652" s="19"/>
      <c r="Z652" s="21"/>
      <c r="AA652" s="21"/>
      <c r="AB652" s="21" t="s">
        <v>565</v>
      </c>
      <c r="AC652" s="21" t="s">
        <v>70</v>
      </c>
      <c r="AD652" s="21" t="s">
        <v>78</v>
      </c>
      <c r="AE652" s="41">
        <v>1</v>
      </c>
      <c r="AF652" s="21" t="s">
        <v>548</v>
      </c>
    </row>
    <row r="653" spans="2:32">
      <c r="B653" s="19"/>
      <c r="Z653" s="21"/>
      <c r="AA653" s="21"/>
      <c r="AB653" s="21" t="s">
        <v>499</v>
      </c>
      <c r="AC653" s="21" t="s">
        <v>70</v>
      </c>
      <c r="AD653" s="21" t="s">
        <v>78</v>
      </c>
      <c r="AE653" s="41">
        <v>1</v>
      </c>
      <c r="AF653" s="21" t="s">
        <v>548</v>
      </c>
    </row>
    <row r="654" spans="2:32">
      <c r="B654" s="19"/>
      <c r="Z654" s="21"/>
      <c r="AA654" s="21"/>
      <c r="AB654" s="21" t="s">
        <v>500</v>
      </c>
      <c r="AC654" s="21" t="s">
        <v>70</v>
      </c>
      <c r="AD654" s="21" t="s">
        <v>78</v>
      </c>
      <c r="AE654" s="41">
        <v>1</v>
      </c>
      <c r="AF654" s="21" t="s">
        <v>548</v>
      </c>
    </row>
    <row r="655" spans="2:32">
      <c r="B655" s="19"/>
      <c r="Z655" s="21"/>
      <c r="AA655" s="21"/>
      <c r="AB655" s="21" t="s">
        <v>470</v>
      </c>
      <c r="AC655" s="21" t="s">
        <v>70</v>
      </c>
      <c r="AD655" s="21" t="s">
        <v>78</v>
      </c>
      <c r="AE655" s="41">
        <v>1</v>
      </c>
      <c r="AF655" s="21" t="s">
        <v>548</v>
      </c>
    </row>
    <row r="656" spans="2:32">
      <c r="B656" s="19"/>
      <c r="Z656" s="21"/>
      <c r="AA656" s="21"/>
      <c r="AB656" s="21" t="s">
        <v>509</v>
      </c>
      <c r="AC656" s="21" t="s">
        <v>70</v>
      </c>
      <c r="AD656" s="21" t="s">
        <v>78</v>
      </c>
      <c r="AE656" s="41">
        <v>1</v>
      </c>
      <c r="AF656" s="21" t="s">
        <v>548</v>
      </c>
    </row>
    <row r="657" spans="2:42">
      <c r="B657" s="19"/>
      <c r="Z657" s="21"/>
      <c r="AA657" s="21"/>
      <c r="AB657" s="21" t="s">
        <v>516</v>
      </c>
      <c r="AC657" s="21" t="s">
        <v>70</v>
      </c>
      <c r="AD657" s="21" t="s">
        <v>78</v>
      </c>
      <c r="AE657" s="41">
        <v>1</v>
      </c>
      <c r="AF657" s="21" t="s">
        <v>548</v>
      </c>
    </row>
    <row r="658" spans="2:42">
      <c r="B658" s="19"/>
      <c r="Z658" s="21"/>
      <c r="AA658" s="21"/>
      <c r="AB658" s="21" t="s">
        <v>511</v>
      </c>
      <c r="AC658" s="21" t="s">
        <v>70</v>
      </c>
      <c r="AD658" s="21" t="s">
        <v>78</v>
      </c>
      <c r="AE658" s="41">
        <v>1</v>
      </c>
      <c r="AF658" s="21" t="s">
        <v>548</v>
      </c>
    </row>
    <row r="659" spans="2:42">
      <c r="B659" s="19"/>
      <c r="Z659" s="21"/>
      <c r="AA659" s="21"/>
      <c r="AB659" s="21" t="s">
        <v>510</v>
      </c>
      <c r="AC659" s="21" t="s">
        <v>70</v>
      </c>
      <c r="AD659" s="21" t="s">
        <v>78</v>
      </c>
      <c r="AE659" s="41">
        <v>1</v>
      </c>
      <c r="AF659" s="21" t="s">
        <v>548</v>
      </c>
    </row>
    <row r="660" spans="2:42">
      <c r="B660" s="19"/>
      <c r="Z660" s="21"/>
      <c r="AA660" s="21"/>
      <c r="AB660" s="21" t="s">
        <v>2243</v>
      </c>
      <c r="AC660" s="21" t="s">
        <v>70</v>
      </c>
      <c r="AD660" s="21" t="s">
        <v>78</v>
      </c>
      <c r="AE660" s="41">
        <v>1</v>
      </c>
      <c r="AF660" s="21" t="s">
        <v>548</v>
      </c>
    </row>
    <row r="661" spans="2:42">
      <c r="B661" s="19"/>
      <c r="Z661" s="21"/>
      <c r="AA661" s="21"/>
      <c r="AB661" s="21" t="s">
        <v>1734</v>
      </c>
      <c r="AC661" s="21" t="s">
        <v>70</v>
      </c>
      <c r="AD661" s="21" t="s">
        <v>110</v>
      </c>
      <c r="AE661" s="41">
        <v>1</v>
      </c>
      <c r="AF661" s="21" t="s">
        <v>548</v>
      </c>
    </row>
    <row r="662" spans="2:42">
      <c r="B662" s="19"/>
      <c r="Z662" s="21"/>
      <c r="AA662" s="21"/>
      <c r="AB662" s="21" t="s">
        <v>1489</v>
      </c>
      <c r="AC662" s="21" t="s">
        <v>70</v>
      </c>
      <c r="AD662" s="21" t="s">
        <v>78</v>
      </c>
      <c r="AE662" s="41">
        <v>1</v>
      </c>
      <c r="AF662" s="21" t="s">
        <v>548</v>
      </c>
    </row>
    <row r="663" spans="2:42">
      <c r="B663" s="19"/>
      <c r="AE663" s="5"/>
    </row>
    <row r="664" spans="2:42">
      <c r="B664" s="19"/>
      <c r="Z664" s="21"/>
      <c r="AA664" s="21" t="s">
        <v>543</v>
      </c>
      <c r="AB664" s="21"/>
      <c r="AC664" s="21"/>
      <c r="AD664" s="21"/>
      <c r="AE664" s="4"/>
      <c r="AF664" s="21"/>
    </row>
    <row r="665" spans="2:42">
      <c r="B665" s="19"/>
      <c r="Z665" s="21"/>
      <c r="AA665" s="21" t="s">
        <v>54</v>
      </c>
      <c r="AB665" s="21"/>
      <c r="AC665" s="21"/>
      <c r="AD665" s="21"/>
      <c r="AE665" s="4"/>
      <c r="AF665" s="21"/>
    </row>
    <row r="666" spans="2:42">
      <c r="B666" s="19"/>
      <c r="Z666" s="21" t="s">
        <v>57</v>
      </c>
      <c r="AA666" s="21"/>
      <c r="AB666" s="21" t="s">
        <v>2230</v>
      </c>
      <c r="AC666" s="21" t="s">
        <v>60</v>
      </c>
      <c r="AD666" s="21" t="s">
        <v>78</v>
      </c>
      <c r="AE666" s="41">
        <v>1</v>
      </c>
      <c r="AF666" s="21" t="s">
        <v>56</v>
      </c>
    </row>
    <row r="667" spans="2:42" collapsed="1">
      <c r="B667" s="19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</row>
    <row r="668" spans="2:42">
      <c r="B668" s="19"/>
    </row>
    <row r="669" spans="2:42">
      <c r="B669" s="19"/>
      <c r="D669" s="11">
        <f>SUM(X669)</f>
        <v>7</v>
      </c>
      <c r="E669" s="20" t="s">
        <v>51</v>
      </c>
      <c r="F669" s="42" t="s">
        <v>566</v>
      </c>
      <c r="G669" s="42"/>
      <c r="H669" s="42"/>
      <c r="X669" s="11">
        <f>SUM(AC669)</f>
        <v>7</v>
      </c>
      <c r="Y669" s="20" t="s">
        <v>567</v>
      </c>
      <c r="Z669" s="42" t="s">
        <v>568</v>
      </c>
      <c r="AA669" s="42"/>
      <c r="AB669" s="42"/>
      <c r="AC669" s="11">
        <f>COUNTA(AB670:AB676)-COUNTIF(Z670:Z676,"兼")</f>
        <v>7</v>
      </c>
      <c r="AE669" s="5"/>
    </row>
    <row r="670" spans="2:42">
      <c r="B670" s="19"/>
      <c r="AA670" s="11" t="s">
        <v>505</v>
      </c>
      <c r="AB670" s="11" t="s">
        <v>569</v>
      </c>
      <c r="AC670" s="11" t="s">
        <v>10</v>
      </c>
      <c r="AD670" s="11" t="s">
        <v>110</v>
      </c>
      <c r="AE670" s="40">
        <v>0.6</v>
      </c>
    </row>
    <row r="671" spans="2:42">
      <c r="B671" s="19"/>
      <c r="AB671" s="11" t="s">
        <v>572</v>
      </c>
      <c r="AC671" s="11" t="s">
        <v>10</v>
      </c>
      <c r="AD671" s="11" t="s">
        <v>110</v>
      </c>
      <c r="AE671" s="1">
        <v>1</v>
      </c>
    </row>
    <row r="672" spans="2:42">
      <c r="B672" s="19"/>
      <c r="AB672" s="11" t="s">
        <v>573</v>
      </c>
      <c r="AC672" s="11" t="s">
        <v>10</v>
      </c>
      <c r="AD672" s="11" t="s">
        <v>110</v>
      </c>
      <c r="AE672" s="1">
        <v>1</v>
      </c>
    </row>
    <row r="673" spans="2:32">
      <c r="B673" s="19"/>
      <c r="AB673" s="11" t="s">
        <v>574</v>
      </c>
      <c r="AC673" s="11" t="s">
        <v>10</v>
      </c>
      <c r="AD673" s="11" t="s">
        <v>110</v>
      </c>
      <c r="AE673" s="1">
        <v>1</v>
      </c>
    </row>
    <row r="674" spans="2:32">
      <c r="B674" s="19"/>
      <c r="AB674" s="11" t="s">
        <v>575</v>
      </c>
      <c r="AC674" s="11" t="s">
        <v>10</v>
      </c>
      <c r="AD674" s="11" t="s">
        <v>110</v>
      </c>
      <c r="AE674" s="1">
        <v>1</v>
      </c>
    </row>
    <row r="675" spans="2:32">
      <c r="B675" s="19"/>
      <c r="AB675" s="11" t="s">
        <v>576</v>
      </c>
      <c r="AC675" s="11" t="s">
        <v>10</v>
      </c>
      <c r="AD675" s="11" t="s">
        <v>110</v>
      </c>
      <c r="AE675" s="1">
        <v>1</v>
      </c>
    </row>
    <row r="676" spans="2:32">
      <c r="B676" s="19"/>
      <c r="AB676" s="11" t="s">
        <v>364</v>
      </c>
      <c r="AC676" s="11" t="s">
        <v>229</v>
      </c>
      <c r="AD676" s="11" t="s">
        <v>110</v>
      </c>
      <c r="AE676" s="1">
        <v>1</v>
      </c>
    </row>
    <row r="677" spans="2:32">
      <c r="B677" s="19"/>
    </row>
    <row r="678" spans="2:32">
      <c r="B678" s="19"/>
      <c r="Z678" s="21"/>
      <c r="AA678" s="21" t="s">
        <v>600</v>
      </c>
      <c r="AB678" s="21"/>
      <c r="AC678" s="21"/>
      <c r="AD678" s="21"/>
      <c r="AE678" s="4"/>
      <c r="AF678" s="21"/>
    </row>
    <row r="679" spans="2:32">
      <c r="B679" s="19"/>
      <c r="Z679" s="21"/>
      <c r="AA679" s="21" t="s">
        <v>547</v>
      </c>
      <c r="AB679" s="21"/>
      <c r="AC679" s="21"/>
      <c r="AD679" s="21"/>
      <c r="AE679" s="4"/>
      <c r="AF679" s="21"/>
    </row>
    <row r="680" spans="2:32">
      <c r="B680" s="19"/>
      <c r="Z680" s="21"/>
      <c r="AA680" s="21"/>
      <c r="AB680" s="21" t="s">
        <v>108</v>
      </c>
      <c r="AC680" s="21" t="s">
        <v>70</v>
      </c>
      <c r="AD680" s="21" t="s">
        <v>110</v>
      </c>
      <c r="AE680" s="41">
        <v>1</v>
      </c>
      <c r="AF680" s="21" t="s">
        <v>548</v>
      </c>
    </row>
    <row r="681" spans="2:32">
      <c r="B681" s="19"/>
      <c r="Z681" s="21"/>
      <c r="AA681" s="21"/>
      <c r="AB681" s="21" t="s">
        <v>601</v>
      </c>
      <c r="AC681" s="21" t="s">
        <v>70</v>
      </c>
      <c r="AD681" s="21" t="s">
        <v>110</v>
      </c>
      <c r="AE681" s="41">
        <v>1</v>
      </c>
      <c r="AF681" s="21" t="s">
        <v>548</v>
      </c>
    </row>
    <row r="682" spans="2:32">
      <c r="B682" s="19"/>
      <c r="Z682" s="21"/>
      <c r="AA682" s="21"/>
      <c r="AB682" s="21" t="s">
        <v>165</v>
      </c>
      <c r="AC682" s="21" t="s">
        <v>70</v>
      </c>
      <c r="AD682" s="21" t="s">
        <v>110</v>
      </c>
      <c r="AE682" s="41">
        <v>1</v>
      </c>
      <c r="AF682" s="21" t="s">
        <v>548</v>
      </c>
    </row>
    <row r="683" spans="2:32">
      <c r="B683" s="19"/>
      <c r="Z683" s="21"/>
      <c r="AA683" s="21"/>
      <c r="AB683" s="21" t="s">
        <v>171</v>
      </c>
      <c r="AC683" s="21" t="s">
        <v>70</v>
      </c>
      <c r="AD683" s="21" t="s">
        <v>110</v>
      </c>
      <c r="AE683" s="41">
        <v>1</v>
      </c>
      <c r="AF683" s="21" t="s">
        <v>548</v>
      </c>
    </row>
    <row r="684" spans="2:32">
      <c r="B684" s="19"/>
      <c r="Z684" s="21"/>
      <c r="AA684" s="21"/>
      <c r="AB684" s="21" t="s">
        <v>172</v>
      </c>
      <c r="AC684" s="21" t="s">
        <v>70</v>
      </c>
      <c r="AD684" s="21" t="s">
        <v>110</v>
      </c>
      <c r="AE684" s="41">
        <v>1</v>
      </c>
      <c r="AF684" s="21" t="s">
        <v>548</v>
      </c>
    </row>
    <row r="685" spans="2:32">
      <c r="B685" s="19"/>
      <c r="Z685" s="21"/>
      <c r="AA685" s="21"/>
      <c r="AB685" s="21" t="s">
        <v>602</v>
      </c>
      <c r="AC685" s="21" t="s">
        <v>70</v>
      </c>
      <c r="AD685" s="21" t="s">
        <v>110</v>
      </c>
      <c r="AE685" s="41">
        <v>1</v>
      </c>
      <c r="AF685" s="21" t="s">
        <v>548</v>
      </c>
    </row>
    <row r="686" spans="2:32">
      <c r="B686" s="19"/>
      <c r="Z686" s="21" t="s">
        <v>57</v>
      </c>
      <c r="AA686" s="21"/>
      <c r="AB686" s="21" t="s">
        <v>190</v>
      </c>
      <c r="AC686" s="21" t="s">
        <v>70</v>
      </c>
      <c r="AD686" s="21" t="s">
        <v>110</v>
      </c>
      <c r="AE686" s="41">
        <v>0.4</v>
      </c>
      <c r="AF686" s="21" t="s">
        <v>548</v>
      </c>
    </row>
    <row r="687" spans="2:32">
      <c r="B687" s="19"/>
      <c r="Z687" s="21"/>
      <c r="AA687" s="21"/>
      <c r="AB687" s="21" t="s">
        <v>196</v>
      </c>
      <c r="AC687" s="21" t="s">
        <v>70</v>
      </c>
      <c r="AD687" s="21" t="s">
        <v>110</v>
      </c>
      <c r="AE687" s="41">
        <v>1</v>
      </c>
      <c r="AF687" s="21" t="s">
        <v>548</v>
      </c>
    </row>
    <row r="688" spans="2:32">
      <c r="B688" s="19"/>
      <c r="Z688" s="21"/>
      <c r="AA688" s="21"/>
      <c r="AB688" s="21" t="s">
        <v>203</v>
      </c>
      <c r="AC688" s="21" t="s">
        <v>70</v>
      </c>
      <c r="AD688" s="21" t="s">
        <v>110</v>
      </c>
      <c r="AE688" s="41">
        <v>1</v>
      </c>
      <c r="AF688" s="21" t="s">
        <v>548</v>
      </c>
    </row>
    <row r="689" spans="2:32">
      <c r="B689" s="19"/>
      <c r="Z689" s="21"/>
      <c r="AA689" s="21"/>
      <c r="AB689" s="21" t="s">
        <v>204</v>
      </c>
      <c r="AC689" s="21" t="s">
        <v>70</v>
      </c>
      <c r="AD689" s="21" t="s">
        <v>110</v>
      </c>
      <c r="AE689" s="41">
        <v>1</v>
      </c>
      <c r="AF689" s="21" t="s">
        <v>548</v>
      </c>
    </row>
    <row r="690" spans="2:32">
      <c r="B690" s="19"/>
      <c r="Z690" s="21"/>
      <c r="AA690" s="21"/>
      <c r="AB690" s="21" t="s">
        <v>249</v>
      </c>
      <c r="AC690" s="21" t="s">
        <v>70</v>
      </c>
      <c r="AD690" s="21" t="s">
        <v>110</v>
      </c>
      <c r="AE690" s="41">
        <v>1</v>
      </c>
      <c r="AF690" s="21" t="s">
        <v>548</v>
      </c>
    </row>
    <row r="691" spans="2:32">
      <c r="B691" s="19"/>
      <c r="Z691" s="21"/>
      <c r="AA691" s="21"/>
      <c r="AB691" s="21" t="s">
        <v>255</v>
      </c>
      <c r="AC691" s="21" t="s">
        <v>70</v>
      </c>
      <c r="AD691" s="21" t="s">
        <v>110</v>
      </c>
      <c r="AE691" s="41">
        <v>1</v>
      </c>
      <c r="AF691" s="21" t="s">
        <v>548</v>
      </c>
    </row>
    <row r="692" spans="2:32">
      <c r="B692" s="19"/>
      <c r="Z692" s="21"/>
      <c r="AA692" s="21"/>
      <c r="AB692" s="21" t="s">
        <v>263</v>
      </c>
      <c r="AC692" s="21" t="s">
        <v>70</v>
      </c>
      <c r="AD692" s="21" t="s">
        <v>110</v>
      </c>
      <c r="AE692" s="41">
        <v>1</v>
      </c>
      <c r="AF692" s="21" t="s">
        <v>548</v>
      </c>
    </row>
    <row r="693" spans="2:32">
      <c r="B693" s="19"/>
      <c r="Z693" s="21"/>
      <c r="AA693" s="21"/>
      <c r="AB693" s="21" t="s">
        <v>265</v>
      </c>
      <c r="AC693" s="21" t="s">
        <v>70</v>
      </c>
      <c r="AD693" s="21" t="s">
        <v>110</v>
      </c>
      <c r="AE693" s="41">
        <v>1</v>
      </c>
      <c r="AF693" s="21" t="s">
        <v>548</v>
      </c>
    </row>
    <row r="694" spans="2:32">
      <c r="B694" s="19"/>
      <c r="Z694" s="21"/>
      <c r="AA694" s="21"/>
      <c r="AB694" s="21" t="s">
        <v>603</v>
      </c>
      <c r="AC694" s="21" t="s">
        <v>70</v>
      </c>
      <c r="AD694" s="21" t="s">
        <v>110</v>
      </c>
      <c r="AE694" s="41">
        <v>1</v>
      </c>
      <c r="AF694" s="21" t="s">
        <v>548</v>
      </c>
    </row>
    <row r="695" spans="2:32">
      <c r="B695" s="19"/>
      <c r="Z695" s="21"/>
      <c r="AA695" s="21"/>
      <c r="AB695" s="21" t="s">
        <v>277</v>
      </c>
      <c r="AC695" s="21" t="s">
        <v>70</v>
      </c>
      <c r="AD695" s="21" t="s">
        <v>110</v>
      </c>
      <c r="AE695" s="41">
        <v>1</v>
      </c>
      <c r="AF695" s="21" t="s">
        <v>548</v>
      </c>
    </row>
    <row r="696" spans="2:32">
      <c r="B696" s="19"/>
      <c r="Z696" s="21"/>
      <c r="AA696" s="21"/>
      <c r="AB696" s="21" t="s">
        <v>278</v>
      </c>
      <c r="AC696" s="21" t="s">
        <v>70</v>
      </c>
      <c r="AD696" s="21" t="s">
        <v>110</v>
      </c>
      <c r="AE696" s="41">
        <v>1</v>
      </c>
      <c r="AF696" s="21" t="s">
        <v>548</v>
      </c>
    </row>
    <row r="697" spans="2:32">
      <c r="B697" s="19"/>
      <c r="Z697" s="21"/>
      <c r="AA697" s="21"/>
      <c r="AB697" s="21" t="s">
        <v>288</v>
      </c>
      <c r="AC697" s="21" t="s">
        <v>70</v>
      </c>
      <c r="AD697" s="21" t="s">
        <v>110</v>
      </c>
      <c r="AE697" s="41">
        <v>1</v>
      </c>
      <c r="AF697" s="21" t="s">
        <v>548</v>
      </c>
    </row>
    <row r="698" spans="2:32">
      <c r="B698" s="19"/>
      <c r="Z698" s="21"/>
      <c r="AA698" s="21"/>
      <c r="AB698" s="21" t="s">
        <v>296</v>
      </c>
      <c r="AC698" s="21" t="s">
        <v>70</v>
      </c>
      <c r="AD698" s="21" t="s">
        <v>110</v>
      </c>
      <c r="AE698" s="41">
        <v>1</v>
      </c>
      <c r="AF698" s="21" t="s">
        <v>548</v>
      </c>
    </row>
    <row r="699" spans="2:32">
      <c r="B699" s="19"/>
      <c r="Z699" s="21"/>
      <c r="AA699" s="21"/>
      <c r="AB699" s="21" t="s">
        <v>299</v>
      </c>
      <c r="AC699" s="21" t="s">
        <v>70</v>
      </c>
      <c r="AD699" s="21" t="s">
        <v>110</v>
      </c>
      <c r="AE699" s="41">
        <v>1</v>
      </c>
      <c r="AF699" s="21" t="s">
        <v>548</v>
      </c>
    </row>
    <row r="700" spans="2:32">
      <c r="B700" s="19"/>
      <c r="Z700" s="21"/>
      <c r="AA700" s="21"/>
      <c r="AB700" s="21" t="s">
        <v>300</v>
      </c>
      <c r="AC700" s="21" t="s">
        <v>70</v>
      </c>
      <c r="AD700" s="21" t="s">
        <v>110</v>
      </c>
      <c r="AE700" s="41">
        <v>1</v>
      </c>
      <c r="AF700" s="21" t="s">
        <v>548</v>
      </c>
    </row>
    <row r="701" spans="2:32">
      <c r="B701" s="19"/>
      <c r="Z701" s="21"/>
      <c r="AA701" s="21"/>
      <c r="AB701" s="21" t="s">
        <v>301</v>
      </c>
      <c r="AC701" s="21" t="s">
        <v>70</v>
      </c>
      <c r="AD701" s="21" t="s">
        <v>110</v>
      </c>
      <c r="AE701" s="41">
        <v>1</v>
      </c>
      <c r="AF701" s="21" t="s">
        <v>548</v>
      </c>
    </row>
    <row r="702" spans="2:32">
      <c r="B702" s="19"/>
      <c r="Z702" s="21"/>
      <c r="AA702" s="21"/>
      <c r="AB702" s="21" t="s">
        <v>305</v>
      </c>
      <c r="AC702" s="21" t="s">
        <v>70</v>
      </c>
      <c r="AD702" s="21" t="s">
        <v>110</v>
      </c>
      <c r="AE702" s="41">
        <v>1</v>
      </c>
      <c r="AF702" s="21" t="s">
        <v>548</v>
      </c>
    </row>
    <row r="703" spans="2:32">
      <c r="B703" s="19"/>
      <c r="Z703" s="21"/>
      <c r="AA703" s="21"/>
      <c r="AB703" s="21" t="s">
        <v>306</v>
      </c>
      <c r="AC703" s="21" t="s">
        <v>70</v>
      </c>
      <c r="AD703" s="21" t="s">
        <v>110</v>
      </c>
      <c r="AE703" s="41">
        <v>1</v>
      </c>
      <c r="AF703" s="21" t="s">
        <v>548</v>
      </c>
    </row>
    <row r="704" spans="2:32">
      <c r="B704" s="19"/>
      <c r="Z704" s="21"/>
      <c r="AA704" s="21"/>
      <c r="AB704" s="21" t="s">
        <v>604</v>
      </c>
      <c r="AC704" s="21" t="s">
        <v>70</v>
      </c>
      <c r="AD704" s="21" t="s">
        <v>110</v>
      </c>
      <c r="AE704" s="41">
        <v>1</v>
      </c>
      <c r="AF704" s="21" t="s">
        <v>548</v>
      </c>
    </row>
    <row r="705" spans="2:32">
      <c r="B705" s="19"/>
      <c r="Z705" s="21"/>
      <c r="AA705" s="21"/>
      <c r="AB705" s="21" t="s">
        <v>316</v>
      </c>
      <c r="AC705" s="21" t="s">
        <v>70</v>
      </c>
      <c r="AD705" s="21" t="s">
        <v>110</v>
      </c>
      <c r="AE705" s="41">
        <v>1</v>
      </c>
      <c r="AF705" s="21" t="s">
        <v>548</v>
      </c>
    </row>
    <row r="706" spans="2:32">
      <c r="B706" s="19"/>
      <c r="Z706" s="21"/>
      <c r="AA706" s="21"/>
      <c r="AB706" s="21" t="s">
        <v>321</v>
      </c>
      <c r="AC706" s="21" t="s">
        <v>70</v>
      </c>
      <c r="AD706" s="21" t="s">
        <v>110</v>
      </c>
      <c r="AE706" s="41">
        <v>1</v>
      </c>
      <c r="AF706" s="21" t="s">
        <v>548</v>
      </c>
    </row>
    <row r="707" spans="2:32">
      <c r="B707" s="19"/>
      <c r="Z707" s="21"/>
      <c r="AA707" s="21"/>
      <c r="AB707" s="21" t="s">
        <v>324</v>
      </c>
      <c r="AC707" s="21" t="s">
        <v>70</v>
      </c>
      <c r="AD707" s="21" t="s">
        <v>110</v>
      </c>
      <c r="AE707" s="41">
        <v>1</v>
      </c>
      <c r="AF707" s="21" t="s">
        <v>548</v>
      </c>
    </row>
    <row r="708" spans="2:32">
      <c r="B708" s="19"/>
      <c r="Z708" s="21"/>
      <c r="AA708" s="21"/>
      <c r="AB708" s="21" t="s">
        <v>605</v>
      </c>
      <c r="AC708" s="21" t="s">
        <v>70</v>
      </c>
      <c r="AD708" s="21" t="s">
        <v>110</v>
      </c>
      <c r="AE708" s="41">
        <v>1</v>
      </c>
      <c r="AF708" s="21" t="s">
        <v>548</v>
      </c>
    </row>
    <row r="709" spans="2:32">
      <c r="B709" s="19"/>
      <c r="Z709" s="21"/>
      <c r="AA709" s="21"/>
      <c r="AB709" s="21" t="s">
        <v>451</v>
      </c>
      <c r="AC709" s="21" t="s">
        <v>70</v>
      </c>
      <c r="AD709" s="21" t="s">
        <v>110</v>
      </c>
      <c r="AE709" s="41">
        <v>1</v>
      </c>
      <c r="AF709" s="21" t="s">
        <v>548</v>
      </c>
    </row>
    <row r="710" spans="2:32">
      <c r="B710" s="19"/>
      <c r="Z710" s="21"/>
      <c r="AA710" s="21"/>
      <c r="AB710" s="21" t="s">
        <v>351</v>
      </c>
      <c r="AC710" s="21" t="s">
        <v>70</v>
      </c>
      <c r="AD710" s="21" t="s">
        <v>110</v>
      </c>
      <c r="AE710" s="41">
        <v>1</v>
      </c>
      <c r="AF710" s="21" t="s">
        <v>548</v>
      </c>
    </row>
    <row r="711" spans="2:32">
      <c r="B711" s="19"/>
      <c r="Z711" s="21"/>
      <c r="AA711" s="21"/>
      <c r="AB711" s="21" t="s">
        <v>359</v>
      </c>
      <c r="AC711" s="21" t="s">
        <v>70</v>
      </c>
      <c r="AD711" s="21" t="s">
        <v>110</v>
      </c>
      <c r="AE711" s="41">
        <v>1</v>
      </c>
      <c r="AF711" s="21" t="s">
        <v>548</v>
      </c>
    </row>
    <row r="712" spans="2:32">
      <c r="B712" s="19"/>
      <c r="Z712" s="21"/>
      <c r="AA712" s="21"/>
      <c r="AB712" s="21" t="s">
        <v>360</v>
      </c>
      <c r="AC712" s="21" t="s">
        <v>70</v>
      </c>
      <c r="AD712" s="21" t="s">
        <v>110</v>
      </c>
      <c r="AE712" s="41">
        <v>1</v>
      </c>
      <c r="AF712" s="21" t="s">
        <v>548</v>
      </c>
    </row>
    <row r="713" spans="2:32">
      <c r="B713" s="19"/>
      <c r="Z713" s="21"/>
      <c r="AA713" s="21"/>
      <c r="AB713" s="21" t="s">
        <v>361</v>
      </c>
      <c r="AC713" s="21" t="s">
        <v>70</v>
      </c>
      <c r="AD713" s="21" t="s">
        <v>110</v>
      </c>
      <c r="AE713" s="41">
        <v>1</v>
      </c>
      <c r="AF713" s="21" t="s">
        <v>548</v>
      </c>
    </row>
    <row r="714" spans="2:32">
      <c r="B714" s="19"/>
      <c r="Z714" s="21"/>
      <c r="AA714" s="21"/>
      <c r="AB714" s="21" t="s">
        <v>369</v>
      </c>
      <c r="AC714" s="21" t="s">
        <v>70</v>
      </c>
      <c r="AD714" s="21" t="s">
        <v>110</v>
      </c>
      <c r="AE714" s="41">
        <v>1</v>
      </c>
      <c r="AF714" s="21" t="s">
        <v>548</v>
      </c>
    </row>
    <row r="715" spans="2:32">
      <c r="B715" s="19"/>
      <c r="Z715" s="21"/>
      <c r="AA715" s="21"/>
      <c r="AB715" s="21" t="s">
        <v>370</v>
      </c>
      <c r="AC715" s="21" t="s">
        <v>70</v>
      </c>
      <c r="AD715" s="21" t="s">
        <v>110</v>
      </c>
      <c r="AE715" s="41">
        <v>1</v>
      </c>
      <c r="AF715" s="21" t="s">
        <v>548</v>
      </c>
    </row>
    <row r="716" spans="2:32">
      <c r="B716" s="19"/>
      <c r="Z716" s="21"/>
      <c r="AA716" s="21"/>
      <c r="AB716" s="21" t="s">
        <v>372</v>
      </c>
      <c r="AC716" s="21" t="s">
        <v>70</v>
      </c>
      <c r="AD716" s="21" t="s">
        <v>110</v>
      </c>
      <c r="AE716" s="41">
        <v>1</v>
      </c>
      <c r="AF716" s="21" t="s">
        <v>548</v>
      </c>
    </row>
    <row r="717" spans="2:32">
      <c r="B717" s="19"/>
      <c r="Z717" s="21"/>
      <c r="AA717" s="21"/>
      <c r="AB717" s="21" t="s">
        <v>373</v>
      </c>
      <c r="AC717" s="21" t="s">
        <v>70</v>
      </c>
      <c r="AD717" s="21" t="s">
        <v>110</v>
      </c>
      <c r="AE717" s="41">
        <v>1</v>
      </c>
      <c r="AF717" s="21" t="s">
        <v>548</v>
      </c>
    </row>
    <row r="718" spans="2:32">
      <c r="B718" s="19"/>
      <c r="Z718" s="21"/>
      <c r="AA718" s="21"/>
      <c r="AB718" s="21" t="s">
        <v>374</v>
      </c>
      <c r="AC718" s="21" t="s">
        <v>70</v>
      </c>
      <c r="AD718" s="21" t="s">
        <v>110</v>
      </c>
      <c r="AE718" s="41">
        <v>1</v>
      </c>
      <c r="AF718" s="21" t="s">
        <v>548</v>
      </c>
    </row>
    <row r="719" spans="2:32">
      <c r="B719" s="19"/>
      <c r="Z719" s="21"/>
      <c r="AA719" s="21"/>
      <c r="AB719" s="21" t="s">
        <v>378</v>
      </c>
      <c r="AC719" s="21" t="s">
        <v>70</v>
      </c>
      <c r="AD719" s="21" t="s">
        <v>110</v>
      </c>
      <c r="AE719" s="41">
        <v>1</v>
      </c>
      <c r="AF719" s="21" t="s">
        <v>548</v>
      </c>
    </row>
    <row r="720" spans="2:32">
      <c r="B720" s="19"/>
      <c r="Z720" s="21"/>
      <c r="AA720" s="21"/>
      <c r="AB720" s="21" t="s">
        <v>391</v>
      </c>
      <c r="AC720" s="21" t="s">
        <v>70</v>
      </c>
      <c r="AD720" s="21" t="s">
        <v>110</v>
      </c>
      <c r="AE720" s="41">
        <v>1</v>
      </c>
      <c r="AF720" s="21" t="s">
        <v>548</v>
      </c>
    </row>
    <row r="721" spans="2:32">
      <c r="B721" s="19"/>
      <c r="Z721" s="21"/>
      <c r="AA721" s="21"/>
      <c r="AB721" s="21" t="s">
        <v>380</v>
      </c>
      <c r="AC721" s="21" t="s">
        <v>70</v>
      </c>
      <c r="AD721" s="21" t="s">
        <v>110</v>
      </c>
      <c r="AE721" s="41">
        <v>1</v>
      </c>
      <c r="AF721" s="21" t="s">
        <v>548</v>
      </c>
    </row>
    <row r="722" spans="2:32">
      <c r="B722" s="19"/>
      <c r="Z722" s="21"/>
      <c r="AA722" s="21"/>
      <c r="AB722" s="21" t="s">
        <v>606</v>
      </c>
      <c r="AC722" s="21" t="s">
        <v>70</v>
      </c>
      <c r="AD722" s="21" t="s">
        <v>110</v>
      </c>
      <c r="AE722" s="41">
        <v>1</v>
      </c>
      <c r="AF722" s="21" t="s">
        <v>548</v>
      </c>
    </row>
    <row r="723" spans="2:32">
      <c r="B723" s="19"/>
      <c r="Z723" s="21"/>
      <c r="AA723" s="21"/>
      <c r="AB723" s="21" t="s">
        <v>397</v>
      </c>
      <c r="AC723" s="21" t="s">
        <v>70</v>
      </c>
      <c r="AD723" s="21" t="s">
        <v>110</v>
      </c>
      <c r="AE723" s="41">
        <v>1</v>
      </c>
      <c r="AF723" s="21" t="s">
        <v>548</v>
      </c>
    </row>
    <row r="724" spans="2:32">
      <c r="B724" s="19"/>
      <c r="Z724" s="21"/>
      <c r="AA724" s="21"/>
      <c r="AB724" s="21" t="s">
        <v>401</v>
      </c>
      <c r="AC724" s="21" t="s">
        <v>70</v>
      </c>
      <c r="AD724" s="21" t="s">
        <v>110</v>
      </c>
      <c r="AE724" s="41">
        <v>1</v>
      </c>
      <c r="AF724" s="21" t="s">
        <v>548</v>
      </c>
    </row>
    <row r="725" spans="2:32">
      <c r="B725" s="19"/>
      <c r="Z725" s="21"/>
      <c r="AA725" s="21"/>
      <c r="AB725" s="21" t="s">
        <v>402</v>
      </c>
      <c r="AC725" s="21" t="s">
        <v>70</v>
      </c>
      <c r="AD725" s="21" t="s">
        <v>110</v>
      </c>
      <c r="AE725" s="41">
        <v>1</v>
      </c>
      <c r="AF725" s="21" t="s">
        <v>548</v>
      </c>
    </row>
    <row r="726" spans="2:32">
      <c r="B726" s="19"/>
      <c r="Z726" s="21"/>
      <c r="AA726" s="21"/>
      <c r="AB726" s="21" t="s">
        <v>607</v>
      </c>
      <c r="AC726" s="21" t="s">
        <v>70</v>
      </c>
      <c r="AD726" s="21" t="s">
        <v>110</v>
      </c>
      <c r="AE726" s="41">
        <v>1</v>
      </c>
      <c r="AF726" s="21" t="s">
        <v>548</v>
      </c>
    </row>
    <row r="727" spans="2:32">
      <c r="B727" s="19"/>
      <c r="Z727" s="21"/>
      <c r="AA727" s="21"/>
      <c r="AB727" s="21" t="s">
        <v>411</v>
      </c>
      <c r="AC727" s="21" t="s">
        <v>70</v>
      </c>
      <c r="AD727" s="21" t="s">
        <v>110</v>
      </c>
      <c r="AE727" s="41">
        <v>1</v>
      </c>
      <c r="AF727" s="21" t="s">
        <v>548</v>
      </c>
    </row>
    <row r="728" spans="2:32">
      <c r="B728" s="19"/>
      <c r="Z728" s="21"/>
      <c r="AA728" s="21"/>
      <c r="AB728" s="21" t="s">
        <v>412</v>
      </c>
      <c r="AC728" s="21" t="s">
        <v>70</v>
      </c>
      <c r="AD728" s="21" t="s">
        <v>110</v>
      </c>
      <c r="AE728" s="41">
        <v>1</v>
      </c>
      <c r="AF728" s="21" t="s">
        <v>548</v>
      </c>
    </row>
    <row r="729" spans="2:32">
      <c r="B729" s="19"/>
      <c r="Z729" s="21"/>
      <c r="AA729" s="21"/>
      <c r="AB729" s="21" t="s">
        <v>417</v>
      </c>
      <c r="AC729" s="21" t="s">
        <v>70</v>
      </c>
      <c r="AD729" s="21" t="s">
        <v>110</v>
      </c>
      <c r="AE729" s="41">
        <v>1</v>
      </c>
      <c r="AF729" s="21" t="s">
        <v>548</v>
      </c>
    </row>
    <row r="730" spans="2:32">
      <c r="B730" s="19"/>
      <c r="Z730" s="21"/>
      <c r="AA730" s="21"/>
      <c r="AB730" s="21" t="s">
        <v>419</v>
      </c>
      <c r="AC730" s="21" t="s">
        <v>70</v>
      </c>
      <c r="AD730" s="21" t="s">
        <v>110</v>
      </c>
      <c r="AE730" s="41">
        <v>1</v>
      </c>
      <c r="AF730" s="21" t="s">
        <v>548</v>
      </c>
    </row>
    <row r="731" spans="2:32">
      <c r="B731" s="19"/>
      <c r="Z731" s="21"/>
      <c r="AA731" s="21"/>
      <c r="AB731" s="21" t="s">
        <v>428</v>
      </c>
      <c r="AC731" s="21" t="s">
        <v>70</v>
      </c>
      <c r="AD731" s="21" t="s">
        <v>110</v>
      </c>
      <c r="AE731" s="41">
        <v>1</v>
      </c>
      <c r="AF731" s="21" t="s">
        <v>548</v>
      </c>
    </row>
    <row r="732" spans="2:32">
      <c r="B732" s="19"/>
      <c r="Z732" s="21"/>
      <c r="AA732" s="21"/>
      <c r="AB732" s="21" t="s">
        <v>431</v>
      </c>
      <c r="AC732" s="21" t="s">
        <v>70</v>
      </c>
      <c r="AD732" s="21" t="s">
        <v>110</v>
      </c>
      <c r="AE732" s="41">
        <v>1</v>
      </c>
      <c r="AF732" s="21" t="s">
        <v>548</v>
      </c>
    </row>
    <row r="733" spans="2:32">
      <c r="B733" s="19"/>
      <c r="Z733" s="21"/>
      <c r="AA733" s="21"/>
      <c r="AB733" s="21" t="s">
        <v>439</v>
      </c>
      <c r="AC733" s="21" t="s">
        <v>70</v>
      </c>
      <c r="AD733" s="21" t="s">
        <v>110</v>
      </c>
      <c r="AE733" s="41">
        <v>1</v>
      </c>
      <c r="AF733" s="21" t="s">
        <v>548</v>
      </c>
    </row>
    <row r="734" spans="2:32">
      <c r="B734" s="19"/>
      <c r="Z734" s="21"/>
      <c r="AA734" s="21"/>
      <c r="AB734" s="21" t="s">
        <v>420</v>
      </c>
      <c r="AC734" s="21" t="s">
        <v>70</v>
      </c>
      <c r="AD734" s="21" t="s">
        <v>110</v>
      </c>
      <c r="AE734" s="41">
        <v>1</v>
      </c>
      <c r="AF734" s="21" t="s">
        <v>548</v>
      </c>
    </row>
    <row r="735" spans="2:32">
      <c r="B735" s="19"/>
      <c r="Z735" s="21"/>
      <c r="AA735" s="21"/>
      <c r="AB735" s="21" t="s">
        <v>422</v>
      </c>
      <c r="AC735" s="21" t="s">
        <v>70</v>
      </c>
      <c r="AD735" s="21" t="s">
        <v>110</v>
      </c>
      <c r="AE735" s="41">
        <v>1</v>
      </c>
      <c r="AF735" s="21" t="s">
        <v>548</v>
      </c>
    </row>
    <row r="736" spans="2:32">
      <c r="B736" s="19"/>
      <c r="Z736" s="21"/>
      <c r="AA736" s="21"/>
      <c r="AB736" s="21" t="s">
        <v>426</v>
      </c>
      <c r="AC736" s="21" t="s">
        <v>70</v>
      </c>
      <c r="AD736" s="21" t="s">
        <v>110</v>
      </c>
      <c r="AE736" s="41">
        <v>1</v>
      </c>
      <c r="AF736" s="21" t="s">
        <v>548</v>
      </c>
    </row>
    <row r="737" spans="2:32">
      <c r="B737" s="19"/>
      <c r="Z737" s="21"/>
      <c r="AA737" s="21"/>
      <c r="AB737" s="21" t="s">
        <v>608</v>
      </c>
      <c r="AC737" s="21" t="s">
        <v>70</v>
      </c>
      <c r="AD737" s="21" t="s">
        <v>110</v>
      </c>
      <c r="AE737" s="41">
        <v>1</v>
      </c>
      <c r="AF737" s="21" t="s">
        <v>548</v>
      </c>
    </row>
    <row r="738" spans="2:32">
      <c r="B738" s="19"/>
      <c r="Z738" s="21"/>
      <c r="AA738" s="21"/>
      <c r="AB738" s="21" t="s">
        <v>430</v>
      </c>
      <c r="AC738" s="21" t="s">
        <v>70</v>
      </c>
      <c r="AD738" s="21" t="s">
        <v>110</v>
      </c>
      <c r="AE738" s="41">
        <v>1</v>
      </c>
      <c r="AF738" s="21" t="s">
        <v>548</v>
      </c>
    </row>
    <row r="739" spans="2:32">
      <c r="B739" s="19"/>
      <c r="Z739" s="21"/>
      <c r="AA739" s="21"/>
      <c r="AB739" s="21" t="s">
        <v>432</v>
      </c>
      <c r="AC739" s="21" t="s">
        <v>70</v>
      </c>
      <c r="AD739" s="21" t="s">
        <v>110</v>
      </c>
      <c r="AE739" s="41">
        <v>1</v>
      </c>
      <c r="AF739" s="21" t="s">
        <v>548</v>
      </c>
    </row>
    <row r="740" spans="2:32">
      <c r="B740" s="19"/>
      <c r="Z740" s="21"/>
      <c r="AA740" s="21"/>
      <c r="AB740" s="21" t="s">
        <v>609</v>
      </c>
      <c r="AC740" s="21" t="s">
        <v>70</v>
      </c>
      <c r="AD740" s="21" t="s">
        <v>110</v>
      </c>
      <c r="AE740" s="41">
        <v>1</v>
      </c>
      <c r="AF740" s="21" t="s">
        <v>548</v>
      </c>
    </row>
    <row r="741" spans="2:32">
      <c r="B741" s="19"/>
      <c r="Z741" s="21"/>
      <c r="AA741" s="21"/>
      <c r="AB741" s="21" t="s">
        <v>441</v>
      </c>
      <c r="AC741" s="21" t="s">
        <v>70</v>
      </c>
      <c r="AD741" s="21" t="s">
        <v>110</v>
      </c>
      <c r="AE741" s="41">
        <v>1</v>
      </c>
      <c r="AF741" s="21" t="s">
        <v>548</v>
      </c>
    </row>
    <row r="742" spans="2:32">
      <c r="B742" s="19"/>
      <c r="Z742" s="21"/>
      <c r="AA742" s="21"/>
      <c r="AB742" s="21" t="s">
        <v>448</v>
      </c>
      <c r="AC742" s="21" t="s">
        <v>70</v>
      </c>
      <c r="AD742" s="21" t="s">
        <v>110</v>
      </c>
      <c r="AE742" s="41">
        <v>1</v>
      </c>
      <c r="AF742" s="21" t="s">
        <v>548</v>
      </c>
    </row>
    <row r="743" spans="2:32">
      <c r="B743" s="19"/>
      <c r="Z743" s="21"/>
      <c r="AA743" s="21"/>
      <c r="AB743" s="21" t="s">
        <v>449</v>
      </c>
      <c r="AC743" s="21" t="s">
        <v>70</v>
      </c>
      <c r="AD743" s="21" t="s">
        <v>110</v>
      </c>
      <c r="AE743" s="41">
        <v>1</v>
      </c>
      <c r="AF743" s="21" t="s">
        <v>548</v>
      </c>
    </row>
    <row r="744" spans="2:32">
      <c r="B744" s="19"/>
      <c r="Z744" s="21"/>
      <c r="AA744" s="21"/>
      <c r="AB744" s="21" t="s">
        <v>457</v>
      </c>
      <c r="AC744" s="21" t="s">
        <v>70</v>
      </c>
      <c r="AD744" s="21" t="s">
        <v>110</v>
      </c>
      <c r="AE744" s="41">
        <v>1</v>
      </c>
      <c r="AF744" s="21" t="s">
        <v>548</v>
      </c>
    </row>
    <row r="745" spans="2:32">
      <c r="B745" s="19"/>
      <c r="Z745" s="21"/>
      <c r="AA745" s="21"/>
      <c r="AB745" s="21" t="s">
        <v>450</v>
      </c>
      <c r="AC745" s="21" t="s">
        <v>70</v>
      </c>
      <c r="AD745" s="21" t="s">
        <v>110</v>
      </c>
      <c r="AE745" s="41">
        <v>1</v>
      </c>
      <c r="AF745" s="21" t="s">
        <v>548</v>
      </c>
    </row>
    <row r="746" spans="2:32">
      <c r="B746" s="19"/>
      <c r="Z746" s="21"/>
      <c r="AA746" s="21"/>
      <c r="AB746" s="21" t="s">
        <v>452</v>
      </c>
      <c r="AC746" s="21" t="s">
        <v>70</v>
      </c>
      <c r="AD746" s="21" t="s">
        <v>110</v>
      </c>
      <c r="AE746" s="41">
        <v>1</v>
      </c>
      <c r="AF746" s="21" t="s">
        <v>548</v>
      </c>
    </row>
    <row r="747" spans="2:32">
      <c r="B747" s="19"/>
      <c r="Z747" s="21"/>
      <c r="AA747" s="21"/>
      <c r="AB747" s="21" t="s">
        <v>453</v>
      </c>
      <c r="AC747" s="21" t="s">
        <v>70</v>
      </c>
      <c r="AD747" s="21" t="s">
        <v>110</v>
      </c>
      <c r="AE747" s="41">
        <v>1</v>
      </c>
      <c r="AF747" s="21" t="s">
        <v>548</v>
      </c>
    </row>
    <row r="748" spans="2:32">
      <c r="B748" s="19"/>
      <c r="Z748" s="21"/>
      <c r="AA748" s="21"/>
      <c r="AB748" s="21" t="s">
        <v>454</v>
      </c>
      <c r="AC748" s="21" t="s">
        <v>70</v>
      </c>
      <c r="AD748" s="21" t="s">
        <v>110</v>
      </c>
      <c r="AE748" s="41">
        <v>1</v>
      </c>
      <c r="AF748" s="21" t="s">
        <v>548</v>
      </c>
    </row>
    <row r="749" spans="2:32">
      <c r="B749" s="19"/>
      <c r="Z749" s="21"/>
      <c r="AA749" s="21"/>
      <c r="AB749" s="21" t="s">
        <v>455</v>
      </c>
      <c r="AC749" s="21" t="s">
        <v>70</v>
      </c>
      <c r="AD749" s="21" t="s">
        <v>110</v>
      </c>
      <c r="AE749" s="41">
        <v>1</v>
      </c>
      <c r="AF749" s="21" t="s">
        <v>548</v>
      </c>
    </row>
    <row r="750" spans="2:32">
      <c r="B750" s="19"/>
      <c r="Z750" s="21"/>
      <c r="AA750" s="21"/>
      <c r="AB750" s="21" t="s">
        <v>456</v>
      </c>
      <c r="AC750" s="21" t="s">
        <v>70</v>
      </c>
      <c r="AD750" s="21" t="s">
        <v>110</v>
      </c>
      <c r="AE750" s="41">
        <v>1</v>
      </c>
      <c r="AF750" s="21" t="s">
        <v>548</v>
      </c>
    </row>
    <row r="751" spans="2:32">
      <c r="B751" s="19"/>
      <c r="Z751" s="21"/>
      <c r="AA751" s="21"/>
      <c r="AB751" s="21" t="s">
        <v>458</v>
      </c>
      <c r="AC751" s="21" t="s">
        <v>70</v>
      </c>
      <c r="AD751" s="21" t="s">
        <v>110</v>
      </c>
      <c r="AE751" s="41">
        <v>1</v>
      </c>
      <c r="AF751" s="21" t="s">
        <v>548</v>
      </c>
    </row>
    <row r="752" spans="2:32">
      <c r="B752" s="19"/>
      <c r="Z752" s="21"/>
      <c r="AA752" s="21"/>
      <c r="AB752" s="21" t="s">
        <v>459</v>
      </c>
      <c r="AC752" s="21" t="s">
        <v>70</v>
      </c>
      <c r="AD752" s="21" t="s">
        <v>110</v>
      </c>
      <c r="AE752" s="41">
        <v>1</v>
      </c>
      <c r="AF752" s="21" t="s">
        <v>548</v>
      </c>
    </row>
    <row r="753" spans="2:42">
      <c r="B753" s="19"/>
      <c r="Z753" s="21"/>
      <c r="AA753" s="21"/>
      <c r="AB753" s="21" t="s">
        <v>460</v>
      </c>
      <c r="AC753" s="21" t="s">
        <v>70</v>
      </c>
      <c r="AD753" s="21" t="s">
        <v>110</v>
      </c>
      <c r="AE753" s="41">
        <v>1</v>
      </c>
      <c r="AF753" s="21" t="s">
        <v>548</v>
      </c>
    </row>
    <row r="754" spans="2:42">
      <c r="B754" s="19"/>
      <c r="Z754" s="21"/>
      <c r="AA754" s="21"/>
      <c r="AB754" s="21" t="s">
        <v>259</v>
      </c>
      <c r="AC754" s="21" t="s">
        <v>70</v>
      </c>
      <c r="AD754" s="21" t="s">
        <v>110</v>
      </c>
      <c r="AE754" s="41">
        <v>1</v>
      </c>
      <c r="AF754" s="21" t="s">
        <v>548</v>
      </c>
    </row>
    <row r="755" spans="2:42">
      <c r="B755" s="19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</row>
    <row r="756" spans="2:42">
      <c r="B756" s="19"/>
    </row>
    <row r="757" spans="2:42">
      <c r="B757" s="19"/>
      <c r="D757" s="11">
        <f>SUM(X757)</f>
        <v>3</v>
      </c>
      <c r="E757" s="20" t="s">
        <v>51</v>
      </c>
      <c r="F757" s="42" t="s">
        <v>610</v>
      </c>
      <c r="G757" s="42"/>
      <c r="H757" s="42"/>
      <c r="X757" s="11">
        <f>SUM(AC757)</f>
        <v>3</v>
      </c>
      <c r="Y757" s="20" t="s">
        <v>611</v>
      </c>
      <c r="Z757" s="42" t="s">
        <v>612</v>
      </c>
      <c r="AA757" s="42"/>
      <c r="AB757" s="42"/>
      <c r="AC757" s="11">
        <f>COUNTA(AB758:AB760)-COUNTIF(Z758:Z760,"兼")</f>
        <v>3</v>
      </c>
      <c r="AE757" s="5"/>
    </row>
    <row r="758" spans="2:42">
      <c r="B758" s="19"/>
      <c r="AA758" s="11" t="s">
        <v>505</v>
      </c>
      <c r="AB758" s="11" t="s">
        <v>215</v>
      </c>
      <c r="AC758" s="11" t="s">
        <v>10</v>
      </c>
      <c r="AD758" s="11" t="s">
        <v>146</v>
      </c>
      <c r="AE758" s="40">
        <v>0.4</v>
      </c>
    </row>
    <row r="759" spans="2:42">
      <c r="B759" s="19"/>
      <c r="AB759" s="11" t="s">
        <v>613</v>
      </c>
      <c r="AC759" s="11" t="s">
        <v>10</v>
      </c>
      <c r="AD759" s="11" t="s">
        <v>146</v>
      </c>
      <c r="AE759" s="1">
        <v>1</v>
      </c>
    </row>
    <row r="760" spans="2:42">
      <c r="B760" s="19"/>
      <c r="AB760" s="11" t="s">
        <v>614</v>
      </c>
      <c r="AC760" s="11" t="s">
        <v>10</v>
      </c>
      <c r="AD760" s="11" t="s">
        <v>146</v>
      </c>
      <c r="AE760" s="1">
        <v>1</v>
      </c>
    </row>
    <row r="761" spans="2:42">
      <c r="B761" s="19"/>
    </row>
    <row r="762" spans="2:42">
      <c r="B762" s="19"/>
      <c r="Z762" s="21"/>
      <c r="AA762" s="21" t="s">
        <v>624</v>
      </c>
      <c r="AB762" s="21"/>
      <c r="AC762" s="21"/>
      <c r="AD762" s="21"/>
      <c r="AE762" s="4"/>
      <c r="AF762" s="21"/>
    </row>
    <row r="763" spans="2:42">
      <c r="B763" s="19"/>
      <c r="Z763" s="21"/>
      <c r="AA763" s="21" t="s">
        <v>54</v>
      </c>
      <c r="AB763" s="21"/>
      <c r="AC763" s="21"/>
      <c r="AD763" s="21"/>
      <c r="AE763" s="4"/>
      <c r="AF763" s="21"/>
    </row>
    <row r="764" spans="2:42">
      <c r="B764" s="19"/>
      <c r="Z764" s="21" t="s">
        <v>57</v>
      </c>
      <c r="AA764" s="21"/>
      <c r="AB764" s="21" t="s">
        <v>1515</v>
      </c>
      <c r="AC764" s="21" t="s">
        <v>70</v>
      </c>
      <c r="AD764" s="21" t="s">
        <v>146</v>
      </c>
      <c r="AE764" s="41">
        <v>0.1</v>
      </c>
      <c r="AF764" s="21" t="s">
        <v>58</v>
      </c>
    </row>
    <row r="765" spans="2:42">
      <c r="B765" s="19"/>
      <c r="Z765" s="21" t="s">
        <v>57</v>
      </c>
      <c r="AA765" s="21"/>
      <c r="AB765" s="21" t="s">
        <v>1515</v>
      </c>
      <c r="AC765" s="21" t="s">
        <v>70</v>
      </c>
      <c r="AD765" s="21" t="s">
        <v>146</v>
      </c>
      <c r="AE765" s="41">
        <v>0.1</v>
      </c>
      <c r="AF765" s="21" t="s">
        <v>56</v>
      </c>
    </row>
    <row r="766" spans="2:42">
      <c r="B766" s="19"/>
      <c r="Z766" s="21" t="s">
        <v>57</v>
      </c>
      <c r="AA766" s="21"/>
      <c r="AB766" s="21" t="s">
        <v>625</v>
      </c>
      <c r="AC766" s="21" t="s">
        <v>70</v>
      </c>
      <c r="AD766" s="21" t="s">
        <v>146</v>
      </c>
      <c r="AE766" s="41">
        <v>0.1</v>
      </c>
      <c r="AF766" s="21" t="s">
        <v>58</v>
      </c>
    </row>
    <row r="767" spans="2:42">
      <c r="B767" s="19"/>
      <c r="Z767" s="21" t="s">
        <v>57</v>
      </c>
      <c r="AA767" s="21"/>
      <c r="AB767" s="21" t="s">
        <v>625</v>
      </c>
      <c r="AC767" s="21" t="s">
        <v>70</v>
      </c>
      <c r="AD767" s="21" t="s">
        <v>146</v>
      </c>
      <c r="AE767" s="41">
        <v>0.1</v>
      </c>
      <c r="AF767" s="21" t="s">
        <v>56</v>
      </c>
    </row>
    <row r="768" spans="2:42">
      <c r="B768" s="19"/>
      <c r="Z768" s="21" t="s">
        <v>57</v>
      </c>
      <c r="AA768" s="21"/>
      <c r="AB768" s="21" t="s">
        <v>626</v>
      </c>
      <c r="AC768" s="21" t="s">
        <v>70</v>
      </c>
      <c r="AD768" s="21" t="s">
        <v>146</v>
      </c>
      <c r="AE768" s="41">
        <v>0.5</v>
      </c>
      <c r="AF768" s="21" t="s">
        <v>58</v>
      </c>
    </row>
    <row r="769" spans="2:32">
      <c r="B769" s="19"/>
      <c r="Z769" s="21" t="s">
        <v>57</v>
      </c>
      <c r="AA769" s="21"/>
      <c r="AB769" s="21" t="s">
        <v>628</v>
      </c>
      <c r="AC769" s="21" t="s">
        <v>70</v>
      </c>
      <c r="AD769" s="21" t="s">
        <v>146</v>
      </c>
      <c r="AE769" s="41">
        <v>0.2</v>
      </c>
      <c r="AF769" s="21" t="s">
        <v>58</v>
      </c>
    </row>
    <row r="770" spans="2:32">
      <c r="B770" s="19"/>
    </row>
    <row r="771" spans="2:32">
      <c r="B771" s="19"/>
      <c r="Z771" s="21"/>
      <c r="AA771" s="21" t="s">
        <v>624</v>
      </c>
      <c r="AB771" s="21"/>
      <c r="AC771" s="21"/>
      <c r="AD771" s="21"/>
      <c r="AE771" s="4"/>
      <c r="AF771" s="21"/>
    </row>
    <row r="772" spans="2:32">
      <c r="B772" s="19"/>
      <c r="Z772" s="21"/>
      <c r="AA772" s="21" t="s">
        <v>547</v>
      </c>
      <c r="AB772" s="21"/>
      <c r="AC772" s="21"/>
      <c r="AD772" s="21"/>
      <c r="AE772" s="4"/>
      <c r="AF772" s="21"/>
    </row>
    <row r="773" spans="2:32">
      <c r="B773" s="19"/>
      <c r="Z773" s="21"/>
      <c r="AA773" s="21"/>
      <c r="AB773" s="21" t="s">
        <v>81</v>
      </c>
      <c r="AC773" s="21" t="s">
        <v>70</v>
      </c>
      <c r="AD773" s="21" t="s">
        <v>146</v>
      </c>
      <c r="AE773" s="41">
        <v>1</v>
      </c>
      <c r="AF773" s="21" t="s">
        <v>548</v>
      </c>
    </row>
    <row r="774" spans="2:32">
      <c r="B774" s="19"/>
      <c r="Z774" s="21"/>
      <c r="AA774" s="21"/>
      <c r="AB774" s="21" t="s">
        <v>629</v>
      </c>
      <c r="AC774" s="21" t="s">
        <v>70</v>
      </c>
      <c r="AD774" s="21" t="s">
        <v>146</v>
      </c>
      <c r="AE774" s="41">
        <v>1</v>
      </c>
      <c r="AF774" s="21" t="s">
        <v>548</v>
      </c>
    </row>
    <row r="775" spans="2:32">
      <c r="B775" s="19"/>
      <c r="Z775" s="21"/>
      <c r="AA775" s="21"/>
      <c r="AB775" s="21" t="s">
        <v>105</v>
      </c>
      <c r="AC775" s="21" t="s">
        <v>70</v>
      </c>
      <c r="AD775" s="21" t="s">
        <v>146</v>
      </c>
      <c r="AE775" s="41">
        <v>0.6</v>
      </c>
      <c r="AF775" s="21" t="s">
        <v>548</v>
      </c>
    </row>
    <row r="776" spans="2:32">
      <c r="B776" s="19"/>
      <c r="Z776" s="21"/>
      <c r="AA776" s="21"/>
      <c r="AB776" s="21" t="s">
        <v>630</v>
      </c>
      <c r="AC776" s="21" t="s">
        <v>70</v>
      </c>
      <c r="AD776" s="21" t="s">
        <v>146</v>
      </c>
      <c r="AE776" s="41">
        <v>1</v>
      </c>
      <c r="AF776" s="21" t="s">
        <v>548</v>
      </c>
    </row>
    <row r="777" spans="2:32">
      <c r="B777" s="19"/>
      <c r="Z777" s="21"/>
      <c r="AA777" s="21"/>
      <c r="AB777" s="21" t="s">
        <v>144</v>
      </c>
      <c r="AC777" s="21" t="s">
        <v>70</v>
      </c>
      <c r="AD777" s="21" t="s">
        <v>146</v>
      </c>
      <c r="AE777" s="41">
        <v>0.6</v>
      </c>
      <c r="AF777" s="21" t="s">
        <v>548</v>
      </c>
    </row>
    <row r="778" spans="2:32">
      <c r="B778" s="19"/>
      <c r="Z778" s="21"/>
      <c r="AA778" s="21"/>
      <c r="AB778" s="21" t="s">
        <v>162</v>
      </c>
      <c r="AC778" s="21" t="s">
        <v>70</v>
      </c>
      <c r="AD778" s="21" t="s">
        <v>146</v>
      </c>
      <c r="AE778" s="41">
        <v>1</v>
      </c>
      <c r="AF778" s="21" t="s">
        <v>548</v>
      </c>
    </row>
    <row r="779" spans="2:32">
      <c r="B779" s="19"/>
      <c r="Z779" s="21"/>
      <c r="AA779" s="21"/>
      <c r="AB779" s="21" t="s">
        <v>174</v>
      </c>
      <c r="AC779" s="21" t="s">
        <v>70</v>
      </c>
      <c r="AD779" s="21" t="s">
        <v>146</v>
      </c>
      <c r="AE779" s="41">
        <v>1</v>
      </c>
      <c r="AF779" s="21" t="s">
        <v>548</v>
      </c>
    </row>
    <row r="780" spans="2:32">
      <c r="B780" s="19"/>
      <c r="Z780" s="21"/>
      <c r="AA780" s="21"/>
      <c r="AB780" s="21" t="s">
        <v>205</v>
      </c>
      <c r="AC780" s="21" t="s">
        <v>70</v>
      </c>
      <c r="AD780" s="21" t="s">
        <v>146</v>
      </c>
      <c r="AE780" s="41">
        <v>1</v>
      </c>
      <c r="AF780" s="21" t="s">
        <v>548</v>
      </c>
    </row>
    <row r="781" spans="2:32">
      <c r="B781" s="19"/>
      <c r="Z781" s="21"/>
      <c r="AA781" s="21"/>
      <c r="AB781" s="21" t="s">
        <v>631</v>
      </c>
      <c r="AC781" s="21" t="s">
        <v>70</v>
      </c>
      <c r="AD781" s="21" t="s">
        <v>146</v>
      </c>
      <c r="AE781" s="41">
        <v>1</v>
      </c>
      <c r="AF781" s="21" t="s">
        <v>548</v>
      </c>
    </row>
    <row r="782" spans="2:32">
      <c r="B782" s="19"/>
      <c r="Z782" s="21" t="s">
        <v>57</v>
      </c>
      <c r="AA782" s="21"/>
      <c r="AB782" s="21" t="s">
        <v>632</v>
      </c>
      <c r="AC782" s="21" t="s">
        <v>70</v>
      </c>
      <c r="AD782" s="21" t="s">
        <v>146</v>
      </c>
      <c r="AE782" s="41">
        <v>0.4</v>
      </c>
      <c r="AF782" s="21" t="s">
        <v>548</v>
      </c>
    </row>
    <row r="783" spans="2:32">
      <c r="B783" s="19"/>
      <c r="Z783" s="21" t="s">
        <v>57</v>
      </c>
      <c r="AA783" s="21"/>
      <c r="AB783" s="21" t="s">
        <v>632</v>
      </c>
      <c r="AC783" s="21" t="s">
        <v>70</v>
      </c>
      <c r="AD783" s="21" t="s">
        <v>146</v>
      </c>
      <c r="AE783" s="41">
        <v>0.2</v>
      </c>
      <c r="AF783" s="21" t="s">
        <v>71</v>
      </c>
    </row>
    <row r="784" spans="2:32">
      <c r="B784" s="19"/>
      <c r="Z784" s="21"/>
      <c r="AA784" s="21"/>
      <c r="AB784" s="21" t="s">
        <v>214</v>
      </c>
      <c r="AC784" s="21" t="s">
        <v>70</v>
      </c>
      <c r="AD784" s="21" t="s">
        <v>146</v>
      </c>
      <c r="AE784" s="41">
        <v>1</v>
      </c>
      <c r="AF784" s="21" t="s">
        <v>548</v>
      </c>
    </row>
    <row r="785" spans="2:32">
      <c r="B785" s="19"/>
      <c r="Z785" s="21"/>
      <c r="AA785" s="21"/>
      <c r="AB785" s="21" t="s">
        <v>217</v>
      </c>
      <c r="AC785" s="21" t="s">
        <v>70</v>
      </c>
      <c r="AD785" s="21" t="s">
        <v>146</v>
      </c>
      <c r="AE785" s="41">
        <v>1</v>
      </c>
      <c r="AF785" s="21" t="s">
        <v>548</v>
      </c>
    </row>
    <row r="786" spans="2:32">
      <c r="B786" s="19"/>
      <c r="Z786" s="21"/>
      <c r="AA786" s="21"/>
      <c r="AB786" s="21" t="s">
        <v>233</v>
      </c>
      <c r="AC786" s="21" t="s">
        <v>70</v>
      </c>
      <c r="AD786" s="21" t="s">
        <v>146</v>
      </c>
      <c r="AE786" s="41">
        <v>1</v>
      </c>
      <c r="AF786" s="21" t="s">
        <v>548</v>
      </c>
    </row>
    <row r="787" spans="2:32">
      <c r="B787" s="19"/>
      <c r="Z787" s="21"/>
      <c r="AA787" s="21"/>
      <c r="AB787" s="21" t="s">
        <v>633</v>
      </c>
      <c r="AC787" s="21" t="s">
        <v>70</v>
      </c>
      <c r="AD787" s="21" t="s">
        <v>146</v>
      </c>
      <c r="AE787" s="41">
        <v>1</v>
      </c>
      <c r="AF787" s="21" t="s">
        <v>548</v>
      </c>
    </row>
    <row r="788" spans="2:32">
      <c r="B788" s="19"/>
      <c r="Z788" s="21"/>
      <c r="AA788" s="21"/>
      <c r="AB788" s="21" t="s">
        <v>250</v>
      </c>
      <c r="AC788" s="21" t="s">
        <v>70</v>
      </c>
      <c r="AD788" s="21" t="s">
        <v>146</v>
      </c>
      <c r="AE788" s="41">
        <v>1</v>
      </c>
      <c r="AF788" s="21" t="s">
        <v>548</v>
      </c>
    </row>
    <row r="789" spans="2:32">
      <c r="B789" s="19"/>
      <c r="Z789" s="21"/>
      <c r="AA789" s="21"/>
      <c r="AB789" s="21" t="s">
        <v>634</v>
      </c>
      <c r="AC789" s="21" t="s">
        <v>70</v>
      </c>
      <c r="AD789" s="21" t="s">
        <v>146</v>
      </c>
      <c r="AE789" s="41">
        <v>1</v>
      </c>
      <c r="AF789" s="21" t="s">
        <v>548</v>
      </c>
    </row>
    <row r="790" spans="2:32">
      <c r="B790" s="19"/>
      <c r="Z790" s="21"/>
      <c r="AA790" s="21"/>
      <c r="AB790" s="21" t="s">
        <v>257</v>
      </c>
      <c r="AC790" s="21" t="s">
        <v>70</v>
      </c>
      <c r="AD790" s="21" t="s">
        <v>146</v>
      </c>
      <c r="AE790" s="41">
        <v>1</v>
      </c>
      <c r="AF790" s="21" t="s">
        <v>548</v>
      </c>
    </row>
    <row r="791" spans="2:32">
      <c r="B791" s="19"/>
      <c r="Z791" s="21"/>
      <c r="AA791" s="21"/>
      <c r="AB791" s="21" t="s">
        <v>266</v>
      </c>
      <c r="AC791" s="21" t="s">
        <v>70</v>
      </c>
      <c r="AD791" s="21" t="s">
        <v>146</v>
      </c>
      <c r="AE791" s="41">
        <v>1</v>
      </c>
      <c r="AF791" s="21" t="s">
        <v>548</v>
      </c>
    </row>
    <row r="792" spans="2:32">
      <c r="B792" s="19"/>
      <c r="Z792" s="21"/>
      <c r="AA792" s="21"/>
      <c r="AB792" s="21" t="s">
        <v>279</v>
      </c>
      <c r="AC792" s="21" t="s">
        <v>70</v>
      </c>
      <c r="AD792" s="21" t="s">
        <v>146</v>
      </c>
      <c r="AE792" s="41">
        <v>1</v>
      </c>
      <c r="AF792" s="21" t="s">
        <v>548</v>
      </c>
    </row>
    <row r="793" spans="2:32">
      <c r="B793" s="19"/>
      <c r="Z793" s="21"/>
      <c r="AA793" s="21"/>
      <c r="AB793" s="21" t="s">
        <v>635</v>
      </c>
      <c r="AC793" s="21" t="s">
        <v>70</v>
      </c>
      <c r="AD793" s="21" t="s">
        <v>146</v>
      </c>
      <c r="AE793" s="41">
        <v>1</v>
      </c>
      <c r="AF793" s="21" t="s">
        <v>548</v>
      </c>
    </row>
    <row r="794" spans="2:32">
      <c r="B794" s="19"/>
      <c r="Z794" s="21"/>
      <c r="AA794" s="21"/>
      <c r="AB794" s="21" t="s">
        <v>302</v>
      </c>
      <c r="AC794" s="21" t="s">
        <v>70</v>
      </c>
      <c r="AD794" s="21" t="s">
        <v>146</v>
      </c>
      <c r="AE794" s="41">
        <v>1</v>
      </c>
      <c r="AF794" s="21" t="s">
        <v>548</v>
      </c>
    </row>
    <row r="795" spans="2:32">
      <c r="B795" s="19"/>
      <c r="Z795" s="21"/>
      <c r="AA795" s="21"/>
      <c r="AB795" s="21" t="s">
        <v>636</v>
      </c>
      <c r="AC795" s="21" t="s">
        <v>70</v>
      </c>
      <c r="AD795" s="21" t="s">
        <v>43</v>
      </c>
      <c r="AE795" s="41">
        <v>1</v>
      </c>
      <c r="AF795" s="21" t="s">
        <v>548</v>
      </c>
    </row>
    <row r="796" spans="2:32">
      <c r="B796" s="19"/>
      <c r="Z796" s="21"/>
      <c r="AA796" s="21"/>
      <c r="AB796" s="21" t="s">
        <v>336</v>
      </c>
      <c r="AC796" s="21" t="s">
        <v>70</v>
      </c>
      <c r="AD796" s="21" t="s">
        <v>146</v>
      </c>
      <c r="AE796" s="41">
        <v>1</v>
      </c>
      <c r="AF796" s="21" t="s">
        <v>548</v>
      </c>
    </row>
    <row r="797" spans="2:32">
      <c r="B797" s="19"/>
      <c r="Z797" s="21"/>
      <c r="AA797" s="21"/>
      <c r="AB797" s="21" t="s">
        <v>440</v>
      </c>
      <c r="AC797" s="21" t="s">
        <v>70</v>
      </c>
      <c r="AD797" s="21" t="s">
        <v>146</v>
      </c>
      <c r="AE797" s="41">
        <v>1</v>
      </c>
      <c r="AF797" s="21" t="s">
        <v>548</v>
      </c>
    </row>
    <row r="798" spans="2:32">
      <c r="B798" s="19"/>
      <c r="Z798" s="21"/>
      <c r="AA798" s="21"/>
      <c r="AB798" s="21" t="s">
        <v>398</v>
      </c>
      <c r="AC798" s="21" t="s">
        <v>70</v>
      </c>
      <c r="AD798" s="21" t="s">
        <v>146</v>
      </c>
      <c r="AE798" s="41">
        <v>1</v>
      </c>
      <c r="AF798" s="21" t="s">
        <v>548</v>
      </c>
    </row>
    <row r="799" spans="2:32">
      <c r="B799" s="19"/>
      <c r="Z799" s="21"/>
      <c r="AA799" s="21"/>
      <c r="AB799" s="21" t="s">
        <v>408</v>
      </c>
      <c r="AC799" s="21" t="s">
        <v>70</v>
      </c>
      <c r="AD799" s="21" t="s">
        <v>146</v>
      </c>
      <c r="AE799" s="41">
        <v>1</v>
      </c>
      <c r="AF799" s="21" t="s">
        <v>548</v>
      </c>
    </row>
    <row r="800" spans="2:32">
      <c r="B800" s="19"/>
      <c r="Z800" s="21"/>
      <c r="AA800" s="21"/>
      <c r="AB800" s="21" t="s">
        <v>409</v>
      </c>
      <c r="AC800" s="21" t="s">
        <v>70</v>
      </c>
      <c r="AD800" s="21" t="s">
        <v>146</v>
      </c>
      <c r="AE800" s="41">
        <v>1</v>
      </c>
      <c r="AF800" s="21" t="s">
        <v>548</v>
      </c>
    </row>
    <row r="801" spans="2:42">
      <c r="B801" s="19"/>
      <c r="Z801" s="21"/>
      <c r="AA801" s="21"/>
      <c r="AB801" s="21" t="s">
        <v>2236</v>
      </c>
      <c r="AC801" s="21" t="s">
        <v>70</v>
      </c>
      <c r="AD801" s="21" t="s">
        <v>276</v>
      </c>
      <c r="AE801" s="41">
        <v>1</v>
      </c>
      <c r="AF801" s="21" t="s">
        <v>548</v>
      </c>
    </row>
    <row r="802" spans="2:42">
      <c r="B802" s="19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</row>
    <row r="803" spans="2:42">
      <c r="B803" s="19"/>
      <c r="AE803" s="5"/>
    </row>
    <row r="804" spans="2:42">
      <c r="B804" s="19"/>
      <c r="D804" s="11">
        <f>SUM(X804)</f>
        <v>0</v>
      </c>
      <c r="E804" s="20" t="s">
        <v>51</v>
      </c>
      <c r="F804" s="42" t="s">
        <v>637</v>
      </c>
      <c r="G804" s="42"/>
      <c r="H804" s="42"/>
      <c r="X804" s="11">
        <f>SUM(AC804)</f>
        <v>0</v>
      </c>
      <c r="Y804" s="20" t="s">
        <v>638</v>
      </c>
      <c r="Z804" s="42" t="s">
        <v>639</v>
      </c>
      <c r="AA804" s="42"/>
      <c r="AB804" s="42"/>
      <c r="AC804" s="11">
        <f>COUNTA(AB805:AB806)-COUNTIF(Z805:Z806,"兼")</f>
        <v>0</v>
      </c>
      <c r="AE804" s="5"/>
    </row>
    <row r="805" spans="2:42">
      <c r="B805" s="19"/>
      <c r="Z805" s="11" t="s">
        <v>57</v>
      </c>
      <c r="AA805" s="11" t="s">
        <v>505</v>
      </c>
      <c r="AB805" s="11" t="s">
        <v>215</v>
      </c>
      <c r="AC805" s="11" t="s">
        <v>10</v>
      </c>
      <c r="AD805" s="11" t="s">
        <v>146</v>
      </c>
      <c r="AE805" s="40">
        <v>0.2</v>
      </c>
    </row>
    <row r="806" spans="2:42">
      <c r="B806" s="19"/>
      <c r="Z806" s="11" t="s">
        <v>57</v>
      </c>
      <c r="AB806" s="11" t="s">
        <v>271</v>
      </c>
      <c r="AC806" s="11" t="s">
        <v>10</v>
      </c>
      <c r="AD806" s="11" t="s">
        <v>85</v>
      </c>
      <c r="AE806" s="40">
        <v>0.1</v>
      </c>
    </row>
    <row r="807" spans="2:42">
      <c r="B807" s="19"/>
      <c r="AE807" s="5"/>
    </row>
    <row r="808" spans="2:42">
      <c r="B808" s="19"/>
      <c r="Z808" s="21"/>
      <c r="AA808" s="21" t="s">
        <v>646</v>
      </c>
      <c r="AB808" s="21"/>
      <c r="AC808" s="21"/>
      <c r="AD808" s="21"/>
      <c r="AE808" s="4"/>
      <c r="AF808" s="21"/>
    </row>
    <row r="809" spans="2:42">
      <c r="B809" s="19"/>
      <c r="Z809" s="21"/>
      <c r="AA809" s="21" t="s">
        <v>547</v>
      </c>
      <c r="AB809" s="21"/>
      <c r="AC809" s="21"/>
      <c r="AD809" s="21"/>
      <c r="AE809" s="4"/>
      <c r="AF809" s="21"/>
    </row>
    <row r="810" spans="2:42">
      <c r="B810" s="19"/>
      <c r="Z810" s="21"/>
      <c r="AA810" s="21"/>
      <c r="AB810" s="21" t="s">
        <v>647</v>
      </c>
      <c r="AC810" s="21" t="s">
        <v>10</v>
      </c>
      <c r="AD810" s="21" t="s">
        <v>223</v>
      </c>
      <c r="AE810" s="41">
        <v>1</v>
      </c>
      <c r="AF810" s="21" t="s">
        <v>548</v>
      </c>
    </row>
    <row r="811" spans="2:42">
      <c r="B811" s="19"/>
      <c r="Z811" s="21"/>
      <c r="AA811" s="21"/>
      <c r="AB811" s="21" t="s">
        <v>280</v>
      </c>
      <c r="AC811" s="21" t="s">
        <v>10</v>
      </c>
      <c r="AD811" s="21" t="s">
        <v>223</v>
      </c>
      <c r="AE811" s="41">
        <v>1</v>
      </c>
      <c r="AF811" s="21" t="s">
        <v>548</v>
      </c>
    </row>
    <row r="812" spans="2:42">
      <c r="B812" s="19"/>
      <c r="Z812" s="21"/>
      <c r="AA812" s="21"/>
      <c r="AB812" s="21" t="s">
        <v>206</v>
      </c>
      <c r="AC812" s="21" t="s">
        <v>10</v>
      </c>
      <c r="AD812" s="21" t="s">
        <v>223</v>
      </c>
      <c r="AE812" s="41">
        <v>1</v>
      </c>
      <c r="AF812" s="21" t="s">
        <v>548</v>
      </c>
    </row>
    <row r="813" spans="2:42">
      <c r="B813" s="19"/>
      <c r="Z813" s="21"/>
      <c r="AA813" s="21"/>
      <c r="AB813" s="21" t="s">
        <v>648</v>
      </c>
      <c r="AC813" s="21" t="s">
        <v>10</v>
      </c>
      <c r="AD813" s="21" t="s">
        <v>223</v>
      </c>
      <c r="AE813" s="41">
        <v>1</v>
      </c>
      <c r="AF813" s="21" t="s">
        <v>548</v>
      </c>
    </row>
    <row r="814" spans="2:42">
      <c r="B814" s="19"/>
      <c r="Z814" s="21"/>
      <c r="AA814" s="21"/>
      <c r="AB814" s="21" t="s">
        <v>232</v>
      </c>
      <c r="AC814" s="21" t="s">
        <v>10</v>
      </c>
      <c r="AD814" s="21" t="s">
        <v>223</v>
      </c>
      <c r="AE814" s="41">
        <v>1</v>
      </c>
      <c r="AF814" s="21" t="s">
        <v>548</v>
      </c>
    </row>
    <row r="815" spans="2:42">
      <c r="B815" s="19"/>
      <c r="Z815" s="21"/>
      <c r="AA815" s="21"/>
      <c r="AB815" s="21" t="s">
        <v>235</v>
      </c>
      <c r="AC815" s="21" t="s">
        <v>10</v>
      </c>
      <c r="AD815" s="21" t="s">
        <v>223</v>
      </c>
      <c r="AE815" s="41">
        <v>1</v>
      </c>
      <c r="AF815" s="21" t="s">
        <v>548</v>
      </c>
    </row>
    <row r="816" spans="2:42">
      <c r="B816" s="19"/>
      <c r="Z816" s="21"/>
      <c r="AA816" s="21"/>
      <c r="AB816" s="21" t="s">
        <v>262</v>
      </c>
      <c r="AC816" s="21" t="s">
        <v>10</v>
      </c>
      <c r="AD816" s="21" t="s">
        <v>223</v>
      </c>
      <c r="AE816" s="41">
        <v>1</v>
      </c>
      <c r="AF816" s="21" t="s">
        <v>548</v>
      </c>
    </row>
    <row r="817" spans="2:42">
      <c r="B817" s="19"/>
      <c r="Z817" s="21"/>
      <c r="AA817" s="21"/>
      <c r="AB817" s="21" t="s">
        <v>649</v>
      </c>
      <c r="AC817" s="21" t="s">
        <v>10</v>
      </c>
      <c r="AD817" s="21" t="s">
        <v>223</v>
      </c>
      <c r="AE817" s="41">
        <v>0.9</v>
      </c>
      <c r="AF817" s="21" t="s">
        <v>548</v>
      </c>
    </row>
    <row r="818" spans="2:42">
      <c r="B818" s="19"/>
      <c r="Z818" s="21"/>
      <c r="AA818" s="21"/>
      <c r="AB818" s="21" t="s">
        <v>328</v>
      </c>
      <c r="AC818" s="21" t="s">
        <v>10</v>
      </c>
      <c r="AD818" s="21" t="s">
        <v>223</v>
      </c>
      <c r="AE818" s="41">
        <v>1</v>
      </c>
      <c r="AF818" s="21" t="s">
        <v>548</v>
      </c>
    </row>
    <row r="819" spans="2:42"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</row>
    <row r="820" spans="2:42">
      <c r="E820" s="16"/>
      <c r="F820" s="16"/>
      <c r="G820" s="16"/>
      <c r="H820" s="16"/>
    </row>
    <row r="821" spans="2:42">
      <c r="B821" s="22"/>
      <c r="D821" s="11">
        <f>SUM(D825,D833)</f>
        <v>128</v>
      </c>
      <c r="E821" s="23"/>
      <c r="F821" s="45" t="s">
        <v>650</v>
      </c>
      <c r="G821" s="45"/>
      <c r="H821" s="45"/>
    </row>
    <row r="822" spans="2:42">
      <c r="B822" s="22"/>
      <c r="F822" s="11" t="s">
        <v>57</v>
      </c>
      <c r="G822" s="11" t="s">
        <v>651</v>
      </c>
      <c r="H822" s="11" t="s">
        <v>9</v>
      </c>
      <c r="I822" s="11" t="s">
        <v>10</v>
      </c>
      <c r="J822" s="11" t="s">
        <v>11</v>
      </c>
    </row>
    <row r="823" spans="2:42">
      <c r="B823" s="22"/>
      <c r="G823" s="11" t="s">
        <v>652</v>
      </c>
      <c r="H823" s="11" t="s">
        <v>653</v>
      </c>
      <c r="I823" s="11" t="s">
        <v>10</v>
      </c>
      <c r="J823" s="11" t="s">
        <v>78</v>
      </c>
    </row>
    <row r="824" spans="2:42">
      <c r="B824" s="22"/>
    </row>
    <row r="825" spans="2:42">
      <c r="B825" s="24"/>
      <c r="D825" s="11">
        <f>SUM(I825,N841)</f>
        <v>128</v>
      </c>
      <c r="E825" s="20" t="s">
        <v>654</v>
      </c>
      <c r="F825" s="42" t="s">
        <v>655</v>
      </c>
      <c r="G825" s="42"/>
      <c r="H825" s="42"/>
      <c r="I825" s="11">
        <f>COUNTA(H826:H827)-COUNTIF(F826:F827,"兼")</f>
        <v>1</v>
      </c>
    </row>
    <row r="826" spans="2:42">
      <c r="B826" s="24"/>
      <c r="F826" s="11" t="s">
        <v>57</v>
      </c>
      <c r="G826" s="11" t="s">
        <v>651</v>
      </c>
      <c r="H826" s="11" t="s">
        <v>9</v>
      </c>
      <c r="I826" s="11" t="s">
        <v>10</v>
      </c>
      <c r="J826" s="11" t="s">
        <v>11</v>
      </c>
      <c r="K826" s="1">
        <v>0.1</v>
      </c>
    </row>
    <row r="827" spans="2:42">
      <c r="B827" s="24"/>
      <c r="G827" s="11" t="s">
        <v>652</v>
      </c>
      <c r="H827" s="11" t="s">
        <v>653</v>
      </c>
      <c r="I827" s="11" t="s">
        <v>10</v>
      </c>
      <c r="J827" s="11" t="s">
        <v>78</v>
      </c>
      <c r="K827" s="1">
        <v>1</v>
      </c>
    </row>
    <row r="828" spans="2:42">
      <c r="B828" s="24"/>
      <c r="AE828" s="5"/>
    </row>
    <row r="829" spans="2:42">
      <c r="B829" s="24"/>
      <c r="F829" s="21"/>
      <c r="G829" s="21" t="s">
        <v>657</v>
      </c>
      <c r="H829" s="21"/>
      <c r="I829" s="21"/>
      <c r="J829" s="21"/>
      <c r="K829" s="21"/>
      <c r="L829" s="21"/>
      <c r="AE829" s="5"/>
    </row>
    <row r="830" spans="2:42">
      <c r="B830" s="24"/>
      <c r="F830" s="21" t="s">
        <v>57</v>
      </c>
      <c r="G830" s="21"/>
      <c r="H830" s="21" t="s">
        <v>658</v>
      </c>
      <c r="I830" s="21" t="s">
        <v>60</v>
      </c>
      <c r="J830" s="21" t="s">
        <v>124</v>
      </c>
      <c r="K830" s="2">
        <v>0.4</v>
      </c>
      <c r="L830" s="21" t="s">
        <v>548</v>
      </c>
      <c r="AE830" s="5"/>
    </row>
    <row r="831" spans="2:42">
      <c r="B831" s="24"/>
      <c r="F831" s="21" t="s">
        <v>57</v>
      </c>
      <c r="G831" s="21"/>
      <c r="H831" s="21" t="s">
        <v>659</v>
      </c>
      <c r="I831" s="21" t="s">
        <v>60</v>
      </c>
      <c r="J831" s="21" t="s">
        <v>78</v>
      </c>
      <c r="K831" s="2">
        <v>0.6</v>
      </c>
      <c r="L831" s="21" t="s">
        <v>548</v>
      </c>
      <c r="AE831" s="5"/>
    </row>
    <row r="832" spans="2:42">
      <c r="B832" s="24"/>
      <c r="AE832" s="5"/>
    </row>
    <row r="833" spans="2:42">
      <c r="B833" s="24"/>
      <c r="D833" s="11">
        <f>SUM(I833,X836)</f>
        <v>0</v>
      </c>
      <c r="E833" s="20" t="s">
        <v>664</v>
      </c>
      <c r="F833" s="42" t="s">
        <v>665</v>
      </c>
      <c r="G833" s="42"/>
      <c r="H833" s="42"/>
      <c r="AE833" s="5"/>
    </row>
    <row r="834" spans="2:42">
      <c r="B834" s="24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7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</row>
    <row r="835" spans="2:42">
      <c r="B835" s="24"/>
      <c r="AE835" s="5"/>
    </row>
    <row r="836" spans="2:42">
      <c r="B836" s="24"/>
      <c r="X836" s="11">
        <f>SUM(AC836)</f>
        <v>0</v>
      </c>
      <c r="Y836" s="20" t="s">
        <v>666</v>
      </c>
      <c r="Z836" s="42" t="s">
        <v>667</v>
      </c>
      <c r="AA836" s="42"/>
      <c r="AB836" s="42"/>
      <c r="AC836" s="11">
        <f>COUNTA(AB837:AB838)-COUNTIF(Z837:Z838,"兼")</f>
        <v>0</v>
      </c>
      <c r="AE836" s="5"/>
    </row>
    <row r="837" spans="2:42">
      <c r="B837" s="24"/>
      <c r="Z837" s="11" t="s">
        <v>1325</v>
      </c>
      <c r="AA837" s="11" t="s">
        <v>76</v>
      </c>
      <c r="AB837" s="11" t="s">
        <v>668</v>
      </c>
      <c r="AC837" s="11" t="s">
        <v>10</v>
      </c>
      <c r="AD837" s="11" t="s">
        <v>78</v>
      </c>
      <c r="AE837" s="40">
        <v>0.1</v>
      </c>
    </row>
    <row r="838" spans="2:42">
      <c r="B838" s="24"/>
      <c r="Z838" s="11" t="s">
        <v>138</v>
      </c>
      <c r="AB838" s="11" t="s">
        <v>669</v>
      </c>
      <c r="AC838" s="11" t="s">
        <v>10</v>
      </c>
      <c r="AD838" s="11" t="s">
        <v>2204</v>
      </c>
      <c r="AE838" s="40">
        <v>0.4</v>
      </c>
    </row>
    <row r="839" spans="2:42">
      <c r="B839" s="24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7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</row>
    <row r="840" spans="2:42">
      <c r="B840" s="24"/>
      <c r="AE840" s="5"/>
    </row>
    <row r="841" spans="2:42">
      <c r="B841" s="24"/>
      <c r="N841" s="11">
        <f>SUM(S841,X841,X848,X880,X921,X944,X957,X977,X986)</f>
        <v>127</v>
      </c>
      <c r="O841" s="20" t="s">
        <v>670</v>
      </c>
      <c r="P841" s="42" t="s">
        <v>671</v>
      </c>
      <c r="Q841" s="42"/>
      <c r="R841" s="42"/>
      <c r="S841" s="11">
        <f>COUNTA(R842:R845)-COUNTIF(P842:P845,"兼")</f>
        <v>4</v>
      </c>
      <c r="X841" s="11">
        <f>SUM(AC841)</f>
        <v>4</v>
      </c>
      <c r="Y841" s="20" t="s">
        <v>672</v>
      </c>
      <c r="Z841" s="42" t="s">
        <v>673</v>
      </c>
      <c r="AA841" s="42"/>
      <c r="AB841" s="42"/>
      <c r="AC841" s="11">
        <f>COUNTA(AB842:AB845)-COUNTIF(Z842:Z845,"兼")</f>
        <v>4</v>
      </c>
      <c r="AE841" s="5"/>
    </row>
    <row r="842" spans="2:42">
      <c r="B842" s="24"/>
      <c r="Q842" s="11" t="s">
        <v>674</v>
      </c>
      <c r="R842" s="11" t="s">
        <v>675</v>
      </c>
      <c r="S842" s="11" t="s">
        <v>10</v>
      </c>
      <c r="T842" s="11" t="s">
        <v>78</v>
      </c>
      <c r="U842" s="1">
        <v>1</v>
      </c>
      <c r="AA842" s="11" t="s">
        <v>76</v>
      </c>
      <c r="AB842" s="11" t="s">
        <v>676</v>
      </c>
      <c r="AC842" s="11" t="s">
        <v>10</v>
      </c>
      <c r="AD842" s="11" t="s">
        <v>78</v>
      </c>
      <c r="AE842" s="40">
        <v>1</v>
      </c>
    </row>
    <row r="843" spans="2:42">
      <c r="B843" s="24"/>
      <c r="Q843" s="11" t="s">
        <v>677</v>
      </c>
      <c r="R843" s="11" t="s">
        <v>669</v>
      </c>
      <c r="S843" s="11" t="s">
        <v>10</v>
      </c>
      <c r="T843" s="11" t="s">
        <v>2204</v>
      </c>
      <c r="U843" s="1">
        <v>0.6</v>
      </c>
      <c r="AB843" s="11" t="s">
        <v>678</v>
      </c>
      <c r="AC843" s="11" t="s">
        <v>10</v>
      </c>
      <c r="AD843" s="11" t="s">
        <v>78</v>
      </c>
      <c r="AE843" s="40">
        <v>1</v>
      </c>
    </row>
    <row r="844" spans="2:42">
      <c r="B844" s="24"/>
      <c r="R844" s="11" t="s">
        <v>679</v>
      </c>
      <c r="S844" s="11" t="s">
        <v>10</v>
      </c>
      <c r="T844" s="11" t="s">
        <v>78</v>
      </c>
      <c r="U844" s="1">
        <v>1</v>
      </c>
      <c r="AB844" s="11" t="s">
        <v>682</v>
      </c>
      <c r="AC844" s="11" t="s">
        <v>10</v>
      </c>
      <c r="AD844" s="11" t="s">
        <v>78</v>
      </c>
      <c r="AE844" s="40">
        <v>1</v>
      </c>
    </row>
    <row r="845" spans="2:42">
      <c r="B845" s="24"/>
      <c r="R845" s="11" t="s">
        <v>683</v>
      </c>
      <c r="S845" s="11" t="s">
        <v>684</v>
      </c>
      <c r="T845" s="11" t="s">
        <v>78</v>
      </c>
      <c r="U845" s="40">
        <v>1</v>
      </c>
      <c r="V845" s="11" t="s">
        <v>685</v>
      </c>
      <c r="AB845" s="11" t="s">
        <v>681</v>
      </c>
      <c r="AC845" s="11" t="s">
        <v>10</v>
      </c>
      <c r="AD845" s="11" t="s">
        <v>78</v>
      </c>
      <c r="AE845" s="40">
        <v>1</v>
      </c>
    </row>
    <row r="846" spans="2:42">
      <c r="B846" s="24"/>
      <c r="X846" s="16"/>
      <c r="Y846" s="16"/>
      <c r="Z846" s="16"/>
      <c r="AA846" s="16"/>
      <c r="AB846" s="16"/>
      <c r="AC846" s="16"/>
      <c r="AD846" s="16"/>
      <c r="AE846" s="7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</row>
    <row r="847" spans="2:42">
      <c r="B847" s="24"/>
      <c r="AE847" s="8"/>
    </row>
    <row r="848" spans="2:42">
      <c r="B848" s="24"/>
      <c r="X848" s="11">
        <f>SUM(AC848,AM848,AM861,AM873)</f>
        <v>31</v>
      </c>
      <c r="Y848" s="20" t="s">
        <v>686</v>
      </c>
      <c r="Z848" s="42" t="s">
        <v>687</v>
      </c>
      <c r="AA848" s="42"/>
      <c r="AB848" s="42"/>
      <c r="AC848" s="11">
        <f>COUNTA(AB849:AB854)-COUNTIF(Z849:Z854,"兼")</f>
        <v>6</v>
      </c>
      <c r="AE848" s="5"/>
      <c r="AI848" s="20" t="s">
        <v>688</v>
      </c>
      <c r="AJ848" s="42" t="s">
        <v>689</v>
      </c>
      <c r="AK848" s="42"/>
      <c r="AL848" s="42"/>
      <c r="AM848" s="11">
        <f>COUNTA(AL849:AL859)-COUNTIF(AJ849:AJ859,"兼")</f>
        <v>11</v>
      </c>
    </row>
    <row r="849" spans="2:41">
      <c r="B849" s="24"/>
      <c r="AA849" s="11" t="s">
        <v>98</v>
      </c>
      <c r="AB849" s="11" t="s">
        <v>690</v>
      </c>
      <c r="AC849" s="11" t="s">
        <v>10</v>
      </c>
      <c r="AD849" s="11" t="s">
        <v>78</v>
      </c>
      <c r="AE849" s="40">
        <v>1</v>
      </c>
      <c r="AK849" s="11" t="s">
        <v>100</v>
      </c>
      <c r="AL849" s="11" t="s">
        <v>691</v>
      </c>
      <c r="AM849" s="11" t="s">
        <v>10</v>
      </c>
      <c r="AN849" s="11" t="s">
        <v>78</v>
      </c>
      <c r="AO849" s="1">
        <v>1</v>
      </c>
    </row>
    <row r="850" spans="2:41">
      <c r="B850" s="24"/>
      <c r="AA850" s="11" t="s">
        <v>186</v>
      </c>
      <c r="AB850" s="11" t="s">
        <v>692</v>
      </c>
      <c r="AC850" s="11" t="s">
        <v>693</v>
      </c>
      <c r="AD850" s="11" t="s">
        <v>78</v>
      </c>
      <c r="AE850" s="40">
        <v>1</v>
      </c>
      <c r="AL850" s="11" t="s">
        <v>694</v>
      </c>
      <c r="AM850" s="11" t="s">
        <v>10</v>
      </c>
      <c r="AN850" s="11" t="s">
        <v>78</v>
      </c>
      <c r="AO850" s="1">
        <v>1</v>
      </c>
    </row>
    <row r="851" spans="2:41">
      <c r="B851" s="24"/>
      <c r="AA851" s="11" t="s">
        <v>186</v>
      </c>
      <c r="AB851" s="11" t="s">
        <v>695</v>
      </c>
      <c r="AC851" s="11" t="s">
        <v>10</v>
      </c>
      <c r="AD851" s="11" t="s">
        <v>78</v>
      </c>
      <c r="AE851" s="40">
        <v>1</v>
      </c>
      <c r="AL851" s="11" t="s">
        <v>696</v>
      </c>
      <c r="AM851" s="11" t="s">
        <v>10</v>
      </c>
      <c r="AN851" s="11" t="s">
        <v>78</v>
      </c>
      <c r="AO851" s="1">
        <v>1</v>
      </c>
    </row>
    <row r="852" spans="2:41">
      <c r="B852" s="24"/>
      <c r="AB852" s="11" t="s">
        <v>697</v>
      </c>
      <c r="AC852" s="11" t="s">
        <v>10</v>
      </c>
      <c r="AD852" s="11" t="s">
        <v>78</v>
      </c>
      <c r="AE852" s="1">
        <v>1</v>
      </c>
      <c r="AL852" s="11" t="s">
        <v>698</v>
      </c>
      <c r="AM852" s="11" t="s">
        <v>10</v>
      </c>
      <c r="AN852" s="11" t="s">
        <v>78</v>
      </c>
      <c r="AO852" s="1">
        <v>1</v>
      </c>
    </row>
    <row r="853" spans="2:41">
      <c r="B853" s="24"/>
      <c r="AB853" s="11" t="s">
        <v>699</v>
      </c>
      <c r="AC853" s="11" t="s">
        <v>150</v>
      </c>
      <c r="AD853" s="11" t="s">
        <v>78</v>
      </c>
      <c r="AE853" s="1">
        <v>1</v>
      </c>
      <c r="AL853" s="11" t="s">
        <v>700</v>
      </c>
      <c r="AM853" s="11" t="s">
        <v>10</v>
      </c>
      <c r="AN853" s="11" t="s">
        <v>78</v>
      </c>
      <c r="AO853" s="1">
        <v>1</v>
      </c>
    </row>
    <row r="854" spans="2:41">
      <c r="B854" s="24"/>
      <c r="AB854" s="11" t="s">
        <v>704</v>
      </c>
      <c r="AC854" s="11" t="s">
        <v>10</v>
      </c>
      <c r="AD854" s="11" t="s">
        <v>78</v>
      </c>
      <c r="AE854" s="1">
        <v>1</v>
      </c>
      <c r="AL854" s="11" t="s">
        <v>701</v>
      </c>
      <c r="AM854" s="11" t="s">
        <v>10</v>
      </c>
      <c r="AN854" s="11" t="s">
        <v>78</v>
      </c>
      <c r="AO854" s="1">
        <v>1</v>
      </c>
    </row>
    <row r="855" spans="2:41">
      <c r="B855" s="24"/>
      <c r="AE855" s="5"/>
      <c r="AL855" s="11" t="s">
        <v>702</v>
      </c>
      <c r="AM855" s="11" t="s">
        <v>10</v>
      </c>
      <c r="AN855" s="11" t="s">
        <v>78</v>
      </c>
      <c r="AO855" s="1">
        <v>1</v>
      </c>
    </row>
    <row r="856" spans="2:41">
      <c r="B856" s="24"/>
      <c r="AE856" s="5"/>
      <c r="AL856" s="11" t="s">
        <v>703</v>
      </c>
      <c r="AM856" s="11" t="s">
        <v>10</v>
      </c>
      <c r="AN856" s="11" t="s">
        <v>78</v>
      </c>
      <c r="AO856" s="1">
        <v>1</v>
      </c>
    </row>
    <row r="857" spans="2:41">
      <c r="B857" s="24"/>
      <c r="AE857" s="5"/>
      <c r="AL857" s="11" t="s">
        <v>705</v>
      </c>
      <c r="AM857" s="11" t="s">
        <v>10</v>
      </c>
      <c r="AN857" s="11" t="s">
        <v>78</v>
      </c>
      <c r="AO857" s="1">
        <v>1</v>
      </c>
    </row>
    <row r="858" spans="2:41">
      <c r="B858" s="24"/>
      <c r="AE858" s="5"/>
      <c r="AL858" s="11" t="s">
        <v>706</v>
      </c>
      <c r="AM858" s="11" t="s">
        <v>10</v>
      </c>
      <c r="AN858" s="11" t="s">
        <v>78</v>
      </c>
      <c r="AO858" s="1">
        <v>1</v>
      </c>
    </row>
    <row r="859" spans="2:41">
      <c r="B859" s="24"/>
      <c r="AE859" s="5"/>
      <c r="AL859" s="11" t="s">
        <v>530</v>
      </c>
      <c r="AM859" s="11" t="s">
        <v>10</v>
      </c>
      <c r="AN859" s="11" t="s">
        <v>78</v>
      </c>
      <c r="AO859" s="1">
        <v>1</v>
      </c>
    </row>
    <row r="860" spans="2:41">
      <c r="B860" s="24"/>
      <c r="AE860" s="5"/>
    </row>
    <row r="861" spans="2:41">
      <c r="B861" s="24"/>
      <c r="AE861" s="5"/>
      <c r="AI861" s="20" t="s">
        <v>707</v>
      </c>
      <c r="AJ861" s="42" t="s">
        <v>708</v>
      </c>
      <c r="AK861" s="42"/>
      <c r="AL861" s="42"/>
      <c r="AM861" s="11">
        <f>COUNTA(AL862:AL871)-COUNTIF(AJ862:AJ871,"兼")</f>
        <v>10</v>
      </c>
    </row>
    <row r="862" spans="2:41">
      <c r="B862" s="24"/>
      <c r="AE862" s="5"/>
      <c r="AK862" s="11" t="s">
        <v>100</v>
      </c>
      <c r="AL862" s="11" t="s">
        <v>709</v>
      </c>
      <c r="AM862" s="11" t="s">
        <v>693</v>
      </c>
      <c r="AN862" s="11" t="s">
        <v>78</v>
      </c>
      <c r="AO862" s="1">
        <v>1</v>
      </c>
    </row>
    <row r="863" spans="2:41">
      <c r="B863" s="24"/>
      <c r="AE863" s="5"/>
      <c r="AL863" s="11" t="s">
        <v>710</v>
      </c>
      <c r="AM863" s="11" t="s">
        <v>693</v>
      </c>
      <c r="AN863" s="11" t="s">
        <v>78</v>
      </c>
      <c r="AO863" s="1">
        <v>1</v>
      </c>
    </row>
    <row r="864" spans="2:41">
      <c r="B864" s="24"/>
      <c r="AE864" s="5"/>
      <c r="AL864" s="11" t="s">
        <v>711</v>
      </c>
      <c r="AM864" s="11" t="s">
        <v>693</v>
      </c>
      <c r="AN864" s="11" t="s">
        <v>78</v>
      </c>
      <c r="AO864" s="1">
        <v>1</v>
      </c>
    </row>
    <row r="865" spans="2:42">
      <c r="B865" s="24"/>
      <c r="AE865" s="5"/>
      <c r="AL865" s="11" t="s">
        <v>712</v>
      </c>
      <c r="AM865" s="11" t="s">
        <v>693</v>
      </c>
      <c r="AN865" s="11" t="s">
        <v>78</v>
      </c>
      <c r="AO865" s="1">
        <v>1</v>
      </c>
    </row>
    <row r="866" spans="2:42">
      <c r="B866" s="24"/>
      <c r="AE866" s="5"/>
      <c r="AL866" s="11" t="s">
        <v>713</v>
      </c>
      <c r="AM866" s="11" t="s">
        <v>693</v>
      </c>
      <c r="AN866" s="11" t="s">
        <v>78</v>
      </c>
      <c r="AO866" s="1">
        <v>1</v>
      </c>
    </row>
    <row r="867" spans="2:42">
      <c r="B867" s="24"/>
      <c r="AE867" s="5"/>
      <c r="AL867" s="11" t="s">
        <v>714</v>
      </c>
      <c r="AM867" s="11" t="s">
        <v>693</v>
      </c>
      <c r="AN867" s="11" t="s">
        <v>78</v>
      </c>
      <c r="AO867" s="1">
        <v>1</v>
      </c>
    </row>
    <row r="868" spans="2:42">
      <c r="B868" s="24"/>
      <c r="AE868" s="5"/>
      <c r="AL868" s="11" t="s">
        <v>715</v>
      </c>
      <c r="AM868" s="11" t="s">
        <v>693</v>
      </c>
      <c r="AN868" s="11" t="s">
        <v>78</v>
      </c>
      <c r="AO868" s="1">
        <v>1</v>
      </c>
    </row>
    <row r="869" spans="2:42">
      <c r="B869" s="24"/>
      <c r="AE869" s="5"/>
      <c r="AL869" s="11" t="s">
        <v>716</v>
      </c>
      <c r="AM869" s="11" t="s">
        <v>693</v>
      </c>
      <c r="AN869" s="11" t="s">
        <v>78</v>
      </c>
      <c r="AO869" s="1">
        <v>1</v>
      </c>
    </row>
    <row r="870" spans="2:42">
      <c r="B870" s="24"/>
      <c r="AE870" s="5"/>
      <c r="AL870" s="11" t="s">
        <v>717</v>
      </c>
      <c r="AM870" s="11" t="s">
        <v>693</v>
      </c>
      <c r="AN870" s="11" t="s">
        <v>78</v>
      </c>
      <c r="AO870" s="1">
        <v>1</v>
      </c>
    </row>
    <row r="871" spans="2:42">
      <c r="B871" s="24"/>
      <c r="AE871" s="5"/>
      <c r="AL871" s="11" t="s">
        <v>518</v>
      </c>
      <c r="AM871" s="11" t="s">
        <v>693</v>
      </c>
      <c r="AN871" s="11" t="s">
        <v>78</v>
      </c>
      <c r="AO871" s="1">
        <v>1</v>
      </c>
    </row>
    <row r="872" spans="2:42">
      <c r="B872" s="24"/>
      <c r="AE872" s="5"/>
    </row>
    <row r="873" spans="2:42">
      <c r="B873" s="24"/>
      <c r="AE873" s="5"/>
      <c r="AI873" s="20" t="s">
        <v>718</v>
      </c>
      <c r="AJ873" s="42" t="s">
        <v>719</v>
      </c>
      <c r="AK873" s="42"/>
      <c r="AL873" s="42"/>
      <c r="AM873" s="11">
        <f>COUNTA(AL874:AL877)-COUNTIF(AJ874:AJ877,"兼")</f>
        <v>4</v>
      </c>
    </row>
    <row r="874" spans="2:42">
      <c r="B874" s="24"/>
      <c r="AE874" s="5"/>
      <c r="AK874" s="11" t="s">
        <v>100</v>
      </c>
      <c r="AL874" s="11" t="s">
        <v>720</v>
      </c>
      <c r="AM874" s="11" t="s">
        <v>150</v>
      </c>
      <c r="AN874" s="11" t="s">
        <v>78</v>
      </c>
      <c r="AO874" s="1">
        <v>1</v>
      </c>
    </row>
    <row r="875" spans="2:42">
      <c r="B875" s="24"/>
      <c r="AE875" s="5"/>
      <c r="AL875" s="11" t="s">
        <v>721</v>
      </c>
      <c r="AM875" s="11" t="s">
        <v>150</v>
      </c>
      <c r="AN875" s="11" t="s">
        <v>78</v>
      </c>
      <c r="AO875" s="1">
        <v>1</v>
      </c>
    </row>
    <row r="876" spans="2:42">
      <c r="B876" s="24"/>
      <c r="AE876" s="5"/>
      <c r="AL876" s="11" t="s">
        <v>722</v>
      </c>
      <c r="AM876" s="11" t="s">
        <v>150</v>
      </c>
      <c r="AN876" s="11" t="s">
        <v>78</v>
      </c>
      <c r="AO876" s="1">
        <v>1</v>
      </c>
    </row>
    <row r="877" spans="2:42">
      <c r="B877" s="24"/>
      <c r="AE877" s="5"/>
      <c r="AL877" s="11" t="s">
        <v>723</v>
      </c>
      <c r="AM877" s="11" t="s">
        <v>150</v>
      </c>
      <c r="AN877" s="11" t="s">
        <v>78</v>
      </c>
      <c r="AO877" s="1">
        <v>1</v>
      </c>
    </row>
    <row r="878" spans="2:42">
      <c r="B878" s="24"/>
      <c r="X878" s="16"/>
      <c r="Y878" s="16"/>
      <c r="Z878" s="16"/>
      <c r="AA878" s="16"/>
      <c r="AB878" s="16"/>
      <c r="AC878" s="16"/>
      <c r="AD878" s="16"/>
      <c r="AE878" s="7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</row>
    <row r="879" spans="2:42">
      <c r="B879" s="24"/>
      <c r="AE879" s="5"/>
    </row>
    <row r="880" spans="2:42">
      <c r="B880" s="24"/>
      <c r="X880" s="11">
        <f>SUM(AC880,AM880,AM888,AM896,AM904,AM912)</f>
        <v>33</v>
      </c>
      <c r="Y880" s="20" t="s">
        <v>724</v>
      </c>
      <c r="Z880" s="42" t="s">
        <v>725</v>
      </c>
      <c r="AA880" s="42"/>
      <c r="AB880" s="42"/>
      <c r="AC880" s="11">
        <f>COUNTA(AB881:AB883)-COUNTIF(Z881:Z883,"兼")</f>
        <v>3</v>
      </c>
      <c r="AE880" s="5"/>
      <c r="AI880" s="20" t="s">
        <v>726</v>
      </c>
      <c r="AJ880" s="42" t="s">
        <v>689</v>
      </c>
      <c r="AK880" s="42"/>
      <c r="AL880" s="42"/>
      <c r="AM880" s="11">
        <f>COUNTA(AL881:AL886)-COUNTIF(AJ881:AJ886,"兼")</f>
        <v>6</v>
      </c>
    </row>
    <row r="881" spans="2:41">
      <c r="B881" s="24"/>
      <c r="AA881" s="11" t="s">
        <v>98</v>
      </c>
      <c r="AB881" s="11" t="s">
        <v>727</v>
      </c>
      <c r="AC881" s="11" t="s">
        <v>10</v>
      </c>
      <c r="AD881" s="11" t="s">
        <v>78</v>
      </c>
      <c r="AE881" s="40">
        <v>1</v>
      </c>
      <c r="AK881" s="11" t="s">
        <v>100</v>
      </c>
      <c r="AL881" s="11" t="s">
        <v>728</v>
      </c>
      <c r="AM881" s="11" t="s">
        <v>10</v>
      </c>
      <c r="AN881" s="11" t="s">
        <v>78</v>
      </c>
      <c r="AO881" s="1">
        <v>1</v>
      </c>
    </row>
    <row r="882" spans="2:41">
      <c r="B882" s="24"/>
      <c r="AB882" s="11" t="s">
        <v>731</v>
      </c>
      <c r="AC882" s="11" t="s">
        <v>229</v>
      </c>
      <c r="AD882" s="11" t="s">
        <v>78</v>
      </c>
      <c r="AE882" s="40">
        <v>1</v>
      </c>
      <c r="AL882" s="11" t="s">
        <v>730</v>
      </c>
      <c r="AM882" s="11" t="s">
        <v>10</v>
      </c>
      <c r="AN882" s="11" t="s">
        <v>78</v>
      </c>
      <c r="AO882" s="1">
        <v>1</v>
      </c>
    </row>
    <row r="883" spans="2:41">
      <c r="B883" s="24"/>
      <c r="AB883" s="11" t="s">
        <v>732</v>
      </c>
      <c r="AC883" s="11" t="s">
        <v>693</v>
      </c>
      <c r="AD883" s="11" t="s">
        <v>78</v>
      </c>
      <c r="AE883" s="40">
        <v>1</v>
      </c>
      <c r="AL883" s="11" t="s">
        <v>733</v>
      </c>
      <c r="AM883" s="11" t="s">
        <v>10</v>
      </c>
      <c r="AN883" s="11" t="s">
        <v>78</v>
      </c>
      <c r="AO883" s="1">
        <v>1</v>
      </c>
    </row>
    <row r="884" spans="2:41">
      <c r="B884" s="24"/>
      <c r="AL884" s="11" t="s">
        <v>734</v>
      </c>
      <c r="AM884" s="11" t="s">
        <v>10</v>
      </c>
      <c r="AN884" s="11" t="s">
        <v>78</v>
      </c>
      <c r="AO884" s="1">
        <v>1</v>
      </c>
    </row>
    <row r="885" spans="2:41">
      <c r="B885" s="24"/>
      <c r="AL885" s="11" t="s">
        <v>735</v>
      </c>
      <c r="AM885" s="11" t="s">
        <v>10</v>
      </c>
      <c r="AN885" s="11" t="s">
        <v>78</v>
      </c>
      <c r="AO885" s="1">
        <v>1</v>
      </c>
    </row>
    <row r="886" spans="2:41">
      <c r="B886" s="24"/>
      <c r="AL886" s="11" t="s">
        <v>2239</v>
      </c>
      <c r="AM886" s="11" t="s">
        <v>10</v>
      </c>
      <c r="AN886" s="11" t="s">
        <v>78</v>
      </c>
      <c r="AO886" s="1">
        <v>1</v>
      </c>
    </row>
    <row r="887" spans="2:41">
      <c r="B887" s="24"/>
      <c r="AE887" s="11"/>
    </row>
    <row r="888" spans="2:41">
      <c r="B888" s="24"/>
      <c r="AE888" s="5"/>
      <c r="AI888" s="20" t="s">
        <v>737</v>
      </c>
      <c r="AJ888" s="42" t="s">
        <v>708</v>
      </c>
      <c r="AK888" s="42"/>
      <c r="AL888" s="42"/>
      <c r="AM888" s="11">
        <f>COUNTA(AL889:AL894)-COUNTIF(AJ889:AJ894,"兼")</f>
        <v>6</v>
      </c>
    </row>
    <row r="889" spans="2:41">
      <c r="B889" s="24"/>
      <c r="AE889" s="5"/>
      <c r="AK889" s="11" t="s">
        <v>100</v>
      </c>
      <c r="AL889" s="11" t="s">
        <v>738</v>
      </c>
      <c r="AM889" s="11" t="s">
        <v>693</v>
      </c>
      <c r="AN889" s="11" t="s">
        <v>78</v>
      </c>
      <c r="AO889" s="1">
        <v>1</v>
      </c>
    </row>
    <row r="890" spans="2:41">
      <c r="B890" s="24"/>
      <c r="AE890" s="5"/>
      <c r="AL890" s="11" t="s">
        <v>739</v>
      </c>
      <c r="AM890" s="11" t="s">
        <v>693</v>
      </c>
      <c r="AN890" s="11" t="s">
        <v>78</v>
      </c>
      <c r="AO890" s="1">
        <v>1</v>
      </c>
    </row>
    <row r="891" spans="2:41">
      <c r="B891" s="24"/>
      <c r="AE891" s="5"/>
      <c r="AL891" s="11" t="s">
        <v>740</v>
      </c>
      <c r="AM891" s="11" t="s">
        <v>693</v>
      </c>
      <c r="AN891" s="11" t="s">
        <v>78</v>
      </c>
      <c r="AO891" s="1">
        <v>1</v>
      </c>
    </row>
    <row r="892" spans="2:41">
      <c r="B892" s="24"/>
      <c r="AE892" s="5"/>
      <c r="AL892" s="11" t="s">
        <v>741</v>
      </c>
      <c r="AM892" s="11" t="s">
        <v>693</v>
      </c>
      <c r="AN892" s="11" t="s">
        <v>78</v>
      </c>
      <c r="AO892" s="1">
        <v>1</v>
      </c>
    </row>
    <row r="893" spans="2:41">
      <c r="B893" s="24"/>
      <c r="AE893" s="5"/>
      <c r="AL893" s="11" t="s">
        <v>742</v>
      </c>
      <c r="AM893" s="11" t="s">
        <v>693</v>
      </c>
      <c r="AN893" s="11" t="s">
        <v>78</v>
      </c>
      <c r="AO893" s="1">
        <v>1</v>
      </c>
    </row>
    <row r="894" spans="2:41">
      <c r="B894" s="24"/>
      <c r="AE894" s="5"/>
      <c r="AL894" s="11" t="s">
        <v>538</v>
      </c>
      <c r="AM894" s="11" t="s">
        <v>693</v>
      </c>
      <c r="AN894" s="11" t="s">
        <v>78</v>
      </c>
      <c r="AO894" s="1">
        <v>1</v>
      </c>
    </row>
    <row r="895" spans="2:41">
      <c r="B895" s="24"/>
      <c r="AE895" s="5"/>
    </row>
    <row r="896" spans="2:41">
      <c r="B896" s="24"/>
      <c r="AE896" s="5"/>
      <c r="AI896" s="20" t="s">
        <v>743</v>
      </c>
      <c r="AJ896" s="42" t="s">
        <v>719</v>
      </c>
      <c r="AK896" s="42"/>
      <c r="AL896" s="42"/>
      <c r="AM896" s="11">
        <f>COUNTA(AL897:AL902)-COUNTIF(AJ897:AJ902,"兼")</f>
        <v>6</v>
      </c>
    </row>
    <row r="897" spans="2:42">
      <c r="B897" s="24"/>
      <c r="AE897" s="5"/>
      <c r="AK897" s="11" t="s">
        <v>100</v>
      </c>
      <c r="AL897" s="11" t="s">
        <v>744</v>
      </c>
      <c r="AM897" s="11" t="s">
        <v>10</v>
      </c>
      <c r="AN897" s="11" t="s">
        <v>78</v>
      </c>
      <c r="AO897" s="1">
        <v>1</v>
      </c>
    </row>
    <row r="898" spans="2:42">
      <c r="B898" s="24"/>
      <c r="AE898" s="5"/>
      <c r="AL898" s="11" t="s">
        <v>745</v>
      </c>
      <c r="AM898" s="11" t="s">
        <v>10</v>
      </c>
      <c r="AN898" s="11" t="s">
        <v>78</v>
      </c>
      <c r="AO898" s="1">
        <v>1</v>
      </c>
    </row>
    <row r="899" spans="2:42">
      <c r="B899" s="24"/>
      <c r="AE899" s="5"/>
      <c r="AL899" s="11" t="s">
        <v>746</v>
      </c>
      <c r="AM899" s="11" t="s">
        <v>693</v>
      </c>
      <c r="AN899" s="11" t="s">
        <v>78</v>
      </c>
      <c r="AO899" s="1">
        <v>1</v>
      </c>
    </row>
    <row r="900" spans="2:42">
      <c r="B900" s="24"/>
      <c r="AE900" s="5"/>
      <c r="AL900" s="11" t="s">
        <v>747</v>
      </c>
      <c r="AM900" s="11" t="s">
        <v>693</v>
      </c>
      <c r="AN900" s="11" t="s">
        <v>78</v>
      </c>
      <c r="AO900" s="1">
        <v>1</v>
      </c>
    </row>
    <row r="901" spans="2:42">
      <c r="B901" s="24"/>
      <c r="AE901" s="5"/>
      <c r="AL901" s="11" t="s">
        <v>748</v>
      </c>
      <c r="AM901" s="11" t="s">
        <v>55</v>
      </c>
      <c r="AN901" s="11" t="s">
        <v>78</v>
      </c>
      <c r="AO901" s="1">
        <v>1</v>
      </c>
      <c r="AP901" s="11" t="s">
        <v>749</v>
      </c>
    </row>
    <row r="902" spans="2:42">
      <c r="B902" s="24"/>
      <c r="AE902" s="5"/>
      <c r="AL902" s="11" t="s">
        <v>750</v>
      </c>
      <c r="AM902" s="11" t="s">
        <v>10</v>
      </c>
      <c r="AN902" s="11" t="s">
        <v>78</v>
      </c>
      <c r="AO902" s="1">
        <v>1</v>
      </c>
    </row>
    <row r="903" spans="2:42">
      <c r="B903" s="24"/>
      <c r="AE903" s="5"/>
    </row>
    <row r="904" spans="2:42">
      <c r="B904" s="24"/>
      <c r="AE904" s="5"/>
      <c r="AI904" s="20" t="s">
        <v>751</v>
      </c>
      <c r="AJ904" s="42" t="s">
        <v>752</v>
      </c>
      <c r="AK904" s="42"/>
      <c r="AL904" s="42"/>
      <c r="AM904" s="11">
        <f>COUNTA(AL905:AL910)-COUNTIF(AJ905:AJ910,"兼")</f>
        <v>6</v>
      </c>
    </row>
    <row r="905" spans="2:42">
      <c r="B905" s="24"/>
      <c r="AE905" s="5"/>
      <c r="AK905" s="11" t="s">
        <v>100</v>
      </c>
      <c r="AL905" s="11" t="s">
        <v>753</v>
      </c>
      <c r="AM905" s="11" t="s">
        <v>150</v>
      </c>
      <c r="AN905" s="11" t="s">
        <v>78</v>
      </c>
      <c r="AO905" s="1">
        <v>1</v>
      </c>
    </row>
    <row r="906" spans="2:42">
      <c r="B906" s="24"/>
      <c r="AE906" s="5"/>
      <c r="AL906" s="11" t="s">
        <v>754</v>
      </c>
      <c r="AM906" s="11" t="s">
        <v>150</v>
      </c>
      <c r="AN906" s="11" t="s">
        <v>78</v>
      </c>
      <c r="AO906" s="1">
        <v>1</v>
      </c>
    </row>
    <row r="907" spans="2:42">
      <c r="B907" s="24"/>
      <c r="AE907" s="5"/>
      <c r="AL907" s="11" t="s">
        <v>755</v>
      </c>
      <c r="AM907" s="11" t="s">
        <v>150</v>
      </c>
      <c r="AN907" s="11" t="s">
        <v>78</v>
      </c>
      <c r="AO907" s="1">
        <v>1</v>
      </c>
    </row>
    <row r="908" spans="2:42">
      <c r="B908" s="24"/>
      <c r="AE908" s="5"/>
      <c r="AL908" s="11" t="s">
        <v>756</v>
      </c>
      <c r="AM908" s="11" t="s">
        <v>150</v>
      </c>
      <c r="AN908" s="11" t="s">
        <v>78</v>
      </c>
      <c r="AO908" s="1">
        <v>1</v>
      </c>
    </row>
    <row r="909" spans="2:42">
      <c r="B909" s="24"/>
      <c r="AE909" s="5"/>
      <c r="AL909" s="11" t="s">
        <v>757</v>
      </c>
      <c r="AM909" s="11" t="s">
        <v>758</v>
      </c>
      <c r="AN909" s="11" t="s">
        <v>78</v>
      </c>
      <c r="AO909" s="1">
        <v>1</v>
      </c>
    </row>
    <row r="910" spans="2:42">
      <c r="B910" s="24"/>
      <c r="AE910" s="5"/>
      <c r="AL910" s="11" t="s">
        <v>537</v>
      </c>
      <c r="AM910" s="11" t="s">
        <v>150</v>
      </c>
      <c r="AN910" s="11" t="s">
        <v>78</v>
      </c>
      <c r="AO910" s="1">
        <v>1</v>
      </c>
    </row>
    <row r="911" spans="2:42">
      <c r="B911" s="24"/>
      <c r="AE911" s="5"/>
    </row>
    <row r="912" spans="2:42">
      <c r="B912" s="24"/>
      <c r="AE912" s="5"/>
      <c r="AI912" s="20" t="s">
        <v>759</v>
      </c>
      <c r="AJ912" s="42" t="s">
        <v>760</v>
      </c>
      <c r="AK912" s="42"/>
      <c r="AL912" s="42"/>
      <c r="AM912" s="11">
        <f>COUNTA(AL913:AL918)-COUNTIF(AJ913:AJ918,"兼")</f>
        <v>6</v>
      </c>
    </row>
    <row r="913" spans="2:42">
      <c r="B913" s="24"/>
      <c r="AE913" s="5"/>
      <c r="AK913" s="11" t="s">
        <v>100</v>
      </c>
      <c r="AL913" s="11" t="s">
        <v>761</v>
      </c>
      <c r="AM913" s="11" t="s">
        <v>10</v>
      </c>
      <c r="AN913" s="11" t="s">
        <v>78</v>
      </c>
      <c r="AO913" s="1">
        <v>1</v>
      </c>
    </row>
    <row r="914" spans="2:42">
      <c r="B914" s="24"/>
      <c r="AE914" s="5"/>
      <c r="AL914" s="11" t="s">
        <v>762</v>
      </c>
      <c r="AM914" s="11" t="s">
        <v>10</v>
      </c>
      <c r="AN914" s="11" t="s">
        <v>78</v>
      </c>
      <c r="AO914" s="1">
        <v>1</v>
      </c>
    </row>
    <row r="915" spans="2:42">
      <c r="B915" s="24"/>
      <c r="AE915" s="5"/>
      <c r="AL915" s="11" t="s">
        <v>763</v>
      </c>
      <c r="AM915" s="11" t="s">
        <v>10</v>
      </c>
      <c r="AN915" s="11" t="s">
        <v>78</v>
      </c>
      <c r="AO915" s="1">
        <v>1</v>
      </c>
    </row>
    <row r="916" spans="2:42">
      <c r="B916" s="24"/>
      <c r="AE916" s="5"/>
      <c r="AL916" s="11" t="s">
        <v>764</v>
      </c>
      <c r="AM916" s="11" t="s">
        <v>693</v>
      </c>
      <c r="AN916" s="11" t="s">
        <v>78</v>
      </c>
      <c r="AO916" s="1">
        <v>1</v>
      </c>
    </row>
    <row r="917" spans="2:42">
      <c r="B917" s="24"/>
      <c r="AE917" s="5"/>
      <c r="AL917" s="11" t="s">
        <v>765</v>
      </c>
      <c r="AM917" s="11" t="s">
        <v>10</v>
      </c>
      <c r="AN917" s="11" t="s">
        <v>78</v>
      </c>
      <c r="AO917" s="1">
        <v>1</v>
      </c>
    </row>
    <row r="918" spans="2:42">
      <c r="B918" s="24"/>
      <c r="AE918" s="5"/>
      <c r="AL918" s="11" t="s">
        <v>766</v>
      </c>
      <c r="AM918" s="11" t="s">
        <v>10</v>
      </c>
      <c r="AN918" s="11" t="s">
        <v>78</v>
      </c>
      <c r="AO918" s="1">
        <v>1</v>
      </c>
    </row>
    <row r="919" spans="2:42">
      <c r="B919" s="24"/>
      <c r="X919" s="16"/>
      <c r="Y919" s="16"/>
      <c r="Z919" s="16"/>
      <c r="AA919" s="16"/>
      <c r="AB919" s="16"/>
      <c r="AC919" s="16"/>
      <c r="AD919" s="16"/>
      <c r="AE919" s="7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</row>
    <row r="920" spans="2:42">
      <c r="B920" s="24"/>
      <c r="AE920" s="5"/>
    </row>
    <row r="921" spans="2:42">
      <c r="B921" s="24"/>
      <c r="X921" s="11">
        <f>SUM(AC921,AM921,AM935)</f>
        <v>15</v>
      </c>
      <c r="Y921" s="20" t="s">
        <v>767</v>
      </c>
      <c r="Z921" s="42" t="s">
        <v>768</v>
      </c>
      <c r="AA921" s="42"/>
      <c r="AB921" s="42"/>
      <c r="AC921" s="11">
        <f>COUNTA(AB922)-COUNTIF(Z922,"兼")</f>
        <v>1</v>
      </c>
      <c r="AE921" s="5"/>
      <c r="AI921" s="20" t="s">
        <v>769</v>
      </c>
      <c r="AJ921" s="42" t="s">
        <v>689</v>
      </c>
      <c r="AK921" s="42"/>
      <c r="AL921" s="42"/>
      <c r="AM921" s="11">
        <f>COUNTA(AL922:AL929)-COUNTIF(AJ922:AJ929,"兼")</f>
        <v>8</v>
      </c>
    </row>
    <row r="922" spans="2:42">
      <c r="B922" s="24"/>
      <c r="AA922" s="11" t="s">
        <v>98</v>
      </c>
      <c r="AB922" s="11" t="s">
        <v>770</v>
      </c>
      <c r="AC922" s="11" t="s">
        <v>10</v>
      </c>
      <c r="AD922" s="11" t="s">
        <v>78</v>
      </c>
      <c r="AE922" s="40">
        <v>1</v>
      </c>
      <c r="AK922" s="11" t="s">
        <v>100</v>
      </c>
      <c r="AL922" s="11" t="s">
        <v>771</v>
      </c>
      <c r="AM922" s="11" t="s">
        <v>10</v>
      </c>
      <c r="AN922" s="11" t="s">
        <v>78</v>
      </c>
      <c r="AO922" s="1">
        <v>1</v>
      </c>
    </row>
    <row r="923" spans="2:42">
      <c r="B923" s="24"/>
      <c r="AE923" s="5"/>
      <c r="AL923" s="11" t="s">
        <v>772</v>
      </c>
      <c r="AM923" s="11" t="s">
        <v>10</v>
      </c>
      <c r="AN923" s="11" t="s">
        <v>78</v>
      </c>
      <c r="AO923" s="1">
        <v>1</v>
      </c>
    </row>
    <row r="924" spans="2:42">
      <c r="B924" s="24"/>
      <c r="AE924" s="5"/>
      <c r="AL924" s="11" t="s">
        <v>773</v>
      </c>
      <c r="AM924" s="11" t="s">
        <v>10</v>
      </c>
      <c r="AN924" s="11" t="s">
        <v>78</v>
      </c>
      <c r="AO924" s="1">
        <v>1</v>
      </c>
    </row>
    <row r="925" spans="2:42">
      <c r="B925" s="24"/>
      <c r="AE925" s="5"/>
      <c r="AL925" s="11" t="s">
        <v>774</v>
      </c>
      <c r="AM925" s="11" t="s">
        <v>10</v>
      </c>
      <c r="AN925" s="11" t="s">
        <v>78</v>
      </c>
      <c r="AO925" s="1">
        <v>1</v>
      </c>
    </row>
    <row r="926" spans="2:42">
      <c r="B926" s="24"/>
      <c r="AE926" s="5"/>
      <c r="AL926" s="11" t="s">
        <v>775</v>
      </c>
      <c r="AM926" s="11" t="s">
        <v>10</v>
      </c>
      <c r="AN926" s="11" t="s">
        <v>78</v>
      </c>
      <c r="AO926" s="1">
        <v>0.5</v>
      </c>
    </row>
    <row r="927" spans="2:42">
      <c r="B927" s="24"/>
      <c r="AE927" s="5"/>
      <c r="AL927" s="11" t="s">
        <v>776</v>
      </c>
      <c r="AM927" s="11" t="s">
        <v>10</v>
      </c>
      <c r="AN927" s="11" t="s">
        <v>78</v>
      </c>
      <c r="AO927" s="1">
        <v>1</v>
      </c>
    </row>
    <row r="928" spans="2:42">
      <c r="B928" s="24"/>
      <c r="AE928" s="5"/>
      <c r="AL928" s="11" t="s">
        <v>777</v>
      </c>
      <c r="AM928" s="11" t="s">
        <v>10</v>
      </c>
      <c r="AN928" s="11" t="s">
        <v>78</v>
      </c>
      <c r="AO928" s="1">
        <v>1</v>
      </c>
    </row>
    <row r="929" spans="2:42">
      <c r="B929" s="24"/>
      <c r="AE929" s="5"/>
      <c r="AL929" s="11" t="s">
        <v>778</v>
      </c>
      <c r="AM929" s="11" t="s">
        <v>10</v>
      </c>
      <c r="AN929" s="11" t="s">
        <v>78</v>
      </c>
      <c r="AO929" s="1">
        <v>1</v>
      </c>
    </row>
    <row r="930" spans="2:42">
      <c r="B930" s="24"/>
      <c r="AE930" s="5"/>
    </row>
    <row r="931" spans="2:42">
      <c r="B931" s="24"/>
      <c r="AE931" s="5"/>
      <c r="AJ931" s="21"/>
      <c r="AK931" s="21" t="s">
        <v>543</v>
      </c>
      <c r="AL931" s="21"/>
      <c r="AM931" s="21"/>
      <c r="AN931" s="21"/>
      <c r="AO931" s="4"/>
      <c r="AP931" s="21"/>
    </row>
    <row r="932" spans="2:42">
      <c r="B932" s="24"/>
      <c r="AE932" s="5"/>
      <c r="AJ932" s="21"/>
      <c r="AK932" s="21" t="s">
        <v>547</v>
      </c>
      <c r="AL932" s="21"/>
      <c r="AM932" s="21"/>
      <c r="AN932" s="21"/>
      <c r="AO932" s="4"/>
      <c r="AP932" s="21"/>
    </row>
    <row r="933" spans="2:42">
      <c r="B933" s="24"/>
      <c r="AE933" s="5"/>
      <c r="AJ933" s="21" t="s">
        <v>57</v>
      </c>
      <c r="AK933" s="21"/>
      <c r="AL933" s="21" t="s">
        <v>775</v>
      </c>
      <c r="AM933" s="21" t="s">
        <v>60</v>
      </c>
      <c r="AN933" s="21" t="s">
        <v>78</v>
      </c>
      <c r="AO933" s="41">
        <v>0.5</v>
      </c>
      <c r="AP933" s="21" t="s">
        <v>779</v>
      </c>
    </row>
    <row r="934" spans="2:42">
      <c r="B934" s="24"/>
      <c r="AE934" s="5"/>
    </row>
    <row r="935" spans="2:42">
      <c r="B935" s="24"/>
      <c r="AE935" s="5"/>
      <c r="AI935" s="20" t="s">
        <v>780</v>
      </c>
      <c r="AJ935" s="42" t="s">
        <v>708</v>
      </c>
      <c r="AK935" s="42"/>
      <c r="AL935" s="42"/>
      <c r="AM935" s="11">
        <f>COUNTA(AL936:AL941)-COUNTIF(AJ936:AJ941,"兼")</f>
        <v>6</v>
      </c>
    </row>
    <row r="936" spans="2:42">
      <c r="B936" s="24"/>
      <c r="AE936" s="5"/>
      <c r="AK936" s="11" t="s">
        <v>100</v>
      </c>
      <c r="AL936" s="11" t="s">
        <v>781</v>
      </c>
      <c r="AM936" s="11" t="s">
        <v>693</v>
      </c>
      <c r="AN936" s="11" t="s">
        <v>78</v>
      </c>
      <c r="AO936" s="1">
        <v>1</v>
      </c>
    </row>
    <row r="937" spans="2:42">
      <c r="B937" s="24"/>
      <c r="AE937" s="5"/>
      <c r="AL937" s="11" t="s">
        <v>782</v>
      </c>
      <c r="AM937" s="11" t="s">
        <v>684</v>
      </c>
      <c r="AN937" s="11" t="s">
        <v>78</v>
      </c>
      <c r="AO937" s="1">
        <v>1</v>
      </c>
      <c r="AP937" s="11" t="s">
        <v>2191</v>
      </c>
    </row>
    <row r="938" spans="2:42">
      <c r="B938" s="24"/>
      <c r="AE938" s="5"/>
      <c r="AL938" s="11" t="s">
        <v>783</v>
      </c>
      <c r="AM938" s="11" t="s">
        <v>693</v>
      </c>
      <c r="AN938" s="11" t="s">
        <v>78</v>
      </c>
      <c r="AO938" s="1">
        <v>1</v>
      </c>
    </row>
    <row r="939" spans="2:42">
      <c r="B939" s="24"/>
      <c r="AE939" s="5"/>
      <c r="AL939" s="11" t="s">
        <v>784</v>
      </c>
      <c r="AM939" s="11" t="s">
        <v>693</v>
      </c>
      <c r="AN939" s="11" t="s">
        <v>78</v>
      </c>
      <c r="AO939" s="1">
        <v>1</v>
      </c>
    </row>
    <row r="940" spans="2:42">
      <c r="B940" s="24"/>
      <c r="AE940" s="5"/>
      <c r="AL940" s="11" t="s">
        <v>785</v>
      </c>
      <c r="AM940" s="11" t="s">
        <v>693</v>
      </c>
      <c r="AN940" s="11" t="s">
        <v>78</v>
      </c>
      <c r="AO940" s="1">
        <v>1</v>
      </c>
    </row>
    <row r="941" spans="2:42">
      <c r="B941" s="24"/>
      <c r="AE941" s="5"/>
      <c r="AL941" s="11" t="s">
        <v>521</v>
      </c>
      <c r="AM941" s="11" t="s">
        <v>693</v>
      </c>
      <c r="AN941" s="11" t="s">
        <v>78</v>
      </c>
      <c r="AO941" s="1">
        <v>1</v>
      </c>
    </row>
    <row r="942" spans="2:42">
      <c r="B942" s="24"/>
      <c r="X942" s="16"/>
      <c r="Y942" s="16"/>
      <c r="Z942" s="16"/>
      <c r="AA942" s="16"/>
      <c r="AB942" s="16"/>
      <c r="AC942" s="16"/>
      <c r="AD942" s="16"/>
      <c r="AE942" s="7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</row>
    <row r="943" spans="2:42">
      <c r="B943" s="24"/>
      <c r="AE943" s="5"/>
    </row>
    <row r="944" spans="2:42">
      <c r="B944" s="24"/>
      <c r="X944" s="11">
        <f>SUM(AC944,AM944,AM951)</f>
        <v>11</v>
      </c>
      <c r="Y944" s="20" t="s">
        <v>786</v>
      </c>
      <c r="Z944" s="42" t="s">
        <v>787</v>
      </c>
      <c r="AA944" s="42"/>
      <c r="AB944" s="42"/>
      <c r="AC944" s="11">
        <f>COUNTA(AB945:AB947)-COUNTIF(Z945:Z947,"兼")</f>
        <v>3</v>
      </c>
      <c r="AE944" s="5"/>
      <c r="AI944" s="20" t="s">
        <v>788</v>
      </c>
      <c r="AJ944" s="42" t="s">
        <v>789</v>
      </c>
      <c r="AK944" s="42"/>
      <c r="AL944" s="42"/>
      <c r="AM944" s="11">
        <f>COUNTA(AL945:AL949)-COUNTIF(AJ945:AJ949,"兼")</f>
        <v>5</v>
      </c>
    </row>
    <row r="945" spans="2:42">
      <c r="B945" s="24"/>
      <c r="AA945" s="11" t="s">
        <v>98</v>
      </c>
      <c r="AB945" s="11" t="s">
        <v>790</v>
      </c>
      <c r="AC945" s="11" t="s">
        <v>10</v>
      </c>
      <c r="AD945" s="11" t="s">
        <v>78</v>
      </c>
      <c r="AE945" s="40">
        <v>1</v>
      </c>
      <c r="AK945" s="11" t="s">
        <v>100</v>
      </c>
      <c r="AL945" s="11" t="s">
        <v>791</v>
      </c>
      <c r="AM945" s="11" t="s">
        <v>10</v>
      </c>
      <c r="AN945" s="11" t="s">
        <v>78</v>
      </c>
      <c r="AO945" s="1">
        <v>1</v>
      </c>
    </row>
    <row r="946" spans="2:42">
      <c r="B946" s="24"/>
      <c r="AA946" s="11" t="s">
        <v>792</v>
      </c>
      <c r="AB946" s="11" t="s">
        <v>793</v>
      </c>
      <c r="AC946" s="11" t="s">
        <v>2240</v>
      </c>
      <c r="AD946" s="11" t="s">
        <v>78</v>
      </c>
      <c r="AE946" s="40">
        <v>1</v>
      </c>
      <c r="AL946" s="11" t="s">
        <v>794</v>
      </c>
      <c r="AM946" s="11" t="s">
        <v>693</v>
      </c>
      <c r="AN946" s="11" t="s">
        <v>78</v>
      </c>
      <c r="AO946" s="1">
        <v>1</v>
      </c>
    </row>
    <row r="947" spans="2:42">
      <c r="B947" s="24"/>
      <c r="AB947" s="11" t="s">
        <v>795</v>
      </c>
      <c r="AC947" s="11" t="s">
        <v>10</v>
      </c>
      <c r="AD947" s="11" t="s">
        <v>78</v>
      </c>
      <c r="AE947" s="40">
        <v>1</v>
      </c>
      <c r="AL947" s="11" t="s">
        <v>796</v>
      </c>
      <c r="AM947" s="11" t="s">
        <v>150</v>
      </c>
      <c r="AN947" s="11" t="s">
        <v>78</v>
      </c>
      <c r="AO947" s="1">
        <v>1</v>
      </c>
    </row>
    <row r="948" spans="2:42">
      <c r="B948" s="24"/>
      <c r="AE948" s="5"/>
      <c r="AL948" s="11" t="s">
        <v>797</v>
      </c>
      <c r="AM948" s="11" t="s">
        <v>10</v>
      </c>
      <c r="AN948" s="11" t="s">
        <v>78</v>
      </c>
      <c r="AO948" s="1">
        <v>1</v>
      </c>
    </row>
    <row r="949" spans="2:42">
      <c r="B949" s="24"/>
      <c r="AE949" s="5"/>
      <c r="AL949" s="11" t="s">
        <v>798</v>
      </c>
      <c r="AM949" s="11" t="s">
        <v>758</v>
      </c>
      <c r="AN949" s="11" t="s">
        <v>78</v>
      </c>
      <c r="AO949" s="1">
        <v>1</v>
      </c>
    </row>
    <row r="950" spans="2:42">
      <c r="B950" s="24"/>
      <c r="AE950" s="5"/>
    </row>
    <row r="951" spans="2:42">
      <c r="B951" s="24"/>
      <c r="AE951" s="5"/>
      <c r="AI951" s="20" t="s">
        <v>799</v>
      </c>
      <c r="AJ951" s="42" t="s">
        <v>800</v>
      </c>
      <c r="AK951" s="42"/>
      <c r="AL951" s="42"/>
      <c r="AM951" s="11">
        <f>COUNTA(AL952:AL954)-COUNTIF(AJ952:AJ954,"兼")</f>
        <v>3</v>
      </c>
    </row>
    <row r="952" spans="2:42">
      <c r="B952" s="24"/>
      <c r="AE952" s="5"/>
      <c r="AK952" s="11" t="s">
        <v>100</v>
      </c>
      <c r="AL952" s="11" t="s">
        <v>801</v>
      </c>
      <c r="AM952" s="11" t="s">
        <v>10</v>
      </c>
      <c r="AN952" s="11" t="s">
        <v>78</v>
      </c>
      <c r="AO952" s="1">
        <v>1</v>
      </c>
    </row>
    <row r="953" spans="2:42">
      <c r="B953" s="24"/>
      <c r="AE953" s="5"/>
      <c r="AL953" s="11" t="s">
        <v>802</v>
      </c>
      <c r="AM953" s="11" t="s">
        <v>693</v>
      </c>
      <c r="AN953" s="11" t="s">
        <v>78</v>
      </c>
      <c r="AO953" s="1">
        <v>1</v>
      </c>
    </row>
    <row r="954" spans="2:42">
      <c r="B954" s="24"/>
      <c r="AE954" s="5"/>
      <c r="AL954" s="11" t="s">
        <v>803</v>
      </c>
      <c r="AM954" s="11" t="s">
        <v>10</v>
      </c>
      <c r="AN954" s="11" t="s">
        <v>78</v>
      </c>
      <c r="AO954" s="1">
        <v>1</v>
      </c>
    </row>
    <row r="955" spans="2:42">
      <c r="B955" s="24"/>
      <c r="X955" s="16"/>
      <c r="Y955" s="16"/>
      <c r="Z955" s="16"/>
      <c r="AA955" s="16"/>
      <c r="AB955" s="16"/>
      <c r="AC955" s="16"/>
      <c r="AD955" s="16"/>
      <c r="AE955" s="7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</row>
    <row r="956" spans="2:42">
      <c r="B956" s="24"/>
      <c r="AE956" s="5"/>
    </row>
    <row r="957" spans="2:42">
      <c r="B957" s="24"/>
      <c r="X957" s="11">
        <f>SUM(AC957,AM957,AM965,AM970)</f>
        <v>14</v>
      </c>
      <c r="Y957" s="20" t="s">
        <v>804</v>
      </c>
      <c r="Z957" s="42" t="s">
        <v>805</v>
      </c>
      <c r="AA957" s="42"/>
      <c r="AB957" s="42"/>
      <c r="AC957" s="11">
        <f>COUNTA(AB958)-COUNTIF(Z958,"兼")</f>
        <v>1</v>
      </c>
      <c r="AI957" s="20" t="s">
        <v>807</v>
      </c>
      <c r="AJ957" s="42" t="s">
        <v>689</v>
      </c>
      <c r="AK957" s="42"/>
      <c r="AL957" s="42"/>
      <c r="AM957" s="11">
        <f>COUNTA(AL958:AL963)-COUNTIF(AJ958:AJ963,"兼")</f>
        <v>6</v>
      </c>
    </row>
    <row r="958" spans="2:42">
      <c r="B958" s="24"/>
      <c r="AA958" s="11" t="s">
        <v>98</v>
      </c>
      <c r="AB958" s="11" t="s">
        <v>806</v>
      </c>
      <c r="AC958" s="11" t="s">
        <v>10</v>
      </c>
      <c r="AD958" s="11" t="s">
        <v>78</v>
      </c>
      <c r="AE958" s="40">
        <v>1</v>
      </c>
      <c r="AK958" s="11" t="s">
        <v>100</v>
      </c>
      <c r="AL958" s="11" t="s">
        <v>808</v>
      </c>
      <c r="AM958" s="11" t="s">
        <v>10</v>
      </c>
      <c r="AN958" s="11" t="s">
        <v>78</v>
      </c>
      <c r="AO958" s="1">
        <v>1</v>
      </c>
    </row>
    <row r="959" spans="2:42">
      <c r="B959" s="24"/>
      <c r="AE959" s="5"/>
      <c r="AL959" s="11" t="s">
        <v>809</v>
      </c>
      <c r="AM959" s="11" t="s">
        <v>10</v>
      </c>
      <c r="AN959" s="11" t="s">
        <v>78</v>
      </c>
      <c r="AO959" s="1">
        <v>1</v>
      </c>
    </row>
    <row r="960" spans="2:42">
      <c r="B960" s="24"/>
      <c r="AE960" s="5"/>
      <c r="AL960" s="11" t="s">
        <v>810</v>
      </c>
      <c r="AM960" s="11" t="s">
        <v>10</v>
      </c>
      <c r="AN960" s="11" t="s">
        <v>78</v>
      </c>
      <c r="AO960" s="1">
        <v>1</v>
      </c>
    </row>
    <row r="961" spans="2:42">
      <c r="B961" s="24"/>
      <c r="AE961" s="5"/>
      <c r="AL961" s="11" t="s">
        <v>811</v>
      </c>
      <c r="AM961" s="11" t="s">
        <v>10</v>
      </c>
      <c r="AN961" s="11" t="s">
        <v>78</v>
      </c>
      <c r="AO961" s="1">
        <v>1</v>
      </c>
    </row>
    <row r="962" spans="2:42">
      <c r="B962" s="24"/>
      <c r="AE962" s="5"/>
      <c r="AL962" s="11" t="s">
        <v>812</v>
      </c>
      <c r="AM962" s="11" t="s">
        <v>10</v>
      </c>
      <c r="AN962" s="11" t="s">
        <v>78</v>
      </c>
      <c r="AO962" s="1">
        <v>1</v>
      </c>
    </row>
    <row r="963" spans="2:42">
      <c r="B963" s="24"/>
      <c r="AE963" s="5"/>
      <c r="AL963" s="11" t="s">
        <v>813</v>
      </c>
      <c r="AM963" s="11" t="s">
        <v>10</v>
      </c>
      <c r="AN963" s="11" t="s">
        <v>78</v>
      </c>
      <c r="AO963" s="1">
        <v>1</v>
      </c>
    </row>
    <row r="964" spans="2:42">
      <c r="B964" s="24"/>
      <c r="AE964" s="5"/>
    </row>
    <row r="965" spans="2:42">
      <c r="B965" s="24"/>
      <c r="AE965" s="5"/>
      <c r="AI965" s="20" t="s">
        <v>814</v>
      </c>
      <c r="AJ965" s="42" t="s">
        <v>708</v>
      </c>
      <c r="AK965" s="42"/>
      <c r="AL965" s="42"/>
      <c r="AM965" s="11">
        <f>COUNTA(AL966:AL968)-COUNTIF(AJ966:AJ968,"兼")</f>
        <v>3</v>
      </c>
    </row>
    <row r="966" spans="2:42">
      <c r="B966" s="24"/>
      <c r="AE966" s="5"/>
      <c r="AK966" s="11" t="s">
        <v>100</v>
      </c>
      <c r="AL966" s="11" t="s">
        <v>815</v>
      </c>
      <c r="AM966" s="11" t="s">
        <v>150</v>
      </c>
      <c r="AN966" s="11" t="s">
        <v>78</v>
      </c>
      <c r="AO966" s="1">
        <v>1</v>
      </c>
    </row>
    <row r="967" spans="2:42">
      <c r="B967" s="24"/>
      <c r="AE967" s="5"/>
      <c r="AL967" s="11" t="s">
        <v>816</v>
      </c>
      <c r="AM967" s="11" t="s">
        <v>693</v>
      </c>
      <c r="AN967" s="11" t="s">
        <v>78</v>
      </c>
      <c r="AO967" s="1">
        <v>1</v>
      </c>
    </row>
    <row r="968" spans="2:42">
      <c r="B968" s="24"/>
      <c r="AE968" s="5"/>
      <c r="AL968" s="11" t="s">
        <v>817</v>
      </c>
      <c r="AM968" s="11" t="s">
        <v>693</v>
      </c>
      <c r="AN968" s="11" t="s">
        <v>78</v>
      </c>
      <c r="AO968" s="1">
        <v>1</v>
      </c>
    </row>
    <row r="969" spans="2:42">
      <c r="B969" s="24"/>
      <c r="AE969" s="5"/>
    </row>
    <row r="970" spans="2:42">
      <c r="B970" s="24"/>
      <c r="AE970" s="5"/>
      <c r="AI970" s="20" t="s">
        <v>818</v>
      </c>
      <c r="AJ970" s="42" t="s">
        <v>819</v>
      </c>
      <c r="AK970" s="42"/>
      <c r="AL970" s="42"/>
      <c r="AM970" s="11">
        <f>COUNTA(AL971:AL974)-COUNTIF(AJ971:AJ975,"兼")</f>
        <v>4</v>
      </c>
    </row>
    <row r="971" spans="2:42">
      <c r="B971" s="24"/>
      <c r="AE971" s="5"/>
      <c r="AK971" s="11" t="s">
        <v>100</v>
      </c>
      <c r="AL971" s="11" t="s">
        <v>820</v>
      </c>
      <c r="AM971" s="11" t="s">
        <v>10</v>
      </c>
      <c r="AN971" s="11" t="s">
        <v>78</v>
      </c>
      <c r="AO971" s="1">
        <v>1</v>
      </c>
    </row>
    <row r="972" spans="2:42">
      <c r="B972" s="24"/>
      <c r="AE972" s="5"/>
      <c r="AL972" s="11" t="s">
        <v>821</v>
      </c>
      <c r="AM972" s="11" t="s">
        <v>10</v>
      </c>
      <c r="AN972" s="11" t="s">
        <v>78</v>
      </c>
      <c r="AO972" s="1">
        <v>1</v>
      </c>
    </row>
    <row r="973" spans="2:42">
      <c r="B973" s="24"/>
      <c r="AE973" s="5"/>
      <c r="AL973" s="11" t="s">
        <v>822</v>
      </c>
      <c r="AM973" s="11" t="s">
        <v>10</v>
      </c>
      <c r="AN973" s="11" t="s">
        <v>78</v>
      </c>
      <c r="AO973" s="1">
        <v>1</v>
      </c>
    </row>
    <row r="974" spans="2:42">
      <c r="B974" s="24"/>
      <c r="AE974" s="8"/>
      <c r="AL974" s="11" t="s">
        <v>823</v>
      </c>
      <c r="AM974" s="11" t="s">
        <v>10</v>
      </c>
      <c r="AN974" s="11" t="s">
        <v>78</v>
      </c>
      <c r="AO974" s="1">
        <v>1</v>
      </c>
    </row>
    <row r="975" spans="2:42">
      <c r="B975" s="24"/>
      <c r="X975" s="16"/>
      <c r="Y975" s="16"/>
      <c r="Z975" s="16"/>
      <c r="AA975" s="16"/>
      <c r="AB975" s="16"/>
      <c r="AC975" s="16"/>
      <c r="AD975" s="16"/>
      <c r="AE975" s="7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</row>
    <row r="976" spans="2:42">
      <c r="B976" s="24"/>
      <c r="AE976" s="5"/>
    </row>
    <row r="977" spans="2:31">
      <c r="B977" s="24"/>
      <c r="X977" s="11">
        <f>SUM(AC977)</f>
        <v>7</v>
      </c>
      <c r="Y977" s="20" t="s">
        <v>824</v>
      </c>
      <c r="Z977" s="42" t="s">
        <v>825</v>
      </c>
      <c r="AA977" s="42"/>
      <c r="AB977" s="42"/>
      <c r="AC977" s="11">
        <f>COUNTA(AB978:AB984)-COUNTIF(Z978:Z984,"兼")</f>
        <v>7</v>
      </c>
      <c r="AE977" s="5"/>
    </row>
    <row r="978" spans="2:31">
      <c r="B978" s="24"/>
      <c r="AA978" s="11" t="s">
        <v>826</v>
      </c>
      <c r="AB978" s="11" t="s">
        <v>827</v>
      </c>
      <c r="AC978" s="11" t="s">
        <v>10</v>
      </c>
      <c r="AD978" s="11" t="s">
        <v>78</v>
      </c>
      <c r="AE978" s="40">
        <v>1</v>
      </c>
    </row>
    <row r="979" spans="2:31">
      <c r="B979" s="24"/>
      <c r="AA979" s="11" t="s">
        <v>828</v>
      </c>
      <c r="AB979" s="11" t="s">
        <v>829</v>
      </c>
      <c r="AC979" s="11" t="s">
        <v>10</v>
      </c>
      <c r="AD979" s="11" t="s">
        <v>78</v>
      </c>
      <c r="AE979" s="40">
        <v>1</v>
      </c>
    </row>
    <row r="980" spans="2:31">
      <c r="B980" s="24"/>
      <c r="AB980" s="11" t="s">
        <v>830</v>
      </c>
      <c r="AC980" s="11" t="s">
        <v>10</v>
      </c>
      <c r="AD980" s="11" t="s">
        <v>78</v>
      </c>
      <c r="AE980" s="40">
        <v>1</v>
      </c>
    </row>
    <row r="981" spans="2:31">
      <c r="B981" s="24"/>
      <c r="AB981" s="11" t="s">
        <v>831</v>
      </c>
      <c r="AC981" s="11" t="s">
        <v>10</v>
      </c>
      <c r="AD981" s="11" t="s">
        <v>78</v>
      </c>
      <c r="AE981" s="40">
        <v>1</v>
      </c>
    </row>
    <row r="982" spans="2:31">
      <c r="B982" s="24"/>
      <c r="AB982" s="11" t="s">
        <v>832</v>
      </c>
      <c r="AC982" s="11" t="s">
        <v>10</v>
      </c>
      <c r="AD982" s="11" t="s">
        <v>78</v>
      </c>
      <c r="AE982" s="40">
        <v>1</v>
      </c>
    </row>
    <row r="983" spans="2:31">
      <c r="B983" s="24"/>
      <c r="AB983" s="11" t="s">
        <v>833</v>
      </c>
      <c r="AC983" s="11" t="s">
        <v>10</v>
      </c>
      <c r="AD983" s="11" t="s">
        <v>78</v>
      </c>
      <c r="AE983" s="40">
        <v>1</v>
      </c>
    </row>
    <row r="984" spans="2:31">
      <c r="B984" s="24"/>
      <c r="AB984" s="11" t="s">
        <v>834</v>
      </c>
      <c r="AC984" s="11" t="s">
        <v>10</v>
      </c>
      <c r="AD984" s="11" t="s">
        <v>78</v>
      </c>
      <c r="AE984" s="40">
        <v>1</v>
      </c>
    </row>
    <row r="985" spans="2:31">
      <c r="B985" s="24"/>
      <c r="AE985" s="5"/>
    </row>
    <row r="986" spans="2:31">
      <c r="B986" s="24"/>
      <c r="X986" s="11">
        <f>SUM(AC986)</f>
        <v>8</v>
      </c>
      <c r="Y986" s="20" t="s">
        <v>835</v>
      </c>
      <c r="Z986" s="42" t="s">
        <v>836</v>
      </c>
      <c r="AA986" s="42"/>
      <c r="AB986" s="42"/>
      <c r="AC986" s="11">
        <f>COUNTA(AB987:AB994)-COUNTIF(Z987:Z994,"兼")</f>
        <v>8</v>
      </c>
      <c r="AE986" s="5"/>
    </row>
    <row r="987" spans="2:31">
      <c r="B987" s="24"/>
      <c r="Y987" s="25"/>
      <c r="AA987" s="11" t="s">
        <v>76</v>
      </c>
      <c r="AB987" s="11" t="s">
        <v>668</v>
      </c>
      <c r="AC987" s="11" t="s">
        <v>10</v>
      </c>
      <c r="AD987" s="11" t="s">
        <v>78</v>
      </c>
      <c r="AE987" s="40">
        <v>0.9</v>
      </c>
    </row>
    <row r="988" spans="2:31">
      <c r="B988" s="24"/>
      <c r="Y988" s="25"/>
      <c r="AA988" s="11" t="s">
        <v>2213</v>
      </c>
      <c r="AB988" s="11" t="s">
        <v>729</v>
      </c>
      <c r="AC988" s="11" t="s">
        <v>10</v>
      </c>
      <c r="AD988" s="11" t="s">
        <v>78</v>
      </c>
      <c r="AE988" s="40">
        <v>1</v>
      </c>
    </row>
    <row r="989" spans="2:31">
      <c r="B989" s="24"/>
      <c r="Y989" s="25"/>
      <c r="AB989" s="11" t="s">
        <v>660</v>
      </c>
      <c r="AC989" s="11" t="s">
        <v>10</v>
      </c>
      <c r="AD989" s="11" t="s">
        <v>78</v>
      </c>
      <c r="AE989" s="40">
        <v>1</v>
      </c>
    </row>
    <row r="990" spans="2:31">
      <c r="B990" s="24"/>
      <c r="Y990" s="25"/>
      <c r="AB990" s="11" t="s">
        <v>661</v>
      </c>
      <c r="AC990" s="11" t="s">
        <v>10</v>
      </c>
      <c r="AD990" s="11" t="s">
        <v>78</v>
      </c>
      <c r="AE990" s="40">
        <v>1</v>
      </c>
    </row>
    <row r="991" spans="2:31">
      <c r="B991" s="24"/>
      <c r="Y991" s="25"/>
      <c r="AB991" s="11" t="s">
        <v>662</v>
      </c>
      <c r="AC991" s="11" t="s">
        <v>10</v>
      </c>
      <c r="AD991" s="11" t="s">
        <v>78</v>
      </c>
      <c r="AE991" s="40">
        <v>1</v>
      </c>
    </row>
    <row r="992" spans="2:31">
      <c r="B992" s="24"/>
      <c r="AB992" s="11" t="s">
        <v>663</v>
      </c>
      <c r="AC992" s="11" t="s">
        <v>10</v>
      </c>
      <c r="AD992" s="11" t="s">
        <v>78</v>
      </c>
      <c r="AE992" s="40">
        <v>1</v>
      </c>
    </row>
    <row r="993" spans="2:42">
      <c r="B993" s="24"/>
      <c r="AB993" s="11" t="s">
        <v>736</v>
      </c>
      <c r="AC993" s="11" t="s">
        <v>10</v>
      </c>
      <c r="AD993" s="11" t="s">
        <v>78</v>
      </c>
      <c r="AE993" s="1">
        <v>1</v>
      </c>
    </row>
    <row r="994" spans="2:42">
      <c r="B994" s="24"/>
      <c r="AB994" s="11" t="s">
        <v>656</v>
      </c>
      <c r="AC994" s="11" t="s">
        <v>10</v>
      </c>
      <c r="AD994" s="11" t="s">
        <v>78</v>
      </c>
      <c r="AE994" s="1">
        <v>1</v>
      </c>
    </row>
    <row r="995" spans="2:42"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</row>
    <row r="997" spans="2:42">
      <c r="B997" s="26"/>
      <c r="D997" s="11">
        <f>SUM(D1001,D1006)</f>
        <v>249</v>
      </c>
      <c r="E997" s="27"/>
      <c r="F997" s="46" t="s">
        <v>837</v>
      </c>
      <c r="G997" s="46"/>
      <c r="H997" s="46"/>
    </row>
    <row r="998" spans="2:42">
      <c r="B998" s="26"/>
      <c r="G998" s="11" t="s">
        <v>651</v>
      </c>
      <c r="H998" s="11" t="s">
        <v>17</v>
      </c>
      <c r="I998" s="11" t="s">
        <v>10</v>
      </c>
      <c r="J998" s="11" t="s">
        <v>18</v>
      </c>
    </row>
    <row r="999" spans="2:42">
      <c r="B999" s="26"/>
      <c r="G999" s="11" t="s">
        <v>652</v>
      </c>
      <c r="H999" s="11" t="s">
        <v>32</v>
      </c>
      <c r="I999" s="11" t="s">
        <v>10</v>
      </c>
      <c r="J999" s="11" t="s">
        <v>14</v>
      </c>
    </row>
    <row r="1000" spans="2:42">
      <c r="B1000" s="26"/>
    </row>
    <row r="1001" spans="2:42">
      <c r="B1001" s="28"/>
      <c r="D1001" s="11">
        <f>SUM(I1001,N1017)</f>
        <v>155</v>
      </c>
      <c r="E1001" s="20" t="s">
        <v>838</v>
      </c>
      <c r="F1001" s="42" t="s">
        <v>839</v>
      </c>
      <c r="G1001" s="42"/>
      <c r="H1001" s="42"/>
      <c r="I1001" s="11">
        <f>COUNTA(H1002:H1004)-COUNTIF(F1002:F1004,"兼")</f>
        <v>3</v>
      </c>
    </row>
    <row r="1002" spans="2:42">
      <c r="B1002" s="28"/>
      <c r="G1002" s="11" t="s">
        <v>651</v>
      </c>
      <c r="H1002" s="11" t="s">
        <v>17</v>
      </c>
      <c r="I1002" s="11" t="s">
        <v>10</v>
      </c>
      <c r="J1002" s="11" t="s">
        <v>18</v>
      </c>
      <c r="K1002" s="1">
        <v>0.6</v>
      </c>
    </row>
    <row r="1003" spans="2:42">
      <c r="B1003" s="28"/>
      <c r="G1003" s="11" t="s">
        <v>652</v>
      </c>
      <c r="H1003" s="11" t="s">
        <v>32</v>
      </c>
      <c r="I1003" s="11" t="s">
        <v>10</v>
      </c>
      <c r="J1003" s="11" t="s">
        <v>14</v>
      </c>
      <c r="K1003" s="1">
        <v>0.6</v>
      </c>
    </row>
    <row r="1004" spans="2:42">
      <c r="B1004" s="28"/>
      <c r="H1004" s="11" t="s">
        <v>39</v>
      </c>
      <c r="I1004" s="11" t="s">
        <v>10</v>
      </c>
      <c r="J1004" s="11" t="s">
        <v>40</v>
      </c>
      <c r="K1004" s="1">
        <v>1</v>
      </c>
    </row>
    <row r="1005" spans="2:42">
      <c r="B1005" s="28"/>
    </row>
    <row r="1006" spans="2:42">
      <c r="B1006" s="28"/>
      <c r="D1006" s="11">
        <f>SUM(I1006,N1193,N1188)</f>
        <v>94</v>
      </c>
      <c r="E1006" s="20" t="s">
        <v>840</v>
      </c>
      <c r="F1006" s="42" t="s">
        <v>841</v>
      </c>
      <c r="G1006" s="42"/>
      <c r="H1006" s="42"/>
      <c r="I1006" s="11">
        <f>COUNTA(H1007:H1008)-COUNTIF(F1007:F1008,"兼")</f>
        <v>0</v>
      </c>
    </row>
    <row r="1007" spans="2:42">
      <c r="B1007" s="28"/>
      <c r="F1007" s="11" t="s">
        <v>57</v>
      </c>
      <c r="G1007" s="11" t="s">
        <v>651</v>
      </c>
      <c r="H1007" s="11" t="s">
        <v>17</v>
      </c>
      <c r="I1007" s="11" t="s">
        <v>10</v>
      </c>
      <c r="J1007" s="11" t="s">
        <v>18</v>
      </c>
      <c r="K1007" s="1">
        <v>0.4</v>
      </c>
    </row>
    <row r="1008" spans="2:42">
      <c r="B1008" s="28"/>
      <c r="F1008" s="11" t="s">
        <v>57</v>
      </c>
      <c r="G1008" s="11" t="s">
        <v>652</v>
      </c>
      <c r="H1008" s="11" t="s">
        <v>32</v>
      </c>
      <c r="I1008" s="11" t="s">
        <v>10</v>
      </c>
      <c r="J1008" s="11" t="s">
        <v>14</v>
      </c>
      <c r="K1008" s="1">
        <v>0.1</v>
      </c>
    </row>
    <row r="1009" spans="2:42">
      <c r="B1009" s="28"/>
    </row>
    <row r="1010" spans="2:42">
      <c r="B1010" s="28"/>
      <c r="F1010" s="21"/>
      <c r="G1010" s="21" t="s">
        <v>657</v>
      </c>
      <c r="H1010" s="21"/>
      <c r="I1010" s="21"/>
      <c r="J1010" s="21"/>
      <c r="K1010" s="21"/>
      <c r="L1010" s="21"/>
    </row>
    <row r="1011" spans="2:42">
      <c r="B1011" s="28"/>
      <c r="F1011" s="21" t="s">
        <v>57</v>
      </c>
      <c r="G1011" s="21"/>
      <c r="H1011" s="21" t="s">
        <v>842</v>
      </c>
      <c r="I1011" s="21" t="s">
        <v>60</v>
      </c>
      <c r="J1011" s="21" t="s">
        <v>78</v>
      </c>
      <c r="K1011" s="2">
        <v>0.5</v>
      </c>
      <c r="L1011" s="21" t="s">
        <v>64</v>
      </c>
    </row>
    <row r="1012" spans="2:42">
      <c r="B1012" s="28"/>
      <c r="F1012" s="21"/>
      <c r="G1012" s="21"/>
      <c r="H1012" s="21" t="s">
        <v>843</v>
      </c>
      <c r="I1012" s="21" t="s">
        <v>60</v>
      </c>
      <c r="J1012" s="21" t="s">
        <v>78</v>
      </c>
      <c r="K1012" s="2">
        <v>0.6</v>
      </c>
      <c r="L1012" s="21" t="s">
        <v>64</v>
      </c>
      <c r="AE1012" s="5"/>
    </row>
    <row r="1013" spans="2:42">
      <c r="B1013" s="28"/>
      <c r="F1013" s="21"/>
      <c r="G1013" s="21"/>
      <c r="H1013" s="21" t="s">
        <v>844</v>
      </c>
      <c r="I1013" s="21" t="s">
        <v>60</v>
      </c>
      <c r="J1013" s="21" t="s">
        <v>78</v>
      </c>
      <c r="K1013" s="2">
        <v>1</v>
      </c>
      <c r="L1013" s="21" t="s">
        <v>64</v>
      </c>
      <c r="AE1013" s="5"/>
    </row>
    <row r="1014" spans="2:42">
      <c r="B1014" s="28"/>
      <c r="F1014" s="21"/>
      <c r="G1014" s="21"/>
      <c r="H1014" s="29" t="s">
        <v>845</v>
      </c>
      <c r="I1014" s="21" t="s">
        <v>60</v>
      </c>
      <c r="J1014" s="21" t="s">
        <v>276</v>
      </c>
      <c r="K1014" s="2">
        <v>1</v>
      </c>
      <c r="L1014" s="21" t="s">
        <v>64</v>
      </c>
      <c r="AE1014" s="5"/>
    </row>
    <row r="1015" spans="2:42">
      <c r="B1015" s="28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7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</row>
    <row r="1016" spans="2:42">
      <c r="B1016" s="28"/>
      <c r="AE1016" s="5"/>
    </row>
    <row r="1017" spans="2:42">
      <c r="B1017" s="28"/>
      <c r="N1017" s="11">
        <f>SUM(S1017,X1017,X1026,X1037,X1051,X1065,X1119,X1156)</f>
        <v>152</v>
      </c>
      <c r="O1017" s="20" t="s">
        <v>846</v>
      </c>
      <c r="P1017" s="42" t="s">
        <v>847</v>
      </c>
      <c r="Q1017" s="42"/>
      <c r="R1017" s="42"/>
      <c r="S1017" s="11">
        <f>COUNTA(R1018:R1022)-COUNTIF(P1018:P1022,"兼")</f>
        <v>4</v>
      </c>
      <c r="X1017" s="11">
        <f>SUM(AC1017,AM1017,AM1021)</f>
        <v>4</v>
      </c>
      <c r="Y1017" s="20" t="s">
        <v>848</v>
      </c>
      <c r="Z1017" s="42" t="s">
        <v>849</v>
      </c>
      <c r="AA1017" s="42"/>
      <c r="AB1017" s="42"/>
      <c r="AC1017" s="11">
        <f>COUNTA(AB1018:AB1019)-COUNTIF(Z1018:Z1019,"兼")</f>
        <v>1</v>
      </c>
      <c r="AE1017" s="5"/>
      <c r="AI1017" s="20" t="s">
        <v>850</v>
      </c>
      <c r="AJ1017" s="42" t="s">
        <v>851</v>
      </c>
      <c r="AK1017" s="42"/>
      <c r="AL1017" s="42"/>
      <c r="AM1017" s="11">
        <f>COUNTA(AL1018:AL1019)-COUNTIF(AJ1018:AJ1019,"兼")</f>
        <v>1</v>
      </c>
    </row>
    <row r="1018" spans="2:42">
      <c r="B1018" s="28"/>
      <c r="P1018" s="11" t="s">
        <v>57</v>
      </c>
      <c r="Q1018" s="11" t="s">
        <v>674</v>
      </c>
      <c r="R1018" s="11" t="s">
        <v>32</v>
      </c>
      <c r="S1018" s="11" t="s">
        <v>10</v>
      </c>
      <c r="T1018" s="11" t="s">
        <v>14</v>
      </c>
      <c r="U1018" s="1">
        <v>0.2</v>
      </c>
      <c r="AA1018" s="11" t="s">
        <v>98</v>
      </c>
      <c r="AB1018" s="11" t="s">
        <v>843</v>
      </c>
      <c r="AC1018" s="11" t="s">
        <v>80</v>
      </c>
      <c r="AD1018" s="11" t="s">
        <v>78</v>
      </c>
      <c r="AE1018" s="40">
        <v>0.4</v>
      </c>
      <c r="AJ1018" s="11" t="s">
        <v>57</v>
      </c>
      <c r="AK1018" s="11" t="s">
        <v>100</v>
      </c>
      <c r="AL1018" s="11" t="s">
        <v>843</v>
      </c>
      <c r="AM1018" s="11" t="s">
        <v>10</v>
      </c>
      <c r="AN1018" s="11" t="s">
        <v>276</v>
      </c>
      <c r="AO1018" s="40">
        <v>0.2</v>
      </c>
    </row>
    <row r="1019" spans="2:42">
      <c r="B1019" s="28"/>
      <c r="Q1019" s="11" t="s">
        <v>677</v>
      </c>
      <c r="R1019" s="11" t="s">
        <v>852</v>
      </c>
      <c r="S1019" s="11" t="s">
        <v>10</v>
      </c>
      <c r="T1019" s="11" t="s">
        <v>110</v>
      </c>
      <c r="U1019" s="1">
        <v>1</v>
      </c>
      <c r="Z1019" s="11" t="s">
        <v>57</v>
      </c>
      <c r="AB1019" s="11" t="s">
        <v>842</v>
      </c>
      <c r="AC1019" s="11" t="s">
        <v>80</v>
      </c>
      <c r="AD1019" s="11" t="s">
        <v>78</v>
      </c>
      <c r="AE1019" s="40">
        <v>0.5</v>
      </c>
      <c r="AL1019" s="30" t="s">
        <v>845</v>
      </c>
      <c r="AM1019" s="11" t="s">
        <v>10</v>
      </c>
      <c r="AN1019" s="11" t="s">
        <v>276</v>
      </c>
      <c r="AO1019" s="1">
        <v>0.6</v>
      </c>
    </row>
    <row r="1020" spans="2:42">
      <c r="B1020" s="28"/>
      <c r="Q1020" s="11" t="s">
        <v>853</v>
      </c>
      <c r="R1020" s="11" t="s">
        <v>854</v>
      </c>
      <c r="S1020" s="11" t="s">
        <v>10</v>
      </c>
      <c r="T1020" s="11" t="s">
        <v>11</v>
      </c>
      <c r="U1020" s="1">
        <v>0.2</v>
      </c>
      <c r="AE1020" s="5"/>
    </row>
    <row r="1021" spans="2:42">
      <c r="B1021" s="28"/>
      <c r="R1021" s="11" t="s">
        <v>855</v>
      </c>
      <c r="S1021" s="11" t="s">
        <v>10</v>
      </c>
      <c r="T1021" s="11" t="s">
        <v>11</v>
      </c>
      <c r="U1021" s="1">
        <v>0.6</v>
      </c>
      <c r="AE1021" s="5"/>
      <c r="AI1021" s="20" t="s">
        <v>856</v>
      </c>
      <c r="AJ1021" s="42" t="s">
        <v>857</v>
      </c>
      <c r="AK1021" s="42"/>
      <c r="AL1021" s="42"/>
      <c r="AM1021" s="11">
        <f>COUNTA(AL1022:AL1023)-COUNTIF(AJ1022:AJ1023,"兼")</f>
        <v>2</v>
      </c>
    </row>
    <row r="1022" spans="2:42">
      <c r="B1022" s="28"/>
      <c r="R1022" s="11" t="s">
        <v>872</v>
      </c>
      <c r="S1022" s="11" t="s">
        <v>684</v>
      </c>
      <c r="T1022" s="11" t="s">
        <v>110</v>
      </c>
      <c r="U1022" s="1">
        <v>1</v>
      </c>
      <c r="V1022" s="11" t="s">
        <v>2229</v>
      </c>
      <c r="AE1022" s="5"/>
      <c r="AK1022" s="11" t="s">
        <v>100</v>
      </c>
      <c r="AL1022" s="11" t="s">
        <v>858</v>
      </c>
      <c r="AM1022" s="11" t="s">
        <v>859</v>
      </c>
      <c r="AN1022" s="11" t="s">
        <v>110</v>
      </c>
      <c r="AO1022" s="1">
        <v>1</v>
      </c>
    </row>
    <row r="1023" spans="2:42">
      <c r="B1023" s="28"/>
      <c r="AE1023" s="5"/>
      <c r="AL1023" s="11" t="s">
        <v>860</v>
      </c>
      <c r="AM1023" s="11" t="s">
        <v>10</v>
      </c>
      <c r="AN1023" s="11" t="s">
        <v>110</v>
      </c>
      <c r="AO1023" s="1">
        <v>1</v>
      </c>
    </row>
    <row r="1024" spans="2:42">
      <c r="B1024" s="28"/>
      <c r="X1024" s="16"/>
      <c r="Y1024" s="16"/>
      <c r="Z1024" s="16"/>
      <c r="AA1024" s="16"/>
      <c r="AB1024" s="16"/>
      <c r="AC1024" s="16"/>
      <c r="AD1024" s="16"/>
      <c r="AE1024" s="7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</row>
    <row r="1025" spans="2:42">
      <c r="B1025" s="28"/>
      <c r="AE1025" s="5"/>
    </row>
    <row r="1026" spans="2:42">
      <c r="B1026" s="28"/>
      <c r="X1026" s="11">
        <f>SUM(AC1026,AM1026)</f>
        <v>9</v>
      </c>
      <c r="Y1026" s="20" t="s">
        <v>861</v>
      </c>
      <c r="Z1026" s="42" t="s">
        <v>862</v>
      </c>
      <c r="AA1026" s="42"/>
      <c r="AB1026" s="42"/>
      <c r="AC1026" s="11">
        <f>COUNTA(AB1027)-COUNTIF(Z1027,"兼")</f>
        <v>1</v>
      </c>
      <c r="AE1026" s="5"/>
      <c r="AI1026" s="20" t="s">
        <v>863</v>
      </c>
      <c r="AJ1026" s="42" t="s">
        <v>864</v>
      </c>
      <c r="AK1026" s="42"/>
      <c r="AL1026" s="42"/>
      <c r="AM1026" s="11">
        <f>COUNTA(AL1027:AL1034)-COUNTIF(AJ1027:AJ1034,"兼")</f>
        <v>8</v>
      </c>
    </row>
    <row r="1027" spans="2:42">
      <c r="B1027" s="28"/>
      <c r="AA1027" s="11" t="s">
        <v>98</v>
      </c>
      <c r="AB1027" s="11" t="s">
        <v>865</v>
      </c>
      <c r="AC1027" s="11" t="s">
        <v>10</v>
      </c>
      <c r="AD1027" s="11" t="s">
        <v>110</v>
      </c>
      <c r="AE1027" s="40">
        <v>1</v>
      </c>
      <c r="AK1027" s="11" t="s">
        <v>100</v>
      </c>
      <c r="AL1027" s="11" t="s">
        <v>866</v>
      </c>
      <c r="AM1027" s="11" t="s">
        <v>10</v>
      </c>
      <c r="AN1027" s="11" t="s">
        <v>110</v>
      </c>
      <c r="AO1027" s="1">
        <v>1</v>
      </c>
    </row>
    <row r="1028" spans="2:42">
      <c r="B1028" s="28"/>
      <c r="AE1028" s="5"/>
      <c r="AL1028" s="11" t="s">
        <v>867</v>
      </c>
      <c r="AM1028" s="11" t="s">
        <v>10</v>
      </c>
      <c r="AN1028" s="11" t="s">
        <v>110</v>
      </c>
      <c r="AO1028" s="1">
        <v>1</v>
      </c>
    </row>
    <row r="1029" spans="2:42">
      <c r="B1029" s="28"/>
      <c r="AE1029" s="5"/>
      <c r="AL1029" s="11" t="s">
        <v>868</v>
      </c>
      <c r="AM1029" s="11" t="s">
        <v>10</v>
      </c>
      <c r="AN1029" s="11" t="s">
        <v>110</v>
      </c>
      <c r="AO1029" s="1">
        <v>1</v>
      </c>
    </row>
    <row r="1030" spans="2:42">
      <c r="B1030" s="28"/>
      <c r="AE1030" s="5"/>
      <c r="AL1030" s="11" t="s">
        <v>869</v>
      </c>
      <c r="AM1030" s="11" t="s">
        <v>10</v>
      </c>
      <c r="AN1030" s="11" t="s">
        <v>110</v>
      </c>
      <c r="AO1030" s="1">
        <v>1</v>
      </c>
    </row>
    <row r="1031" spans="2:42">
      <c r="B1031" s="28"/>
      <c r="AE1031" s="5"/>
      <c r="AL1031" s="11" t="s">
        <v>870</v>
      </c>
      <c r="AM1031" s="11" t="s">
        <v>10</v>
      </c>
      <c r="AN1031" s="11" t="s">
        <v>110</v>
      </c>
      <c r="AO1031" s="1">
        <v>1</v>
      </c>
    </row>
    <row r="1032" spans="2:42">
      <c r="B1032" s="28"/>
      <c r="AE1032" s="5"/>
      <c r="AL1032" s="11" t="s">
        <v>871</v>
      </c>
      <c r="AM1032" s="11" t="s">
        <v>10</v>
      </c>
      <c r="AN1032" s="11" t="s">
        <v>110</v>
      </c>
      <c r="AO1032" s="1">
        <v>1</v>
      </c>
    </row>
    <row r="1033" spans="2:42">
      <c r="B1033" s="28"/>
      <c r="AE1033" s="5"/>
      <c r="AL1033" s="11" t="s">
        <v>873</v>
      </c>
      <c r="AM1033" s="11" t="s">
        <v>10</v>
      </c>
      <c r="AN1033" s="11" t="s">
        <v>110</v>
      </c>
      <c r="AO1033" s="1">
        <v>1</v>
      </c>
    </row>
    <row r="1034" spans="2:42">
      <c r="B1034" s="28"/>
      <c r="AE1034" s="5"/>
      <c r="AL1034" s="11" t="s">
        <v>2203</v>
      </c>
      <c r="AM1034" s="11" t="s">
        <v>10</v>
      </c>
      <c r="AN1034" s="11" t="s">
        <v>110</v>
      </c>
      <c r="AO1034" s="1">
        <v>1</v>
      </c>
    </row>
    <row r="1035" spans="2:42">
      <c r="B1035" s="28"/>
      <c r="X1035" s="16"/>
      <c r="Y1035" s="16"/>
      <c r="Z1035" s="16"/>
      <c r="AA1035" s="16"/>
      <c r="AB1035" s="16"/>
      <c r="AC1035" s="16"/>
      <c r="AD1035" s="16"/>
      <c r="AE1035" s="7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</row>
    <row r="1036" spans="2:42">
      <c r="B1036" s="28"/>
      <c r="AE1036" s="5"/>
    </row>
    <row r="1037" spans="2:42">
      <c r="B1037" s="28"/>
      <c r="X1037" s="11">
        <f>SUM(AC1037,AM1037)</f>
        <v>12</v>
      </c>
      <c r="Y1037" s="20" t="s">
        <v>874</v>
      </c>
      <c r="Z1037" s="42" t="s">
        <v>875</v>
      </c>
      <c r="AA1037" s="42"/>
      <c r="AB1037" s="42"/>
      <c r="AC1037" s="11">
        <f>COUNTA(AB1038)-COUNTIF(Z1038,"兼")</f>
        <v>1</v>
      </c>
      <c r="AE1037" s="5"/>
      <c r="AI1037" s="20" t="s">
        <v>876</v>
      </c>
      <c r="AJ1037" s="42" t="s">
        <v>877</v>
      </c>
      <c r="AK1037" s="42"/>
      <c r="AL1037" s="42"/>
      <c r="AM1037" s="11">
        <f>COUNTA(AL1038:AL1048)-COUNTIF(AJ1038:AJ1048,"兼")</f>
        <v>11</v>
      </c>
    </row>
    <row r="1038" spans="2:42">
      <c r="B1038" s="28"/>
      <c r="AA1038" s="11" t="s">
        <v>98</v>
      </c>
      <c r="AB1038" s="11" t="s">
        <v>878</v>
      </c>
      <c r="AC1038" s="11" t="s">
        <v>10</v>
      </c>
      <c r="AD1038" s="11" t="s">
        <v>78</v>
      </c>
      <c r="AE1038" s="40">
        <v>1</v>
      </c>
      <c r="AK1038" s="11" t="s">
        <v>100</v>
      </c>
      <c r="AL1038" s="11" t="s">
        <v>879</v>
      </c>
      <c r="AM1038" s="11" t="s">
        <v>10</v>
      </c>
      <c r="AN1038" s="11" t="s">
        <v>110</v>
      </c>
      <c r="AO1038" s="1">
        <v>1</v>
      </c>
    </row>
    <row r="1039" spans="2:42">
      <c r="B1039" s="28"/>
      <c r="AE1039" s="5"/>
      <c r="AL1039" s="11" t="s">
        <v>880</v>
      </c>
      <c r="AM1039" s="11" t="s">
        <v>10</v>
      </c>
      <c r="AN1039" s="11" t="s">
        <v>110</v>
      </c>
      <c r="AO1039" s="1">
        <v>1</v>
      </c>
    </row>
    <row r="1040" spans="2:42">
      <c r="B1040" s="28"/>
      <c r="AE1040" s="5"/>
      <c r="AL1040" s="11" t="s">
        <v>881</v>
      </c>
      <c r="AM1040" s="11" t="s">
        <v>10</v>
      </c>
      <c r="AN1040" s="11" t="s">
        <v>110</v>
      </c>
      <c r="AO1040" s="1">
        <v>1</v>
      </c>
    </row>
    <row r="1041" spans="2:42">
      <c r="B1041" s="28"/>
      <c r="AE1041" s="5"/>
      <c r="AL1041" s="11" t="s">
        <v>882</v>
      </c>
      <c r="AM1041" s="11" t="s">
        <v>10</v>
      </c>
      <c r="AN1041" s="11" t="s">
        <v>110</v>
      </c>
      <c r="AO1041" s="1">
        <v>1</v>
      </c>
    </row>
    <row r="1042" spans="2:42">
      <c r="B1042" s="28"/>
      <c r="AE1042" s="5"/>
      <c r="AL1042" s="11" t="s">
        <v>883</v>
      </c>
      <c r="AM1042" s="11" t="s">
        <v>10</v>
      </c>
      <c r="AN1042" s="11" t="s">
        <v>110</v>
      </c>
      <c r="AO1042" s="1">
        <v>1</v>
      </c>
    </row>
    <row r="1043" spans="2:42">
      <c r="B1043" s="28"/>
      <c r="AE1043" s="5"/>
      <c r="AL1043" s="11" t="s">
        <v>884</v>
      </c>
      <c r="AM1043" s="11" t="s">
        <v>10</v>
      </c>
      <c r="AN1043" s="11" t="s">
        <v>110</v>
      </c>
      <c r="AO1043" s="1">
        <v>1</v>
      </c>
    </row>
    <row r="1044" spans="2:42">
      <c r="B1044" s="28"/>
      <c r="AE1044" s="5"/>
      <c r="AL1044" s="11" t="s">
        <v>885</v>
      </c>
      <c r="AM1044" s="11" t="s">
        <v>10</v>
      </c>
      <c r="AN1044" s="11" t="s">
        <v>110</v>
      </c>
      <c r="AO1044" s="1">
        <v>1</v>
      </c>
    </row>
    <row r="1045" spans="2:42">
      <c r="B1045" s="28"/>
      <c r="AE1045" s="5"/>
      <c r="AL1045" s="11" t="s">
        <v>886</v>
      </c>
      <c r="AM1045" s="11" t="s">
        <v>10</v>
      </c>
      <c r="AN1045" s="11" t="s">
        <v>110</v>
      </c>
      <c r="AO1045" s="1">
        <v>1</v>
      </c>
    </row>
    <row r="1046" spans="2:42">
      <c r="B1046" s="28"/>
      <c r="AE1046" s="5"/>
      <c r="AL1046" s="11" t="s">
        <v>887</v>
      </c>
      <c r="AM1046" s="11" t="s">
        <v>10</v>
      </c>
      <c r="AN1046" s="11" t="s">
        <v>110</v>
      </c>
      <c r="AO1046" s="1">
        <v>1</v>
      </c>
    </row>
    <row r="1047" spans="2:42">
      <c r="B1047" s="28"/>
      <c r="AE1047" s="5"/>
      <c r="AL1047" s="11" t="s">
        <v>888</v>
      </c>
      <c r="AM1047" s="11" t="s">
        <v>10</v>
      </c>
      <c r="AN1047" s="11" t="s">
        <v>110</v>
      </c>
      <c r="AO1047" s="1">
        <v>1</v>
      </c>
    </row>
    <row r="1048" spans="2:42">
      <c r="B1048" s="28"/>
      <c r="AE1048" s="5"/>
      <c r="AL1048" s="11" t="s">
        <v>578</v>
      </c>
      <c r="AM1048" s="11" t="s">
        <v>10</v>
      </c>
      <c r="AN1048" s="11" t="s">
        <v>110</v>
      </c>
      <c r="AO1048" s="1">
        <v>1</v>
      </c>
    </row>
    <row r="1049" spans="2:42">
      <c r="B1049" s="28"/>
      <c r="X1049" s="16"/>
      <c r="Y1049" s="16"/>
      <c r="Z1049" s="16"/>
      <c r="AA1049" s="16"/>
      <c r="AB1049" s="16"/>
      <c r="AC1049" s="16"/>
      <c r="AD1049" s="16"/>
      <c r="AE1049" s="7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</row>
    <row r="1050" spans="2:42">
      <c r="B1050" s="28"/>
      <c r="AE1050" s="5"/>
    </row>
    <row r="1051" spans="2:42">
      <c r="B1051" s="28"/>
      <c r="X1051" s="11">
        <f>SUM(AC1051,AM1051)</f>
        <v>12</v>
      </c>
      <c r="Y1051" s="20" t="s">
        <v>889</v>
      </c>
      <c r="Z1051" s="42" t="s">
        <v>890</v>
      </c>
      <c r="AA1051" s="42"/>
      <c r="AB1051" s="42"/>
      <c r="AC1051" s="11">
        <f>COUNTA(AB1052)-COUNTIF(Z1052,"兼")</f>
        <v>1</v>
      </c>
      <c r="AE1051" s="5"/>
      <c r="AI1051" s="20" t="s">
        <v>891</v>
      </c>
      <c r="AJ1051" s="42" t="s">
        <v>892</v>
      </c>
      <c r="AK1051" s="42"/>
      <c r="AL1051" s="42"/>
      <c r="AM1051" s="11">
        <f>COUNTA(AL1052:AL1062)-COUNTIF(AJ1052:AJ1062,"兼")</f>
        <v>11</v>
      </c>
    </row>
    <row r="1052" spans="2:42">
      <c r="B1052" s="28"/>
      <c r="AA1052" s="11" t="s">
        <v>98</v>
      </c>
      <c r="AB1052" s="11" t="s">
        <v>893</v>
      </c>
      <c r="AC1052" s="11" t="s">
        <v>10</v>
      </c>
      <c r="AD1052" s="11" t="s">
        <v>110</v>
      </c>
      <c r="AE1052" s="40">
        <v>1</v>
      </c>
      <c r="AK1052" s="11" t="s">
        <v>100</v>
      </c>
      <c r="AL1052" s="11" t="s">
        <v>894</v>
      </c>
      <c r="AM1052" s="11" t="s">
        <v>10</v>
      </c>
      <c r="AN1052" s="11" t="s">
        <v>110</v>
      </c>
      <c r="AO1052" s="1">
        <v>1</v>
      </c>
    </row>
    <row r="1053" spans="2:42">
      <c r="B1053" s="28"/>
      <c r="AE1053" s="5"/>
      <c r="AL1053" s="11" t="s">
        <v>895</v>
      </c>
      <c r="AM1053" s="11" t="s">
        <v>10</v>
      </c>
      <c r="AN1053" s="11" t="s">
        <v>110</v>
      </c>
      <c r="AO1053" s="1">
        <v>1</v>
      </c>
    </row>
    <row r="1054" spans="2:42">
      <c r="B1054" s="28"/>
      <c r="AE1054" s="5"/>
      <c r="AL1054" s="11" t="s">
        <v>896</v>
      </c>
      <c r="AM1054" s="11" t="s">
        <v>10</v>
      </c>
      <c r="AN1054" s="11" t="s">
        <v>110</v>
      </c>
      <c r="AO1054" s="1">
        <v>1</v>
      </c>
    </row>
    <row r="1055" spans="2:42">
      <c r="B1055" s="28"/>
      <c r="AE1055" s="5"/>
      <c r="AL1055" s="11" t="s">
        <v>897</v>
      </c>
      <c r="AM1055" s="11" t="s">
        <v>70</v>
      </c>
      <c r="AN1055" s="11" t="s">
        <v>110</v>
      </c>
      <c r="AO1055" s="1">
        <v>1</v>
      </c>
      <c r="AP1055" s="11" t="s">
        <v>898</v>
      </c>
    </row>
    <row r="1056" spans="2:42">
      <c r="B1056" s="28"/>
      <c r="AE1056" s="5"/>
      <c r="AL1056" s="11" t="s">
        <v>899</v>
      </c>
      <c r="AM1056" s="11" t="s">
        <v>10</v>
      </c>
      <c r="AN1056" s="11" t="s">
        <v>110</v>
      </c>
      <c r="AO1056" s="1">
        <v>1</v>
      </c>
    </row>
    <row r="1057" spans="2:42">
      <c r="B1057" s="28"/>
      <c r="AE1057" s="5"/>
      <c r="AL1057" s="11" t="s">
        <v>900</v>
      </c>
      <c r="AM1057" s="11" t="s">
        <v>10</v>
      </c>
      <c r="AN1057" s="11" t="s">
        <v>110</v>
      </c>
      <c r="AO1057" s="1">
        <v>1</v>
      </c>
    </row>
    <row r="1058" spans="2:42">
      <c r="B1058" s="28"/>
      <c r="AE1058" s="5"/>
      <c r="AL1058" s="11" t="s">
        <v>901</v>
      </c>
      <c r="AM1058" s="11" t="s">
        <v>10</v>
      </c>
      <c r="AN1058" s="11" t="s">
        <v>110</v>
      </c>
      <c r="AO1058" s="1">
        <v>1</v>
      </c>
    </row>
    <row r="1059" spans="2:42">
      <c r="B1059" s="28"/>
      <c r="AE1059" s="5"/>
      <c r="AL1059" s="11" t="s">
        <v>902</v>
      </c>
      <c r="AM1059" s="11" t="s">
        <v>10</v>
      </c>
      <c r="AN1059" s="11" t="s">
        <v>110</v>
      </c>
      <c r="AO1059" s="1">
        <v>1</v>
      </c>
    </row>
    <row r="1060" spans="2:42">
      <c r="B1060" s="28"/>
      <c r="AE1060" s="5"/>
      <c r="AL1060" s="11" t="s">
        <v>966</v>
      </c>
      <c r="AM1060" s="11" t="s">
        <v>10</v>
      </c>
      <c r="AN1060" s="11" t="s">
        <v>110</v>
      </c>
      <c r="AO1060" s="1">
        <v>1</v>
      </c>
    </row>
    <row r="1061" spans="2:42">
      <c r="B1061" s="28"/>
      <c r="AE1061" s="5"/>
      <c r="AL1061" s="11" t="s">
        <v>583</v>
      </c>
      <c r="AM1061" s="11" t="s">
        <v>10</v>
      </c>
      <c r="AN1061" s="11" t="s">
        <v>110</v>
      </c>
      <c r="AO1061" s="1">
        <v>1</v>
      </c>
    </row>
    <row r="1062" spans="2:42">
      <c r="B1062" s="28"/>
      <c r="AE1062" s="5"/>
      <c r="AL1062" s="11" t="s">
        <v>599</v>
      </c>
      <c r="AM1062" s="11" t="s">
        <v>10</v>
      </c>
      <c r="AN1062" s="11" t="s">
        <v>110</v>
      </c>
      <c r="AO1062" s="1">
        <v>1</v>
      </c>
    </row>
    <row r="1063" spans="2:42">
      <c r="B1063" s="28"/>
      <c r="X1063" s="16"/>
      <c r="Y1063" s="16"/>
      <c r="Z1063" s="16"/>
      <c r="AA1063" s="16"/>
      <c r="AB1063" s="16"/>
      <c r="AC1063" s="16"/>
      <c r="AD1063" s="16"/>
      <c r="AE1063" s="7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</row>
    <row r="1064" spans="2:42">
      <c r="B1064" s="28"/>
      <c r="AE1064" s="5"/>
    </row>
    <row r="1065" spans="2:42">
      <c r="B1065" s="28"/>
      <c r="X1065" s="11">
        <f>SUM(AC1065,AM1065,AM1081,AM1098,AM1111)</f>
        <v>52</v>
      </c>
      <c r="Y1065" s="20" t="s">
        <v>903</v>
      </c>
      <c r="Z1065" s="42" t="s">
        <v>904</v>
      </c>
      <c r="AA1065" s="42"/>
      <c r="AB1065" s="42"/>
      <c r="AC1065" s="11">
        <f>COUNTA(AB1066:AB1073)-COUNTIF(Z1066:Z1073,"兼")</f>
        <v>8</v>
      </c>
      <c r="AE1065" s="5"/>
      <c r="AI1065" s="20" t="s">
        <v>905</v>
      </c>
      <c r="AJ1065" s="42" t="s">
        <v>906</v>
      </c>
      <c r="AK1065" s="42"/>
      <c r="AL1065" s="42"/>
      <c r="AM1065" s="11">
        <f>COUNTA(AL1066:AL1079)-COUNTIF(AJ1066:AJ1079,"兼")</f>
        <v>13</v>
      </c>
    </row>
    <row r="1066" spans="2:42">
      <c r="B1066" s="28"/>
      <c r="AA1066" s="11" t="s">
        <v>98</v>
      </c>
      <c r="AB1066" s="11" t="s">
        <v>907</v>
      </c>
      <c r="AC1066" s="11" t="s">
        <v>10</v>
      </c>
      <c r="AD1066" s="11" t="s">
        <v>110</v>
      </c>
      <c r="AE1066" s="40">
        <v>1</v>
      </c>
      <c r="AJ1066" s="11" t="s">
        <v>57</v>
      </c>
      <c r="AK1066" s="11" t="s">
        <v>100</v>
      </c>
      <c r="AL1066" s="11" t="s">
        <v>908</v>
      </c>
      <c r="AM1066" s="11" t="s">
        <v>10</v>
      </c>
      <c r="AN1066" s="11" t="s">
        <v>110</v>
      </c>
      <c r="AO1066" s="1">
        <v>0.4</v>
      </c>
    </row>
    <row r="1067" spans="2:42">
      <c r="B1067" s="28"/>
      <c r="AA1067" s="11" t="s">
        <v>186</v>
      </c>
      <c r="AB1067" s="11" t="s">
        <v>909</v>
      </c>
      <c r="AC1067" s="11" t="s">
        <v>10</v>
      </c>
      <c r="AD1067" s="11" t="s">
        <v>110</v>
      </c>
      <c r="AE1067" s="40">
        <v>0.6</v>
      </c>
      <c r="AL1067" s="11" t="s">
        <v>910</v>
      </c>
      <c r="AM1067" s="11" t="s">
        <v>10</v>
      </c>
      <c r="AN1067" s="11" t="s">
        <v>110</v>
      </c>
      <c r="AO1067" s="1">
        <v>1</v>
      </c>
    </row>
    <row r="1068" spans="2:42">
      <c r="B1068" s="28"/>
      <c r="AA1068" s="11" t="s">
        <v>186</v>
      </c>
      <c r="AB1068" s="11" t="s">
        <v>911</v>
      </c>
      <c r="AC1068" s="11" t="s">
        <v>10</v>
      </c>
      <c r="AD1068" s="11" t="s">
        <v>11</v>
      </c>
      <c r="AE1068" s="40">
        <v>1</v>
      </c>
      <c r="AL1068" s="11" t="s">
        <v>912</v>
      </c>
      <c r="AM1068" s="11" t="s">
        <v>10</v>
      </c>
      <c r="AN1068" s="11" t="s">
        <v>110</v>
      </c>
      <c r="AO1068" s="1">
        <v>1</v>
      </c>
    </row>
    <row r="1069" spans="2:42">
      <c r="B1069" s="28"/>
      <c r="AA1069" s="11" t="s">
        <v>186</v>
      </c>
      <c r="AB1069" s="11" t="s">
        <v>913</v>
      </c>
      <c r="AC1069" s="11" t="s">
        <v>10</v>
      </c>
      <c r="AD1069" s="11" t="s">
        <v>11</v>
      </c>
      <c r="AE1069" s="40">
        <v>1</v>
      </c>
      <c r="AL1069" s="11" t="s">
        <v>914</v>
      </c>
      <c r="AM1069" s="11" t="s">
        <v>10</v>
      </c>
      <c r="AN1069" s="11" t="s">
        <v>110</v>
      </c>
      <c r="AO1069" s="1">
        <v>1</v>
      </c>
    </row>
    <row r="1070" spans="2:42">
      <c r="B1070" s="28"/>
      <c r="AB1070" s="11" t="s">
        <v>915</v>
      </c>
      <c r="AC1070" s="11" t="s">
        <v>10</v>
      </c>
      <c r="AD1070" s="11" t="s">
        <v>110</v>
      </c>
      <c r="AE1070" s="40">
        <v>1</v>
      </c>
      <c r="AL1070" s="11" t="s">
        <v>916</v>
      </c>
      <c r="AM1070" s="11" t="s">
        <v>10</v>
      </c>
      <c r="AN1070" s="11" t="s">
        <v>110</v>
      </c>
      <c r="AO1070" s="1">
        <v>1</v>
      </c>
    </row>
    <row r="1071" spans="2:42">
      <c r="B1071" s="28"/>
      <c r="AB1071" s="11" t="s">
        <v>917</v>
      </c>
      <c r="AC1071" s="11" t="s">
        <v>10</v>
      </c>
      <c r="AD1071" s="11" t="s">
        <v>110</v>
      </c>
      <c r="AE1071" s="40">
        <v>1</v>
      </c>
      <c r="AL1071" s="11" t="s">
        <v>918</v>
      </c>
      <c r="AM1071" s="11" t="s">
        <v>10</v>
      </c>
      <c r="AN1071" s="11" t="s">
        <v>110</v>
      </c>
      <c r="AO1071" s="1">
        <v>1</v>
      </c>
    </row>
    <row r="1072" spans="2:42">
      <c r="B1072" s="28"/>
      <c r="AB1072" s="11" t="s">
        <v>919</v>
      </c>
      <c r="AC1072" s="11" t="s">
        <v>10</v>
      </c>
      <c r="AD1072" s="11" t="s">
        <v>110</v>
      </c>
      <c r="AE1072" s="40">
        <v>1</v>
      </c>
      <c r="AL1072" s="11" t="s">
        <v>920</v>
      </c>
      <c r="AM1072" s="11" t="s">
        <v>10</v>
      </c>
      <c r="AN1072" s="11" t="s">
        <v>110</v>
      </c>
      <c r="AO1072" s="1">
        <v>1</v>
      </c>
    </row>
    <row r="1073" spans="2:41">
      <c r="B1073" s="28"/>
      <c r="AB1073" s="11" t="s">
        <v>921</v>
      </c>
      <c r="AC1073" s="11" t="s">
        <v>10</v>
      </c>
      <c r="AD1073" s="11" t="s">
        <v>110</v>
      </c>
      <c r="AE1073" s="1">
        <v>1</v>
      </c>
      <c r="AL1073" s="11" t="s">
        <v>922</v>
      </c>
      <c r="AM1073" s="11" t="s">
        <v>10</v>
      </c>
      <c r="AN1073" s="11" t="s">
        <v>110</v>
      </c>
      <c r="AO1073" s="1">
        <v>1</v>
      </c>
    </row>
    <row r="1074" spans="2:41">
      <c r="B1074" s="28"/>
      <c r="AE1074" s="5"/>
      <c r="AL1074" s="11" t="s">
        <v>924</v>
      </c>
      <c r="AM1074" s="11" t="s">
        <v>10</v>
      </c>
      <c r="AN1074" s="11" t="s">
        <v>110</v>
      </c>
      <c r="AO1074" s="1">
        <v>1</v>
      </c>
    </row>
    <row r="1075" spans="2:41">
      <c r="B1075" s="28"/>
      <c r="AE1075" s="5"/>
      <c r="AL1075" s="11" t="s">
        <v>925</v>
      </c>
      <c r="AM1075" s="11" t="s">
        <v>859</v>
      </c>
      <c r="AN1075" s="11" t="s">
        <v>110</v>
      </c>
      <c r="AO1075" s="1">
        <v>1</v>
      </c>
    </row>
    <row r="1076" spans="2:41">
      <c r="B1076" s="28"/>
      <c r="AE1076" s="5"/>
      <c r="AL1076" s="11" t="s">
        <v>926</v>
      </c>
      <c r="AM1076" s="11" t="s">
        <v>363</v>
      </c>
      <c r="AN1076" s="11" t="s">
        <v>110</v>
      </c>
      <c r="AO1076" s="1">
        <v>1</v>
      </c>
    </row>
    <row r="1077" spans="2:41">
      <c r="B1077" s="28"/>
      <c r="AE1077" s="5"/>
      <c r="AL1077" s="11" t="s">
        <v>927</v>
      </c>
      <c r="AM1077" s="11" t="s">
        <v>363</v>
      </c>
      <c r="AN1077" s="11" t="s">
        <v>110</v>
      </c>
      <c r="AO1077" s="1">
        <v>1</v>
      </c>
    </row>
    <row r="1078" spans="2:41">
      <c r="B1078" s="28"/>
      <c r="AE1078" s="5"/>
      <c r="AL1078" s="11" t="s">
        <v>928</v>
      </c>
      <c r="AM1078" s="11" t="s">
        <v>929</v>
      </c>
      <c r="AN1078" s="11" t="s">
        <v>110</v>
      </c>
      <c r="AO1078" s="1">
        <v>1</v>
      </c>
    </row>
    <row r="1079" spans="2:41">
      <c r="B1079" s="28"/>
      <c r="AE1079" s="5"/>
      <c r="AL1079" s="11" t="s">
        <v>581</v>
      </c>
      <c r="AM1079" s="11" t="s">
        <v>10</v>
      </c>
      <c r="AN1079" s="11" t="s">
        <v>110</v>
      </c>
      <c r="AO1079" s="1">
        <v>1</v>
      </c>
    </row>
    <row r="1080" spans="2:41">
      <c r="B1080" s="28"/>
      <c r="AE1080" s="5"/>
    </row>
    <row r="1081" spans="2:41">
      <c r="B1081" s="28"/>
      <c r="AE1081" s="5"/>
      <c r="AI1081" s="20" t="s">
        <v>930</v>
      </c>
      <c r="AJ1081" s="42" t="s">
        <v>931</v>
      </c>
      <c r="AK1081" s="42"/>
      <c r="AL1081" s="42"/>
      <c r="AM1081" s="11">
        <f>COUNTA(AL1082:AL1096)-COUNTIF(AJ1082:AJ1096,"兼")</f>
        <v>15</v>
      </c>
    </row>
    <row r="1082" spans="2:41">
      <c r="B1082" s="28"/>
      <c r="AE1082" s="5"/>
      <c r="AK1082" s="11" t="s">
        <v>100</v>
      </c>
      <c r="AL1082" s="11" t="s">
        <v>932</v>
      </c>
      <c r="AM1082" s="11" t="s">
        <v>10</v>
      </c>
      <c r="AN1082" s="11" t="s">
        <v>110</v>
      </c>
      <c r="AO1082" s="1">
        <v>1</v>
      </c>
    </row>
    <row r="1083" spans="2:41">
      <c r="B1083" s="28"/>
      <c r="AE1083" s="5"/>
      <c r="AL1083" s="11" t="s">
        <v>933</v>
      </c>
      <c r="AM1083" s="11" t="s">
        <v>10</v>
      </c>
      <c r="AN1083" s="11" t="s">
        <v>110</v>
      </c>
      <c r="AO1083" s="1">
        <v>1</v>
      </c>
    </row>
    <row r="1084" spans="2:41">
      <c r="B1084" s="28"/>
      <c r="AE1084" s="5"/>
      <c r="AL1084" s="11" t="s">
        <v>934</v>
      </c>
      <c r="AM1084" s="11" t="s">
        <v>10</v>
      </c>
      <c r="AN1084" s="11" t="s">
        <v>110</v>
      </c>
      <c r="AO1084" s="1">
        <v>1</v>
      </c>
    </row>
    <row r="1085" spans="2:41">
      <c r="B1085" s="28"/>
      <c r="AE1085" s="5"/>
      <c r="AL1085" s="11" t="s">
        <v>935</v>
      </c>
      <c r="AM1085" s="11" t="s">
        <v>10</v>
      </c>
      <c r="AN1085" s="11" t="s">
        <v>110</v>
      </c>
      <c r="AO1085" s="1">
        <v>1</v>
      </c>
    </row>
    <row r="1086" spans="2:41">
      <c r="B1086" s="28"/>
      <c r="AE1086" s="5"/>
      <c r="AL1086" s="11" t="s">
        <v>936</v>
      </c>
      <c r="AM1086" s="11" t="s">
        <v>10</v>
      </c>
      <c r="AN1086" s="11" t="s">
        <v>110</v>
      </c>
      <c r="AO1086" s="1">
        <v>1</v>
      </c>
    </row>
    <row r="1087" spans="2:41">
      <c r="B1087" s="28"/>
      <c r="AE1087" s="5"/>
      <c r="AL1087" s="11" t="s">
        <v>937</v>
      </c>
      <c r="AM1087" s="11" t="s">
        <v>10</v>
      </c>
      <c r="AN1087" s="11" t="s">
        <v>110</v>
      </c>
      <c r="AO1087" s="1">
        <v>1</v>
      </c>
    </row>
    <row r="1088" spans="2:41">
      <c r="B1088" s="28"/>
      <c r="AE1088" s="5"/>
      <c r="AL1088" s="11" t="s">
        <v>938</v>
      </c>
      <c r="AM1088" s="11" t="s">
        <v>10</v>
      </c>
      <c r="AN1088" s="11" t="s">
        <v>110</v>
      </c>
      <c r="AO1088" s="1">
        <v>1</v>
      </c>
    </row>
    <row r="1089" spans="2:41">
      <c r="B1089" s="28"/>
      <c r="AE1089" s="5"/>
      <c r="AL1089" s="11" t="s">
        <v>939</v>
      </c>
      <c r="AM1089" s="11" t="s">
        <v>10</v>
      </c>
      <c r="AN1089" s="11" t="s">
        <v>110</v>
      </c>
      <c r="AO1089" s="1">
        <v>1</v>
      </c>
    </row>
    <row r="1090" spans="2:41">
      <c r="B1090" s="28"/>
      <c r="AE1090" s="5"/>
      <c r="AL1090" s="11" t="s">
        <v>940</v>
      </c>
      <c r="AM1090" s="11" t="s">
        <v>10</v>
      </c>
      <c r="AN1090" s="11" t="s">
        <v>941</v>
      </c>
      <c r="AO1090" s="1">
        <v>1</v>
      </c>
    </row>
    <row r="1091" spans="2:41">
      <c r="B1091" s="28"/>
      <c r="AE1091" s="5"/>
      <c r="AL1091" s="11" t="s">
        <v>942</v>
      </c>
      <c r="AM1091" s="11" t="s">
        <v>10</v>
      </c>
      <c r="AN1091" s="11" t="s">
        <v>11</v>
      </c>
      <c r="AO1091" s="1">
        <v>1</v>
      </c>
    </row>
    <row r="1092" spans="2:41">
      <c r="B1092" s="28"/>
      <c r="AE1092" s="5"/>
      <c r="AL1092" s="11" t="s">
        <v>943</v>
      </c>
      <c r="AM1092" s="11" t="s">
        <v>10</v>
      </c>
      <c r="AN1092" s="11" t="s">
        <v>11</v>
      </c>
      <c r="AO1092" s="1">
        <v>1</v>
      </c>
    </row>
    <row r="1093" spans="2:41">
      <c r="B1093" s="28"/>
      <c r="AE1093" s="5"/>
      <c r="AL1093" s="11" t="s">
        <v>944</v>
      </c>
      <c r="AM1093" s="11" t="s">
        <v>10</v>
      </c>
      <c r="AN1093" s="11" t="s">
        <v>11</v>
      </c>
      <c r="AO1093" s="1">
        <v>1</v>
      </c>
    </row>
    <row r="1094" spans="2:41">
      <c r="B1094" s="28"/>
      <c r="AE1094" s="5"/>
      <c r="AL1094" s="11" t="s">
        <v>945</v>
      </c>
      <c r="AM1094" s="11" t="s">
        <v>10</v>
      </c>
      <c r="AN1094" s="11" t="s">
        <v>11</v>
      </c>
      <c r="AO1094" s="1">
        <v>1</v>
      </c>
    </row>
    <row r="1095" spans="2:41">
      <c r="B1095" s="28"/>
      <c r="AE1095" s="5"/>
      <c r="AL1095" s="11" t="s">
        <v>584</v>
      </c>
      <c r="AM1095" s="11" t="s">
        <v>10</v>
      </c>
      <c r="AN1095" s="11" t="s">
        <v>110</v>
      </c>
      <c r="AO1095" s="1">
        <v>1</v>
      </c>
    </row>
    <row r="1096" spans="2:41">
      <c r="B1096" s="28"/>
      <c r="AE1096" s="5"/>
      <c r="AL1096" s="11" t="s">
        <v>965</v>
      </c>
      <c r="AM1096" s="11" t="s">
        <v>10</v>
      </c>
      <c r="AN1096" s="11" t="s">
        <v>110</v>
      </c>
      <c r="AO1096" s="1">
        <v>1</v>
      </c>
    </row>
    <row r="1097" spans="2:41">
      <c r="B1097" s="28"/>
      <c r="AE1097" s="5"/>
    </row>
    <row r="1098" spans="2:41">
      <c r="B1098" s="28"/>
      <c r="AE1098" s="5"/>
      <c r="AI1098" s="20" t="s">
        <v>946</v>
      </c>
      <c r="AJ1098" s="42" t="s">
        <v>947</v>
      </c>
      <c r="AK1098" s="42"/>
      <c r="AL1098" s="42"/>
      <c r="AM1098" s="11">
        <f>COUNTA(AL1099:AL1109)-COUNTIF(AJ1099:AJ1109,"兼")</f>
        <v>11</v>
      </c>
    </row>
    <row r="1099" spans="2:41">
      <c r="B1099" s="28"/>
      <c r="AE1099" s="5"/>
      <c r="AK1099" s="11" t="s">
        <v>100</v>
      </c>
      <c r="AL1099" s="11" t="s">
        <v>948</v>
      </c>
      <c r="AM1099" s="11" t="s">
        <v>10</v>
      </c>
      <c r="AN1099" s="11" t="s">
        <v>110</v>
      </c>
      <c r="AO1099" s="1">
        <v>1</v>
      </c>
    </row>
    <row r="1100" spans="2:41">
      <c r="B1100" s="28"/>
      <c r="AE1100" s="5"/>
      <c r="AL1100" s="11" t="s">
        <v>949</v>
      </c>
      <c r="AM1100" s="11" t="s">
        <v>282</v>
      </c>
      <c r="AN1100" s="11" t="s">
        <v>110</v>
      </c>
      <c r="AO1100" s="1">
        <v>1</v>
      </c>
    </row>
    <row r="1101" spans="2:41">
      <c r="B1101" s="28"/>
      <c r="AE1101" s="5"/>
      <c r="AL1101" s="11" t="s">
        <v>951</v>
      </c>
      <c r="AM1101" s="11" t="s">
        <v>10</v>
      </c>
      <c r="AN1101" s="11" t="s">
        <v>110</v>
      </c>
      <c r="AO1101" s="1">
        <v>1</v>
      </c>
    </row>
    <row r="1102" spans="2:41">
      <c r="B1102" s="28"/>
      <c r="AE1102" s="5"/>
      <c r="AL1102" s="11" t="s">
        <v>952</v>
      </c>
      <c r="AM1102" s="11" t="s">
        <v>10</v>
      </c>
      <c r="AN1102" s="11" t="s">
        <v>110</v>
      </c>
      <c r="AO1102" s="1">
        <v>1</v>
      </c>
    </row>
    <row r="1103" spans="2:41">
      <c r="B1103" s="28"/>
      <c r="AE1103" s="5"/>
      <c r="AL1103" s="11" t="s">
        <v>953</v>
      </c>
      <c r="AM1103" s="11" t="s">
        <v>10</v>
      </c>
      <c r="AN1103" s="11" t="s">
        <v>110</v>
      </c>
      <c r="AO1103" s="1">
        <v>1</v>
      </c>
    </row>
    <row r="1104" spans="2:41">
      <c r="B1104" s="28"/>
      <c r="AE1104" s="5"/>
      <c r="AL1104" s="11" t="s">
        <v>954</v>
      </c>
      <c r="AM1104" s="11" t="s">
        <v>10</v>
      </c>
      <c r="AN1104" s="11" t="s">
        <v>110</v>
      </c>
      <c r="AO1104" s="1">
        <v>1</v>
      </c>
    </row>
    <row r="1105" spans="2:42">
      <c r="B1105" s="28"/>
      <c r="AE1105" s="5"/>
      <c r="AL1105" s="11" t="s">
        <v>955</v>
      </c>
      <c r="AM1105" s="11" t="s">
        <v>10</v>
      </c>
      <c r="AN1105" s="11" t="s">
        <v>110</v>
      </c>
      <c r="AO1105" s="1">
        <v>1</v>
      </c>
    </row>
    <row r="1106" spans="2:42">
      <c r="B1106" s="28"/>
      <c r="AE1106" s="5"/>
      <c r="AL1106" s="11" t="s">
        <v>956</v>
      </c>
      <c r="AM1106" s="11" t="s">
        <v>10</v>
      </c>
      <c r="AN1106" s="11" t="s">
        <v>110</v>
      </c>
      <c r="AO1106" s="1">
        <v>1</v>
      </c>
    </row>
    <row r="1107" spans="2:42">
      <c r="B1107" s="28"/>
      <c r="AE1107" s="5"/>
      <c r="AL1107" s="11" t="s">
        <v>957</v>
      </c>
      <c r="AM1107" s="11" t="s">
        <v>10</v>
      </c>
      <c r="AN1107" s="11" t="s">
        <v>110</v>
      </c>
      <c r="AO1107" s="1">
        <v>1</v>
      </c>
    </row>
    <row r="1108" spans="2:42">
      <c r="B1108" s="28"/>
      <c r="AE1108" s="5"/>
      <c r="AL1108" s="11" t="s">
        <v>594</v>
      </c>
      <c r="AM1108" s="11" t="s">
        <v>10</v>
      </c>
      <c r="AN1108" s="11" t="s">
        <v>110</v>
      </c>
      <c r="AO1108" s="1">
        <v>1</v>
      </c>
    </row>
    <row r="1109" spans="2:42">
      <c r="B1109" s="28"/>
      <c r="AE1109" s="5"/>
      <c r="AL1109" s="11" t="s">
        <v>923</v>
      </c>
      <c r="AM1109" s="11" t="s">
        <v>10</v>
      </c>
      <c r="AN1109" s="11" t="s">
        <v>110</v>
      </c>
      <c r="AO1109" s="1">
        <v>1</v>
      </c>
    </row>
    <row r="1110" spans="2:42">
      <c r="B1110" s="28"/>
      <c r="AE1110" s="5"/>
    </row>
    <row r="1111" spans="2:42">
      <c r="B1111" s="28"/>
      <c r="AE1111" s="5"/>
      <c r="AI1111" s="20" t="s">
        <v>958</v>
      </c>
      <c r="AJ1111" s="42" t="s">
        <v>959</v>
      </c>
      <c r="AK1111" s="42"/>
      <c r="AL1111" s="42"/>
      <c r="AM1111" s="11">
        <f>COUNTA(AL1112:AL1116)-COUNTIF(AJ1112:AJ1116,"兼")</f>
        <v>5</v>
      </c>
    </row>
    <row r="1112" spans="2:42">
      <c r="B1112" s="28"/>
      <c r="AE1112" s="5"/>
      <c r="AK1112" s="11" t="s">
        <v>100</v>
      </c>
      <c r="AL1112" s="11" t="s">
        <v>960</v>
      </c>
      <c r="AM1112" s="11" t="s">
        <v>10</v>
      </c>
      <c r="AN1112" s="11" t="s">
        <v>110</v>
      </c>
      <c r="AO1112" s="1">
        <v>1</v>
      </c>
    </row>
    <row r="1113" spans="2:42">
      <c r="B1113" s="28"/>
      <c r="AE1113" s="5"/>
      <c r="AL1113" s="11" t="s">
        <v>961</v>
      </c>
      <c r="AM1113" s="11" t="s">
        <v>10</v>
      </c>
      <c r="AN1113" s="11" t="s">
        <v>110</v>
      </c>
      <c r="AO1113" s="1">
        <v>1</v>
      </c>
    </row>
    <row r="1114" spans="2:42">
      <c r="B1114" s="28"/>
      <c r="AE1114" s="5"/>
      <c r="AL1114" s="11" t="s">
        <v>962</v>
      </c>
      <c r="AM1114" s="11" t="s">
        <v>10</v>
      </c>
      <c r="AN1114" s="11" t="s">
        <v>110</v>
      </c>
      <c r="AO1114" s="1">
        <v>1</v>
      </c>
    </row>
    <row r="1115" spans="2:42">
      <c r="B1115" s="28"/>
      <c r="AE1115" s="5"/>
      <c r="AL1115" s="11" t="s">
        <v>963</v>
      </c>
      <c r="AM1115" s="11" t="s">
        <v>10</v>
      </c>
      <c r="AN1115" s="11" t="s">
        <v>110</v>
      </c>
      <c r="AO1115" s="1">
        <v>1</v>
      </c>
    </row>
    <row r="1116" spans="2:42">
      <c r="B1116" s="28"/>
      <c r="AE1116" s="5"/>
      <c r="AL1116" s="11" t="s">
        <v>964</v>
      </c>
      <c r="AM1116" s="11" t="s">
        <v>10</v>
      </c>
      <c r="AN1116" s="11" t="s">
        <v>110</v>
      </c>
      <c r="AO1116" s="1">
        <v>1</v>
      </c>
    </row>
    <row r="1117" spans="2:42">
      <c r="B1117" s="28"/>
      <c r="X1117" s="16"/>
      <c r="Y1117" s="16"/>
      <c r="Z1117" s="16"/>
      <c r="AA1117" s="16"/>
      <c r="AB1117" s="16"/>
      <c r="AC1117" s="16"/>
      <c r="AD1117" s="16"/>
      <c r="AE1117" s="7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</row>
    <row r="1118" spans="2:42">
      <c r="B1118" s="28"/>
      <c r="AE1118" s="5"/>
    </row>
    <row r="1119" spans="2:42">
      <c r="B1119" s="28"/>
      <c r="X1119" s="11">
        <f>SUM(AC1119,AM1119,AM1131,AM1144)</f>
        <v>32</v>
      </c>
      <c r="Y1119" s="20" t="s">
        <v>967</v>
      </c>
      <c r="Z1119" s="42" t="s">
        <v>968</v>
      </c>
      <c r="AA1119" s="42"/>
      <c r="AB1119" s="42"/>
      <c r="AC1119" s="11">
        <f>COUNTA(AB1120:AB1122)-COUNTIF(Z1120:Z1122,"兼")</f>
        <v>3</v>
      </c>
      <c r="AE1119" s="5"/>
      <c r="AI1119" s="20" t="s">
        <v>969</v>
      </c>
      <c r="AJ1119" s="42" t="s">
        <v>970</v>
      </c>
      <c r="AK1119" s="42"/>
      <c r="AL1119" s="42"/>
      <c r="AM1119" s="11">
        <f>COUNTA(AL1120:AL1129)-COUNTIF(AJ1120:AJ1129,"兼")</f>
        <v>10</v>
      </c>
    </row>
    <row r="1120" spans="2:42">
      <c r="B1120" s="28"/>
      <c r="AA1120" s="11" t="s">
        <v>98</v>
      </c>
      <c r="AB1120" s="11" t="s">
        <v>971</v>
      </c>
      <c r="AC1120" s="11" t="s">
        <v>10</v>
      </c>
      <c r="AD1120" s="11" t="s">
        <v>110</v>
      </c>
      <c r="AE1120" s="40">
        <v>1</v>
      </c>
      <c r="AK1120" s="11" t="s">
        <v>100</v>
      </c>
      <c r="AL1120" s="11" t="s">
        <v>972</v>
      </c>
      <c r="AM1120" s="11" t="s">
        <v>10</v>
      </c>
      <c r="AN1120" s="11" t="s">
        <v>110</v>
      </c>
      <c r="AO1120" s="1">
        <v>1</v>
      </c>
    </row>
    <row r="1121" spans="2:41">
      <c r="B1121" s="28"/>
      <c r="AA1121" s="11" t="s">
        <v>186</v>
      </c>
      <c r="AB1121" s="11" t="s">
        <v>973</v>
      </c>
      <c r="AC1121" s="11" t="s">
        <v>10</v>
      </c>
      <c r="AD1121" s="11" t="s">
        <v>110</v>
      </c>
      <c r="AE1121" s="40">
        <v>0.6</v>
      </c>
      <c r="AL1121" s="11" t="s">
        <v>974</v>
      </c>
      <c r="AM1121" s="11" t="s">
        <v>10</v>
      </c>
      <c r="AN1121" s="11" t="s">
        <v>110</v>
      </c>
      <c r="AO1121" s="1">
        <v>1</v>
      </c>
    </row>
    <row r="1122" spans="2:41">
      <c r="B1122" s="28"/>
      <c r="AA1122" s="11" t="s">
        <v>186</v>
      </c>
      <c r="AB1122" s="11" t="s">
        <v>975</v>
      </c>
      <c r="AC1122" s="11" t="s">
        <v>10</v>
      </c>
      <c r="AD1122" s="11" t="s">
        <v>11</v>
      </c>
      <c r="AE1122" s="40">
        <v>1</v>
      </c>
      <c r="AL1122" s="11" t="s">
        <v>976</v>
      </c>
      <c r="AM1122" s="11" t="s">
        <v>10</v>
      </c>
      <c r="AN1122" s="11" t="s">
        <v>110</v>
      </c>
      <c r="AO1122" s="1">
        <v>1</v>
      </c>
    </row>
    <row r="1123" spans="2:41">
      <c r="B1123" s="28"/>
      <c r="AE1123" s="5"/>
      <c r="AL1123" s="11" t="s">
        <v>977</v>
      </c>
      <c r="AM1123" s="11" t="s">
        <v>10</v>
      </c>
      <c r="AN1123" s="11" t="s">
        <v>110</v>
      </c>
      <c r="AO1123" s="1">
        <v>1</v>
      </c>
    </row>
    <row r="1124" spans="2:41">
      <c r="B1124" s="28"/>
      <c r="AE1124" s="5"/>
      <c r="AL1124" s="11" t="s">
        <v>978</v>
      </c>
      <c r="AM1124" s="11" t="s">
        <v>10</v>
      </c>
      <c r="AN1124" s="11" t="s">
        <v>110</v>
      </c>
      <c r="AO1124" s="1">
        <v>1</v>
      </c>
    </row>
    <row r="1125" spans="2:41">
      <c r="B1125" s="28"/>
      <c r="AE1125" s="5"/>
      <c r="AL1125" s="11" t="s">
        <v>979</v>
      </c>
      <c r="AM1125" s="11" t="s">
        <v>10</v>
      </c>
      <c r="AN1125" s="11" t="s">
        <v>110</v>
      </c>
      <c r="AO1125" s="1">
        <v>1</v>
      </c>
    </row>
    <row r="1126" spans="2:41">
      <c r="B1126" s="28"/>
      <c r="AE1126" s="5"/>
      <c r="AL1126" s="11" t="s">
        <v>980</v>
      </c>
      <c r="AM1126" s="11" t="s">
        <v>10</v>
      </c>
      <c r="AN1126" s="11" t="s">
        <v>110</v>
      </c>
      <c r="AO1126" s="1">
        <v>1</v>
      </c>
    </row>
    <row r="1127" spans="2:41">
      <c r="B1127" s="28"/>
      <c r="AE1127" s="5"/>
      <c r="AL1127" s="11" t="s">
        <v>981</v>
      </c>
      <c r="AM1127" s="11" t="s">
        <v>10</v>
      </c>
      <c r="AN1127" s="11" t="s">
        <v>110</v>
      </c>
      <c r="AO1127" s="1">
        <v>1</v>
      </c>
    </row>
    <row r="1128" spans="2:41">
      <c r="B1128" s="28"/>
      <c r="AE1128" s="5"/>
      <c r="AL1128" s="11" t="s">
        <v>982</v>
      </c>
      <c r="AM1128" s="11" t="s">
        <v>10</v>
      </c>
      <c r="AN1128" s="11" t="s">
        <v>110</v>
      </c>
      <c r="AO1128" s="1">
        <v>1</v>
      </c>
    </row>
    <row r="1129" spans="2:41">
      <c r="B1129" s="28"/>
      <c r="AE1129" s="5"/>
      <c r="AL1129" s="11" t="s">
        <v>579</v>
      </c>
      <c r="AM1129" s="11" t="s">
        <v>10</v>
      </c>
      <c r="AN1129" s="11" t="s">
        <v>110</v>
      </c>
      <c r="AO1129" s="1">
        <v>1</v>
      </c>
    </row>
    <row r="1130" spans="2:41">
      <c r="B1130" s="28"/>
      <c r="AE1130" s="5"/>
    </row>
    <row r="1131" spans="2:41">
      <c r="B1131" s="28"/>
      <c r="AE1131" s="5"/>
      <c r="AI1131" s="20" t="s">
        <v>983</v>
      </c>
      <c r="AJ1131" s="42" t="s">
        <v>984</v>
      </c>
      <c r="AK1131" s="42"/>
      <c r="AL1131" s="42"/>
      <c r="AM1131" s="11">
        <f>COUNTA(AL1132:AL1142)-COUNTIF(AJ1132:AJ1142,"兼")</f>
        <v>10</v>
      </c>
    </row>
    <row r="1132" spans="2:41">
      <c r="B1132" s="28"/>
      <c r="AE1132" s="5"/>
      <c r="AJ1132" s="11" t="s">
        <v>57</v>
      </c>
      <c r="AK1132" s="11" t="s">
        <v>100</v>
      </c>
      <c r="AL1132" s="11" t="s">
        <v>985</v>
      </c>
      <c r="AM1132" s="11" t="s">
        <v>10</v>
      </c>
      <c r="AN1132" s="11" t="s">
        <v>110</v>
      </c>
      <c r="AO1132" s="1">
        <v>0.4</v>
      </c>
    </row>
    <row r="1133" spans="2:41">
      <c r="B1133" s="28"/>
      <c r="AE1133" s="5"/>
      <c r="AL1133" s="11" t="s">
        <v>986</v>
      </c>
      <c r="AM1133" s="11" t="s">
        <v>10</v>
      </c>
      <c r="AN1133" s="11" t="s">
        <v>110</v>
      </c>
      <c r="AO1133" s="1">
        <v>1</v>
      </c>
    </row>
    <row r="1134" spans="2:41">
      <c r="B1134" s="28"/>
      <c r="AE1134" s="5"/>
      <c r="AL1134" s="11" t="s">
        <v>987</v>
      </c>
      <c r="AM1134" s="11" t="s">
        <v>10</v>
      </c>
      <c r="AN1134" s="11" t="s">
        <v>110</v>
      </c>
      <c r="AO1134" s="1">
        <v>1</v>
      </c>
    </row>
    <row r="1135" spans="2:41">
      <c r="B1135" s="28"/>
      <c r="AE1135" s="5"/>
      <c r="AL1135" s="11" t="s">
        <v>988</v>
      </c>
      <c r="AM1135" s="11" t="s">
        <v>10</v>
      </c>
      <c r="AN1135" s="11" t="s">
        <v>110</v>
      </c>
      <c r="AO1135" s="1">
        <v>1</v>
      </c>
    </row>
    <row r="1136" spans="2:41">
      <c r="B1136" s="28"/>
      <c r="AE1136" s="5"/>
      <c r="AL1136" s="11" t="s">
        <v>989</v>
      </c>
      <c r="AM1136" s="11" t="s">
        <v>10</v>
      </c>
      <c r="AN1136" s="11" t="s">
        <v>110</v>
      </c>
      <c r="AO1136" s="1">
        <v>1</v>
      </c>
    </row>
    <row r="1137" spans="2:41">
      <c r="B1137" s="28"/>
      <c r="AE1137" s="5"/>
      <c r="AL1137" s="11" t="s">
        <v>990</v>
      </c>
      <c r="AM1137" s="11" t="s">
        <v>10</v>
      </c>
      <c r="AN1137" s="11" t="s">
        <v>110</v>
      </c>
      <c r="AO1137" s="1">
        <v>1</v>
      </c>
    </row>
    <row r="1138" spans="2:41">
      <c r="B1138" s="28"/>
      <c r="AE1138" s="5"/>
      <c r="AL1138" s="11" t="s">
        <v>991</v>
      </c>
      <c r="AM1138" s="11" t="s">
        <v>10</v>
      </c>
      <c r="AN1138" s="11" t="s">
        <v>110</v>
      </c>
      <c r="AO1138" s="1">
        <v>1</v>
      </c>
    </row>
    <row r="1139" spans="2:41">
      <c r="B1139" s="28"/>
      <c r="AE1139" s="5"/>
      <c r="AL1139" s="11" t="s">
        <v>992</v>
      </c>
      <c r="AM1139" s="11" t="s">
        <v>10</v>
      </c>
      <c r="AN1139" s="11" t="s">
        <v>110</v>
      </c>
      <c r="AO1139" s="1">
        <v>1</v>
      </c>
    </row>
    <row r="1140" spans="2:41">
      <c r="B1140" s="28"/>
      <c r="AE1140" s="5"/>
      <c r="AL1140" s="11" t="s">
        <v>993</v>
      </c>
      <c r="AM1140" s="11" t="s">
        <v>10</v>
      </c>
      <c r="AN1140" s="11" t="s">
        <v>110</v>
      </c>
      <c r="AO1140" s="1">
        <v>1</v>
      </c>
    </row>
    <row r="1141" spans="2:41">
      <c r="B1141" s="28"/>
      <c r="AE1141" s="5"/>
      <c r="AL1141" s="11" t="s">
        <v>994</v>
      </c>
      <c r="AM1141" s="11" t="s">
        <v>10</v>
      </c>
      <c r="AN1141" s="11" t="s">
        <v>110</v>
      </c>
      <c r="AO1141" s="1">
        <v>1</v>
      </c>
    </row>
    <row r="1142" spans="2:41">
      <c r="B1142" s="28"/>
      <c r="AE1142" s="5"/>
      <c r="AL1142" s="11" t="s">
        <v>592</v>
      </c>
      <c r="AM1142" s="11" t="s">
        <v>10</v>
      </c>
      <c r="AN1142" s="11" t="s">
        <v>110</v>
      </c>
      <c r="AO1142" s="1">
        <v>1</v>
      </c>
    </row>
    <row r="1143" spans="2:41">
      <c r="B1143" s="28"/>
      <c r="AE1143" s="5"/>
    </row>
    <row r="1144" spans="2:41">
      <c r="B1144" s="28"/>
      <c r="AE1144" s="5"/>
      <c r="AI1144" s="20" t="s">
        <v>995</v>
      </c>
      <c r="AJ1144" s="42" t="s">
        <v>996</v>
      </c>
      <c r="AK1144" s="42"/>
      <c r="AL1144" s="42"/>
      <c r="AM1144" s="11">
        <f>COUNTA(AL1145:AL1153)-COUNTIF(AJ1145:AJ1153,"兼")</f>
        <v>9</v>
      </c>
    </row>
    <row r="1145" spans="2:41">
      <c r="B1145" s="28"/>
      <c r="AE1145" s="5"/>
      <c r="AK1145" s="11" t="s">
        <v>100</v>
      </c>
      <c r="AL1145" s="11" t="s">
        <v>997</v>
      </c>
      <c r="AM1145" s="11" t="s">
        <v>10</v>
      </c>
      <c r="AN1145" s="11" t="s">
        <v>110</v>
      </c>
      <c r="AO1145" s="40">
        <v>1</v>
      </c>
    </row>
    <row r="1146" spans="2:41">
      <c r="B1146" s="28"/>
      <c r="AE1146" s="5"/>
      <c r="AL1146" s="11" t="s">
        <v>998</v>
      </c>
      <c r="AM1146" s="11" t="s">
        <v>10</v>
      </c>
      <c r="AN1146" s="11" t="s">
        <v>110</v>
      </c>
      <c r="AO1146" s="1">
        <v>1</v>
      </c>
    </row>
    <row r="1147" spans="2:41">
      <c r="B1147" s="28"/>
      <c r="AE1147" s="5"/>
      <c r="AL1147" s="11" t="s">
        <v>999</v>
      </c>
      <c r="AM1147" s="11" t="s">
        <v>10</v>
      </c>
      <c r="AN1147" s="11" t="s">
        <v>110</v>
      </c>
      <c r="AO1147" s="1">
        <v>1</v>
      </c>
    </row>
    <row r="1148" spans="2:41">
      <c r="B1148" s="28"/>
      <c r="AE1148" s="5"/>
      <c r="AL1148" s="11" t="s">
        <v>1000</v>
      </c>
      <c r="AM1148" s="11" t="s">
        <v>10</v>
      </c>
      <c r="AN1148" s="11" t="s">
        <v>110</v>
      </c>
      <c r="AO1148" s="1">
        <v>1</v>
      </c>
    </row>
    <row r="1149" spans="2:41">
      <c r="B1149" s="28"/>
      <c r="AE1149" s="5"/>
      <c r="AL1149" s="11" t="s">
        <v>1001</v>
      </c>
      <c r="AM1149" s="11" t="s">
        <v>10</v>
      </c>
      <c r="AN1149" s="11" t="s">
        <v>110</v>
      </c>
      <c r="AO1149" s="1">
        <v>1</v>
      </c>
    </row>
    <row r="1150" spans="2:41">
      <c r="B1150" s="28"/>
      <c r="AE1150" s="5"/>
      <c r="AL1150" s="11" t="s">
        <v>1002</v>
      </c>
      <c r="AM1150" s="11" t="s">
        <v>10</v>
      </c>
      <c r="AN1150" s="11" t="s">
        <v>11</v>
      </c>
      <c r="AO1150" s="1">
        <v>1</v>
      </c>
    </row>
    <row r="1151" spans="2:41">
      <c r="B1151" s="28"/>
      <c r="AE1151" s="5"/>
      <c r="AL1151" s="11" t="s">
        <v>1003</v>
      </c>
      <c r="AM1151" s="11" t="s">
        <v>10</v>
      </c>
      <c r="AN1151" s="11" t="s">
        <v>11</v>
      </c>
      <c r="AO1151" s="1">
        <v>1</v>
      </c>
    </row>
    <row r="1152" spans="2:41">
      <c r="B1152" s="28"/>
      <c r="AE1152" s="5"/>
      <c r="AL1152" s="11" t="s">
        <v>1004</v>
      </c>
      <c r="AM1152" s="11" t="s">
        <v>10</v>
      </c>
      <c r="AN1152" s="11" t="s">
        <v>110</v>
      </c>
      <c r="AO1152" s="1">
        <v>1</v>
      </c>
    </row>
    <row r="1153" spans="2:42">
      <c r="B1153" s="28"/>
      <c r="AE1153" s="5"/>
      <c r="AL1153" s="11" t="s">
        <v>570</v>
      </c>
      <c r="AM1153" s="11" t="s">
        <v>10</v>
      </c>
      <c r="AN1153" s="11" t="s">
        <v>110</v>
      </c>
      <c r="AO1153" s="1">
        <v>1</v>
      </c>
    </row>
    <row r="1154" spans="2:42">
      <c r="B1154" s="28"/>
      <c r="X1154" s="16"/>
      <c r="Y1154" s="16"/>
      <c r="Z1154" s="16"/>
      <c r="AA1154" s="16"/>
      <c r="AB1154" s="16"/>
      <c r="AC1154" s="16"/>
      <c r="AD1154" s="16"/>
      <c r="AE1154" s="7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</row>
    <row r="1155" spans="2:42">
      <c r="B1155" s="28"/>
      <c r="AE1155" s="5"/>
    </row>
    <row r="1156" spans="2:42">
      <c r="B1156" s="28"/>
      <c r="X1156" s="11">
        <f>SUM(AC1156,AM1156,AM1165,AM1172)</f>
        <v>27</v>
      </c>
      <c r="Y1156" s="20" t="s">
        <v>1005</v>
      </c>
      <c r="Z1156" s="42" t="s">
        <v>1006</v>
      </c>
      <c r="AA1156" s="42"/>
      <c r="AB1156" s="42"/>
      <c r="AC1156" s="11">
        <f>COUNTA(AB1157:AB1159)-COUNTIF(Z1157:Z1159,"兼")</f>
        <v>3</v>
      </c>
      <c r="AE1156" s="5"/>
      <c r="AI1156" s="20" t="s">
        <v>1007</v>
      </c>
      <c r="AJ1156" s="42" t="s">
        <v>1008</v>
      </c>
      <c r="AK1156" s="42"/>
      <c r="AL1156" s="42"/>
      <c r="AM1156" s="11">
        <f>COUNTA(AL1157:AL1163)-COUNTIF(AJ1157:AJ1163,"兼")</f>
        <v>7</v>
      </c>
    </row>
    <row r="1157" spans="2:42">
      <c r="B1157" s="28"/>
      <c r="AA1157" s="11" t="s">
        <v>98</v>
      </c>
      <c r="AB1157" s="11" t="s">
        <v>1009</v>
      </c>
      <c r="AC1157" s="11" t="s">
        <v>10</v>
      </c>
      <c r="AD1157" s="11" t="s">
        <v>110</v>
      </c>
      <c r="AE1157" s="40">
        <v>1</v>
      </c>
      <c r="AK1157" s="11" t="s">
        <v>100</v>
      </c>
      <c r="AL1157" s="11" t="s">
        <v>1010</v>
      </c>
      <c r="AM1157" s="11" t="s">
        <v>10</v>
      </c>
      <c r="AN1157" s="11" t="s">
        <v>110</v>
      </c>
      <c r="AO1157" s="1">
        <v>1</v>
      </c>
    </row>
    <row r="1158" spans="2:42">
      <c r="B1158" s="28"/>
      <c r="AA1158" s="11" t="s">
        <v>186</v>
      </c>
      <c r="AB1158" s="11" t="s">
        <v>1011</v>
      </c>
      <c r="AC1158" s="11" t="s">
        <v>70</v>
      </c>
      <c r="AD1158" s="11" t="s">
        <v>110</v>
      </c>
      <c r="AE1158" s="40">
        <v>0.6</v>
      </c>
      <c r="AF1158" s="11" t="s">
        <v>88</v>
      </c>
      <c r="AL1158" s="11" t="s">
        <v>1012</v>
      </c>
      <c r="AM1158" s="11" t="s">
        <v>10</v>
      </c>
      <c r="AN1158" s="11" t="s">
        <v>110</v>
      </c>
      <c r="AO1158" s="1">
        <v>1</v>
      </c>
    </row>
    <row r="1159" spans="2:42">
      <c r="B1159" s="28"/>
      <c r="AB1159" s="11" t="s">
        <v>1013</v>
      </c>
      <c r="AC1159" s="11" t="s">
        <v>10</v>
      </c>
      <c r="AD1159" s="11" t="s">
        <v>110</v>
      </c>
      <c r="AE1159" s="40">
        <v>1</v>
      </c>
      <c r="AL1159" s="11" t="s">
        <v>1014</v>
      </c>
      <c r="AM1159" s="11" t="s">
        <v>282</v>
      </c>
      <c r="AN1159" s="11" t="s">
        <v>110</v>
      </c>
      <c r="AO1159" s="1">
        <v>1</v>
      </c>
    </row>
    <row r="1160" spans="2:42">
      <c r="B1160" s="28"/>
      <c r="AE1160" s="5"/>
      <c r="AL1160" s="11" t="s">
        <v>1015</v>
      </c>
      <c r="AM1160" s="11" t="s">
        <v>10</v>
      </c>
      <c r="AN1160" s="11" t="s">
        <v>110</v>
      </c>
      <c r="AO1160" s="1">
        <v>1</v>
      </c>
    </row>
    <row r="1161" spans="2:42">
      <c r="B1161" s="28"/>
      <c r="AE1161" s="5"/>
      <c r="AL1161" s="11" t="s">
        <v>1016</v>
      </c>
      <c r="AM1161" s="11" t="s">
        <v>10</v>
      </c>
      <c r="AN1161" s="11" t="s">
        <v>110</v>
      </c>
      <c r="AO1161" s="1">
        <v>1</v>
      </c>
    </row>
    <row r="1162" spans="2:42">
      <c r="B1162" s="28"/>
      <c r="AE1162" s="5"/>
      <c r="AL1162" s="11" t="s">
        <v>1017</v>
      </c>
      <c r="AM1162" s="11" t="s">
        <v>10</v>
      </c>
      <c r="AN1162" s="11" t="s">
        <v>110</v>
      </c>
      <c r="AO1162" s="1">
        <v>1</v>
      </c>
    </row>
    <row r="1163" spans="2:42">
      <c r="B1163" s="28"/>
      <c r="AE1163" s="5"/>
      <c r="AL1163" s="11" t="s">
        <v>1018</v>
      </c>
      <c r="AM1163" s="11" t="s">
        <v>10</v>
      </c>
      <c r="AN1163" s="11" t="s">
        <v>110</v>
      </c>
      <c r="AO1163" s="1">
        <v>1</v>
      </c>
    </row>
    <row r="1164" spans="2:42">
      <c r="B1164" s="28"/>
      <c r="AE1164" s="5"/>
    </row>
    <row r="1165" spans="2:42">
      <c r="B1165" s="28"/>
      <c r="AE1165" s="5"/>
      <c r="AI1165" s="20" t="s">
        <v>1019</v>
      </c>
      <c r="AJ1165" s="42" t="s">
        <v>1020</v>
      </c>
      <c r="AK1165" s="42"/>
      <c r="AL1165" s="42"/>
      <c r="AM1165" s="11">
        <f>COUNTA(AL1166:AL1170)-COUNTIF(AJ1166:AJ1170,"兼")</f>
        <v>5</v>
      </c>
    </row>
    <row r="1166" spans="2:42">
      <c r="B1166" s="28"/>
      <c r="AE1166" s="5"/>
      <c r="AK1166" s="11" t="s">
        <v>100</v>
      </c>
      <c r="AL1166" s="11" t="s">
        <v>1021</v>
      </c>
      <c r="AM1166" s="11" t="s">
        <v>10</v>
      </c>
      <c r="AN1166" s="11" t="s">
        <v>110</v>
      </c>
      <c r="AO1166" s="1">
        <v>1</v>
      </c>
    </row>
    <row r="1167" spans="2:42">
      <c r="B1167" s="28"/>
      <c r="AE1167" s="5"/>
      <c r="AL1167" s="11" t="s">
        <v>1022</v>
      </c>
      <c r="AM1167" s="11" t="s">
        <v>10</v>
      </c>
      <c r="AN1167" s="11" t="s">
        <v>110</v>
      </c>
      <c r="AO1167" s="1">
        <v>1</v>
      </c>
    </row>
    <row r="1168" spans="2:42">
      <c r="B1168" s="28"/>
      <c r="AE1168" s="5"/>
      <c r="AL1168" s="11" t="s">
        <v>1023</v>
      </c>
      <c r="AM1168" s="11" t="s">
        <v>10</v>
      </c>
      <c r="AN1168" s="11" t="s">
        <v>110</v>
      </c>
      <c r="AO1168" s="1">
        <v>1</v>
      </c>
    </row>
    <row r="1169" spans="2:42">
      <c r="B1169" s="28"/>
      <c r="AE1169" s="5"/>
      <c r="AL1169" s="11" t="s">
        <v>1024</v>
      </c>
      <c r="AM1169" s="11" t="s">
        <v>10</v>
      </c>
      <c r="AN1169" s="11" t="s">
        <v>110</v>
      </c>
      <c r="AO1169" s="1">
        <v>1</v>
      </c>
    </row>
    <row r="1170" spans="2:42">
      <c r="B1170" s="28"/>
      <c r="AE1170" s="5"/>
      <c r="AL1170" s="11" t="s">
        <v>2259</v>
      </c>
      <c r="AM1170" s="11" t="s">
        <v>10</v>
      </c>
      <c r="AN1170" s="11" t="s">
        <v>110</v>
      </c>
      <c r="AO1170" s="1">
        <v>1</v>
      </c>
    </row>
    <row r="1171" spans="2:42">
      <c r="B1171" s="28"/>
      <c r="AE1171" s="5"/>
    </row>
    <row r="1172" spans="2:42">
      <c r="B1172" s="28"/>
      <c r="AE1172" s="5"/>
      <c r="AI1172" s="20" t="s">
        <v>1025</v>
      </c>
      <c r="AJ1172" s="42" t="s">
        <v>1026</v>
      </c>
      <c r="AK1172" s="42"/>
      <c r="AL1172" s="42"/>
      <c r="AM1172" s="11">
        <f>COUNTA(AL1173:AL1185)-COUNTIF(AJ1173:AJ1185,"兼")</f>
        <v>12</v>
      </c>
    </row>
    <row r="1173" spans="2:42">
      <c r="B1173" s="28"/>
      <c r="AE1173" s="5"/>
      <c r="AK1173" s="11" t="s">
        <v>100</v>
      </c>
      <c r="AL1173" s="11" t="s">
        <v>1027</v>
      </c>
      <c r="AM1173" s="11" t="s">
        <v>10</v>
      </c>
      <c r="AN1173" s="11" t="s">
        <v>110</v>
      </c>
      <c r="AO1173" s="1">
        <v>1</v>
      </c>
    </row>
    <row r="1174" spans="2:42">
      <c r="B1174" s="28"/>
      <c r="AE1174" s="5"/>
      <c r="AL1174" s="11" t="s">
        <v>1028</v>
      </c>
      <c r="AM1174" s="11" t="s">
        <v>859</v>
      </c>
      <c r="AN1174" s="11" t="s">
        <v>110</v>
      </c>
      <c r="AO1174" s="1">
        <v>1</v>
      </c>
    </row>
    <row r="1175" spans="2:42">
      <c r="B1175" s="28"/>
      <c r="AE1175" s="5"/>
      <c r="AJ1175" s="11" t="s">
        <v>57</v>
      </c>
      <c r="AL1175" s="11" t="s">
        <v>1029</v>
      </c>
      <c r="AM1175" s="11" t="s">
        <v>70</v>
      </c>
      <c r="AN1175" s="11" t="s">
        <v>110</v>
      </c>
      <c r="AO1175" s="1">
        <v>0.4</v>
      </c>
      <c r="AP1175" s="11" t="s">
        <v>88</v>
      </c>
    </row>
    <row r="1176" spans="2:42">
      <c r="B1176" s="28"/>
      <c r="AE1176" s="5"/>
      <c r="AL1176" s="11" t="s">
        <v>1030</v>
      </c>
      <c r="AM1176" s="11" t="s">
        <v>859</v>
      </c>
      <c r="AN1176" s="11" t="s">
        <v>110</v>
      </c>
      <c r="AO1176" s="1">
        <v>1</v>
      </c>
    </row>
    <row r="1177" spans="2:42">
      <c r="B1177" s="28"/>
      <c r="AE1177" s="5"/>
      <c r="AL1177" s="11" t="s">
        <v>1031</v>
      </c>
      <c r="AM1177" s="11" t="s">
        <v>859</v>
      </c>
      <c r="AN1177" s="11" t="s">
        <v>110</v>
      </c>
      <c r="AO1177" s="1">
        <v>1</v>
      </c>
    </row>
    <row r="1178" spans="2:42">
      <c r="B1178" s="28"/>
      <c r="AE1178" s="5"/>
      <c r="AL1178" s="11" t="s">
        <v>1032</v>
      </c>
      <c r="AM1178" s="11" t="s">
        <v>859</v>
      </c>
      <c r="AN1178" s="11" t="s">
        <v>110</v>
      </c>
      <c r="AO1178" s="1">
        <v>1</v>
      </c>
    </row>
    <row r="1179" spans="2:42">
      <c r="B1179" s="28"/>
      <c r="AE1179" s="5"/>
      <c r="AL1179" s="11" t="s">
        <v>1033</v>
      </c>
      <c r="AM1179" s="11" t="s">
        <v>1034</v>
      </c>
      <c r="AN1179" s="11" t="s">
        <v>110</v>
      </c>
      <c r="AO1179" s="1">
        <v>1</v>
      </c>
    </row>
    <row r="1180" spans="2:42">
      <c r="B1180" s="28"/>
      <c r="AE1180" s="5"/>
      <c r="AL1180" s="11" t="s">
        <v>1035</v>
      </c>
      <c r="AM1180" s="11" t="s">
        <v>859</v>
      </c>
      <c r="AN1180" s="11" t="s">
        <v>110</v>
      </c>
      <c r="AO1180" s="1">
        <v>1</v>
      </c>
    </row>
    <row r="1181" spans="2:42">
      <c r="B1181" s="28"/>
      <c r="AE1181" s="5"/>
      <c r="AL1181" s="11" t="s">
        <v>1036</v>
      </c>
      <c r="AM1181" s="11" t="s">
        <v>859</v>
      </c>
      <c r="AN1181" s="11" t="s">
        <v>110</v>
      </c>
      <c r="AO1181" s="1">
        <v>1</v>
      </c>
    </row>
    <row r="1182" spans="2:42">
      <c r="B1182" s="28"/>
      <c r="AE1182" s="5"/>
      <c r="AL1182" s="11" t="s">
        <v>1037</v>
      </c>
      <c r="AM1182" s="11" t="s">
        <v>859</v>
      </c>
      <c r="AN1182" s="11" t="s">
        <v>110</v>
      </c>
      <c r="AO1182" s="1">
        <v>1</v>
      </c>
    </row>
    <row r="1183" spans="2:42">
      <c r="B1183" s="28"/>
      <c r="AE1183" s="5"/>
      <c r="AL1183" s="11" t="s">
        <v>1038</v>
      </c>
      <c r="AM1183" s="11" t="s">
        <v>859</v>
      </c>
      <c r="AN1183" s="11" t="s">
        <v>110</v>
      </c>
      <c r="AO1183" s="1">
        <v>1</v>
      </c>
    </row>
    <row r="1184" spans="2:42">
      <c r="B1184" s="28"/>
      <c r="AE1184" s="5"/>
      <c r="AL1184" s="11" t="s">
        <v>1039</v>
      </c>
      <c r="AM1184" s="11" t="s">
        <v>859</v>
      </c>
      <c r="AN1184" s="11" t="s">
        <v>110</v>
      </c>
      <c r="AO1184" s="1">
        <v>1</v>
      </c>
    </row>
    <row r="1185" spans="2:42">
      <c r="B1185" s="28"/>
      <c r="AE1185" s="5"/>
      <c r="AL1185" s="11" t="s">
        <v>1040</v>
      </c>
      <c r="AM1185" s="11" t="s">
        <v>1034</v>
      </c>
      <c r="AN1185" s="11" t="s">
        <v>110</v>
      </c>
      <c r="AO1185" s="1">
        <v>1</v>
      </c>
    </row>
    <row r="1186" spans="2:42">
      <c r="B1186" s="28"/>
      <c r="X1186" s="16"/>
      <c r="Y1186" s="16"/>
      <c r="Z1186" s="16"/>
      <c r="AA1186" s="16"/>
      <c r="AB1186" s="16"/>
      <c r="AC1186" s="16"/>
      <c r="AD1186" s="16"/>
      <c r="AE1186" s="7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</row>
    <row r="1187" spans="2:42">
      <c r="B1187" s="28"/>
      <c r="AE1187" s="5"/>
    </row>
    <row r="1188" spans="2:42">
      <c r="B1188" s="28"/>
      <c r="N1188" s="11">
        <f>SUM(S1188,X1188)</f>
        <v>0</v>
      </c>
      <c r="O1188" s="20" t="s">
        <v>1041</v>
      </c>
      <c r="P1188" s="42" t="s">
        <v>1042</v>
      </c>
      <c r="Q1188" s="42"/>
      <c r="R1188" s="42"/>
      <c r="S1188" s="11">
        <f>COUNTA(R1189)-COUNTIF(P1189,"兼")</f>
        <v>0</v>
      </c>
      <c r="X1188" s="11">
        <f>SUM(AC1188,AM1188)</f>
        <v>0</v>
      </c>
      <c r="Y1188" s="20" t="s">
        <v>848</v>
      </c>
      <c r="Z1188" s="42" t="s">
        <v>1043</v>
      </c>
      <c r="AA1188" s="42"/>
      <c r="AB1188" s="42"/>
      <c r="AC1188" s="11">
        <f>COUNTA(AB1189)-COUNTIF(Z1189,"兼")</f>
        <v>0</v>
      </c>
      <c r="AE1188" s="5"/>
      <c r="AI1188" s="20" t="s">
        <v>1044</v>
      </c>
      <c r="AJ1188" s="42" t="s">
        <v>1045</v>
      </c>
      <c r="AK1188" s="42"/>
      <c r="AL1188" s="42"/>
      <c r="AM1188" s="11">
        <f>COUNTA(AL1189:AL1190)-COUNTIF(AJ1189:AJ1190,"兼")</f>
        <v>0</v>
      </c>
    </row>
    <row r="1189" spans="2:42">
      <c r="B1189" s="28"/>
      <c r="P1189" s="11" t="s">
        <v>57</v>
      </c>
      <c r="Q1189" s="11" t="s">
        <v>674</v>
      </c>
      <c r="R1189" s="11" t="s">
        <v>32</v>
      </c>
      <c r="S1189" s="11" t="s">
        <v>10</v>
      </c>
      <c r="T1189" s="11" t="s">
        <v>14</v>
      </c>
      <c r="U1189" s="40">
        <v>0.1</v>
      </c>
      <c r="Z1189" s="11" t="s">
        <v>57</v>
      </c>
      <c r="AA1189" s="11" t="s">
        <v>98</v>
      </c>
      <c r="AB1189" s="11" t="s">
        <v>843</v>
      </c>
      <c r="AC1189" s="11" t="s">
        <v>80</v>
      </c>
      <c r="AD1189" s="11" t="s">
        <v>78</v>
      </c>
      <c r="AE1189" s="40">
        <v>0.3</v>
      </c>
      <c r="AJ1189" s="11" t="s">
        <v>57</v>
      </c>
      <c r="AK1189" s="11" t="s">
        <v>100</v>
      </c>
      <c r="AL1189" s="11" t="s">
        <v>843</v>
      </c>
      <c r="AM1189" s="11" t="s">
        <v>10</v>
      </c>
      <c r="AN1189" s="11" t="s">
        <v>276</v>
      </c>
      <c r="AO1189" s="1">
        <v>0.1</v>
      </c>
    </row>
    <row r="1190" spans="2:42">
      <c r="B1190" s="28"/>
      <c r="AE1190" s="11"/>
      <c r="AJ1190" s="11" t="s">
        <v>57</v>
      </c>
      <c r="AL1190" s="30" t="s">
        <v>845</v>
      </c>
      <c r="AM1190" s="11" t="s">
        <v>10</v>
      </c>
      <c r="AN1190" s="11" t="s">
        <v>276</v>
      </c>
      <c r="AO1190" s="1">
        <v>0.4</v>
      </c>
    </row>
    <row r="1191" spans="2:42">
      <c r="B1191" s="28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7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</row>
    <row r="1192" spans="2:42">
      <c r="B1192" s="28"/>
      <c r="AE1192" s="5"/>
    </row>
    <row r="1193" spans="2:42">
      <c r="B1193" s="28"/>
      <c r="N1193" s="11">
        <f>SUM(S1193,X1193,X1224,X1229,X1279,X1288)</f>
        <v>94</v>
      </c>
      <c r="O1193" s="20" t="s">
        <v>1046</v>
      </c>
      <c r="P1193" s="42" t="s">
        <v>1047</v>
      </c>
      <c r="Q1193" s="42"/>
      <c r="R1193" s="42"/>
      <c r="S1193" s="11">
        <f>COUNTA(R1194:R1195)-COUNTIF(P1194:P1195,"兼")</f>
        <v>2</v>
      </c>
      <c r="X1193" s="11">
        <f>SUM(AC1193,AM1193,AM1199,AM1205,AM1212)</f>
        <v>25</v>
      </c>
      <c r="Y1193" s="20" t="s">
        <v>1048</v>
      </c>
      <c r="Z1193" s="42" t="s">
        <v>1049</v>
      </c>
      <c r="AA1193" s="42"/>
      <c r="AB1193" s="42"/>
      <c r="AC1193" s="11">
        <f>COUNTA(AB1194:AB1198)-COUNTIF(Z1194:Z1198,"兼")</f>
        <v>4</v>
      </c>
      <c r="AE1193" s="5"/>
      <c r="AI1193" s="20" t="s">
        <v>1050</v>
      </c>
      <c r="AJ1193" s="42" t="s">
        <v>1051</v>
      </c>
      <c r="AK1193" s="42"/>
      <c r="AL1193" s="42"/>
      <c r="AM1193" s="11">
        <f>COUNTA(AL1194:AL1197)-COUNTIF(AJ1194:AJ1197,"兼")</f>
        <v>4</v>
      </c>
    </row>
    <row r="1194" spans="2:42">
      <c r="B1194" s="28"/>
      <c r="Q1194" s="11" t="s">
        <v>674</v>
      </c>
      <c r="R1194" s="11" t="s">
        <v>28</v>
      </c>
      <c r="S1194" s="11" t="s">
        <v>10</v>
      </c>
      <c r="T1194" s="11" t="s">
        <v>14</v>
      </c>
      <c r="U1194" s="1">
        <v>1</v>
      </c>
      <c r="Z1194" s="11" t="s">
        <v>57</v>
      </c>
      <c r="AA1194" s="11" t="s">
        <v>98</v>
      </c>
      <c r="AB1194" s="11" t="s">
        <v>1052</v>
      </c>
      <c r="AC1194" s="11" t="s">
        <v>10</v>
      </c>
      <c r="AD1194" s="11" t="s">
        <v>78</v>
      </c>
      <c r="AE1194" s="40">
        <v>0.4</v>
      </c>
      <c r="AK1194" s="11" t="s">
        <v>2214</v>
      </c>
      <c r="AL1194" s="11" t="s">
        <v>2198</v>
      </c>
      <c r="AM1194" s="11" t="s">
        <v>10</v>
      </c>
      <c r="AN1194" s="11" t="s">
        <v>78</v>
      </c>
      <c r="AO1194" s="1">
        <v>1</v>
      </c>
    </row>
    <row r="1195" spans="2:42">
      <c r="B1195" s="28"/>
      <c r="Q1195" s="11" t="s">
        <v>677</v>
      </c>
      <c r="R1195" s="11" t="s">
        <v>1052</v>
      </c>
      <c r="S1195" s="11" t="s">
        <v>10</v>
      </c>
      <c r="T1195" s="11" t="s">
        <v>78</v>
      </c>
      <c r="U1195" s="1">
        <v>0.6</v>
      </c>
      <c r="AA1195" s="11" t="s">
        <v>186</v>
      </c>
      <c r="AB1195" s="11" t="s">
        <v>1053</v>
      </c>
      <c r="AC1195" s="11" t="s">
        <v>10</v>
      </c>
      <c r="AD1195" s="11" t="s">
        <v>78</v>
      </c>
      <c r="AE1195" s="40">
        <v>1</v>
      </c>
      <c r="AL1195" s="11" t="s">
        <v>1054</v>
      </c>
      <c r="AM1195" s="11" t="s">
        <v>10</v>
      </c>
      <c r="AN1195" s="11" t="s">
        <v>78</v>
      </c>
      <c r="AO1195" s="1">
        <v>1</v>
      </c>
    </row>
    <row r="1196" spans="2:42">
      <c r="B1196" s="28"/>
      <c r="AB1196" s="11" t="s">
        <v>525</v>
      </c>
      <c r="AC1196" s="11" t="s">
        <v>10</v>
      </c>
      <c r="AD1196" s="11" t="s">
        <v>78</v>
      </c>
      <c r="AE1196" s="1">
        <v>1</v>
      </c>
      <c r="AL1196" s="11" t="s">
        <v>1055</v>
      </c>
      <c r="AM1196" s="11" t="s">
        <v>10</v>
      </c>
      <c r="AN1196" s="11" t="s">
        <v>78</v>
      </c>
      <c r="AO1196" s="1">
        <v>1</v>
      </c>
    </row>
    <row r="1197" spans="2:42">
      <c r="B1197" s="28"/>
      <c r="AB1197" s="11" t="s">
        <v>532</v>
      </c>
      <c r="AC1197" s="11" t="s">
        <v>10</v>
      </c>
      <c r="AD1197" s="11" t="s">
        <v>78</v>
      </c>
      <c r="AE1197" s="1">
        <v>1</v>
      </c>
      <c r="AL1197" s="11" t="s">
        <v>1056</v>
      </c>
      <c r="AM1197" s="11" t="s">
        <v>10</v>
      </c>
      <c r="AN1197" s="11" t="s">
        <v>78</v>
      </c>
      <c r="AO1197" s="1">
        <v>1</v>
      </c>
    </row>
    <row r="1198" spans="2:42">
      <c r="B1198" s="28"/>
      <c r="AB1198" s="11" t="s">
        <v>540</v>
      </c>
      <c r="AC1198" s="11" t="s">
        <v>10</v>
      </c>
      <c r="AD1198" s="11" t="s">
        <v>78</v>
      </c>
      <c r="AE1198" s="1">
        <v>1</v>
      </c>
    </row>
    <row r="1199" spans="2:42">
      <c r="B1199" s="28"/>
      <c r="AI1199" s="20" t="s">
        <v>1057</v>
      </c>
      <c r="AJ1199" s="42" t="s">
        <v>1058</v>
      </c>
      <c r="AK1199" s="42"/>
      <c r="AL1199" s="42"/>
      <c r="AM1199" s="11">
        <f>COUNTA(AL1200:AL1203)-COUNTIF(AJ1200:AJ1203,"兼")</f>
        <v>4</v>
      </c>
    </row>
    <row r="1200" spans="2:42">
      <c r="B1200" s="28"/>
      <c r="AE1200" s="11"/>
      <c r="AK1200" s="11" t="s">
        <v>100</v>
      </c>
      <c r="AL1200" s="11" t="s">
        <v>1059</v>
      </c>
      <c r="AM1200" s="11" t="s">
        <v>10</v>
      </c>
      <c r="AN1200" s="11" t="s">
        <v>78</v>
      </c>
      <c r="AO1200" s="1">
        <v>1</v>
      </c>
    </row>
    <row r="1201" spans="2:41">
      <c r="B1201" s="28"/>
      <c r="AE1201" s="11"/>
      <c r="AL1201" s="11" t="s">
        <v>1060</v>
      </c>
      <c r="AM1201" s="11" t="s">
        <v>10</v>
      </c>
      <c r="AN1201" s="11" t="s">
        <v>78</v>
      </c>
      <c r="AO1201" s="1">
        <v>1</v>
      </c>
    </row>
    <row r="1202" spans="2:41">
      <c r="B1202" s="28"/>
      <c r="AE1202" s="11"/>
      <c r="AL1202" s="11" t="s">
        <v>1061</v>
      </c>
      <c r="AM1202" s="11" t="s">
        <v>10</v>
      </c>
      <c r="AN1202" s="11" t="s">
        <v>78</v>
      </c>
      <c r="AO1202" s="1">
        <v>1</v>
      </c>
    </row>
    <row r="1203" spans="2:41">
      <c r="B1203" s="28"/>
      <c r="AE1203" s="5"/>
      <c r="AL1203" s="11" t="s">
        <v>2224</v>
      </c>
      <c r="AM1203" s="11" t="s">
        <v>10</v>
      </c>
      <c r="AN1203" s="11" t="s">
        <v>78</v>
      </c>
      <c r="AO1203" s="1">
        <v>1</v>
      </c>
    </row>
    <row r="1204" spans="2:41">
      <c r="B1204" s="28"/>
      <c r="AE1204" s="5"/>
    </row>
    <row r="1205" spans="2:41">
      <c r="B1205" s="28"/>
      <c r="AE1205" s="5"/>
      <c r="AI1205" s="20" t="s">
        <v>1062</v>
      </c>
      <c r="AJ1205" s="42" t="s">
        <v>1063</v>
      </c>
      <c r="AK1205" s="42"/>
      <c r="AL1205" s="42"/>
      <c r="AM1205" s="11">
        <f>COUNTA(AL1206:AL1210)-COUNTIF(AJ1206:AJ1210,"兼")</f>
        <v>5</v>
      </c>
    </row>
    <row r="1206" spans="2:41">
      <c r="B1206" s="28"/>
      <c r="AE1206" s="5"/>
      <c r="AK1206" s="11" t="s">
        <v>100</v>
      </c>
      <c r="AL1206" s="11" t="s">
        <v>1064</v>
      </c>
      <c r="AM1206" s="11" t="s">
        <v>10</v>
      </c>
      <c r="AN1206" s="11" t="s">
        <v>78</v>
      </c>
      <c r="AO1206" s="1">
        <v>1</v>
      </c>
    </row>
    <row r="1207" spans="2:41">
      <c r="B1207" s="28"/>
      <c r="AE1207" s="5"/>
      <c r="AL1207" s="11" t="s">
        <v>1065</v>
      </c>
      <c r="AM1207" s="11" t="s">
        <v>10</v>
      </c>
      <c r="AN1207" s="11" t="s">
        <v>78</v>
      </c>
      <c r="AO1207" s="1">
        <v>1</v>
      </c>
    </row>
    <row r="1208" spans="2:41">
      <c r="B1208" s="28"/>
      <c r="AE1208" s="5"/>
      <c r="AL1208" s="11" t="s">
        <v>1066</v>
      </c>
      <c r="AM1208" s="11" t="s">
        <v>10</v>
      </c>
      <c r="AN1208" s="11" t="s">
        <v>78</v>
      </c>
      <c r="AO1208" s="1">
        <v>1</v>
      </c>
    </row>
    <row r="1209" spans="2:41">
      <c r="B1209" s="28"/>
      <c r="AE1209" s="5"/>
      <c r="AL1209" s="11" t="s">
        <v>1067</v>
      </c>
      <c r="AM1209" s="11" t="s">
        <v>10</v>
      </c>
      <c r="AN1209" s="11" t="s">
        <v>78</v>
      </c>
      <c r="AO1209" s="1">
        <v>1</v>
      </c>
    </row>
    <row r="1210" spans="2:41">
      <c r="B1210" s="28"/>
      <c r="AE1210" s="5"/>
      <c r="AL1210" s="11" t="s">
        <v>1068</v>
      </c>
      <c r="AM1210" s="11" t="s">
        <v>10</v>
      </c>
      <c r="AN1210" s="11" t="s">
        <v>78</v>
      </c>
      <c r="AO1210" s="1">
        <v>1</v>
      </c>
    </row>
    <row r="1211" spans="2:41">
      <c r="B1211" s="28"/>
      <c r="AE1211" s="5"/>
    </row>
    <row r="1212" spans="2:41">
      <c r="B1212" s="28"/>
      <c r="AE1212" s="5"/>
      <c r="AI1212" s="20" t="s">
        <v>1069</v>
      </c>
      <c r="AJ1212" s="42" t="s">
        <v>1070</v>
      </c>
      <c r="AK1212" s="42"/>
      <c r="AL1212" s="42"/>
      <c r="AM1212" s="11">
        <f>COUNTA(AL1213:AL1221)-COUNTIF(AJ1213:AJ1221,"兼")</f>
        <v>8</v>
      </c>
    </row>
    <row r="1213" spans="2:41">
      <c r="B1213" s="28"/>
      <c r="AE1213" s="5"/>
      <c r="AK1213" s="11" t="s">
        <v>100</v>
      </c>
      <c r="AL1213" s="11" t="s">
        <v>1071</v>
      </c>
      <c r="AM1213" s="11" t="s">
        <v>10</v>
      </c>
      <c r="AN1213" s="11" t="s">
        <v>78</v>
      </c>
      <c r="AO1213" s="1">
        <v>1</v>
      </c>
    </row>
    <row r="1214" spans="2:41">
      <c r="B1214" s="28"/>
      <c r="AE1214" s="5"/>
      <c r="AL1214" s="11" t="s">
        <v>1072</v>
      </c>
      <c r="AM1214" s="11" t="s">
        <v>10</v>
      </c>
      <c r="AN1214" s="11" t="s">
        <v>78</v>
      </c>
      <c r="AO1214" s="1">
        <v>1</v>
      </c>
    </row>
    <row r="1215" spans="2:41">
      <c r="B1215" s="28"/>
      <c r="AE1215" s="5"/>
      <c r="AL1215" s="11" t="s">
        <v>1073</v>
      </c>
      <c r="AM1215" s="11" t="s">
        <v>10</v>
      </c>
      <c r="AN1215" s="11" t="s">
        <v>78</v>
      </c>
      <c r="AO1215" s="1">
        <v>1</v>
      </c>
    </row>
    <row r="1216" spans="2:41">
      <c r="B1216" s="28"/>
      <c r="AE1216" s="5"/>
      <c r="AL1216" s="11" t="s">
        <v>1074</v>
      </c>
      <c r="AM1216" s="11" t="s">
        <v>10</v>
      </c>
      <c r="AN1216" s="11" t="s">
        <v>78</v>
      </c>
      <c r="AO1216" s="1">
        <v>1</v>
      </c>
    </row>
    <row r="1217" spans="2:42">
      <c r="B1217" s="28"/>
      <c r="AE1217" s="5"/>
      <c r="AL1217" s="11" t="s">
        <v>1075</v>
      </c>
      <c r="AM1217" s="11" t="s">
        <v>10</v>
      </c>
      <c r="AN1217" s="11" t="s">
        <v>78</v>
      </c>
      <c r="AO1217" s="1">
        <v>1</v>
      </c>
    </row>
    <row r="1218" spans="2:42">
      <c r="B1218" s="28"/>
      <c r="AE1218" s="5"/>
      <c r="AL1218" s="11" t="s">
        <v>1076</v>
      </c>
      <c r="AM1218" s="11" t="s">
        <v>10</v>
      </c>
      <c r="AN1218" s="11" t="s">
        <v>78</v>
      </c>
      <c r="AO1218" s="1">
        <v>1</v>
      </c>
    </row>
    <row r="1219" spans="2:42">
      <c r="B1219" s="28"/>
      <c r="AE1219" s="5"/>
      <c r="AL1219" s="11" t="s">
        <v>1077</v>
      </c>
      <c r="AM1219" s="11" t="s">
        <v>10</v>
      </c>
      <c r="AN1219" s="11" t="s">
        <v>78</v>
      </c>
      <c r="AO1219" s="1">
        <v>0.8</v>
      </c>
    </row>
    <row r="1220" spans="2:42">
      <c r="B1220" s="28"/>
      <c r="AE1220" s="5"/>
      <c r="AL1220" s="11" t="s">
        <v>1078</v>
      </c>
      <c r="AM1220" s="11" t="s">
        <v>10</v>
      </c>
      <c r="AN1220" s="11" t="s">
        <v>78</v>
      </c>
      <c r="AO1220" s="1">
        <v>1</v>
      </c>
    </row>
    <row r="1221" spans="2:42">
      <c r="B1221" s="28"/>
      <c r="AE1221" s="5"/>
      <c r="AJ1221" s="11" t="s">
        <v>57</v>
      </c>
      <c r="AL1221" s="11" t="s">
        <v>1079</v>
      </c>
      <c r="AM1221" s="11" t="s">
        <v>10</v>
      </c>
      <c r="AN1221" s="11" t="s">
        <v>78</v>
      </c>
      <c r="AO1221" s="1">
        <v>0.2</v>
      </c>
    </row>
    <row r="1222" spans="2:42">
      <c r="B1222" s="28"/>
      <c r="X1222" s="16"/>
      <c r="Y1222" s="16"/>
      <c r="Z1222" s="16"/>
      <c r="AA1222" s="16"/>
      <c r="AB1222" s="16"/>
      <c r="AC1222" s="16"/>
      <c r="AD1222" s="16"/>
      <c r="AE1222" s="7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</row>
    <row r="1223" spans="2:42">
      <c r="B1223" s="28"/>
      <c r="AE1223" s="5"/>
    </row>
    <row r="1224" spans="2:42">
      <c r="B1224" s="28"/>
      <c r="X1224" s="11">
        <f>SUM(AC1224)</f>
        <v>2</v>
      </c>
      <c r="Y1224" s="20" t="s">
        <v>1080</v>
      </c>
      <c r="Z1224" s="42" t="s">
        <v>1081</v>
      </c>
      <c r="AA1224" s="42"/>
      <c r="AB1224" s="42"/>
      <c r="AC1224" s="11">
        <f>COUNTA(AB1225:AB1226)-COUNTIF(Z1225:Z1226,"兼")</f>
        <v>2</v>
      </c>
      <c r="AE1224" s="5"/>
    </row>
    <row r="1225" spans="2:42">
      <c r="B1225" s="28"/>
      <c r="AA1225" s="11" t="s">
        <v>76</v>
      </c>
      <c r="AB1225" s="11" t="s">
        <v>1082</v>
      </c>
      <c r="AC1225" s="11" t="s">
        <v>10</v>
      </c>
      <c r="AD1225" s="11" t="s">
        <v>78</v>
      </c>
      <c r="AE1225" s="40">
        <v>1</v>
      </c>
    </row>
    <row r="1226" spans="2:42">
      <c r="B1226" s="28"/>
      <c r="AB1226" s="11" t="s">
        <v>1083</v>
      </c>
      <c r="AC1226" s="11" t="s">
        <v>80</v>
      </c>
      <c r="AD1226" s="11" t="s">
        <v>78</v>
      </c>
      <c r="AE1226" s="40">
        <v>1</v>
      </c>
    </row>
    <row r="1227" spans="2:42">
      <c r="B1227" s="28"/>
      <c r="X1227" s="16"/>
      <c r="Y1227" s="16"/>
      <c r="Z1227" s="16"/>
      <c r="AA1227" s="16"/>
      <c r="AB1227" s="16"/>
      <c r="AC1227" s="16"/>
      <c r="AD1227" s="16"/>
      <c r="AE1227" s="7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</row>
    <row r="1228" spans="2:42">
      <c r="B1228" s="28"/>
      <c r="AE1228" s="5"/>
    </row>
    <row r="1229" spans="2:42">
      <c r="B1229" s="28"/>
      <c r="X1229" s="11">
        <f>SUM(AC1229,AM1229,AM1242,AM1258,AM1263,AM1273)</f>
        <v>43</v>
      </c>
      <c r="Y1229" s="20" t="s">
        <v>1084</v>
      </c>
      <c r="Z1229" s="42" t="s">
        <v>1085</v>
      </c>
      <c r="AA1229" s="42"/>
      <c r="AB1229" s="42"/>
      <c r="AC1229" s="11">
        <f>COUNTA(AB1230:AB1235)-COUNTIF(Z1230:Z1235,"兼")</f>
        <v>6</v>
      </c>
      <c r="AE1229" s="5"/>
      <c r="AI1229" s="20" t="s">
        <v>1086</v>
      </c>
      <c r="AJ1229" s="42" t="s">
        <v>1087</v>
      </c>
      <c r="AK1229" s="42"/>
      <c r="AL1229" s="42"/>
      <c r="AM1229" s="11">
        <f>COUNTA(AL1230:AL1240)-COUNTIF(AJ1230:AJ1240,"兼")</f>
        <v>11</v>
      </c>
    </row>
    <row r="1230" spans="2:42">
      <c r="B1230" s="28"/>
      <c r="AA1230" s="11" t="s">
        <v>98</v>
      </c>
      <c r="AB1230" s="11" t="s">
        <v>1088</v>
      </c>
      <c r="AC1230" s="11" t="s">
        <v>10</v>
      </c>
      <c r="AD1230" s="11" t="s">
        <v>78</v>
      </c>
      <c r="AE1230" s="40">
        <v>1</v>
      </c>
      <c r="AK1230" s="11" t="s">
        <v>100</v>
      </c>
      <c r="AL1230" s="11" t="s">
        <v>1089</v>
      </c>
      <c r="AM1230" s="11" t="s">
        <v>10</v>
      </c>
      <c r="AN1230" s="11" t="s">
        <v>78</v>
      </c>
      <c r="AO1230" s="1">
        <v>1</v>
      </c>
    </row>
    <row r="1231" spans="2:42">
      <c r="B1231" s="28"/>
      <c r="AA1231" s="11" t="s">
        <v>186</v>
      </c>
      <c r="AB1231" s="11" t="s">
        <v>1090</v>
      </c>
      <c r="AC1231" s="11" t="s">
        <v>10</v>
      </c>
      <c r="AD1231" s="11" t="s">
        <v>78</v>
      </c>
      <c r="AE1231" s="40">
        <v>0.8</v>
      </c>
      <c r="AL1231" s="11" t="s">
        <v>1091</v>
      </c>
      <c r="AM1231" s="11" t="s">
        <v>10</v>
      </c>
      <c r="AN1231" s="11" t="s">
        <v>78</v>
      </c>
      <c r="AO1231" s="1">
        <v>1</v>
      </c>
    </row>
    <row r="1232" spans="2:42">
      <c r="B1232" s="28"/>
      <c r="AA1232" s="11" t="s">
        <v>186</v>
      </c>
      <c r="AB1232" s="11" t="s">
        <v>1104</v>
      </c>
      <c r="AC1232" s="11" t="s">
        <v>10</v>
      </c>
      <c r="AD1232" s="11" t="s">
        <v>78</v>
      </c>
      <c r="AE1232" s="1">
        <v>0.5</v>
      </c>
      <c r="AL1232" s="11" t="s">
        <v>1093</v>
      </c>
      <c r="AM1232" s="11" t="s">
        <v>10</v>
      </c>
      <c r="AN1232" s="11" t="s">
        <v>78</v>
      </c>
      <c r="AO1232" s="1">
        <v>1</v>
      </c>
    </row>
    <row r="1233" spans="2:42">
      <c r="B1233" s="28"/>
      <c r="AB1233" s="11" t="s">
        <v>1092</v>
      </c>
      <c r="AC1233" s="11" t="s">
        <v>10</v>
      </c>
      <c r="AD1233" s="11" t="s">
        <v>78</v>
      </c>
      <c r="AE1233" s="40">
        <v>1</v>
      </c>
      <c r="AL1233" s="11" t="s">
        <v>1095</v>
      </c>
      <c r="AM1233" s="11" t="s">
        <v>10</v>
      </c>
      <c r="AN1233" s="11" t="s">
        <v>78</v>
      </c>
      <c r="AO1233" s="1">
        <v>1</v>
      </c>
    </row>
    <row r="1234" spans="2:42">
      <c r="B1234" s="28"/>
      <c r="AB1234" s="11" t="s">
        <v>1094</v>
      </c>
      <c r="AC1234" s="11" t="s">
        <v>10</v>
      </c>
      <c r="AD1234" s="11" t="s">
        <v>2233</v>
      </c>
      <c r="AE1234" s="40">
        <v>1</v>
      </c>
      <c r="AL1234" s="11" t="s">
        <v>1096</v>
      </c>
      <c r="AM1234" s="11" t="s">
        <v>10</v>
      </c>
      <c r="AN1234" s="11" t="s">
        <v>78</v>
      </c>
      <c r="AO1234" s="1">
        <v>1</v>
      </c>
    </row>
    <row r="1235" spans="2:42">
      <c r="B1235" s="28"/>
      <c r="AB1235" s="11" t="s">
        <v>167</v>
      </c>
      <c r="AC1235" s="11" t="s">
        <v>10</v>
      </c>
      <c r="AD1235" s="11" t="s">
        <v>78</v>
      </c>
      <c r="AE1235" s="40">
        <v>1</v>
      </c>
      <c r="AL1235" s="11" t="s">
        <v>1097</v>
      </c>
      <c r="AM1235" s="11" t="s">
        <v>10</v>
      </c>
      <c r="AN1235" s="11" t="s">
        <v>78</v>
      </c>
      <c r="AO1235" s="1">
        <v>1</v>
      </c>
    </row>
    <row r="1236" spans="2:42">
      <c r="B1236" s="28"/>
      <c r="AE1236" s="5"/>
      <c r="AL1236" s="11" t="s">
        <v>1098</v>
      </c>
      <c r="AM1236" s="11" t="s">
        <v>10</v>
      </c>
      <c r="AN1236" s="11" t="s">
        <v>78</v>
      </c>
      <c r="AO1236" s="1">
        <v>1</v>
      </c>
    </row>
    <row r="1237" spans="2:42">
      <c r="B1237" s="28"/>
      <c r="AE1237" s="5"/>
      <c r="AL1237" s="11" t="s">
        <v>1099</v>
      </c>
      <c r="AM1237" s="11" t="s">
        <v>10</v>
      </c>
      <c r="AN1237" s="11" t="s">
        <v>78</v>
      </c>
      <c r="AO1237" s="1">
        <v>1</v>
      </c>
    </row>
    <row r="1238" spans="2:42">
      <c r="B1238" s="28"/>
      <c r="AE1238" s="5"/>
      <c r="AL1238" s="11" t="s">
        <v>1100</v>
      </c>
      <c r="AM1238" s="11" t="s">
        <v>10</v>
      </c>
      <c r="AN1238" s="11" t="s">
        <v>78</v>
      </c>
      <c r="AO1238" s="1">
        <v>1</v>
      </c>
    </row>
    <row r="1239" spans="2:42">
      <c r="B1239" s="28"/>
      <c r="AE1239" s="5"/>
      <c r="AL1239" s="11" t="s">
        <v>1101</v>
      </c>
      <c r="AM1239" s="11" t="s">
        <v>10</v>
      </c>
      <c r="AN1239" s="11" t="s">
        <v>78</v>
      </c>
      <c r="AO1239" s="1">
        <v>1</v>
      </c>
    </row>
    <row r="1240" spans="2:42">
      <c r="B1240" s="28"/>
      <c r="AE1240" s="5"/>
      <c r="AL1240" s="11" t="s">
        <v>527</v>
      </c>
      <c r="AM1240" s="11" t="s">
        <v>10</v>
      </c>
      <c r="AN1240" s="11" t="s">
        <v>78</v>
      </c>
      <c r="AO1240" s="1">
        <v>1</v>
      </c>
    </row>
    <row r="1241" spans="2:42">
      <c r="B1241" s="28"/>
      <c r="AE1241" s="5"/>
    </row>
    <row r="1242" spans="2:42">
      <c r="B1242" s="28"/>
      <c r="AE1242" s="5"/>
      <c r="AI1242" s="20" t="s">
        <v>1102</v>
      </c>
      <c r="AJ1242" s="42" t="s">
        <v>1103</v>
      </c>
      <c r="AK1242" s="42"/>
      <c r="AL1242" s="42"/>
      <c r="AM1242" s="11">
        <f>COUNTA(AL1243:AL1256)-COUNTIF(AJ1243:AJ1256,"兼")</f>
        <v>13</v>
      </c>
    </row>
    <row r="1243" spans="2:42">
      <c r="B1243" s="28"/>
      <c r="AE1243" s="5"/>
      <c r="AJ1243" s="11" t="s">
        <v>57</v>
      </c>
      <c r="AK1243" s="11" t="s">
        <v>100</v>
      </c>
      <c r="AL1243" s="11" t="s">
        <v>1104</v>
      </c>
      <c r="AM1243" s="11" t="s">
        <v>10</v>
      </c>
      <c r="AN1243" s="11" t="s">
        <v>78</v>
      </c>
      <c r="AO1243" s="1">
        <v>0.5</v>
      </c>
    </row>
    <row r="1244" spans="2:42">
      <c r="B1244" s="28"/>
      <c r="AE1244" s="5"/>
      <c r="AL1244" s="11" t="s">
        <v>1105</v>
      </c>
      <c r="AM1244" s="11" t="s">
        <v>60</v>
      </c>
      <c r="AN1244" s="11" t="s">
        <v>78</v>
      </c>
      <c r="AO1244" s="1">
        <v>1</v>
      </c>
      <c r="AP1244" s="11" t="s">
        <v>1106</v>
      </c>
    </row>
    <row r="1245" spans="2:42">
      <c r="B1245" s="28"/>
      <c r="AE1245" s="5"/>
      <c r="AL1245" s="11" t="s">
        <v>1107</v>
      </c>
      <c r="AM1245" s="11" t="s">
        <v>150</v>
      </c>
      <c r="AN1245" s="11" t="s">
        <v>78</v>
      </c>
      <c r="AO1245" s="1">
        <v>1</v>
      </c>
    </row>
    <row r="1246" spans="2:42">
      <c r="B1246" s="28"/>
      <c r="AE1246" s="5"/>
      <c r="AL1246" s="11" t="s">
        <v>1108</v>
      </c>
      <c r="AM1246" s="11" t="s">
        <v>60</v>
      </c>
      <c r="AN1246" s="11" t="s">
        <v>78</v>
      </c>
      <c r="AO1246" s="1">
        <v>1</v>
      </c>
      <c r="AP1246" s="11" t="s">
        <v>1109</v>
      </c>
    </row>
    <row r="1247" spans="2:42">
      <c r="B1247" s="28"/>
      <c r="AE1247" s="5"/>
      <c r="AL1247" s="11" t="s">
        <v>1110</v>
      </c>
      <c r="AM1247" s="11" t="s">
        <v>10</v>
      </c>
      <c r="AN1247" s="11" t="s">
        <v>78</v>
      </c>
      <c r="AO1247" s="1">
        <v>1</v>
      </c>
    </row>
    <row r="1248" spans="2:42">
      <c r="B1248" s="28"/>
      <c r="AE1248" s="5"/>
      <c r="AL1248" s="11" t="s">
        <v>1111</v>
      </c>
      <c r="AM1248" s="11" t="s">
        <v>10</v>
      </c>
      <c r="AN1248" s="11" t="s">
        <v>78</v>
      </c>
      <c r="AO1248" s="1">
        <v>1</v>
      </c>
    </row>
    <row r="1249" spans="2:42">
      <c r="B1249" s="28"/>
      <c r="AE1249" s="5"/>
      <c r="AL1249" s="11" t="s">
        <v>1112</v>
      </c>
      <c r="AM1249" s="11" t="s">
        <v>10</v>
      </c>
      <c r="AN1249" s="11" t="s">
        <v>78</v>
      </c>
      <c r="AO1249" s="1">
        <v>1</v>
      </c>
    </row>
    <row r="1250" spans="2:42">
      <c r="B1250" s="28"/>
      <c r="AE1250" s="5"/>
      <c r="AL1250" s="11" t="s">
        <v>1113</v>
      </c>
      <c r="AM1250" s="11" t="s">
        <v>10</v>
      </c>
      <c r="AN1250" s="11" t="s">
        <v>78</v>
      </c>
      <c r="AO1250" s="1">
        <v>1</v>
      </c>
    </row>
    <row r="1251" spans="2:42">
      <c r="B1251" s="28"/>
      <c r="AE1251" s="5"/>
      <c r="AL1251" s="11" t="s">
        <v>1114</v>
      </c>
      <c r="AM1251" s="11" t="s">
        <v>10</v>
      </c>
      <c r="AN1251" s="11" t="s">
        <v>78</v>
      </c>
      <c r="AO1251" s="1">
        <v>1</v>
      </c>
    </row>
    <row r="1252" spans="2:42">
      <c r="B1252" s="28"/>
      <c r="AE1252" s="5"/>
      <c r="AL1252" s="11" t="s">
        <v>1115</v>
      </c>
      <c r="AM1252" s="11" t="s">
        <v>10</v>
      </c>
      <c r="AN1252" s="11" t="s">
        <v>78</v>
      </c>
      <c r="AO1252" s="1">
        <v>1</v>
      </c>
    </row>
    <row r="1253" spans="2:42">
      <c r="B1253" s="28"/>
      <c r="AE1253" s="5"/>
      <c r="AL1253" s="11" t="s">
        <v>1116</v>
      </c>
      <c r="AM1253" s="11" t="s">
        <v>60</v>
      </c>
      <c r="AN1253" s="11" t="s">
        <v>78</v>
      </c>
      <c r="AO1253" s="1">
        <v>1</v>
      </c>
      <c r="AP1253" s="11" t="s">
        <v>1106</v>
      </c>
    </row>
    <row r="1254" spans="2:42">
      <c r="B1254" s="28"/>
      <c r="AE1254" s="5"/>
      <c r="AL1254" s="11" t="s">
        <v>1117</v>
      </c>
      <c r="AM1254" s="11" t="s">
        <v>10</v>
      </c>
      <c r="AN1254" s="11" t="s">
        <v>78</v>
      </c>
      <c r="AO1254" s="1">
        <v>1</v>
      </c>
    </row>
    <row r="1255" spans="2:42">
      <c r="B1255" s="28"/>
      <c r="AE1255" s="5"/>
      <c r="AL1255" s="11" t="s">
        <v>2197</v>
      </c>
      <c r="AM1255" s="11" t="s">
        <v>10</v>
      </c>
      <c r="AN1255" s="11" t="s">
        <v>78</v>
      </c>
      <c r="AO1255" s="1">
        <v>1</v>
      </c>
    </row>
    <row r="1256" spans="2:42">
      <c r="B1256" s="28"/>
      <c r="AE1256" s="5"/>
      <c r="AL1256" s="11" t="s">
        <v>531</v>
      </c>
      <c r="AM1256" s="11" t="s">
        <v>10</v>
      </c>
      <c r="AN1256" s="11" t="s">
        <v>78</v>
      </c>
      <c r="AO1256" s="1">
        <v>1</v>
      </c>
    </row>
    <row r="1257" spans="2:42">
      <c r="B1257" s="28"/>
      <c r="AE1257" s="5"/>
    </row>
    <row r="1258" spans="2:42">
      <c r="B1258" s="28"/>
      <c r="AE1258" s="5"/>
      <c r="AI1258" s="20" t="s">
        <v>1118</v>
      </c>
      <c r="AJ1258" s="42" t="s">
        <v>1119</v>
      </c>
      <c r="AK1258" s="42"/>
      <c r="AL1258" s="42"/>
      <c r="AM1258" s="11">
        <f>COUNTA(AL1259:AL1261)-COUNTIF(AJ1259:AJ1261,"兼")</f>
        <v>3</v>
      </c>
    </row>
    <row r="1259" spans="2:42">
      <c r="B1259" s="28"/>
      <c r="AE1259" s="5"/>
      <c r="AK1259" s="11" t="s">
        <v>100</v>
      </c>
      <c r="AL1259" s="11" t="s">
        <v>1120</v>
      </c>
      <c r="AM1259" s="11" t="s">
        <v>10</v>
      </c>
      <c r="AN1259" s="11" t="s">
        <v>2233</v>
      </c>
      <c r="AO1259" s="1">
        <v>1</v>
      </c>
    </row>
    <row r="1260" spans="2:42">
      <c r="B1260" s="28"/>
      <c r="AE1260" s="5"/>
      <c r="AL1260" s="11" t="s">
        <v>1121</v>
      </c>
      <c r="AM1260" s="11" t="s">
        <v>10</v>
      </c>
      <c r="AN1260" s="11" t="s">
        <v>78</v>
      </c>
      <c r="AO1260" s="1">
        <v>1</v>
      </c>
    </row>
    <row r="1261" spans="2:42">
      <c r="B1261" s="28"/>
      <c r="AE1261" s="5"/>
      <c r="AL1261" s="11" t="s">
        <v>1122</v>
      </c>
      <c r="AM1261" s="11" t="s">
        <v>10</v>
      </c>
      <c r="AN1261" s="11" t="s">
        <v>78</v>
      </c>
      <c r="AO1261" s="1">
        <v>1</v>
      </c>
    </row>
    <row r="1262" spans="2:42">
      <c r="B1262" s="28"/>
      <c r="AE1262" s="5"/>
      <c r="AO1262" s="1">
        <v>1</v>
      </c>
    </row>
    <row r="1263" spans="2:42">
      <c r="B1263" s="28"/>
      <c r="AE1263" s="5"/>
      <c r="AI1263" s="20" t="s">
        <v>1123</v>
      </c>
      <c r="AJ1263" s="42" t="s">
        <v>1124</v>
      </c>
      <c r="AK1263" s="42"/>
      <c r="AL1263" s="42"/>
      <c r="AM1263" s="11">
        <f>COUNTA(AL1264:AL1271)-COUNTIF(AJ1264:AJ1271,"兼")</f>
        <v>7</v>
      </c>
    </row>
    <row r="1264" spans="2:42">
      <c r="B1264" s="28"/>
      <c r="AE1264" s="5"/>
      <c r="AK1264" s="11" t="s">
        <v>100</v>
      </c>
      <c r="AL1264" s="11" t="s">
        <v>1125</v>
      </c>
      <c r="AM1264" s="11" t="s">
        <v>10</v>
      </c>
      <c r="AN1264" s="11" t="s">
        <v>78</v>
      </c>
      <c r="AO1264" s="1">
        <v>1</v>
      </c>
    </row>
    <row r="1265" spans="2:42">
      <c r="B1265" s="28"/>
      <c r="AE1265" s="5"/>
      <c r="AL1265" s="11" t="s">
        <v>1126</v>
      </c>
      <c r="AM1265" s="11" t="s">
        <v>10</v>
      </c>
      <c r="AN1265" s="11" t="s">
        <v>78</v>
      </c>
      <c r="AO1265" s="1">
        <v>1</v>
      </c>
    </row>
    <row r="1266" spans="2:42">
      <c r="B1266" s="28"/>
      <c r="AE1266" s="5"/>
      <c r="AL1266" s="11" t="s">
        <v>1127</v>
      </c>
      <c r="AM1266" s="11" t="s">
        <v>10</v>
      </c>
      <c r="AN1266" s="11" t="s">
        <v>78</v>
      </c>
      <c r="AO1266" s="1">
        <v>1</v>
      </c>
    </row>
    <row r="1267" spans="2:42">
      <c r="B1267" s="28"/>
      <c r="AE1267" s="5"/>
      <c r="AJ1267" s="11" t="s">
        <v>57</v>
      </c>
      <c r="AL1267" s="11" t="s">
        <v>1077</v>
      </c>
      <c r="AM1267" s="11" t="s">
        <v>10</v>
      </c>
      <c r="AN1267" s="11" t="s">
        <v>78</v>
      </c>
      <c r="AO1267" s="1">
        <v>0.2</v>
      </c>
    </row>
    <row r="1268" spans="2:42">
      <c r="B1268" s="28"/>
      <c r="AE1268" s="5"/>
      <c r="AL1268" s="11" t="s">
        <v>1128</v>
      </c>
      <c r="AM1268" s="11" t="s">
        <v>10</v>
      </c>
      <c r="AN1268" s="11" t="s">
        <v>78</v>
      </c>
      <c r="AO1268" s="1">
        <v>1</v>
      </c>
    </row>
    <row r="1269" spans="2:42">
      <c r="B1269" s="28"/>
      <c r="AE1269" s="5"/>
      <c r="AL1269" s="11" t="s">
        <v>1129</v>
      </c>
      <c r="AM1269" s="11" t="s">
        <v>10</v>
      </c>
      <c r="AN1269" s="11" t="s">
        <v>78</v>
      </c>
      <c r="AO1269" s="1">
        <v>1</v>
      </c>
    </row>
    <row r="1270" spans="2:42">
      <c r="B1270" s="28"/>
      <c r="AE1270" s="5"/>
      <c r="AL1270" s="11" t="s">
        <v>519</v>
      </c>
      <c r="AM1270" s="11" t="s">
        <v>10</v>
      </c>
      <c r="AN1270" s="11" t="s">
        <v>78</v>
      </c>
      <c r="AO1270" s="1">
        <v>1</v>
      </c>
    </row>
    <row r="1271" spans="2:42">
      <c r="B1271" s="28"/>
      <c r="AE1271" s="5"/>
      <c r="AL1271" s="11" t="s">
        <v>2257</v>
      </c>
      <c r="AM1271" s="11" t="s">
        <v>10</v>
      </c>
      <c r="AN1271" s="11" t="s">
        <v>78</v>
      </c>
      <c r="AO1271" s="1">
        <v>1</v>
      </c>
    </row>
    <row r="1272" spans="2:42">
      <c r="B1272" s="28"/>
      <c r="AE1272" s="5"/>
    </row>
    <row r="1273" spans="2:42">
      <c r="B1273" s="28"/>
      <c r="AE1273" s="5"/>
      <c r="AI1273" s="20" t="s">
        <v>1130</v>
      </c>
      <c r="AJ1273" s="42" t="s">
        <v>1131</v>
      </c>
      <c r="AK1273" s="42"/>
      <c r="AL1273" s="42"/>
      <c r="AM1273" s="11">
        <f>COUNTA(AL1274:AL1276)-COUNTIF(AJ1274:AJ1276,"兼")</f>
        <v>3</v>
      </c>
    </row>
    <row r="1274" spans="2:42">
      <c r="B1274" s="28"/>
      <c r="AE1274" s="5"/>
      <c r="AK1274" s="11" t="s">
        <v>100</v>
      </c>
      <c r="AL1274" s="11" t="s">
        <v>1132</v>
      </c>
      <c r="AM1274" s="11" t="s">
        <v>10</v>
      </c>
      <c r="AN1274" s="11" t="s">
        <v>78</v>
      </c>
      <c r="AO1274" s="1">
        <v>1</v>
      </c>
    </row>
    <row r="1275" spans="2:42">
      <c r="B1275" s="28"/>
      <c r="AE1275" s="5"/>
      <c r="AL1275" s="11" t="s">
        <v>1133</v>
      </c>
      <c r="AM1275" s="11" t="s">
        <v>10</v>
      </c>
      <c r="AN1275" s="11" t="s">
        <v>78</v>
      </c>
      <c r="AO1275" s="1">
        <v>1</v>
      </c>
    </row>
    <row r="1276" spans="2:42">
      <c r="B1276" s="28"/>
      <c r="AE1276" s="5"/>
      <c r="AL1276" s="11" t="s">
        <v>1134</v>
      </c>
      <c r="AM1276" s="11" t="s">
        <v>10</v>
      </c>
      <c r="AN1276" s="11" t="s">
        <v>78</v>
      </c>
      <c r="AO1276" s="1">
        <v>1</v>
      </c>
    </row>
    <row r="1277" spans="2:42">
      <c r="B1277" s="28"/>
      <c r="X1277" s="16"/>
      <c r="Y1277" s="16"/>
      <c r="Z1277" s="16"/>
      <c r="AA1277" s="16"/>
      <c r="AB1277" s="16"/>
      <c r="AC1277" s="16"/>
      <c r="AD1277" s="16"/>
      <c r="AE1277" s="7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</row>
    <row r="1278" spans="2:42">
      <c r="B1278" s="28"/>
      <c r="AE1278" s="5"/>
    </row>
    <row r="1279" spans="2:42">
      <c r="B1279" s="28"/>
      <c r="X1279" s="11">
        <f>SUM(AC1279,AM1279)</f>
        <v>8</v>
      </c>
      <c r="Y1279" s="20" t="s">
        <v>1135</v>
      </c>
      <c r="Z1279" s="42" t="s">
        <v>1136</v>
      </c>
      <c r="AA1279" s="42"/>
      <c r="AB1279" s="42"/>
      <c r="AC1279" s="11">
        <f>COUNTA(AB1280:AB1281)-COUNTIF(Z1280:Z1281,"兼")</f>
        <v>2</v>
      </c>
      <c r="AE1279" s="5"/>
      <c r="AI1279" s="20" t="s">
        <v>1137</v>
      </c>
      <c r="AJ1279" s="42" t="s">
        <v>789</v>
      </c>
      <c r="AK1279" s="42"/>
      <c r="AL1279" s="42"/>
      <c r="AM1279" s="11">
        <f>COUNTA(AL1280:AL1285)-COUNTIF(AJ1280:AJ1285,"兼")</f>
        <v>6</v>
      </c>
    </row>
    <row r="1280" spans="2:42">
      <c r="B1280" s="28"/>
      <c r="AA1280" s="11" t="s">
        <v>98</v>
      </c>
      <c r="AB1280" s="11" t="s">
        <v>1138</v>
      </c>
      <c r="AC1280" s="11" t="s">
        <v>10</v>
      </c>
      <c r="AD1280" s="11" t="s">
        <v>78</v>
      </c>
      <c r="AE1280" s="40">
        <v>1</v>
      </c>
      <c r="AK1280" s="11" t="s">
        <v>100</v>
      </c>
      <c r="AL1280" s="11" t="s">
        <v>1139</v>
      </c>
      <c r="AM1280" s="11" t="s">
        <v>10</v>
      </c>
      <c r="AN1280" s="11" t="s">
        <v>78</v>
      </c>
      <c r="AO1280" s="1">
        <v>1</v>
      </c>
    </row>
    <row r="1281" spans="2:42">
      <c r="B1281" s="28"/>
      <c r="AB1281" s="11" t="s">
        <v>842</v>
      </c>
      <c r="AC1281" s="11" t="s">
        <v>10</v>
      </c>
      <c r="AD1281" s="11" t="s">
        <v>78</v>
      </c>
      <c r="AE1281" s="40">
        <v>0.5</v>
      </c>
      <c r="AL1281" s="11" t="s">
        <v>1140</v>
      </c>
      <c r="AM1281" s="11" t="s">
        <v>150</v>
      </c>
      <c r="AN1281" s="11" t="s">
        <v>78</v>
      </c>
      <c r="AO1281" s="1">
        <v>1</v>
      </c>
    </row>
    <row r="1282" spans="2:42">
      <c r="B1282" s="28"/>
      <c r="AE1282" s="5"/>
      <c r="AL1282" s="11" t="s">
        <v>1141</v>
      </c>
      <c r="AM1282" s="11" t="s">
        <v>693</v>
      </c>
      <c r="AN1282" s="11" t="s">
        <v>78</v>
      </c>
      <c r="AO1282" s="1">
        <v>1</v>
      </c>
    </row>
    <row r="1283" spans="2:42">
      <c r="B1283" s="28"/>
      <c r="AE1283" s="5"/>
      <c r="AL1283" s="11" t="s">
        <v>1142</v>
      </c>
      <c r="AM1283" s="11" t="s">
        <v>10</v>
      </c>
      <c r="AN1283" s="11" t="s">
        <v>78</v>
      </c>
      <c r="AO1283" s="1">
        <v>1</v>
      </c>
    </row>
    <row r="1284" spans="2:42">
      <c r="B1284" s="28"/>
      <c r="AE1284" s="5"/>
      <c r="AL1284" s="11" t="s">
        <v>1143</v>
      </c>
      <c r="AM1284" s="11" t="s">
        <v>10</v>
      </c>
      <c r="AN1284" s="11" t="s">
        <v>78</v>
      </c>
      <c r="AO1284" s="1">
        <v>1</v>
      </c>
    </row>
    <row r="1285" spans="2:42">
      <c r="B1285" s="28"/>
      <c r="AE1285" s="5"/>
      <c r="AL1285" s="11" t="s">
        <v>526</v>
      </c>
      <c r="AM1285" s="11" t="s">
        <v>10</v>
      </c>
      <c r="AN1285" s="11" t="s">
        <v>78</v>
      </c>
      <c r="AO1285" s="1">
        <v>1</v>
      </c>
    </row>
    <row r="1286" spans="2:42">
      <c r="B1286" s="28"/>
      <c r="X1286" s="16"/>
      <c r="Y1286" s="16"/>
      <c r="Z1286" s="16"/>
      <c r="AA1286" s="16"/>
      <c r="AB1286" s="16"/>
      <c r="AC1286" s="16"/>
      <c r="AD1286" s="16"/>
      <c r="AE1286" s="7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</row>
    <row r="1287" spans="2:42">
      <c r="B1287" s="28"/>
      <c r="AE1287" s="5"/>
    </row>
    <row r="1288" spans="2:42">
      <c r="B1288" s="28"/>
      <c r="X1288" s="11">
        <f>SUM(AC1288,AM1288,AM1299)</f>
        <v>14</v>
      </c>
      <c r="Y1288" s="20" t="s">
        <v>1144</v>
      </c>
      <c r="Z1288" s="42" t="s">
        <v>2202</v>
      </c>
      <c r="AA1288" s="42"/>
      <c r="AB1288" s="42"/>
      <c r="AC1288" s="11">
        <f>COUNTA(AB1289)-COUNTIF(Z1289,"兼")</f>
        <v>1</v>
      </c>
      <c r="AE1288" s="5"/>
      <c r="AI1288" s="20" t="s">
        <v>1145</v>
      </c>
      <c r="AJ1288" s="42" t="s">
        <v>1087</v>
      </c>
      <c r="AK1288" s="42"/>
      <c r="AL1288" s="42"/>
      <c r="AM1288" s="11">
        <f>COUNTA(AL1289:AL1297)-COUNTIF(AJ1289:AJ1297,"兼")</f>
        <v>9</v>
      </c>
    </row>
    <row r="1289" spans="2:42">
      <c r="B1289" s="28"/>
      <c r="AA1289" s="11" t="s">
        <v>98</v>
      </c>
      <c r="AB1289" s="11" t="s">
        <v>1146</v>
      </c>
      <c r="AC1289" s="11" t="s">
        <v>10</v>
      </c>
      <c r="AD1289" s="11" t="s">
        <v>78</v>
      </c>
      <c r="AE1289" s="40">
        <v>1</v>
      </c>
      <c r="AK1289" s="11" t="s">
        <v>100</v>
      </c>
      <c r="AL1289" s="11" t="s">
        <v>1147</v>
      </c>
      <c r="AM1289" s="11" t="s">
        <v>150</v>
      </c>
      <c r="AN1289" s="11" t="s">
        <v>78</v>
      </c>
      <c r="AO1289" s="1">
        <v>1</v>
      </c>
    </row>
    <row r="1290" spans="2:42">
      <c r="B1290" s="28"/>
      <c r="AE1290" s="5"/>
      <c r="AL1290" s="11" t="s">
        <v>1148</v>
      </c>
      <c r="AM1290" s="11" t="s">
        <v>10</v>
      </c>
      <c r="AN1290" s="11" t="s">
        <v>78</v>
      </c>
      <c r="AO1290" s="1">
        <v>1</v>
      </c>
    </row>
    <row r="1291" spans="2:42">
      <c r="B1291" s="28"/>
      <c r="AE1291" s="5"/>
      <c r="AL1291" s="11" t="s">
        <v>1149</v>
      </c>
      <c r="AM1291" s="11" t="s">
        <v>693</v>
      </c>
      <c r="AN1291" s="11" t="s">
        <v>78</v>
      </c>
      <c r="AO1291" s="1">
        <v>1</v>
      </c>
    </row>
    <row r="1292" spans="2:42">
      <c r="B1292" s="28"/>
      <c r="AE1292" s="5"/>
      <c r="AL1292" s="11" t="s">
        <v>1150</v>
      </c>
      <c r="AM1292" s="11" t="s">
        <v>10</v>
      </c>
      <c r="AN1292" s="11" t="s">
        <v>78</v>
      </c>
      <c r="AO1292" s="1">
        <v>1</v>
      </c>
    </row>
    <row r="1293" spans="2:42">
      <c r="B1293" s="28"/>
      <c r="AE1293" s="5"/>
      <c r="AL1293" s="11" t="s">
        <v>1151</v>
      </c>
      <c r="AM1293" s="11" t="s">
        <v>693</v>
      </c>
      <c r="AN1293" s="11" t="s">
        <v>78</v>
      </c>
      <c r="AO1293" s="1">
        <v>1</v>
      </c>
    </row>
    <row r="1294" spans="2:42">
      <c r="B1294" s="28"/>
      <c r="AE1294" s="5"/>
      <c r="AL1294" s="11" t="s">
        <v>1152</v>
      </c>
      <c r="AM1294" s="11" t="s">
        <v>10</v>
      </c>
      <c r="AN1294" s="11" t="s">
        <v>78</v>
      </c>
      <c r="AO1294" s="1">
        <v>1</v>
      </c>
    </row>
    <row r="1295" spans="2:42">
      <c r="B1295" s="28"/>
      <c r="AE1295" s="5"/>
      <c r="AL1295" s="11" t="s">
        <v>1153</v>
      </c>
      <c r="AM1295" s="11" t="s">
        <v>10</v>
      </c>
      <c r="AN1295" s="11" t="s">
        <v>78</v>
      </c>
      <c r="AO1295" s="1">
        <v>1</v>
      </c>
    </row>
    <row r="1296" spans="2:42">
      <c r="B1296" s="28"/>
      <c r="AE1296" s="5"/>
      <c r="AL1296" s="11" t="s">
        <v>1154</v>
      </c>
      <c r="AM1296" s="11" t="s">
        <v>10</v>
      </c>
      <c r="AN1296" s="11" t="s">
        <v>78</v>
      </c>
      <c r="AO1296" s="1">
        <v>1</v>
      </c>
    </row>
    <row r="1297" spans="2:42">
      <c r="B1297" s="28"/>
      <c r="AE1297" s="5"/>
      <c r="AL1297" s="11" t="s">
        <v>536</v>
      </c>
      <c r="AM1297" s="11" t="s">
        <v>10</v>
      </c>
      <c r="AN1297" s="11" t="s">
        <v>78</v>
      </c>
      <c r="AO1297" s="1">
        <v>1</v>
      </c>
    </row>
    <row r="1298" spans="2:42">
      <c r="B1298" s="28"/>
      <c r="AE1298" s="5"/>
    </row>
    <row r="1299" spans="2:42">
      <c r="B1299" s="28"/>
      <c r="AE1299" s="5"/>
      <c r="AI1299" s="20" t="s">
        <v>1155</v>
      </c>
      <c r="AJ1299" s="42" t="s">
        <v>1103</v>
      </c>
      <c r="AK1299" s="42"/>
      <c r="AL1299" s="42"/>
      <c r="AM1299" s="11">
        <f>COUNTA(AL1300:AL1304)-COUNTIF(AJ1300:AJ1304,"兼")</f>
        <v>4</v>
      </c>
    </row>
    <row r="1300" spans="2:42">
      <c r="B1300" s="28"/>
      <c r="AE1300" s="5"/>
      <c r="AJ1300" s="11" t="s">
        <v>57</v>
      </c>
      <c r="AK1300" s="11" t="s">
        <v>2214</v>
      </c>
      <c r="AL1300" s="11" t="s">
        <v>1146</v>
      </c>
      <c r="AM1300" s="11" t="s">
        <v>10</v>
      </c>
      <c r="AN1300" s="11" t="s">
        <v>78</v>
      </c>
      <c r="AO1300" s="40">
        <v>0</v>
      </c>
    </row>
    <row r="1301" spans="2:42">
      <c r="B1301" s="28"/>
      <c r="AE1301" s="5"/>
      <c r="AL1301" s="11" t="s">
        <v>1156</v>
      </c>
      <c r="AM1301" s="11" t="s">
        <v>10</v>
      </c>
      <c r="AN1301" s="11" t="s">
        <v>78</v>
      </c>
      <c r="AO1301" s="1">
        <v>1</v>
      </c>
    </row>
    <row r="1302" spans="2:42">
      <c r="B1302" s="28"/>
      <c r="AE1302" s="5"/>
      <c r="AL1302" s="11" t="s">
        <v>1157</v>
      </c>
      <c r="AM1302" s="11" t="s">
        <v>10</v>
      </c>
      <c r="AN1302" s="11" t="s">
        <v>78</v>
      </c>
      <c r="AO1302" s="1">
        <v>1</v>
      </c>
    </row>
    <row r="1303" spans="2:42">
      <c r="B1303" s="28"/>
      <c r="AE1303" s="5"/>
      <c r="AL1303" s="11" t="s">
        <v>1158</v>
      </c>
      <c r="AM1303" s="11" t="s">
        <v>10</v>
      </c>
      <c r="AN1303" s="11" t="s">
        <v>78</v>
      </c>
      <c r="AO1303" s="1">
        <v>1</v>
      </c>
    </row>
    <row r="1304" spans="2:42">
      <c r="B1304" s="28"/>
      <c r="AE1304" s="5"/>
      <c r="AL1304" s="11" t="s">
        <v>520</v>
      </c>
      <c r="AM1304" s="11" t="s">
        <v>10</v>
      </c>
      <c r="AN1304" s="11" t="s">
        <v>78</v>
      </c>
      <c r="AO1304" s="1">
        <v>1</v>
      </c>
    </row>
    <row r="1305" spans="2:42"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7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</row>
    <row r="1307" spans="2:42">
      <c r="B1307" s="31"/>
      <c r="D1307" s="11">
        <f>SUM(D1312,D1325,D1352)</f>
        <v>287</v>
      </c>
      <c r="E1307" s="32"/>
      <c r="F1307" s="47" t="s">
        <v>1159</v>
      </c>
      <c r="G1307" s="47"/>
      <c r="H1307" s="47"/>
    </row>
    <row r="1308" spans="2:42">
      <c r="B1308" s="31"/>
      <c r="G1308" s="11" t="s">
        <v>651</v>
      </c>
      <c r="H1308" s="11" t="s">
        <v>19</v>
      </c>
      <c r="I1308" s="11" t="s">
        <v>10</v>
      </c>
      <c r="J1308" s="11" t="s">
        <v>14</v>
      </c>
    </row>
    <row r="1309" spans="2:42">
      <c r="B1309" s="31"/>
      <c r="G1309" s="11" t="s">
        <v>1160</v>
      </c>
      <c r="H1309" s="11" t="s">
        <v>1161</v>
      </c>
      <c r="I1309" s="11" t="s">
        <v>10</v>
      </c>
      <c r="J1309" s="11" t="s">
        <v>11</v>
      </c>
    </row>
    <row r="1310" spans="2:42">
      <c r="B1310" s="31"/>
      <c r="G1310" s="11" t="s">
        <v>652</v>
      </c>
      <c r="H1310" s="11" t="s">
        <v>1162</v>
      </c>
      <c r="I1310" s="11" t="s">
        <v>10</v>
      </c>
      <c r="J1310" s="11" t="s">
        <v>110</v>
      </c>
    </row>
    <row r="1311" spans="2:42">
      <c r="B1311" s="31"/>
    </row>
    <row r="1312" spans="2:42">
      <c r="B1312" s="33"/>
      <c r="D1312" s="11">
        <f>SUM(I1312,N1443,N1459,N1645,N1687,N1732,N1755)</f>
        <v>224</v>
      </c>
      <c r="E1312" s="20" t="s">
        <v>1163</v>
      </c>
      <c r="F1312" s="42" t="s">
        <v>1164</v>
      </c>
      <c r="G1312" s="42"/>
      <c r="H1312" s="42"/>
      <c r="I1312" s="11">
        <f>COUNTA(H1313:H1316)-COUNTIF(F1313:F1316,"兼")</f>
        <v>3</v>
      </c>
    </row>
    <row r="1313" spans="2:12">
      <c r="B1313" s="33"/>
      <c r="G1313" s="11" t="s">
        <v>1165</v>
      </c>
      <c r="H1313" s="11" t="s">
        <v>19</v>
      </c>
      <c r="I1313" s="11" t="s">
        <v>10</v>
      </c>
      <c r="J1313" s="11" t="s">
        <v>14</v>
      </c>
      <c r="K1313" s="1">
        <v>0.4</v>
      </c>
    </row>
    <row r="1314" spans="2:12">
      <c r="B1314" s="33"/>
      <c r="G1314" s="11" t="s">
        <v>1160</v>
      </c>
      <c r="H1314" s="11" t="s">
        <v>1161</v>
      </c>
      <c r="I1314" s="11" t="s">
        <v>10</v>
      </c>
      <c r="J1314" s="11" t="s">
        <v>11</v>
      </c>
      <c r="K1314" s="1">
        <v>0.6</v>
      </c>
    </row>
    <row r="1315" spans="2:12">
      <c r="B1315" s="33"/>
      <c r="G1315" s="11" t="s">
        <v>652</v>
      </c>
      <c r="H1315" s="11" t="s">
        <v>1162</v>
      </c>
      <c r="I1315" s="11" t="s">
        <v>10</v>
      </c>
      <c r="J1315" s="11" t="s">
        <v>110</v>
      </c>
      <c r="K1315" s="1">
        <v>0.4</v>
      </c>
    </row>
    <row r="1316" spans="2:12">
      <c r="B1316" s="33"/>
      <c r="F1316" s="11" t="s">
        <v>57</v>
      </c>
      <c r="G1316" s="11" t="s">
        <v>2227</v>
      </c>
      <c r="H1316" s="11" t="s">
        <v>1316</v>
      </c>
      <c r="I1316" s="11" t="s">
        <v>10</v>
      </c>
      <c r="J1316" s="11" t="s">
        <v>78</v>
      </c>
      <c r="K1316" s="1">
        <v>0.2</v>
      </c>
    </row>
    <row r="1317" spans="2:12">
      <c r="B1317" s="33"/>
    </row>
    <row r="1318" spans="2:12">
      <c r="B1318" s="33"/>
      <c r="F1318" s="21"/>
      <c r="G1318" s="21" t="s">
        <v>657</v>
      </c>
      <c r="H1318" s="21"/>
      <c r="I1318" s="21"/>
      <c r="J1318" s="21"/>
      <c r="K1318" s="21"/>
      <c r="L1318" s="21"/>
    </row>
    <row r="1319" spans="2:12">
      <c r="B1319" s="33"/>
      <c r="F1319" s="21" t="s">
        <v>57</v>
      </c>
      <c r="G1319" s="21"/>
      <c r="H1319" s="21" t="s">
        <v>1166</v>
      </c>
      <c r="I1319" s="21" t="s">
        <v>60</v>
      </c>
      <c r="J1319" s="21" t="s">
        <v>78</v>
      </c>
      <c r="K1319" s="2">
        <v>0.4</v>
      </c>
      <c r="L1319" s="21" t="s">
        <v>64</v>
      </c>
    </row>
    <row r="1320" spans="2:12">
      <c r="B1320" s="33"/>
      <c r="F1320" s="21" t="s">
        <v>57</v>
      </c>
      <c r="G1320" s="21"/>
      <c r="H1320" s="21" t="s">
        <v>1167</v>
      </c>
      <c r="I1320" s="21" t="s">
        <v>60</v>
      </c>
      <c r="J1320" s="21" t="s">
        <v>78</v>
      </c>
      <c r="K1320" s="2">
        <v>0.4</v>
      </c>
      <c r="L1320" s="21" t="s">
        <v>64</v>
      </c>
    </row>
    <row r="1321" spans="2:12">
      <c r="B1321" s="33"/>
      <c r="F1321" s="21" t="s">
        <v>57</v>
      </c>
      <c r="G1321" s="21"/>
      <c r="H1321" s="21" t="s">
        <v>1168</v>
      </c>
      <c r="I1321" s="21" t="s">
        <v>60</v>
      </c>
      <c r="J1321" s="21" t="s">
        <v>78</v>
      </c>
      <c r="K1321" s="2">
        <v>0.4</v>
      </c>
      <c r="L1321" s="21" t="s">
        <v>64</v>
      </c>
    </row>
    <row r="1322" spans="2:12">
      <c r="B1322" s="33"/>
      <c r="F1322" s="21" t="s">
        <v>57</v>
      </c>
      <c r="G1322" s="21"/>
      <c r="H1322" s="21" t="s">
        <v>1169</v>
      </c>
      <c r="I1322" s="21" t="s">
        <v>60</v>
      </c>
      <c r="J1322" s="21" t="s">
        <v>78</v>
      </c>
      <c r="K1322" s="2">
        <v>0.4</v>
      </c>
      <c r="L1322" s="21" t="s">
        <v>1170</v>
      </c>
    </row>
    <row r="1323" spans="2:12">
      <c r="B1323" s="33"/>
      <c r="F1323" s="21" t="s">
        <v>138</v>
      </c>
      <c r="G1323" s="21"/>
      <c r="H1323" s="21" t="s">
        <v>1313</v>
      </c>
      <c r="I1323" s="21" t="s">
        <v>60</v>
      </c>
      <c r="J1323" s="21" t="s">
        <v>78</v>
      </c>
      <c r="K1323" s="2">
        <v>0.4</v>
      </c>
      <c r="L1323" s="21" t="s">
        <v>56</v>
      </c>
    </row>
    <row r="1324" spans="2:12">
      <c r="B1324" s="33"/>
    </row>
    <row r="1325" spans="2:12">
      <c r="B1325" s="33"/>
      <c r="D1325" s="11">
        <f>SUM(N1365,N1634,N1677,)</f>
        <v>59</v>
      </c>
      <c r="E1325" s="20" t="s">
        <v>1163</v>
      </c>
      <c r="F1325" s="42" t="s">
        <v>1171</v>
      </c>
      <c r="G1325" s="42"/>
      <c r="H1325" s="42"/>
      <c r="I1325" s="11">
        <f>COUNTA(H1326:H1327)-COUNTIF(F1326:F1327,"兼")</f>
        <v>0</v>
      </c>
    </row>
    <row r="1326" spans="2:12">
      <c r="B1326" s="33"/>
      <c r="F1326" s="11" t="s">
        <v>57</v>
      </c>
      <c r="G1326" s="11" t="s">
        <v>1165</v>
      </c>
      <c r="H1326" s="11" t="s">
        <v>19</v>
      </c>
      <c r="I1326" s="11" t="s">
        <v>10</v>
      </c>
      <c r="J1326" s="11" t="s">
        <v>14</v>
      </c>
      <c r="K1326" s="1">
        <v>0.2</v>
      </c>
    </row>
    <row r="1327" spans="2:12">
      <c r="B1327" s="33"/>
      <c r="F1327" s="11" t="s">
        <v>138</v>
      </c>
      <c r="G1327" s="11" t="s">
        <v>652</v>
      </c>
      <c r="H1327" s="11" t="s">
        <v>1162</v>
      </c>
      <c r="I1327" s="11" t="s">
        <v>10</v>
      </c>
      <c r="J1327" s="11" t="s">
        <v>110</v>
      </c>
      <c r="K1327" s="1">
        <v>0.3</v>
      </c>
    </row>
    <row r="1328" spans="2:12">
      <c r="B1328" s="33"/>
    </row>
    <row r="1329" spans="2:12">
      <c r="B1329" s="33"/>
      <c r="F1329" s="21"/>
      <c r="G1329" s="21" t="s">
        <v>1172</v>
      </c>
      <c r="H1329" s="21"/>
      <c r="I1329" s="21"/>
      <c r="J1329" s="21"/>
      <c r="K1329" s="21"/>
      <c r="L1329" s="21"/>
    </row>
    <row r="1330" spans="2:12">
      <c r="B1330" s="33"/>
      <c r="F1330" s="21" t="s">
        <v>57</v>
      </c>
      <c r="G1330" s="21"/>
      <c r="H1330" s="21" t="s">
        <v>1173</v>
      </c>
      <c r="I1330" s="21" t="s">
        <v>60</v>
      </c>
      <c r="J1330" s="21" t="s">
        <v>110</v>
      </c>
      <c r="K1330" s="2">
        <v>0.1</v>
      </c>
      <c r="L1330" s="21" t="s">
        <v>68</v>
      </c>
    </row>
    <row r="1331" spans="2:12">
      <c r="B1331" s="33"/>
      <c r="F1331" s="21"/>
      <c r="G1331" s="21"/>
      <c r="H1331" s="21" t="s">
        <v>1174</v>
      </c>
      <c r="I1331" s="21" t="s">
        <v>60</v>
      </c>
      <c r="J1331" s="21" t="s">
        <v>110</v>
      </c>
      <c r="K1331" s="2">
        <v>0.8</v>
      </c>
      <c r="L1331" s="21" t="s">
        <v>68</v>
      </c>
    </row>
    <row r="1332" spans="2:12">
      <c r="B1332" s="33"/>
      <c r="F1332" s="21"/>
      <c r="G1332" s="21"/>
      <c r="H1332" s="21" t="s">
        <v>1175</v>
      </c>
      <c r="I1332" s="21" t="s">
        <v>60</v>
      </c>
      <c r="J1332" s="21" t="s">
        <v>110</v>
      </c>
      <c r="K1332" s="2">
        <v>0.6</v>
      </c>
      <c r="L1332" s="21" t="s">
        <v>68</v>
      </c>
    </row>
    <row r="1333" spans="2:12">
      <c r="B1333" s="33"/>
      <c r="F1333" s="21" t="s">
        <v>57</v>
      </c>
      <c r="G1333" s="21"/>
      <c r="H1333" s="21" t="s">
        <v>1175</v>
      </c>
      <c r="I1333" s="21" t="s">
        <v>60</v>
      </c>
      <c r="J1333" s="21" t="s">
        <v>110</v>
      </c>
      <c r="K1333" s="2">
        <v>0.4</v>
      </c>
      <c r="L1333" s="21" t="s">
        <v>68</v>
      </c>
    </row>
    <row r="1334" spans="2:12">
      <c r="B1334" s="33"/>
      <c r="F1334" s="21"/>
      <c r="G1334" s="21"/>
      <c r="H1334" s="21" t="s">
        <v>1176</v>
      </c>
      <c r="I1334" s="21" t="s">
        <v>60</v>
      </c>
      <c r="J1334" s="21" t="s">
        <v>110</v>
      </c>
      <c r="K1334" s="2">
        <v>1</v>
      </c>
      <c r="L1334" s="21" t="s">
        <v>68</v>
      </c>
    </row>
    <row r="1335" spans="2:12">
      <c r="B1335" s="33"/>
      <c r="F1335" s="21" t="s">
        <v>57</v>
      </c>
      <c r="G1335" s="21"/>
      <c r="H1335" s="21" t="s">
        <v>1177</v>
      </c>
      <c r="I1335" s="21" t="s">
        <v>60</v>
      </c>
      <c r="J1335" s="21" t="s">
        <v>110</v>
      </c>
      <c r="K1335" s="2">
        <v>0.2</v>
      </c>
      <c r="L1335" s="21" t="s">
        <v>68</v>
      </c>
    </row>
    <row r="1336" spans="2:12">
      <c r="B1336" s="33"/>
      <c r="F1336" s="21"/>
      <c r="G1336" s="21"/>
      <c r="H1336" s="21" t="s">
        <v>1178</v>
      </c>
      <c r="I1336" s="21" t="s">
        <v>60</v>
      </c>
      <c r="J1336" s="21" t="s">
        <v>110</v>
      </c>
      <c r="K1336" s="2">
        <v>1</v>
      </c>
      <c r="L1336" s="21" t="s">
        <v>68</v>
      </c>
    </row>
    <row r="1337" spans="2:12">
      <c r="B1337" s="33"/>
      <c r="F1337" s="21"/>
      <c r="G1337" s="21"/>
      <c r="H1337" s="21" t="s">
        <v>1162</v>
      </c>
      <c r="I1337" s="21" t="s">
        <v>60</v>
      </c>
      <c r="J1337" s="21" t="s">
        <v>110</v>
      </c>
      <c r="K1337" s="2">
        <v>0.6</v>
      </c>
      <c r="L1337" s="21" t="s">
        <v>68</v>
      </c>
    </row>
    <row r="1338" spans="2:12">
      <c r="B1338" s="33"/>
      <c r="F1338" s="21"/>
      <c r="G1338" s="21"/>
      <c r="H1338" s="21" t="s">
        <v>1179</v>
      </c>
      <c r="I1338" s="21" t="s">
        <v>60</v>
      </c>
      <c r="J1338" s="21" t="s">
        <v>110</v>
      </c>
      <c r="K1338" s="2">
        <v>0.6</v>
      </c>
      <c r="L1338" s="21" t="s">
        <v>68</v>
      </c>
    </row>
    <row r="1339" spans="2:12">
      <c r="B1339" s="33"/>
      <c r="F1339" s="21"/>
      <c r="G1339" s="21"/>
      <c r="H1339" s="21" t="s">
        <v>1180</v>
      </c>
      <c r="I1339" s="21" t="s">
        <v>60</v>
      </c>
      <c r="J1339" s="21" t="s">
        <v>110</v>
      </c>
      <c r="K1339" s="2">
        <v>1</v>
      </c>
      <c r="L1339" s="21" t="s">
        <v>68</v>
      </c>
    </row>
    <row r="1340" spans="2:12">
      <c r="B1340" s="33"/>
      <c r="F1340" s="21"/>
      <c r="G1340" s="21"/>
      <c r="H1340" s="21" t="s">
        <v>1181</v>
      </c>
      <c r="I1340" s="21" t="s">
        <v>60</v>
      </c>
      <c r="J1340" s="21" t="s">
        <v>110</v>
      </c>
      <c r="K1340" s="2">
        <v>1</v>
      </c>
      <c r="L1340" s="21" t="s">
        <v>68</v>
      </c>
    </row>
    <row r="1341" spans="2:12">
      <c r="B1341" s="33"/>
      <c r="F1341" s="21"/>
      <c r="G1341" s="21"/>
      <c r="H1341" s="21" t="s">
        <v>1182</v>
      </c>
      <c r="I1341" s="21" t="s">
        <v>60</v>
      </c>
      <c r="J1341" s="21" t="s">
        <v>110</v>
      </c>
      <c r="K1341" s="2">
        <v>0.6</v>
      </c>
      <c r="L1341" s="21" t="s">
        <v>68</v>
      </c>
    </row>
    <row r="1342" spans="2:12">
      <c r="B1342" s="33"/>
      <c r="F1342" s="21"/>
      <c r="G1342" s="21"/>
      <c r="H1342" s="21" t="s">
        <v>1183</v>
      </c>
      <c r="I1342" s="21" t="s">
        <v>60</v>
      </c>
      <c r="J1342" s="21" t="s">
        <v>110</v>
      </c>
      <c r="K1342" s="2">
        <v>1</v>
      </c>
      <c r="L1342" s="21" t="s">
        <v>68</v>
      </c>
    </row>
    <row r="1343" spans="2:12">
      <c r="B1343" s="33"/>
      <c r="F1343" s="21"/>
      <c r="G1343" s="21"/>
      <c r="H1343" s="21" t="s">
        <v>1184</v>
      </c>
      <c r="I1343" s="21" t="s">
        <v>60</v>
      </c>
      <c r="J1343" s="21" t="s">
        <v>110</v>
      </c>
      <c r="K1343" s="2">
        <v>1</v>
      </c>
      <c r="L1343" s="21" t="s">
        <v>68</v>
      </c>
    </row>
    <row r="1344" spans="2:12">
      <c r="B1344" s="33"/>
      <c r="F1344" s="21"/>
      <c r="G1344" s="21"/>
      <c r="H1344" s="21" t="s">
        <v>1185</v>
      </c>
      <c r="I1344" s="21" t="s">
        <v>60</v>
      </c>
      <c r="J1344" s="21" t="s">
        <v>110</v>
      </c>
      <c r="K1344" s="2">
        <v>1</v>
      </c>
      <c r="L1344" s="21" t="s">
        <v>68</v>
      </c>
    </row>
    <row r="1345" spans="2:31">
      <c r="B1345" s="33"/>
      <c r="F1345" s="21"/>
      <c r="G1345" s="21"/>
      <c r="H1345" s="21" t="s">
        <v>1186</v>
      </c>
      <c r="I1345" s="21" t="s">
        <v>60</v>
      </c>
      <c r="J1345" s="21" t="s">
        <v>110</v>
      </c>
      <c r="K1345" s="2">
        <v>1</v>
      </c>
      <c r="L1345" s="21" t="s">
        <v>68</v>
      </c>
    </row>
    <row r="1346" spans="2:31">
      <c r="B1346" s="33"/>
      <c r="F1346" s="21"/>
      <c r="G1346" s="21"/>
      <c r="H1346" s="21" t="s">
        <v>1187</v>
      </c>
      <c r="I1346" s="21" t="s">
        <v>60</v>
      </c>
      <c r="J1346" s="21" t="s">
        <v>110</v>
      </c>
      <c r="K1346" s="2">
        <v>1</v>
      </c>
      <c r="L1346" s="21" t="s">
        <v>68</v>
      </c>
    </row>
    <row r="1347" spans="2:31">
      <c r="B1347" s="33"/>
      <c r="F1347" s="21"/>
      <c r="G1347" s="21"/>
      <c r="H1347" s="21" t="s">
        <v>1188</v>
      </c>
      <c r="I1347" s="21" t="s">
        <v>60</v>
      </c>
      <c r="J1347" s="21" t="s">
        <v>110</v>
      </c>
      <c r="K1347" s="2">
        <v>1</v>
      </c>
      <c r="L1347" s="21" t="s">
        <v>68</v>
      </c>
    </row>
    <row r="1348" spans="2:31">
      <c r="B1348" s="33"/>
      <c r="F1348" s="21"/>
      <c r="G1348" s="21"/>
      <c r="H1348" s="21" t="s">
        <v>1189</v>
      </c>
      <c r="I1348" s="21" t="s">
        <v>60</v>
      </c>
      <c r="J1348" s="21" t="s">
        <v>110</v>
      </c>
      <c r="K1348" s="2">
        <v>1</v>
      </c>
      <c r="L1348" s="21" t="s">
        <v>68</v>
      </c>
    </row>
    <row r="1349" spans="2:31">
      <c r="B1349" s="33"/>
      <c r="F1349" s="21"/>
      <c r="G1349" s="21"/>
      <c r="H1349" s="21" t="s">
        <v>1190</v>
      </c>
      <c r="I1349" s="21" t="s">
        <v>60</v>
      </c>
      <c r="J1349" s="21" t="s">
        <v>110</v>
      </c>
      <c r="K1349" s="2">
        <v>1</v>
      </c>
      <c r="L1349" s="21" t="s">
        <v>68</v>
      </c>
    </row>
    <row r="1350" spans="2:31">
      <c r="B1350" s="33"/>
      <c r="F1350" s="21"/>
      <c r="G1350" s="21"/>
      <c r="H1350" s="21" t="s">
        <v>1191</v>
      </c>
      <c r="I1350" s="21" t="s">
        <v>1192</v>
      </c>
      <c r="J1350" s="21" t="s">
        <v>110</v>
      </c>
      <c r="K1350" s="2">
        <v>1</v>
      </c>
      <c r="L1350" s="21" t="s">
        <v>68</v>
      </c>
    </row>
    <row r="1351" spans="2:31">
      <c r="B1351" s="33"/>
    </row>
    <row r="1352" spans="2:31">
      <c r="B1352" s="33"/>
      <c r="D1352" s="11">
        <f>SUM(I1352,N1726)</f>
        <v>4</v>
      </c>
      <c r="E1352" s="20" t="s">
        <v>1163</v>
      </c>
      <c r="F1352" s="42" t="s">
        <v>1193</v>
      </c>
      <c r="G1352" s="42"/>
      <c r="H1352" s="42"/>
      <c r="I1352" s="11">
        <f>COUNTA(H1353:H1353)-COUNTIF(F1353:F1353,"兼")</f>
        <v>0</v>
      </c>
    </row>
    <row r="1353" spans="2:31">
      <c r="B1353" s="33"/>
      <c r="F1353" s="11" t="s">
        <v>57</v>
      </c>
      <c r="G1353" s="11" t="s">
        <v>1165</v>
      </c>
      <c r="H1353" s="11" t="s">
        <v>19</v>
      </c>
      <c r="I1353" s="11" t="s">
        <v>10</v>
      </c>
      <c r="J1353" s="11" t="s">
        <v>14</v>
      </c>
      <c r="K1353" s="1">
        <v>0.2</v>
      </c>
    </row>
    <row r="1354" spans="2:31">
      <c r="B1354" s="33"/>
    </row>
    <row r="1355" spans="2:31">
      <c r="B1355" s="33"/>
      <c r="F1355" s="21"/>
      <c r="G1355" s="21" t="s">
        <v>1194</v>
      </c>
      <c r="H1355" s="21"/>
      <c r="I1355" s="21"/>
      <c r="J1355" s="21"/>
      <c r="K1355" s="21"/>
      <c r="L1355" s="21"/>
    </row>
    <row r="1356" spans="2:31">
      <c r="B1356" s="33"/>
      <c r="F1356" s="21" t="s">
        <v>57</v>
      </c>
      <c r="G1356" s="21"/>
      <c r="H1356" s="21" t="s">
        <v>1195</v>
      </c>
      <c r="I1356" s="21" t="s">
        <v>60</v>
      </c>
      <c r="J1356" s="21" t="s">
        <v>223</v>
      </c>
      <c r="K1356" s="2">
        <v>0.4</v>
      </c>
      <c r="L1356" s="21" t="s">
        <v>68</v>
      </c>
    </row>
    <row r="1357" spans="2:31">
      <c r="B1357" s="33"/>
      <c r="F1357" s="21"/>
      <c r="G1357" s="21"/>
      <c r="H1357" s="21" t="s">
        <v>1196</v>
      </c>
      <c r="I1357" s="21" t="s">
        <v>60</v>
      </c>
      <c r="J1357" s="21" t="s">
        <v>223</v>
      </c>
      <c r="K1357" s="2">
        <v>0.8</v>
      </c>
      <c r="L1357" s="21" t="s">
        <v>68</v>
      </c>
    </row>
    <row r="1358" spans="2:31">
      <c r="B1358" s="33"/>
      <c r="F1358" s="21"/>
      <c r="G1358" s="21"/>
      <c r="H1358" s="21" t="s">
        <v>1197</v>
      </c>
      <c r="I1358" s="21" t="s">
        <v>60</v>
      </c>
      <c r="J1358" s="21" t="s">
        <v>223</v>
      </c>
      <c r="K1358" s="2">
        <v>0.8</v>
      </c>
      <c r="L1358" s="21" t="s">
        <v>68</v>
      </c>
    </row>
    <row r="1359" spans="2:31">
      <c r="B1359" s="33"/>
      <c r="F1359" s="21"/>
      <c r="G1359" s="21"/>
      <c r="H1359" s="21" t="s">
        <v>1198</v>
      </c>
      <c r="I1359" s="21" t="s">
        <v>60</v>
      </c>
      <c r="J1359" s="21" t="s">
        <v>223</v>
      </c>
      <c r="K1359" s="2">
        <v>1</v>
      </c>
      <c r="L1359" s="21" t="s">
        <v>68</v>
      </c>
      <c r="AE1359" s="5"/>
    </row>
    <row r="1360" spans="2:31">
      <c r="B1360" s="33"/>
      <c r="F1360" s="21"/>
      <c r="G1360" s="21"/>
      <c r="H1360" s="21" t="s">
        <v>1199</v>
      </c>
      <c r="I1360" s="21" t="s">
        <v>60</v>
      </c>
      <c r="J1360" s="21" t="s">
        <v>223</v>
      </c>
      <c r="K1360" s="2">
        <v>1</v>
      </c>
      <c r="L1360" s="21" t="s">
        <v>68</v>
      </c>
      <c r="AE1360" s="5"/>
    </row>
    <row r="1361" spans="2:42">
      <c r="B1361" s="33"/>
      <c r="F1361" s="21"/>
      <c r="G1361" s="21"/>
      <c r="H1361" s="21" t="s">
        <v>1200</v>
      </c>
      <c r="I1361" s="21" t="s">
        <v>10</v>
      </c>
      <c r="J1361" s="21" t="s">
        <v>223</v>
      </c>
      <c r="K1361" s="2">
        <v>1</v>
      </c>
      <c r="L1361" s="21" t="s">
        <v>68</v>
      </c>
      <c r="AE1361" s="5"/>
    </row>
    <row r="1362" spans="2:42">
      <c r="B1362" s="33"/>
      <c r="F1362" s="21" t="s">
        <v>57</v>
      </c>
      <c r="G1362" s="21"/>
      <c r="H1362" s="21" t="s">
        <v>1201</v>
      </c>
      <c r="I1362" s="21" t="s">
        <v>10</v>
      </c>
      <c r="J1362" s="21" t="s">
        <v>223</v>
      </c>
      <c r="K1362" s="2">
        <v>0.5</v>
      </c>
      <c r="L1362" s="21" t="s">
        <v>68</v>
      </c>
      <c r="AE1362" s="5"/>
    </row>
    <row r="1363" spans="2:42">
      <c r="B1363" s="33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7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</row>
    <row r="1364" spans="2:42">
      <c r="B1364" s="33"/>
      <c r="AE1364" s="5"/>
    </row>
    <row r="1365" spans="2:42">
      <c r="B1365" s="33"/>
      <c r="N1365" s="11">
        <f>SUM(S1365,X1365,X1390,X1408,X1423)</f>
        <v>59</v>
      </c>
      <c r="O1365" s="20" t="s">
        <v>1202</v>
      </c>
      <c r="P1365" s="42" t="s">
        <v>1203</v>
      </c>
      <c r="Q1365" s="42"/>
      <c r="R1365" s="42"/>
      <c r="S1365" s="11">
        <f>COUNTA(R1366:R1370)-COUNTIF(P1366:P1370,"兼")</f>
        <v>5</v>
      </c>
      <c r="X1365" s="11">
        <f>SUM(AC1365,AM1365,AM1369,AM1376,AM1382)</f>
        <v>17</v>
      </c>
      <c r="Y1365" s="20" t="s">
        <v>1204</v>
      </c>
      <c r="Z1365" s="42" t="s">
        <v>1205</v>
      </c>
      <c r="AA1365" s="42"/>
      <c r="AB1365" s="42"/>
      <c r="AC1365" s="11">
        <f>COUNTA(AB1366:AB1368)-COUNTIF(Z1366:Z1368,"兼")</f>
        <v>3</v>
      </c>
      <c r="AE1365" s="5"/>
      <c r="AI1365" s="20" t="s">
        <v>1206</v>
      </c>
      <c r="AJ1365" s="42" t="s">
        <v>1207</v>
      </c>
      <c r="AK1365" s="42"/>
      <c r="AL1365" s="42"/>
      <c r="AM1365" s="11">
        <f>COUNTA(AL1366:AL1367)-COUNTIF(AJ1366:AJ1367,"兼")</f>
        <v>2</v>
      </c>
    </row>
    <row r="1366" spans="2:42">
      <c r="B1366" s="33"/>
      <c r="Q1366" s="11" t="s">
        <v>674</v>
      </c>
      <c r="R1366" s="11" t="s">
        <v>25</v>
      </c>
      <c r="S1366" s="11" t="s">
        <v>10</v>
      </c>
      <c r="T1366" s="11" t="s">
        <v>14</v>
      </c>
      <c r="U1366" s="1">
        <v>0.6</v>
      </c>
      <c r="AA1366" s="11" t="s">
        <v>98</v>
      </c>
      <c r="AB1366" s="11" t="s">
        <v>1208</v>
      </c>
      <c r="AC1366" s="11" t="s">
        <v>10</v>
      </c>
      <c r="AD1366" s="11" t="s">
        <v>110</v>
      </c>
      <c r="AE1366" s="40">
        <v>1</v>
      </c>
      <c r="AK1366" s="11" t="s">
        <v>1209</v>
      </c>
      <c r="AL1366" s="11" t="s">
        <v>1210</v>
      </c>
      <c r="AM1366" s="11" t="s">
        <v>363</v>
      </c>
      <c r="AN1366" s="11" t="s">
        <v>110</v>
      </c>
      <c r="AO1366" s="1">
        <v>1</v>
      </c>
    </row>
    <row r="1367" spans="2:42">
      <c r="B1367" s="33"/>
      <c r="Q1367" s="11" t="s">
        <v>677</v>
      </c>
      <c r="R1367" s="11" t="s">
        <v>1211</v>
      </c>
      <c r="S1367" s="11" t="s">
        <v>363</v>
      </c>
      <c r="T1367" s="11" t="s">
        <v>110</v>
      </c>
      <c r="U1367" s="1">
        <v>1</v>
      </c>
      <c r="AA1367" s="30" t="s">
        <v>1212</v>
      </c>
      <c r="AB1367" s="34" t="s">
        <v>1213</v>
      </c>
      <c r="AC1367" s="11" t="s">
        <v>10</v>
      </c>
      <c r="AD1367" s="11" t="s">
        <v>110</v>
      </c>
      <c r="AE1367" s="40">
        <v>1</v>
      </c>
      <c r="AL1367" s="11" t="s">
        <v>1214</v>
      </c>
      <c r="AM1367" s="11" t="s">
        <v>1215</v>
      </c>
      <c r="AN1367" s="11" t="s">
        <v>110</v>
      </c>
      <c r="AO1367" s="1">
        <v>1</v>
      </c>
    </row>
    <row r="1368" spans="2:42">
      <c r="B1368" s="33"/>
      <c r="Q1368" s="11" t="s">
        <v>677</v>
      </c>
      <c r="R1368" s="11" t="s">
        <v>1216</v>
      </c>
      <c r="S1368" s="11" t="s">
        <v>10</v>
      </c>
      <c r="T1368" s="11" t="s">
        <v>110</v>
      </c>
      <c r="U1368" s="40">
        <v>1</v>
      </c>
      <c r="AA1368" s="30" t="s">
        <v>1212</v>
      </c>
      <c r="AB1368" s="34" t="s">
        <v>1217</v>
      </c>
      <c r="AC1368" s="11" t="s">
        <v>10</v>
      </c>
      <c r="AD1368" s="11" t="s">
        <v>110</v>
      </c>
      <c r="AE1368" s="40">
        <v>1</v>
      </c>
    </row>
    <row r="1369" spans="2:42">
      <c r="B1369" s="33"/>
      <c r="R1369" s="11" t="s">
        <v>1218</v>
      </c>
      <c r="S1369" s="11" t="s">
        <v>10</v>
      </c>
      <c r="T1369" s="11" t="s">
        <v>110</v>
      </c>
      <c r="U1369" s="1">
        <v>0</v>
      </c>
      <c r="AE1369" s="5"/>
      <c r="AI1369" s="20" t="s">
        <v>1219</v>
      </c>
      <c r="AJ1369" s="42" t="s">
        <v>1220</v>
      </c>
      <c r="AK1369" s="42"/>
      <c r="AL1369" s="42"/>
      <c r="AM1369" s="11">
        <f>COUNTA(AL1370:AL1374)-COUNTIF(AJ1370:AJ1374,"兼")</f>
        <v>4</v>
      </c>
    </row>
    <row r="1370" spans="2:42">
      <c r="B1370" s="33"/>
      <c r="R1370" s="11" t="s">
        <v>1173</v>
      </c>
      <c r="S1370" s="11" t="s">
        <v>10</v>
      </c>
      <c r="T1370" s="11" t="s">
        <v>110</v>
      </c>
      <c r="U1370" s="1">
        <v>0</v>
      </c>
      <c r="AE1370" s="5"/>
      <c r="AJ1370" s="11" t="s">
        <v>1221</v>
      </c>
      <c r="AK1370" s="11" t="s">
        <v>1209</v>
      </c>
      <c r="AL1370" s="11" t="s">
        <v>1217</v>
      </c>
      <c r="AM1370" s="11" t="s">
        <v>10</v>
      </c>
      <c r="AN1370" s="11" t="s">
        <v>110</v>
      </c>
      <c r="AO1370" s="40">
        <v>0</v>
      </c>
    </row>
    <row r="1371" spans="2:42">
      <c r="B1371" s="33"/>
      <c r="AE1371" s="5"/>
      <c r="AL1371" s="11" t="s">
        <v>1222</v>
      </c>
      <c r="AM1371" s="11" t="s">
        <v>10</v>
      </c>
      <c r="AN1371" s="11" t="s">
        <v>110</v>
      </c>
      <c r="AO1371" s="1">
        <v>1</v>
      </c>
    </row>
    <row r="1372" spans="2:42">
      <c r="B1372" s="33"/>
      <c r="AE1372" s="5"/>
      <c r="AL1372" s="11" t="s">
        <v>1223</v>
      </c>
      <c r="AM1372" s="11" t="s">
        <v>10</v>
      </c>
      <c r="AN1372" s="11" t="s">
        <v>110</v>
      </c>
      <c r="AO1372" s="1">
        <v>1</v>
      </c>
    </row>
    <row r="1373" spans="2:42">
      <c r="B1373" s="33"/>
      <c r="AE1373" s="5"/>
      <c r="AL1373" s="11" t="s">
        <v>1224</v>
      </c>
      <c r="AM1373" s="11" t="s">
        <v>10</v>
      </c>
      <c r="AN1373" s="11" t="s">
        <v>110</v>
      </c>
      <c r="AO1373" s="1">
        <v>1</v>
      </c>
    </row>
    <row r="1374" spans="2:42">
      <c r="B1374" s="33"/>
      <c r="AE1374" s="5"/>
      <c r="AL1374" s="11" t="s">
        <v>591</v>
      </c>
      <c r="AM1374" s="11" t="s">
        <v>10</v>
      </c>
      <c r="AN1374" s="11" t="s">
        <v>110</v>
      </c>
      <c r="AO1374" s="1">
        <v>1</v>
      </c>
    </row>
    <row r="1375" spans="2:42">
      <c r="B1375" s="33"/>
      <c r="AE1375" s="5"/>
    </row>
    <row r="1376" spans="2:42">
      <c r="B1376" s="33"/>
      <c r="AE1376" s="5"/>
      <c r="AI1376" s="20" t="s">
        <v>1225</v>
      </c>
      <c r="AJ1376" s="42" t="s">
        <v>1226</v>
      </c>
      <c r="AK1376" s="42"/>
      <c r="AL1376" s="42"/>
      <c r="AM1376" s="11">
        <f>COUNTA(AL1377:AL1380)-COUNTIF(AJ1377:AJ1380,"兼")</f>
        <v>3</v>
      </c>
    </row>
    <row r="1377" spans="2:42">
      <c r="B1377" s="33"/>
      <c r="AE1377" s="5"/>
      <c r="AJ1377" s="11" t="s">
        <v>1221</v>
      </c>
      <c r="AK1377" s="11" t="s">
        <v>1209</v>
      </c>
      <c r="AL1377" s="11" t="s">
        <v>1227</v>
      </c>
      <c r="AM1377" s="11" t="s">
        <v>10</v>
      </c>
      <c r="AN1377" s="11" t="s">
        <v>110</v>
      </c>
      <c r="AO1377" s="1">
        <v>0</v>
      </c>
    </row>
    <row r="1378" spans="2:42">
      <c r="B1378" s="33"/>
      <c r="AE1378" s="5"/>
      <c r="AL1378" s="11" t="s">
        <v>1228</v>
      </c>
      <c r="AM1378" s="11" t="s">
        <v>10</v>
      </c>
      <c r="AN1378" s="11" t="s">
        <v>110</v>
      </c>
      <c r="AO1378" s="1">
        <v>1</v>
      </c>
    </row>
    <row r="1379" spans="2:42">
      <c r="B1379" s="33"/>
      <c r="AE1379" s="5"/>
      <c r="AL1379" s="11" t="s">
        <v>1229</v>
      </c>
      <c r="AM1379" s="11" t="s">
        <v>10</v>
      </c>
      <c r="AN1379" s="11" t="s">
        <v>110</v>
      </c>
      <c r="AO1379" s="1">
        <v>1</v>
      </c>
    </row>
    <row r="1380" spans="2:42">
      <c r="B1380" s="33"/>
      <c r="AE1380" s="5"/>
      <c r="AL1380" s="11" t="s">
        <v>597</v>
      </c>
      <c r="AM1380" s="11" t="s">
        <v>10</v>
      </c>
      <c r="AN1380" s="11" t="s">
        <v>110</v>
      </c>
      <c r="AO1380" s="1">
        <v>1</v>
      </c>
    </row>
    <row r="1381" spans="2:42">
      <c r="B1381" s="33"/>
      <c r="AE1381" s="5"/>
    </row>
    <row r="1382" spans="2:42">
      <c r="B1382" s="33"/>
      <c r="AE1382" s="5"/>
      <c r="AI1382" s="20" t="s">
        <v>1230</v>
      </c>
      <c r="AJ1382" s="42" t="s">
        <v>1231</v>
      </c>
      <c r="AK1382" s="42"/>
      <c r="AL1382" s="42"/>
      <c r="AM1382" s="11">
        <f>COUNTA(AL1383:AL1387)-COUNTIF(AJ1383:AJ1387,"兼")</f>
        <v>5</v>
      </c>
    </row>
    <row r="1383" spans="2:42">
      <c r="B1383" s="33"/>
      <c r="AE1383" s="5"/>
      <c r="AK1383" s="11" t="s">
        <v>1209</v>
      </c>
      <c r="AL1383" s="11" t="s">
        <v>1232</v>
      </c>
      <c r="AM1383" s="11" t="s">
        <v>10</v>
      </c>
      <c r="AN1383" s="11" t="s">
        <v>110</v>
      </c>
      <c r="AO1383" s="1">
        <v>1</v>
      </c>
    </row>
    <row r="1384" spans="2:42">
      <c r="B1384" s="33"/>
      <c r="AE1384" s="5"/>
      <c r="AL1384" s="11" t="s">
        <v>1233</v>
      </c>
      <c r="AM1384" s="11" t="s">
        <v>10</v>
      </c>
      <c r="AN1384" s="11" t="s">
        <v>110</v>
      </c>
      <c r="AO1384" s="1">
        <v>1</v>
      </c>
    </row>
    <row r="1385" spans="2:42">
      <c r="B1385" s="33"/>
      <c r="AE1385" s="5"/>
      <c r="AL1385" s="11" t="s">
        <v>1234</v>
      </c>
      <c r="AM1385" s="11" t="s">
        <v>10</v>
      </c>
      <c r="AN1385" s="11" t="s">
        <v>110</v>
      </c>
      <c r="AO1385" s="1">
        <v>1</v>
      </c>
    </row>
    <row r="1386" spans="2:42">
      <c r="B1386" s="33"/>
      <c r="AE1386" s="5"/>
      <c r="AL1386" s="11" t="s">
        <v>1235</v>
      </c>
      <c r="AM1386" s="11" t="s">
        <v>10</v>
      </c>
      <c r="AN1386" s="11" t="s">
        <v>110</v>
      </c>
      <c r="AO1386" s="1">
        <v>1</v>
      </c>
    </row>
    <row r="1387" spans="2:42">
      <c r="B1387" s="33"/>
      <c r="AE1387" s="5"/>
      <c r="AL1387" s="11" t="s">
        <v>590</v>
      </c>
      <c r="AM1387" s="11" t="s">
        <v>10</v>
      </c>
      <c r="AN1387" s="11" t="s">
        <v>110</v>
      </c>
      <c r="AO1387" s="1">
        <v>1</v>
      </c>
    </row>
    <row r="1388" spans="2:42">
      <c r="B1388" s="33"/>
      <c r="X1388" s="16"/>
      <c r="Y1388" s="16"/>
      <c r="Z1388" s="16"/>
      <c r="AA1388" s="16"/>
      <c r="AB1388" s="16"/>
      <c r="AC1388" s="16"/>
      <c r="AD1388" s="16"/>
      <c r="AE1388" s="7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</row>
    <row r="1389" spans="2:42">
      <c r="B1389" s="33"/>
      <c r="AE1389" s="5"/>
    </row>
    <row r="1390" spans="2:42">
      <c r="B1390" s="33"/>
      <c r="X1390" s="11">
        <f>SUM(AC1390,AM1390,AM1395,AM1400)</f>
        <v>10</v>
      </c>
      <c r="Y1390" s="20" t="s">
        <v>1236</v>
      </c>
      <c r="Z1390" s="42" t="s">
        <v>1237</v>
      </c>
      <c r="AA1390" s="42"/>
      <c r="AB1390" s="42"/>
      <c r="AC1390" s="11">
        <f>COUNTA(AB1391:AB1392)-COUNTIF(Z1391:Z1392,"兼")</f>
        <v>1</v>
      </c>
      <c r="AE1390" s="5"/>
      <c r="AI1390" s="20" t="s">
        <v>1238</v>
      </c>
      <c r="AJ1390" s="42" t="s">
        <v>1239</v>
      </c>
      <c r="AK1390" s="42"/>
      <c r="AL1390" s="42"/>
      <c r="AM1390" s="11">
        <f>COUNTA(AL1391:AL1393)-COUNTIF(AJ1391:AJ1393,"兼")</f>
        <v>3</v>
      </c>
    </row>
    <row r="1391" spans="2:42">
      <c r="B1391" s="33"/>
      <c r="AA1391" s="11" t="s">
        <v>98</v>
      </c>
      <c r="AB1391" s="11" t="s">
        <v>1240</v>
      </c>
      <c r="AC1391" s="11" t="s">
        <v>363</v>
      </c>
      <c r="AD1391" s="11" t="s">
        <v>110</v>
      </c>
      <c r="AE1391" s="40">
        <v>1</v>
      </c>
      <c r="AK1391" s="11" t="s">
        <v>1209</v>
      </c>
      <c r="AL1391" s="11" t="s">
        <v>1241</v>
      </c>
      <c r="AM1391" s="11" t="s">
        <v>363</v>
      </c>
      <c r="AN1391" s="11" t="s">
        <v>110</v>
      </c>
      <c r="AO1391" s="1">
        <v>1</v>
      </c>
    </row>
    <row r="1392" spans="2:42">
      <c r="B1392" s="33"/>
      <c r="Z1392" s="11" t="s">
        <v>57</v>
      </c>
      <c r="AA1392" s="11" t="s">
        <v>1212</v>
      </c>
      <c r="AB1392" s="11" t="s">
        <v>1173</v>
      </c>
      <c r="AC1392" s="11" t="s">
        <v>10</v>
      </c>
      <c r="AD1392" s="11" t="s">
        <v>110</v>
      </c>
      <c r="AE1392" s="40">
        <v>0.9</v>
      </c>
      <c r="AL1392" s="11" t="s">
        <v>1242</v>
      </c>
      <c r="AM1392" s="11" t="s">
        <v>10</v>
      </c>
      <c r="AN1392" s="11" t="s">
        <v>110</v>
      </c>
      <c r="AO1392" s="1">
        <v>1</v>
      </c>
    </row>
    <row r="1393" spans="2:42">
      <c r="B1393" s="33"/>
      <c r="AE1393" s="5"/>
      <c r="AL1393" s="11" t="s">
        <v>1243</v>
      </c>
      <c r="AM1393" s="11" t="s">
        <v>10</v>
      </c>
      <c r="AN1393" s="11" t="s">
        <v>110</v>
      </c>
      <c r="AO1393" s="1">
        <v>1</v>
      </c>
    </row>
    <row r="1394" spans="2:42">
      <c r="B1394" s="33"/>
      <c r="AE1394" s="5"/>
    </row>
    <row r="1395" spans="2:42">
      <c r="B1395" s="33"/>
      <c r="AE1395" s="5"/>
      <c r="AI1395" s="20" t="s">
        <v>1244</v>
      </c>
      <c r="AJ1395" s="42" t="s">
        <v>1245</v>
      </c>
      <c r="AK1395" s="42"/>
      <c r="AL1395" s="42"/>
      <c r="AM1395" s="11">
        <f>COUNTA(AL1396:AL1398)-COUNTIF(AJ1396:AJ1398,"兼")</f>
        <v>2</v>
      </c>
    </row>
    <row r="1396" spans="2:42">
      <c r="B1396" s="33"/>
      <c r="AE1396" s="5"/>
      <c r="AJ1396" s="11" t="s">
        <v>1221</v>
      </c>
      <c r="AK1396" s="11" t="s">
        <v>1209</v>
      </c>
      <c r="AL1396" s="11" t="s">
        <v>1246</v>
      </c>
      <c r="AM1396" s="11" t="s">
        <v>363</v>
      </c>
      <c r="AN1396" s="11" t="s">
        <v>110</v>
      </c>
      <c r="AO1396" s="1">
        <v>0</v>
      </c>
    </row>
    <row r="1397" spans="2:42">
      <c r="B1397" s="33"/>
      <c r="AE1397" s="5"/>
      <c r="AL1397" s="11" t="s">
        <v>1247</v>
      </c>
      <c r="AM1397" s="11" t="s">
        <v>10</v>
      </c>
      <c r="AN1397" s="11" t="s">
        <v>110</v>
      </c>
      <c r="AO1397" s="1">
        <v>1</v>
      </c>
    </row>
    <row r="1398" spans="2:42">
      <c r="B1398" s="33"/>
      <c r="AE1398" s="5"/>
      <c r="AL1398" s="11" t="s">
        <v>1248</v>
      </c>
      <c r="AM1398" s="11" t="s">
        <v>10</v>
      </c>
      <c r="AN1398" s="11" t="s">
        <v>110</v>
      </c>
      <c r="AO1398" s="1">
        <v>1</v>
      </c>
    </row>
    <row r="1399" spans="2:42">
      <c r="B1399" s="33"/>
      <c r="AE1399" s="5"/>
    </row>
    <row r="1400" spans="2:42">
      <c r="B1400" s="33"/>
      <c r="AE1400" s="5"/>
      <c r="AI1400" s="20" t="s">
        <v>1249</v>
      </c>
      <c r="AJ1400" s="42" t="s">
        <v>1250</v>
      </c>
      <c r="AK1400" s="42"/>
      <c r="AL1400" s="42"/>
      <c r="AM1400" s="11">
        <f>COUNTA(AL1401:AL1405)-COUNTIF(AJ1401:AJ1405,"兼")</f>
        <v>4</v>
      </c>
    </row>
    <row r="1401" spans="2:42">
      <c r="B1401" s="33"/>
      <c r="AE1401" s="5"/>
      <c r="AK1401" s="11" t="s">
        <v>1209</v>
      </c>
      <c r="AL1401" s="11" t="s">
        <v>1251</v>
      </c>
      <c r="AM1401" s="11" t="s">
        <v>10</v>
      </c>
      <c r="AN1401" s="11" t="s">
        <v>110</v>
      </c>
      <c r="AO1401" s="1">
        <v>1</v>
      </c>
    </row>
    <row r="1402" spans="2:42">
      <c r="B1402" s="33"/>
      <c r="AE1402" s="5"/>
      <c r="AL1402" s="11" t="s">
        <v>1252</v>
      </c>
      <c r="AM1402" s="11" t="s">
        <v>10</v>
      </c>
      <c r="AN1402" s="11" t="s">
        <v>110</v>
      </c>
      <c r="AO1402" s="1">
        <v>1</v>
      </c>
    </row>
    <row r="1403" spans="2:42">
      <c r="B1403" s="33"/>
      <c r="AE1403" s="5"/>
      <c r="AL1403" s="11" t="s">
        <v>1253</v>
      </c>
      <c r="AM1403" s="11" t="s">
        <v>10</v>
      </c>
      <c r="AN1403" s="11" t="s">
        <v>110</v>
      </c>
      <c r="AO1403" s="1">
        <v>1</v>
      </c>
    </row>
    <row r="1404" spans="2:42">
      <c r="B1404" s="33"/>
      <c r="AE1404" s="5"/>
      <c r="AL1404" s="11" t="s">
        <v>1254</v>
      </c>
      <c r="AM1404" s="11" t="s">
        <v>10</v>
      </c>
      <c r="AN1404" s="11" t="s">
        <v>110</v>
      </c>
      <c r="AO1404" s="1">
        <v>1</v>
      </c>
    </row>
    <row r="1405" spans="2:42">
      <c r="B1405" s="33"/>
      <c r="AE1405" s="5"/>
      <c r="AJ1405" s="11" t="s">
        <v>57</v>
      </c>
      <c r="AL1405" s="11" t="s">
        <v>680</v>
      </c>
      <c r="AM1405" s="11" t="s">
        <v>10</v>
      </c>
      <c r="AN1405" s="11" t="s">
        <v>78</v>
      </c>
      <c r="AO1405" s="40">
        <v>1</v>
      </c>
    </row>
    <row r="1406" spans="2:42">
      <c r="B1406" s="33"/>
      <c r="X1406" s="16"/>
      <c r="Y1406" s="16"/>
      <c r="Z1406" s="16"/>
      <c r="AA1406" s="16"/>
      <c r="AB1406" s="16"/>
      <c r="AC1406" s="16"/>
      <c r="AD1406" s="16"/>
      <c r="AE1406" s="7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</row>
    <row r="1407" spans="2:42">
      <c r="B1407" s="33"/>
      <c r="AE1407" s="5"/>
    </row>
    <row r="1408" spans="2:42">
      <c r="B1408" s="33"/>
      <c r="X1408" s="11">
        <f>SUM(AC1408,AM1408,AM1417)</f>
        <v>11</v>
      </c>
      <c r="Y1408" s="20" t="s">
        <v>1255</v>
      </c>
      <c r="Z1408" s="42" t="s">
        <v>1256</v>
      </c>
      <c r="AA1408" s="42"/>
      <c r="AB1408" s="42"/>
      <c r="AC1408" s="11">
        <f>COUNTA(AB1409:AB1410)-COUNTIF(Z1409:Z1410,"兼")</f>
        <v>2</v>
      </c>
      <c r="AE1408" s="5"/>
      <c r="AI1408" s="20" t="s">
        <v>1257</v>
      </c>
      <c r="AJ1408" s="42" t="s">
        <v>1258</v>
      </c>
      <c r="AK1408" s="42"/>
      <c r="AL1408" s="42"/>
      <c r="AM1408" s="11">
        <f>COUNTA(AL1409:AL1415)-COUNTIF(AJ1409:AJ1415,"兼")</f>
        <v>6</v>
      </c>
    </row>
    <row r="1409" spans="2:42">
      <c r="B1409" s="33"/>
      <c r="AA1409" s="11" t="s">
        <v>98</v>
      </c>
      <c r="AB1409" s="11" t="s">
        <v>1259</v>
      </c>
      <c r="AC1409" s="11" t="s">
        <v>10</v>
      </c>
      <c r="AD1409" s="11" t="s">
        <v>110</v>
      </c>
      <c r="AE1409" s="40">
        <v>1</v>
      </c>
      <c r="AJ1409" s="11" t="s">
        <v>138</v>
      </c>
      <c r="AK1409" s="11" t="s">
        <v>1209</v>
      </c>
      <c r="AL1409" s="11" t="s">
        <v>1218</v>
      </c>
      <c r="AM1409" s="11" t="s">
        <v>10</v>
      </c>
      <c r="AN1409" s="11" t="s">
        <v>110</v>
      </c>
      <c r="AO1409" s="1">
        <v>1</v>
      </c>
    </row>
    <row r="1410" spans="2:42">
      <c r="B1410" s="33"/>
      <c r="AA1410" s="11" t="s">
        <v>1212</v>
      </c>
      <c r="AB1410" s="11" t="s">
        <v>1260</v>
      </c>
      <c r="AC1410" s="11" t="s">
        <v>10</v>
      </c>
      <c r="AD1410" s="11" t="s">
        <v>110</v>
      </c>
      <c r="AE1410" s="40">
        <v>1</v>
      </c>
      <c r="AL1410" s="11" t="s">
        <v>1261</v>
      </c>
      <c r="AM1410" s="11" t="s">
        <v>10</v>
      </c>
      <c r="AN1410" s="11" t="s">
        <v>110</v>
      </c>
      <c r="AO1410" s="1">
        <v>1</v>
      </c>
    </row>
    <row r="1411" spans="2:42">
      <c r="B1411" s="33"/>
      <c r="AE1411" s="5"/>
      <c r="AL1411" s="11" t="s">
        <v>1262</v>
      </c>
      <c r="AM1411" s="11" t="s">
        <v>10</v>
      </c>
      <c r="AN1411" s="11" t="s">
        <v>110</v>
      </c>
      <c r="AO1411" s="1">
        <v>1</v>
      </c>
    </row>
    <row r="1412" spans="2:42">
      <c r="B1412" s="33"/>
      <c r="AE1412" s="5"/>
      <c r="AL1412" s="11" t="s">
        <v>1263</v>
      </c>
      <c r="AM1412" s="11" t="s">
        <v>10</v>
      </c>
      <c r="AN1412" s="11" t="s">
        <v>110</v>
      </c>
      <c r="AO1412" s="1">
        <v>1</v>
      </c>
    </row>
    <row r="1413" spans="2:42">
      <c r="B1413" s="33"/>
      <c r="AE1413" s="5"/>
      <c r="AL1413" s="11" t="s">
        <v>1264</v>
      </c>
      <c r="AM1413" s="11" t="s">
        <v>10</v>
      </c>
      <c r="AN1413" s="11" t="s">
        <v>110</v>
      </c>
      <c r="AO1413" s="1">
        <v>1</v>
      </c>
    </row>
    <row r="1414" spans="2:42">
      <c r="B1414" s="33"/>
      <c r="AE1414" s="5"/>
      <c r="AL1414" s="11" t="s">
        <v>580</v>
      </c>
      <c r="AM1414" s="11" t="s">
        <v>10</v>
      </c>
      <c r="AN1414" s="11" t="s">
        <v>110</v>
      </c>
      <c r="AO1414" s="1">
        <v>1</v>
      </c>
    </row>
    <row r="1415" spans="2:42">
      <c r="B1415" s="33"/>
      <c r="AE1415" s="5"/>
      <c r="AL1415" s="11" t="s">
        <v>593</v>
      </c>
      <c r="AM1415" s="11" t="s">
        <v>10</v>
      </c>
      <c r="AN1415" s="11" t="s">
        <v>110</v>
      </c>
      <c r="AO1415" s="1">
        <v>1</v>
      </c>
    </row>
    <row r="1416" spans="2:42">
      <c r="B1416" s="33"/>
      <c r="AE1416" s="5"/>
    </row>
    <row r="1417" spans="2:42">
      <c r="B1417" s="33"/>
      <c r="AE1417" s="5"/>
      <c r="AI1417" s="20" t="s">
        <v>1265</v>
      </c>
      <c r="AJ1417" s="42" t="s">
        <v>1266</v>
      </c>
      <c r="AK1417" s="42"/>
      <c r="AL1417" s="42"/>
      <c r="AM1417" s="11">
        <f>COUNTA(AL1418:AL1420)-COUNTIF(AJ1418:AJ1420,"兼")</f>
        <v>3</v>
      </c>
    </row>
    <row r="1418" spans="2:42">
      <c r="B1418" s="33"/>
      <c r="AE1418" s="5"/>
      <c r="AK1418" s="11" t="s">
        <v>1209</v>
      </c>
      <c r="AL1418" s="11" t="s">
        <v>1267</v>
      </c>
      <c r="AM1418" s="11" t="s">
        <v>10</v>
      </c>
      <c r="AN1418" s="11" t="s">
        <v>110</v>
      </c>
      <c r="AO1418" s="1">
        <v>1</v>
      </c>
    </row>
    <row r="1419" spans="2:42">
      <c r="B1419" s="33"/>
      <c r="AE1419" s="5"/>
      <c r="AL1419" s="11" t="s">
        <v>1268</v>
      </c>
      <c r="AM1419" s="11" t="s">
        <v>10</v>
      </c>
      <c r="AN1419" s="11" t="s">
        <v>110</v>
      </c>
      <c r="AO1419" s="1">
        <v>1</v>
      </c>
    </row>
    <row r="1420" spans="2:42">
      <c r="B1420" s="33"/>
      <c r="AE1420" s="5"/>
      <c r="AL1420" s="11" t="s">
        <v>1269</v>
      </c>
      <c r="AM1420" s="11" t="s">
        <v>10</v>
      </c>
      <c r="AN1420" s="11" t="s">
        <v>110</v>
      </c>
      <c r="AO1420" s="1">
        <v>1</v>
      </c>
    </row>
    <row r="1421" spans="2:42">
      <c r="B1421" s="33"/>
      <c r="X1421" s="16"/>
      <c r="Y1421" s="16"/>
      <c r="Z1421" s="16"/>
      <c r="AA1421" s="16"/>
      <c r="AB1421" s="16"/>
      <c r="AC1421" s="16"/>
      <c r="AD1421" s="16"/>
      <c r="AE1421" s="7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</row>
    <row r="1422" spans="2:42">
      <c r="B1422" s="33"/>
      <c r="AE1422" s="5"/>
    </row>
    <row r="1423" spans="2:42">
      <c r="B1423" s="33"/>
      <c r="X1423" s="11">
        <f>SUM(AC1423,AM1423,AM1434)</f>
        <v>16</v>
      </c>
      <c r="Y1423" s="20" t="s">
        <v>1270</v>
      </c>
      <c r="Z1423" s="42" t="s">
        <v>1271</v>
      </c>
      <c r="AA1423" s="42"/>
      <c r="AB1423" s="42"/>
      <c r="AC1423" s="11">
        <f>COUNTA(AB1424:AB1425)-COUNTIF(Z1424:Z1425,"兼")</f>
        <v>1</v>
      </c>
      <c r="AE1423" s="5"/>
      <c r="AI1423" s="20" t="s">
        <v>1272</v>
      </c>
      <c r="AJ1423" s="42" t="s">
        <v>1273</v>
      </c>
      <c r="AK1423" s="42"/>
      <c r="AL1423" s="42"/>
      <c r="AM1423" s="11">
        <f>COUNTA(AL1424:AL1432)-COUNTIF(AJ1424:AJ1432,"兼")</f>
        <v>9</v>
      </c>
    </row>
    <row r="1424" spans="2:42">
      <c r="B1424" s="33"/>
      <c r="Z1424" s="11" t="s">
        <v>138</v>
      </c>
      <c r="AA1424" s="11" t="s">
        <v>1274</v>
      </c>
      <c r="AB1424" s="11" t="s">
        <v>1216</v>
      </c>
      <c r="AC1424" s="11" t="s">
        <v>10</v>
      </c>
      <c r="AD1424" s="11" t="s">
        <v>110</v>
      </c>
      <c r="AE1424" s="1">
        <v>0</v>
      </c>
      <c r="AK1424" s="11" t="s">
        <v>1209</v>
      </c>
      <c r="AL1424" s="11" t="s">
        <v>1275</v>
      </c>
      <c r="AM1424" s="11" t="s">
        <v>10</v>
      </c>
      <c r="AN1424" s="11" t="s">
        <v>110</v>
      </c>
      <c r="AO1424" s="1">
        <v>1</v>
      </c>
    </row>
    <row r="1425" spans="2:41">
      <c r="B1425" s="33"/>
      <c r="AA1425" s="11" t="s">
        <v>1212</v>
      </c>
      <c r="AB1425" s="11" t="s">
        <v>1276</v>
      </c>
      <c r="AC1425" s="11" t="s">
        <v>10</v>
      </c>
      <c r="AD1425" s="11" t="s">
        <v>110</v>
      </c>
      <c r="AE1425" s="40">
        <v>1</v>
      </c>
      <c r="AL1425" s="11" t="s">
        <v>1277</v>
      </c>
      <c r="AM1425" s="11" t="s">
        <v>10</v>
      </c>
      <c r="AN1425" s="11" t="s">
        <v>110</v>
      </c>
      <c r="AO1425" s="1">
        <v>1</v>
      </c>
    </row>
    <row r="1426" spans="2:41">
      <c r="B1426" s="33"/>
      <c r="AL1426" s="11" t="s">
        <v>1278</v>
      </c>
      <c r="AM1426" s="11" t="s">
        <v>10</v>
      </c>
      <c r="AN1426" s="11" t="s">
        <v>110</v>
      </c>
      <c r="AO1426" s="1">
        <v>1</v>
      </c>
    </row>
    <row r="1427" spans="2:41">
      <c r="B1427" s="33"/>
      <c r="AE1427" s="5"/>
      <c r="AL1427" s="11" t="s">
        <v>1279</v>
      </c>
      <c r="AM1427" s="11" t="s">
        <v>10</v>
      </c>
      <c r="AN1427" s="11" t="s">
        <v>110</v>
      </c>
      <c r="AO1427" s="1">
        <v>1</v>
      </c>
    </row>
    <row r="1428" spans="2:41">
      <c r="B1428" s="33"/>
      <c r="AE1428" s="5"/>
      <c r="AL1428" s="11" t="s">
        <v>1280</v>
      </c>
      <c r="AM1428" s="11" t="s">
        <v>10</v>
      </c>
      <c r="AN1428" s="11" t="s">
        <v>110</v>
      </c>
      <c r="AO1428" s="1">
        <v>1</v>
      </c>
    </row>
    <row r="1429" spans="2:41">
      <c r="B1429" s="33"/>
      <c r="AE1429" s="5"/>
      <c r="AL1429" s="11" t="s">
        <v>1281</v>
      </c>
      <c r="AM1429" s="11" t="s">
        <v>10</v>
      </c>
      <c r="AN1429" s="11" t="s">
        <v>110</v>
      </c>
      <c r="AO1429" s="1">
        <v>1</v>
      </c>
    </row>
    <row r="1430" spans="2:41">
      <c r="B1430" s="33"/>
      <c r="AE1430" s="5"/>
      <c r="AL1430" s="11" t="s">
        <v>1282</v>
      </c>
      <c r="AM1430" s="11" t="s">
        <v>10</v>
      </c>
      <c r="AN1430" s="11" t="s">
        <v>110</v>
      </c>
      <c r="AO1430" s="1">
        <v>1</v>
      </c>
    </row>
    <row r="1431" spans="2:41">
      <c r="B1431" s="33"/>
      <c r="AE1431" s="5"/>
      <c r="AL1431" s="11" t="s">
        <v>587</v>
      </c>
      <c r="AM1431" s="11" t="s">
        <v>10</v>
      </c>
      <c r="AN1431" s="11" t="s">
        <v>110</v>
      </c>
      <c r="AO1431" s="1">
        <v>1</v>
      </c>
    </row>
    <row r="1432" spans="2:41">
      <c r="B1432" s="33"/>
      <c r="AE1432" s="5"/>
      <c r="AL1432" s="11" t="s">
        <v>2192</v>
      </c>
      <c r="AM1432" s="11" t="s">
        <v>10</v>
      </c>
      <c r="AN1432" s="11" t="s">
        <v>110</v>
      </c>
      <c r="AO1432" s="40">
        <v>1</v>
      </c>
    </row>
    <row r="1433" spans="2:41">
      <c r="B1433" s="33"/>
      <c r="AE1433" s="5"/>
    </row>
    <row r="1434" spans="2:41">
      <c r="B1434" s="33"/>
      <c r="AE1434" s="5"/>
      <c r="AI1434" s="20" t="s">
        <v>1283</v>
      </c>
      <c r="AJ1434" s="42" t="s">
        <v>1284</v>
      </c>
      <c r="AK1434" s="42"/>
      <c r="AL1434" s="42"/>
      <c r="AM1434" s="11">
        <f>COUNTA(AL1435:AL1440)-COUNTIF(AJ1435:AJ1440,"兼")</f>
        <v>6</v>
      </c>
    </row>
    <row r="1435" spans="2:41">
      <c r="B1435" s="33"/>
      <c r="AE1435" s="5"/>
      <c r="AK1435" s="11" t="s">
        <v>1209</v>
      </c>
      <c r="AL1435" s="11" t="s">
        <v>1285</v>
      </c>
      <c r="AM1435" s="11" t="s">
        <v>10</v>
      </c>
      <c r="AN1435" s="11" t="s">
        <v>110</v>
      </c>
      <c r="AO1435" s="1">
        <v>1</v>
      </c>
    </row>
    <row r="1436" spans="2:41">
      <c r="B1436" s="33"/>
      <c r="AE1436" s="5"/>
      <c r="AL1436" s="11" t="s">
        <v>1286</v>
      </c>
      <c r="AM1436" s="11" t="s">
        <v>10</v>
      </c>
      <c r="AN1436" s="11" t="s">
        <v>110</v>
      </c>
      <c r="AO1436" s="1">
        <v>1</v>
      </c>
    </row>
    <row r="1437" spans="2:41">
      <c r="B1437" s="33"/>
      <c r="AE1437" s="5"/>
      <c r="AL1437" s="11" t="s">
        <v>1287</v>
      </c>
      <c r="AM1437" s="11" t="s">
        <v>10</v>
      </c>
      <c r="AN1437" s="11" t="s">
        <v>110</v>
      </c>
      <c r="AO1437" s="1">
        <v>1</v>
      </c>
    </row>
    <row r="1438" spans="2:41">
      <c r="B1438" s="33"/>
      <c r="AE1438" s="5"/>
      <c r="AL1438" s="11" t="s">
        <v>1288</v>
      </c>
      <c r="AM1438" s="11" t="s">
        <v>10</v>
      </c>
      <c r="AN1438" s="11" t="s">
        <v>110</v>
      </c>
      <c r="AO1438" s="1">
        <v>1</v>
      </c>
    </row>
    <row r="1439" spans="2:41">
      <c r="B1439" s="33"/>
      <c r="AE1439" s="5"/>
      <c r="AL1439" s="11" t="s">
        <v>1289</v>
      </c>
      <c r="AM1439" s="11" t="s">
        <v>10</v>
      </c>
      <c r="AN1439" s="11" t="s">
        <v>110</v>
      </c>
      <c r="AO1439" s="1">
        <v>1</v>
      </c>
    </row>
    <row r="1440" spans="2:41">
      <c r="B1440" s="33"/>
      <c r="AE1440" s="5"/>
      <c r="AL1440" s="11" t="s">
        <v>577</v>
      </c>
      <c r="AM1440" s="11" t="s">
        <v>10</v>
      </c>
      <c r="AN1440" s="11" t="s">
        <v>110</v>
      </c>
      <c r="AO1440" s="1">
        <v>1</v>
      </c>
    </row>
    <row r="1441" spans="2:42">
      <c r="B1441" s="33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7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</row>
    <row r="1442" spans="2:42">
      <c r="B1442" s="33"/>
      <c r="AE1442" s="5"/>
    </row>
    <row r="1443" spans="2:42">
      <c r="B1443" s="33"/>
      <c r="N1443" s="11">
        <f>SUM(S1443,X1443)</f>
        <v>11</v>
      </c>
      <c r="O1443" s="20" t="s">
        <v>1202</v>
      </c>
      <c r="P1443" s="42" t="s">
        <v>1290</v>
      </c>
      <c r="Q1443" s="42"/>
      <c r="R1443" s="42"/>
      <c r="S1443" s="11">
        <f>COUNTA(R1444:R1445)-COUNTIF(P1444:P1445,"兼")</f>
        <v>0</v>
      </c>
      <c r="X1443" s="11">
        <f>SUM(AC1443,AM1443,AM1451)</f>
        <v>11</v>
      </c>
      <c r="Y1443" s="20" t="s">
        <v>1291</v>
      </c>
      <c r="Z1443" s="42" t="s">
        <v>1292</v>
      </c>
      <c r="AA1443" s="42"/>
      <c r="AB1443" s="42"/>
      <c r="AC1443" s="11">
        <f>COUNTA(AB1444:AB1445)-COUNTIF(Z1444:Z1445,"兼")</f>
        <v>2</v>
      </c>
      <c r="AE1443" s="5"/>
      <c r="AI1443" s="20" t="s">
        <v>1293</v>
      </c>
      <c r="AJ1443" s="42" t="s">
        <v>1294</v>
      </c>
      <c r="AK1443" s="42"/>
      <c r="AL1443" s="42"/>
      <c r="AM1443" s="11">
        <f>COUNTA(AL1444:AL1449)-COUNTIF(AJ1444:AJ1449,"兼")</f>
        <v>5</v>
      </c>
    </row>
    <row r="1444" spans="2:42">
      <c r="B1444" s="33"/>
      <c r="P1444" s="11" t="s">
        <v>57</v>
      </c>
      <c r="Q1444" s="11" t="s">
        <v>674</v>
      </c>
      <c r="R1444" s="11" t="s">
        <v>25</v>
      </c>
      <c r="S1444" s="11" t="s">
        <v>10</v>
      </c>
      <c r="T1444" s="11" t="s">
        <v>14</v>
      </c>
      <c r="U1444" s="1">
        <v>0.4</v>
      </c>
      <c r="AA1444" s="11" t="s">
        <v>98</v>
      </c>
      <c r="AB1444" s="11" t="s">
        <v>1295</v>
      </c>
      <c r="AC1444" s="11" t="s">
        <v>10</v>
      </c>
      <c r="AD1444" s="11" t="s">
        <v>78</v>
      </c>
      <c r="AE1444" s="40">
        <v>1</v>
      </c>
      <c r="AJ1444" s="11" t="s">
        <v>138</v>
      </c>
      <c r="AK1444" s="11" t="s">
        <v>1209</v>
      </c>
      <c r="AL1444" s="11" t="s">
        <v>1296</v>
      </c>
      <c r="AM1444" s="11" t="s">
        <v>10</v>
      </c>
      <c r="AN1444" s="11" t="s">
        <v>78</v>
      </c>
      <c r="AO1444" s="1">
        <v>0</v>
      </c>
    </row>
    <row r="1445" spans="2:42">
      <c r="B1445" s="33"/>
      <c r="P1445" s="11" t="s">
        <v>57</v>
      </c>
      <c r="R1445" s="11" t="s">
        <v>1173</v>
      </c>
      <c r="S1445" s="11" t="s">
        <v>10</v>
      </c>
      <c r="T1445" s="11" t="s">
        <v>110</v>
      </c>
      <c r="U1445" s="1">
        <v>0.1</v>
      </c>
      <c r="AA1445" s="11" t="s">
        <v>1212</v>
      </c>
      <c r="AB1445" s="11" t="s">
        <v>1297</v>
      </c>
      <c r="AC1445" s="11" t="s">
        <v>10</v>
      </c>
      <c r="AD1445" s="11" t="s">
        <v>78</v>
      </c>
      <c r="AE1445" s="40">
        <v>1</v>
      </c>
      <c r="AL1445" s="11" t="s">
        <v>1298</v>
      </c>
      <c r="AM1445" s="11" t="s">
        <v>10</v>
      </c>
      <c r="AN1445" s="11" t="s">
        <v>78</v>
      </c>
      <c r="AO1445" s="1">
        <v>1</v>
      </c>
    </row>
    <row r="1446" spans="2:42">
      <c r="B1446" s="33"/>
      <c r="AE1446" s="5"/>
      <c r="AL1446" s="11" t="s">
        <v>1299</v>
      </c>
      <c r="AM1446" s="11" t="s">
        <v>10</v>
      </c>
      <c r="AN1446" s="11" t="s">
        <v>78</v>
      </c>
      <c r="AO1446" s="1">
        <v>1</v>
      </c>
    </row>
    <row r="1447" spans="2:42">
      <c r="B1447" s="33"/>
      <c r="AE1447" s="5"/>
      <c r="AL1447" s="11" t="s">
        <v>1300</v>
      </c>
      <c r="AM1447" s="11" t="s">
        <v>10</v>
      </c>
      <c r="AN1447" s="11" t="s">
        <v>78</v>
      </c>
      <c r="AO1447" s="1">
        <v>1</v>
      </c>
    </row>
    <row r="1448" spans="2:42">
      <c r="B1448" s="33"/>
      <c r="AE1448" s="5"/>
      <c r="AL1448" s="11" t="s">
        <v>1301</v>
      </c>
      <c r="AM1448" s="11" t="s">
        <v>10</v>
      </c>
      <c r="AN1448" s="11" t="s">
        <v>78</v>
      </c>
      <c r="AO1448" s="1">
        <v>1</v>
      </c>
    </row>
    <row r="1449" spans="2:42">
      <c r="B1449" s="33"/>
      <c r="AE1449" s="5"/>
      <c r="AL1449" s="11" t="s">
        <v>2196</v>
      </c>
      <c r="AM1449" s="11" t="s">
        <v>10</v>
      </c>
      <c r="AN1449" s="11" t="s">
        <v>78</v>
      </c>
      <c r="AO1449" s="1">
        <v>1</v>
      </c>
    </row>
    <row r="1450" spans="2:42">
      <c r="B1450" s="33"/>
      <c r="AE1450" s="5"/>
    </row>
    <row r="1451" spans="2:42">
      <c r="B1451" s="33"/>
      <c r="AE1451" s="5"/>
      <c r="AI1451" s="20" t="s">
        <v>1302</v>
      </c>
      <c r="AJ1451" s="42" t="s">
        <v>1303</v>
      </c>
      <c r="AK1451" s="42"/>
      <c r="AL1451" s="42"/>
      <c r="AM1451" s="11">
        <f>COUNTA(AL1452:AL1456)-COUNTIF(AJ1452:AJ1456,"兼")</f>
        <v>4</v>
      </c>
    </row>
    <row r="1452" spans="2:42">
      <c r="B1452" s="33"/>
      <c r="AE1452" s="5"/>
      <c r="AJ1452" s="11" t="s">
        <v>138</v>
      </c>
      <c r="AK1452" s="11" t="s">
        <v>1209</v>
      </c>
      <c r="AL1452" s="11" t="s">
        <v>1295</v>
      </c>
      <c r="AM1452" s="11" t="s">
        <v>10</v>
      </c>
      <c r="AN1452" s="11" t="s">
        <v>78</v>
      </c>
      <c r="AO1452" s="1">
        <v>0</v>
      </c>
    </row>
    <row r="1453" spans="2:42">
      <c r="B1453" s="33"/>
      <c r="AE1453" s="5"/>
      <c r="AL1453" s="11" t="s">
        <v>1304</v>
      </c>
      <c r="AM1453" s="11" t="s">
        <v>10</v>
      </c>
      <c r="AN1453" s="11" t="s">
        <v>78</v>
      </c>
      <c r="AO1453" s="1">
        <v>1</v>
      </c>
    </row>
    <row r="1454" spans="2:42">
      <c r="B1454" s="33"/>
      <c r="AE1454" s="5"/>
      <c r="AL1454" s="11" t="s">
        <v>1305</v>
      </c>
      <c r="AM1454" s="11" t="s">
        <v>10</v>
      </c>
      <c r="AN1454" s="11" t="s">
        <v>78</v>
      </c>
      <c r="AO1454" s="1">
        <v>1</v>
      </c>
    </row>
    <row r="1455" spans="2:42">
      <c r="B1455" s="33"/>
      <c r="AE1455" s="5"/>
      <c r="AL1455" s="11" t="s">
        <v>1306</v>
      </c>
      <c r="AM1455" s="11" t="s">
        <v>10</v>
      </c>
      <c r="AN1455" s="11" t="s">
        <v>78</v>
      </c>
      <c r="AO1455" s="1">
        <v>1</v>
      </c>
    </row>
    <row r="1456" spans="2:42">
      <c r="B1456" s="33"/>
      <c r="AE1456" s="5"/>
      <c r="AL1456" s="11" t="s">
        <v>1307</v>
      </c>
      <c r="AM1456" s="11" t="s">
        <v>10</v>
      </c>
      <c r="AN1456" s="11" t="s">
        <v>78</v>
      </c>
      <c r="AO1456" s="1">
        <v>1</v>
      </c>
    </row>
    <row r="1457" spans="2:42">
      <c r="B1457" s="33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7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</row>
    <row r="1458" spans="2:42">
      <c r="B1458" s="33"/>
      <c r="AE1458" s="5"/>
    </row>
    <row r="1459" spans="2:42">
      <c r="B1459" s="33"/>
      <c r="N1459" s="11">
        <f>SUM(S1459,X1459,X1467,X1476,X1489,X1506,X1523,X1533,X1543,X1568,X1595,X1620)</f>
        <v>143</v>
      </c>
      <c r="O1459" s="20" t="s">
        <v>1308</v>
      </c>
      <c r="P1459" s="42" t="s">
        <v>1309</v>
      </c>
      <c r="Q1459" s="42"/>
      <c r="R1459" s="42"/>
      <c r="S1459" s="11">
        <f>COUNTA(R1460:R1463)-COUNTIF(P1460:P1463,"兼")</f>
        <v>4</v>
      </c>
      <c r="X1459" s="11">
        <f>SUM(AC1459,AM1459)</f>
        <v>5</v>
      </c>
      <c r="Y1459" s="20" t="s">
        <v>1310</v>
      </c>
      <c r="Z1459" s="42" t="s">
        <v>1311</v>
      </c>
      <c r="AA1459" s="42"/>
      <c r="AB1459" s="42"/>
      <c r="AC1459" s="11">
        <f>COUNTA(AB1460:AB1461)-COUNTIF(Z1460:Z1461,"兼")</f>
        <v>1</v>
      </c>
      <c r="AE1459" s="5"/>
      <c r="AI1459" s="20" t="s">
        <v>1321</v>
      </c>
      <c r="AJ1459" s="42" t="s">
        <v>2246</v>
      </c>
      <c r="AK1459" s="42"/>
      <c r="AL1459" s="42"/>
      <c r="AM1459" s="11">
        <f>COUNTA(AL1460:AL1464)-COUNTIF(AJ1460:AJ1464,"兼")</f>
        <v>4</v>
      </c>
    </row>
    <row r="1460" spans="2:42">
      <c r="B1460" s="33"/>
      <c r="Q1460" s="11" t="s">
        <v>674</v>
      </c>
      <c r="R1460" s="11" t="s">
        <v>29</v>
      </c>
      <c r="S1460" s="11" t="s">
        <v>10</v>
      </c>
      <c r="T1460" s="11" t="s">
        <v>14</v>
      </c>
      <c r="U1460" s="1">
        <v>0.6</v>
      </c>
      <c r="Z1460" s="11" t="s">
        <v>57</v>
      </c>
      <c r="AA1460" s="11" t="s">
        <v>98</v>
      </c>
      <c r="AB1460" s="11" t="s">
        <v>1312</v>
      </c>
      <c r="AC1460" s="11" t="s">
        <v>10</v>
      </c>
      <c r="AD1460" s="11" t="s">
        <v>78</v>
      </c>
      <c r="AE1460" s="40">
        <v>0.2</v>
      </c>
      <c r="AK1460" s="11" t="s">
        <v>1209</v>
      </c>
      <c r="AL1460" s="11" t="s">
        <v>1322</v>
      </c>
      <c r="AM1460" s="11" t="s">
        <v>10</v>
      </c>
      <c r="AN1460" s="11" t="s">
        <v>78</v>
      </c>
      <c r="AO1460" s="1">
        <v>1</v>
      </c>
    </row>
    <row r="1461" spans="2:42">
      <c r="B1461" s="33"/>
      <c r="Q1461" s="11" t="s">
        <v>677</v>
      </c>
      <c r="R1461" s="11" t="s">
        <v>1312</v>
      </c>
      <c r="S1461" s="11" t="s">
        <v>10</v>
      </c>
      <c r="T1461" s="11" t="s">
        <v>78</v>
      </c>
      <c r="U1461" s="1">
        <v>0.4</v>
      </c>
      <c r="AB1461" s="11" t="s">
        <v>1314</v>
      </c>
      <c r="AC1461" s="11" t="s">
        <v>150</v>
      </c>
      <c r="AD1461" s="11" t="s">
        <v>78</v>
      </c>
      <c r="AE1461" s="40">
        <v>1</v>
      </c>
      <c r="AL1461" s="11" t="s">
        <v>1323</v>
      </c>
      <c r="AM1461" s="11" t="s">
        <v>10</v>
      </c>
      <c r="AN1461" s="11" t="s">
        <v>78</v>
      </c>
      <c r="AO1461" s="1">
        <v>1</v>
      </c>
    </row>
    <row r="1462" spans="2:42">
      <c r="B1462" s="33"/>
      <c r="Q1462" s="11" t="s">
        <v>677</v>
      </c>
      <c r="R1462" s="11" t="s">
        <v>1316</v>
      </c>
      <c r="S1462" s="11" t="s">
        <v>10</v>
      </c>
      <c r="T1462" s="11" t="s">
        <v>78</v>
      </c>
      <c r="U1462" s="1">
        <v>0.4</v>
      </c>
      <c r="AE1462" s="11"/>
      <c r="AL1462" s="11" t="s">
        <v>1324</v>
      </c>
      <c r="AM1462" s="11" t="s">
        <v>10</v>
      </c>
      <c r="AN1462" s="11" t="s">
        <v>78</v>
      </c>
      <c r="AO1462" s="1">
        <v>1</v>
      </c>
    </row>
    <row r="1463" spans="2:42">
      <c r="B1463" s="33"/>
      <c r="R1463" s="11" t="s">
        <v>1320</v>
      </c>
      <c r="S1463" s="11" t="s">
        <v>10</v>
      </c>
      <c r="T1463" s="11" t="s">
        <v>78</v>
      </c>
      <c r="U1463" s="1">
        <v>1</v>
      </c>
      <c r="AE1463" s="5"/>
      <c r="AJ1463" s="11" t="s">
        <v>1325</v>
      </c>
      <c r="AL1463" s="11" t="s">
        <v>137</v>
      </c>
      <c r="AM1463" s="11" t="s">
        <v>10</v>
      </c>
      <c r="AN1463" s="11" t="s">
        <v>78</v>
      </c>
      <c r="AO1463" s="1">
        <v>0.5</v>
      </c>
    </row>
    <row r="1464" spans="2:42">
      <c r="B1464" s="33"/>
      <c r="U1464" s="1"/>
      <c r="AE1464" s="5"/>
      <c r="AL1464" s="11" t="s">
        <v>1326</v>
      </c>
      <c r="AM1464" s="11" t="s">
        <v>471</v>
      </c>
      <c r="AN1464" s="11" t="s">
        <v>78</v>
      </c>
      <c r="AO1464" s="1">
        <v>1</v>
      </c>
    </row>
    <row r="1465" spans="2:42">
      <c r="B1465" s="33"/>
      <c r="X1465" s="16"/>
      <c r="Y1465" s="16"/>
      <c r="Z1465" s="16"/>
      <c r="AA1465" s="16"/>
      <c r="AB1465" s="16"/>
      <c r="AC1465" s="16"/>
      <c r="AD1465" s="16"/>
      <c r="AE1465" s="7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</row>
    <row r="1466" spans="2:42">
      <c r="B1466" s="33"/>
      <c r="AE1466" s="5"/>
    </row>
    <row r="1467" spans="2:42">
      <c r="B1467" s="33"/>
      <c r="X1467" s="11">
        <f>SUM(AC1467,AM1467)</f>
        <v>7</v>
      </c>
      <c r="Y1467" s="20" t="s">
        <v>1328</v>
      </c>
      <c r="Z1467" s="42" t="s">
        <v>1329</v>
      </c>
      <c r="AA1467" s="42"/>
      <c r="AB1467" s="42"/>
      <c r="AC1467" s="11">
        <f>COUNTA(AB1468)-COUNTIF(Z1468,"兼")</f>
        <v>1</v>
      </c>
      <c r="AE1467" s="5"/>
      <c r="AI1467" s="20" t="s">
        <v>1330</v>
      </c>
      <c r="AJ1467" s="42" t="s">
        <v>789</v>
      </c>
      <c r="AK1467" s="42"/>
      <c r="AL1467" s="42"/>
      <c r="AM1467" s="11">
        <f>COUNTA(AL1468:AL1473)-COUNTIF(AJ1468:AJ1473,"兼")</f>
        <v>6</v>
      </c>
    </row>
    <row r="1468" spans="2:42">
      <c r="B1468" s="33"/>
      <c r="AA1468" s="11" t="s">
        <v>98</v>
      </c>
      <c r="AB1468" s="11" t="s">
        <v>1331</v>
      </c>
      <c r="AC1468" s="11" t="s">
        <v>10</v>
      </c>
      <c r="AD1468" s="11" t="s">
        <v>78</v>
      </c>
      <c r="AE1468" s="40">
        <v>1</v>
      </c>
      <c r="AK1468" s="11" t="s">
        <v>1209</v>
      </c>
      <c r="AL1468" s="11" t="s">
        <v>1332</v>
      </c>
      <c r="AM1468" s="11" t="s">
        <v>10</v>
      </c>
      <c r="AN1468" s="11" t="s">
        <v>78</v>
      </c>
      <c r="AO1468" s="1">
        <v>1</v>
      </c>
    </row>
    <row r="1469" spans="2:42">
      <c r="B1469" s="33"/>
      <c r="AE1469" s="5"/>
      <c r="AL1469" s="11" t="s">
        <v>1333</v>
      </c>
      <c r="AM1469" s="11" t="s">
        <v>10</v>
      </c>
      <c r="AN1469" s="11" t="s">
        <v>78</v>
      </c>
      <c r="AO1469" s="1">
        <v>1</v>
      </c>
    </row>
    <row r="1470" spans="2:42">
      <c r="B1470" s="33"/>
      <c r="AE1470" s="5"/>
      <c r="AL1470" s="11" t="s">
        <v>1334</v>
      </c>
      <c r="AM1470" s="11" t="s">
        <v>10</v>
      </c>
      <c r="AN1470" s="11" t="s">
        <v>78</v>
      </c>
      <c r="AO1470" s="1">
        <v>1</v>
      </c>
    </row>
    <row r="1471" spans="2:42">
      <c r="B1471" s="33"/>
      <c r="AE1471" s="5"/>
      <c r="AL1471" s="11" t="s">
        <v>1335</v>
      </c>
      <c r="AM1471" s="11" t="s">
        <v>10</v>
      </c>
      <c r="AN1471" s="11" t="s">
        <v>78</v>
      </c>
      <c r="AO1471" s="1">
        <v>1</v>
      </c>
    </row>
    <row r="1472" spans="2:42">
      <c r="B1472" s="33"/>
      <c r="AE1472" s="5"/>
      <c r="AL1472" s="11" t="s">
        <v>1336</v>
      </c>
      <c r="AM1472" s="11" t="s">
        <v>10</v>
      </c>
      <c r="AN1472" s="11" t="s">
        <v>78</v>
      </c>
      <c r="AO1472" s="1">
        <v>1</v>
      </c>
    </row>
    <row r="1473" spans="2:42">
      <c r="B1473" s="33"/>
      <c r="AE1473" s="5"/>
      <c r="AL1473" s="11" t="s">
        <v>1337</v>
      </c>
      <c r="AM1473" s="11" t="s">
        <v>10</v>
      </c>
      <c r="AN1473" s="11" t="s">
        <v>78</v>
      </c>
      <c r="AO1473" s="1">
        <v>1</v>
      </c>
    </row>
    <row r="1474" spans="2:42">
      <c r="B1474" s="33"/>
      <c r="X1474" s="16"/>
      <c r="Y1474" s="16"/>
      <c r="Z1474" s="16"/>
      <c r="AA1474" s="16"/>
      <c r="AB1474" s="16"/>
      <c r="AC1474" s="16"/>
      <c r="AD1474" s="16"/>
      <c r="AE1474" s="7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</row>
    <row r="1475" spans="2:42">
      <c r="B1475" s="33"/>
      <c r="AE1475" s="5"/>
    </row>
    <row r="1476" spans="2:42">
      <c r="B1476" s="33"/>
      <c r="X1476" s="11">
        <f>SUM(AC1476,AM1476)</f>
        <v>11</v>
      </c>
      <c r="Y1476" s="20" t="s">
        <v>1338</v>
      </c>
      <c r="Z1476" s="42" t="s">
        <v>1339</v>
      </c>
      <c r="AA1476" s="42"/>
      <c r="AB1476" s="42"/>
      <c r="AC1476" s="11">
        <f>COUNTA(AB1477)-COUNTIF(Z1477,"兼")</f>
        <v>1</v>
      </c>
      <c r="AE1476" s="5"/>
      <c r="AI1476" s="20" t="s">
        <v>1340</v>
      </c>
      <c r="AJ1476" s="42" t="s">
        <v>789</v>
      </c>
      <c r="AK1476" s="42"/>
      <c r="AL1476" s="42"/>
      <c r="AM1476" s="11">
        <f>COUNTA(AL1477:AL1486)-COUNTIF(AJ1477:AJ1486,"兼")</f>
        <v>10</v>
      </c>
    </row>
    <row r="1477" spans="2:42">
      <c r="B1477" s="33"/>
      <c r="AA1477" s="11" t="s">
        <v>98</v>
      </c>
      <c r="AB1477" s="11" t="s">
        <v>1341</v>
      </c>
      <c r="AC1477" s="11" t="s">
        <v>10</v>
      </c>
      <c r="AD1477" s="11" t="s">
        <v>78</v>
      </c>
      <c r="AE1477" s="40">
        <v>1</v>
      </c>
      <c r="AK1477" s="11" t="s">
        <v>1209</v>
      </c>
      <c r="AL1477" s="11" t="s">
        <v>1342</v>
      </c>
      <c r="AM1477" s="11" t="s">
        <v>10</v>
      </c>
      <c r="AN1477" s="11" t="s">
        <v>78</v>
      </c>
      <c r="AO1477" s="1">
        <v>1</v>
      </c>
    </row>
    <row r="1478" spans="2:42">
      <c r="B1478" s="33"/>
      <c r="AE1478" s="5"/>
      <c r="AL1478" s="11" t="s">
        <v>1343</v>
      </c>
      <c r="AM1478" s="11" t="s">
        <v>10</v>
      </c>
      <c r="AN1478" s="11" t="s">
        <v>78</v>
      </c>
      <c r="AO1478" s="1">
        <v>1</v>
      </c>
    </row>
    <row r="1479" spans="2:42">
      <c r="B1479" s="33"/>
      <c r="AE1479" s="5"/>
      <c r="AL1479" s="11" t="s">
        <v>1344</v>
      </c>
      <c r="AM1479" s="11" t="s">
        <v>10</v>
      </c>
      <c r="AN1479" s="11" t="s">
        <v>78</v>
      </c>
      <c r="AO1479" s="1">
        <v>1</v>
      </c>
    </row>
    <row r="1480" spans="2:42">
      <c r="B1480" s="33"/>
      <c r="AE1480" s="5"/>
      <c r="AL1480" s="11" t="s">
        <v>1345</v>
      </c>
      <c r="AM1480" s="11" t="s">
        <v>10</v>
      </c>
      <c r="AN1480" s="11" t="s">
        <v>78</v>
      </c>
      <c r="AO1480" s="1">
        <v>1</v>
      </c>
    </row>
    <row r="1481" spans="2:42">
      <c r="B1481" s="33"/>
      <c r="AE1481" s="5"/>
      <c r="AL1481" s="11" t="s">
        <v>1346</v>
      </c>
      <c r="AM1481" s="11" t="s">
        <v>10</v>
      </c>
      <c r="AN1481" s="11" t="s">
        <v>78</v>
      </c>
      <c r="AO1481" s="1">
        <v>1</v>
      </c>
    </row>
    <row r="1482" spans="2:42">
      <c r="B1482" s="33"/>
      <c r="AE1482" s="5"/>
      <c r="AL1482" s="11" t="s">
        <v>1347</v>
      </c>
      <c r="AM1482" s="11" t="s">
        <v>10</v>
      </c>
      <c r="AN1482" s="11" t="s">
        <v>78</v>
      </c>
      <c r="AO1482" s="1">
        <v>1</v>
      </c>
    </row>
    <row r="1483" spans="2:42">
      <c r="B1483" s="33"/>
      <c r="AE1483" s="5"/>
      <c r="AL1483" s="11" t="s">
        <v>1348</v>
      </c>
      <c r="AM1483" s="11" t="s">
        <v>10</v>
      </c>
      <c r="AN1483" s="11" t="s">
        <v>78</v>
      </c>
      <c r="AO1483" s="1">
        <v>1</v>
      </c>
    </row>
    <row r="1484" spans="2:42">
      <c r="B1484" s="33"/>
      <c r="AE1484" s="5"/>
      <c r="AL1484" s="11" t="s">
        <v>1349</v>
      </c>
      <c r="AM1484" s="11" t="s">
        <v>10</v>
      </c>
      <c r="AN1484" s="11" t="s">
        <v>78</v>
      </c>
      <c r="AO1484" s="1">
        <v>1</v>
      </c>
    </row>
    <row r="1485" spans="2:42">
      <c r="B1485" s="33"/>
      <c r="AE1485" s="5"/>
      <c r="AL1485" s="11" t="s">
        <v>522</v>
      </c>
      <c r="AM1485" s="11" t="s">
        <v>10</v>
      </c>
      <c r="AN1485" s="11" t="s">
        <v>78</v>
      </c>
      <c r="AO1485" s="1">
        <v>1</v>
      </c>
    </row>
    <row r="1486" spans="2:42">
      <c r="B1486" s="33"/>
      <c r="AE1486" s="5"/>
      <c r="AL1486" s="11" t="s">
        <v>533</v>
      </c>
      <c r="AM1486" s="11" t="s">
        <v>10</v>
      </c>
      <c r="AN1486" s="11" t="s">
        <v>78</v>
      </c>
      <c r="AO1486" s="1">
        <v>1</v>
      </c>
    </row>
    <row r="1487" spans="2:42">
      <c r="B1487" s="33"/>
      <c r="X1487" s="16"/>
      <c r="Y1487" s="16"/>
      <c r="Z1487" s="16"/>
      <c r="AA1487" s="16"/>
      <c r="AB1487" s="16"/>
      <c r="AC1487" s="16"/>
      <c r="AD1487" s="16"/>
      <c r="AE1487" s="7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</row>
    <row r="1488" spans="2:42">
      <c r="B1488" s="33"/>
      <c r="AE1488" s="5"/>
    </row>
    <row r="1489" spans="2:42">
      <c r="B1489" s="33"/>
      <c r="X1489" s="11">
        <f>SUM(AC1489,AM1489)</f>
        <v>15</v>
      </c>
      <c r="Y1489" s="20" t="s">
        <v>1350</v>
      </c>
      <c r="Z1489" s="42" t="s">
        <v>1351</v>
      </c>
      <c r="AA1489" s="42"/>
      <c r="AB1489" s="42"/>
      <c r="AC1489" s="11">
        <f>COUNTA(AB1490:AB1490)-COUNTIF(Z1490:Z1490,"兼")</f>
        <v>1</v>
      </c>
      <c r="AE1489" s="5"/>
      <c r="AI1489" s="20" t="s">
        <v>1352</v>
      </c>
      <c r="AJ1489" s="42" t="s">
        <v>789</v>
      </c>
      <c r="AK1489" s="42"/>
      <c r="AL1489" s="42"/>
      <c r="AM1489" s="11">
        <f>COUNTA(AL1490:AL1503)-COUNTIF(AJ1490:AJ1503,"兼")</f>
        <v>14</v>
      </c>
    </row>
    <row r="1490" spans="2:42">
      <c r="B1490" s="33"/>
      <c r="AA1490" s="11" t="s">
        <v>98</v>
      </c>
      <c r="AB1490" s="11" t="s">
        <v>1353</v>
      </c>
      <c r="AC1490" s="11" t="s">
        <v>10</v>
      </c>
      <c r="AD1490" s="11" t="s">
        <v>78</v>
      </c>
      <c r="AE1490" s="40">
        <v>0.6</v>
      </c>
      <c r="AK1490" s="11" t="s">
        <v>2214</v>
      </c>
      <c r="AL1490" s="11" t="s">
        <v>1313</v>
      </c>
      <c r="AM1490" s="11" t="s">
        <v>10</v>
      </c>
      <c r="AN1490" s="11" t="s">
        <v>78</v>
      </c>
      <c r="AO1490" s="1">
        <v>0.6</v>
      </c>
    </row>
    <row r="1491" spans="2:42">
      <c r="B1491" s="33"/>
      <c r="AL1491" s="11" t="s">
        <v>1354</v>
      </c>
      <c r="AM1491" s="11" t="s">
        <v>10</v>
      </c>
      <c r="AN1491" s="11" t="s">
        <v>78</v>
      </c>
      <c r="AO1491" s="1">
        <v>1</v>
      </c>
    </row>
    <row r="1492" spans="2:42">
      <c r="B1492" s="33"/>
      <c r="AL1492" s="11" t="s">
        <v>1355</v>
      </c>
      <c r="AM1492" s="11" t="s">
        <v>10</v>
      </c>
      <c r="AN1492" s="11" t="s">
        <v>78</v>
      </c>
      <c r="AO1492" s="1">
        <v>1</v>
      </c>
    </row>
    <row r="1493" spans="2:42">
      <c r="B1493" s="33"/>
      <c r="AL1493" s="11" t="s">
        <v>1356</v>
      </c>
      <c r="AM1493" s="11" t="s">
        <v>10</v>
      </c>
      <c r="AN1493" s="11" t="s">
        <v>78</v>
      </c>
      <c r="AO1493" s="1">
        <v>1</v>
      </c>
    </row>
    <row r="1494" spans="2:42">
      <c r="B1494" s="33"/>
      <c r="AE1494" s="5"/>
      <c r="AL1494" s="11" t="s">
        <v>1168</v>
      </c>
      <c r="AM1494" s="11" t="s">
        <v>10</v>
      </c>
      <c r="AN1494" s="11" t="s">
        <v>78</v>
      </c>
      <c r="AO1494" s="40">
        <v>0.6</v>
      </c>
    </row>
    <row r="1495" spans="2:42">
      <c r="B1495" s="33"/>
      <c r="AE1495" s="5"/>
      <c r="AL1495" s="11" t="s">
        <v>1357</v>
      </c>
      <c r="AM1495" s="11" t="s">
        <v>10</v>
      </c>
      <c r="AN1495" s="11" t="s">
        <v>78</v>
      </c>
      <c r="AO1495" s="1">
        <v>1</v>
      </c>
    </row>
    <row r="1496" spans="2:42">
      <c r="B1496" s="33"/>
      <c r="AE1496" s="5"/>
      <c r="AL1496" s="11" t="s">
        <v>1358</v>
      </c>
      <c r="AM1496" s="11" t="s">
        <v>10</v>
      </c>
      <c r="AN1496" s="11" t="s">
        <v>78</v>
      </c>
      <c r="AO1496" s="1">
        <v>1</v>
      </c>
    </row>
    <row r="1497" spans="2:42">
      <c r="B1497" s="33"/>
      <c r="AE1497" s="5"/>
      <c r="AL1497" s="11" t="s">
        <v>1359</v>
      </c>
      <c r="AM1497" s="11" t="s">
        <v>109</v>
      </c>
      <c r="AN1497" s="11" t="s">
        <v>124</v>
      </c>
      <c r="AO1497" s="1">
        <v>1</v>
      </c>
    </row>
    <row r="1498" spans="2:42">
      <c r="B1498" s="33"/>
      <c r="AE1498" s="5"/>
      <c r="AL1498" s="11" t="s">
        <v>1360</v>
      </c>
      <c r="AM1498" s="11" t="s">
        <v>10</v>
      </c>
      <c r="AN1498" s="11" t="s">
        <v>78</v>
      </c>
      <c r="AO1498" s="1">
        <v>1</v>
      </c>
    </row>
    <row r="1499" spans="2:42">
      <c r="B1499" s="33"/>
      <c r="AE1499" s="5"/>
      <c r="AL1499" s="11" t="s">
        <v>2199</v>
      </c>
      <c r="AM1499" s="11" t="s">
        <v>10</v>
      </c>
      <c r="AN1499" s="11" t="s">
        <v>78</v>
      </c>
      <c r="AO1499" s="40">
        <v>1</v>
      </c>
    </row>
    <row r="1500" spans="2:42">
      <c r="B1500" s="33"/>
      <c r="AE1500" s="5"/>
      <c r="AL1500" s="11" t="s">
        <v>2237</v>
      </c>
      <c r="AM1500" s="11" t="s">
        <v>10</v>
      </c>
      <c r="AN1500" s="11" t="s">
        <v>78</v>
      </c>
      <c r="AO1500" s="40">
        <v>1</v>
      </c>
    </row>
    <row r="1501" spans="2:42">
      <c r="B1501" s="33"/>
      <c r="AE1501" s="5"/>
      <c r="AL1501" s="11" t="s">
        <v>1319</v>
      </c>
      <c r="AM1501" s="11" t="s">
        <v>10</v>
      </c>
      <c r="AN1501" s="11" t="s">
        <v>78</v>
      </c>
      <c r="AO1501" s="1">
        <v>1</v>
      </c>
    </row>
    <row r="1502" spans="2:42">
      <c r="B1502" s="33"/>
      <c r="AE1502" s="5"/>
      <c r="AL1502" s="11" t="s">
        <v>1327</v>
      </c>
      <c r="AM1502" s="11" t="s">
        <v>10</v>
      </c>
      <c r="AN1502" s="11" t="s">
        <v>78</v>
      </c>
      <c r="AO1502" s="1">
        <v>1</v>
      </c>
    </row>
    <row r="1503" spans="2:42">
      <c r="B1503" s="33"/>
      <c r="AE1503" s="5"/>
      <c r="AL1503" s="11" t="s">
        <v>1175</v>
      </c>
      <c r="AM1503" s="11" t="s">
        <v>10</v>
      </c>
      <c r="AN1503" s="11" t="s">
        <v>110</v>
      </c>
      <c r="AO1503" s="1">
        <v>0.6</v>
      </c>
    </row>
    <row r="1504" spans="2:42">
      <c r="B1504" s="33"/>
      <c r="X1504" s="16"/>
      <c r="Y1504" s="16"/>
      <c r="Z1504" s="16"/>
      <c r="AA1504" s="16"/>
      <c r="AB1504" s="16"/>
      <c r="AC1504" s="16"/>
      <c r="AD1504" s="16"/>
      <c r="AE1504" s="7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</row>
    <row r="1505" spans="2:41">
      <c r="B1505" s="33"/>
      <c r="AE1505" s="5"/>
    </row>
    <row r="1506" spans="2:41">
      <c r="B1506" s="33"/>
      <c r="X1506" s="11">
        <f>SUM(AC1506,AM1506,AM1511)</f>
        <v>17</v>
      </c>
      <c r="Y1506" s="20" t="s">
        <v>1361</v>
      </c>
      <c r="Z1506" s="42" t="s">
        <v>1362</v>
      </c>
      <c r="AA1506" s="42"/>
      <c r="AB1506" s="42"/>
      <c r="AC1506" s="11">
        <f>COUNTA(AB1507:AB1511)-COUNTIF(Z1507:Z1511,"兼")</f>
        <v>5</v>
      </c>
      <c r="AE1506" s="5"/>
      <c r="AI1506" s="20" t="s">
        <v>1363</v>
      </c>
      <c r="AJ1506" s="42" t="s">
        <v>1364</v>
      </c>
      <c r="AK1506" s="42"/>
      <c r="AL1506" s="42"/>
      <c r="AM1506" s="11">
        <f>COUNTA(AL1507:AL1509)-COUNTIF(AJ1507:AJ1509,"兼")</f>
        <v>3</v>
      </c>
    </row>
    <row r="1507" spans="2:41">
      <c r="B1507" s="33"/>
      <c r="AA1507" s="11" t="s">
        <v>98</v>
      </c>
      <c r="AB1507" s="11" t="s">
        <v>1365</v>
      </c>
      <c r="AC1507" s="11" t="s">
        <v>10</v>
      </c>
      <c r="AD1507" s="11" t="s">
        <v>78</v>
      </c>
      <c r="AE1507" s="40">
        <v>1</v>
      </c>
      <c r="AK1507" s="11" t="s">
        <v>1209</v>
      </c>
      <c r="AL1507" s="11" t="s">
        <v>1366</v>
      </c>
      <c r="AM1507" s="11" t="s">
        <v>10</v>
      </c>
      <c r="AN1507" s="11" t="s">
        <v>78</v>
      </c>
      <c r="AO1507" s="1">
        <v>1</v>
      </c>
    </row>
    <row r="1508" spans="2:41">
      <c r="B1508" s="33"/>
      <c r="AA1508" s="11" t="s">
        <v>186</v>
      </c>
      <c r="AB1508" s="11" t="s">
        <v>1367</v>
      </c>
      <c r="AC1508" s="11" t="s">
        <v>10</v>
      </c>
      <c r="AD1508" s="11" t="s">
        <v>78</v>
      </c>
      <c r="AE1508" s="40">
        <v>1</v>
      </c>
      <c r="AL1508" s="11" t="s">
        <v>1370</v>
      </c>
      <c r="AM1508" s="11" t="s">
        <v>10</v>
      </c>
      <c r="AN1508" s="11" t="s">
        <v>78</v>
      </c>
      <c r="AO1508" s="1">
        <v>1</v>
      </c>
    </row>
    <row r="1509" spans="2:41">
      <c r="B1509" s="33"/>
      <c r="AB1509" s="11" t="s">
        <v>1369</v>
      </c>
      <c r="AC1509" s="11" t="s">
        <v>10</v>
      </c>
      <c r="AD1509" s="11" t="s">
        <v>78</v>
      </c>
      <c r="AE1509" s="40">
        <v>1</v>
      </c>
      <c r="AL1509" s="11" t="s">
        <v>1432</v>
      </c>
      <c r="AM1509" s="11" t="s">
        <v>10</v>
      </c>
      <c r="AN1509" s="11" t="s">
        <v>78</v>
      </c>
      <c r="AO1509" s="40">
        <v>1</v>
      </c>
    </row>
    <row r="1510" spans="2:41">
      <c r="B1510" s="33"/>
      <c r="AB1510" s="11" t="s">
        <v>1371</v>
      </c>
      <c r="AC1510" s="11" t="s">
        <v>10</v>
      </c>
      <c r="AD1510" s="11" t="s">
        <v>78</v>
      </c>
      <c r="AE1510" s="40">
        <v>1</v>
      </c>
    </row>
    <row r="1511" spans="2:41">
      <c r="B1511" s="33"/>
      <c r="AB1511" s="11" t="s">
        <v>1372</v>
      </c>
      <c r="AC1511" s="11" t="s">
        <v>10</v>
      </c>
      <c r="AD1511" s="11" t="s">
        <v>78</v>
      </c>
      <c r="AE1511" s="40">
        <v>1</v>
      </c>
      <c r="AI1511" s="20" t="s">
        <v>1373</v>
      </c>
      <c r="AJ1511" s="42" t="s">
        <v>1058</v>
      </c>
      <c r="AK1511" s="42"/>
      <c r="AL1511" s="42"/>
      <c r="AM1511" s="11">
        <f>COUNTA(AL1512:AL1520)-COUNTIF(AJ1512:AJ1520,"兼")</f>
        <v>9</v>
      </c>
    </row>
    <row r="1512" spans="2:41">
      <c r="B1512" s="33"/>
      <c r="AE1512" s="5"/>
      <c r="AK1512" s="11" t="s">
        <v>1209</v>
      </c>
      <c r="AL1512" s="11" t="s">
        <v>1374</v>
      </c>
      <c r="AM1512" s="11" t="s">
        <v>10</v>
      </c>
      <c r="AN1512" s="11" t="s">
        <v>78</v>
      </c>
      <c r="AO1512" s="1">
        <v>1</v>
      </c>
    </row>
    <row r="1513" spans="2:41">
      <c r="B1513" s="33"/>
      <c r="AE1513" s="5"/>
      <c r="AL1513" s="11" t="s">
        <v>1375</v>
      </c>
      <c r="AM1513" s="11" t="s">
        <v>10</v>
      </c>
      <c r="AN1513" s="11" t="s">
        <v>78</v>
      </c>
      <c r="AO1513" s="1">
        <v>1</v>
      </c>
    </row>
    <row r="1514" spans="2:41">
      <c r="B1514" s="33"/>
      <c r="AE1514" s="5"/>
      <c r="AL1514" s="11" t="s">
        <v>1376</v>
      </c>
      <c r="AM1514" s="11" t="s">
        <v>10</v>
      </c>
      <c r="AN1514" s="11" t="s">
        <v>78</v>
      </c>
      <c r="AO1514" s="1">
        <v>1</v>
      </c>
    </row>
    <row r="1515" spans="2:41">
      <c r="B1515" s="33"/>
      <c r="AE1515" s="5"/>
      <c r="AL1515" s="11" t="s">
        <v>1377</v>
      </c>
      <c r="AM1515" s="11" t="s">
        <v>10</v>
      </c>
      <c r="AN1515" s="11" t="s">
        <v>78</v>
      </c>
      <c r="AO1515" s="1">
        <v>1</v>
      </c>
    </row>
    <row r="1516" spans="2:41">
      <c r="B1516" s="33"/>
      <c r="AE1516" s="5"/>
      <c r="AL1516" s="11" t="s">
        <v>1378</v>
      </c>
      <c r="AM1516" s="11" t="s">
        <v>10</v>
      </c>
      <c r="AN1516" s="11" t="s">
        <v>78</v>
      </c>
      <c r="AO1516" s="1">
        <v>1</v>
      </c>
    </row>
    <row r="1517" spans="2:41">
      <c r="B1517" s="33"/>
      <c r="AE1517" s="5"/>
      <c r="AL1517" s="11" t="s">
        <v>1379</v>
      </c>
      <c r="AM1517" s="11" t="s">
        <v>10</v>
      </c>
      <c r="AN1517" s="11" t="s">
        <v>78</v>
      </c>
      <c r="AO1517" s="1">
        <v>1</v>
      </c>
    </row>
    <row r="1518" spans="2:41">
      <c r="B1518" s="33"/>
      <c r="AE1518" s="5"/>
      <c r="AL1518" s="11" t="s">
        <v>1380</v>
      </c>
      <c r="AM1518" s="11" t="s">
        <v>10</v>
      </c>
      <c r="AN1518" s="11" t="s">
        <v>78</v>
      </c>
      <c r="AO1518" s="1">
        <v>1</v>
      </c>
    </row>
    <row r="1519" spans="2:41">
      <c r="B1519" s="33"/>
      <c r="AE1519" s="5"/>
      <c r="AL1519" s="11" t="s">
        <v>1381</v>
      </c>
      <c r="AM1519" s="11" t="s">
        <v>10</v>
      </c>
      <c r="AN1519" s="11" t="s">
        <v>78</v>
      </c>
      <c r="AO1519" s="1">
        <v>1</v>
      </c>
    </row>
    <row r="1520" spans="2:41">
      <c r="B1520" s="33"/>
      <c r="AE1520" s="5"/>
      <c r="AL1520" s="11" t="s">
        <v>1382</v>
      </c>
      <c r="AM1520" s="11" t="s">
        <v>10</v>
      </c>
      <c r="AN1520" s="11" t="s">
        <v>78</v>
      </c>
      <c r="AO1520" s="1">
        <v>1</v>
      </c>
    </row>
    <row r="1521" spans="2:42">
      <c r="B1521" s="33"/>
      <c r="X1521" s="16"/>
      <c r="Y1521" s="16"/>
      <c r="Z1521" s="16"/>
      <c r="AA1521" s="16"/>
      <c r="AB1521" s="16"/>
      <c r="AC1521" s="16"/>
      <c r="AD1521" s="16"/>
      <c r="AE1521" s="7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</row>
    <row r="1522" spans="2:42">
      <c r="B1522" s="33"/>
      <c r="AE1522" s="5"/>
    </row>
    <row r="1523" spans="2:42">
      <c r="B1523" s="33"/>
      <c r="X1523" s="11">
        <f>SUM(AC1523,AM1523,AM1529)</f>
        <v>4</v>
      </c>
      <c r="Y1523" s="20" t="s">
        <v>1383</v>
      </c>
      <c r="Z1523" s="42" t="s">
        <v>1384</v>
      </c>
      <c r="AA1523" s="42"/>
      <c r="AB1523" s="42"/>
      <c r="AC1523" s="11">
        <f>COUNTA(AB1524)-COUNTIF(Z1524,"兼")</f>
        <v>0</v>
      </c>
      <c r="AE1523" s="5"/>
      <c r="AI1523" s="20" t="s">
        <v>1385</v>
      </c>
      <c r="AJ1523" s="42" t="s">
        <v>789</v>
      </c>
      <c r="AK1523" s="42"/>
      <c r="AL1523" s="42"/>
      <c r="AM1523" s="11">
        <f>COUNTA(AL1524:AL1527)-COUNTIF(AJ1524:AJ1527,"兼")</f>
        <v>4</v>
      </c>
    </row>
    <row r="1524" spans="2:42">
      <c r="B1524" s="33"/>
      <c r="Z1524" s="11" t="s">
        <v>57</v>
      </c>
      <c r="AA1524" s="11" t="s">
        <v>98</v>
      </c>
      <c r="AB1524" s="11" t="s">
        <v>1386</v>
      </c>
      <c r="AC1524" s="11" t="s">
        <v>150</v>
      </c>
      <c r="AD1524" s="11" t="s">
        <v>78</v>
      </c>
      <c r="AE1524" s="40">
        <v>0.4</v>
      </c>
      <c r="AK1524" s="11" t="s">
        <v>1209</v>
      </c>
      <c r="AL1524" s="11" t="s">
        <v>1387</v>
      </c>
      <c r="AM1524" s="11" t="s">
        <v>150</v>
      </c>
      <c r="AN1524" s="11" t="s">
        <v>78</v>
      </c>
      <c r="AO1524" s="1">
        <v>1</v>
      </c>
    </row>
    <row r="1525" spans="2:42">
      <c r="B1525" s="33"/>
      <c r="AE1525" s="5"/>
      <c r="AL1525" s="11" t="s">
        <v>1388</v>
      </c>
      <c r="AM1525" s="11" t="s">
        <v>150</v>
      </c>
      <c r="AN1525" s="11" t="s">
        <v>78</v>
      </c>
      <c r="AO1525" s="1">
        <v>1</v>
      </c>
    </row>
    <row r="1526" spans="2:42">
      <c r="B1526" s="33"/>
      <c r="AE1526" s="5"/>
      <c r="AL1526" s="11" t="s">
        <v>1389</v>
      </c>
      <c r="AM1526" s="11" t="s">
        <v>150</v>
      </c>
      <c r="AN1526" s="11" t="s">
        <v>78</v>
      </c>
      <c r="AO1526" s="1">
        <v>1</v>
      </c>
    </row>
    <row r="1527" spans="2:42">
      <c r="B1527" s="33"/>
      <c r="AE1527" s="5"/>
      <c r="AL1527" s="11" t="s">
        <v>1390</v>
      </c>
      <c r="AM1527" s="11" t="s">
        <v>150</v>
      </c>
      <c r="AN1527" s="11" t="s">
        <v>78</v>
      </c>
      <c r="AO1527" s="1">
        <v>1</v>
      </c>
    </row>
    <row r="1528" spans="2:42">
      <c r="B1528" s="33"/>
      <c r="AE1528" s="5"/>
    </row>
    <row r="1529" spans="2:42">
      <c r="B1529" s="33"/>
      <c r="AE1529" s="5"/>
      <c r="AI1529" s="20" t="s">
        <v>1391</v>
      </c>
      <c r="AJ1529" s="42" t="s">
        <v>1392</v>
      </c>
      <c r="AK1529" s="42"/>
      <c r="AL1529" s="42"/>
      <c r="AM1529" s="11">
        <f>COUNTA(AL1530)-COUNTIF(AJ1530,"兼")</f>
        <v>0</v>
      </c>
    </row>
    <row r="1530" spans="2:42">
      <c r="B1530" s="33"/>
      <c r="AE1530" s="5"/>
      <c r="AJ1530" s="11" t="s">
        <v>57</v>
      </c>
      <c r="AK1530" s="11" t="s">
        <v>1209</v>
      </c>
      <c r="AL1530" s="11" t="s">
        <v>1393</v>
      </c>
      <c r="AM1530" s="11" t="s">
        <v>154</v>
      </c>
      <c r="AN1530" s="11" t="s">
        <v>78</v>
      </c>
      <c r="AO1530" s="1">
        <v>0.4</v>
      </c>
    </row>
    <row r="1531" spans="2:42">
      <c r="B1531" s="33"/>
      <c r="X1531" s="16"/>
      <c r="Y1531" s="16"/>
      <c r="Z1531" s="16"/>
      <c r="AA1531" s="16"/>
      <c r="AB1531" s="16"/>
      <c r="AC1531" s="16"/>
      <c r="AD1531" s="16"/>
      <c r="AE1531" s="7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</row>
    <row r="1532" spans="2:42">
      <c r="B1532" s="33"/>
      <c r="AE1532" s="5"/>
    </row>
    <row r="1533" spans="2:42">
      <c r="B1533" s="33"/>
      <c r="X1533" s="11">
        <f>SUM(AC1533,AM1533)</f>
        <v>8</v>
      </c>
      <c r="Y1533" s="20" t="s">
        <v>1394</v>
      </c>
      <c r="Z1533" s="42" t="s">
        <v>1395</v>
      </c>
      <c r="AA1533" s="42"/>
      <c r="AB1533" s="42"/>
      <c r="AC1533" s="11">
        <f>COUNTA(AB1534)-COUNTIF(Z1534,"兼")</f>
        <v>1</v>
      </c>
      <c r="AE1533" s="5"/>
      <c r="AI1533" s="20" t="s">
        <v>1396</v>
      </c>
      <c r="AJ1533" s="42" t="s">
        <v>789</v>
      </c>
      <c r="AK1533" s="42"/>
      <c r="AL1533" s="42"/>
      <c r="AM1533" s="11">
        <f>COUNTA(AL1534:AL1540)-COUNTIF(AJ1534:AJ1540,"兼")</f>
        <v>7</v>
      </c>
    </row>
    <row r="1534" spans="2:42">
      <c r="B1534" s="33"/>
      <c r="AA1534" s="11" t="s">
        <v>98</v>
      </c>
      <c r="AB1534" s="11" t="s">
        <v>1397</v>
      </c>
      <c r="AC1534" s="11" t="s">
        <v>693</v>
      </c>
      <c r="AD1534" s="11" t="s">
        <v>78</v>
      </c>
      <c r="AE1534" s="40">
        <v>1</v>
      </c>
      <c r="AK1534" s="11" t="s">
        <v>1209</v>
      </c>
      <c r="AL1534" s="11" t="s">
        <v>1398</v>
      </c>
      <c r="AM1534" s="11" t="s">
        <v>693</v>
      </c>
      <c r="AN1534" s="11" t="s">
        <v>78</v>
      </c>
      <c r="AO1534" s="1">
        <v>1</v>
      </c>
    </row>
    <row r="1535" spans="2:42">
      <c r="B1535" s="33"/>
      <c r="AE1535" s="5"/>
      <c r="AL1535" s="11" t="s">
        <v>1399</v>
      </c>
      <c r="AM1535" s="11" t="s">
        <v>693</v>
      </c>
      <c r="AN1535" s="11" t="s">
        <v>78</v>
      </c>
      <c r="AO1535" s="1">
        <v>1</v>
      </c>
    </row>
    <row r="1536" spans="2:42">
      <c r="B1536" s="33"/>
      <c r="AE1536" s="5"/>
      <c r="AL1536" s="11" t="s">
        <v>1400</v>
      </c>
      <c r="AM1536" s="11" t="s">
        <v>693</v>
      </c>
      <c r="AN1536" s="11" t="s">
        <v>78</v>
      </c>
      <c r="AO1536" s="1">
        <v>1</v>
      </c>
    </row>
    <row r="1537" spans="2:42">
      <c r="B1537" s="33"/>
      <c r="AE1537" s="5"/>
      <c r="AL1537" s="11" t="s">
        <v>1401</v>
      </c>
      <c r="AM1537" s="11" t="s">
        <v>693</v>
      </c>
      <c r="AN1537" s="11" t="s">
        <v>78</v>
      </c>
      <c r="AO1537" s="1">
        <v>1</v>
      </c>
    </row>
    <row r="1538" spans="2:42">
      <c r="B1538" s="33"/>
      <c r="AE1538" s="5"/>
      <c r="AL1538" s="11" t="s">
        <v>1402</v>
      </c>
      <c r="AM1538" s="11" t="s">
        <v>693</v>
      </c>
      <c r="AN1538" s="11" t="s">
        <v>78</v>
      </c>
      <c r="AO1538" s="1">
        <v>1</v>
      </c>
    </row>
    <row r="1539" spans="2:42">
      <c r="B1539" s="33"/>
      <c r="AE1539" s="5"/>
      <c r="AL1539" s="11" t="s">
        <v>1403</v>
      </c>
      <c r="AM1539" s="11" t="s">
        <v>693</v>
      </c>
      <c r="AN1539" s="11" t="s">
        <v>78</v>
      </c>
      <c r="AO1539" s="1">
        <v>1</v>
      </c>
    </row>
    <row r="1540" spans="2:42">
      <c r="B1540" s="33"/>
      <c r="AE1540" s="5"/>
      <c r="AL1540" s="11" t="s">
        <v>528</v>
      </c>
      <c r="AM1540" s="11" t="s">
        <v>693</v>
      </c>
      <c r="AN1540" s="11" t="s">
        <v>78</v>
      </c>
      <c r="AO1540" s="1">
        <v>1</v>
      </c>
    </row>
    <row r="1541" spans="2:42">
      <c r="B1541" s="33"/>
      <c r="X1541" s="16"/>
      <c r="Y1541" s="16"/>
      <c r="Z1541" s="16"/>
      <c r="AA1541" s="16"/>
      <c r="AB1541" s="16"/>
      <c r="AC1541" s="16"/>
      <c r="AD1541" s="16"/>
      <c r="AE1541" s="7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</row>
    <row r="1542" spans="2:42">
      <c r="B1542" s="33"/>
      <c r="AE1542" s="5"/>
    </row>
    <row r="1543" spans="2:42">
      <c r="B1543" s="33"/>
      <c r="X1543" s="11">
        <f>SUM(AC1543,AM1543,AM1557)</f>
        <v>21</v>
      </c>
      <c r="Y1543" s="20" t="s">
        <v>1404</v>
      </c>
      <c r="Z1543" s="42" t="s">
        <v>1405</v>
      </c>
      <c r="AA1543" s="42"/>
      <c r="AB1543" s="42"/>
      <c r="AC1543" s="11">
        <f>COUNTA(AB1544:AB1546)-COUNTIF(Z1544:Z1546,"兼")</f>
        <v>2</v>
      </c>
      <c r="AE1543" s="5"/>
      <c r="AI1543" s="20" t="s">
        <v>1406</v>
      </c>
      <c r="AJ1543" s="42" t="s">
        <v>1087</v>
      </c>
      <c r="AK1543" s="42"/>
      <c r="AL1543" s="42"/>
      <c r="AM1543" s="11">
        <f>COUNTA(AL1544:AL1555)-COUNTIF(AJ1544:AJ1555,"兼")</f>
        <v>12</v>
      </c>
    </row>
    <row r="1544" spans="2:42">
      <c r="B1544" s="33"/>
      <c r="Z1544" s="11" t="s">
        <v>57</v>
      </c>
      <c r="AA1544" s="11" t="s">
        <v>98</v>
      </c>
      <c r="AB1544" s="11" t="s">
        <v>1316</v>
      </c>
      <c r="AC1544" s="11" t="s">
        <v>10</v>
      </c>
      <c r="AD1544" s="11" t="s">
        <v>78</v>
      </c>
      <c r="AE1544" s="40">
        <v>0.3</v>
      </c>
      <c r="AK1544" s="11" t="s">
        <v>1209</v>
      </c>
      <c r="AL1544" s="11" t="s">
        <v>1407</v>
      </c>
      <c r="AM1544" s="11" t="s">
        <v>10</v>
      </c>
      <c r="AN1544" s="11" t="s">
        <v>78</v>
      </c>
      <c r="AO1544" s="1">
        <v>1</v>
      </c>
    </row>
    <row r="1545" spans="2:42">
      <c r="B1545" s="33"/>
      <c r="AB1545" s="11" t="s">
        <v>1408</v>
      </c>
      <c r="AC1545" s="11" t="s">
        <v>10</v>
      </c>
      <c r="AD1545" s="11" t="s">
        <v>78</v>
      </c>
      <c r="AE1545" s="40">
        <v>1</v>
      </c>
      <c r="AL1545" s="11" t="s">
        <v>1409</v>
      </c>
      <c r="AM1545" s="11" t="s">
        <v>10</v>
      </c>
      <c r="AN1545" s="11" t="s">
        <v>78</v>
      </c>
      <c r="AO1545" s="1">
        <v>1</v>
      </c>
    </row>
    <row r="1546" spans="2:42">
      <c r="B1546" s="33"/>
      <c r="AB1546" s="11" t="s">
        <v>1318</v>
      </c>
      <c r="AC1546" s="11" t="s">
        <v>10</v>
      </c>
      <c r="AD1546" s="11" t="s">
        <v>78</v>
      </c>
      <c r="AE1546" s="1">
        <v>1</v>
      </c>
      <c r="AL1546" s="11" t="s">
        <v>1410</v>
      </c>
      <c r="AM1546" s="11" t="s">
        <v>10</v>
      </c>
      <c r="AN1546" s="11" t="s">
        <v>78</v>
      </c>
      <c r="AO1546" s="1">
        <v>1</v>
      </c>
    </row>
    <row r="1547" spans="2:42">
      <c r="B1547" s="33"/>
      <c r="AE1547" s="5"/>
      <c r="AL1547" s="11" t="s">
        <v>1411</v>
      </c>
      <c r="AM1547" s="11" t="s">
        <v>10</v>
      </c>
      <c r="AN1547" s="11" t="s">
        <v>78</v>
      </c>
      <c r="AO1547" s="1">
        <v>1</v>
      </c>
    </row>
    <row r="1548" spans="2:42">
      <c r="B1548" s="33"/>
      <c r="AE1548" s="5"/>
      <c r="AL1548" s="11" t="s">
        <v>1412</v>
      </c>
      <c r="AM1548" s="11" t="s">
        <v>10</v>
      </c>
      <c r="AN1548" s="11" t="s">
        <v>78</v>
      </c>
      <c r="AO1548" s="1">
        <v>1</v>
      </c>
    </row>
    <row r="1549" spans="2:42">
      <c r="B1549" s="33"/>
      <c r="AE1549" s="5"/>
      <c r="AL1549" s="11" t="s">
        <v>1413</v>
      </c>
      <c r="AM1549" s="11" t="s">
        <v>10</v>
      </c>
      <c r="AN1549" s="11" t="s">
        <v>78</v>
      </c>
      <c r="AO1549" s="1">
        <v>1</v>
      </c>
    </row>
    <row r="1550" spans="2:42">
      <c r="B1550" s="33"/>
      <c r="AE1550" s="5"/>
      <c r="AL1550" s="11" t="s">
        <v>1414</v>
      </c>
      <c r="AM1550" s="11" t="s">
        <v>10</v>
      </c>
      <c r="AN1550" s="11" t="s">
        <v>78</v>
      </c>
      <c r="AO1550" s="1">
        <v>1</v>
      </c>
    </row>
    <row r="1551" spans="2:42">
      <c r="B1551" s="33"/>
      <c r="AE1551" s="5"/>
      <c r="AL1551" s="11" t="s">
        <v>1415</v>
      </c>
      <c r="AM1551" s="11" t="s">
        <v>10</v>
      </c>
      <c r="AN1551" s="11" t="s">
        <v>78</v>
      </c>
      <c r="AO1551" s="1">
        <v>1</v>
      </c>
    </row>
    <row r="1552" spans="2:42">
      <c r="B1552" s="33"/>
      <c r="AE1552" s="5"/>
      <c r="AL1552" s="11" t="s">
        <v>1416</v>
      </c>
      <c r="AM1552" s="11" t="s">
        <v>10</v>
      </c>
      <c r="AN1552" s="11" t="s">
        <v>78</v>
      </c>
      <c r="AO1552" s="1">
        <v>1</v>
      </c>
    </row>
    <row r="1553" spans="2:42">
      <c r="B1553" s="33"/>
      <c r="AE1553" s="5"/>
      <c r="AL1553" s="11" t="s">
        <v>1417</v>
      </c>
      <c r="AM1553" s="11" t="s">
        <v>150</v>
      </c>
      <c r="AN1553" s="11" t="s">
        <v>78</v>
      </c>
      <c r="AO1553" s="1">
        <v>1</v>
      </c>
    </row>
    <row r="1554" spans="2:42">
      <c r="B1554" s="33"/>
      <c r="AE1554" s="5"/>
      <c r="AL1554" s="11" t="s">
        <v>1419</v>
      </c>
      <c r="AM1554" s="11" t="s">
        <v>10</v>
      </c>
      <c r="AN1554" s="11" t="s">
        <v>78</v>
      </c>
      <c r="AO1554" s="1">
        <v>1</v>
      </c>
    </row>
    <row r="1555" spans="2:42">
      <c r="B1555" s="33"/>
      <c r="AE1555" s="5"/>
      <c r="AL1555" s="11" t="s">
        <v>535</v>
      </c>
      <c r="AM1555" s="11" t="s">
        <v>10</v>
      </c>
      <c r="AN1555" s="11" t="s">
        <v>78</v>
      </c>
      <c r="AO1555" s="1">
        <v>1</v>
      </c>
    </row>
    <row r="1556" spans="2:42">
      <c r="B1556" s="33"/>
      <c r="AE1556" s="5"/>
    </row>
    <row r="1557" spans="2:42">
      <c r="B1557" s="33"/>
      <c r="AE1557" s="5"/>
      <c r="AI1557" s="20" t="s">
        <v>1420</v>
      </c>
      <c r="AJ1557" s="42" t="s">
        <v>1421</v>
      </c>
      <c r="AK1557" s="42"/>
      <c r="AL1557" s="42"/>
      <c r="AM1557" s="11">
        <f>COUNTA(AL1558:AL1565)-COUNTIF(AJ1558:AJ1565,"兼")</f>
        <v>7</v>
      </c>
    </row>
    <row r="1558" spans="2:42">
      <c r="B1558" s="33"/>
      <c r="AE1558" s="5"/>
      <c r="AI1558" s="25"/>
      <c r="AJ1558" s="11" t="s">
        <v>57</v>
      </c>
      <c r="AK1558" s="11" t="s">
        <v>2214</v>
      </c>
      <c r="AL1558" s="11" t="s">
        <v>1316</v>
      </c>
      <c r="AM1558" s="11" t="s">
        <v>10</v>
      </c>
      <c r="AN1558" s="11" t="s">
        <v>78</v>
      </c>
      <c r="AO1558" s="40">
        <v>0.1</v>
      </c>
    </row>
    <row r="1559" spans="2:42">
      <c r="B1559" s="33"/>
      <c r="AE1559" s="5"/>
      <c r="AL1559" s="11" t="s">
        <v>1422</v>
      </c>
      <c r="AM1559" s="11" t="s">
        <v>10</v>
      </c>
      <c r="AN1559" s="11" t="s">
        <v>78</v>
      </c>
      <c r="AO1559" s="1">
        <v>1</v>
      </c>
    </row>
    <row r="1560" spans="2:42">
      <c r="B1560" s="33"/>
      <c r="AE1560" s="5"/>
      <c r="AL1560" s="11" t="s">
        <v>1423</v>
      </c>
      <c r="AM1560" s="11" t="s">
        <v>10</v>
      </c>
      <c r="AN1560" s="11" t="s">
        <v>78</v>
      </c>
      <c r="AO1560" s="1">
        <v>1</v>
      </c>
    </row>
    <row r="1561" spans="2:42">
      <c r="B1561" s="33"/>
      <c r="AE1561" s="5"/>
      <c r="AL1561" s="11" t="s">
        <v>1424</v>
      </c>
      <c r="AM1561" s="11" t="s">
        <v>10</v>
      </c>
      <c r="AN1561" s="11" t="s">
        <v>78</v>
      </c>
      <c r="AO1561" s="1">
        <v>1</v>
      </c>
    </row>
    <row r="1562" spans="2:42">
      <c r="B1562" s="33"/>
      <c r="AE1562" s="5"/>
      <c r="AL1562" s="11" t="s">
        <v>517</v>
      </c>
      <c r="AM1562" s="11" t="s">
        <v>10</v>
      </c>
      <c r="AN1562" s="11" t="s">
        <v>78</v>
      </c>
      <c r="AO1562" s="1">
        <v>1</v>
      </c>
    </row>
    <row r="1563" spans="2:42">
      <c r="B1563" s="33"/>
      <c r="AE1563" s="5"/>
      <c r="AL1563" s="11" t="s">
        <v>1425</v>
      </c>
      <c r="AM1563" s="11" t="s">
        <v>10</v>
      </c>
      <c r="AN1563" s="11" t="s">
        <v>78</v>
      </c>
      <c r="AO1563" s="1">
        <v>1</v>
      </c>
    </row>
    <row r="1564" spans="2:42">
      <c r="B1564" s="33"/>
      <c r="AE1564" s="5"/>
      <c r="AL1564" s="11" t="s">
        <v>2225</v>
      </c>
      <c r="AM1564" s="11" t="s">
        <v>10</v>
      </c>
      <c r="AN1564" s="11" t="s">
        <v>78</v>
      </c>
      <c r="AO1564" s="1">
        <v>1</v>
      </c>
    </row>
    <row r="1565" spans="2:42">
      <c r="B1565" s="33"/>
      <c r="AE1565" s="5"/>
      <c r="AL1565" s="11" t="s">
        <v>1315</v>
      </c>
      <c r="AM1565" s="11" t="s">
        <v>10</v>
      </c>
      <c r="AN1565" s="11" t="s">
        <v>78</v>
      </c>
      <c r="AO1565" s="1">
        <v>1</v>
      </c>
    </row>
    <row r="1566" spans="2:42">
      <c r="B1566" s="33"/>
      <c r="X1566" s="16"/>
      <c r="Y1566" s="16"/>
      <c r="Z1566" s="16"/>
      <c r="AA1566" s="16"/>
      <c r="AB1566" s="16"/>
      <c r="AC1566" s="16"/>
      <c r="AD1566" s="16"/>
      <c r="AE1566" s="7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</row>
    <row r="1567" spans="2:42">
      <c r="B1567" s="33"/>
      <c r="AE1567" s="5"/>
    </row>
    <row r="1568" spans="2:42">
      <c r="B1568" s="33"/>
      <c r="X1568" s="11">
        <f>SUM(AC1568,AM1568,AM1577,AM1585)</f>
        <v>20</v>
      </c>
      <c r="Y1568" s="20" t="s">
        <v>1426</v>
      </c>
      <c r="Z1568" s="42" t="s">
        <v>1427</v>
      </c>
      <c r="AA1568" s="42"/>
      <c r="AB1568" s="42"/>
      <c r="AC1568" s="11">
        <f>COUNTA(AB1569:AB1572)-COUNTIF(Z1569:Z1572,"兼")</f>
        <v>2</v>
      </c>
      <c r="AE1568" s="5"/>
      <c r="AI1568" s="20" t="s">
        <v>1428</v>
      </c>
      <c r="AJ1568" s="42" t="s">
        <v>1429</v>
      </c>
      <c r="AK1568" s="42"/>
      <c r="AL1568" s="42"/>
      <c r="AM1568" s="11">
        <f>COUNTA(AL1569:AL1575)-COUNTIF(AJ1569:AJ1575,"兼")</f>
        <v>7</v>
      </c>
    </row>
    <row r="1569" spans="2:41">
      <c r="B1569" s="33"/>
      <c r="AA1569" s="11" t="s">
        <v>98</v>
      </c>
      <c r="AB1569" s="11" t="s">
        <v>1430</v>
      </c>
      <c r="AC1569" s="11" t="s">
        <v>10</v>
      </c>
      <c r="AD1569" s="11" t="s">
        <v>78</v>
      </c>
      <c r="AE1569" s="40">
        <v>0.9</v>
      </c>
      <c r="AK1569" s="11" t="s">
        <v>1209</v>
      </c>
      <c r="AL1569" s="11" t="s">
        <v>1431</v>
      </c>
      <c r="AM1569" s="11" t="s">
        <v>10</v>
      </c>
      <c r="AN1569" s="11" t="s">
        <v>78</v>
      </c>
      <c r="AO1569" s="1">
        <v>0.9</v>
      </c>
    </row>
    <row r="1570" spans="2:41">
      <c r="B1570" s="33"/>
      <c r="AA1570" s="11" t="s">
        <v>1212</v>
      </c>
      <c r="AB1570" s="11" t="s">
        <v>1434</v>
      </c>
      <c r="AC1570" s="11" t="s">
        <v>10</v>
      </c>
      <c r="AD1570" s="11" t="s">
        <v>78</v>
      </c>
      <c r="AE1570" s="40">
        <v>0.8</v>
      </c>
      <c r="AL1570" s="11" t="s">
        <v>1435</v>
      </c>
      <c r="AM1570" s="11" t="s">
        <v>10</v>
      </c>
      <c r="AN1570" s="11" t="s">
        <v>78</v>
      </c>
      <c r="AO1570" s="1">
        <v>1</v>
      </c>
    </row>
    <row r="1571" spans="2:41">
      <c r="B1571" s="33"/>
      <c r="Z1571" s="11" t="s">
        <v>138</v>
      </c>
      <c r="AB1571" s="11" t="s">
        <v>1436</v>
      </c>
      <c r="AC1571" s="11" t="s">
        <v>10</v>
      </c>
      <c r="AD1571" s="11" t="s">
        <v>43</v>
      </c>
      <c r="AE1571" s="40">
        <v>0.1</v>
      </c>
      <c r="AL1571" s="11" t="s">
        <v>1438</v>
      </c>
      <c r="AM1571" s="11" t="s">
        <v>10</v>
      </c>
      <c r="AN1571" s="11" t="s">
        <v>78</v>
      </c>
      <c r="AO1571" s="1">
        <v>1</v>
      </c>
    </row>
    <row r="1572" spans="2:41">
      <c r="B1572" s="33"/>
      <c r="Z1572" s="11" t="s">
        <v>138</v>
      </c>
      <c r="AB1572" s="11" t="s">
        <v>1437</v>
      </c>
      <c r="AC1572" s="11" t="s">
        <v>10</v>
      </c>
      <c r="AD1572" s="11" t="s">
        <v>43</v>
      </c>
      <c r="AE1572" s="40">
        <v>0.1</v>
      </c>
      <c r="AL1572" s="11" t="s">
        <v>524</v>
      </c>
      <c r="AM1572" s="11" t="s">
        <v>10</v>
      </c>
      <c r="AN1572" s="11" t="s">
        <v>78</v>
      </c>
      <c r="AO1572" s="1">
        <v>1</v>
      </c>
    </row>
    <row r="1573" spans="2:41">
      <c r="B1573" s="33"/>
      <c r="AL1573" s="11" t="s">
        <v>2208</v>
      </c>
      <c r="AM1573" s="11" t="s">
        <v>10</v>
      </c>
      <c r="AN1573" s="11" t="s">
        <v>78</v>
      </c>
      <c r="AO1573" s="1">
        <v>1</v>
      </c>
    </row>
    <row r="1574" spans="2:41">
      <c r="B1574" s="33"/>
      <c r="AL1574" s="11" t="s">
        <v>1449</v>
      </c>
      <c r="AM1574" s="11" t="s">
        <v>10</v>
      </c>
      <c r="AN1574" s="11" t="s">
        <v>78</v>
      </c>
      <c r="AO1574" s="1">
        <v>1</v>
      </c>
    </row>
    <row r="1575" spans="2:41">
      <c r="B1575" s="33"/>
      <c r="AL1575" s="11" t="s">
        <v>1452</v>
      </c>
      <c r="AM1575" s="11" t="s">
        <v>10</v>
      </c>
      <c r="AN1575" s="11" t="s">
        <v>78</v>
      </c>
      <c r="AO1575" s="1">
        <v>0.5</v>
      </c>
    </row>
    <row r="1576" spans="2:41">
      <c r="B1576" s="33"/>
      <c r="AE1576" s="11"/>
    </row>
    <row r="1577" spans="2:41">
      <c r="B1577" s="33"/>
      <c r="AE1577" s="11"/>
      <c r="AI1577" s="20" t="s">
        <v>1439</v>
      </c>
      <c r="AJ1577" s="42" t="s">
        <v>1440</v>
      </c>
      <c r="AK1577" s="42"/>
      <c r="AL1577" s="42"/>
      <c r="AM1577" s="11">
        <f>COUNTA(AL1578:AL1583)-COUNTIF(AJ1578:AJ1583,"兼")</f>
        <v>6</v>
      </c>
    </row>
    <row r="1578" spans="2:41">
      <c r="B1578" s="33"/>
      <c r="AE1578" s="5"/>
      <c r="AK1578" s="11" t="s">
        <v>1209</v>
      </c>
      <c r="AL1578" s="11" t="s">
        <v>1441</v>
      </c>
      <c r="AM1578" s="11" t="s">
        <v>10</v>
      </c>
      <c r="AN1578" s="11" t="s">
        <v>78</v>
      </c>
      <c r="AO1578" s="1">
        <v>1</v>
      </c>
    </row>
    <row r="1579" spans="2:41">
      <c r="B1579" s="33"/>
      <c r="AE1579" s="5"/>
      <c r="AL1579" s="11" t="s">
        <v>1442</v>
      </c>
      <c r="AM1579" s="11" t="s">
        <v>10</v>
      </c>
      <c r="AN1579" s="11" t="s">
        <v>78</v>
      </c>
      <c r="AO1579" s="1">
        <v>1</v>
      </c>
    </row>
    <row r="1580" spans="2:41">
      <c r="B1580" s="33"/>
      <c r="AE1580" s="5"/>
      <c r="AL1580" s="11" t="s">
        <v>1443</v>
      </c>
      <c r="AM1580" s="11" t="s">
        <v>10</v>
      </c>
      <c r="AN1580" s="11" t="s">
        <v>78</v>
      </c>
      <c r="AO1580" s="1">
        <v>1</v>
      </c>
    </row>
    <row r="1581" spans="2:41">
      <c r="B1581" s="33"/>
      <c r="AE1581" s="5"/>
      <c r="AL1581" s="11" t="s">
        <v>1444</v>
      </c>
      <c r="AM1581" s="11" t="s">
        <v>1445</v>
      </c>
      <c r="AN1581" s="11" t="s">
        <v>78</v>
      </c>
      <c r="AO1581" s="1">
        <v>1</v>
      </c>
    </row>
    <row r="1582" spans="2:41">
      <c r="B1582" s="33"/>
      <c r="AE1582" s="5"/>
      <c r="AL1582" s="11" t="s">
        <v>1446</v>
      </c>
      <c r="AM1582" s="11" t="s">
        <v>10</v>
      </c>
      <c r="AN1582" s="11" t="s">
        <v>78</v>
      </c>
      <c r="AO1582" s="1">
        <v>1</v>
      </c>
    </row>
    <row r="1583" spans="2:41">
      <c r="B1583" s="33"/>
      <c r="AE1583" s="5"/>
      <c r="AL1583" s="11" t="s">
        <v>523</v>
      </c>
      <c r="AM1583" s="11" t="s">
        <v>10</v>
      </c>
      <c r="AN1583" s="11" t="s">
        <v>78</v>
      </c>
      <c r="AO1583" s="1">
        <v>1</v>
      </c>
    </row>
    <row r="1584" spans="2:41">
      <c r="B1584" s="33"/>
      <c r="AE1584" s="5"/>
    </row>
    <row r="1585" spans="2:42">
      <c r="B1585" s="33"/>
      <c r="AE1585" s="5"/>
      <c r="AI1585" s="20" t="s">
        <v>1447</v>
      </c>
      <c r="AJ1585" s="42" t="s">
        <v>1448</v>
      </c>
      <c r="AK1585" s="42"/>
      <c r="AL1585" s="42"/>
      <c r="AM1585" s="11">
        <f>COUNTA(AL1586:AL1592)-COUNTIF(AJ1586:AJ1592,"兼")</f>
        <v>5</v>
      </c>
    </row>
    <row r="1586" spans="2:42">
      <c r="B1586" s="33"/>
      <c r="AE1586" s="5"/>
      <c r="AI1586" s="25"/>
      <c r="AJ1586" s="11" t="s">
        <v>57</v>
      </c>
      <c r="AK1586" s="11" t="s">
        <v>1209</v>
      </c>
      <c r="AL1586" s="11" t="s">
        <v>1434</v>
      </c>
      <c r="AM1586" s="11" t="s">
        <v>10</v>
      </c>
      <c r="AN1586" s="11" t="s">
        <v>78</v>
      </c>
      <c r="AO1586" s="40">
        <v>0.2</v>
      </c>
    </row>
    <row r="1587" spans="2:42">
      <c r="B1587" s="33"/>
      <c r="AE1587" s="5"/>
      <c r="AL1587" s="11" t="s">
        <v>1450</v>
      </c>
      <c r="AM1587" s="11" t="s">
        <v>10</v>
      </c>
      <c r="AN1587" s="11" t="s">
        <v>78</v>
      </c>
      <c r="AO1587" s="1">
        <v>1</v>
      </c>
    </row>
    <row r="1588" spans="2:42">
      <c r="B1588" s="33"/>
      <c r="AE1588" s="5"/>
      <c r="AL1588" s="11" t="s">
        <v>1451</v>
      </c>
      <c r="AM1588" s="11" t="s">
        <v>10</v>
      </c>
      <c r="AN1588" s="11" t="s">
        <v>78</v>
      </c>
      <c r="AO1588" s="1">
        <v>1</v>
      </c>
    </row>
    <row r="1589" spans="2:42">
      <c r="B1589" s="33"/>
      <c r="AE1589" s="5"/>
      <c r="AJ1589" s="11" t="s">
        <v>57</v>
      </c>
      <c r="AL1589" s="11" t="s">
        <v>1452</v>
      </c>
      <c r="AM1589" s="11" t="s">
        <v>10</v>
      </c>
      <c r="AN1589" s="11" t="s">
        <v>78</v>
      </c>
      <c r="AO1589" s="1">
        <v>0.5</v>
      </c>
    </row>
    <row r="1590" spans="2:42">
      <c r="B1590" s="33"/>
      <c r="AE1590" s="5"/>
      <c r="AL1590" s="11" t="s">
        <v>1453</v>
      </c>
      <c r="AM1590" s="11" t="s">
        <v>10</v>
      </c>
      <c r="AN1590" s="11" t="s">
        <v>78</v>
      </c>
      <c r="AO1590" s="1">
        <v>1</v>
      </c>
    </row>
    <row r="1591" spans="2:42">
      <c r="B1591" s="33"/>
      <c r="AE1591" s="5"/>
      <c r="AL1591" s="11" t="s">
        <v>1454</v>
      </c>
      <c r="AM1591" s="11" t="s">
        <v>10</v>
      </c>
      <c r="AN1591" s="11" t="s">
        <v>78</v>
      </c>
      <c r="AO1591" s="1">
        <v>1</v>
      </c>
    </row>
    <row r="1592" spans="2:42">
      <c r="B1592" s="33"/>
      <c r="AE1592" s="5"/>
      <c r="AL1592" s="11" t="s">
        <v>1368</v>
      </c>
      <c r="AM1592" s="11" t="s">
        <v>10</v>
      </c>
      <c r="AN1592" s="11" t="s">
        <v>78</v>
      </c>
      <c r="AO1592" s="1">
        <v>1</v>
      </c>
    </row>
    <row r="1593" spans="2:42">
      <c r="B1593" s="33"/>
      <c r="X1593" s="16"/>
      <c r="Y1593" s="16"/>
      <c r="Z1593" s="16"/>
      <c r="AA1593" s="16"/>
      <c r="AB1593" s="16"/>
      <c r="AC1593" s="16"/>
      <c r="AD1593" s="16"/>
      <c r="AE1593" s="7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</row>
    <row r="1594" spans="2:42">
      <c r="B1594" s="33"/>
      <c r="AE1594" s="5"/>
    </row>
    <row r="1595" spans="2:42">
      <c r="B1595" s="33"/>
      <c r="X1595" s="11">
        <f>SUM(AC1595,AM1595,AM1604,AM1612)</f>
        <v>19</v>
      </c>
      <c r="Y1595" s="20" t="s">
        <v>1455</v>
      </c>
      <c r="Z1595" s="42" t="s">
        <v>1456</v>
      </c>
      <c r="AA1595" s="42"/>
      <c r="AB1595" s="42"/>
      <c r="AC1595" s="11">
        <f>COUNTA(AB1596:AB1597)-COUNTIF(Z1596:Z1597,"兼")</f>
        <v>2</v>
      </c>
      <c r="AE1595" s="5"/>
      <c r="AI1595" s="20" t="s">
        <v>1457</v>
      </c>
      <c r="AJ1595" s="42" t="s">
        <v>1458</v>
      </c>
      <c r="AK1595" s="42"/>
      <c r="AL1595" s="42"/>
      <c r="AM1595" s="11">
        <f>COUNTA(AL1596:AL1602)-COUNTIF(AJ1596:AJ1602,"兼")</f>
        <v>7</v>
      </c>
    </row>
    <row r="1596" spans="2:42">
      <c r="B1596" s="33"/>
      <c r="AA1596" s="11" t="s">
        <v>98</v>
      </c>
      <c r="AB1596" s="11" t="s">
        <v>1459</v>
      </c>
      <c r="AC1596" s="11" t="s">
        <v>145</v>
      </c>
      <c r="AD1596" s="11" t="s">
        <v>78</v>
      </c>
      <c r="AE1596" s="40">
        <v>1</v>
      </c>
      <c r="AK1596" s="11" t="s">
        <v>1209</v>
      </c>
      <c r="AL1596" s="11" t="s">
        <v>1460</v>
      </c>
      <c r="AM1596" s="11" t="s">
        <v>10</v>
      </c>
      <c r="AN1596" s="11" t="s">
        <v>78</v>
      </c>
      <c r="AO1596" s="1">
        <v>1</v>
      </c>
    </row>
    <row r="1597" spans="2:42">
      <c r="B1597" s="33"/>
      <c r="AA1597" s="11" t="s">
        <v>186</v>
      </c>
      <c r="AB1597" s="11" t="s">
        <v>1461</v>
      </c>
      <c r="AC1597" s="11" t="s">
        <v>150</v>
      </c>
      <c r="AD1597" s="11" t="s">
        <v>78</v>
      </c>
      <c r="AE1597" s="40">
        <v>0.6</v>
      </c>
      <c r="AL1597" s="11" t="s">
        <v>1462</v>
      </c>
      <c r="AM1597" s="11" t="s">
        <v>10</v>
      </c>
      <c r="AN1597" s="11" t="s">
        <v>78</v>
      </c>
      <c r="AO1597" s="1">
        <v>1</v>
      </c>
    </row>
    <row r="1598" spans="2:42">
      <c r="B1598" s="33"/>
      <c r="AE1598" s="5"/>
      <c r="AL1598" s="11" t="s">
        <v>1463</v>
      </c>
      <c r="AM1598" s="11" t="s">
        <v>10</v>
      </c>
      <c r="AN1598" s="11" t="s">
        <v>78</v>
      </c>
      <c r="AO1598" s="1">
        <v>1</v>
      </c>
    </row>
    <row r="1599" spans="2:42">
      <c r="B1599" s="33"/>
      <c r="AE1599" s="5"/>
      <c r="AL1599" s="11" t="s">
        <v>1464</v>
      </c>
      <c r="AM1599" s="11" t="s">
        <v>10</v>
      </c>
      <c r="AN1599" s="11" t="s">
        <v>78</v>
      </c>
      <c r="AO1599" s="1">
        <v>1</v>
      </c>
    </row>
    <row r="1600" spans="2:42">
      <c r="B1600" s="33"/>
      <c r="AE1600" s="5"/>
      <c r="AL1600" s="11" t="s">
        <v>1465</v>
      </c>
      <c r="AM1600" s="11" t="s">
        <v>10</v>
      </c>
      <c r="AN1600" s="11" t="s">
        <v>78</v>
      </c>
      <c r="AO1600" s="1">
        <v>1</v>
      </c>
    </row>
    <row r="1601" spans="2:41">
      <c r="B1601" s="33"/>
      <c r="AE1601" s="5"/>
      <c r="AL1601" s="11" t="s">
        <v>1466</v>
      </c>
      <c r="AM1601" s="11" t="s">
        <v>10</v>
      </c>
      <c r="AN1601" s="11" t="s">
        <v>78</v>
      </c>
      <c r="AO1601" s="1">
        <v>1</v>
      </c>
    </row>
    <row r="1602" spans="2:41">
      <c r="B1602" s="33"/>
      <c r="AE1602" s="5"/>
      <c r="AL1602" s="11" t="s">
        <v>2238</v>
      </c>
      <c r="AM1602" s="11" t="s">
        <v>10</v>
      </c>
      <c r="AN1602" s="11" t="s">
        <v>78</v>
      </c>
      <c r="AO1602" s="1">
        <v>1</v>
      </c>
    </row>
    <row r="1603" spans="2:41">
      <c r="B1603" s="33"/>
      <c r="AE1603" s="5"/>
    </row>
    <row r="1604" spans="2:41">
      <c r="B1604" s="33"/>
      <c r="AE1604" s="5"/>
      <c r="AI1604" s="20" t="s">
        <v>1467</v>
      </c>
      <c r="AJ1604" s="42" t="s">
        <v>1468</v>
      </c>
      <c r="AK1604" s="42"/>
      <c r="AL1604" s="42"/>
      <c r="AM1604" s="11">
        <f>COUNTA(AL1605:AL1610)-COUNTIF(AJ1605:AJ1610,"兼")</f>
        <v>6</v>
      </c>
    </row>
    <row r="1605" spans="2:41">
      <c r="B1605" s="33"/>
      <c r="AE1605" s="5"/>
      <c r="AK1605" s="11" t="s">
        <v>1209</v>
      </c>
      <c r="AL1605" s="11" t="s">
        <v>1469</v>
      </c>
      <c r="AM1605" s="11" t="s">
        <v>693</v>
      </c>
      <c r="AN1605" s="11" t="s">
        <v>78</v>
      </c>
      <c r="AO1605" s="1">
        <v>1</v>
      </c>
    </row>
    <row r="1606" spans="2:41">
      <c r="B1606" s="33"/>
      <c r="AE1606" s="5"/>
      <c r="AL1606" s="11" t="s">
        <v>1470</v>
      </c>
      <c r="AM1606" s="11" t="s">
        <v>693</v>
      </c>
      <c r="AN1606" s="11" t="s">
        <v>78</v>
      </c>
      <c r="AO1606" s="1">
        <v>1</v>
      </c>
    </row>
    <row r="1607" spans="2:41">
      <c r="B1607" s="33"/>
      <c r="AE1607" s="5"/>
      <c r="AL1607" s="11" t="s">
        <v>1471</v>
      </c>
      <c r="AM1607" s="11" t="s">
        <v>693</v>
      </c>
      <c r="AN1607" s="11" t="s">
        <v>78</v>
      </c>
      <c r="AO1607" s="1">
        <v>1</v>
      </c>
    </row>
    <row r="1608" spans="2:41">
      <c r="B1608" s="33"/>
      <c r="AE1608" s="5"/>
      <c r="AL1608" s="11" t="s">
        <v>1472</v>
      </c>
      <c r="AM1608" s="11" t="s">
        <v>693</v>
      </c>
      <c r="AN1608" s="11" t="s">
        <v>78</v>
      </c>
      <c r="AO1608" s="1">
        <v>1</v>
      </c>
    </row>
    <row r="1609" spans="2:41">
      <c r="B1609" s="33"/>
      <c r="AE1609" s="5"/>
      <c r="AL1609" s="11" t="s">
        <v>1473</v>
      </c>
      <c r="AM1609" s="11" t="s">
        <v>693</v>
      </c>
      <c r="AN1609" s="11" t="s">
        <v>78</v>
      </c>
      <c r="AO1609" s="1">
        <v>1</v>
      </c>
    </row>
    <row r="1610" spans="2:41">
      <c r="B1610" s="33"/>
      <c r="AE1610" s="5"/>
      <c r="AL1610" s="11" t="s">
        <v>539</v>
      </c>
      <c r="AM1610" s="11" t="s">
        <v>693</v>
      </c>
      <c r="AN1610" s="11" t="s">
        <v>78</v>
      </c>
      <c r="AO1610" s="1">
        <v>1</v>
      </c>
    </row>
    <row r="1611" spans="2:41">
      <c r="B1611" s="33"/>
      <c r="AE1611" s="5"/>
    </row>
    <row r="1612" spans="2:41">
      <c r="B1612" s="33"/>
      <c r="AE1612" s="5"/>
      <c r="AI1612" s="20" t="s">
        <v>1474</v>
      </c>
      <c r="AJ1612" s="42" t="s">
        <v>1475</v>
      </c>
      <c r="AK1612" s="42"/>
      <c r="AL1612" s="42"/>
      <c r="AM1612" s="11">
        <f>COUNTA(AL1613:AL1617)-COUNTIF(AJ1613:AJ1617,"兼")</f>
        <v>4</v>
      </c>
    </row>
    <row r="1613" spans="2:41">
      <c r="B1613" s="33"/>
      <c r="AE1613" s="5"/>
      <c r="AJ1613" s="11" t="s">
        <v>138</v>
      </c>
      <c r="AK1613" s="11" t="s">
        <v>1209</v>
      </c>
      <c r="AL1613" s="11" t="s">
        <v>1476</v>
      </c>
      <c r="AM1613" s="11" t="s">
        <v>150</v>
      </c>
      <c r="AN1613" s="11" t="s">
        <v>78</v>
      </c>
      <c r="AO1613" s="1">
        <v>0.4</v>
      </c>
    </row>
    <row r="1614" spans="2:41">
      <c r="B1614" s="33"/>
      <c r="AE1614" s="5"/>
      <c r="AL1614" s="11" t="s">
        <v>1477</v>
      </c>
      <c r="AM1614" s="11" t="s">
        <v>150</v>
      </c>
      <c r="AN1614" s="11" t="s">
        <v>78</v>
      </c>
      <c r="AO1614" s="1">
        <v>1</v>
      </c>
    </row>
    <row r="1615" spans="2:41">
      <c r="B1615" s="33"/>
      <c r="AE1615" s="5"/>
      <c r="AL1615" s="11" t="s">
        <v>1478</v>
      </c>
      <c r="AM1615" s="11" t="s">
        <v>150</v>
      </c>
      <c r="AN1615" s="11" t="s">
        <v>78</v>
      </c>
      <c r="AO1615" s="1">
        <v>1</v>
      </c>
    </row>
    <row r="1616" spans="2:41">
      <c r="B1616" s="33"/>
      <c r="AE1616" s="5"/>
      <c r="AL1616" s="11" t="s">
        <v>1479</v>
      </c>
      <c r="AM1616" s="11" t="s">
        <v>150</v>
      </c>
      <c r="AN1616" s="11" t="s">
        <v>78</v>
      </c>
      <c r="AO1616" s="1">
        <v>1</v>
      </c>
    </row>
    <row r="1617" spans="2:42">
      <c r="B1617" s="33"/>
      <c r="AE1617" s="5"/>
      <c r="AL1617" s="11" t="s">
        <v>1480</v>
      </c>
      <c r="AM1617" s="11" t="s">
        <v>150</v>
      </c>
      <c r="AN1617" s="11" t="s">
        <v>78</v>
      </c>
      <c r="AO1617" s="1">
        <v>1</v>
      </c>
    </row>
    <row r="1618" spans="2:42">
      <c r="B1618" s="33"/>
      <c r="X1618" s="16"/>
      <c r="Y1618" s="16"/>
      <c r="Z1618" s="16"/>
      <c r="AA1618" s="16"/>
      <c r="AB1618" s="16"/>
      <c r="AC1618" s="16"/>
      <c r="AD1618" s="16"/>
      <c r="AE1618" s="7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</row>
    <row r="1619" spans="2:42">
      <c r="B1619" s="33"/>
      <c r="AE1619" s="5"/>
    </row>
    <row r="1620" spans="2:42">
      <c r="B1620" s="33"/>
      <c r="X1620" s="11">
        <f>SUM(AC1620,AM1620)</f>
        <v>12</v>
      </c>
      <c r="Y1620" s="20" t="s">
        <v>1481</v>
      </c>
      <c r="Z1620" s="42" t="s">
        <v>1482</v>
      </c>
      <c r="AA1620" s="42"/>
      <c r="AB1620" s="42"/>
      <c r="AC1620" s="11">
        <f>COUNTA(AB1621)-COUNTIF(Z1621,"兼")</f>
        <v>1</v>
      </c>
      <c r="AE1620" s="5"/>
      <c r="AI1620" s="20" t="s">
        <v>1483</v>
      </c>
      <c r="AJ1620" s="42" t="s">
        <v>1087</v>
      </c>
      <c r="AK1620" s="42"/>
      <c r="AL1620" s="42"/>
      <c r="AM1620" s="11">
        <f>COUNTA(AL1621:AL1631)-COUNTIF(AJ1621:AJ1631,"兼")</f>
        <v>11</v>
      </c>
    </row>
    <row r="1621" spans="2:42">
      <c r="B1621" s="33"/>
      <c r="AA1621" s="11" t="s">
        <v>98</v>
      </c>
      <c r="AB1621" s="11" t="s">
        <v>1484</v>
      </c>
      <c r="AC1621" s="11" t="s">
        <v>10</v>
      </c>
      <c r="AD1621" s="11" t="s">
        <v>78</v>
      </c>
      <c r="AE1621" s="40">
        <v>1</v>
      </c>
      <c r="AK1621" s="11" t="s">
        <v>1209</v>
      </c>
      <c r="AL1621" s="11" t="s">
        <v>1485</v>
      </c>
      <c r="AM1621" s="11" t="s">
        <v>10</v>
      </c>
      <c r="AN1621" s="11" t="s">
        <v>78</v>
      </c>
      <c r="AO1621" s="1">
        <v>1</v>
      </c>
    </row>
    <row r="1622" spans="2:42">
      <c r="B1622" s="33"/>
      <c r="AE1622" s="5"/>
      <c r="AL1622" s="11" t="s">
        <v>1486</v>
      </c>
      <c r="AM1622" s="11" t="s">
        <v>10</v>
      </c>
      <c r="AN1622" s="11" t="s">
        <v>78</v>
      </c>
      <c r="AO1622" s="1">
        <v>1</v>
      </c>
    </row>
    <row r="1623" spans="2:42">
      <c r="B1623" s="33"/>
      <c r="AE1623" s="5"/>
      <c r="AL1623" s="11" t="s">
        <v>1487</v>
      </c>
      <c r="AM1623" s="11" t="s">
        <v>10</v>
      </c>
      <c r="AN1623" s="11" t="s">
        <v>78</v>
      </c>
      <c r="AO1623" s="1">
        <v>1</v>
      </c>
    </row>
    <row r="1624" spans="2:42">
      <c r="B1624" s="33"/>
      <c r="AE1624" s="5"/>
      <c r="AL1624" s="11" t="s">
        <v>1488</v>
      </c>
      <c r="AM1624" s="11" t="s">
        <v>10</v>
      </c>
      <c r="AN1624" s="11" t="s">
        <v>78</v>
      </c>
      <c r="AO1624" s="1">
        <v>1</v>
      </c>
    </row>
    <row r="1625" spans="2:42">
      <c r="B1625" s="33"/>
      <c r="AE1625" s="5"/>
      <c r="AL1625" s="11" t="s">
        <v>1490</v>
      </c>
      <c r="AM1625" s="11" t="s">
        <v>10</v>
      </c>
      <c r="AN1625" s="11" t="s">
        <v>78</v>
      </c>
      <c r="AO1625" s="1">
        <v>1</v>
      </c>
    </row>
    <row r="1626" spans="2:42">
      <c r="B1626" s="33"/>
      <c r="AE1626" s="5"/>
      <c r="AL1626" s="11" t="s">
        <v>1491</v>
      </c>
      <c r="AM1626" s="11" t="s">
        <v>10</v>
      </c>
      <c r="AN1626" s="11" t="s">
        <v>78</v>
      </c>
      <c r="AO1626" s="1">
        <v>1</v>
      </c>
    </row>
    <row r="1627" spans="2:42">
      <c r="B1627" s="33"/>
      <c r="AE1627" s="5"/>
      <c r="AL1627" s="11" t="s">
        <v>1492</v>
      </c>
      <c r="AM1627" s="11" t="s">
        <v>10</v>
      </c>
      <c r="AN1627" s="11" t="s">
        <v>78</v>
      </c>
      <c r="AO1627" s="1">
        <v>1</v>
      </c>
    </row>
    <row r="1628" spans="2:42">
      <c r="B1628" s="33"/>
      <c r="AE1628" s="5"/>
      <c r="AL1628" s="11" t="s">
        <v>1493</v>
      </c>
      <c r="AM1628" s="11" t="s">
        <v>10</v>
      </c>
      <c r="AN1628" s="11" t="s">
        <v>78</v>
      </c>
      <c r="AO1628" s="1">
        <v>1</v>
      </c>
    </row>
    <row r="1629" spans="2:42">
      <c r="B1629" s="33"/>
      <c r="AE1629" s="5"/>
      <c r="AL1629" s="11" t="s">
        <v>1494</v>
      </c>
      <c r="AM1629" s="11" t="s">
        <v>10</v>
      </c>
      <c r="AN1629" s="11" t="s">
        <v>78</v>
      </c>
      <c r="AO1629" s="1">
        <v>1</v>
      </c>
    </row>
    <row r="1630" spans="2:42">
      <c r="B1630" s="33"/>
      <c r="AE1630" s="5"/>
      <c r="AL1630" s="11" t="s">
        <v>1495</v>
      </c>
      <c r="AM1630" s="11" t="s">
        <v>10</v>
      </c>
      <c r="AN1630" s="11" t="s">
        <v>78</v>
      </c>
      <c r="AO1630" s="1">
        <v>1</v>
      </c>
    </row>
    <row r="1631" spans="2:42">
      <c r="B1631" s="33"/>
      <c r="AE1631" s="5"/>
      <c r="AL1631" s="11" t="s">
        <v>1496</v>
      </c>
      <c r="AM1631" s="11" t="s">
        <v>10</v>
      </c>
      <c r="AN1631" s="11" t="s">
        <v>78</v>
      </c>
      <c r="AO1631" s="1">
        <v>1</v>
      </c>
    </row>
    <row r="1632" spans="2:42">
      <c r="B1632" s="33"/>
      <c r="X1632" s="16"/>
      <c r="Y1632" s="16"/>
      <c r="Z1632" s="16"/>
      <c r="AA1632" s="16"/>
      <c r="AB1632" s="16"/>
      <c r="AC1632" s="16"/>
      <c r="AD1632" s="16"/>
      <c r="AE1632" s="7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</row>
    <row r="1633" spans="2:42">
      <c r="B1633" s="33"/>
      <c r="AE1633" s="11"/>
    </row>
    <row r="1634" spans="2:42">
      <c r="B1634" s="33"/>
      <c r="N1634" s="11">
        <f>SUM(S1634,X1634,X1639)</f>
        <v>0</v>
      </c>
      <c r="O1634" s="20" t="s">
        <v>1308</v>
      </c>
      <c r="P1634" s="42" t="s">
        <v>1497</v>
      </c>
      <c r="Q1634" s="42"/>
      <c r="R1634" s="42"/>
      <c r="S1634" s="11">
        <f>COUNTA(R1635:R1636)-COUNTIF(P1635:P1636,"兼")</f>
        <v>0</v>
      </c>
      <c r="X1634" s="11">
        <f>SUM(AC1634)</f>
        <v>0</v>
      </c>
      <c r="Y1634" s="20" t="s">
        <v>1310</v>
      </c>
      <c r="Z1634" s="42" t="s">
        <v>1498</v>
      </c>
      <c r="AA1634" s="42"/>
      <c r="AB1634" s="42"/>
      <c r="AC1634" s="11">
        <f>COUNTA(AB1635:AB1636)-COUNTIF(Z1635:Z1636,"兼")</f>
        <v>0</v>
      </c>
      <c r="AE1634" s="5"/>
    </row>
    <row r="1635" spans="2:42">
      <c r="B1635" s="33"/>
      <c r="P1635" s="11" t="s">
        <v>57</v>
      </c>
      <c r="Q1635" s="11" t="s">
        <v>674</v>
      </c>
      <c r="R1635" s="11" t="s">
        <v>29</v>
      </c>
      <c r="S1635" s="11" t="s">
        <v>10</v>
      </c>
      <c r="T1635" s="11" t="s">
        <v>14</v>
      </c>
      <c r="U1635" s="1">
        <v>0.4</v>
      </c>
      <c r="Z1635" s="11" t="s">
        <v>57</v>
      </c>
      <c r="AA1635" s="11" t="s">
        <v>98</v>
      </c>
      <c r="AB1635" s="11" t="s">
        <v>1312</v>
      </c>
      <c r="AC1635" s="11" t="s">
        <v>10</v>
      </c>
      <c r="AD1635" s="11" t="s">
        <v>78</v>
      </c>
      <c r="AE1635" s="40">
        <v>0.2</v>
      </c>
    </row>
    <row r="1636" spans="2:42">
      <c r="B1636" s="33"/>
      <c r="P1636" s="11" t="s">
        <v>57</v>
      </c>
      <c r="Q1636" s="11" t="s">
        <v>677</v>
      </c>
      <c r="R1636" s="11" t="s">
        <v>1312</v>
      </c>
      <c r="S1636" s="11" t="s">
        <v>10</v>
      </c>
      <c r="T1636" s="11" t="s">
        <v>78</v>
      </c>
      <c r="U1636" s="1">
        <v>0.2</v>
      </c>
      <c r="Z1636" s="11" t="s">
        <v>57</v>
      </c>
      <c r="AB1636" s="11" t="s">
        <v>1619</v>
      </c>
      <c r="AC1636" s="11" t="s">
        <v>10</v>
      </c>
      <c r="AD1636" s="11" t="s">
        <v>110</v>
      </c>
      <c r="AE1636" s="40">
        <v>0.2</v>
      </c>
    </row>
    <row r="1637" spans="2:42">
      <c r="B1637" s="33"/>
      <c r="X1637" s="35"/>
      <c r="Y1637" s="35"/>
      <c r="Z1637" s="35"/>
      <c r="AA1637" s="35"/>
      <c r="AB1637" s="35"/>
      <c r="AC1637" s="35"/>
      <c r="AD1637" s="35"/>
      <c r="AE1637" s="9"/>
      <c r="AF1637" s="35"/>
      <c r="AG1637" s="35"/>
      <c r="AH1637" s="35"/>
      <c r="AI1637" s="35"/>
      <c r="AJ1637" s="35"/>
      <c r="AK1637" s="35"/>
      <c r="AL1637" s="35"/>
      <c r="AM1637" s="35"/>
      <c r="AN1637" s="35"/>
      <c r="AO1637" s="35"/>
      <c r="AP1637" s="16"/>
    </row>
    <row r="1638" spans="2:42">
      <c r="B1638" s="33"/>
      <c r="AE1638" s="5"/>
    </row>
    <row r="1639" spans="2:42">
      <c r="B1639" s="33"/>
      <c r="X1639" s="11">
        <f>SUM(AC1639,AM1639)</f>
        <v>0</v>
      </c>
      <c r="Y1639" s="20" t="s">
        <v>1350</v>
      </c>
      <c r="Z1639" s="42" t="s">
        <v>1499</v>
      </c>
      <c r="AA1639" s="42"/>
      <c r="AB1639" s="42"/>
      <c r="AC1639" s="11">
        <f>COUNTA(AB1640:AB1640)-COUNTIF(Z1640:Z1640,"兼")</f>
        <v>0</v>
      </c>
      <c r="AE1639" s="5"/>
      <c r="AI1639" s="20" t="s">
        <v>1500</v>
      </c>
      <c r="AJ1639" s="42" t="s">
        <v>1501</v>
      </c>
      <c r="AK1639" s="42"/>
      <c r="AL1639" s="42"/>
      <c r="AM1639" s="11">
        <f>COUNTA(AL1640:AL1642)-COUNTIF(AJ1640:AJ1642,"兼")</f>
        <v>0</v>
      </c>
    </row>
    <row r="1640" spans="2:42">
      <c r="B1640" s="33"/>
      <c r="Z1640" s="11" t="s">
        <v>138</v>
      </c>
      <c r="AA1640" s="11" t="s">
        <v>98</v>
      </c>
      <c r="AB1640" s="11" t="s">
        <v>1353</v>
      </c>
      <c r="AC1640" s="11" t="s">
        <v>10</v>
      </c>
      <c r="AD1640" s="11" t="s">
        <v>78</v>
      </c>
      <c r="AE1640" s="40">
        <v>0.4</v>
      </c>
      <c r="AJ1640" s="11" t="s">
        <v>138</v>
      </c>
      <c r="AK1640" s="11" t="s">
        <v>1209</v>
      </c>
      <c r="AL1640" s="11" t="s">
        <v>1313</v>
      </c>
      <c r="AM1640" s="11" t="s">
        <v>10</v>
      </c>
      <c r="AN1640" s="11" t="s">
        <v>78</v>
      </c>
      <c r="AO1640" s="1">
        <v>0.4</v>
      </c>
    </row>
    <row r="1641" spans="2:42">
      <c r="B1641" s="33"/>
      <c r="AJ1641" s="11" t="s">
        <v>138</v>
      </c>
      <c r="AL1641" s="11" t="s">
        <v>1168</v>
      </c>
      <c r="AM1641" s="11" t="s">
        <v>10</v>
      </c>
      <c r="AN1641" s="11" t="s">
        <v>78</v>
      </c>
      <c r="AO1641" s="40">
        <v>0.4</v>
      </c>
    </row>
    <row r="1642" spans="2:42">
      <c r="B1642" s="33"/>
      <c r="AJ1642" s="11" t="s">
        <v>1325</v>
      </c>
      <c r="AL1642" s="11" t="s">
        <v>1175</v>
      </c>
      <c r="AM1642" s="11" t="s">
        <v>10</v>
      </c>
      <c r="AN1642" s="11" t="s">
        <v>110</v>
      </c>
      <c r="AO1642" s="1">
        <v>0.4</v>
      </c>
    </row>
    <row r="1643" spans="2:42">
      <c r="B1643" s="33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7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</row>
    <row r="1644" spans="2:42">
      <c r="B1644" s="33"/>
      <c r="AE1644" s="5"/>
    </row>
    <row r="1645" spans="2:42">
      <c r="B1645" s="33"/>
      <c r="N1645" s="11">
        <f>SUM(S1645,X1645,X1650,X1660)</f>
        <v>17</v>
      </c>
      <c r="O1645" s="20" t="s">
        <v>1502</v>
      </c>
      <c r="P1645" s="42" t="s">
        <v>1503</v>
      </c>
      <c r="Q1645" s="42"/>
      <c r="R1645" s="42"/>
      <c r="S1645" s="11">
        <f>COUNTA(R1646:R1648)-COUNTIF(P1646:P1648,"兼")</f>
        <v>2</v>
      </c>
      <c r="X1645" s="11">
        <f>SUM(AC1645)</f>
        <v>2</v>
      </c>
      <c r="Y1645" s="20" t="s">
        <v>1504</v>
      </c>
      <c r="Z1645" s="42" t="s">
        <v>1505</v>
      </c>
      <c r="AA1645" s="42"/>
      <c r="AB1645" s="42"/>
      <c r="AC1645" s="11">
        <f>COUNTA(AB1646:AB1647)-COUNTIF(Z1646:Z1647,"兼")</f>
        <v>2</v>
      </c>
      <c r="AE1645" s="5"/>
    </row>
    <row r="1646" spans="2:42">
      <c r="B1646" s="33"/>
      <c r="P1646" s="11" t="s">
        <v>57</v>
      </c>
      <c r="Q1646" s="11" t="s">
        <v>674</v>
      </c>
      <c r="R1646" s="11" t="s">
        <v>19</v>
      </c>
      <c r="S1646" s="11" t="s">
        <v>10</v>
      </c>
      <c r="T1646" s="11" t="s">
        <v>14</v>
      </c>
      <c r="U1646" s="1">
        <v>0.1</v>
      </c>
      <c r="AA1646" s="11" t="s">
        <v>98</v>
      </c>
      <c r="AB1646" s="11" t="s">
        <v>1506</v>
      </c>
      <c r="AC1646" s="11" t="s">
        <v>10</v>
      </c>
      <c r="AD1646" s="11" t="s">
        <v>14</v>
      </c>
      <c r="AE1646" s="40">
        <v>1</v>
      </c>
    </row>
    <row r="1647" spans="2:42">
      <c r="B1647" s="33"/>
      <c r="Q1647" s="11" t="s">
        <v>677</v>
      </c>
      <c r="R1647" s="11" t="s">
        <v>1507</v>
      </c>
      <c r="S1647" s="11" t="s">
        <v>10</v>
      </c>
      <c r="T1647" s="11" t="s">
        <v>14</v>
      </c>
      <c r="U1647" s="1">
        <v>0.9</v>
      </c>
      <c r="AB1647" s="11" t="s">
        <v>2261</v>
      </c>
      <c r="AC1647" s="11" t="s">
        <v>10</v>
      </c>
      <c r="AD1647" s="11" t="s">
        <v>14</v>
      </c>
      <c r="AE1647" s="40">
        <v>0.5</v>
      </c>
    </row>
    <row r="1648" spans="2:42">
      <c r="B1648" s="33"/>
      <c r="Q1648" s="11" t="s">
        <v>1508</v>
      </c>
      <c r="R1648" s="11" t="s">
        <v>1509</v>
      </c>
      <c r="S1648" s="11" t="s">
        <v>10</v>
      </c>
      <c r="T1648" s="11" t="s">
        <v>110</v>
      </c>
      <c r="U1648" s="1">
        <v>0.3</v>
      </c>
      <c r="X1648" s="16"/>
      <c r="Y1648" s="16"/>
      <c r="Z1648" s="16"/>
      <c r="AA1648" s="16"/>
      <c r="AB1648" s="16"/>
      <c r="AC1648" s="16"/>
      <c r="AD1648" s="16"/>
      <c r="AE1648" s="7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</row>
    <row r="1649" spans="2:42">
      <c r="B1649" s="33"/>
      <c r="AE1649" s="5"/>
    </row>
    <row r="1650" spans="2:42">
      <c r="B1650" s="33"/>
      <c r="X1650" s="11">
        <f>SUM(AC1650,AM1650,AM1654)</f>
        <v>3</v>
      </c>
      <c r="Y1650" s="20" t="s">
        <v>1510</v>
      </c>
      <c r="Z1650" s="42" t="s">
        <v>1511</v>
      </c>
      <c r="AA1650" s="42"/>
      <c r="AB1650" s="42"/>
      <c r="AC1650" s="11">
        <f>COUNTA(AB1651:AB1653)-COUNTIF(Z1651:Z1653,"兼")</f>
        <v>1</v>
      </c>
      <c r="AE1650" s="5"/>
      <c r="AI1650" s="20" t="s">
        <v>1512</v>
      </c>
      <c r="AJ1650" s="42" t="s">
        <v>1513</v>
      </c>
      <c r="AK1650" s="42"/>
      <c r="AL1650" s="42"/>
      <c r="AM1650" s="11">
        <f>COUNTA(AL1651:AL1652)-COUNTIF(AJ1651:AJ1652,"兼")</f>
        <v>0</v>
      </c>
    </row>
    <row r="1651" spans="2:42">
      <c r="B1651" s="33"/>
      <c r="Z1651" s="11" t="s">
        <v>57</v>
      </c>
      <c r="AA1651" s="11" t="s">
        <v>98</v>
      </c>
      <c r="AB1651" s="11" t="s">
        <v>1507</v>
      </c>
      <c r="AC1651" s="11" t="s">
        <v>10</v>
      </c>
      <c r="AD1651" s="11" t="s">
        <v>14</v>
      </c>
      <c r="AE1651" s="40">
        <v>0.1</v>
      </c>
      <c r="AJ1651" s="11" t="s">
        <v>138</v>
      </c>
      <c r="AK1651" s="11" t="s">
        <v>1209</v>
      </c>
      <c r="AL1651" s="11" t="s">
        <v>1514</v>
      </c>
      <c r="AM1651" s="11" t="s">
        <v>10</v>
      </c>
      <c r="AN1651" s="11" t="s">
        <v>110</v>
      </c>
      <c r="AO1651" s="40">
        <v>0.2</v>
      </c>
    </row>
    <row r="1652" spans="2:42">
      <c r="B1652" s="33"/>
      <c r="Z1652" s="11" t="s">
        <v>138</v>
      </c>
      <c r="AA1652" s="11" t="s">
        <v>1212</v>
      </c>
      <c r="AB1652" s="11" t="s">
        <v>1514</v>
      </c>
      <c r="AC1652" s="11" t="s">
        <v>10</v>
      </c>
      <c r="AD1652" s="11" t="s">
        <v>110</v>
      </c>
      <c r="AE1652" s="40">
        <v>0.1</v>
      </c>
      <c r="AJ1652" s="11" t="s">
        <v>138</v>
      </c>
      <c r="AL1652" s="11" t="s">
        <v>1515</v>
      </c>
      <c r="AM1652" s="11" t="s">
        <v>10</v>
      </c>
      <c r="AN1652" s="11" t="s">
        <v>43</v>
      </c>
      <c r="AO1652" s="1">
        <v>0.1</v>
      </c>
    </row>
    <row r="1653" spans="2:42">
      <c r="B1653" s="33"/>
      <c r="AA1653" s="11" t="s">
        <v>1212</v>
      </c>
      <c r="AB1653" s="11" t="s">
        <v>1516</v>
      </c>
      <c r="AC1653" s="11" t="s">
        <v>1517</v>
      </c>
      <c r="AD1653" s="11" t="s">
        <v>14</v>
      </c>
      <c r="AE1653" s="40">
        <v>1</v>
      </c>
    </row>
    <row r="1654" spans="2:42">
      <c r="B1654" s="33"/>
      <c r="AE1654" s="5"/>
      <c r="AI1654" s="20" t="s">
        <v>1518</v>
      </c>
      <c r="AJ1654" s="42" t="s">
        <v>1519</v>
      </c>
      <c r="AK1654" s="42"/>
      <c r="AL1654" s="42"/>
      <c r="AM1654" s="11">
        <f>COUNTA(AL1655:AL1657)-COUNTIF(AJ1655:AJ1657,"兼")</f>
        <v>2</v>
      </c>
    </row>
    <row r="1655" spans="2:42">
      <c r="B1655" s="33"/>
      <c r="AE1655" s="5"/>
      <c r="AK1655" s="11" t="s">
        <v>1209</v>
      </c>
      <c r="AL1655" s="11" t="s">
        <v>1520</v>
      </c>
      <c r="AM1655" s="11" t="s">
        <v>10</v>
      </c>
      <c r="AN1655" s="11" t="s">
        <v>110</v>
      </c>
      <c r="AO1655" s="1">
        <v>0.5</v>
      </c>
    </row>
    <row r="1656" spans="2:42">
      <c r="B1656" s="33"/>
      <c r="AE1656" s="5"/>
      <c r="AL1656" s="11" t="s">
        <v>1181</v>
      </c>
      <c r="AM1656" s="11" t="s">
        <v>10</v>
      </c>
      <c r="AN1656" s="11" t="s">
        <v>110</v>
      </c>
      <c r="AO1656" s="1">
        <v>0.5</v>
      </c>
    </row>
    <row r="1657" spans="2:42">
      <c r="B1657" s="33"/>
      <c r="AE1657" s="5"/>
      <c r="AJ1657" s="11" t="s">
        <v>138</v>
      </c>
      <c r="AL1657" s="11" t="s">
        <v>1521</v>
      </c>
      <c r="AM1657" s="11" t="s">
        <v>10</v>
      </c>
      <c r="AN1657" s="11" t="s">
        <v>146</v>
      </c>
      <c r="AO1657" s="1">
        <v>0.1</v>
      </c>
    </row>
    <row r="1658" spans="2:42">
      <c r="B1658" s="33"/>
      <c r="X1658" s="16"/>
      <c r="Y1658" s="16"/>
      <c r="Z1658" s="16"/>
      <c r="AA1658" s="16"/>
      <c r="AB1658" s="16"/>
      <c r="AC1658" s="16"/>
      <c r="AD1658" s="16"/>
      <c r="AE1658" s="7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</row>
    <row r="1659" spans="2:42">
      <c r="B1659" s="33"/>
      <c r="AE1659" s="5"/>
    </row>
    <row r="1660" spans="2:42">
      <c r="B1660" s="33"/>
      <c r="X1660" s="11">
        <f>SUM(AC1660,AM1660,AM1666)</f>
        <v>10</v>
      </c>
      <c r="Y1660" s="20" t="s">
        <v>1522</v>
      </c>
      <c r="Z1660" s="42" t="s">
        <v>1523</v>
      </c>
      <c r="AA1660" s="42"/>
      <c r="AB1660" s="42"/>
      <c r="AC1660" s="11">
        <f>COUNTA(AB1661:AB1663)-COUNTIF(Z1661:Z1663,"兼")</f>
        <v>1</v>
      </c>
      <c r="AE1660" s="5"/>
      <c r="AI1660" s="20" t="s">
        <v>1524</v>
      </c>
      <c r="AJ1660" s="42" t="s">
        <v>1087</v>
      </c>
      <c r="AK1660" s="42"/>
      <c r="AL1660" s="42"/>
      <c r="AM1660" s="11">
        <f>COUNTA(AL1661:AL1664)-COUNTIF(AJ1661:AJ1664,"兼")</f>
        <v>4</v>
      </c>
    </row>
    <row r="1661" spans="2:42">
      <c r="B1661" s="33"/>
      <c r="Z1661" s="11" t="s">
        <v>57</v>
      </c>
      <c r="AA1661" s="11" t="s">
        <v>98</v>
      </c>
      <c r="AB1661" s="11" t="s">
        <v>1525</v>
      </c>
      <c r="AC1661" s="11" t="s">
        <v>10</v>
      </c>
      <c r="AD1661" s="11" t="s">
        <v>110</v>
      </c>
      <c r="AE1661" s="40">
        <v>0.2</v>
      </c>
      <c r="AK1661" s="11" t="s">
        <v>1209</v>
      </c>
      <c r="AL1661" s="11" t="s">
        <v>1526</v>
      </c>
      <c r="AM1661" s="11" t="s">
        <v>10</v>
      </c>
      <c r="AN1661" s="11" t="s">
        <v>110</v>
      </c>
      <c r="AO1661" s="1">
        <v>0.6</v>
      </c>
    </row>
    <row r="1662" spans="2:42">
      <c r="B1662" s="33"/>
      <c r="AA1662" s="11" t="s">
        <v>186</v>
      </c>
      <c r="AB1662" s="11" t="s">
        <v>1527</v>
      </c>
      <c r="AC1662" s="11" t="s">
        <v>10</v>
      </c>
      <c r="AD1662" s="11" t="s">
        <v>110</v>
      </c>
      <c r="AE1662" s="40">
        <v>0.4</v>
      </c>
      <c r="AL1662" s="11" t="s">
        <v>1183</v>
      </c>
      <c r="AM1662" s="11" t="s">
        <v>10</v>
      </c>
      <c r="AN1662" s="11" t="s">
        <v>110</v>
      </c>
      <c r="AO1662" s="1">
        <v>1</v>
      </c>
    </row>
    <row r="1663" spans="2:42">
      <c r="B1663" s="33"/>
      <c r="Z1663" s="11" t="s">
        <v>57</v>
      </c>
      <c r="AB1663" s="11" t="s">
        <v>2261</v>
      </c>
      <c r="AC1663" s="11" t="s">
        <v>10</v>
      </c>
      <c r="AD1663" s="11" t="s">
        <v>14</v>
      </c>
      <c r="AE1663" s="40">
        <v>0.5</v>
      </c>
      <c r="AL1663" s="11" t="s">
        <v>1184</v>
      </c>
      <c r="AM1663" s="11" t="s">
        <v>10</v>
      </c>
      <c r="AN1663" s="11" t="s">
        <v>110</v>
      </c>
      <c r="AO1663" s="1">
        <v>1</v>
      </c>
    </row>
    <row r="1664" spans="2:42">
      <c r="B1664" s="33"/>
      <c r="AE1664" s="5"/>
      <c r="AL1664" s="11" t="s">
        <v>1185</v>
      </c>
      <c r="AM1664" s="11" t="s">
        <v>10</v>
      </c>
      <c r="AN1664" s="11" t="s">
        <v>110</v>
      </c>
      <c r="AO1664" s="1">
        <v>1</v>
      </c>
    </row>
    <row r="1665" spans="2:42">
      <c r="B1665" s="33"/>
      <c r="AE1665" s="5"/>
    </row>
    <row r="1666" spans="2:42">
      <c r="B1666" s="33"/>
      <c r="AE1666" s="5"/>
      <c r="AI1666" s="20" t="s">
        <v>1528</v>
      </c>
      <c r="AJ1666" s="42" t="s">
        <v>1421</v>
      </c>
      <c r="AK1666" s="42"/>
      <c r="AL1666" s="42"/>
      <c r="AM1666" s="11">
        <f>COUNTA(AL1667:AL1674)-COUNTIF(AJ1667:AJ1674,"兼")</f>
        <v>5</v>
      </c>
    </row>
    <row r="1667" spans="2:42">
      <c r="B1667" s="33"/>
      <c r="AE1667" s="5"/>
      <c r="AJ1667" s="11" t="s">
        <v>138</v>
      </c>
      <c r="AK1667" s="11" t="s">
        <v>1209</v>
      </c>
      <c r="AL1667" s="11" t="s">
        <v>1179</v>
      </c>
      <c r="AM1667" s="11" t="s">
        <v>10</v>
      </c>
      <c r="AN1667" s="11" t="s">
        <v>110</v>
      </c>
      <c r="AO1667" s="1">
        <v>0.2</v>
      </c>
    </row>
    <row r="1668" spans="2:42">
      <c r="B1668" s="33"/>
      <c r="AE1668" s="5"/>
      <c r="AL1668" s="11" t="s">
        <v>1529</v>
      </c>
      <c r="AM1668" s="11" t="s">
        <v>10</v>
      </c>
      <c r="AN1668" s="11" t="s">
        <v>110</v>
      </c>
      <c r="AO1668" s="1">
        <v>1</v>
      </c>
    </row>
    <row r="1669" spans="2:42">
      <c r="B1669" s="33"/>
      <c r="AE1669" s="5"/>
      <c r="AL1669" s="11" t="s">
        <v>1188</v>
      </c>
      <c r="AM1669" s="11" t="s">
        <v>10</v>
      </c>
      <c r="AN1669" s="11" t="s">
        <v>110</v>
      </c>
      <c r="AO1669" s="1">
        <v>1</v>
      </c>
    </row>
    <row r="1670" spans="2:42">
      <c r="B1670" s="33"/>
      <c r="AE1670" s="5"/>
      <c r="AL1670" s="11" t="s">
        <v>1189</v>
      </c>
      <c r="AM1670" s="11" t="s">
        <v>10</v>
      </c>
      <c r="AN1670" s="11" t="s">
        <v>110</v>
      </c>
      <c r="AO1670" s="1">
        <v>1</v>
      </c>
    </row>
    <row r="1671" spans="2:42">
      <c r="B1671" s="33"/>
      <c r="AE1671" s="5"/>
      <c r="AL1671" s="11" t="s">
        <v>1190</v>
      </c>
      <c r="AM1671" s="11" t="s">
        <v>10</v>
      </c>
      <c r="AN1671" s="11" t="s">
        <v>110</v>
      </c>
      <c r="AO1671" s="1">
        <v>1</v>
      </c>
    </row>
    <row r="1672" spans="2:42">
      <c r="B1672" s="33"/>
      <c r="AE1672" s="5"/>
      <c r="AJ1672" s="11" t="s">
        <v>138</v>
      </c>
      <c r="AL1672" s="11" t="s">
        <v>1530</v>
      </c>
      <c r="AM1672" s="11" t="s">
        <v>10</v>
      </c>
      <c r="AN1672" s="11" t="s">
        <v>146</v>
      </c>
      <c r="AO1672" s="1">
        <v>0.5</v>
      </c>
    </row>
    <row r="1673" spans="2:42">
      <c r="B1673" s="33"/>
      <c r="AE1673" s="5"/>
      <c r="AL1673" s="11" t="s">
        <v>1186</v>
      </c>
      <c r="AM1673" s="11" t="s">
        <v>10</v>
      </c>
      <c r="AN1673" s="11" t="s">
        <v>110</v>
      </c>
      <c r="AO1673" s="1">
        <v>1</v>
      </c>
    </row>
    <row r="1674" spans="2:42">
      <c r="B1674" s="33"/>
      <c r="AE1674" s="5"/>
      <c r="AJ1674" s="11" t="s">
        <v>57</v>
      </c>
      <c r="AL1674" s="11" t="s">
        <v>2252</v>
      </c>
      <c r="AM1674" s="11" t="s">
        <v>10</v>
      </c>
      <c r="AN1674" s="11" t="s">
        <v>146</v>
      </c>
      <c r="AO1674" s="1">
        <v>0.2</v>
      </c>
    </row>
    <row r="1675" spans="2:42">
      <c r="B1675" s="33"/>
      <c r="X1675" s="16"/>
      <c r="Y1675" s="16"/>
      <c r="Z1675" s="16"/>
      <c r="AA1675" s="16"/>
      <c r="AB1675" s="16"/>
      <c r="AC1675" s="16"/>
      <c r="AD1675" s="16"/>
      <c r="AE1675" s="7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</row>
    <row r="1676" spans="2:42">
      <c r="B1676" s="33"/>
      <c r="AE1676" s="5"/>
    </row>
    <row r="1677" spans="2:42">
      <c r="B1677" s="33"/>
      <c r="N1677" s="11">
        <f>SUM(S1677,X1677)</f>
        <v>0</v>
      </c>
      <c r="O1677" s="20" t="s">
        <v>1502</v>
      </c>
      <c r="P1677" s="42" t="s">
        <v>1531</v>
      </c>
      <c r="Q1677" s="42"/>
      <c r="R1677" s="42"/>
      <c r="S1677" s="11">
        <f>COUNTA(R1678:R1679)-COUNTIF(P1678:P1679,"兼")</f>
        <v>0</v>
      </c>
      <c r="X1677" s="11">
        <f>SUM(AC1677,AM1677,AM1680)</f>
        <v>0</v>
      </c>
      <c r="Y1677" s="20" t="s">
        <v>1522</v>
      </c>
      <c r="Z1677" s="42" t="s">
        <v>1532</v>
      </c>
      <c r="AA1677" s="42"/>
      <c r="AB1677" s="42"/>
      <c r="AC1677" s="11">
        <f>COUNTA(AB1678:AB1684)-COUNTIF(Z1678:Z1684,"兼")</f>
        <v>0</v>
      </c>
      <c r="AE1677" s="5"/>
      <c r="AI1677" s="20" t="s">
        <v>1533</v>
      </c>
      <c r="AJ1677" s="42" t="s">
        <v>1534</v>
      </c>
      <c r="AK1677" s="42"/>
      <c r="AL1677" s="42"/>
      <c r="AM1677" s="11">
        <f>COUNTA(AL1678)-COUNTIF(AJ1678,"兼")</f>
        <v>0</v>
      </c>
    </row>
    <row r="1678" spans="2:42">
      <c r="B1678" s="33"/>
      <c r="P1678" s="11" t="s">
        <v>57</v>
      </c>
      <c r="Q1678" s="11" t="s">
        <v>674</v>
      </c>
      <c r="R1678" s="11" t="s">
        <v>19</v>
      </c>
      <c r="S1678" s="11" t="s">
        <v>10</v>
      </c>
      <c r="T1678" s="11" t="s">
        <v>14</v>
      </c>
      <c r="U1678" s="1">
        <v>0.1</v>
      </c>
      <c r="Z1678" s="11" t="s">
        <v>57</v>
      </c>
      <c r="AA1678" s="11" t="s">
        <v>98</v>
      </c>
      <c r="AB1678" s="11" t="s">
        <v>1525</v>
      </c>
      <c r="AC1678" s="11" t="s">
        <v>10</v>
      </c>
      <c r="AD1678" s="11" t="s">
        <v>110</v>
      </c>
      <c r="AE1678" s="40">
        <v>0.1</v>
      </c>
      <c r="AJ1678" s="11" t="s">
        <v>57</v>
      </c>
      <c r="AK1678" s="11" t="s">
        <v>1209</v>
      </c>
      <c r="AL1678" s="11" t="s">
        <v>1526</v>
      </c>
      <c r="AM1678" s="11" t="s">
        <v>10</v>
      </c>
      <c r="AN1678" s="11" t="s">
        <v>110</v>
      </c>
      <c r="AO1678" s="1">
        <v>0.4</v>
      </c>
    </row>
    <row r="1679" spans="2:42">
      <c r="B1679" s="33"/>
      <c r="P1679" s="11" t="s">
        <v>57</v>
      </c>
      <c r="Q1679" s="11" t="s">
        <v>1508</v>
      </c>
      <c r="R1679" s="11" t="s">
        <v>1509</v>
      </c>
      <c r="S1679" s="11" t="s">
        <v>10</v>
      </c>
      <c r="T1679" s="11" t="s">
        <v>110</v>
      </c>
      <c r="U1679" s="1">
        <v>0.3</v>
      </c>
      <c r="Z1679" s="11" t="s">
        <v>57</v>
      </c>
      <c r="AA1679" s="11" t="s">
        <v>186</v>
      </c>
      <c r="AB1679" s="11" t="s">
        <v>1527</v>
      </c>
      <c r="AC1679" s="11" t="s">
        <v>10</v>
      </c>
      <c r="AD1679" s="11" t="s">
        <v>110</v>
      </c>
      <c r="AE1679" s="40">
        <v>0.2</v>
      </c>
    </row>
    <row r="1680" spans="2:42">
      <c r="B1680" s="33"/>
      <c r="Z1680" s="11" t="s">
        <v>138</v>
      </c>
      <c r="AA1680" s="11" t="s">
        <v>1212</v>
      </c>
      <c r="AB1680" s="11" t="s">
        <v>1514</v>
      </c>
      <c r="AC1680" s="11" t="s">
        <v>10</v>
      </c>
      <c r="AD1680" s="11" t="s">
        <v>110</v>
      </c>
      <c r="AE1680" s="40">
        <v>0.1</v>
      </c>
      <c r="AI1680" s="20" t="s">
        <v>1535</v>
      </c>
      <c r="AJ1680" s="48" t="s">
        <v>1536</v>
      </c>
      <c r="AK1680" s="49"/>
      <c r="AL1680" s="50"/>
      <c r="AM1680" s="11">
        <f>COUNTA(AL1681:AL1681)-COUNTIF(AJ1681:AJ1681,"兼")</f>
        <v>0</v>
      </c>
    </row>
    <row r="1681" spans="2:42">
      <c r="B1681" s="33"/>
      <c r="Z1681" s="11" t="s">
        <v>57</v>
      </c>
      <c r="AB1681" s="11" t="s">
        <v>1181</v>
      </c>
      <c r="AC1681" s="11" t="s">
        <v>10</v>
      </c>
      <c r="AD1681" s="11" t="s">
        <v>110</v>
      </c>
      <c r="AE1681" s="1">
        <v>0.5</v>
      </c>
      <c r="AJ1681" s="11" t="s">
        <v>138</v>
      </c>
      <c r="AK1681" s="11" t="s">
        <v>1209</v>
      </c>
      <c r="AL1681" s="11" t="s">
        <v>1179</v>
      </c>
      <c r="AM1681" s="11" t="s">
        <v>10</v>
      </c>
      <c r="AN1681" s="11" t="s">
        <v>110</v>
      </c>
      <c r="AO1681" s="1">
        <v>0.2</v>
      </c>
    </row>
    <row r="1682" spans="2:42">
      <c r="B1682" s="33"/>
      <c r="Z1682" s="11" t="s">
        <v>57</v>
      </c>
      <c r="AB1682" s="11" t="s">
        <v>1520</v>
      </c>
      <c r="AC1682" s="11" t="s">
        <v>10</v>
      </c>
      <c r="AD1682" s="11" t="s">
        <v>110</v>
      </c>
      <c r="AE1682" s="1">
        <v>0.5</v>
      </c>
    </row>
    <row r="1683" spans="2:42">
      <c r="B1683" s="33"/>
      <c r="Z1683" s="11" t="s">
        <v>138</v>
      </c>
      <c r="AB1683" s="11" t="s">
        <v>1515</v>
      </c>
      <c r="AC1683" s="11" t="s">
        <v>10</v>
      </c>
      <c r="AD1683" s="11" t="s">
        <v>43</v>
      </c>
      <c r="AE1683" s="1">
        <v>0.1</v>
      </c>
    </row>
    <row r="1684" spans="2:42">
      <c r="B1684" s="33"/>
      <c r="Z1684" s="11" t="s">
        <v>138</v>
      </c>
      <c r="AB1684" s="11" t="s">
        <v>1521</v>
      </c>
      <c r="AC1684" s="11" t="s">
        <v>10</v>
      </c>
      <c r="AD1684" s="11" t="s">
        <v>146</v>
      </c>
      <c r="AE1684" s="1">
        <v>0.1</v>
      </c>
    </row>
    <row r="1685" spans="2:42">
      <c r="B1685" s="33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7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</row>
    <row r="1686" spans="2:42">
      <c r="B1686" s="33"/>
      <c r="AE1686" s="5"/>
    </row>
    <row r="1687" spans="2:42">
      <c r="B1687" s="33"/>
      <c r="N1687" s="11">
        <f>SUM(S1687,X1687,X1700,X1717)</f>
        <v>26</v>
      </c>
      <c r="O1687" s="20" t="s">
        <v>1537</v>
      </c>
      <c r="P1687" s="42" t="s">
        <v>1538</v>
      </c>
      <c r="Q1687" s="42"/>
      <c r="R1687" s="42"/>
      <c r="S1687" s="11">
        <f>COUNTA(R1688:R1691)-COUNTIF(P1688:P1691,"兼")</f>
        <v>3</v>
      </c>
      <c r="X1687" s="11">
        <f>SUM(AC1687,AM1687,AM1694)</f>
        <v>5</v>
      </c>
      <c r="Y1687" s="20" t="s">
        <v>1539</v>
      </c>
      <c r="Z1687" s="42" t="s">
        <v>1540</v>
      </c>
      <c r="AA1687" s="42"/>
      <c r="AB1687" s="42"/>
      <c r="AC1687" s="11">
        <f>COUNTA(AB1688:AB1689)-COUNTIF(Z1688:Z1689,"兼")</f>
        <v>1</v>
      </c>
      <c r="AE1687" s="5"/>
      <c r="AI1687" s="20" t="s">
        <v>1541</v>
      </c>
      <c r="AJ1687" s="42" t="s">
        <v>1364</v>
      </c>
      <c r="AK1687" s="42"/>
      <c r="AL1687" s="42"/>
      <c r="AM1687" s="11">
        <f>COUNTA(AL1688:AL1692)-COUNTIF(AJ1688:AJ1692,"兼")</f>
        <v>4</v>
      </c>
    </row>
    <row r="1688" spans="2:42">
      <c r="B1688" s="33"/>
      <c r="Q1688" s="11" t="s">
        <v>1542</v>
      </c>
      <c r="R1688" s="11" t="s">
        <v>59</v>
      </c>
      <c r="S1688" s="11" t="s">
        <v>10</v>
      </c>
      <c r="T1688" s="11" t="s">
        <v>14</v>
      </c>
      <c r="U1688" s="1">
        <v>0.5</v>
      </c>
      <c r="Z1688" s="11" t="s">
        <v>57</v>
      </c>
      <c r="AA1688" s="11" t="s">
        <v>98</v>
      </c>
      <c r="AB1688" s="11" t="s">
        <v>1543</v>
      </c>
      <c r="AC1688" s="11" t="s">
        <v>10</v>
      </c>
      <c r="AD1688" s="11" t="s">
        <v>78</v>
      </c>
      <c r="AE1688" s="40">
        <v>0.2</v>
      </c>
      <c r="AJ1688" s="11" t="s">
        <v>138</v>
      </c>
      <c r="AK1688" s="11" t="s">
        <v>1209</v>
      </c>
      <c r="AL1688" s="11" t="s">
        <v>1544</v>
      </c>
      <c r="AM1688" s="11" t="s">
        <v>10</v>
      </c>
      <c r="AN1688" s="11" t="s">
        <v>78</v>
      </c>
      <c r="AO1688" s="1">
        <v>0.4</v>
      </c>
    </row>
    <row r="1689" spans="2:42">
      <c r="B1689" s="33"/>
      <c r="Q1689" s="11" t="s">
        <v>1545</v>
      </c>
      <c r="R1689" s="11" t="s">
        <v>1169</v>
      </c>
      <c r="S1689" s="11" t="s">
        <v>10</v>
      </c>
      <c r="T1689" s="11" t="s">
        <v>78</v>
      </c>
      <c r="U1689" s="1">
        <v>0.4</v>
      </c>
      <c r="AA1689" s="11" t="s">
        <v>186</v>
      </c>
      <c r="AB1689" s="11" t="s">
        <v>1546</v>
      </c>
      <c r="AC1689" s="11" t="s">
        <v>10</v>
      </c>
      <c r="AD1689" s="11" t="s">
        <v>78</v>
      </c>
      <c r="AE1689" s="40">
        <v>0.6</v>
      </c>
      <c r="AL1689" s="11" t="s">
        <v>1547</v>
      </c>
      <c r="AM1689" s="11" t="s">
        <v>10</v>
      </c>
      <c r="AN1689" s="11" t="s">
        <v>78</v>
      </c>
      <c r="AO1689" s="1">
        <v>1</v>
      </c>
    </row>
    <row r="1690" spans="2:42">
      <c r="B1690" s="33"/>
      <c r="Q1690" s="11" t="s">
        <v>2255</v>
      </c>
      <c r="R1690" s="11" t="s">
        <v>72</v>
      </c>
      <c r="S1690" s="11" t="s">
        <v>10</v>
      </c>
      <c r="T1690" s="11" t="s">
        <v>14</v>
      </c>
      <c r="U1690" s="1">
        <v>0.7</v>
      </c>
      <c r="AE1690" s="5"/>
      <c r="AL1690" s="11" t="s">
        <v>1548</v>
      </c>
      <c r="AM1690" s="11" t="s">
        <v>10</v>
      </c>
      <c r="AN1690" s="11" t="s">
        <v>78</v>
      </c>
      <c r="AO1690" s="1">
        <v>1</v>
      </c>
    </row>
    <row r="1691" spans="2:42">
      <c r="B1691" s="33"/>
      <c r="P1691" s="11" t="s">
        <v>57</v>
      </c>
      <c r="R1691" s="11" t="s">
        <v>1201</v>
      </c>
      <c r="S1691" s="11" t="s">
        <v>10</v>
      </c>
      <c r="T1691" s="11" t="s">
        <v>223</v>
      </c>
      <c r="U1691" s="1">
        <v>0.5</v>
      </c>
      <c r="AE1691" s="5"/>
      <c r="AL1691" s="11" t="s">
        <v>1549</v>
      </c>
      <c r="AM1691" s="11" t="s">
        <v>10</v>
      </c>
      <c r="AN1691" s="11" t="s">
        <v>223</v>
      </c>
      <c r="AO1691" s="1">
        <v>1</v>
      </c>
    </row>
    <row r="1692" spans="2:42">
      <c r="B1692" s="33"/>
      <c r="AE1692" s="5"/>
      <c r="AL1692" s="11" t="s">
        <v>1550</v>
      </c>
      <c r="AM1692" s="11" t="s">
        <v>10</v>
      </c>
      <c r="AN1692" s="11" t="s">
        <v>78</v>
      </c>
      <c r="AO1692" s="1">
        <v>1</v>
      </c>
    </row>
    <row r="1693" spans="2:42">
      <c r="B1693" s="33"/>
      <c r="AE1693" s="5"/>
      <c r="AO1693" s="1"/>
    </row>
    <row r="1694" spans="2:42">
      <c r="B1694" s="33"/>
      <c r="AE1694" s="5"/>
      <c r="AI1694" s="20" t="s">
        <v>2254</v>
      </c>
      <c r="AJ1694" s="42" t="s">
        <v>1058</v>
      </c>
      <c r="AK1694" s="42"/>
      <c r="AL1694" s="42"/>
      <c r="AM1694" s="11">
        <f>COUNTA(AL1695:AL1697)-COUNTIF(AJ1695:AJ1697,"兼")</f>
        <v>0</v>
      </c>
    </row>
    <row r="1695" spans="2:42">
      <c r="B1695" s="33"/>
      <c r="AE1695" s="5"/>
      <c r="AJ1695" s="11" t="s">
        <v>57</v>
      </c>
      <c r="AK1695" s="11" t="s">
        <v>1209</v>
      </c>
      <c r="AL1695" s="11" t="s">
        <v>1579</v>
      </c>
      <c r="AM1695" s="11" t="s">
        <v>10</v>
      </c>
      <c r="AN1695" s="11" t="s">
        <v>223</v>
      </c>
      <c r="AO1695" s="1">
        <v>0.1</v>
      </c>
    </row>
    <row r="1696" spans="2:42">
      <c r="B1696" s="33"/>
      <c r="AE1696" s="5"/>
      <c r="AJ1696" s="11" t="s">
        <v>57</v>
      </c>
      <c r="AL1696" s="11" t="s">
        <v>1580</v>
      </c>
      <c r="AM1696" s="11" t="s">
        <v>10</v>
      </c>
      <c r="AN1696" s="11" t="s">
        <v>223</v>
      </c>
      <c r="AO1696" s="1">
        <v>0.1</v>
      </c>
    </row>
    <row r="1697" spans="2:42">
      <c r="B1697" s="33"/>
      <c r="AE1697" s="5"/>
      <c r="AJ1697" s="11" t="s">
        <v>57</v>
      </c>
      <c r="AL1697" s="11" t="s">
        <v>1581</v>
      </c>
      <c r="AM1697" s="11" t="s">
        <v>10</v>
      </c>
      <c r="AN1697" s="11" t="s">
        <v>223</v>
      </c>
      <c r="AO1697" s="1">
        <v>0.1</v>
      </c>
    </row>
    <row r="1698" spans="2:42">
      <c r="B1698" s="33"/>
      <c r="X1698" s="16"/>
      <c r="Y1698" s="16"/>
      <c r="Z1698" s="16"/>
      <c r="AA1698" s="16"/>
      <c r="AB1698" s="16"/>
      <c r="AC1698" s="16"/>
      <c r="AD1698" s="16"/>
      <c r="AE1698" s="7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</row>
    <row r="1699" spans="2:42">
      <c r="B1699" s="33"/>
      <c r="AE1699" s="5"/>
    </row>
    <row r="1700" spans="2:42">
      <c r="B1700" s="33"/>
      <c r="X1700" s="11">
        <f>SUM(AC1700,AM1700)</f>
        <v>12</v>
      </c>
      <c r="Y1700" s="20" t="s">
        <v>1551</v>
      </c>
      <c r="Z1700" s="42" t="s">
        <v>1552</v>
      </c>
      <c r="AA1700" s="42"/>
      <c r="AB1700" s="42"/>
      <c r="AC1700" s="11">
        <f>COUNTA(AB1701:AB1703)-COUNTIF(Z1701:Z1703,"兼")</f>
        <v>2</v>
      </c>
      <c r="AE1700" s="5"/>
      <c r="AI1700" s="20" t="s">
        <v>1553</v>
      </c>
      <c r="AJ1700" s="42" t="s">
        <v>1554</v>
      </c>
      <c r="AK1700" s="42"/>
      <c r="AL1700" s="42"/>
      <c r="AM1700" s="11">
        <f>COUNTA(AL1701:AL1710)-COUNTIF(AJ1701:AJ1710,"兼")</f>
        <v>10</v>
      </c>
    </row>
    <row r="1701" spans="2:42">
      <c r="B1701" s="33"/>
      <c r="Z1701" s="11" t="s">
        <v>57</v>
      </c>
      <c r="AA1701" s="11" t="s">
        <v>98</v>
      </c>
      <c r="AB1701" s="11" t="s">
        <v>26</v>
      </c>
      <c r="AC1701" s="11" t="s">
        <v>10</v>
      </c>
      <c r="AD1701" s="11" t="s">
        <v>14</v>
      </c>
      <c r="AE1701" s="40">
        <v>0.1</v>
      </c>
      <c r="AK1701" s="11" t="s">
        <v>1209</v>
      </c>
      <c r="AL1701" s="11" t="s">
        <v>1555</v>
      </c>
      <c r="AM1701" s="11" t="s">
        <v>10</v>
      </c>
      <c r="AN1701" s="11" t="s">
        <v>78</v>
      </c>
      <c r="AO1701" s="1">
        <v>1</v>
      </c>
    </row>
    <row r="1702" spans="2:42">
      <c r="B1702" s="33"/>
      <c r="AA1702" s="11" t="s">
        <v>186</v>
      </c>
      <c r="AB1702" s="11" t="s">
        <v>1556</v>
      </c>
      <c r="AC1702" s="11" t="s">
        <v>10</v>
      </c>
      <c r="AD1702" s="11" t="s">
        <v>78</v>
      </c>
      <c r="AE1702" s="40">
        <v>1</v>
      </c>
      <c r="AL1702" s="11" t="s">
        <v>104</v>
      </c>
      <c r="AM1702" s="11" t="s">
        <v>10</v>
      </c>
      <c r="AN1702" s="11" t="s">
        <v>78</v>
      </c>
      <c r="AO1702" s="1">
        <v>0.6</v>
      </c>
    </row>
    <row r="1703" spans="2:42">
      <c r="B1703" s="33"/>
      <c r="AB1703" s="11" t="s">
        <v>2201</v>
      </c>
      <c r="AC1703" s="11" t="s">
        <v>10</v>
      </c>
      <c r="AD1703" s="11" t="s">
        <v>2232</v>
      </c>
      <c r="AE1703" s="40">
        <v>1</v>
      </c>
      <c r="AL1703" s="11" t="s">
        <v>1557</v>
      </c>
      <c r="AM1703" s="11" t="s">
        <v>10</v>
      </c>
      <c r="AN1703" s="11" t="s">
        <v>78</v>
      </c>
      <c r="AO1703" s="1">
        <v>1</v>
      </c>
    </row>
    <row r="1704" spans="2:42">
      <c r="B1704" s="33"/>
      <c r="AE1704" s="5"/>
      <c r="AL1704" s="11" t="s">
        <v>1558</v>
      </c>
      <c r="AM1704" s="11" t="s">
        <v>60</v>
      </c>
      <c r="AN1704" s="11" t="s">
        <v>78</v>
      </c>
      <c r="AO1704" s="1">
        <v>1</v>
      </c>
      <c r="AP1704" s="11" t="s">
        <v>1559</v>
      </c>
    </row>
    <row r="1705" spans="2:42">
      <c r="B1705" s="33"/>
      <c r="AE1705" s="5"/>
      <c r="AL1705" s="11" t="s">
        <v>1560</v>
      </c>
      <c r="AM1705" s="11" t="s">
        <v>10</v>
      </c>
      <c r="AN1705" s="11" t="s">
        <v>78</v>
      </c>
      <c r="AO1705" s="1">
        <v>1</v>
      </c>
    </row>
    <row r="1706" spans="2:42">
      <c r="B1706" s="33"/>
      <c r="AE1706" s="5"/>
      <c r="AL1706" s="11" t="s">
        <v>1561</v>
      </c>
      <c r="AM1706" s="11" t="s">
        <v>10</v>
      </c>
      <c r="AN1706" s="11" t="s">
        <v>78</v>
      </c>
      <c r="AO1706" s="1">
        <v>1</v>
      </c>
    </row>
    <row r="1707" spans="2:42">
      <c r="B1707" s="33"/>
      <c r="AE1707" s="5"/>
      <c r="AL1707" s="11" t="s">
        <v>1562</v>
      </c>
      <c r="AM1707" s="11" t="s">
        <v>10</v>
      </c>
      <c r="AN1707" s="11" t="s">
        <v>78</v>
      </c>
      <c r="AO1707" s="1">
        <v>1</v>
      </c>
    </row>
    <row r="1708" spans="2:42">
      <c r="B1708" s="33"/>
      <c r="AE1708" s="5"/>
      <c r="AL1708" s="11" t="s">
        <v>1563</v>
      </c>
      <c r="AM1708" s="11" t="s">
        <v>10</v>
      </c>
      <c r="AN1708" s="11" t="s">
        <v>78</v>
      </c>
      <c r="AO1708" s="1">
        <v>1</v>
      </c>
    </row>
    <row r="1709" spans="2:42">
      <c r="B1709" s="33"/>
      <c r="AE1709" s="5"/>
      <c r="AL1709" s="11" t="s">
        <v>1564</v>
      </c>
      <c r="AM1709" s="11" t="s">
        <v>10</v>
      </c>
      <c r="AN1709" s="11" t="s">
        <v>78</v>
      </c>
      <c r="AO1709" s="1">
        <v>1</v>
      </c>
    </row>
    <row r="1710" spans="2:42">
      <c r="B1710" s="33"/>
      <c r="AE1710" s="5"/>
      <c r="AL1710" s="11" t="s">
        <v>529</v>
      </c>
      <c r="AM1710" s="11" t="s">
        <v>10</v>
      </c>
      <c r="AN1710" s="11" t="s">
        <v>78</v>
      </c>
      <c r="AO1710" s="1">
        <v>1</v>
      </c>
    </row>
    <row r="1711" spans="2:42">
      <c r="B1711" s="33"/>
      <c r="AE1711" s="5"/>
    </row>
    <row r="1712" spans="2:42">
      <c r="B1712" s="33"/>
      <c r="AE1712" s="5"/>
      <c r="AJ1712" s="21"/>
      <c r="AK1712" s="21" t="s">
        <v>543</v>
      </c>
      <c r="AL1712" s="21"/>
      <c r="AM1712" s="21"/>
      <c r="AN1712" s="21"/>
      <c r="AO1712" s="4"/>
      <c r="AP1712" s="21"/>
    </row>
    <row r="1713" spans="2:42">
      <c r="B1713" s="33"/>
      <c r="AE1713" s="5"/>
      <c r="AJ1713" s="21"/>
      <c r="AK1713" s="21" t="s">
        <v>547</v>
      </c>
      <c r="AL1713" s="21"/>
      <c r="AM1713" s="21"/>
      <c r="AN1713" s="21"/>
      <c r="AO1713" s="4"/>
      <c r="AP1713" s="21"/>
    </row>
    <row r="1714" spans="2:42">
      <c r="B1714" s="33"/>
      <c r="AE1714" s="5"/>
      <c r="AJ1714" s="21"/>
      <c r="AK1714" s="21"/>
      <c r="AL1714" s="21" t="s">
        <v>192</v>
      </c>
      <c r="AM1714" s="21" t="s">
        <v>60</v>
      </c>
      <c r="AN1714" s="21" t="s">
        <v>78</v>
      </c>
      <c r="AO1714" s="41">
        <v>0</v>
      </c>
      <c r="AP1714" s="21" t="s">
        <v>779</v>
      </c>
    </row>
    <row r="1715" spans="2:42">
      <c r="B1715" s="33"/>
      <c r="X1715" s="16"/>
      <c r="Y1715" s="16"/>
      <c r="Z1715" s="16"/>
      <c r="AA1715" s="16"/>
      <c r="AB1715" s="16"/>
      <c r="AC1715" s="16"/>
      <c r="AD1715" s="16"/>
      <c r="AE1715" s="7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</row>
    <row r="1716" spans="2:42">
      <c r="B1716" s="33"/>
      <c r="AE1716" s="5"/>
    </row>
    <row r="1717" spans="2:42">
      <c r="B1717" s="33"/>
      <c r="X1717" s="11">
        <f>SUM(AC1717,AM1717)</f>
        <v>6</v>
      </c>
      <c r="Y1717" s="20" t="s">
        <v>1565</v>
      </c>
      <c r="Z1717" s="42" t="s">
        <v>1566</v>
      </c>
      <c r="AA1717" s="42"/>
      <c r="AB1717" s="42"/>
      <c r="AC1717" s="11">
        <f>COUNTA(AB1718:AB1719)-COUNTIF(Z1718:Z1719,"兼")</f>
        <v>1</v>
      </c>
      <c r="AE1717" s="5"/>
      <c r="AI1717" s="20" t="s">
        <v>1567</v>
      </c>
      <c r="AJ1717" s="42" t="s">
        <v>1568</v>
      </c>
      <c r="AK1717" s="42"/>
      <c r="AL1717" s="42"/>
      <c r="AM1717" s="11">
        <f>COUNTA(AL1718:AL1723)-COUNTIF(AJ1718:AJ1723,"兼")</f>
        <v>5</v>
      </c>
    </row>
    <row r="1718" spans="2:42">
      <c r="B1718" s="33"/>
      <c r="Z1718" s="11" t="s">
        <v>57</v>
      </c>
      <c r="AA1718" s="11" t="s">
        <v>98</v>
      </c>
      <c r="AB1718" s="11" t="s">
        <v>1569</v>
      </c>
      <c r="AC1718" s="11" t="s">
        <v>10</v>
      </c>
      <c r="AD1718" s="11" t="s">
        <v>223</v>
      </c>
      <c r="AE1718" s="40">
        <v>0.4</v>
      </c>
      <c r="AK1718" s="11" t="s">
        <v>1209</v>
      </c>
      <c r="AL1718" s="11" t="s">
        <v>1570</v>
      </c>
      <c r="AM1718" s="11" t="s">
        <v>10</v>
      </c>
      <c r="AN1718" s="11" t="s">
        <v>223</v>
      </c>
      <c r="AO1718" s="1">
        <v>0.8</v>
      </c>
    </row>
    <row r="1719" spans="2:42">
      <c r="B1719" s="33"/>
      <c r="AA1719" s="11" t="s">
        <v>1212</v>
      </c>
      <c r="AB1719" s="11" t="s">
        <v>1571</v>
      </c>
      <c r="AC1719" s="11" t="s">
        <v>10</v>
      </c>
      <c r="AD1719" s="11" t="s">
        <v>78</v>
      </c>
      <c r="AE1719" s="40">
        <v>1</v>
      </c>
      <c r="AL1719" s="11" t="s">
        <v>1572</v>
      </c>
      <c r="AM1719" s="11" t="s">
        <v>10</v>
      </c>
      <c r="AN1719" s="11" t="s">
        <v>223</v>
      </c>
      <c r="AO1719" s="1">
        <v>0.8</v>
      </c>
    </row>
    <row r="1720" spans="2:42">
      <c r="B1720" s="33"/>
      <c r="AE1720" s="5"/>
      <c r="AL1720" s="11" t="s">
        <v>1198</v>
      </c>
      <c r="AM1720" s="11" t="s">
        <v>10</v>
      </c>
      <c r="AN1720" s="11" t="s">
        <v>223</v>
      </c>
      <c r="AO1720" s="1">
        <v>1</v>
      </c>
    </row>
    <row r="1721" spans="2:42">
      <c r="B1721" s="33"/>
      <c r="AE1721" s="5"/>
      <c r="AL1721" s="11" t="s">
        <v>1573</v>
      </c>
      <c r="AM1721" s="11" t="s">
        <v>282</v>
      </c>
      <c r="AN1721" s="11" t="s">
        <v>110</v>
      </c>
      <c r="AO1721" s="1">
        <v>1</v>
      </c>
    </row>
    <row r="1722" spans="2:42">
      <c r="B1722" s="33"/>
      <c r="AE1722" s="5"/>
      <c r="AL1722" s="11" t="s">
        <v>1200</v>
      </c>
      <c r="AM1722" s="11" t="s">
        <v>10</v>
      </c>
      <c r="AN1722" s="11" t="s">
        <v>223</v>
      </c>
      <c r="AO1722" s="1">
        <v>1</v>
      </c>
    </row>
    <row r="1723" spans="2:42">
      <c r="B1723" s="33"/>
      <c r="AE1723" s="5"/>
      <c r="AJ1723" s="11" t="s">
        <v>57</v>
      </c>
      <c r="AL1723" s="11" t="s">
        <v>1574</v>
      </c>
      <c r="AM1723" s="11" t="s">
        <v>10</v>
      </c>
      <c r="AN1723" s="11" t="s">
        <v>110</v>
      </c>
      <c r="AO1723" s="1">
        <v>0.2</v>
      </c>
    </row>
    <row r="1724" spans="2:42">
      <c r="B1724" s="33"/>
      <c r="X1724" s="16"/>
      <c r="Y1724" s="16"/>
      <c r="Z1724" s="16"/>
      <c r="AA1724" s="16"/>
      <c r="AB1724" s="16"/>
      <c r="AC1724" s="16"/>
      <c r="AD1724" s="16"/>
      <c r="AE1724" s="7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</row>
    <row r="1725" spans="2:42">
      <c r="B1725" s="33"/>
      <c r="AE1725" s="5"/>
    </row>
    <row r="1726" spans="2:42">
      <c r="B1726" s="33"/>
      <c r="N1726" s="11">
        <f>SUM(S1726,X1726)</f>
        <v>4</v>
      </c>
      <c r="O1726" s="20" t="s">
        <v>1537</v>
      </c>
      <c r="P1726" s="42" t="s">
        <v>1575</v>
      </c>
      <c r="Q1726" s="42"/>
      <c r="R1726" s="42"/>
      <c r="S1726" s="11">
        <f>COUNTA(R1727:R1729)-COUNTIF(P1727:P1729,"兼")</f>
        <v>1</v>
      </c>
      <c r="X1726" s="11">
        <f>SUM(AC1726,AM1726)</f>
        <v>3</v>
      </c>
      <c r="Y1726" s="20" t="s">
        <v>1539</v>
      </c>
      <c r="Z1726" s="42" t="s">
        <v>1576</v>
      </c>
      <c r="AA1726" s="42"/>
      <c r="AB1726" s="42"/>
      <c r="AC1726" s="11">
        <f>COUNTA(AB1727)-COUNTIF(Z1727,"兼")</f>
        <v>0</v>
      </c>
      <c r="AE1726" s="5"/>
      <c r="AI1726" s="20" t="s">
        <v>1577</v>
      </c>
      <c r="AJ1726" s="42" t="s">
        <v>1578</v>
      </c>
      <c r="AK1726" s="42"/>
      <c r="AL1726" s="42"/>
      <c r="AM1726" s="11">
        <f>COUNTA(AL1727:AL1729)-COUNTIF(AJ1727:AJ1729,"兼")</f>
        <v>3</v>
      </c>
    </row>
    <row r="1727" spans="2:42">
      <c r="B1727" s="33"/>
      <c r="P1727" s="11" t="s">
        <v>57</v>
      </c>
      <c r="Q1727" s="11" t="s">
        <v>674</v>
      </c>
      <c r="R1727" s="11" t="s">
        <v>26</v>
      </c>
      <c r="S1727" s="11" t="s">
        <v>10</v>
      </c>
      <c r="T1727" s="11" t="s">
        <v>14</v>
      </c>
      <c r="U1727" s="1">
        <v>0.4</v>
      </c>
      <c r="Z1727" s="11" t="s">
        <v>57</v>
      </c>
      <c r="AA1727" s="11" t="s">
        <v>98</v>
      </c>
      <c r="AB1727" s="11" t="s">
        <v>1543</v>
      </c>
      <c r="AC1727" s="11" t="s">
        <v>10</v>
      </c>
      <c r="AD1727" s="11" t="s">
        <v>78</v>
      </c>
      <c r="AE1727" s="40">
        <v>0.2</v>
      </c>
      <c r="AK1727" s="11" t="s">
        <v>1209</v>
      </c>
      <c r="AL1727" s="11" t="s">
        <v>1579</v>
      </c>
      <c r="AM1727" s="11" t="s">
        <v>10</v>
      </c>
      <c r="AN1727" s="11" t="s">
        <v>223</v>
      </c>
      <c r="AO1727" s="1">
        <v>0.9</v>
      </c>
    </row>
    <row r="1728" spans="2:42">
      <c r="B1728" s="33"/>
      <c r="P1728" s="11" t="s">
        <v>57</v>
      </c>
      <c r="Q1728" s="11" t="s">
        <v>1545</v>
      </c>
      <c r="R1728" s="11" t="s">
        <v>1169</v>
      </c>
      <c r="S1728" s="11" t="s">
        <v>10</v>
      </c>
      <c r="T1728" s="11" t="s">
        <v>78</v>
      </c>
      <c r="U1728" s="1">
        <v>0.2</v>
      </c>
      <c r="AE1728" s="5"/>
      <c r="AL1728" s="11" t="s">
        <v>1580</v>
      </c>
      <c r="AM1728" s="11" t="s">
        <v>10</v>
      </c>
      <c r="AN1728" s="11" t="s">
        <v>223</v>
      </c>
      <c r="AO1728" s="1">
        <v>0.9</v>
      </c>
    </row>
    <row r="1729" spans="2:42">
      <c r="B1729" s="33"/>
      <c r="R1729" s="11" t="s">
        <v>1201</v>
      </c>
      <c r="S1729" s="11" t="s">
        <v>10</v>
      </c>
      <c r="T1729" s="11" t="s">
        <v>223</v>
      </c>
      <c r="U1729" s="1">
        <v>0.5</v>
      </c>
      <c r="AE1729" s="5"/>
      <c r="AL1729" s="11" t="s">
        <v>1581</v>
      </c>
      <c r="AM1729" s="11" t="s">
        <v>10</v>
      </c>
      <c r="AN1729" s="11" t="s">
        <v>223</v>
      </c>
      <c r="AO1729" s="1">
        <v>0.5</v>
      </c>
    </row>
    <row r="1730" spans="2:42">
      <c r="B1730" s="33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7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</row>
    <row r="1731" spans="2:42">
      <c r="B1731" s="33"/>
      <c r="AE1731" s="5"/>
    </row>
    <row r="1732" spans="2:42">
      <c r="B1732" s="33"/>
      <c r="N1732" s="11">
        <f>SUM(S1732,X1732)</f>
        <v>17</v>
      </c>
      <c r="O1732" s="20" t="s">
        <v>1582</v>
      </c>
      <c r="P1732" s="42" t="s">
        <v>1583</v>
      </c>
      <c r="Q1732" s="42"/>
      <c r="R1732" s="42"/>
      <c r="S1732" s="11">
        <f>COUNTA(R1733:R1734)-COUNTIF(P1733:P1734,"兼")</f>
        <v>2</v>
      </c>
      <c r="X1732" s="11">
        <f>SUM(AC1732,AM1732,AM1739,AM1744,AM1750)</f>
        <v>15</v>
      </c>
      <c r="Y1732" s="20" t="s">
        <v>1584</v>
      </c>
      <c r="Z1732" s="42" t="s">
        <v>1585</v>
      </c>
      <c r="AA1732" s="42"/>
      <c r="AB1732" s="42"/>
      <c r="AC1732" s="11">
        <f>COUNTA(AB1733:AB1735)-COUNTIF(Z1733:Z1735,"兼")</f>
        <v>2</v>
      </c>
      <c r="AE1732" s="5"/>
      <c r="AI1732" s="20" t="s">
        <v>1586</v>
      </c>
      <c r="AJ1732" s="42" t="s">
        <v>1364</v>
      </c>
      <c r="AK1732" s="42"/>
      <c r="AL1732" s="42"/>
      <c r="AM1732" s="11">
        <f>COUNTA(AL1733:AL1737)-COUNTIF(AJ1733:AJ1737,"兼")</f>
        <v>5</v>
      </c>
    </row>
    <row r="1733" spans="2:42">
      <c r="B1733" s="33"/>
      <c r="Q1733" s="11" t="s">
        <v>674</v>
      </c>
      <c r="R1733" s="11" t="s">
        <v>1587</v>
      </c>
      <c r="S1733" s="11" t="s">
        <v>10</v>
      </c>
      <c r="T1733" s="11" t="s">
        <v>124</v>
      </c>
      <c r="U1733" s="1">
        <v>1</v>
      </c>
      <c r="Z1733" s="11" t="s">
        <v>57</v>
      </c>
      <c r="AA1733" s="11" t="s">
        <v>98</v>
      </c>
      <c r="AB1733" s="11" t="s">
        <v>1588</v>
      </c>
      <c r="AC1733" s="11" t="s">
        <v>10</v>
      </c>
      <c r="AD1733" s="11" t="s">
        <v>78</v>
      </c>
      <c r="AE1733" s="40">
        <v>0.4</v>
      </c>
      <c r="AK1733" s="11" t="s">
        <v>1209</v>
      </c>
      <c r="AL1733" s="11" t="s">
        <v>1589</v>
      </c>
      <c r="AM1733" s="11" t="s">
        <v>10</v>
      </c>
      <c r="AN1733" s="11" t="s">
        <v>78</v>
      </c>
      <c r="AO1733" s="1">
        <v>1</v>
      </c>
    </row>
    <row r="1734" spans="2:42">
      <c r="B1734" s="33"/>
      <c r="Q1734" s="11" t="s">
        <v>677</v>
      </c>
      <c r="R1734" s="11" t="s">
        <v>1588</v>
      </c>
      <c r="S1734" s="11" t="s">
        <v>10</v>
      </c>
      <c r="T1734" s="11" t="s">
        <v>78</v>
      </c>
      <c r="U1734" s="1">
        <v>0.6</v>
      </c>
      <c r="AA1734" s="11" t="s">
        <v>186</v>
      </c>
      <c r="AB1734" s="11" t="s">
        <v>1590</v>
      </c>
      <c r="AC1734" s="11" t="s">
        <v>10</v>
      </c>
      <c r="AD1734" s="11" t="s">
        <v>78</v>
      </c>
      <c r="AE1734" s="40">
        <v>1</v>
      </c>
      <c r="AL1734" s="11" t="s">
        <v>1591</v>
      </c>
      <c r="AM1734" s="11" t="s">
        <v>10</v>
      </c>
      <c r="AN1734" s="11" t="s">
        <v>2204</v>
      </c>
      <c r="AO1734" s="1">
        <v>1</v>
      </c>
    </row>
    <row r="1735" spans="2:42">
      <c r="B1735" s="33"/>
      <c r="AB1735" s="11" t="s">
        <v>1592</v>
      </c>
      <c r="AC1735" s="11" t="s">
        <v>60</v>
      </c>
      <c r="AD1735" s="11" t="s">
        <v>78</v>
      </c>
      <c r="AE1735" s="40">
        <v>1</v>
      </c>
      <c r="AF1735" s="11" t="s">
        <v>1593</v>
      </c>
      <c r="AL1735" s="11" t="s">
        <v>1594</v>
      </c>
      <c r="AM1735" s="11" t="s">
        <v>10</v>
      </c>
      <c r="AN1735" s="11" t="s">
        <v>78</v>
      </c>
      <c r="AO1735" s="1">
        <v>1</v>
      </c>
    </row>
    <row r="1736" spans="2:42">
      <c r="B1736" s="33"/>
      <c r="AE1736" s="11"/>
      <c r="AL1736" s="11" t="s">
        <v>1595</v>
      </c>
      <c r="AM1736" s="11" t="s">
        <v>10</v>
      </c>
      <c r="AN1736" s="11" t="s">
        <v>78</v>
      </c>
      <c r="AO1736" s="1">
        <v>1</v>
      </c>
    </row>
    <row r="1737" spans="2:42">
      <c r="B1737" s="33"/>
      <c r="AE1737" s="11"/>
      <c r="AL1737" s="11" t="s">
        <v>534</v>
      </c>
      <c r="AM1737" s="11" t="s">
        <v>10</v>
      </c>
      <c r="AN1737" s="11" t="s">
        <v>78</v>
      </c>
      <c r="AO1737" s="1">
        <v>0.6</v>
      </c>
    </row>
    <row r="1738" spans="2:42">
      <c r="B1738" s="33"/>
      <c r="AE1738" s="11"/>
    </row>
    <row r="1739" spans="2:42">
      <c r="B1739" s="33"/>
      <c r="AE1739" s="11"/>
      <c r="AI1739" s="20" t="s">
        <v>1596</v>
      </c>
      <c r="AJ1739" s="42" t="s">
        <v>1058</v>
      </c>
      <c r="AK1739" s="42"/>
      <c r="AL1739" s="42"/>
      <c r="AM1739" s="11">
        <f>COUNTA(AL1740:AL1742)-COUNTIF(AJ1740:AJ1742,"兼")</f>
        <v>3</v>
      </c>
    </row>
    <row r="1740" spans="2:42">
      <c r="B1740" s="33"/>
      <c r="AE1740" s="11"/>
      <c r="AK1740" s="11" t="s">
        <v>1209</v>
      </c>
      <c r="AL1740" s="11" t="s">
        <v>1597</v>
      </c>
      <c r="AM1740" s="11" t="s">
        <v>150</v>
      </c>
      <c r="AN1740" s="11" t="s">
        <v>78</v>
      </c>
      <c r="AO1740" s="1">
        <v>1</v>
      </c>
    </row>
    <row r="1741" spans="2:42">
      <c r="B1741" s="33"/>
      <c r="AE1741" s="11"/>
      <c r="AL1741" s="11" t="s">
        <v>1598</v>
      </c>
      <c r="AM1741" s="11" t="s">
        <v>150</v>
      </c>
      <c r="AN1741" s="11" t="s">
        <v>78</v>
      </c>
      <c r="AO1741" s="1">
        <v>1</v>
      </c>
    </row>
    <row r="1742" spans="2:42">
      <c r="B1742" s="33"/>
      <c r="AE1742" s="11"/>
      <c r="AL1742" s="11" t="s">
        <v>1599</v>
      </c>
      <c r="AM1742" s="11" t="s">
        <v>10</v>
      </c>
      <c r="AN1742" s="11" t="s">
        <v>78</v>
      </c>
      <c r="AO1742" s="1">
        <v>1</v>
      </c>
    </row>
    <row r="1743" spans="2:42">
      <c r="B1743" s="33"/>
      <c r="AE1743" s="11"/>
    </row>
    <row r="1744" spans="2:42">
      <c r="B1744" s="33"/>
      <c r="AE1744" s="11"/>
      <c r="AI1744" s="20" t="s">
        <v>1600</v>
      </c>
      <c r="AJ1744" s="42" t="s">
        <v>1063</v>
      </c>
      <c r="AK1744" s="42"/>
      <c r="AL1744" s="42"/>
      <c r="AM1744" s="11">
        <f>COUNTA(AL1745:AL1748)-COUNTIF(AJ1745:AJ1748,"兼")</f>
        <v>3</v>
      </c>
    </row>
    <row r="1745" spans="2:42">
      <c r="B1745" s="33"/>
      <c r="AE1745" s="5"/>
      <c r="AK1745" s="11" t="s">
        <v>1209</v>
      </c>
      <c r="AL1745" s="11" t="s">
        <v>1601</v>
      </c>
      <c r="AM1745" s="11" t="s">
        <v>10</v>
      </c>
      <c r="AN1745" s="11" t="s">
        <v>78</v>
      </c>
      <c r="AO1745" s="1">
        <v>1</v>
      </c>
    </row>
    <row r="1746" spans="2:42">
      <c r="B1746" s="33"/>
      <c r="AE1746" s="5"/>
      <c r="AL1746" s="11" t="s">
        <v>1602</v>
      </c>
      <c r="AM1746" s="11" t="s">
        <v>10</v>
      </c>
      <c r="AN1746" s="11" t="s">
        <v>78</v>
      </c>
      <c r="AO1746" s="1">
        <v>1</v>
      </c>
    </row>
    <row r="1747" spans="2:42">
      <c r="B1747" s="33"/>
      <c r="AE1747" s="5"/>
      <c r="AL1747" s="11" t="s">
        <v>1603</v>
      </c>
      <c r="AM1747" s="11" t="s">
        <v>10</v>
      </c>
      <c r="AN1747" s="11" t="s">
        <v>78</v>
      </c>
      <c r="AO1747" s="1">
        <v>1</v>
      </c>
    </row>
    <row r="1748" spans="2:42">
      <c r="B1748" s="33"/>
      <c r="AE1748" s="5"/>
      <c r="AJ1748" s="11" t="s">
        <v>57</v>
      </c>
      <c r="AL1748" s="11" t="s">
        <v>534</v>
      </c>
      <c r="AM1748" s="11" t="s">
        <v>10</v>
      </c>
      <c r="AN1748" s="11" t="s">
        <v>78</v>
      </c>
      <c r="AO1748" s="1">
        <v>0.4</v>
      </c>
    </row>
    <row r="1749" spans="2:42">
      <c r="B1749" s="33"/>
      <c r="AE1749" s="5"/>
    </row>
    <row r="1750" spans="2:42">
      <c r="B1750" s="33"/>
      <c r="AE1750" s="5"/>
      <c r="AI1750" s="20" t="s">
        <v>1604</v>
      </c>
      <c r="AJ1750" s="42" t="s">
        <v>1605</v>
      </c>
      <c r="AK1750" s="42"/>
      <c r="AL1750" s="42"/>
      <c r="AM1750" s="11">
        <f>COUNTA(AL1751:AL1752)-COUNTIF(AJ1751:AJ1752,"兼")</f>
        <v>2</v>
      </c>
    </row>
    <row r="1751" spans="2:42">
      <c r="B1751" s="33"/>
      <c r="AE1751" s="5"/>
      <c r="AK1751" s="11" t="s">
        <v>1209</v>
      </c>
      <c r="AL1751" s="11" t="s">
        <v>1606</v>
      </c>
      <c r="AM1751" s="11" t="s">
        <v>10</v>
      </c>
      <c r="AN1751" s="11" t="s">
        <v>78</v>
      </c>
      <c r="AO1751" s="1">
        <v>1</v>
      </c>
    </row>
    <row r="1752" spans="2:42">
      <c r="B1752" s="33"/>
      <c r="AE1752" s="5"/>
      <c r="AL1752" s="11" t="s">
        <v>1607</v>
      </c>
      <c r="AM1752" s="11" t="s">
        <v>10</v>
      </c>
      <c r="AN1752" s="11" t="s">
        <v>78</v>
      </c>
      <c r="AO1752" s="1">
        <v>1</v>
      </c>
    </row>
    <row r="1753" spans="2:42">
      <c r="B1753" s="33"/>
      <c r="X1753" s="16"/>
      <c r="Y1753" s="16"/>
      <c r="Z1753" s="16"/>
      <c r="AA1753" s="16"/>
      <c r="AB1753" s="16"/>
      <c r="AC1753" s="16"/>
      <c r="AD1753" s="16"/>
      <c r="AE1753" s="7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16"/>
      <c r="AP1753" s="16"/>
    </row>
    <row r="1754" spans="2:42">
      <c r="B1754" s="33"/>
      <c r="AE1754" s="5"/>
    </row>
    <row r="1755" spans="2:42">
      <c r="B1755" s="33"/>
      <c r="N1755" s="11">
        <f>SUM(S1755,X1755)</f>
        <v>7</v>
      </c>
      <c r="O1755" s="20" t="s">
        <v>1608</v>
      </c>
      <c r="P1755" s="42" t="s">
        <v>1609</v>
      </c>
      <c r="Q1755" s="42"/>
      <c r="R1755" s="42"/>
      <c r="S1755" s="11">
        <f>COUNTA(R1756:R1757)-COUNTIF(P1756:P1757,"兼")</f>
        <v>1</v>
      </c>
      <c r="X1755" s="11">
        <f>SUM(AC1755)</f>
        <v>6</v>
      </c>
      <c r="Y1755" s="20" t="s">
        <v>1610</v>
      </c>
      <c r="Z1755" s="42" t="s">
        <v>1611</v>
      </c>
      <c r="AA1755" s="42"/>
      <c r="AB1755" s="42"/>
      <c r="AC1755" s="11">
        <f>COUNTA(AB1756:AB1762)-COUNTIF(Z1756:Z1762,"兼")</f>
        <v>6</v>
      </c>
      <c r="AE1755" s="5"/>
    </row>
    <row r="1756" spans="2:42">
      <c r="B1756" s="33"/>
      <c r="P1756" s="11" t="s">
        <v>57</v>
      </c>
      <c r="Q1756" s="11" t="s">
        <v>96</v>
      </c>
      <c r="R1756" s="11" t="s">
        <v>1161</v>
      </c>
      <c r="S1756" s="11" t="s">
        <v>10</v>
      </c>
      <c r="T1756" s="11" t="s">
        <v>11</v>
      </c>
      <c r="U1756" s="1">
        <v>0.4</v>
      </c>
      <c r="AA1756" s="11" t="s">
        <v>98</v>
      </c>
      <c r="AB1756" s="11" t="s">
        <v>1612</v>
      </c>
      <c r="AC1756" s="11" t="s">
        <v>10</v>
      </c>
      <c r="AD1756" s="11" t="s">
        <v>78</v>
      </c>
      <c r="AE1756" s="40">
        <v>1</v>
      </c>
    </row>
    <row r="1757" spans="2:42">
      <c r="B1757" s="33"/>
      <c r="R1757" s="11" t="s">
        <v>1613</v>
      </c>
      <c r="S1757" s="11" t="s">
        <v>1614</v>
      </c>
      <c r="T1757" s="11" t="s">
        <v>110</v>
      </c>
      <c r="U1757" s="40">
        <v>1</v>
      </c>
      <c r="V1757" s="11" t="s">
        <v>1615</v>
      </c>
      <c r="AB1757" s="11" t="s">
        <v>1616</v>
      </c>
      <c r="AC1757" s="11" t="s">
        <v>10</v>
      </c>
      <c r="AD1757" s="11" t="s">
        <v>78</v>
      </c>
      <c r="AE1757" s="40">
        <v>1</v>
      </c>
    </row>
    <row r="1758" spans="2:42">
      <c r="B1758" s="33"/>
      <c r="AB1758" s="11" t="s">
        <v>1618</v>
      </c>
      <c r="AC1758" s="11" t="s">
        <v>693</v>
      </c>
      <c r="AD1758" s="11" t="s">
        <v>78</v>
      </c>
      <c r="AE1758" s="40">
        <v>1</v>
      </c>
    </row>
    <row r="1759" spans="2:42">
      <c r="B1759" s="33"/>
      <c r="AB1759" s="11" t="s">
        <v>1619</v>
      </c>
      <c r="AC1759" s="11" t="s">
        <v>10</v>
      </c>
      <c r="AD1759" s="11" t="s">
        <v>110</v>
      </c>
      <c r="AE1759" s="40">
        <v>0.8</v>
      </c>
    </row>
    <row r="1760" spans="2:42">
      <c r="B1760" s="33"/>
      <c r="Z1760" s="11" t="s">
        <v>138</v>
      </c>
      <c r="AB1760" s="11" t="s">
        <v>1620</v>
      </c>
      <c r="AC1760" s="11" t="s">
        <v>10</v>
      </c>
      <c r="AD1760" s="11" t="s">
        <v>146</v>
      </c>
      <c r="AE1760" s="40">
        <v>0.2</v>
      </c>
    </row>
    <row r="1761" spans="2:42">
      <c r="B1761" s="33"/>
      <c r="AB1761" s="11" t="s">
        <v>1317</v>
      </c>
      <c r="AC1761" s="11" t="s">
        <v>10</v>
      </c>
      <c r="AD1761" s="11" t="s">
        <v>78</v>
      </c>
      <c r="AE1761" s="1">
        <v>1</v>
      </c>
    </row>
    <row r="1762" spans="2:42">
      <c r="B1762" s="33"/>
      <c r="AB1762" s="11" t="s">
        <v>1617</v>
      </c>
      <c r="AC1762" s="11" t="s">
        <v>10</v>
      </c>
      <c r="AD1762" s="11" t="s">
        <v>78</v>
      </c>
      <c r="AE1762" s="40">
        <v>1</v>
      </c>
    </row>
    <row r="1763" spans="2:42"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7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</row>
    <row r="1764" spans="2:42">
      <c r="AE1764" s="5"/>
    </row>
    <row r="1765" spans="2:42">
      <c r="B1765" s="36"/>
      <c r="D1765" s="11">
        <f>SUM(D1770,D1782,D1800)</f>
        <v>439</v>
      </c>
      <c r="E1765" s="37"/>
      <c r="F1765" s="51" t="s">
        <v>1621</v>
      </c>
      <c r="G1765" s="51"/>
      <c r="H1765" s="51"/>
      <c r="AE1765" s="11"/>
    </row>
    <row r="1766" spans="2:42">
      <c r="B1766" s="36"/>
      <c r="G1766" s="11" t="s">
        <v>651</v>
      </c>
      <c r="H1766" s="11" t="s">
        <v>16</v>
      </c>
      <c r="I1766" s="11" t="s">
        <v>10</v>
      </c>
      <c r="J1766" s="11" t="s">
        <v>11</v>
      </c>
      <c r="AE1766" s="11"/>
    </row>
    <row r="1767" spans="2:42">
      <c r="B1767" s="36"/>
      <c r="G1767" s="11" t="s">
        <v>1160</v>
      </c>
      <c r="H1767" s="11" t="s">
        <v>2219</v>
      </c>
      <c r="I1767" s="11" t="s">
        <v>10</v>
      </c>
      <c r="J1767" s="11" t="s">
        <v>11</v>
      </c>
      <c r="AE1767" s="11"/>
    </row>
    <row r="1768" spans="2:42">
      <c r="B1768" s="36"/>
      <c r="G1768" s="11" t="s">
        <v>652</v>
      </c>
      <c r="H1768" s="11" t="s">
        <v>27</v>
      </c>
      <c r="I1768" s="11" t="s">
        <v>10</v>
      </c>
      <c r="J1768" s="11" t="s">
        <v>14</v>
      </c>
      <c r="AE1768" s="5"/>
    </row>
    <row r="1769" spans="2:42">
      <c r="B1769" s="36"/>
      <c r="AE1769" s="5"/>
    </row>
    <row r="1770" spans="2:42">
      <c r="B1770" s="38"/>
      <c r="D1770" s="11">
        <f>SUM(I1770,N1932,N1937,N2062,N2173,S2308,N2350,X2372)</f>
        <v>260</v>
      </c>
      <c r="E1770" s="20" t="s">
        <v>1622</v>
      </c>
      <c r="F1770" s="42" t="s">
        <v>1623</v>
      </c>
      <c r="G1770" s="42"/>
      <c r="H1770" s="42"/>
      <c r="I1770" s="11">
        <f>COUNTA(H1771:H1774)-COUNTIF(F1771:F1774,"兼")</f>
        <v>4</v>
      </c>
      <c r="AE1770" s="5"/>
    </row>
    <row r="1771" spans="2:42">
      <c r="B1771" s="38"/>
      <c r="G1771" s="11" t="s">
        <v>651</v>
      </c>
      <c r="H1771" s="11" t="s">
        <v>16</v>
      </c>
      <c r="I1771" s="11" t="s">
        <v>10</v>
      </c>
      <c r="J1771" s="11" t="s">
        <v>11</v>
      </c>
      <c r="K1771" s="1">
        <v>0.6</v>
      </c>
      <c r="AE1771" s="5"/>
    </row>
    <row r="1772" spans="2:42">
      <c r="B1772" s="38"/>
      <c r="G1772" s="11" t="s">
        <v>1160</v>
      </c>
      <c r="H1772" s="11" t="s">
        <v>2219</v>
      </c>
      <c r="I1772" s="11" t="s">
        <v>10</v>
      </c>
      <c r="J1772" s="11" t="s">
        <v>11</v>
      </c>
      <c r="K1772" s="1">
        <v>1</v>
      </c>
      <c r="AE1772" s="5"/>
    </row>
    <row r="1773" spans="2:42">
      <c r="B1773" s="38"/>
      <c r="G1773" s="11" t="s">
        <v>652</v>
      </c>
      <c r="H1773" s="11" t="s">
        <v>27</v>
      </c>
      <c r="I1773" s="11" t="s">
        <v>10</v>
      </c>
      <c r="J1773" s="11" t="s">
        <v>14</v>
      </c>
      <c r="K1773" s="1">
        <v>0.6</v>
      </c>
      <c r="AE1773" s="5"/>
    </row>
    <row r="1774" spans="2:42">
      <c r="B1774" s="38"/>
      <c r="H1774" s="11" t="s">
        <v>42</v>
      </c>
      <c r="I1774" s="11" t="s">
        <v>10</v>
      </c>
      <c r="J1774" s="11" t="s">
        <v>146</v>
      </c>
      <c r="K1774" s="1">
        <v>1</v>
      </c>
      <c r="AE1774" s="5"/>
    </row>
    <row r="1775" spans="2:42">
      <c r="B1775" s="38"/>
      <c r="AE1775" s="5"/>
    </row>
    <row r="1776" spans="2:42">
      <c r="B1776" s="38"/>
      <c r="F1776" s="21"/>
      <c r="G1776" s="21" t="s">
        <v>1624</v>
      </c>
      <c r="H1776" s="21"/>
      <c r="I1776" s="21"/>
      <c r="J1776" s="21"/>
      <c r="K1776" s="21"/>
      <c r="L1776" s="21"/>
    </row>
    <row r="1777" spans="2:31">
      <c r="B1777" s="38"/>
      <c r="F1777" s="21"/>
      <c r="G1777" s="21"/>
      <c r="H1777" s="21" t="s">
        <v>1625</v>
      </c>
      <c r="I1777" s="21" t="s">
        <v>70</v>
      </c>
      <c r="J1777" s="21" t="s">
        <v>146</v>
      </c>
      <c r="K1777" s="2">
        <v>0.4</v>
      </c>
      <c r="L1777" s="21" t="s">
        <v>56</v>
      </c>
      <c r="AE1777" s="5"/>
    </row>
    <row r="1778" spans="2:31">
      <c r="B1778" s="38"/>
      <c r="F1778" s="21"/>
      <c r="G1778" s="21"/>
      <c r="H1778" s="21" t="s">
        <v>1626</v>
      </c>
      <c r="I1778" s="21" t="s">
        <v>70</v>
      </c>
      <c r="J1778" s="21" t="s">
        <v>146</v>
      </c>
      <c r="K1778" s="2">
        <v>0.2</v>
      </c>
      <c r="L1778" s="21" t="s">
        <v>71</v>
      </c>
      <c r="AE1778" s="5"/>
    </row>
    <row r="1779" spans="2:31">
      <c r="B1779" s="38"/>
      <c r="F1779" s="21"/>
      <c r="G1779" s="21"/>
      <c r="H1779" s="21" t="s">
        <v>1627</v>
      </c>
      <c r="I1779" s="21" t="s">
        <v>70</v>
      </c>
      <c r="J1779" s="21" t="s">
        <v>146</v>
      </c>
      <c r="K1779" s="2">
        <v>0.4</v>
      </c>
      <c r="L1779" s="21" t="s">
        <v>71</v>
      </c>
      <c r="AE1779" s="5"/>
    </row>
    <row r="1780" spans="2:31">
      <c r="B1780" s="38"/>
      <c r="F1780" s="21"/>
      <c r="G1780" s="21"/>
      <c r="H1780" s="21" t="s">
        <v>1628</v>
      </c>
      <c r="I1780" s="21" t="s">
        <v>70</v>
      </c>
      <c r="J1780" s="21" t="s">
        <v>146</v>
      </c>
      <c r="K1780" s="2">
        <v>0.2</v>
      </c>
      <c r="L1780" s="21" t="s">
        <v>71</v>
      </c>
      <c r="AE1780" s="5"/>
    </row>
    <row r="1781" spans="2:31">
      <c r="B1781" s="38"/>
      <c r="AE1781" s="5"/>
    </row>
    <row r="1782" spans="2:31">
      <c r="B1782" s="38"/>
      <c r="D1782" s="11">
        <f>SUM(I1782,N1814,N2045)</f>
        <v>105</v>
      </c>
      <c r="E1782" s="20" t="s">
        <v>1622</v>
      </c>
      <c r="F1782" s="42" t="s">
        <v>1629</v>
      </c>
      <c r="G1782" s="42"/>
      <c r="H1782" s="42"/>
      <c r="I1782" s="11">
        <f>COUNTA(H1783)-COUNTIF(F1783,"兼")</f>
        <v>0</v>
      </c>
      <c r="AE1782" s="5"/>
    </row>
    <row r="1783" spans="2:31">
      <c r="B1783" s="38"/>
      <c r="F1783" s="11" t="s">
        <v>57</v>
      </c>
      <c r="G1783" s="11" t="s">
        <v>651</v>
      </c>
      <c r="H1783" s="11" t="s">
        <v>16</v>
      </c>
      <c r="I1783" s="11" t="s">
        <v>10</v>
      </c>
      <c r="J1783" s="11" t="s">
        <v>11</v>
      </c>
      <c r="K1783" s="1">
        <v>0.2</v>
      </c>
      <c r="AE1783" s="5"/>
    </row>
    <row r="1784" spans="2:31">
      <c r="B1784" s="38"/>
      <c r="AE1784" s="5"/>
    </row>
    <row r="1785" spans="2:31">
      <c r="B1785" s="38"/>
      <c r="F1785" s="21"/>
      <c r="G1785" s="21" t="s">
        <v>1172</v>
      </c>
      <c r="H1785" s="21"/>
      <c r="I1785" s="21"/>
      <c r="J1785" s="21"/>
      <c r="K1785" s="21"/>
      <c r="L1785" s="21"/>
    </row>
    <row r="1786" spans="2:31">
      <c r="B1786" s="38"/>
      <c r="F1786" s="21"/>
      <c r="G1786" s="21"/>
      <c r="H1786" s="21" t="s">
        <v>1630</v>
      </c>
      <c r="I1786" s="21" t="s">
        <v>70</v>
      </c>
      <c r="J1786" s="21" t="s">
        <v>110</v>
      </c>
      <c r="K1786" s="2">
        <v>0</v>
      </c>
      <c r="L1786" s="21" t="s">
        <v>62</v>
      </c>
      <c r="AE1786" s="5"/>
    </row>
    <row r="1787" spans="2:31">
      <c r="B1787" s="38"/>
      <c r="F1787" s="21"/>
      <c r="G1787" s="21"/>
      <c r="H1787" s="21" t="s">
        <v>1631</v>
      </c>
      <c r="I1787" s="21" t="s">
        <v>70</v>
      </c>
      <c r="J1787" s="21" t="s">
        <v>110</v>
      </c>
      <c r="K1787" s="2">
        <v>1</v>
      </c>
      <c r="L1787" s="21" t="s">
        <v>62</v>
      </c>
      <c r="AE1787" s="5"/>
    </row>
    <row r="1788" spans="2:31">
      <c r="B1788" s="38"/>
      <c r="F1788" s="21"/>
      <c r="G1788" s="21"/>
      <c r="H1788" s="21" t="s">
        <v>1632</v>
      </c>
      <c r="I1788" s="21" t="s">
        <v>70</v>
      </c>
      <c r="J1788" s="21" t="s">
        <v>110</v>
      </c>
      <c r="K1788" s="2">
        <v>0.6</v>
      </c>
      <c r="L1788" s="21" t="s">
        <v>62</v>
      </c>
      <c r="AE1788" s="5"/>
    </row>
    <row r="1789" spans="2:31">
      <c r="B1789" s="38"/>
      <c r="F1789" s="21"/>
      <c r="G1789" s="21"/>
      <c r="H1789" s="21" t="s">
        <v>1633</v>
      </c>
      <c r="I1789" s="21" t="s">
        <v>70</v>
      </c>
      <c r="J1789" s="21" t="s">
        <v>110</v>
      </c>
      <c r="K1789" s="2">
        <v>1</v>
      </c>
      <c r="L1789" s="21" t="s">
        <v>62</v>
      </c>
      <c r="AE1789" s="5"/>
    </row>
    <row r="1790" spans="2:31">
      <c r="B1790" s="38"/>
      <c r="F1790" s="21"/>
      <c r="G1790" s="21"/>
      <c r="H1790" s="21" t="s">
        <v>1634</v>
      </c>
      <c r="I1790" s="21" t="s">
        <v>70</v>
      </c>
      <c r="J1790" s="21" t="s">
        <v>110</v>
      </c>
      <c r="K1790" s="2">
        <v>1</v>
      </c>
      <c r="L1790" s="21" t="s">
        <v>62</v>
      </c>
      <c r="AE1790" s="5"/>
    </row>
    <row r="1791" spans="2:31">
      <c r="B1791" s="38"/>
      <c r="F1791" s="21"/>
      <c r="G1791" s="21"/>
      <c r="H1791" s="21" t="s">
        <v>1635</v>
      </c>
      <c r="I1791" s="21" t="s">
        <v>70</v>
      </c>
      <c r="J1791" s="21" t="s">
        <v>110</v>
      </c>
      <c r="K1791" s="2">
        <v>0.6</v>
      </c>
      <c r="L1791" s="21" t="s">
        <v>62</v>
      </c>
      <c r="AE1791" s="5"/>
    </row>
    <row r="1792" spans="2:31">
      <c r="B1792" s="38"/>
      <c r="F1792" s="21"/>
      <c r="G1792" s="21"/>
      <c r="H1792" s="21" t="s">
        <v>1636</v>
      </c>
      <c r="I1792" s="21" t="s">
        <v>70</v>
      </c>
      <c r="J1792" s="21" t="s">
        <v>110</v>
      </c>
      <c r="K1792" s="2">
        <v>0.6</v>
      </c>
      <c r="L1792" s="21" t="s">
        <v>62</v>
      </c>
      <c r="AE1792" s="5"/>
    </row>
    <row r="1793" spans="2:31">
      <c r="B1793" s="38"/>
      <c r="F1793" s="21"/>
      <c r="G1793" s="21"/>
      <c r="H1793" s="21" t="s">
        <v>1637</v>
      </c>
      <c r="I1793" s="21" t="s">
        <v>70</v>
      </c>
      <c r="J1793" s="21" t="s">
        <v>110</v>
      </c>
      <c r="K1793" s="2">
        <v>0.4</v>
      </c>
      <c r="L1793" s="21" t="s">
        <v>62</v>
      </c>
      <c r="AE1793" s="5"/>
    </row>
    <row r="1794" spans="2:31">
      <c r="B1794" s="38"/>
      <c r="F1794" s="21"/>
      <c r="G1794" s="21"/>
      <c r="H1794" s="21" t="s">
        <v>1638</v>
      </c>
      <c r="I1794" s="21" t="s">
        <v>70</v>
      </c>
      <c r="J1794" s="21" t="s">
        <v>110</v>
      </c>
      <c r="K1794" s="2">
        <v>1</v>
      </c>
      <c r="L1794" s="21" t="s">
        <v>62</v>
      </c>
      <c r="AE1794" s="5"/>
    </row>
    <row r="1795" spans="2:31">
      <c r="B1795" s="38"/>
      <c r="F1795" s="21"/>
      <c r="G1795" s="21"/>
      <c r="H1795" s="21" t="s">
        <v>1639</v>
      </c>
      <c r="I1795" s="21" t="s">
        <v>10</v>
      </c>
      <c r="J1795" s="21" t="s">
        <v>110</v>
      </c>
      <c r="K1795" s="2">
        <v>1</v>
      </c>
      <c r="L1795" s="21" t="s">
        <v>62</v>
      </c>
      <c r="AE1795" s="5"/>
    </row>
    <row r="1796" spans="2:31">
      <c r="B1796" s="38"/>
      <c r="F1796" s="21"/>
      <c r="G1796" s="21"/>
      <c r="H1796" s="21" t="s">
        <v>1640</v>
      </c>
      <c r="I1796" s="21" t="s">
        <v>10</v>
      </c>
      <c r="J1796" s="21" t="s">
        <v>110</v>
      </c>
      <c r="K1796" s="2">
        <v>1</v>
      </c>
      <c r="L1796" s="21" t="s">
        <v>62</v>
      </c>
      <c r="AE1796" s="5"/>
    </row>
    <row r="1797" spans="2:31">
      <c r="B1797" s="38"/>
      <c r="F1797" s="21"/>
      <c r="G1797" s="21"/>
      <c r="H1797" s="21" t="s">
        <v>1641</v>
      </c>
      <c r="I1797" s="21" t="s">
        <v>10</v>
      </c>
      <c r="J1797" s="21" t="s">
        <v>110</v>
      </c>
      <c r="K1797" s="2">
        <v>1</v>
      </c>
      <c r="L1797" s="21" t="s">
        <v>62</v>
      </c>
      <c r="AE1797" s="5"/>
    </row>
    <row r="1798" spans="2:31">
      <c r="B1798" s="38"/>
      <c r="F1798" s="21"/>
      <c r="G1798" s="21"/>
      <c r="H1798" s="21" t="s">
        <v>1642</v>
      </c>
      <c r="I1798" s="21" t="s">
        <v>10</v>
      </c>
      <c r="J1798" s="21" t="s">
        <v>110</v>
      </c>
      <c r="K1798" s="2">
        <v>1</v>
      </c>
      <c r="L1798" s="21" t="s">
        <v>62</v>
      </c>
      <c r="AE1798" s="5"/>
    </row>
    <row r="1799" spans="2:31">
      <c r="B1799" s="38"/>
      <c r="AE1799" s="5"/>
    </row>
    <row r="1800" spans="2:31">
      <c r="B1800" s="38"/>
      <c r="D1800" s="11">
        <f>SUM(I1800,N2052,N2226)</f>
        <v>74</v>
      </c>
      <c r="E1800" s="20" t="s">
        <v>1622</v>
      </c>
      <c r="F1800" s="42" t="s">
        <v>1643</v>
      </c>
      <c r="G1800" s="42"/>
      <c r="H1800" s="42"/>
      <c r="I1800" s="11">
        <f>COUNTA(H1801)-COUNTIF(F1801,"兼")</f>
        <v>0</v>
      </c>
      <c r="AE1800" s="5"/>
    </row>
    <row r="1801" spans="2:31">
      <c r="B1801" s="38"/>
      <c r="F1801" s="11" t="s">
        <v>57</v>
      </c>
      <c r="G1801" s="11" t="s">
        <v>651</v>
      </c>
      <c r="H1801" s="11" t="s">
        <v>16</v>
      </c>
      <c r="I1801" s="11" t="s">
        <v>10</v>
      </c>
      <c r="J1801" s="11" t="s">
        <v>11</v>
      </c>
      <c r="K1801" s="1">
        <v>0.2</v>
      </c>
      <c r="AE1801" s="5"/>
    </row>
    <row r="1802" spans="2:31">
      <c r="B1802" s="38"/>
      <c r="AE1802" s="5"/>
    </row>
    <row r="1803" spans="2:31">
      <c r="B1803" s="38"/>
      <c r="F1803" s="21"/>
      <c r="G1803" s="21" t="s">
        <v>1194</v>
      </c>
      <c r="H1803" s="21"/>
      <c r="I1803" s="21"/>
      <c r="J1803" s="21"/>
      <c r="K1803" s="21"/>
      <c r="L1803" s="21"/>
      <c r="AE1803" s="5"/>
    </row>
    <row r="1804" spans="2:31">
      <c r="B1804" s="38"/>
      <c r="F1804" s="21"/>
      <c r="G1804" s="21"/>
      <c r="H1804" s="21" t="s">
        <v>1644</v>
      </c>
      <c r="I1804" s="21" t="s">
        <v>70</v>
      </c>
      <c r="J1804" s="21" t="s">
        <v>223</v>
      </c>
      <c r="K1804" s="2">
        <v>1</v>
      </c>
      <c r="L1804" s="21" t="s">
        <v>62</v>
      </c>
      <c r="AE1804" s="5"/>
    </row>
    <row r="1805" spans="2:31">
      <c r="B1805" s="38"/>
      <c r="F1805" s="21"/>
      <c r="G1805" s="21"/>
      <c r="H1805" s="21" t="s">
        <v>1645</v>
      </c>
      <c r="I1805" s="21" t="s">
        <v>70</v>
      </c>
      <c r="J1805" s="21" t="s">
        <v>223</v>
      </c>
      <c r="K1805" s="41">
        <v>0.6</v>
      </c>
      <c r="L1805" s="21" t="s">
        <v>62</v>
      </c>
      <c r="AE1805" s="5"/>
    </row>
    <row r="1806" spans="2:31">
      <c r="B1806" s="38"/>
      <c r="F1806" s="21"/>
      <c r="G1806" s="21"/>
      <c r="H1806" s="21" t="s">
        <v>1645</v>
      </c>
      <c r="I1806" s="21" t="s">
        <v>70</v>
      </c>
      <c r="J1806" s="21" t="s">
        <v>223</v>
      </c>
      <c r="K1806" s="2">
        <v>0.2</v>
      </c>
      <c r="L1806" s="21" t="s">
        <v>56</v>
      </c>
      <c r="AE1806" s="5"/>
    </row>
    <row r="1807" spans="2:31">
      <c r="B1807" s="38"/>
      <c r="F1807" s="21"/>
      <c r="G1807" s="21"/>
      <c r="H1807" s="21" t="s">
        <v>1646</v>
      </c>
      <c r="I1807" s="21" t="s">
        <v>70</v>
      </c>
      <c r="J1807" s="21" t="s">
        <v>223</v>
      </c>
      <c r="K1807" s="2">
        <v>1</v>
      </c>
      <c r="L1807" s="21" t="s">
        <v>62</v>
      </c>
      <c r="AE1807" s="5"/>
    </row>
    <row r="1808" spans="2:31">
      <c r="B1808" s="38"/>
      <c r="F1808" s="21"/>
      <c r="G1808" s="21"/>
      <c r="H1808" s="21" t="s">
        <v>1647</v>
      </c>
      <c r="I1808" s="21" t="s">
        <v>70</v>
      </c>
      <c r="J1808" s="21" t="s">
        <v>223</v>
      </c>
      <c r="K1808" s="2">
        <v>0.6</v>
      </c>
      <c r="L1808" s="21" t="s">
        <v>62</v>
      </c>
      <c r="AE1808" s="5"/>
    </row>
    <row r="1809" spans="2:42">
      <c r="B1809" s="38"/>
      <c r="F1809" s="21"/>
      <c r="G1809" s="21"/>
      <c r="H1809" s="21" t="s">
        <v>1195</v>
      </c>
      <c r="I1809" s="21" t="s">
        <v>70</v>
      </c>
      <c r="J1809" s="21" t="s">
        <v>223</v>
      </c>
      <c r="K1809" s="2">
        <v>0.4</v>
      </c>
      <c r="L1809" s="21" t="s">
        <v>62</v>
      </c>
      <c r="AE1809" s="5"/>
    </row>
    <row r="1810" spans="2:42">
      <c r="B1810" s="38"/>
      <c r="F1810" s="21"/>
      <c r="G1810" s="21"/>
      <c r="H1810" s="21" t="s">
        <v>1648</v>
      </c>
      <c r="I1810" s="21" t="s">
        <v>70</v>
      </c>
      <c r="J1810" s="21" t="s">
        <v>223</v>
      </c>
      <c r="K1810" s="2">
        <v>0.6</v>
      </c>
      <c r="L1810" s="21" t="s">
        <v>62</v>
      </c>
      <c r="AE1810" s="5"/>
    </row>
    <row r="1811" spans="2:42">
      <c r="B1811" s="38"/>
      <c r="F1811" s="21"/>
      <c r="G1811" s="21"/>
      <c r="H1811" s="21" t="s">
        <v>1649</v>
      </c>
      <c r="I1811" s="21" t="s">
        <v>70</v>
      </c>
      <c r="J1811" s="21" t="s">
        <v>223</v>
      </c>
      <c r="K1811" s="2">
        <v>0.6</v>
      </c>
      <c r="L1811" s="21" t="s">
        <v>62</v>
      </c>
      <c r="AE1811" s="5"/>
    </row>
    <row r="1812" spans="2:42">
      <c r="B1812" s="38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7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</row>
    <row r="1813" spans="2:42">
      <c r="B1813" s="38"/>
      <c r="AE1813" s="5"/>
    </row>
    <row r="1814" spans="2:42">
      <c r="B1814" s="38"/>
      <c r="N1814" s="11">
        <f>SUM(S1814,X1814,X1825,X1849,X1874,X1902)</f>
        <v>105</v>
      </c>
      <c r="O1814" s="20" t="s">
        <v>1650</v>
      </c>
      <c r="P1814" s="42" t="s">
        <v>1651</v>
      </c>
      <c r="Q1814" s="42"/>
      <c r="R1814" s="42"/>
      <c r="S1814" s="11">
        <f>COUNTA(R1815:R1820)-COUNTIF(P1815:P1820,"兼")</f>
        <v>5</v>
      </c>
      <c r="X1814" s="11">
        <f>SUM(AC1814)</f>
        <v>8</v>
      </c>
      <c r="Y1814" s="20" t="s">
        <v>1652</v>
      </c>
      <c r="Z1814" s="42" t="s">
        <v>1653</v>
      </c>
      <c r="AA1814" s="42"/>
      <c r="AB1814" s="42"/>
      <c r="AC1814" s="11">
        <f>COUNTA(AB1815:AB1822)-COUNTIF(Z1815:Z1822,"兼")</f>
        <v>8</v>
      </c>
      <c r="AE1814" s="5"/>
    </row>
    <row r="1815" spans="2:42">
      <c r="B1815" s="38"/>
      <c r="Q1815" s="11" t="s">
        <v>674</v>
      </c>
      <c r="R1815" s="11" t="s">
        <v>30</v>
      </c>
      <c r="S1815" s="11" t="s">
        <v>10</v>
      </c>
      <c r="T1815" s="11" t="s">
        <v>14</v>
      </c>
      <c r="U1815" s="1">
        <v>1</v>
      </c>
      <c r="AA1815" s="11" t="s">
        <v>76</v>
      </c>
      <c r="AB1815" s="11" t="s">
        <v>1654</v>
      </c>
      <c r="AC1815" s="11" t="s">
        <v>10</v>
      </c>
      <c r="AD1815" s="11" t="s">
        <v>124</v>
      </c>
      <c r="AE1815" s="40">
        <v>1</v>
      </c>
    </row>
    <row r="1816" spans="2:42">
      <c r="B1816" s="38"/>
      <c r="Q1816" s="11" t="s">
        <v>677</v>
      </c>
      <c r="R1816" s="11" t="s">
        <v>1655</v>
      </c>
      <c r="S1816" s="11" t="s">
        <v>10</v>
      </c>
      <c r="T1816" s="11" t="s">
        <v>110</v>
      </c>
      <c r="U1816" s="1">
        <v>0.6</v>
      </c>
      <c r="AA1816" s="11" t="s">
        <v>1656</v>
      </c>
      <c r="AB1816" s="11" t="s">
        <v>1657</v>
      </c>
      <c r="AC1816" s="11" t="s">
        <v>10</v>
      </c>
      <c r="AD1816" s="11" t="s">
        <v>166</v>
      </c>
      <c r="AE1816" s="40">
        <v>1</v>
      </c>
    </row>
    <row r="1817" spans="2:42">
      <c r="B1817" s="38"/>
      <c r="R1817" s="11" t="s">
        <v>1658</v>
      </c>
      <c r="S1817" s="11" t="s">
        <v>10</v>
      </c>
      <c r="T1817" s="11" t="s">
        <v>110</v>
      </c>
      <c r="U1817" s="1">
        <v>1</v>
      </c>
      <c r="AB1817" s="11" t="s">
        <v>1659</v>
      </c>
      <c r="AC1817" s="11" t="s">
        <v>10</v>
      </c>
      <c r="AD1817" s="11" t="s">
        <v>166</v>
      </c>
      <c r="AE1817" s="40">
        <v>1</v>
      </c>
    </row>
    <row r="1818" spans="2:42">
      <c r="B1818" s="38"/>
      <c r="R1818" s="11" t="s">
        <v>1660</v>
      </c>
      <c r="S1818" s="11" t="s">
        <v>282</v>
      </c>
      <c r="T1818" s="11" t="s">
        <v>110</v>
      </c>
      <c r="U1818" s="1">
        <v>1</v>
      </c>
      <c r="AB1818" s="11" t="s">
        <v>1661</v>
      </c>
      <c r="AC1818" s="11" t="s">
        <v>10</v>
      </c>
      <c r="AD1818" s="11" t="s">
        <v>166</v>
      </c>
      <c r="AE1818" s="40">
        <v>1</v>
      </c>
    </row>
    <row r="1819" spans="2:42">
      <c r="B1819" s="38"/>
      <c r="P1819" s="11" t="s">
        <v>138</v>
      </c>
      <c r="R1819" s="11" t="s">
        <v>1632</v>
      </c>
      <c r="S1819" s="11" t="s">
        <v>10</v>
      </c>
      <c r="T1819" s="11" t="s">
        <v>110</v>
      </c>
      <c r="U1819" s="1">
        <v>0.4</v>
      </c>
      <c r="AB1819" s="11" t="s">
        <v>1662</v>
      </c>
      <c r="AC1819" s="11" t="s">
        <v>10</v>
      </c>
      <c r="AD1819" s="11" t="s">
        <v>124</v>
      </c>
      <c r="AE1819" s="40">
        <v>1</v>
      </c>
    </row>
    <row r="1820" spans="2:42">
      <c r="B1820" s="38"/>
      <c r="R1820" s="11" t="s">
        <v>1663</v>
      </c>
      <c r="S1820" s="11" t="s">
        <v>10</v>
      </c>
      <c r="T1820" s="11" t="s">
        <v>166</v>
      </c>
      <c r="U1820" s="1">
        <v>1</v>
      </c>
      <c r="AB1820" s="11" t="s">
        <v>1664</v>
      </c>
      <c r="AC1820" s="11" t="s">
        <v>10</v>
      </c>
      <c r="AD1820" s="11" t="s">
        <v>166</v>
      </c>
      <c r="AE1820" s="40">
        <v>1</v>
      </c>
    </row>
    <row r="1821" spans="2:42">
      <c r="B1821" s="38"/>
      <c r="AB1821" s="11" t="s">
        <v>1665</v>
      </c>
      <c r="AC1821" s="11" t="s">
        <v>10</v>
      </c>
      <c r="AD1821" s="11" t="s">
        <v>124</v>
      </c>
      <c r="AE1821" s="40">
        <v>1</v>
      </c>
    </row>
    <row r="1822" spans="2:42">
      <c r="B1822" s="38"/>
      <c r="AB1822" s="11" t="s">
        <v>1666</v>
      </c>
      <c r="AC1822" s="11" t="s">
        <v>10</v>
      </c>
      <c r="AD1822" s="11" t="s">
        <v>166</v>
      </c>
      <c r="AE1822" s="40">
        <v>1</v>
      </c>
    </row>
    <row r="1823" spans="2:42">
      <c r="B1823" s="38"/>
      <c r="X1823" s="16"/>
      <c r="Y1823" s="16"/>
      <c r="Z1823" s="16"/>
      <c r="AA1823" s="16"/>
      <c r="AB1823" s="16"/>
      <c r="AC1823" s="16"/>
      <c r="AD1823" s="16"/>
      <c r="AE1823" s="7"/>
      <c r="AF1823" s="16"/>
      <c r="AG1823" s="16"/>
      <c r="AH1823" s="16"/>
      <c r="AI1823" s="16"/>
      <c r="AJ1823" s="16"/>
      <c r="AK1823" s="16"/>
      <c r="AL1823" s="16"/>
      <c r="AM1823" s="16"/>
      <c r="AN1823" s="16"/>
      <c r="AO1823" s="16"/>
      <c r="AP1823" s="16"/>
    </row>
    <row r="1824" spans="2:42">
      <c r="B1824" s="38"/>
      <c r="AE1824" s="5"/>
    </row>
    <row r="1825" spans="2:41">
      <c r="B1825" s="38"/>
      <c r="X1825" s="11">
        <f>SUM(AC1825,AM1825,AM1835)</f>
        <v>21</v>
      </c>
      <c r="Y1825" s="20" t="s">
        <v>1667</v>
      </c>
      <c r="Z1825" s="42" t="s">
        <v>1668</v>
      </c>
      <c r="AA1825" s="42"/>
      <c r="AB1825" s="42"/>
      <c r="AC1825" s="11">
        <f>COUNTA(AB1826:AB1828)-COUNTIF(Z1826:Z1828,"兼")</f>
        <v>3</v>
      </c>
      <c r="AE1825" s="5"/>
      <c r="AI1825" s="20" t="s">
        <v>1669</v>
      </c>
      <c r="AJ1825" s="42" t="s">
        <v>1670</v>
      </c>
      <c r="AK1825" s="42"/>
      <c r="AL1825" s="42"/>
      <c r="AM1825" s="11">
        <f>COUNTA(AL1826:AL1833)-COUNTIF(AJ1826:AJ1833,"兼")</f>
        <v>7</v>
      </c>
    </row>
    <row r="1826" spans="2:41">
      <c r="B1826" s="38"/>
      <c r="AA1826" s="11" t="s">
        <v>98</v>
      </c>
      <c r="AB1826" s="11" t="s">
        <v>1671</v>
      </c>
      <c r="AC1826" s="11" t="s">
        <v>10</v>
      </c>
      <c r="AD1826" s="11" t="s">
        <v>166</v>
      </c>
      <c r="AE1826" s="40">
        <v>1</v>
      </c>
      <c r="AJ1826" s="11" t="s">
        <v>57</v>
      </c>
      <c r="AK1826" s="11" t="s">
        <v>1209</v>
      </c>
      <c r="AL1826" s="11" t="s">
        <v>1672</v>
      </c>
      <c r="AM1826" s="11" t="s">
        <v>10</v>
      </c>
      <c r="AN1826" s="11" t="s">
        <v>166</v>
      </c>
      <c r="AO1826" s="1">
        <v>0.5</v>
      </c>
    </row>
    <row r="1827" spans="2:41">
      <c r="B1827" s="38"/>
      <c r="AA1827" s="11" t="s">
        <v>186</v>
      </c>
      <c r="AB1827" s="11" t="s">
        <v>1672</v>
      </c>
      <c r="AC1827" s="11" t="s">
        <v>10</v>
      </c>
      <c r="AD1827" s="11" t="s">
        <v>166</v>
      </c>
      <c r="AE1827" s="40">
        <v>0.5</v>
      </c>
      <c r="AL1827" s="11" t="s">
        <v>1674</v>
      </c>
      <c r="AM1827" s="11" t="s">
        <v>10</v>
      </c>
      <c r="AN1827" s="11" t="s">
        <v>166</v>
      </c>
      <c r="AO1827" s="40">
        <v>1</v>
      </c>
    </row>
    <row r="1828" spans="2:41">
      <c r="B1828" s="38"/>
      <c r="AA1828" s="11" t="s">
        <v>186</v>
      </c>
      <c r="AB1828" s="11" t="s">
        <v>1673</v>
      </c>
      <c r="AC1828" s="11" t="s">
        <v>10</v>
      </c>
      <c r="AD1828" s="11" t="s">
        <v>124</v>
      </c>
      <c r="AE1828" s="40">
        <v>1</v>
      </c>
      <c r="AL1828" s="11" t="s">
        <v>1675</v>
      </c>
      <c r="AM1828" s="11" t="s">
        <v>10</v>
      </c>
      <c r="AN1828" s="11" t="s">
        <v>166</v>
      </c>
      <c r="AO1828" s="1">
        <v>1</v>
      </c>
    </row>
    <row r="1829" spans="2:41">
      <c r="B1829" s="38"/>
      <c r="AE1829" s="40"/>
      <c r="AL1829" s="11" t="s">
        <v>1678</v>
      </c>
      <c r="AM1829" s="11" t="s">
        <v>282</v>
      </c>
      <c r="AN1829" s="11" t="s">
        <v>166</v>
      </c>
      <c r="AO1829" s="1">
        <v>1</v>
      </c>
    </row>
    <row r="1830" spans="2:41">
      <c r="B1830" s="38"/>
      <c r="AE1830" s="40"/>
      <c r="AL1830" s="11" t="s">
        <v>1679</v>
      </c>
      <c r="AM1830" s="11" t="s">
        <v>10</v>
      </c>
      <c r="AN1830" s="11" t="s">
        <v>166</v>
      </c>
      <c r="AO1830" s="1">
        <v>1</v>
      </c>
    </row>
    <row r="1831" spans="2:41">
      <c r="B1831" s="38"/>
      <c r="AE1831" s="40"/>
      <c r="AL1831" s="11" t="s">
        <v>1680</v>
      </c>
      <c r="AM1831" s="11" t="s">
        <v>10</v>
      </c>
      <c r="AN1831" s="11" t="s">
        <v>166</v>
      </c>
      <c r="AO1831" s="1">
        <v>1</v>
      </c>
    </row>
    <row r="1832" spans="2:41">
      <c r="B1832" s="38"/>
      <c r="AE1832" s="40"/>
      <c r="AL1832" s="11" t="s">
        <v>1681</v>
      </c>
      <c r="AM1832" s="11" t="s">
        <v>10</v>
      </c>
      <c r="AN1832" s="11" t="s">
        <v>166</v>
      </c>
      <c r="AO1832" s="1">
        <v>1</v>
      </c>
    </row>
    <row r="1833" spans="2:41">
      <c r="B1833" s="38"/>
      <c r="AE1833" s="40"/>
      <c r="AL1833" s="11" t="s">
        <v>585</v>
      </c>
      <c r="AM1833" s="11" t="s">
        <v>10</v>
      </c>
      <c r="AN1833" s="11" t="s">
        <v>110</v>
      </c>
      <c r="AO1833" s="1">
        <v>1</v>
      </c>
    </row>
    <row r="1834" spans="2:41">
      <c r="B1834" s="38"/>
      <c r="AE1834" s="40"/>
    </row>
    <row r="1835" spans="2:41">
      <c r="B1835" s="38"/>
      <c r="AE1835" s="5"/>
      <c r="AI1835" s="20" t="s">
        <v>1684</v>
      </c>
      <c r="AJ1835" s="42" t="s">
        <v>1685</v>
      </c>
      <c r="AK1835" s="42"/>
      <c r="AL1835" s="42"/>
      <c r="AM1835" s="11">
        <f>COUNTA(AL1836:AL1846)-COUNTIF(AJ1836:AJ1846,"兼")</f>
        <v>11</v>
      </c>
    </row>
    <row r="1836" spans="2:41">
      <c r="B1836" s="38"/>
      <c r="AE1836" s="5"/>
      <c r="AK1836" s="11" t="s">
        <v>1209</v>
      </c>
      <c r="AL1836" s="11" t="s">
        <v>1686</v>
      </c>
      <c r="AM1836" s="11" t="s">
        <v>10</v>
      </c>
      <c r="AN1836" s="11" t="s">
        <v>166</v>
      </c>
      <c r="AO1836" s="1">
        <v>1</v>
      </c>
    </row>
    <row r="1837" spans="2:41">
      <c r="B1837" s="38"/>
      <c r="AE1837" s="5"/>
      <c r="AL1837" s="11" t="s">
        <v>1687</v>
      </c>
      <c r="AM1837" s="11" t="s">
        <v>10</v>
      </c>
      <c r="AN1837" s="11" t="s">
        <v>166</v>
      </c>
      <c r="AO1837" s="1">
        <v>1</v>
      </c>
    </row>
    <row r="1838" spans="2:41">
      <c r="B1838" s="38"/>
      <c r="AE1838" s="5"/>
      <c r="AL1838" s="11" t="s">
        <v>1688</v>
      </c>
      <c r="AM1838" s="11" t="s">
        <v>10</v>
      </c>
      <c r="AN1838" s="11" t="s">
        <v>166</v>
      </c>
      <c r="AO1838" s="1">
        <v>1</v>
      </c>
    </row>
    <row r="1839" spans="2:41">
      <c r="B1839" s="38"/>
      <c r="AE1839" s="5"/>
      <c r="AL1839" s="11" t="s">
        <v>1689</v>
      </c>
      <c r="AM1839" s="11" t="s">
        <v>10</v>
      </c>
      <c r="AN1839" s="11" t="s">
        <v>166</v>
      </c>
      <c r="AO1839" s="1">
        <v>1</v>
      </c>
    </row>
    <row r="1840" spans="2:41">
      <c r="B1840" s="38"/>
      <c r="AE1840" s="5"/>
      <c r="AL1840" s="11" t="s">
        <v>598</v>
      </c>
      <c r="AM1840" s="11" t="s">
        <v>10</v>
      </c>
      <c r="AN1840" s="11" t="s">
        <v>110</v>
      </c>
      <c r="AO1840" s="1">
        <v>1</v>
      </c>
    </row>
    <row r="1841" spans="2:42">
      <c r="B1841" s="38"/>
      <c r="AE1841" s="5"/>
      <c r="AL1841" s="11" t="s">
        <v>1676</v>
      </c>
      <c r="AM1841" s="11" t="s">
        <v>10</v>
      </c>
      <c r="AN1841" s="11" t="s">
        <v>166</v>
      </c>
      <c r="AO1841" s="1">
        <v>1</v>
      </c>
    </row>
    <row r="1842" spans="2:42">
      <c r="B1842" s="38"/>
      <c r="AE1842" s="5"/>
      <c r="AL1842" s="11" t="s">
        <v>1677</v>
      </c>
      <c r="AM1842" s="11" t="s">
        <v>10</v>
      </c>
      <c r="AN1842" s="11" t="s">
        <v>166</v>
      </c>
      <c r="AO1842" s="1">
        <v>1</v>
      </c>
    </row>
    <row r="1843" spans="2:42">
      <c r="B1843" s="38"/>
      <c r="AE1843" s="5"/>
      <c r="AL1843" s="11" t="s">
        <v>1682</v>
      </c>
      <c r="AM1843" s="11" t="s">
        <v>10</v>
      </c>
      <c r="AN1843" s="11" t="s">
        <v>166</v>
      </c>
      <c r="AO1843" s="1">
        <v>1</v>
      </c>
    </row>
    <row r="1844" spans="2:42">
      <c r="B1844" s="38"/>
      <c r="AE1844" s="5"/>
      <c r="AL1844" s="11" t="s">
        <v>1765</v>
      </c>
      <c r="AM1844" s="11" t="s">
        <v>10</v>
      </c>
      <c r="AN1844" s="11" t="s">
        <v>166</v>
      </c>
      <c r="AO1844" s="1">
        <v>1</v>
      </c>
    </row>
    <row r="1845" spans="2:42">
      <c r="B1845" s="38"/>
      <c r="AE1845" s="5"/>
      <c r="AL1845" s="11" t="s">
        <v>2258</v>
      </c>
      <c r="AM1845" s="11" t="s">
        <v>10</v>
      </c>
      <c r="AN1845" s="11" t="s">
        <v>166</v>
      </c>
      <c r="AO1845" s="1">
        <v>1</v>
      </c>
    </row>
    <row r="1846" spans="2:42">
      <c r="B1846" s="38"/>
      <c r="AE1846" s="5"/>
      <c r="AL1846" s="11" t="s">
        <v>2260</v>
      </c>
      <c r="AM1846" s="11" t="s">
        <v>10</v>
      </c>
      <c r="AN1846" s="11" t="s">
        <v>166</v>
      </c>
      <c r="AO1846" s="1">
        <v>1</v>
      </c>
    </row>
    <row r="1847" spans="2:42">
      <c r="B1847" s="38"/>
      <c r="X1847" s="16"/>
      <c r="Y1847" s="16"/>
      <c r="Z1847" s="16"/>
      <c r="AA1847" s="16"/>
      <c r="AB1847" s="16"/>
      <c r="AC1847" s="16"/>
      <c r="AD1847" s="16"/>
      <c r="AE1847" s="7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16"/>
      <c r="AP1847" s="16"/>
    </row>
    <row r="1848" spans="2:42">
      <c r="B1848" s="38"/>
      <c r="AE1848" s="5"/>
    </row>
    <row r="1849" spans="2:42">
      <c r="B1849" s="38"/>
      <c r="X1849" s="11">
        <f>SUM(AC1849,AM1849,AM1861,AM1867)</f>
        <v>20</v>
      </c>
      <c r="Y1849" s="20" t="s">
        <v>1690</v>
      </c>
      <c r="Z1849" s="42" t="s">
        <v>1691</v>
      </c>
      <c r="AA1849" s="42"/>
      <c r="AB1849" s="42"/>
      <c r="AC1849" s="11">
        <f>COUNTA(AB1850:AB1852)-COUNTIF(Z1850:Z1852,"兼")</f>
        <v>3</v>
      </c>
      <c r="AE1849" s="5"/>
      <c r="AI1849" s="20" t="s">
        <v>1692</v>
      </c>
      <c r="AJ1849" s="42" t="s">
        <v>1693</v>
      </c>
      <c r="AK1849" s="42"/>
      <c r="AL1849" s="42"/>
      <c r="AM1849" s="11">
        <f>COUNTA(AL1850:AL1859)-COUNTIF(AJ1850:AJ1859,"兼")</f>
        <v>9</v>
      </c>
    </row>
    <row r="1850" spans="2:42">
      <c r="B1850" s="38"/>
      <c r="AA1850" s="11" t="s">
        <v>98</v>
      </c>
      <c r="AB1850" s="11" t="s">
        <v>1694</v>
      </c>
      <c r="AC1850" s="11" t="s">
        <v>10</v>
      </c>
      <c r="AD1850" s="11" t="s">
        <v>166</v>
      </c>
      <c r="AE1850" s="40">
        <v>1</v>
      </c>
      <c r="AJ1850" s="11" t="s">
        <v>57</v>
      </c>
      <c r="AK1850" s="11" t="s">
        <v>1209</v>
      </c>
      <c r="AL1850" s="11" t="s">
        <v>1695</v>
      </c>
      <c r="AM1850" s="11" t="s">
        <v>10</v>
      </c>
      <c r="AN1850" s="11" t="s">
        <v>166</v>
      </c>
      <c r="AO1850" s="1">
        <v>0.4</v>
      </c>
    </row>
    <row r="1851" spans="2:42">
      <c r="B1851" s="38"/>
      <c r="AA1851" s="11" t="s">
        <v>186</v>
      </c>
      <c r="AB1851" s="11" t="s">
        <v>1696</v>
      </c>
      <c r="AC1851" s="11" t="s">
        <v>10</v>
      </c>
      <c r="AD1851" s="11" t="s">
        <v>166</v>
      </c>
      <c r="AE1851" s="40">
        <v>0.6</v>
      </c>
      <c r="AL1851" s="11" t="s">
        <v>1697</v>
      </c>
      <c r="AM1851" s="11" t="s">
        <v>10</v>
      </c>
      <c r="AN1851" s="11" t="s">
        <v>166</v>
      </c>
      <c r="AO1851" s="1">
        <v>1</v>
      </c>
    </row>
    <row r="1852" spans="2:42">
      <c r="B1852" s="38"/>
      <c r="AB1852" s="11" t="s">
        <v>1698</v>
      </c>
      <c r="AC1852" s="11" t="s">
        <v>10</v>
      </c>
      <c r="AD1852" s="11" t="s">
        <v>124</v>
      </c>
      <c r="AE1852" s="40">
        <v>1</v>
      </c>
      <c r="AL1852" s="11" t="s">
        <v>1699</v>
      </c>
      <c r="AM1852" s="11" t="s">
        <v>10</v>
      </c>
      <c r="AN1852" s="11" t="s">
        <v>166</v>
      </c>
      <c r="AO1852" s="1">
        <v>1</v>
      </c>
    </row>
    <row r="1853" spans="2:42">
      <c r="B1853" s="38"/>
      <c r="AE1853" s="5"/>
      <c r="AL1853" s="11" t="s">
        <v>1700</v>
      </c>
      <c r="AM1853" s="11" t="s">
        <v>10</v>
      </c>
      <c r="AN1853" s="11" t="s">
        <v>166</v>
      </c>
      <c r="AO1853" s="1">
        <v>1</v>
      </c>
    </row>
    <row r="1854" spans="2:42">
      <c r="B1854" s="38"/>
      <c r="AE1854" s="5"/>
      <c r="AL1854" s="11" t="s">
        <v>1701</v>
      </c>
      <c r="AM1854" s="11" t="s">
        <v>10</v>
      </c>
      <c r="AN1854" s="11" t="s">
        <v>166</v>
      </c>
      <c r="AO1854" s="1">
        <v>1</v>
      </c>
    </row>
    <row r="1855" spans="2:42">
      <c r="B1855" s="38"/>
      <c r="AE1855" s="5"/>
      <c r="AL1855" s="11" t="s">
        <v>1702</v>
      </c>
      <c r="AM1855" s="11" t="s">
        <v>10</v>
      </c>
      <c r="AN1855" s="11" t="s">
        <v>166</v>
      </c>
      <c r="AO1855" s="1">
        <v>1</v>
      </c>
    </row>
    <row r="1856" spans="2:42">
      <c r="B1856" s="38"/>
      <c r="AE1856" s="5"/>
      <c r="AL1856" s="11" t="s">
        <v>1703</v>
      </c>
      <c r="AM1856" s="11" t="s">
        <v>10</v>
      </c>
      <c r="AN1856" s="11" t="s">
        <v>166</v>
      </c>
      <c r="AO1856" s="1">
        <v>1</v>
      </c>
    </row>
    <row r="1857" spans="2:42">
      <c r="B1857" s="38"/>
      <c r="AE1857" s="5"/>
      <c r="AL1857" s="11" t="s">
        <v>1704</v>
      </c>
      <c r="AM1857" s="11" t="s">
        <v>10</v>
      </c>
      <c r="AN1857" s="11" t="s">
        <v>166</v>
      </c>
      <c r="AO1857" s="1">
        <v>1</v>
      </c>
    </row>
    <row r="1858" spans="2:42">
      <c r="B1858" s="38"/>
      <c r="AE1858" s="5"/>
      <c r="AL1858" s="11" t="s">
        <v>586</v>
      </c>
      <c r="AM1858" s="11" t="s">
        <v>10</v>
      </c>
      <c r="AN1858" s="11" t="s">
        <v>110</v>
      </c>
      <c r="AO1858" s="1">
        <v>1</v>
      </c>
    </row>
    <row r="1859" spans="2:42">
      <c r="B1859" s="38"/>
      <c r="AE1859" s="5"/>
      <c r="AL1859" s="11" t="s">
        <v>588</v>
      </c>
      <c r="AM1859" s="11" t="s">
        <v>10</v>
      </c>
      <c r="AN1859" s="11" t="s">
        <v>110</v>
      </c>
      <c r="AO1859" s="1">
        <v>1</v>
      </c>
    </row>
    <row r="1860" spans="2:42">
      <c r="B1860" s="38"/>
      <c r="AE1860" s="5"/>
    </row>
    <row r="1861" spans="2:42">
      <c r="B1861" s="38"/>
      <c r="AE1861" s="5"/>
      <c r="AI1861" s="20" t="s">
        <v>1705</v>
      </c>
      <c r="AJ1861" s="42" t="s">
        <v>1706</v>
      </c>
      <c r="AK1861" s="42"/>
      <c r="AL1861" s="42"/>
      <c r="AM1861" s="11">
        <f>COUNTA(AL1862:AL1865)-COUNTIF(AJ1862:AJ1865,"兼")</f>
        <v>4</v>
      </c>
    </row>
    <row r="1862" spans="2:42">
      <c r="B1862" s="38"/>
      <c r="AE1862" s="5"/>
      <c r="AK1862" s="11" t="s">
        <v>1209</v>
      </c>
      <c r="AL1862" s="11" t="s">
        <v>1707</v>
      </c>
      <c r="AM1862" s="11" t="s">
        <v>10</v>
      </c>
      <c r="AN1862" s="11" t="s">
        <v>166</v>
      </c>
      <c r="AO1862" s="1">
        <v>1</v>
      </c>
    </row>
    <row r="1863" spans="2:42">
      <c r="B1863" s="38"/>
      <c r="AE1863" s="5"/>
      <c r="AL1863" s="11" t="s">
        <v>1708</v>
      </c>
      <c r="AM1863" s="11" t="s">
        <v>10</v>
      </c>
      <c r="AN1863" s="11" t="s">
        <v>166</v>
      </c>
      <c r="AO1863" s="1">
        <v>1</v>
      </c>
    </row>
    <row r="1864" spans="2:42">
      <c r="B1864" s="38"/>
      <c r="AE1864" s="5"/>
      <c r="AL1864" s="11" t="s">
        <v>1709</v>
      </c>
      <c r="AM1864" s="11" t="s">
        <v>10</v>
      </c>
      <c r="AN1864" s="11" t="s">
        <v>166</v>
      </c>
      <c r="AO1864" s="1">
        <v>1</v>
      </c>
    </row>
    <row r="1865" spans="2:42">
      <c r="B1865" s="38"/>
      <c r="AE1865" s="5"/>
      <c r="AL1865" s="11" t="s">
        <v>582</v>
      </c>
      <c r="AM1865" s="11" t="s">
        <v>10</v>
      </c>
      <c r="AN1865" s="11" t="s">
        <v>110</v>
      </c>
      <c r="AO1865" s="1">
        <v>1</v>
      </c>
    </row>
    <row r="1866" spans="2:42">
      <c r="B1866" s="38"/>
      <c r="AE1866" s="5"/>
    </row>
    <row r="1867" spans="2:42">
      <c r="B1867" s="38"/>
      <c r="AE1867" s="5"/>
      <c r="AI1867" s="20" t="s">
        <v>1710</v>
      </c>
      <c r="AJ1867" s="42" t="s">
        <v>1711</v>
      </c>
      <c r="AK1867" s="42"/>
      <c r="AL1867" s="42"/>
      <c r="AM1867" s="11">
        <f>COUNTA(AL1868:AL1871)-COUNTIF(AJ1868:AJ1871,"兼")</f>
        <v>4</v>
      </c>
    </row>
    <row r="1868" spans="2:42">
      <c r="B1868" s="38"/>
      <c r="AE1868" s="5"/>
      <c r="AK1868" s="11" t="s">
        <v>1209</v>
      </c>
      <c r="AL1868" s="11" t="s">
        <v>1712</v>
      </c>
      <c r="AM1868" s="11" t="s">
        <v>10</v>
      </c>
      <c r="AN1868" s="11" t="s">
        <v>166</v>
      </c>
      <c r="AO1868" s="1">
        <v>1</v>
      </c>
    </row>
    <row r="1869" spans="2:42">
      <c r="B1869" s="38"/>
      <c r="AE1869" s="5"/>
      <c r="AL1869" s="11" t="s">
        <v>1713</v>
      </c>
      <c r="AM1869" s="11" t="s">
        <v>10</v>
      </c>
      <c r="AN1869" s="11" t="s">
        <v>166</v>
      </c>
      <c r="AO1869" s="1">
        <v>1</v>
      </c>
    </row>
    <row r="1870" spans="2:42">
      <c r="B1870" s="38"/>
      <c r="AE1870" s="5"/>
      <c r="AL1870" s="11" t="s">
        <v>1714</v>
      </c>
      <c r="AM1870" s="11" t="s">
        <v>10</v>
      </c>
      <c r="AN1870" s="11" t="s">
        <v>166</v>
      </c>
      <c r="AO1870" s="1">
        <v>1</v>
      </c>
    </row>
    <row r="1871" spans="2:42">
      <c r="B1871" s="38"/>
      <c r="AE1871" s="5"/>
      <c r="AL1871" s="11" t="s">
        <v>571</v>
      </c>
      <c r="AM1871" s="11" t="s">
        <v>10</v>
      </c>
      <c r="AN1871" s="11" t="s">
        <v>110</v>
      </c>
      <c r="AO1871" s="1">
        <v>1</v>
      </c>
    </row>
    <row r="1872" spans="2:42">
      <c r="B1872" s="38"/>
      <c r="X1872" s="16"/>
      <c r="Y1872" s="16"/>
      <c r="Z1872" s="16"/>
      <c r="AA1872" s="16"/>
      <c r="AB1872" s="16"/>
      <c r="AC1872" s="16"/>
      <c r="AD1872" s="16"/>
      <c r="AE1872" s="7"/>
      <c r="AF1872" s="16"/>
      <c r="AG1872" s="16"/>
      <c r="AH1872" s="16"/>
      <c r="AI1872" s="16"/>
      <c r="AJ1872" s="16"/>
      <c r="AK1872" s="16"/>
      <c r="AL1872" s="16"/>
      <c r="AM1872" s="16"/>
      <c r="AN1872" s="16"/>
      <c r="AO1872" s="16"/>
      <c r="AP1872" s="16"/>
    </row>
    <row r="1873" spans="2:41">
      <c r="B1873" s="38"/>
      <c r="AE1873" s="5"/>
    </row>
    <row r="1874" spans="2:41">
      <c r="B1874" s="38"/>
      <c r="X1874" s="11">
        <f>SUM(AC1874,AM1874,AM1886)</f>
        <v>26</v>
      </c>
      <c r="Y1874" s="20" t="s">
        <v>1715</v>
      </c>
      <c r="Z1874" s="42" t="s">
        <v>1716</v>
      </c>
      <c r="AA1874" s="42"/>
      <c r="AB1874" s="42"/>
      <c r="AC1874" s="11">
        <f>COUNTA(AB1875:AB1878)-COUNTIF(Z1875:Z1878,"兼")</f>
        <v>3</v>
      </c>
      <c r="AE1874" s="5"/>
      <c r="AI1874" s="20" t="s">
        <v>1717</v>
      </c>
      <c r="AJ1874" s="42" t="s">
        <v>1718</v>
      </c>
      <c r="AK1874" s="42"/>
      <c r="AL1874" s="42"/>
      <c r="AM1874" s="11">
        <f>COUNTA(AL1875:AL1884)-COUNTIF(AJ1875:AJ1884,"兼")</f>
        <v>10</v>
      </c>
    </row>
    <row r="1875" spans="2:41">
      <c r="B1875" s="38"/>
      <c r="Z1875" s="11" t="s">
        <v>57</v>
      </c>
      <c r="AA1875" s="11" t="s">
        <v>98</v>
      </c>
      <c r="AB1875" s="11" t="s">
        <v>1719</v>
      </c>
      <c r="AC1875" s="11" t="s">
        <v>10</v>
      </c>
      <c r="AD1875" s="11" t="s">
        <v>166</v>
      </c>
      <c r="AE1875" s="40">
        <v>0.4</v>
      </c>
      <c r="AK1875" s="11" t="s">
        <v>1209</v>
      </c>
      <c r="AL1875" s="11" t="s">
        <v>1720</v>
      </c>
      <c r="AM1875" s="11" t="s">
        <v>10</v>
      </c>
      <c r="AN1875" s="11" t="s">
        <v>166</v>
      </c>
      <c r="AO1875" s="1">
        <v>1</v>
      </c>
    </row>
    <row r="1876" spans="2:41">
      <c r="B1876" s="38"/>
      <c r="AA1876" s="11" t="s">
        <v>186</v>
      </c>
      <c r="AB1876" s="11" t="s">
        <v>1721</v>
      </c>
      <c r="AC1876" s="11" t="s">
        <v>10</v>
      </c>
      <c r="AD1876" s="11" t="s">
        <v>124</v>
      </c>
      <c r="AE1876" s="40">
        <v>0.6</v>
      </c>
      <c r="AL1876" s="11" t="s">
        <v>1574</v>
      </c>
      <c r="AM1876" s="11" t="s">
        <v>10</v>
      </c>
      <c r="AN1876" s="11" t="s">
        <v>166</v>
      </c>
      <c r="AO1876" s="1">
        <v>0.8</v>
      </c>
    </row>
    <row r="1877" spans="2:41">
      <c r="B1877" s="38"/>
      <c r="AB1877" s="11" t="s">
        <v>1723</v>
      </c>
      <c r="AC1877" s="11" t="s">
        <v>10</v>
      </c>
      <c r="AD1877" s="11" t="s">
        <v>124</v>
      </c>
      <c r="AE1877" s="40">
        <v>0.6</v>
      </c>
      <c r="AL1877" s="11" t="s">
        <v>1722</v>
      </c>
      <c r="AM1877" s="11" t="s">
        <v>10</v>
      </c>
      <c r="AN1877" s="11" t="s">
        <v>166</v>
      </c>
      <c r="AO1877" s="1">
        <v>1</v>
      </c>
    </row>
    <row r="1878" spans="2:41">
      <c r="B1878" s="38"/>
      <c r="AB1878" s="11" t="s">
        <v>1725</v>
      </c>
      <c r="AC1878" s="11" t="s">
        <v>10</v>
      </c>
      <c r="AD1878" s="11" t="s">
        <v>166</v>
      </c>
      <c r="AE1878" s="40">
        <v>1</v>
      </c>
      <c r="AL1878" s="11" t="s">
        <v>1724</v>
      </c>
      <c r="AM1878" s="11" t="s">
        <v>10</v>
      </c>
      <c r="AN1878" s="11" t="s">
        <v>166</v>
      </c>
      <c r="AO1878" s="1">
        <v>1</v>
      </c>
    </row>
    <row r="1879" spans="2:41">
      <c r="B1879" s="38"/>
      <c r="AE1879" s="5"/>
      <c r="AL1879" s="11" t="s">
        <v>1726</v>
      </c>
      <c r="AM1879" s="11" t="s">
        <v>10</v>
      </c>
      <c r="AN1879" s="11" t="s">
        <v>166</v>
      </c>
      <c r="AO1879" s="1">
        <v>1</v>
      </c>
    </row>
    <row r="1880" spans="2:41">
      <c r="B1880" s="38"/>
      <c r="AE1880" s="5"/>
      <c r="AL1880" s="11" t="s">
        <v>1727</v>
      </c>
      <c r="AM1880" s="11" t="s">
        <v>10</v>
      </c>
      <c r="AN1880" s="11" t="s">
        <v>166</v>
      </c>
      <c r="AO1880" s="1">
        <v>1</v>
      </c>
    </row>
    <row r="1881" spans="2:41">
      <c r="B1881" s="38"/>
      <c r="AE1881" s="5"/>
      <c r="AL1881" s="11" t="s">
        <v>1728</v>
      </c>
      <c r="AM1881" s="11" t="s">
        <v>10</v>
      </c>
      <c r="AN1881" s="11" t="s">
        <v>166</v>
      </c>
      <c r="AO1881" s="1">
        <v>1</v>
      </c>
    </row>
    <row r="1882" spans="2:41">
      <c r="B1882" s="38"/>
      <c r="AE1882" s="5"/>
      <c r="AL1882" s="11" t="s">
        <v>1729</v>
      </c>
      <c r="AM1882" s="11" t="s">
        <v>10</v>
      </c>
      <c r="AN1882" s="11" t="s">
        <v>166</v>
      </c>
      <c r="AO1882" s="1">
        <v>1</v>
      </c>
    </row>
    <row r="1883" spans="2:41">
      <c r="B1883" s="38"/>
      <c r="AE1883" s="5"/>
      <c r="AL1883" s="11" t="s">
        <v>950</v>
      </c>
      <c r="AM1883" s="11" t="s">
        <v>10</v>
      </c>
      <c r="AN1883" s="11" t="s">
        <v>110</v>
      </c>
      <c r="AO1883" s="1">
        <v>1</v>
      </c>
    </row>
    <row r="1884" spans="2:41">
      <c r="B1884" s="38"/>
      <c r="AE1884" s="5"/>
      <c r="AL1884" s="11" t="s">
        <v>596</v>
      </c>
      <c r="AM1884" s="11" t="s">
        <v>10</v>
      </c>
      <c r="AN1884" s="11" t="s">
        <v>110</v>
      </c>
      <c r="AO1884" s="1">
        <v>1</v>
      </c>
    </row>
    <row r="1885" spans="2:41">
      <c r="B1885" s="38"/>
      <c r="AE1885" s="5"/>
    </row>
    <row r="1886" spans="2:41">
      <c r="B1886" s="38"/>
      <c r="AE1886" s="5"/>
      <c r="AI1886" s="20" t="s">
        <v>1730</v>
      </c>
      <c r="AJ1886" s="42" t="s">
        <v>1731</v>
      </c>
      <c r="AK1886" s="42"/>
      <c r="AL1886" s="42"/>
      <c r="AM1886" s="11">
        <f>COUNTA(AL1887:AL1899)-COUNTIF(AJ1887:AJ1899,"兼")</f>
        <v>13</v>
      </c>
    </row>
    <row r="1887" spans="2:41">
      <c r="B1887" s="38"/>
      <c r="AE1887" s="5"/>
      <c r="AK1887" s="11" t="s">
        <v>1209</v>
      </c>
      <c r="AL1887" s="11" t="s">
        <v>1732</v>
      </c>
      <c r="AM1887" s="11" t="s">
        <v>10</v>
      </c>
      <c r="AN1887" s="11" t="s">
        <v>166</v>
      </c>
      <c r="AO1887" s="1">
        <v>1</v>
      </c>
    </row>
    <row r="1888" spans="2:41">
      <c r="B1888" s="38"/>
      <c r="AE1888" s="5"/>
      <c r="AL1888" s="11" t="s">
        <v>1733</v>
      </c>
      <c r="AM1888" s="11" t="s">
        <v>10</v>
      </c>
      <c r="AN1888" s="11" t="s">
        <v>166</v>
      </c>
      <c r="AO1888" s="1">
        <v>1</v>
      </c>
    </row>
    <row r="1889" spans="2:42">
      <c r="B1889" s="38"/>
      <c r="AE1889" s="5"/>
      <c r="AL1889" s="11" t="s">
        <v>1735</v>
      </c>
      <c r="AM1889" s="11" t="s">
        <v>10</v>
      </c>
      <c r="AN1889" s="11" t="s">
        <v>166</v>
      </c>
      <c r="AO1889" s="1">
        <v>1</v>
      </c>
    </row>
    <row r="1890" spans="2:42">
      <c r="B1890" s="38"/>
      <c r="AE1890" s="5"/>
      <c r="AL1890" s="11" t="s">
        <v>1736</v>
      </c>
      <c r="AM1890" s="11" t="s">
        <v>10</v>
      </c>
      <c r="AN1890" s="11" t="s">
        <v>166</v>
      </c>
      <c r="AO1890" s="1">
        <v>1</v>
      </c>
    </row>
    <row r="1891" spans="2:42">
      <c r="B1891" s="38"/>
      <c r="AE1891" s="5"/>
      <c r="AL1891" s="11" t="s">
        <v>1737</v>
      </c>
      <c r="AM1891" s="11" t="s">
        <v>10</v>
      </c>
      <c r="AN1891" s="11" t="s">
        <v>166</v>
      </c>
      <c r="AO1891" s="1">
        <v>1</v>
      </c>
    </row>
    <row r="1892" spans="2:42">
      <c r="B1892" s="38"/>
      <c r="AE1892" s="5"/>
      <c r="AL1892" s="11" t="s">
        <v>1738</v>
      </c>
      <c r="AM1892" s="11" t="s">
        <v>10</v>
      </c>
      <c r="AN1892" s="11" t="s">
        <v>166</v>
      </c>
      <c r="AO1892" s="1">
        <v>1</v>
      </c>
    </row>
    <row r="1893" spans="2:42">
      <c r="B1893" s="38"/>
      <c r="AE1893" s="5"/>
      <c r="AL1893" s="11" t="s">
        <v>1739</v>
      </c>
      <c r="AM1893" s="11" t="s">
        <v>10</v>
      </c>
      <c r="AN1893" s="11" t="s">
        <v>166</v>
      </c>
      <c r="AO1893" s="1">
        <v>1</v>
      </c>
    </row>
    <row r="1894" spans="2:42">
      <c r="B1894" s="38"/>
      <c r="AE1894" s="5"/>
      <c r="AL1894" s="11" t="s">
        <v>1740</v>
      </c>
      <c r="AM1894" s="11" t="s">
        <v>10</v>
      </c>
      <c r="AN1894" s="11" t="s">
        <v>166</v>
      </c>
      <c r="AO1894" s="1">
        <v>1</v>
      </c>
    </row>
    <row r="1895" spans="2:42">
      <c r="B1895" s="38"/>
      <c r="AE1895" s="5"/>
      <c r="AL1895" s="11" t="s">
        <v>1741</v>
      </c>
      <c r="AM1895" s="11" t="s">
        <v>10</v>
      </c>
      <c r="AN1895" s="11" t="s">
        <v>166</v>
      </c>
      <c r="AO1895" s="1">
        <v>1</v>
      </c>
    </row>
    <row r="1896" spans="2:42">
      <c r="B1896" s="38"/>
      <c r="AE1896" s="5"/>
      <c r="AL1896" s="11" t="s">
        <v>1742</v>
      </c>
      <c r="AM1896" s="11" t="s">
        <v>10</v>
      </c>
      <c r="AN1896" s="11" t="s">
        <v>166</v>
      </c>
      <c r="AO1896" s="1">
        <v>1</v>
      </c>
    </row>
    <row r="1897" spans="2:42">
      <c r="B1897" s="38"/>
      <c r="AE1897" s="5"/>
      <c r="AL1897" s="11" t="s">
        <v>1743</v>
      </c>
      <c r="AM1897" s="11" t="s">
        <v>10</v>
      </c>
      <c r="AN1897" s="11" t="s">
        <v>166</v>
      </c>
      <c r="AO1897" s="1">
        <v>1</v>
      </c>
    </row>
    <row r="1898" spans="2:42">
      <c r="B1898" s="38"/>
      <c r="AE1898" s="5"/>
      <c r="AL1898" s="11" t="s">
        <v>1744</v>
      </c>
      <c r="AM1898" s="11" t="s">
        <v>10</v>
      </c>
      <c r="AN1898" s="11" t="s">
        <v>110</v>
      </c>
      <c r="AO1898" s="40">
        <v>1</v>
      </c>
    </row>
    <row r="1899" spans="2:42">
      <c r="B1899" s="38"/>
      <c r="AE1899" s="5"/>
      <c r="AL1899" s="11" t="s">
        <v>2209</v>
      </c>
      <c r="AM1899" s="11" t="s">
        <v>10</v>
      </c>
      <c r="AN1899" s="11" t="s">
        <v>110</v>
      </c>
      <c r="AO1899" s="40">
        <v>1</v>
      </c>
    </row>
    <row r="1900" spans="2:42">
      <c r="B1900" s="38"/>
      <c r="X1900" s="16"/>
      <c r="Y1900" s="16"/>
      <c r="Z1900" s="16"/>
      <c r="AA1900" s="16"/>
      <c r="AB1900" s="16"/>
      <c r="AC1900" s="16"/>
      <c r="AD1900" s="16"/>
      <c r="AE1900" s="7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16"/>
      <c r="AP1900" s="16"/>
    </row>
    <row r="1901" spans="2:42">
      <c r="B1901" s="38"/>
      <c r="AE1901" s="5"/>
    </row>
    <row r="1902" spans="2:42">
      <c r="B1902" s="38"/>
      <c r="X1902" s="11">
        <f>SUM(AC1902,AM1902,AM1914,AM1926)</f>
        <v>25</v>
      </c>
      <c r="Y1902" s="20" t="s">
        <v>1745</v>
      </c>
      <c r="Z1902" s="42" t="s">
        <v>1746</v>
      </c>
      <c r="AA1902" s="42"/>
      <c r="AB1902" s="42"/>
      <c r="AC1902" s="11">
        <f>COUNTA(AB1903:AB1905)-COUNTIF(Z1903:Z1905,"兼")</f>
        <v>3</v>
      </c>
      <c r="AE1902" s="5"/>
      <c r="AI1902" s="20" t="s">
        <v>1747</v>
      </c>
      <c r="AJ1902" s="42" t="s">
        <v>1748</v>
      </c>
      <c r="AK1902" s="42"/>
      <c r="AL1902" s="42"/>
      <c r="AM1902" s="11">
        <f>COUNTA(AL1903:AL1912)-COUNTIF(AJ1903:AJ1912,"兼")</f>
        <v>10</v>
      </c>
    </row>
    <row r="1903" spans="2:42">
      <c r="B1903" s="38"/>
      <c r="AA1903" s="11" t="s">
        <v>98</v>
      </c>
      <c r="AB1903" s="11" t="s">
        <v>1749</v>
      </c>
      <c r="AC1903" s="11" t="s">
        <v>10</v>
      </c>
      <c r="AD1903" s="11" t="s">
        <v>166</v>
      </c>
      <c r="AE1903" s="40">
        <v>1</v>
      </c>
      <c r="AK1903" s="11" t="s">
        <v>1209</v>
      </c>
      <c r="AL1903" s="11" t="s">
        <v>1750</v>
      </c>
      <c r="AM1903" s="11" t="s">
        <v>10</v>
      </c>
      <c r="AN1903" s="11" t="s">
        <v>166</v>
      </c>
      <c r="AO1903" s="1">
        <v>1</v>
      </c>
    </row>
    <row r="1904" spans="2:42">
      <c r="B1904" s="38"/>
      <c r="AA1904" s="11" t="s">
        <v>186</v>
      </c>
      <c r="AB1904" s="11" t="s">
        <v>1751</v>
      </c>
      <c r="AC1904" s="11" t="s">
        <v>10</v>
      </c>
      <c r="AD1904" s="11" t="s">
        <v>166</v>
      </c>
      <c r="AE1904" s="40">
        <v>0</v>
      </c>
      <c r="AL1904" s="11" t="s">
        <v>1752</v>
      </c>
      <c r="AM1904" s="11" t="s">
        <v>10</v>
      </c>
      <c r="AN1904" s="11" t="s">
        <v>166</v>
      </c>
      <c r="AO1904" s="1">
        <v>1</v>
      </c>
    </row>
    <row r="1905" spans="2:41">
      <c r="B1905" s="38"/>
      <c r="AB1905" s="11" t="s">
        <v>1753</v>
      </c>
      <c r="AC1905" s="11" t="s">
        <v>10</v>
      </c>
      <c r="AD1905" s="11" t="s">
        <v>124</v>
      </c>
      <c r="AE1905" s="40">
        <v>1</v>
      </c>
      <c r="AL1905" s="11" t="s">
        <v>1754</v>
      </c>
      <c r="AM1905" s="11" t="s">
        <v>10</v>
      </c>
      <c r="AN1905" s="11" t="s">
        <v>166</v>
      </c>
      <c r="AO1905" s="1">
        <v>1</v>
      </c>
    </row>
    <row r="1906" spans="2:41">
      <c r="B1906" s="38"/>
      <c r="AE1906" s="5"/>
      <c r="AL1906" s="11" t="s">
        <v>1755</v>
      </c>
      <c r="AM1906" s="11" t="s">
        <v>10</v>
      </c>
      <c r="AN1906" s="11" t="s">
        <v>166</v>
      </c>
      <c r="AO1906" s="1">
        <v>1</v>
      </c>
    </row>
    <row r="1907" spans="2:41">
      <c r="B1907" s="38"/>
      <c r="AE1907" s="5"/>
      <c r="AL1907" s="11" t="s">
        <v>1756</v>
      </c>
      <c r="AM1907" s="11" t="s">
        <v>10</v>
      </c>
      <c r="AN1907" s="11" t="s">
        <v>166</v>
      </c>
      <c r="AO1907" s="1">
        <v>1</v>
      </c>
    </row>
    <row r="1908" spans="2:41">
      <c r="B1908" s="38"/>
      <c r="AE1908" s="5"/>
      <c r="AL1908" s="11" t="s">
        <v>1757</v>
      </c>
      <c r="AM1908" s="11" t="s">
        <v>10</v>
      </c>
      <c r="AN1908" s="11" t="s">
        <v>166</v>
      </c>
      <c r="AO1908" s="1">
        <v>1</v>
      </c>
    </row>
    <row r="1909" spans="2:41">
      <c r="B1909" s="38"/>
      <c r="AE1909" s="5"/>
      <c r="AL1909" s="11" t="s">
        <v>1758</v>
      </c>
      <c r="AM1909" s="11" t="s">
        <v>10</v>
      </c>
      <c r="AN1909" s="11" t="s">
        <v>166</v>
      </c>
      <c r="AO1909" s="1">
        <v>1</v>
      </c>
    </row>
    <row r="1910" spans="2:41">
      <c r="B1910" s="38"/>
      <c r="AE1910" s="5"/>
      <c r="AL1910" s="11" t="s">
        <v>1759</v>
      </c>
      <c r="AM1910" s="11" t="s">
        <v>10</v>
      </c>
      <c r="AN1910" s="11" t="s">
        <v>166</v>
      </c>
      <c r="AO1910" s="1">
        <v>1</v>
      </c>
    </row>
    <row r="1911" spans="2:41">
      <c r="B1911" s="38"/>
      <c r="AE1911" s="5"/>
      <c r="AL1911" s="11" t="s">
        <v>1760</v>
      </c>
      <c r="AM1911" s="11" t="s">
        <v>10</v>
      </c>
      <c r="AN1911" s="11" t="s">
        <v>166</v>
      </c>
      <c r="AO1911" s="1">
        <v>1</v>
      </c>
    </row>
    <row r="1912" spans="2:41">
      <c r="B1912" s="38"/>
      <c r="AE1912" s="5"/>
      <c r="AL1912" s="11" t="s">
        <v>595</v>
      </c>
      <c r="AM1912" s="11" t="s">
        <v>10</v>
      </c>
      <c r="AN1912" s="11" t="s">
        <v>110</v>
      </c>
      <c r="AO1912" s="1">
        <v>1</v>
      </c>
    </row>
    <row r="1913" spans="2:41">
      <c r="B1913" s="38"/>
      <c r="AE1913" s="5"/>
    </row>
    <row r="1914" spans="2:41">
      <c r="B1914" s="38"/>
      <c r="AE1914" s="5"/>
      <c r="AI1914" s="20" t="s">
        <v>1761</v>
      </c>
      <c r="AJ1914" s="42" t="s">
        <v>1762</v>
      </c>
      <c r="AK1914" s="42"/>
      <c r="AL1914" s="42"/>
      <c r="AM1914" s="11">
        <f>COUNTA(AL1915:AL1924)-COUNTIF(AJ1915:AJ1924,"兼")</f>
        <v>9</v>
      </c>
    </row>
    <row r="1915" spans="2:41">
      <c r="B1915" s="38"/>
      <c r="AE1915" s="5"/>
      <c r="AJ1915" s="11" t="s">
        <v>57</v>
      </c>
      <c r="AK1915" s="11" t="s">
        <v>1209</v>
      </c>
      <c r="AL1915" s="11" t="s">
        <v>1763</v>
      </c>
      <c r="AM1915" s="11" t="s">
        <v>10</v>
      </c>
      <c r="AN1915" s="11" t="s">
        <v>166</v>
      </c>
      <c r="AO1915" s="1">
        <v>1</v>
      </c>
    </row>
    <row r="1916" spans="2:41">
      <c r="B1916" s="38"/>
      <c r="AE1916" s="5"/>
      <c r="AL1916" s="11" t="s">
        <v>1764</v>
      </c>
      <c r="AM1916" s="11" t="s">
        <v>10</v>
      </c>
      <c r="AN1916" s="11" t="s">
        <v>166</v>
      </c>
      <c r="AO1916" s="1">
        <v>1</v>
      </c>
    </row>
    <row r="1917" spans="2:41">
      <c r="B1917" s="38"/>
      <c r="AE1917" s="5"/>
      <c r="AL1917" s="11" t="s">
        <v>1766</v>
      </c>
      <c r="AM1917" s="11" t="s">
        <v>10</v>
      </c>
      <c r="AN1917" s="11" t="s">
        <v>166</v>
      </c>
      <c r="AO1917" s="1">
        <v>1</v>
      </c>
    </row>
    <row r="1918" spans="2:41">
      <c r="B1918" s="38"/>
      <c r="AE1918" s="5"/>
      <c r="AL1918" s="11" t="s">
        <v>1767</v>
      </c>
      <c r="AM1918" s="11" t="s">
        <v>363</v>
      </c>
      <c r="AN1918" s="11" t="s">
        <v>166</v>
      </c>
      <c r="AO1918" s="1">
        <v>1</v>
      </c>
    </row>
    <row r="1919" spans="2:41">
      <c r="B1919" s="38"/>
      <c r="AE1919" s="5"/>
      <c r="AL1919" s="11" t="s">
        <v>1768</v>
      </c>
      <c r="AM1919" s="11" t="s">
        <v>10</v>
      </c>
      <c r="AN1919" s="11" t="s">
        <v>166</v>
      </c>
      <c r="AO1919" s="1">
        <v>1</v>
      </c>
    </row>
    <row r="1920" spans="2:41">
      <c r="B1920" s="38"/>
      <c r="AE1920" s="5"/>
      <c r="AL1920" s="11" t="s">
        <v>1769</v>
      </c>
      <c r="AM1920" s="11" t="s">
        <v>10</v>
      </c>
      <c r="AN1920" s="11" t="s">
        <v>166</v>
      </c>
      <c r="AO1920" s="1">
        <v>1</v>
      </c>
    </row>
    <row r="1921" spans="2:42">
      <c r="B1921" s="38"/>
      <c r="AE1921" s="5"/>
      <c r="AL1921" s="11" t="s">
        <v>1770</v>
      </c>
      <c r="AM1921" s="11" t="s">
        <v>363</v>
      </c>
      <c r="AN1921" s="11" t="s">
        <v>166</v>
      </c>
      <c r="AO1921" s="1">
        <v>1</v>
      </c>
    </row>
    <row r="1922" spans="2:42">
      <c r="B1922" s="38"/>
      <c r="AE1922" s="5"/>
      <c r="AL1922" s="11" t="s">
        <v>1771</v>
      </c>
      <c r="AM1922" s="11" t="s">
        <v>10</v>
      </c>
      <c r="AN1922" s="11" t="s">
        <v>166</v>
      </c>
      <c r="AO1922" s="1">
        <v>1</v>
      </c>
    </row>
    <row r="1923" spans="2:42">
      <c r="B1923" s="38"/>
      <c r="AE1923" s="5"/>
      <c r="AL1923" s="11" t="s">
        <v>589</v>
      </c>
      <c r="AM1923" s="11" t="s">
        <v>10</v>
      </c>
      <c r="AN1923" s="11" t="s">
        <v>110</v>
      </c>
      <c r="AO1923" s="1">
        <v>1</v>
      </c>
    </row>
    <row r="1924" spans="2:42">
      <c r="B1924" s="38"/>
      <c r="AE1924" s="5"/>
      <c r="AL1924" s="11" t="s">
        <v>2248</v>
      </c>
      <c r="AM1924" s="11" t="s">
        <v>10</v>
      </c>
      <c r="AN1924" s="11" t="s">
        <v>110</v>
      </c>
      <c r="AO1924" s="1">
        <v>1</v>
      </c>
    </row>
    <row r="1925" spans="2:42">
      <c r="B1925" s="38"/>
      <c r="AE1925" s="5"/>
    </row>
    <row r="1926" spans="2:42">
      <c r="B1926" s="38"/>
      <c r="AE1926" s="5"/>
      <c r="AI1926" s="20" t="s">
        <v>1772</v>
      </c>
      <c r="AJ1926" s="42" t="s">
        <v>1773</v>
      </c>
      <c r="AK1926" s="42"/>
      <c r="AL1926" s="42"/>
      <c r="AM1926" s="11">
        <f>COUNTA(AL1927:AL1929)-COUNTIF(AJ1927:AJ1929,"兼")</f>
        <v>3</v>
      </c>
    </row>
    <row r="1927" spans="2:42">
      <c r="B1927" s="38"/>
      <c r="AE1927" s="5"/>
      <c r="AK1927" s="11" t="s">
        <v>1209</v>
      </c>
      <c r="AL1927" s="11" t="s">
        <v>1774</v>
      </c>
      <c r="AM1927" s="11" t="s">
        <v>10</v>
      </c>
      <c r="AN1927" s="11" t="s">
        <v>166</v>
      </c>
      <c r="AO1927" s="1">
        <v>1</v>
      </c>
    </row>
    <row r="1928" spans="2:42">
      <c r="B1928" s="38"/>
      <c r="AE1928" s="5"/>
      <c r="AL1928" s="11" t="s">
        <v>1775</v>
      </c>
      <c r="AM1928" s="11" t="s">
        <v>10</v>
      </c>
      <c r="AN1928" s="11" t="s">
        <v>166</v>
      </c>
      <c r="AO1928" s="1">
        <v>1</v>
      </c>
    </row>
    <row r="1929" spans="2:42">
      <c r="B1929" s="38"/>
      <c r="AE1929" s="5"/>
      <c r="AL1929" s="11" t="s">
        <v>1637</v>
      </c>
      <c r="AM1929" s="11" t="s">
        <v>10</v>
      </c>
      <c r="AN1929" s="11" t="s">
        <v>166</v>
      </c>
      <c r="AO1929" s="1">
        <v>0.6</v>
      </c>
    </row>
    <row r="1930" spans="2:42">
      <c r="B1930" s="38"/>
      <c r="X1930" s="16"/>
      <c r="Y1930" s="16"/>
      <c r="Z1930" s="16"/>
      <c r="AA1930" s="16"/>
      <c r="AB1930" s="16"/>
      <c r="AC1930" s="16"/>
      <c r="AD1930" s="16"/>
      <c r="AE1930" s="7"/>
      <c r="AF1930" s="16"/>
      <c r="AG1930" s="16"/>
      <c r="AH1930" s="16"/>
      <c r="AI1930" s="16"/>
      <c r="AJ1930" s="16"/>
      <c r="AK1930" s="16"/>
      <c r="AL1930" s="16"/>
      <c r="AM1930" s="16"/>
      <c r="AN1930" s="16"/>
      <c r="AO1930" s="16"/>
      <c r="AP1930" s="16"/>
    </row>
    <row r="1931" spans="2:42">
      <c r="B1931" s="38"/>
      <c r="AE1931" s="5"/>
    </row>
    <row r="1932" spans="2:42">
      <c r="B1932" s="38"/>
      <c r="N1932" s="11">
        <f>SUM(S1932,X1932)</f>
        <v>0</v>
      </c>
      <c r="O1932" s="20" t="s">
        <v>1650</v>
      </c>
      <c r="P1932" s="42" t="s">
        <v>1776</v>
      </c>
      <c r="Q1932" s="42"/>
      <c r="R1932" s="42"/>
      <c r="S1932" s="11">
        <f>COUNTA(R1933:R1933)-COUNTIF(P1933:P1933,"兼")</f>
        <v>0</v>
      </c>
      <c r="X1932" s="11">
        <f>SUM(AC1932)</f>
        <v>0</v>
      </c>
      <c r="Y1932" s="20" t="s">
        <v>1667</v>
      </c>
      <c r="Z1932" s="42" t="s">
        <v>1777</v>
      </c>
      <c r="AA1932" s="42"/>
      <c r="AB1932" s="42"/>
      <c r="AC1932" s="11">
        <f>COUNTA(AB1933)-COUNTIF(Z1933,"兼")</f>
        <v>0</v>
      </c>
      <c r="AE1932" s="5"/>
    </row>
    <row r="1933" spans="2:42">
      <c r="B1933" s="38"/>
      <c r="P1933" s="11" t="s">
        <v>57</v>
      </c>
      <c r="Q1933" s="11" t="s">
        <v>674</v>
      </c>
      <c r="R1933" s="11" t="s">
        <v>30</v>
      </c>
      <c r="S1933" s="11" t="s">
        <v>10</v>
      </c>
      <c r="T1933" s="11" t="s">
        <v>14</v>
      </c>
      <c r="U1933" s="1">
        <v>0</v>
      </c>
      <c r="Z1933" s="11" t="s">
        <v>57</v>
      </c>
      <c r="AA1933" s="11" t="s">
        <v>98</v>
      </c>
      <c r="AB1933" s="11" t="s">
        <v>1671</v>
      </c>
      <c r="AC1933" s="11" t="s">
        <v>10</v>
      </c>
      <c r="AD1933" s="11" t="s">
        <v>166</v>
      </c>
      <c r="AE1933" s="40">
        <v>0</v>
      </c>
    </row>
    <row r="1934" spans="2:42">
      <c r="B1934" s="38"/>
      <c r="AE1934" s="11"/>
    </row>
    <row r="1935" spans="2:42">
      <c r="B1935" s="38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7"/>
      <c r="AF1935" s="16"/>
      <c r="AG1935" s="16"/>
      <c r="AH1935" s="16"/>
      <c r="AI1935" s="16"/>
      <c r="AJ1935" s="16"/>
      <c r="AK1935" s="16"/>
      <c r="AL1935" s="16"/>
      <c r="AM1935" s="16"/>
      <c r="AN1935" s="16"/>
      <c r="AO1935" s="16"/>
      <c r="AP1935" s="16"/>
    </row>
    <row r="1936" spans="2:42">
      <c r="B1936" s="38"/>
      <c r="AE1936" s="5"/>
    </row>
    <row r="1937" spans="2:42">
      <c r="B1937" s="38"/>
      <c r="N1937" s="11">
        <f>SUM(S1937,X1937,X1945,X1952,X1970,X1989,X1997,X2002,X2009,X2023,X2032)</f>
        <v>76</v>
      </c>
      <c r="O1937" s="20" t="s">
        <v>1778</v>
      </c>
      <c r="P1937" s="42" t="s">
        <v>1779</v>
      </c>
      <c r="Q1937" s="42"/>
      <c r="R1937" s="42"/>
      <c r="S1937" s="11">
        <f>COUNTA(R1938:R1947)-COUNTIF(P1938:P1947,"兼")</f>
        <v>10</v>
      </c>
      <c r="X1937" s="11">
        <f>SUM(AC1937)</f>
        <v>3</v>
      </c>
      <c r="Y1937" s="20" t="s">
        <v>1780</v>
      </c>
      <c r="Z1937" s="42" t="s">
        <v>1781</v>
      </c>
      <c r="AA1937" s="42"/>
      <c r="AB1937" s="42"/>
      <c r="AC1937" s="11">
        <f>COUNTA(AB1938:AB1942)-COUNTIF(Z1938:Z1942,"兼")</f>
        <v>3</v>
      </c>
      <c r="AE1937" s="5"/>
    </row>
    <row r="1938" spans="2:42">
      <c r="B1938" s="38"/>
      <c r="Q1938" s="11" t="s">
        <v>674</v>
      </c>
      <c r="R1938" s="11" t="s">
        <v>31</v>
      </c>
      <c r="S1938" s="11" t="s">
        <v>109</v>
      </c>
      <c r="T1938" s="11" t="s">
        <v>14</v>
      </c>
      <c r="U1938" s="1">
        <v>0.6</v>
      </c>
      <c r="AA1938" s="11" t="s">
        <v>76</v>
      </c>
      <c r="AB1938" s="11" t="s">
        <v>1782</v>
      </c>
      <c r="AC1938" s="11" t="s">
        <v>10</v>
      </c>
      <c r="AD1938" s="11" t="s">
        <v>166</v>
      </c>
      <c r="AE1938" s="40">
        <v>0.6</v>
      </c>
    </row>
    <row r="1939" spans="2:42">
      <c r="B1939" s="38"/>
      <c r="Q1939" s="11" t="s">
        <v>677</v>
      </c>
      <c r="R1939" s="11" t="s">
        <v>1783</v>
      </c>
      <c r="S1939" s="11" t="s">
        <v>10</v>
      </c>
      <c r="T1939" s="11" t="s">
        <v>146</v>
      </c>
      <c r="U1939" s="1">
        <v>0.6</v>
      </c>
      <c r="AB1939" s="11" t="s">
        <v>1784</v>
      </c>
      <c r="AC1939" s="11" t="s">
        <v>10</v>
      </c>
      <c r="AD1939" s="11" t="s">
        <v>166</v>
      </c>
      <c r="AE1939" s="40">
        <v>1</v>
      </c>
    </row>
    <row r="1940" spans="2:42">
      <c r="B1940" s="38"/>
      <c r="R1940" s="11" t="s">
        <v>1785</v>
      </c>
      <c r="S1940" s="11" t="s">
        <v>10</v>
      </c>
      <c r="T1940" s="11" t="s">
        <v>1786</v>
      </c>
      <c r="U1940" s="1">
        <v>1</v>
      </c>
      <c r="AB1940" s="11" t="s">
        <v>1634</v>
      </c>
      <c r="AC1940" s="11" t="s">
        <v>10</v>
      </c>
      <c r="AD1940" s="11" t="s">
        <v>166</v>
      </c>
      <c r="AE1940" s="40">
        <v>1</v>
      </c>
    </row>
    <row r="1941" spans="2:42">
      <c r="B1941" s="38"/>
      <c r="R1941" s="11" t="s">
        <v>1787</v>
      </c>
      <c r="S1941" s="11" t="s">
        <v>10</v>
      </c>
      <c r="T1941" s="11" t="s">
        <v>43</v>
      </c>
      <c r="U1941" s="1">
        <v>1</v>
      </c>
      <c r="Z1941" s="11" t="s">
        <v>57</v>
      </c>
      <c r="AB1941" s="11" t="s">
        <v>1783</v>
      </c>
      <c r="AC1941" s="11" t="s">
        <v>10</v>
      </c>
      <c r="AD1941" s="11" t="s">
        <v>43</v>
      </c>
      <c r="AE1941" s="40">
        <v>0.1</v>
      </c>
    </row>
    <row r="1942" spans="2:42">
      <c r="B1942" s="38"/>
      <c r="R1942" s="11" t="s">
        <v>1788</v>
      </c>
      <c r="S1942" s="11" t="s">
        <v>10</v>
      </c>
      <c r="T1942" s="11" t="s">
        <v>43</v>
      </c>
      <c r="U1942" s="1">
        <v>1</v>
      </c>
      <c r="Z1942" s="11" t="s">
        <v>57</v>
      </c>
      <c r="AB1942" s="11" t="s">
        <v>1789</v>
      </c>
      <c r="AC1942" s="11" t="s">
        <v>10</v>
      </c>
      <c r="AD1942" s="11" t="s">
        <v>43</v>
      </c>
      <c r="AE1942" s="40">
        <v>0.2</v>
      </c>
    </row>
    <row r="1943" spans="2:42">
      <c r="B1943" s="38"/>
      <c r="R1943" s="11" t="s">
        <v>1631</v>
      </c>
      <c r="S1943" s="11" t="s">
        <v>10</v>
      </c>
      <c r="T1943" s="11" t="s">
        <v>166</v>
      </c>
      <c r="U1943" s="1">
        <v>1</v>
      </c>
      <c r="X1943" s="16"/>
      <c r="Y1943" s="16"/>
      <c r="Z1943" s="16"/>
      <c r="AA1943" s="16"/>
      <c r="AB1943" s="16"/>
      <c r="AC1943" s="16"/>
      <c r="AD1943" s="16"/>
      <c r="AE1943" s="7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16"/>
      <c r="AP1943" s="16"/>
    </row>
    <row r="1944" spans="2:42">
      <c r="B1944" s="38"/>
      <c r="R1944" s="11" t="s">
        <v>1790</v>
      </c>
      <c r="S1944" s="11" t="s">
        <v>10</v>
      </c>
      <c r="T1944" s="11" t="s">
        <v>43</v>
      </c>
      <c r="U1944" s="1">
        <v>1</v>
      </c>
      <c r="AE1944" s="5"/>
    </row>
    <row r="1945" spans="2:42">
      <c r="B1945" s="38"/>
      <c r="R1945" s="11" t="s">
        <v>1791</v>
      </c>
      <c r="S1945" s="11" t="s">
        <v>10</v>
      </c>
      <c r="T1945" s="11" t="s">
        <v>43</v>
      </c>
      <c r="U1945" s="1">
        <v>1</v>
      </c>
      <c r="X1945" s="11">
        <f>SUM(AC1945)</f>
        <v>2</v>
      </c>
      <c r="Y1945" s="20" t="s">
        <v>1792</v>
      </c>
      <c r="Z1945" s="42" t="s">
        <v>1793</v>
      </c>
      <c r="AA1945" s="42"/>
      <c r="AB1945" s="42"/>
      <c r="AC1945" s="11">
        <f>COUNTA(AB1946:AB1949)-COUNTIF(Z1946:Z1949,"兼")</f>
        <v>2</v>
      </c>
      <c r="AE1945" s="5"/>
    </row>
    <row r="1946" spans="2:42">
      <c r="B1946" s="38"/>
      <c r="R1946" s="11" t="s">
        <v>1794</v>
      </c>
      <c r="S1946" s="11" t="s">
        <v>10</v>
      </c>
      <c r="T1946" s="11" t="s">
        <v>43</v>
      </c>
      <c r="U1946" s="1">
        <v>1</v>
      </c>
      <c r="Z1946" s="11" t="s">
        <v>57</v>
      </c>
      <c r="AA1946" s="11" t="s">
        <v>98</v>
      </c>
      <c r="AB1946" s="11" t="s">
        <v>1795</v>
      </c>
      <c r="AC1946" s="11" t="s">
        <v>10</v>
      </c>
      <c r="AD1946" s="11" t="s">
        <v>43</v>
      </c>
      <c r="AE1946" s="40">
        <v>0.1</v>
      </c>
    </row>
    <row r="1947" spans="2:42">
      <c r="B1947" s="38"/>
      <c r="R1947" s="11" t="s">
        <v>2247</v>
      </c>
      <c r="S1947" s="11" t="s">
        <v>10</v>
      </c>
      <c r="T1947" s="11" t="s">
        <v>43</v>
      </c>
      <c r="U1947" s="1">
        <v>1</v>
      </c>
      <c r="AB1947" s="11" t="s">
        <v>1796</v>
      </c>
      <c r="AC1947" s="11" t="s">
        <v>10</v>
      </c>
      <c r="AD1947" s="11" t="s">
        <v>43</v>
      </c>
      <c r="AE1947" s="40">
        <v>1</v>
      </c>
    </row>
    <row r="1948" spans="2:42">
      <c r="B1948" s="38"/>
      <c r="Z1948" s="11" t="s">
        <v>57</v>
      </c>
      <c r="AB1948" s="11" t="s">
        <v>105</v>
      </c>
      <c r="AC1948" s="11" t="s">
        <v>10</v>
      </c>
      <c r="AD1948" s="11" t="s">
        <v>43</v>
      </c>
      <c r="AE1948" s="40">
        <v>0.4</v>
      </c>
    </row>
    <row r="1949" spans="2:42">
      <c r="B1949" s="38"/>
      <c r="AB1949" s="11" t="s">
        <v>1649</v>
      </c>
      <c r="AC1949" s="11" t="s">
        <v>10</v>
      </c>
      <c r="AD1949" s="11" t="s">
        <v>85</v>
      </c>
      <c r="AE1949" s="1">
        <v>0.6</v>
      </c>
    </row>
    <row r="1950" spans="2:42">
      <c r="B1950" s="38"/>
      <c r="X1950" s="16"/>
      <c r="Y1950" s="16"/>
      <c r="Z1950" s="16"/>
      <c r="AA1950" s="16"/>
      <c r="AB1950" s="16"/>
      <c r="AC1950" s="16"/>
      <c r="AD1950" s="16"/>
      <c r="AE1950" s="7"/>
      <c r="AF1950" s="16"/>
      <c r="AG1950" s="16"/>
      <c r="AH1950" s="16"/>
      <c r="AI1950" s="16"/>
      <c r="AJ1950" s="16"/>
      <c r="AK1950" s="16"/>
      <c r="AL1950" s="16"/>
      <c r="AM1950" s="16"/>
      <c r="AN1950" s="16"/>
      <c r="AO1950" s="16"/>
      <c r="AP1950" s="16"/>
    </row>
    <row r="1951" spans="2:42">
      <c r="B1951" s="38"/>
      <c r="AE1951" s="5"/>
    </row>
    <row r="1952" spans="2:42">
      <c r="B1952" s="38"/>
      <c r="X1952" s="11">
        <f>SUM(AC1952,AM1952,AM1961)</f>
        <v>14</v>
      </c>
      <c r="Y1952" s="20" t="s">
        <v>1797</v>
      </c>
      <c r="Z1952" s="42" t="s">
        <v>1798</v>
      </c>
      <c r="AA1952" s="42"/>
      <c r="AB1952" s="42"/>
      <c r="AC1952" s="11">
        <f>COUNTA(AB1953:AB1954)-COUNTIF(Z1953:Z1954,"兼")</f>
        <v>2</v>
      </c>
      <c r="AE1952" s="5"/>
      <c r="AI1952" s="20" t="s">
        <v>1799</v>
      </c>
      <c r="AJ1952" s="42" t="s">
        <v>1800</v>
      </c>
      <c r="AK1952" s="42"/>
      <c r="AL1952" s="42"/>
      <c r="AM1952" s="11">
        <f>COUNTA(AL1953:AL1959)-COUNTIF(AJ1953:AJ1959,"兼")</f>
        <v>6</v>
      </c>
    </row>
    <row r="1953" spans="2:42">
      <c r="B1953" s="38"/>
      <c r="AA1953" s="11" t="s">
        <v>98</v>
      </c>
      <c r="AB1953" s="11" t="s">
        <v>1801</v>
      </c>
      <c r="AC1953" s="11" t="s">
        <v>10</v>
      </c>
      <c r="AD1953" s="11" t="s">
        <v>43</v>
      </c>
      <c r="AE1953" s="40">
        <v>0.8</v>
      </c>
      <c r="AJ1953" s="11" t="s">
        <v>57</v>
      </c>
      <c r="AK1953" s="11" t="s">
        <v>1209</v>
      </c>
      <c r="AL1953" s="11" t="s">
        <v>1644</v>
      </c>
      <c r="AM1953" s="11" t="s">
        <v>10</v>
      </c>
      <c r="AN1953" s="11" t="s">
        <v>85</v>
      </c>
      <c r="AO1953" s="1">
        <v>0.4</v>
      </c>
    </row>
    <row r="1954" spans="2:42">
      <c r="B1954" s="38"/>
      <c r="AA1954" s="11" t="s">
        <v>186</v>
      </c>
      <c r="AB1954" s="11" t="s">
        <v>1802</v>
      </c>
      <c r="AC1954" s="11" t="s">
        <v>10</v>
      </c>
      <c r="AD1954" s="11" t="s">
        <v>85</v>
      </c>
      <c r="AE1954" s="40">
        <v>0.6</v>
      </c>
      <c r="AL1954" s="11" t="s">
        <v>1803</v>
      </c>
      <c r="AM1954" s="11" t="s">
        <v>10</v>
      </c>
      <c r="AN1954" s="11" t="s">
        <v>43</v>
      </c>
      <c r="AO1954" s="1">
        <v>1</v>
      </c>
    </row>
    <row r="1955" spans="2:42">
      <c r="B1955" s="38"/>
      <c r="AE1955" s="5"/>
      <c r="AL1955" s="11" t="s">
        <v>1804</v>
      </c>
      <c r="AM1955" s="11" t="s">
        <v>10</v>
      </c>
      <c r="AN1955" s="11" t="s">
        <v>43</v>
      </c>
      <c r="AO1955" s="1">
        <v>1</v>
      </c>
    </row>
    <row r="1956" spans="2:42">
      <c r="B1956" s="38"/>
      <c r="AE1956" s="5"/>
      <c r="AL1956" s="11" t="s">
        <v>1805</v>
      </c>
      <c r="AM1956" s="11" t="s">
        <v>10</v>
      </c>
      <c r="AN1956" s="11" t="s">
        <v>43</v>
      </c>
      <c r="AO1956" s="1">
        <v>1</v>
      </c>
    </row>
    <row r="1957" spans="2:42">
      <c r="B1957" s="38"/>
      <c r="AE1957" s="5"/>
      <c r="AL1957" s="11" t="s">
        <v>1806</v>
      </c>
      <c r="AM1957" s="11" t="s">
        <v>10</v>
      </c>
      <c r="AN1957" s="11" t="s">
        <v>43</v>
      </c>
      <c r="AO1957" s="1">
        <v>1</v>
      </c>
    </row>
    <row r="1958" spans="2:42">
      <c r="B1958" s="38"/>
      <c r="AE1958" s="5"/>
      <c r="AL1958" s="11" t="s">
        <v>2221</v>
      </c>
      <c r="AM1958" s="11" t="s">
        <v>10</v>
      </c>
      <c r="AN1958" s="11" t="s">
        <v>43</v>
      </c>
      <c r="AO1958" s="1">
        <v>1</v>
      </c>
    </row>
    <row r="1959" spans="2:42">
      <c r="B1959" s="38"/>
      <c r="AE1959" s="5"/>
      <c r="AL1959" s="11" t="s">
        <v>1827</v>
      </c>
      <c r="AM1959" s="11" t="s">
        <v>10</v>
      </c>
      <c r="AN1959" s="11" t="s">
        <v>43</v>
      </c>
      <c r="AO1959" s="1">
        <v>1</v>
      </c>
    </row>
    <row r="1960" spans="2:42">
      <c r="B1960" s="38"/>
      <c r="AE1960" s="5"/>
    </row>
    <row r="1961" spans="2:42">
      <c r="B1961" s="38"/>
      <c r="AE1961" s="5"/>
      <c r="AI1961" s="20" t="s">
        <v>1807</v>
      </c>
      <c r="AJ1961" s="42" t="s">
        <v>1808</v>
      </c>
      <c r="AK1961" s="42"/>
      <c r="AL1961" s="42"/>
      <c r="AM1961" s="11">
        <f>COUNTA(AL1962:AL1967)-COUNTIF(AJ1962:AJ1967,"兼")</f>
        <v>6</v>
      </c>
    </row>
    <row r="1962" spans="2:42">
      <c r="B1962" s="38"/>
      <c r="AE1962" s="5"/>
      <c r="AK1962" s="11" t="s">
        <v>2214</v>
      </c>
      <c r="AL1962" s="11" t="s">
        <v>1809</v>
      </c>
      <c r="AM1962" s="11" t="s">
        <v>10</v>
      </c>
      <c r="AN1962" s="11" t="s">
        <v>43</v>
      </c>
      <c r="AO1962" s="1">
        <v>1</v>
      </c>
    </row>
    <row r="1963" spans="2:42">
      <c r="B1963" s="38"/>
      <c r="AE1963" s="5"/>
      <c r="AL1963" s="11" t="s">
        <v>1810</v>
      </c>
      <c r="AM1963" s="11" t="s">
        <v>10</v>
      </c>
      <c r="AN1963" s="11" t="s">
        <v>43</v>
      </c>
      <c r="AO1963" s="1">
        <v>1</v>
      </c>
    </row>
    <row r="1964" spans="2:42">
      <c r="B1964" s="38"/>
      <c r="AE1964" s="5"/>
      <c r="AL1964" s="11" t="s">
        <v>1811</v>
      </c>
      <c r="AM1964" s="11" t="s">
        <v>10</v>
      </c>
      <c r="AN1964" s="11" t="s">
        <v>43</v>
      </c>
      <c r="AO1964" s="1">
        <v>1</v>
      </c>
    </row>
    <row r="1965" spans="2:42">
      <c r="B1965" s="38"/>
      <c r="AE1965" s="5"/>
      <c r="AL1965" s="11" t="s">
        <v>1812</v>
      </c>
      <c r="AM1965" s="11" t="s">
        <v>10</v>
      </c>
      <c r="AN1965" s="11" t="s">
        <v>43</v>
      </c>
      <c r="AO1965" s="1">
        <v>1</v>
      </c>
    </row>
    <row r="1966" spans="2:42">
      <c r="B1966" s="38"/>
      <c r="AE1966" s="5"/>
      <c r="AL1966" s="11" t="s">
        <v>618</v>
      </c>
      <c r="AM1966" s="11" t="s">
        <v>10</v>
      </c>
      <c r="AN1966" s="11" t="s">
        <v>146</v>
      </c>
      <c r="AO1966" s="40">
        <v>1</v>
      </c>
    </row>
    <row r="1967" spans="2:42">
      <c r="B1967" s="38"/>
      <c r="AE1967" s="5"/>
      <c r="AL1967" s="11" t="s">
        <v>2194</v>
      </c>
      <c r="AM1967" s="11" t="s">
        <v>10</v>
      </c>
      <c r="AN1967" s="11" t="s">
        <v>146</v>
      </c>
      <c r="AO1967" s="40">
        <v>1</v>
      </c>
    </row>
    <row r="1968" spans="2:42">
      <c r="B1968" s="38"/>
      <c r="X1968" s="16"/>
      <c r="Y1968" s="16"/>
      <c r="Z1968" s="16"/>
      <c r="AA1968" s="16"/>
      <c r="AB1968" s="16"/>
      <c r="AC1968" s="16"/>
      <c r="AD1968" s="16"/>
      <c r="AE1968" s="7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16"/>
      <c r="AP1968" s="16"/>
    </row>
    <row r="1969" spans="2:41">
      <c r="B1969" s="38"/>
      <c r="AE1969" s="5"/>
    </row>
    <row r="1970" spans="2:41">
      <c r="B1970" s="38"/>
      <c r="X1970" s="11">
        <f>SUM(AC1970,AM1970,AM1981)</f>
        <v>12</v>
      </c>
      <c r="Y1970" s="20" t="s">
        <v>1813</v>
      </c>
      <c r="Z1970" s="42" t="s">
        <v>1814</v>
      </c>
      <c r="AA1970" s="42"/>
      <c r="AB1970" s="42"/>
      <c r="AC1970" s="11">
        <f>COUNTA(AB1971)-COUNTIF(Z1971,"兼")</f>
        <v>0</v>
      </c>
      <c r="AE1970" s="5"/>
      <c r="AI1970" s="20" t="s">
        <v>1815</v>
      </c>
      <c r="AJ1970" s="42" t="s">
        <v>1816</v>
      </c>
      <c r="AK1970" s="42"/>
      <c r="AL1970" s="42"/>
      <c r="AM1970" s="11">
        <f>COUNTA(AL1971:AL1979)-COUNTIF(AJ1971:AJ1979,"兼")</f>
        <v>8</v>
      </c>
    </row>
    <row r="1971" spans="2:41">
      <c r="B1971" s="38"/>
      <c r="Z1971" s="11" t="s">
        <v>57</v>
      </c>
      <c r="AA1971" s="11" t="s">
        <v>98</v>
      </c>
      <c r="AB1971" s="11" t="s">
        <v>1795</v>
      </c>
      <c r="AC1971" s="11" t="s">
        <v>10</v>
      </c>
      <c r="AD1971" s="11" t="s">
        <v>43</v>
      </c>
      <c r="AE1971" s="40">
        <v>0.1</v>
      </c>
      <c r="AK1971" s="11" t="s">
        <v>1209</v>
      </c>
      <c r="AL1971" s="11" t="s">
        <v>1817</v>
      </c>
      <c r="AM1971" s="11" t="s">
        <v>10</v>
      </c>
      <c r="AN1971" s="11" t="s">
        <v>43</v>
      </c>
      <c r="AO1971" s="1">
        <v>1</v>
      </c>
    </row>
    <row r="1972" spans="2:41">
      <c r="B1972" s="38"/>
      <c r="AE1972" s="5"/>
      <c r="AL1972" s="11" t="s">
        <v>1818</v>
      </c>
      <c r="AM1972" s="11" t="s">
        <v>10</v>
      </c>
      <c r="AN1972" s="11" t="s">
        <v>43</v>
      </c>
      <c r="AO1972" s="1">
        <v>1</v>
      </c>
    </row>
    <row r="1973" spans="2:41">
      <c r="B1973" s="38"/>
      <c r="AE1973" s="5"/>
      <c r="AJ1973" s="11" t="s">
        <v>57</v>
      </c>
      <c r="AL1973" s="11" t="s">
        <v>1819</v>
      </c>
      <c r="AM1973" s="11" t="s">
        <v>10</v>
      </c>
      <c r="AN1973" s="11" t="s">
        <v>43</v>
      </c>
      <c r="AO1973" s="1">
        <v>0.4</v>
      </c>
    </row>
    <row r="1974" spans="2:41">
      <c r="B1974" s="38"/>
      <c r="AE1974" s="5"/>
      <c r="AL1974" s="11" t="s">
        <v>1820</v>
      </c>
      <c r="AM1974" s="11" t="s">
        <v>10</v>
      </c>
      <c r="AN1974" s="11" t="s">
        <v>43</v>
      </c>
      <c r="AO1974" s="1">
        <v>1</v>
      </c>
    </row>
    <row r="1975" spans="2:41">
      <c r="B1975" s="38"/>
      <c r="AE1975" s="5"/>
      <c r="AL1975" s="11" t="s">
        <v>1821</v>
      </c>
      <c r="AM1975" s="11" t="s">
        <v>10</v>
      </c>
      <c r="AN1975" s="11" t="s">
        <v>43</v>
      </c>
      <c r="AO1975" s="1">
        <v>1</v>
      </c>
    </row>
    <row r="1976" spans="2:41">
      <c r="B1976" s="38"/>
      <c r="AE1976" s="5"/>
      <c r="AL1976" s="11" t="s">
        <v>1822</v>
      </c>
      <c r="AM1976" s="11" t="s">
        <v>10</v>
      </c>
      <c r="AN1976" s="11" t="s">
        <v>43</v>
      </c>
      <c r="AO1976" s="1">
        <v>1</v>
      </c>
    </row>
    <row r="1977" spans="2:41">
      <c r="B1977" s="38"/>
      <c r="AE1977" s="5"/>
      <c r="AL1977" s="11" t="s">
        <v>1823</v>
      </c>
      <c r="AM1977" s="11" t="s">
        <v>10</v>
      </c>
      <c r="AN1977" s="11" t="s">
        <v>43</v>
      </c>
      <c r="AO1977" s="1">
        <v>1</v>
      </c>
    </row>
    <row r="1978" spans="2:41">
      <c r="B1978" s="38"/>
      <c r="AE1978" s="5"/>
      <c r="AL1978" s="11" t="s">
        <v>1824</v>
      </c>
      <c r="AM1978" s="11" t="s">
        <v>10</v>
      </c>
      <c r="AN1978" s="11" t="s">
        <v>43</v>
      </c>
      <c r="AO1978" s="1">
        <v>1</v>
      </c>
    </row>
    <row r="1979" spans="2:41">
      <c r="B1979" s="38"/>
      <c r="AE1979" s="5"/>
      <c r="AL1979" s="11" t="s">
        <v>2222</v>
      </c>
      <c r="AM1979" s="11" t="s">
        <v>10</v>
      </c>
      <c r="AN1979" s="11" t="s">
        <v>43</v>
      </c>
      <c r="AO1979" s="1">
        <v>1</v>
      </c>
    </row>
    <row r="1980" spans="2:41">
      <c r="B1980" s="38"/>
      <c r="AE1980" s="5"/>
    </row>
    <row r="1981" spans="2:41">
      <c r="B1981" s="38"/>
      <c r="AE1981" s="5"/>
      <c r="AI1981" s="20" t="s">
        <v>1825</v>
      </c>
      <c r="AJ1981" s="42" t="s">
        <v>1826</v>
      </c>
      <c r="AK1981" s="42"/>
      <c r="AL1981" s="42"/>
      <c r="AM1981" s="11">
        <f>COUNTA(AL1982:AL1986)-COUNTIF(AJ1982:AJ1986,"兼")</f>
        <v>4</v>
      </c>
    </row>
    <row r="1982" spans="2:41">
      <c r="B1982" s="38"/>
      <c r="AE1982" s="5"/>
      <c r="AI1982" s="25"/>
      <c r="AJ1982" s="11" t="s">
        <v>57</v>
      </c>
      <c r="AK1982" s="11" t="s">
        <v>2214</v>
      </c>
      <c r="AL1982" s="11" t="s">
        <v>1783</v>
      </c>
      <c r="AM1982" s="11" t="s">
        <v>10</v>
      </c>
      <c r="AN1982" s="11" t="s">
        <v>43</v>
      </c>
      <c r="AO1982" s="40">
        <v>0.1</v>
      </c>
    </row>
    <row r="1983" spans="2:41">
      <c r="B1983" s="38"/>
      <c r="AE1983" s="5"/>
      <c r="AL1983" s="11" t="s">
        <v>1828</v>
      </c>
      <c r="AM1983" s="11" t="s">
        <v>10</v>
      </c>
      <c r="AN1983" s="11" t="s">
        <v>43</v>
      </c>
      <c r="AO1983" s="1">
        <v>1</v>
      </c>
    </row>
    <row r="1984" spans="2:41">
      <c r="B1984" s="38"/>
      <c r="AE1984" s="5"/>
      <c r="AL1984" s="11" t="s">
        <v>1829</v>
      </c>
      <c r="AM1984" s="11" t="s">
        <v>10</v>
      </c>
      <c r="AN1984" s="11" t="s">
        <v>43</v>
      </c>
      <c r="AO1984" s="1">
        <v>1</v>
      </c>
    </row>
    <row r="1985" spans="2:42">
      <c r="B1985" s="38"/>
      <c r="AE1985" s="5"/>
      <c r="AL1985" s="11" t="s">
        <v>616</v>
      </c>
      <c r="AM1985" s="11" t="s">
        <v>10</v>
      </c>
      <c r="AN1985" s="11" t="s">
        <v>146</v>
      </c>
      <c r="AO1985" s="40">
        <v>1</v>
      </c>
    </row>
    <row r="1986" spans="2:42">
      <c r="B1986" s="38"/>
      <c r="AE1986" s="5"/>
      <c r="AL1986" s="11" t="s">
        <v>1819</v>
      </c>
      <c r="AM1986" s="11" t="s">
        <v>10</v>
      </c>
      <c r="AN1986" s="11" t="s">
        <v>43</v>
      </c>
      <c r="AO1986" s="1">
        <v>0.6</v>
      </c>
    </row>
    <row r="1987" spans="2:42">
      <c r="B1987" s="38"/>
      <c r="X1987" s="16"/>
      <c r="Y1987" s="16"/>
      <c r="Z1987" s="16"/>
      <c r="AA1987" s="16"/>
      <c r="AB1987" s="16"/>
      <c r="AC1987" s="16"/>
      <c r="AD1987" s="16"/>
      <c r="AE1987" s="7"/>
      <c r="AF1987" s="16"/>
      <c r="AG1987" s="16"/>
      <c r="AH1987" s="16"/>
      <c r="AI1987" s="16"/>
      <c r="AJ1987" s="16"/>
      <c r="AK1987" s="16"/>
      <c r="AL1987" s="16"/>
      <c r="AM1987" s="16"/>
      <c r="AN1987" s="16"/>
      <c r="AO1987" s="16"/>
      <c r="AP1987" s="16"/>
    </row>
    <row r="1988" spans="2:42">
      <c r="B1988" s="38"/>
      <c r="AE1988" s="5"/>
    </row>
    <row r="1989" spans="2:42">
      <c r="B1989" s="38"/>
      <c r="X1989" s="11">
        <f>SUM(AC1989,AM1989)</f>
        <v>7</v>
      </c>
      <c r="Y1989" s="20" t="s">
        <v>1830</v>
      </c>
      <c r="Z1989" s="42" t="s">
        <v>1831</v>
      </c>
      <c r="AA1989" s="42"/>
      <c r="AB1989" s="42"/>
      <c r="AC1989" s="11">
        <f>COUNTA(AB1990:AB1992)-COUNTIF(Z1990:Z1992,"兼")</f>
        <v>2</v>
      </c>
      <c r="AE1989" s="5"/>
      <c r="AI1989" s="20" t="s">
        <v>1832</v>
      </c>
      <c r="AJ1989" s="42" t="s">
        <v>1833</v>
      </c>
      <c r="AK1989" s="42"/>
      <c r="AL1989" s="42"/>
      <c r="AM1989" s="11">
        <f>COUNTA(AL1990:AL1994)-COUNTIF(AJ1990:AJ1994,"兼")</f>
        <v>5</v>
      </c>
    </row>
    <row r="1990" spans="2:42">
      <c r="B1990" s="38"/>
      <c r="AA1990" s="11" t="s">
        <v>1834</v>
      </c>
      <c r="AB1990" s="11" t="s">
        <v>1645</v>
      </c>
      <c r="AC1990" s="11" t="s">
        <v>10</v>
      </c>
      <c r="AD1990" s="11" t="s">
        <v>85</v>
      </c>
      <c r="AE1990" s="40">
        <v>0.4</v>
      </c>
      <c r="AK1990" s="11" t="s">
        <v>1209</v>
      </c>
      <c r="AL1990" s="11" t="s">
        <v>1835</v>
      </c>
      <c r="AM1990" s="11" t="s">
        <v>10</v>
      </c>
      <c r="AN1990" s="11" t="s">
        <v>43</v>
      </c>
      <c r="AO1990" s="1">
        <v>0.6</v>
      </c>
    </row>
    <row r="1991" spans="2:42">
      <c r="B1991" s="38"/>
      <c r="Z1991" s="11" t="s">
        <v>57</v>
      </c>
      <c r="AA1991" s="11" t="s">
        <v>186</v>
      </c>
      <c r="AB1991" s="11" t="s">
        <v>1721</v>
      </c>
      <c r="AC1991" s="11" t="s">
        <v>10</v>
      </c>
      <c r="AD1991" s="11" t="s">
        <v>124</v>
      </c>
      <c r="AE1991" s="40">
        <v>0.1</v>
      </c>
      <c r="AL1991" s="11" t="s">
        <v>1836</v>
      </c>
      <c r="AM1991" s="11" t="s">
        <v>10</v>
      </c>
      <c r="AN1991" s="11" t="s">
        <v>43</v>
      </c>
      <c r="AO1991" s="1">
        <v>0.6</v>
      </c>
    </row>
    <row r="1992" spans="2:42">
      <c r="B1992" s="38"/>
      <c r="AA1992" s="11" t="s">
        <v>186</v>
      </c>
      <c r="AB1992" s="11" t="s">
        <v>1620</v>
      </c>
      <c r="AC1992" s="11" t="s">
        <v>10</v>
      </c>
      <c r="AD1992" s="11" t="s">
        <v>146</v>
      </c>
      <c r="AE1992" s="40">
        <v>0.8</v>
      </c>
      <c r="AL1992" s="11" t="s">
        <v>1635</v>
      </c>
      <c r="AM1992" s="11" t="s">
        <v>10</v>
      </c>
      <c r="AN1992" s="11" t="s">
        <v>166</v>
      </c>
      <c r="AO1992" s="1">
        <v>0.6</v>
      </c>
    </row>
    <row r="1993" spans="2:42">
      <c r="B1993" s="38"/>
      <c r="AE1993" s="5"/>
      <c r="AL1993" s="11" t="s">
        <v>1636</v>
      </c>
      <c r="AM1993" s="11" t="s">
        <v>10</v>
      </c>
      <c r="AN1993" s="11" t="s">
        <v>166</v>
      </c>
      <c r="AO1993" s="1">
        <v>0.6</v>
      </c>
    </row>
    <row r="1994" spans="2:42">
      <c r="B1994" s="38"/>
      <c r="AE1994" s="5"/>
      <c r="AL1994" s="11" t="s">
        <v>1683</v>
      </c>
      <c r="AM1994" s="11" t="s">
        <v>10</v>
      </c>
      <c r="AN1994" s="11" t="s">
        <v>43</v>
      </c>
      <c r="AO1994" s="1">
        <v>0.6</v>
      </c>
    </row>
    <row r="1995" spans="2:42">
      <c r="B1995" s="38"/>
      <c r="X1995" s="16"/>
      <c r="Y1995" s="16"/>
      <c r="Z1995" s="16"/>
      <c r="AA1995" s="16"/>
      <c r="AB1995" s="16"/>
      <c r="AC1995" s="16"/>
      <c r="AD1995" s="16"/>
      <c r="AE1995" s="7"/>
      <c r="AF1995" s="16"/>
      <c r="AG1995" s="16"/>
      <c r="AH1995" s="16"/>
      <c r="AI1995" s="16"/>
      <c r="AJ1995" s="16"/>
      <c r="AK1995" s="16"/>
      <c r="AL1995" s="16"/>
      <c r="AM1995" s="16"/>
      <c r="AN1995" s="16"/>
      <c r="AO1995" s="16"/>
      <c r="AP1995" s="16"/>
    </row>
    <row r="1996" spans="2:42">
      <c r="B1996" s="38"/>
      <c r="AE1996" s="5"/>
    </row>
    <row r="1997" spans="2:42">
      <c r="B1997" s="38"/>
      <c r="X1997" s="11">
        <f>SUM(AC1997,AM1997)</f>
        <v>3</v>
      </c>
      <c r="Y1997" s="20" t="s">
        <v>1837</v>
      </c>
      <c r="Z1997" s="42" t="s">
        <v>1838</v>
      </c>
      <c r="AA1997" s="42"/>
      <c r="AB1997" s="42"/>
      <c r="AC1997" s="11">
        <f>COUNTA(AB1998:AB1999)-COUNTIF(Z1998:Z1999,"兼")</f>
        <v>1</v>
      </c>
      <c r="AE1997" s="5"/>
      <c r="AI1997" s="20" t="s">
        <v>1839</v>
      </c>
      <c r="AJ1997" s="42" t="s">
        <v>1840</v>
      </c>
      <c r="AK1997" s="42"/>
      <c r="AL1997" s="42"/>
      <c r="AM1997" s="11">
        <f>COUNTA(AL1998:AL1999)-COUNTIF(AJ1998:AJ1999,"兼")</f>
        <v>2</v>
      </c>
    </row>
    <row r="1998" spans="2:42">
      <c r="B1998" s="38"/>
      <c r="AA1998" s="11" t="s">
        <v>98</v>
      </c>
      <c r="AB1998" s="11" t="s">
        <v>1841</v>
      </c>
      <c r="AC1998" s="11" t="s">
        <v>10</v>
      </c>
      <c r="AD1998" s="11" t="s">
        <v>43</v>
      </c>
      <c r="AE1998" s="40">
        <v>0.6</v>
      </c>
      <c r="AK1998" s="11" t="s">
        <v>1209</v>
      </c>
      <c r="AL1998" s="11" t="s">
        <v>1842</v>
      </c>
      <c r="AM1998" s="11" t="s">
        <v>10</v>
      </c>
      <c r="AN1998" s="11" t="s">
        <v>43</v>
      </c>
      <c r="AO1998" s="1">
        <v>1</v>
      </c>
    </row>
    <row r="1999" spans="2:42">
      <c r="B1999" s="38"/>
      <c r="Z1999" s="11" t="s">
        <v>57</v>
      </c>
      <c r="AA1999" s="11" t="s">
        <v>186</v>
      </c>
      <c r="AB1999" s="11" t="s">
        <v>1843</v>
      </c>
      <c r="AC1999" s="11" t="s">
        <v>10</v>
      </c>
      <c r="AD1999" s="11" t="s">
        <v>85</v>
      </c>
      <c r="AE1999" s="40">
        <v>0.2</v>
      </c>
      <c r="AL1999" s="11" t="s">
        <v>1844</v>
      </c>
      <c r="AM1999" s="11" t="s">
        <v>10</v>
      </c>
      <c r="AN1999" s="11" t="s">
        <v>43</v>
      </c>
      <c r="AO1999" s="1">
        <v>1</v>
      </c>
    </row>
    <row r="2000" spans="2:42">
      <c r="B2000" s="38"/>
      <c r="X2000" s="16"/>
      <c r="Y2000" s="16"/>
      <c r="Z2000" s="16"/>
      <c r="AA2000" s="16"/>
      <c r="AB2000" s="16"/>
      <c r="AC2000" s="16"/>
      <c r="AD2000" s="16"/>
      <c r="AE2000" s="7"/>
      <c r="AF2000" s="16"/>
      <c r="AG2000" s="16"/>
      <c r="AH2000" s="16"/>
      <c r="AI2000" s="16"/>
      <c r="AJ2000" s="16"/>
      <c r="AK2000" s="16"/>
      <c r="AL2000" s="16"/>
      <c r="AM2000" s="16"/>
      <c r="AN2000" s="16"/>
      <c r="AO2000" s="16"/>
      <c r="AP2000" s="16"/>
    </row>
    <row r="2001" spans="2:42">
      <c r="B2001" s="38"/>
      <c r="AE2001" s="5"/>
    </row>
    <row r="2002" spans="2:42">
      <c r="B2002" s="38"/>
      <c r="X2002" s="11">
        <f>SUM(AC2002,AM2002)</f>
        <v>5</v>
      </c>
      <c r="Y2002" s="20" t="s">
        <v>1845</v>
      </c>
      <c r="Z2002" s="42" t="s">
        <v>1846</v>
      </c>
      <c r="AA2002" s="42"/>
      <c r="AB2002" s="42"/>
      <c r="AC2002" s="11">
        <f>COUNTA(AB2003:AB2004)-COUNTIF(Z2003:Z2004,"兼")</f>
        <v>2</v>
      </c>
      <c r="AE2002" s="5"/>
      <c r="AI2002" s="20" t="s">
        <v>1847</v>
      </c>
      <c r="AJ2002" s="42" t="s">
        <v>1833</v>
      </c>
      <c r="AK2002" s="42"/>
      <c r="AL2002" s="42"/>
      <c r="AM2002" s="11">
        <f>COUNTA(AL2003:AL2006)-COUNTIF(AJ2003:AJ2006,"兼")</f>
        <v>3</v>
      </c>
    </row>
    <row r="2003" spans="2:42">
      <c r="B2003" s="38"/>
      <c r="AA2003" s="11" t="s">
        <v>98</v>
      </c>
      <c r="AB2003" s="11" t="s">
        <v>1848</v>
      </c>
      <c r="AC2003" s="11" t="s">
        <v>10</v>
      </c>
      <c r="AD2003" s="11" t="s">
        <v>43</v>
      </c>
      <c r="AE2003" s="40">
        <v>1</v>
      </c>
      <c r="AJ2003" s="11" t="s">
        <v>57</v>
      </c>
      <c r="AK2003" s="11" t="s">
        <v>1209</v>
      </c>
      <c r="AL2003" s="11" t="s">
        <v>1646</v>
      </c>
      <c r="AM2003" s="11" t="s">
        <v>10</v>
      </c>
      <c r="AN2003" s="11" t="s">
        <v>85</v>
      </c>
      <c r="AO2003" s="1">
        <v>0.4</v>
      </c>
    </row>
    <row r="2004" spans="2:42">
      <c r="B2004" s="38"/>
      <c r="AA2004" s="11" t="s">
        <v>186</v>
      </c>
      <c r="AB2004" s="11" t="s">
        <v>1849</v>
      </c>
      <c r="AC2004" s="11" t="s">
        <v>10</v>
      </c>
      <c r="AD2004" s="11" t="s">
        <v>85</v>
      </c>
      <c r="AE2004" s="40">
        <v>0.6</v>
      </c>
      <c r="AL2004" s="11" t="s">
        <v>1850</v>
      </c>
      <c r="AM2004" s="11" t="s">
        <v>10</v>
      </c>
      <c r="AN2004" s="11" t="s">
        <v>43</v>
      </c>
      <c r="AO2004" s="1">
        <v>1</v>
      </c>
    </row>
    <row r="2005" spans="2:42">
      <c r="B2005" s="38"/>
      <c r="AE2005" s="5"/>
      <c r="AL2005" s="11" t="s">
        <v>1647</v>
      </c>
      <c r="AM2005" s="11" t="s">
        <v>10</v>
      </c>
      <c r="AN2005" s="11" t="s">
        <v>85</v>
      </c>
      <c r="AO2005" s="1">
        <v>0.6</v>
      </c>
    </row>
    <row r="2006" spans="2:42">
      <c r="B2006" s="38"/>
      <c r="AE2006" s="5"/>
      <c r="AL2006" s="11" t="s">
        <v>2187</v>
      </c>
      <c r="AM2006" s="11" t="s">
        <v>10</v>
      </c>
      <c r="AN2006" s="11" t="s">
        <v>146</v>
      </c>
      <c r="AO2006" s="1">
        <v>1</v>
      </c>
    </row>
    <row r="2007" spans="2:42">
      <c r="B2007" s="38"/>
      <c r="X2007" s="16"/>
      <c r="Y2007" s="16"/>
      <c r="Z2007" s="16"/>
      <c r="AA2007" s="16"/>
      <c r="AB2007" s="16"/>
      <c r="AC2007" s="16"/>
      <c r="AD2007" s="16"/>
      <c r="AE2007" s="7"/>
      <c r="AF2007" s="16"/>
      <c r="AG2007" s="16"/>
      <c r="AH2007" s="16"/>
      <c r="AI2007" s="16"/>
      <c r="AJ2007" s="16"/>
      <c r="AK2007" s="16"/>
      <c r="AL2007" s="16"/>
      <c r="AM2007" s="16"/>
      <c r="AN2007" s="16"/>
      <c r="AO2007" s="16"/>
      <c r="AP2007" s="16"/>
    </row>
    <row r="2008" spans="2:42">
      <c r="B2008" s="38"/>
      <c r="AE2008" s="5"/>
    </row>
    <row r="2009" spans="2:42">
      <c r="B2009" s="38"/>
      <c r="X2009" s="11">
        <f>SUM(AC2009,AM2009)</f>
        <v>12</v>
      </c>
      <c r="Y2009" s="20" t="s">
        <v>1851</v>
      </c>
      <c r="Z2009" s="42" t="s">
        <v>1852</v>
      </c>
      <c r="AA2009" s="42"/>
      <c r="AB2009" s="42"/>
      <c r="AC2009" s="11">
        <f>COUNTA(AB2010:AB2011)-COUNTIF(Z2010:Z2011,"兼")</f>
        <v>1</v>
      </c>
      <c r="AE2009" s="5"/>
      <c r="AI2009" s="20" t="s">
        <v>1853</v>
      </c>
      <c r="AJ2009" s="42" t="s">
        <v>1833</v>
      </c>
      <c r="AK2009" s="42"/>
      <c r="AL2009" s="42"/>
      <c r="AM2009" s="11">
        <f>COUNTA(AL2010:AL2020)-COUNTIF(AJ2010:AJ2020,"兼")</f>
        <v>11</v>
      </c>
    </row>
    <row r="2010" spans="2:42">
      <c r="B2010" s="38"/>
      <c r="AA2010" s="11" t="s">
        <v>98</v>
      </c>
      <c r="AB2010" s="11" t="s">
        <v>1854</v>
      </c>
      <c r="AC2010" s="11" t="s">
        <v>10</v>
      </c>
      <c r="AD2010" s="11" t="s">
        <v>43</v>
      </c>
      <c r="AE2010" s="40">
        <v>1</v>
      </c>
      <c r="AK2010" s="11" t="s">
        <v>1209</v>
      </c>
      <c r="AL2010" s="11" t="s">
        <v>1855</v>
      </c>
      <c r="AM2010" s="11" t="s">
        <v>10</v>
      </c>
      <c r="AN2010" s="11" t="s">
        <v>43</v>
      </c>
      <c r="AO2010" s="1">
        <v>1</v>
      </c>
    </row>
    <row r="2011" spans="2:42">
      <c r="B2011" s="38"/>
      <c r="Z2011" s="11" t="s">
        <v>57</v>
      </c>
      <c r="AB2011" s="11" t="s">
        <v>1626</v>
      </c>
      <c r="AC2011" s="11" t="s">
        <v>10</v>
      </c>
      <c r="AD2011" s="11" t="s">
        <v>43</v>
      </c>
      <c r="AE2011" s="40">
        <v>0.2</v>
      </c>
      <c r="AL2011" s="11" t="s">
        <v>1856</v>
      </c>
      <c r="AM2011" s="11" t="s">
        <v>10</v>
      </c>
      <c r="AN2011" s="11" t="s">
        <v>43</v>
      </c>
      <c r="AO2011" s="1">
        <v>1</v>
      </c>
    </row>
    <row r="2012" spans="2:42">
      <c r="B2012" s="38"/>
      <c r="AE2012" s="5"/>
      <c r="AL2012" s="11" t="s">
        <v>1857</v>
      </c>
      <c r="AM2012" s="11" t="s">
        <v>10</v>
      </c>
      <c r="AN2012" s="11" t="s">
        <v>43</v>
      </c>
      <c r="AO2012" s="1">
        <v>1</v>
      </c>
    </row>
    <row r="2013" spans="2:42">
      <c r="B2013" s="38"/>
      <c r="AE2013" s="5"/>
      <c r="AL2013" s="11" t="s">
        <v>1858</v>
      </c>
      <c r="AM2013" s="11" t="s">
        <v>10</v>
      </c>
      <c r="AN2013" s="11" t="s">
        <v>43</v>
      </c>
      <c r="AO2013" s="1">
        <v>1</v>
      </c>
    </row>
    <row r="2014" spans="2:42">
      <c r="B2014" s="38"/>
      <c r="AE2014" s="5"/>
      <c r="AL2014" s="11" t="s">
        <v>1859</v>
      </c>
      <c r="AM2014" s="11" t="s">
        <v>10</v>
      </c>
      <c r="AN2014" s="11" t="s">
        <v>43</v>
      </c>
      <c r="AO2014" s="1">
        <v>1</v>
      </c>
    </row>
    <row r="2015" spans="2:42">
      <c r="B2015" s="38"/>
      <c r="AE2015" s="5"/>
      <c r="AL2015" s="11" t="s">
        <v>1860</v>
      </c>
      <c r="AM2015" s="11" t="s">
        <v>282</v>
      </c>
      <c r="AN2015" s="11" t="s">
        <v>43</v>
      </c>
      <c r="AO2015" s="1">
        <v>1</v>
      </c>
    </row>
    <row r="2016" spans="2:42">
      <c r="B2016" s="38"/>
      <c r="AE2016" s="5"/>
      <c r="AL2016" s="11" t="s">
        <v>1861</v>
      </c>
      <c r="AM2016" s="11" t="s">
        <v>10</v>
      </c>
      <c r="AN2016" s="11" t="s">
        <v>43</v>
      </c>
      <c r="AO2016" s="1">
        <v>1</v>
      </c>
    </row>
    <row r="2017" spans="2:42">
      <c r="B2017" s="38"/>
      <c r="AE2017" s="5"/>
      <c r="AL2017" s="11" t="s">
        <v>1862</v>
      </c>
      <c r="AM2017" s="11" t="s">
        <v>10</v>
      </c>
      <c r="AN2017" s="11" t="s">
        <v>43</v>
      </c>
      <c r="AO2017" s="1">
        <v>1</v>
      </c>
    </row>
    <row r="2018" spans="2:42">
      <c r="B2018" s="38"/>
      <c r="AE2018" s="5"/>
      <c r="AL2018" s="11" t="s">
        <v>1863</v>
      </c>
      <c r="AM2018" s="11" t="s">
        <v>10</v>
      </c>
      <c r="AN2018" s="11" t="s">
        <v>43</v>
      </c>
      <c r="AO2018" s="1">
        <v>1</v>
      </c>
    </row>
    <row r="2019" spans="2:42">
      <c r="B2019" s="38"/>
      <c r="AE2019" s="5"/>
      <c r="AL2019" s="11" t="s">
        <v>2188</v>
      </c>
      <c r="AM2019" s="11" t="s">
        <v>10</v>
      </c>
      <c r="AN2019" s="11" t="s">
        <v>146</v>
      </c>
      <c r="AO2019" s="1">
        <v>1</v>
      </c>
    </row>
    <row r="2020" spans="2:42">
      <c r="B2020" s="38"/>
      <c r="AE2020" s="5"/>
      <c r="AL2020" s="11" t="s">
        <v>2189</v>
      </c>
      <c r="AM2020" s="11" t="s">
        <v>282</v>
      </c>
      <c r="AN2020" s="11" t="s">
        <v>146</v>
      </c>
      <c r="AO2020" s="1">
        <v>1</v>
      </c>
    </row>
    <row r="2021" spans="2:42">
      <c r="B2021" s="38"/>
      <c r="X2021" s="16"/>
      <c r="Y2021" s="16"/>
      <c r="Z2021" s="16"/>
      <c r="AA2021" s="16"/>
      <c r="AB2021" s="16"/>
      <c r="AC2021" s="16"/>
      <c r="AD2021" s="16"/>
      <c r="AE2021" s="7"/>
      <c r="AF2021" s="16"/>
      <c r="AG2021" s="16"/>
      <c r="AH2021" s="16"/>
      <c r="AI2021" s="16"/>
      <c r="AJ2021" s="16"/>
      <c r="AK2021" s="16"/>
      <c r="AL2021" s="16"/>
      <c r="AM2021" s="16"/>
      <c r="AN2021" s="16"/>
      <c r="AO2021" s="16"/>
      <c r="AP2021" s="16"/>
    </row>
    <row r="2022" spans="2:42">
      <c r="B2022" s="38"/>
      <c r="AE2022" s="5"/>
    </row>
    <row r="2023" spans="2:42">
      <c r="B2023" s="38"/>
      <c r="X2023" s="11">
        <f>SUM(AC2023)</f>
        <v>5</v>
      </c>
      <c r="Y2023" s="20" t="s">
        <v>1864</v>
      </c>
      <c r="Z2023" s="42" t="s">
        <v>1865</v>
      </c>
      <c r="AA2023" s="42"/>
      <c r="AB2023" s="42"/>
      <c r="AC2023" s="11">
        <f>COUNTA(AB2024:AB2029)-COUNTIF(Z2024:Z2029,"兼")</f>
        <v>5</v>
      </c>
      <c r="AE2023" s="5"/>
    </row>
    <row r="2024" spans="2:42">
      <c r="B2024" s="38"/>
      <c r="Z2024" s="11" t="s">
        <v>57</v>
      </c>
      <c r="AA2024" s="11" t="s">
        <v>98</v>
      </c>
      <c r="AB2024" s="11" t="s">
        <v>144</v>
      </c>
      <c r="AC2024" s="11" t="s">
        <v>145</v>
      </c>
      <c r="AD2024" s="11" t="s">
        <v>43</v>
      </c>
      <c r="AE2024" s="40">
        <v>0.4</v>
      </c>
    </row>
    <row r="2025" spans="2:42">
      <c r="B2025" s="38"/>
      <c r="AB2025" s="11" t="s">
        <v>1866</v>
      </c>
      <c r="AC2025" s="11" t="s">
        <v>145</v>
      </c>
      <c r="AD2025" s="11" t="s">
        <v>43</v>
      </c>
      <c r="AE2025" s="40">
        <v>1</v>
      </c>
    </row>
    <row r="2026" spans="2:42">
      <c r="B2026" s="38"/>
      <c r="AB2026" s="11" t="s">
        <v>1867</v>
      </c>
      <c r="AC2026" s="11" t="s">
        <v>363</v>
      </c>
      <c r="AD2026" s="11" t="s">
        <v>43</v>
      </c>
      <c r="AE2026" s="40">
        <v>1</v>
      </c>
    </row>
    <row r="2027" spans="2:42">
      <c r="B2027" s="38"/>
      <c r="AB2027" s="11" t="s">
        <v>1868</v>
      </c>
      <c r="AC2027" s="11" t="s">
        <v>363</v>
      </c>
      <c r="AD2027" s="11" t="s">
        <v>43</v>
      </c>
      <c r="AE2027" s="40">
        <v>1</v>
      </c>
    </row>
    <row r="2028" spans="2:42">
      <c r="B2028" s="38"/>
      <c r="AB2028" s="11" t="s">
        <v>1869</v>
      </c>
      <c r="AC2028" s="11" t="s">
        <v>145</v>
      </c>
      <c r="AD2028" s="11" t="s">
        <v>43</v>
      </c>
      <c r="AE2028" s="40">
        <v>1</v>
      </c>
    </row>
    <row r="2029" spans="2:42">
      <c r="B2029" s="38"/>
      <c r="AB2029" s="11" t="s">
        <v>1870</v>
      </c>
      <c r="AC2029" s="11" t="s">
        <v>363</v>
      </c>
      <c r="AD2029" s="11" t="s">
        <v>43</v>
      </c>
      <c r="AE2029" s="40">
        <v>1</v>
      </c>
    </row>
    <row r="2030" spans="2:42">
      <c r="B2030" s="38"/>
      <c r="X2030" s="16"/>
      <c r="Y2030" s="16"/>
      <c r="Z2030" s="16"/>
      <c r="AA2030" s="16"/>
      <c r="AB2030" s="16"/>
      <c r="AC2030" s="16"/>
      <c r="AD2030" s="16"/>
      <c r="AE2030" s="7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16"/>
      <c r="AP2030" s="16"/>
    </row>
    <row r="2031" spans="2:42">
      <c r="B2031" s="38"/>
      <c r="AE2031" s="5"/>
    </row>
    <row r="2032" spans="2:42">
      <c r="B2032" s="38"/>
      <c r="X2032" s="11">
        <f>SUM(AC2032)</f>
        <v>3</v>
      </c>
      <c r="Y2032" s="20" t="s">
        <v>1871</v>
      </c>
      <c r="Z2032" s="42" t="s">
        <v>1872</v>
      </c>
      <c r="AA2032" s="42"/>
      <c r="AB2032" s="42"/>
      <c r="AC2032" s="11">
        <f>COUNTA(AB2033:AB2042)-COUNTIF(Z2033:Z2042,"兼")</f>
        <v>3</v>
      </c>
      <c r="AE2032" s="5"/>
    </row>
    <row r="2033" spans="2:42">
      <c r="B2033" s="38"/>
      <c r="AA2033" s="11" t="s">
        <v>98</v>
      </c>
      <c r="AB2033" s="11" t="s">
        <v>1515</v>
      </c>
      <c r="AC2033" s="11" t="s">
        <v>10</v>
      </c>
      <c r="AD2033" s="11" t="s">
        <v>43</v>
      </c>
      <c r="AE2033" s="40">
        <v>0.8</v>
      </c>
    </row>
    <row r="2034" spans="2:42">
      <c r="B2034" s="38"/>
      <c r="Z2034" s="11" t="s">
        <v>57</v>
      </c>
      <c r="AB2034" s="11" t="s">
        <v>1873</v>
      </c>
      <c r="AC2034" s="11" t="s">
        <v>10</v>
      </c>
      <c r="AD2034" s="11" t="s">
        <v>43</v>
      </c>
      <c r="AE2034" s="40">
        <v>0.2</v>
      </c>
    </row>
    <row r="2035" spans="2:42">
      <c r="B2035" s="38"/>
      <c r="Z2035" s="11" t="s">
        <v>57</v>
      </c>
      <c r="AB2035" s="11" t="s">
        <v>1874</v>
      </c>
      <c r="AC2035" s="11" t="s">
        <v>10</v>
      </c>
      <c r="AD2035" s="11" t="s">
        <v>43</v>
      </c>
      <c r="AE2035" s="40">
        <v>0.4</v>
      </c>
    </row>
    <row r="2036" spans="2:42">
      <c r="B2036" s="38"/>
      <c r="Z2036" s="11" t="s">
        <v>57</v>
      </c>
      <c r="AB2036" s="11" t="s">
        <v>1637</v>
      </c>
      <c r="AC2036" s="11" t="s">
        <v>10</v>
      </c>
      <c r="AD2036" s="11" t="s">
        <v>110</v>
      </c>
      <c r="AE2036" s="40">
        <v>0.4</v>
      </c>
    </row>
    <row r="2037" spans="2:42">
      <c r="B2037" s="38"/>
      <c r="AB2037" s="11" t="s">
        <v>1875</v>
      </c>
      <c r="AC2037" s="11" t="s">
        <v>10</v>
      </c>
      <c r="AD2037" s="11" t="s">
        <v>43</v>
      </c>
      <c r="AE2037" s="40">
        <v>1</v>
      </c>
    </row>
    <row r="2038" spans="2:42">
      <c r="B2038" s="38"/>
      <c r="AB2038" s="11" t="s">
        <v>1638</v>
      </c>
      <c r="AC2038" s="11" t="s">
        <v>10</v>
      </c>
      <c r="AD2038" s="11" t="s">
        <v>166</v>
      </c>
      <c r="AE2038" s="40">
        <v>1</v>
      </c>
    </row>
    <row r="2039" spans="2:42">
      <c r="B2039" s="38"/>
      <c r="Z2039" s="11" t="s">
        <v>57</v>
      </c>
      <c r="AB2039" s="11" t="s">
        <v>2013</v>
      </c>
      <c r="AC2039" s="11" t="s">
        <v>10</v>
      </c>
      <c r="AD2039" s="11" t="s">
        <v>43</v>
      </c>
      <c r="AE2039" s="40">
        <v>0.2</v>
      </c>
    </row>
    <row r="2040" spans="2:42">
      <c r="B2040" s="38"/>
      <c r="Z2040" s="11" t="s">
        <v>57</v>
      </c>
      <c r="AB2040" s="11" t="s">
        <v>2020</v>
      </c>
      <c r="AC2040" s="11" t="s">
        <v>10</v>
      </c>
      <c r="AD2040" s="11" t="s">
        <v>43</v>
      </c>
      <c r="AE2040" s="1">
        <v>0.2</v>
      </c>
    </row>
    <row r="2041" spans="2:42">
      <c r="B2041" s="38"/>
      <c r="Z2041" s="11" t="s">
        <v>57</v>
      </c>
      <c r="AB2041" s="11" t="s">
        <v>2007</v>
      </c>
      <c r="AC2041" s="11" t="s">
        <v>10</v>
      </c>
      <c r="AD2041" s="11" t="s">
        <v>43</v>
      </c>
      <c r="AE2041" s="1">
        <v>0.2</v>
      </c>
    </row>
    <row r="2042" spans="2:42">
      <c r="B2042" s="38"/>
      <c r="Z2042" s="11" t="s">
        <v>57</v>
      </c>
      <c r="AB2042" s="11" t="s">
        <v>2004</v>
      </c>
      <c r="AC2042" s="11" t="s">
        <v>10</v>
      </c>
      <c r="AD2042" s="11" t="s">
        <v>43</v>
      </c>
      <c r="AE2042" s="1">
        <v>0.2</v>
      </c>
    </row>
    <row r="2043" spans="2:42">
      <c r="B2043" s="38"/>
      <c r="X2043" s="16"/>
      <c r="Y2043" s="16"/>
      <c r="Z2043" s="16"/>
      <c r="AA2043" s="16"/>
      <c r="AB2043" s="16"/>
      <c r="AC2043" s="16"/>
      <c r="AD2043" s="16"/>
      <c r="AE2043" s="7"/>
      <c r="AF2043" s="16"/>
      <c r="AG2043" s="16"/>
      <c r="AH2043" s="16"/>
      <c r="AI2043" s="16"/>
      <c r="AJ2043" s="16"/>
      <c r="AK2043" s="16"/>
      <c r="AL2043" s="16"/>
      <c r="AM2043" s="16"/>
      <c r="AN2043" s="16"/>
      <c r="AO2043" s="16"/>
      <c r="AP2043" s="16"/>
    </row>
    <row r="2044" spans="2:42">
      <c r="B2044" s="38"/>
      <c r="AE2044" s="5"/>
    </row>
    <row r="2045" spans="2:42">
      <c r="B2045" s="38"/>
      <c r="N2045" s="11">
        <f>SUM(S2045,X2045)</f>
        <v>0</v>
      </c>
      <c r="O2045" s="20" t="s">
        <v>1778</v>
      </c>
      <c r="P2045" s="42" t="s">
        <v>1876</v>
      </c>
      <c r="Q2045" s="42"/>
      <c r="R2045" s="42"/>
      <c r="S2045" s="11">
        <f>COUNTA(R2046)-COUNTIF(P2046,"兼")</f>
        <v>0</v>
      </c>
      <c r="X2045" s="11">
        <f>SUM(AC2045,AM2045)</f>
        <v>0</v>
      </c>
      <c r="Y2045" s="20" t="s">
        <v>1830</v>
      </c>
      <c r="Z2045" s="42" t="s">
        <v>1877</v>
      </c>
      <c r="AA2045" s="42"/>
      <c r="AB2045" s="42"/>
      <c r="AC2045" s="11">
        <f>COUNTA(AB2046:AB2047)-COUNTIF(Z2046:Z2047,"兼")</f>
        <v>0</v>
      </c>
      <c r="AE2045" s="5"/>
      <c r="AI2045" s="20" t="s">
        <v>1878</v>
      </c>
      <c r="AJ2045" s="42" t="s">
        <v>851</v>
      </c>
      <c r="AK2045" s="42"/>
      <c r="AL2045" s="42"/>
      <c r="AM2045" s="11">
        <f>COUNTA(AL2046:AL2050)-COUNTIF(AJ2046:AJ2050,"兼")</f>
        <v>0</v>
      </c>
    </row>
    <row r="2046" spans="2:42">
      <c r="B2046" s="38"/>
      <c r="P2046" s="11" t="s">
        <v>57</v>
      </c>
      <c r="Q2046" s="11" t="s">
        <v>674</v>
      </c>
      <c r="R2046" s="11" t="s">
        <v>31</v>
      </c>
      <c r="S2046" s="11" t="s">
        <v>10</v>
      </c>
      <c r="T2046" s="11" t="s">
        <v>14</v>
      </c>
      <c r="U2046" s="1">
        <v>0.2</v>
      </c>
      <c r="Z2046" s="11" t="s">
        <v>57</v>
      </c>
      <c r="AA2046" s="11" t="s">
        <v>1834</v>
      </c>
      <c r="AB2046" s="11" t="s">
        <v>1645</v>
      </c>
      <c r="AC2046" s="11" t="s">
        <v>10</v>
      </c>
      <c r="AD2046" s="11" t="s">
        <v>85</v>
      </c>
      <c r="AE2046" s="40">
        <v>0.2</v>
      </c>
      <c r="AJ2046" s="11" t="s">
        <v>57</v>
      </c>
      <c r="AK2046" s="11" t="s">
        <v>1209</v>
      </c>
      <c r="AL2046" s="11" t="s">
        <v>1835</v>
      </c>
      <c r="AM2046" s="11" t="s">
        <v>10</v>
      </c>
      <c r="AN2046" s="11" t="s">
        <v>43</v>
      </c>
      <c r="AO2046" s="1">
        <v>0.4</v>
      </c>
    </row>
    <row r="2047" spans="2:42">
      <c r="B2047" s="38"/>
      <c r="Z2047" s="11" t="s">
        <v>57</v>
      </c>
      <c r="AA2047" s="11" t="s">
        <v>186</v>
      </c>
      <c r="AB2047" s="11" t="s">
        <v>1721</v>
      </c>
      <c r="AC2047" s="11" t="s">
        <v>10</v>
      </c>
      <c r="AD2047" s="11" t="s">
        <v>124</v>
      </c>
      <c r="AE2047" s="40">
        <v>0.1</v>
      </c>
      <c r="AJ2047" s="11" t="s">
        <v>57</v>
      </c>
      <c r="AL2047" s="11" t="s">
        <v>1836</v>
      </c>
      <c r="AM2047" s="11" t="s">
        <v>10</v>
      </c>
      <c r="AN2047" s="11" t="s">
        <v>43</v>
      </c>
      <c r="AO2047" s="1">
        <v>0.4</v>
      </c>
    </row>
    <row r="2048" spans="2:42">
      <c r="B2048" s="38"/>
      <c r="AE2048" s="5"/>
      <c r="AJ2048" s="11" t="s">
        <v>57</v>
      </c>
      <c r="AL2048" s="11" t="s">
        <v>1635</v>
      </c>
      <c r="AM2048" s="11" t="s">
        <v>10</v>
      </c>
      <c r="AN2048" s="11" t="s">
        <v>166</v>
      </c>
      <c r="AO2048" s="1">
        <v>0.4</v>
      </c>
    </row>
    <row r="2049" spans="2:42">
      <c r="B2049" s="38"/>
      <c r="AE2049" s="5"/>
      <c r="AJ2049" s="11" t="s">
        <v>57</v>
      </c>
      <c r="AL2049" s="11" t="s">
        <v>1636</v>
      </c>
      <c r="AM2049" s="11" t="s">
        <v>10</v>
      </c>
      <c r="AN2049" s="11" t="s">
        <v>166</v>
      </c>
      <c r="AO2049" s="1">
        <v>0.4</v>
      </c>
    </row>
    <row r="2050" spans="2:42">
      <c r="B2050" s="38"/>
      <c r="AE2050" s="5"/>
      <c r="AJ2050" s="11" t="s">
        <v>57</v>
      </c>
      <c r="AL2050" s="11" t="s">
        <v>1683</v>
      </c>
      <c r="AM2050" s="11" t="s">
        <v>10</v>
      </c>
      <c r="AN2050" s="11" t="s">
        <v>43</v>
      </c>
      <c r="AO2050" s="1">
        <v>0.4</v>
      </c>
    </row>
    <row r="2051" spans="2:42">
      <c r="B2051" s="38"/>
      <c r="AE2051" s="5"/>
    </row>
    <row r="2052" spans="2:42">
      <c r="B2052" s="38"/>
      <c r="N2052" s="11">
        <f>SUM(S2052,X2052)</f>
        <v>6</v>
      </c>
      <c r="O2052" s="20" t="s">
        <v>1778</v>
      </c>
      <c r="P2052" s="42" t="s">
        <v>1879</v>
      </c>
      <c r="Q2052" s="42"/>
      <c r="R2052" s="42"/>
      <c r="S2052" s="11">
        <f>COUNTA(R2053:R2054)-COUNTIF(P2053:P2054,"兼")</f>
        <v>0</v>
      </c>
      <c r="X2052" s="11">
        <f>SUM(AC2052,AM2052)</f>
        <v>6</v>
      </c>
      <c r="Y2052" s="20" t="s">
        <v>1837</v>
      </c>
      <c r="Z2052" s="42" t="s">
        <v>1880</v>
      </c>
      <c r="AA2052" s="42"/>
      <c r="AB2052" s="42"/>
      <c r="AC2052" s="11">
        <f>COUNTA(AB2053:AB2054)-COUNTIF(Z2053:Z2054,"兼")</f>
        <v>0</v>
      </c>
      <c r="AE2052" s="5"/>
      <c r="AI2052" s="20" t="s">
        <v>1881</v>
      </c>
      <c r="AJ2052" s="42" t="s">
        <v>1882</v>
      </c>
      <c r="AK2052" s="42"/>
      <c r="AL2052" s="42"/>
      <c r="AM2052" s="11">
        <f>COUNTA(AL2053:AL2059)-COUNTIF(AJ2053:AJ2059,"兼")</f>
        <v>6</v>
      </c>
    </row>
    <row r="2053" spans="2:42">
      <c r="B2053" s="38"/>
      <c r="P2053" s="11" t="s">
        <v>57</v>
      </c>
      <c r="Q2053" s="11" t="s">
        <v>674</v>
      </c>
      <c r="R2053" s="11" t="s">
        <v>31</v>
      </c>
      <c r="S2053" s="11" t="s">
        <v>10</v>
      </c>
      <c r="T2053" s="11" t="s">
        <v>14</v>
      </c>
      <c r="U2053" s="1">
        <v>0.2</v>
      </c>
      <c r="Z2053" s="11" t="s">
        <v>57</v>
      </c>
      <c r="AA2053" s="11" t="s">
        <v>98</v>
      </c>
      <c r="AB2053" s="11" t="s">
        <v>1841</v>
      </c>
      <c r="AC2053" s="11" t="s">
        <v>10</v>
      </c>
      <c r="AD2053" s="11" t="s">
        <v>43</v>
      </c>
      <c r="AE2053" s="40">
        <v>0.2</v>
      </c>
      <c r="AK2053" s="11" t="s">
        <v>1209</v>
      </c>
      <c r="AL2053" s="11" t="s">
        <v>1883</v>
      </c>
      <c r="AM2053" s="11" t="s">
        <v>10</v>
      </c>
      <c r="AN2053" s="11" t="s">
        <v>85</v>
      </c>
      <c r="AO2053" s="1">
        <v>1</v>
      </c>
    </row>
    <row r="2054" spans="2:42">
      <c r="B2054" s="38"/>
      <c r="P2054" s="11" t="s">
        <v>57</v>
      </c>
      <c r="R2054" s="11" t="s">
        <v>1649</v>
      </c>
      <c r="S2054" s="11" t="s">
        <v>10</v>
      </c>
      <c r="T2054" s="11" t="s">
        <v>85</v>
      </c>
      <c r="U2054" s="1">
        <v>0.4</v>
      </c>
      <c r="Z2054" s="11" t="s">
        <v>57</v>
      </c>
      <c r="AA2054" s="11" t="s">
        <v>186</v>
      </c>
      <c r="AB2054" s="11" t="s">
        <v>1843</v>
      </c>
      <c r="AC2054" s="11" t="s">
        <v>10</v>
      </c>
      <c r="AD2054" s="11" t="s">
        <v>85</v>
      </c>
      <c r="AE2054" s="40">
        <v>0.2</v>
      </c>
      <c r="AL2054" s="11" t="s">
        <v>1884</v>
      </c>
      <c r="AM2054" s="11" t="s">
        <v>10</v>
      </c>
      <c r="AN2054" s="11" t="s">
        <v>85</v>
      </c>
      <c r="AO2054" s="1">
        <v>1</v>
      </c>
    </row>
    <row r="2055" spans="2:42">
      <c r="B2055" s="38"/>
      <c r="AE2055" s="5"/>
      <c r="AL2055" s="11" t="s">
        <v>1885</v>
      </c>
      <c r="AM2055" s="11" t="s">
        <v>10</v>
      </c>
      <c r="AN2055" s="11" t="s">
        <v>85</v>
      </c>
      <c r="AO2055" s="1">
        <v>1</v>
      </c>
    </row>
    <row r="2056" spans="2:42">
      <c r="B2056" s="38"/>
      <c r="AE2056" s="5"/>
      <c r="AL2056" s="11" t="s">
        <v>1886</v>
      </c>
      <c r="AM2056" s="11" t="s">
        <v>10</v>
      </c>
      <c r="AN2056" s="11" t="s">
        <v>85</v>
      </c>
      <c r="AO2056" s="1">
        <v>1</v>
      </c>
    </row>
    <row r="2057" spans="2:42">
      <c r="B2057" s="38"/>
      <c r="AE2057" s="5"/>
      <c r="AJ2057" s="11" t="s">
        <v>57</v>
      </c>
      <c r="AL2057" s="11" t="s">
        <v>1647</v>
      </c>
      <c r="AM2057" s="11" t="s">
        <v>10</v>
      </c>
      <c r="AN2057" s="11" t="s">
        <v>85</v>
      </c>
      <c r="AO2057" s="1">
        <v>0.4</v>
      </c>
    </row>
    <row r="2058" spans="2:42">
      <c r="B2058" s="38"/>
      <c r="AE2058" s="5"/>
      <c r="AL2058" s="11" t="s">
        <v>1887</v>
      </c>
      <c r="AM2058" s="11" t="s">
        <v>10</v>
      </c>
      <c r="AN2058" s="11" t="s">
        <v>85</v>
      </c>
      <c r="AO2058" s="1">
        <v>1</v>
      </c>
    </row>
    <row r="2059" spans="2:42">
      <c r="B2059" s="38"/>
      <c r="AE2059" s="5"/>
      <c r="AL2059" s="11" t="s">
        <v>1888</v>
      </c>
      <c r="AM2059" s="11" t="s">
        <v>10</v>
      </c>
      <c r="AN2059" s="11" t="s">
        <v>85</v>
      </c>
      <c r="AO2059" s="1">
        <v>1</v>
      </c>
    </row>
    <row r="2060" spans="2:42">
      <c r="B2060" s="38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7"/>
      <c r="AF2060" s="16"/>
      <c r="AG2060" s="16"/>
      <c r="AH2060" s="16"/>
      <c r="AI2060" s="16"/>
      <c r="AJ2060" s="16"/>
      <c r="AK2060" s="16"/>
      <c r="AL2060" s="16"/>
      <c r="AM2060" s="16"/>
      <c r="AN2060" s="16"/>
      <c r="AO2060" s="16"/>
      <c r="AP2060" s="16"/>
    </row>
    <row r="2061" spans="2:42">
      <c r="B2061" s="38"/>
      <c r="AE2061" s="5"/>
    </row>
    <row r="2062" spans="2:42">
      <c r="B2062" s="38"/>
      <c r="N2062" s="11">
        <f>SUM(S2062,X2062,X2068,X2092,X2098,X2124,X2145)</f>
        <v>82</v>
      </c>
      <c r="O2062" s="20" t="s">
        <v>1889</v>
      </c>
      <c r="P2062" s="42" t="s">
        <v>1890</v>
      </c>
      <c r="Q2062" s="42"/>
      <c r="R2062" s="42"/>
      <c r="S2062" s="11">
        <f>COUNTA(R2063:R2065)-COUNTIF(P2063:P2065,"兼")</f>
        <v>1</v>
      </c>
      <c r="X2062" s="11">
        <f>SUM(AC2062,AM2062)</f>
        <v>6</v>
      </c>
      <c r="Y2062" s="20" t="s">
        <v>1891</v>
      </c>
      <c r="Z2062" s="42" t="s">
        <v>1892</v>
      </c>
      <c r="AA2062" s="42"/>
      <c r="AB2062" s="42"/>
      <c r="AC2062" s="11">
        <f>COUNTA(AB2063:AB2064)-COUNTIF(Z2063:Z2064,"兼")</f>
        <v>2</v>
      </c>
      <c r="AE2062" s="5"/>
      <c r="AI2062" s="20" t="s">
        <v>1893</v>
      </c>
      <c r="AJ2062" s="42" t="s">
        <v>1894</v>
      </c>
      <c r="AK2062" s="42"/>
      <c r="AL2062" s="42"/>
      <c r="AM2062" s="11">
        <f>COUNTA(AL2063:AL2066)-COUNTIF(AJ2063:AJ2066,"兼")</f>
        <v>4</v>
      </c>
    </row>
    <row r="2063" spans="2:42">
      <c r="B2063" s="38"/>
      <c r="P2063" s="11" t="s">
        <v>57</v>
      </c>
      <c r="Q2063" s="11" t="s">
        <v>96</v>
      </c>
      <c r="R2063" s="11" t="s">
        <v>27</v>
      </c>
      <c r="S2063" s="11" t="s">
        <v>10</v>
      </c>
      <c r="T2063" s="11" t="s">
        <v>14</v>
      </c>
      <c r="U2063" s="1">
        <v>0.4</v>
      </c>
      <c r="AA2063" s="11" t="s">
        <v>98</v>
      </c>
      <c r="AB2063" s="11" t="s">
        <v>1895</v>
      </c>
      <c r="AC2063" s="11" t="s">
        <v>10</v>
      </c>
      <c r="AD2063" s="11" t="s">
        <v>43</v>
      </c>
      <c r="AE2063" s="40">
        <v>1</v>
      </c>
      <c r="AK2063" s="11" t="s">
        <v>1209</v>
      </c>
      <c r="AL2063" s="11" t="s">
        <v>1896</v>
      </c>
      <c r="AM2063" s="11" t="s">
        <v>10</v>
      </c>
      <c r="AN2063" s="11" t="s">
        <v>43</v>
      </c>
      <c r="AO2063" s="1">
        <v>1</v>
      </c>
    </row>
    <row r="2064" spans="2:42">
      <c r="B2064" s="38"/>
      <c r="Q2064" s="11" t="s">
        <v>133</v>
      </c>
      <c r="R2064" s="11" t="s">
        <v>1897</v>
      </c>
      <c r="S2064" s="11" t="s">
        <v>10</v>
      </c>
      <c r="T2064" s="11" t="s">
        <v>146</v>
      </c>
      <c r="U2064" s="1">
        <v>1</v>
      </c>
      <c r="AB2064" s="11" t="s">
        <v>1530</v>
      </c>
      <c r="AC2064" s="11" t="s">
        <v>10</v>
      </c>
      <c r="AD2064" s="11" t="s">
        <v>43</v>
      </c>
      <c r="AE2064" s="40">
        <v>0.5</v>
      </c>
      <c r="AL2064" s="11" t="s">
        <v>1898</v>
      </c>
      <c r="AM2064" s="11" t="s">
        <v>10</v>
      </c>
      <c r="AN2064" s="11" t="s">
        <v>43</v>
      </c>
      <c r="AO2064" s="1">
        <v>0.8</v>
      </c>
    </row>
    <row r="2065" spans="2:41">
      <c r="B2065" s="38"/>
      <c r="P2065" s="11" t="s">
        <v>57</v>
      </c>
      <c r="R2065" s="11" t="s">
        <v>72</v>
      </c>
      <c r="S2065" s="11" t="s">
        <v>10</v>
      </c>
      <c r="T2065" s="11" t="s">
        <v>14</v>
      </c>
      <c r="U2065" s="1">
        <v>0.3</v>
      </c>
      <c r="AE2065" s="5"/>
      <c r="AL2065" s="11" t="s">
        <v>1899</v>
      </c>
      <c r="AM2065" s="11" t="s">
        <v>10</v>
      </c>
      <c r="AN2065" s="11" t="s">
        <v>43</v>
      </c>
      <c r="AO2065" s="1">
        <v>1</v>
      </c>
    </row>
    <row r="2066" spans="2:41">
      <c r="B2066" s="38"/>
      <c r="AE2066" s="8"/>
      <c r="AL2066" s="11" t="s">
        <v>1900</v>
      </c>
      <c r="AM2066" s="11" t="s">
        <v>10</v>
      </c>
      <c r="AN2066" s="11" t="s">
        <v>43</v>
      </c>
      <c r="AO2066" s="1">
        <v>1</v>
      </c>
    </row>
    <row r="2067" spans="2:41">
      <c r="B2067" s="38"/>
      <c r="AE2067" s="5"/>
    </row>
    <row r="2068" spans="2:41">
      <c r="B2068" s="38"/>
      <c r="X2068" s="11">
        <f>SUM(AC2068,AM2068,AM2074,AM2079,AM2085)</f>
        <v>16</v>
      </c>
      <c r="Y2068" s="20" t="s">
        <v>1901</v>
      </c>
      <c r="Z2068" s="42" t="s">
        <v>1902</v>
      </c>
      <c r="AA2068" s="42"/>
      <c r="AB2068" s="42"/>
      <c r="AC2068" s="11">
        <f>COUNTA(AB2069:AB2072)-COUNTIF(Z2069:Z2072,"兼")</f>
        <v>2</v>
      </c>
      <c r="AE2068" s="5"/>
      <c r="AI2068" s="20" t="s">
        <v>1903</v>
      </c>
      <c r="AJ2068" s="42" t="s">
        <v>1904</v>
      </c>
      <c r="AK2068" s="42"/>
      <c r="AL2068" s="42"/>
      <c r="AM2068" s="11">
        <f>COUNTA(AL2069:AL2072)-COUNTIF(AJ2069:AJ2072,"兼")</f>
        <v>4</v>
      </c>
    </row>
    <row r="2069" spans="2:41">
      <c r="B2069" s="38"/>
      <c r="AA2069" s="11" t="s">
        <v>98</v>
      </c>
      <c r="AB2069" s="11" t="s">
        <v>1905</v>
      </c>
      <c r="AC2069" s="11" t="s">
        <v>10</v>
      </c>
      <c r="AD2069" s="11" t="s">
        <v>43</v>
      </c>
      <c r="AE2069" s="40">
        <v>0.9</v>
      </c>
      <c r="AK2069" s="11" t="s">
        <v>1209</v>
      </c>
      <c r="AL2069" s="11" t="s">
        <v>1906</v>
      </c>
      <c r="AM2069" s="11" t="s">
        <v>10</v>
      </c>
      <c r="AN2069" s="11" t="s">
        <v>43</v>
      </c>
      <c r="AO2069" s="1">
        <v>1</v>
      </c>
    </row>
    <row r="2070" spans="2:41">
      <c r="B2070" s="38"/>
      <c r="AA2070" s="11" t="s">
        <v>186</v>
      </c>
      <c r="AB2070" s="11" t="s">
        <v>1908</v>
      </c>
      <c r="AC2070" s="11" t="s">
        <v>10</v>
      </c>
      <c r="AD2070" s="11" t="s">
        <v>43</v>
      </c>
      <c r="AE2070" s="40">
        <v>0.6</v>
      </c>
      <c r="AL2070" s="11" t="s">
        <v>1907</v>
      </c>
      <c r="AM2070" s="11" t="s">
        <v>10</v>
      </c>
      <c r="AN2070" s="11" t="s">
        <v>43</v>
      </c>
      <c r="AO2070" s="1">
        <v>1</v>
      </c>
    </row>
    <row r="2071" spans="2:41">
      <c r="B2071" s="38"/>
      <c r="Z2071" s="11" t="s">
        <v>57</v>
      </c>
      <c r="AB2071" s="11" t="s">
        <v>1430</v>
      </c>
      <c r="AC2071" s="11" t="s">
        <v>10</v>
      </c>
      <c r="AD2071" s="11" t="s">
        <v>78</v>
      </c>
      <c r="AE2071" s="40">
        <v>0.1</v>
      </c>
      <c r="AL2071" s="11" t="s">
        <v>1909</v>
      </c>
      <c r="AM2071" s="11" t="s">
        <v>10</v>
      </c>
      <c r="AN2071" s="11" t="s">
        <v>43</v>
      </c>
      <c r="AO2071" s="1">
        <v>1</v>
      </c>
    </row>
    <row r="2072" spans="2:41">
      <c r="B2072" s="38"/>
      <c r="Z2072" s="11" t="s">
        <v>57</v>
      </c>
      <c r="AB2072" s="11" t="s">
        <v>545</v>
      </c>
      <c r="AC2072" s="11" t="s">
        <v>10</v>
      </c>
      <c r="AD2072" s="11" t="s">
        <v>78</v>
      </c>
      <c r="AE2072" s="40">
        <v>0.1</v>
      </c>
      <c r="AL2072" s="11" t="s">
        <v>1910</v>
      </c>
      <c r="AM2072" s="11" t="s">
        <v>282</v>
      </c>
      <c r="AN2072" s="11" t="s">
        <v>43</v>
      </c>
      <c r="AO2072" s="1">
        <v>1</v>
      </c>
    </row>
    <row r="2073" spans="2:41">
      <c r="B2073" s="38"/>
    </row>
    <row r="2074" spans="2:41">
      <c r="B2074" s="38"/>
      <c r="AE2074" s="5"/>
      <c r="AI2074" s="20" t="s">
        <v>1911</v>
      </c>
      <c r="AJ2074" s="42" t="s">
        <v>1912</v>
      </c>
      <c r="AK2074" s="42"/>
      <c r="AL2074" s="42"/>
      <c r="AM2074" s="11">
        <f>COUNTA(AL2075:AL2077)-COUNTIF(AJ2075:AJ2077,"兼")</f>
        <v>2</v>
      </c>
    </row>
    <row r="2075" spans="2:41">
      <c r="B2075" s="38"/>
      <c r="AE2075" s="5"/>
      <c r="AJ2075" s="11" t="s">
        <v>57</v>
      </c>
      <c r="AK2075" s="11" t="s">
        <v>1209</v>
      </c>
      <c r="AL2075" s="11" t="s">
        <v>1908</v>
      </c>
      <c r="AM2075" s="11" t="s">
        <v>10</v>
      </c>
      <c r="AN2075" s="11" t="s">
        <v>43</v>
      </c>
      <c r="AO2075" s="1">
        <v>0.4</v>
      </c>
    </row>
    <row r="2076" spans="2:41">
      <c r="B2076" s="38"/>
      <c r="AE2076" s="5"/>
      <c r="AL2076" s="11" t="s">
        <v>1913</v>
      </c>
      <c r="AM2076" s="11" t="s">
        <v>10</v>
      </c>
      <c r="AN2076" s="11" t="s">
        <v>43</v>
      </c>
      <c r="AO2076" s="1">
        <v>1</v>
      </c>
    </row>
    <row r="2077" spans="2:41">
      <c r="B2077" s="38"/>
      <c r="AE2077" s="5"/>
      <c r="AL2077" s="11" t="s">
        <v>1914</v>
      </c>
      <c r="AM2077" s="11" t="s">
        <v>10</v>
      </c>
      <c r="AN2077" s="11" t="s">
        <v>43</v>
      </c>
      <c r="AO2077" s="1">
        <v>1</v>
      </c>
    </row>
    <row r="2078" spans="2:41">
      <c r="B2078" s="38"/>
      <c r="AE2078" s="5"/>
    </row>
    <row r="2079" spans="2:41">
      <c r="B2079" s="38"/>
      <c r="AE2079" s="5"/>
      <c r="AI2079" s="20" t="s">
        <v>1915</v>
      </c>
      <c r="AJ2079" s="42" t="s">
        <v>1916</v>
      </c>
      <c r="AK2079" s="42"/>
      <c r="AL2079" s="42"/>
      <c r="AM2079" s="11">
        <f>COUNTA(AL2080:AL2083)-COUNTIF(AJ2080:AJ2083,"兼")</f>
        <v>4</v>
      </c>
    </row>
    <row r="2080" spans="2:41">
      <c r="B2080" s="38"/>
      <c r="AE2080" s="5"/>
      <c r="AK2080" s="11" t="s">
        <v>1209</v>
      </c>
      <c r="AL2080" s="11" t="s">
        <v>1437</v>
      </c>
      <c r="AM2080" s="11" t="s">
        <v>10</v>
      </c>
      <c r="AN2080" s="11" t="s">
        <v>43</v>
      </c>
      <c r="AO2080" s="1">
        <v>0.9</v>
      </c>
    </row>
    <row r="2081" spans="2:42">
      <c r="B2081" s="38"/>
      <c r="AE2081" s="5"/>
      <c r="AL2081" s="11" t="s">
        <v>1917</v>
      </c>
      <c r="AM2081" s="11" t="s">
        <v>10</v>
      </c>
      <c r="AN2081" s="11" t="s">
        <v>43</v>
      </c>
      <c r="AO2081" s="1">
        <v>1</v>
      </c>
    </row>
    <row r="2082" spans="2:42">
      <c r="B2082" s="38"/>
      <c r="AE2082" s="5"/>
      <c r="AL2082" s="11" t="s">
        <v>1918</v>
      </c>
      <c r="AM2082" s="11" t="s">
        <v>10</v>
      </c>
      <c r="AN2082" s="11" t="s">
        <v>43</v>
      </c>
      <c r="AO2082" s="1">
        <v>1</v>
      </c>
    </row>
    <row r="2083" spans="2:42">
      <c r="B2083" s="38"/>
      <c r="AE2083" s="5"/>
      <c r="AL2083" s="11" t="s">
        <v>1521</v>
      </c>
      <c r="AM2083" s="11" t="s">
        <v>10</v>
      </c>
      <c r="AN2083" s="11" t="s">
        <v>43</v>
      </c>
      <c r="AO2083" s="1">
        <v>0.8</v>
      </c>
    </row>
    <row r="2084" spans="2:42">
      <c r="B2084" s="38"/>
      <c r="AE2084" s="5"/>
    </row>
    <row r="2085" spans="2:42">
      <c r="B2085" s="38"/>
      <c r="AE2085" s="5"/>
      <c r="AI2085" s="20" t="s">
        <v>1919</v>
      </c>
      <c r="AJ2085" s="42" t="s">
        <v>1920</v>
      </c>
      <c r="AK2085" s="42"/>
      <c r="AL2085" s="42"/>
      <c r="AM2085" s="11">
        <f>COUNTA(AL2086:AL2089)-COUNTIF(AJ2086:AJ2089,"兼")</f>
        <v>4</v>
      </c>
    </row>
    <row r="2086" spans="2:42">
      <c r="B2086" s="38"/>
      <c r="AE2086" s="5"/>
      <c r="AK2086" s="11" t="s">
        <v>1209</v>
      </c>
      <c r="AL2086" s="11" t="s">
        <v>1921</v>
      </c>
      <c r="AM2086" s="11" t="s">
        <v>10</v>
      </c>
      <c r="AN2086" s="11" t="s">
        <v>43</v>
      </c>
      <c r="AO2086" s="1">
        <v>1</v>
      </c>
    </row>
    <row r="2087" spans="2:42">
      <c r="B2087" s="38"/>
      <c r="AE2087" s="5"/>
      <c r="AL2087" s="11" t="s">
        <v>1922</v>
      </c>
      <c r="AM2087" s="11" t="s">
        <v>10</v>
      </c>
      <c r="AN2087" s="11" t="s">
        <v>43</v>
      </c>
      <c r="AO2087" s="1">
        <v>1</v>
      </c>
    </row>
    <row r="2088" spans="2:42">
      <c r="B2088" s="38"/>
      <c r="AE2088" s="5"/>
      <c r="AL2088" s="11" t="s">
        <v>1923</v>
      </c>
      <c r="AM2088" s="11" t="s">
        <v>10</v>
      </c>
      <c r="AN2088" s="11" t="s">
        <v>43</v>
      </c>
      <c r="AO2088" s="1">
        <v>1</v>
      </c>
    </row>
    <row r="2089" spans="2:42">
      <c r="B2089" s="38"/>
      <c r="AE2089" s="8"/>
      <c r="AL2089" s="11" t="s">
        <v>2195</v>
      </c>
      <c r="AM2089" s="11" t="s">
        <v>10</v>
      </c>
      <c r="AN2089" s="11" t="s">
        <v>43</v>
      </c>
      <c r="AO2089" s="1">
        <v>1</v>
      </c>
    </row>
    <row r="2090" spans="2:42">
      <c r="B2090" s="38"/>
      <c r="X2090" s="16"/>
      <c r="Y2090" s="16"/>
      <c r="Z2090" s="16"/>
      <c r="AA2090" s="16"/>
      <c r="AB2090" s="16"/>
      <c r="AC2090" s="16"/>
      <c r="AD2090" s="16"/>
      <c r="AE2090" s="7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16"/>
      <c r="AP2090" s="16"/>
    </row>
    <row r="2091" spans="2:42">
      <c r="B2091" s="38"/>
      <c r="AE2091" s="5"/>
    </row>
    <row r="2092" spans="2:42">
      <c r="B2092" s="38"/>
      <c r="X2092" s="11">
        <f>SUM(AC2092)</f>
        <v>3</v>
      </c>
      <c r="Y2092" s="20" t="s">
        <v>1924</v>
      </c>
      <c r="Z2092" s="42" t="s">
        <v>1925</v>
      </c>
      <c r="AA2092" s="42"/>
      <c r="AB2092" s="42"/>
      <c r="AC2092" s="11">
        <f>COUNTA(AB2093:AB2095)-COUNTIF(Z2093:Z2095,"兼")</f>
        <v>3</v>
      </c>
      <c r="AE2092" s="5"/>
    </row>
    <row r="2093" spans="2:42">
      <c r="B2093" s="38"/>
      <c r="AA2093" s="11" t="s">
        <v>98</v>
      </c>
      <c r="AB2093" s="11" t="s">
        <v>1926</v>
      </c>
      <c r="AC2093" s="11" t="s">
        <v>10</v>
      </c>
      <c r="AD2093" s="11" t="s">
        <v>43</v>
      </c>
      <c r="AE2093" s="40">
        <v>1</v>
      </c>
    </row>
    <row r="2094" spans="2:42">
      <c r="B2094" s="38"/>
      <c r="AB2094" s="11" t="s">
        <v>1927</v>
      </c>
      <c r="AC2094" s="11" t="s">
        <v>10</v>
      </c>
      <c r="AD2094" s="11" t="s">
        <v>43</v>
      </c>
      <c r="AE2094" s="40">
        <v>1</v>
      </c>
    </row>
    <row r="2095" spans="2:42">
      <c r="B2095" s="38"/>
      <c r="AB2095" s="11" t="s">
        <v>1928</v>
      </c>
      <c r="AC2095" s="11" t="s">
        <v>10</v>
      </c>
      <c r="AD2095" s="11" t="s">
        <v>43</v>
      </c>
      <c r="AE2095" s="40">
        <v>1</v>
      </c>
    </row>
    <row r="2096" spans="2:42">
      <c r="B2096" s="38"/>
      <c r="X2096" s="16"/>
      <c r="Y2096" s="16"/>
      <c r="Z2096" s="16"/>
      <c r="AA2096" s="16"/>
      <c r="AB2096" s="16"/>
      <c r="AC2096" s="16"/>
      <c r="AD2096" s="16"/>
      <c r="AE2096" s="7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16"/>
      <c r="AP2096" s="16"/>
    </row>
    <row r="2097" spans="2:41">
      <c r="B2097" s="38"/>
      <c r="AE2097" s="5"/>
    </row>
    <row r="2098" spans="2:41">
      <c r="B2098" s="38"/>
      <c r="X2098" s="11">
        <f>SUM(AC2098,AM2098,AM2108,AM2117)</f>
        <v>20</v>
      </c>
      <c r="Y2098" s="20" t="s">
        <v>1929</v>
      </c>
      <c r="Z2098" s="42" t="s">
        <v>1930</v>
      </c>
      <c r="AA2098" s="42"/>
      <c r="AB2098" s="42"/>
      <c r="AC2098" s="11">
        <f>COUNTA(AB2099)-COUNTIF(Z2099,"兼")</f>
        <v>1</v>
      </c>
      <c r="AE2098" s="5"/>
      <c r="AI2098" s="20" t="s">
        <v>1931</v>
      </c>
      <c r="AJ2098" s="42" t="s">
        <v>1904</v>
      </c>
      <c r="AK2098" s="42"/>
      <c r="AL2098" s="42"/>
      <c r="AM2098" s="11">
        <f>COUNTA(AL2099:AL2106)-COUNTIF(AJ2099:AJ2106,"兼")</f>
        <v>8</v>
      </c>
    </row>
    <row r="2099" spans="2:41">
      <c r="B2099" s="38"/>
      <c r="AA2099" s="11" t="s">
        <v>98</v>
      </c>
      <c r="AB2099" s="11" t="s">
        <v>1932</v>
      </c>
      <c r="AC2099" s="11" t="s">
        <v>10</v>
      </c>
      <c r="AD2099" s="11" t="s">
        <v>43</v>
      </c>
      <c r="AE2099" s="40">
        <v>1</v>
      </c>
      <c r="AK2099" s="11" t="s">
        <v>1209</v>
      </c>
      <c r="AL2099" s="11" t="s">
        <v>1933</v>
      </c>
      <c r="AM2099" s="11" t="s">
        <v>10</v>
      </c>
      <c r="AN2099" s="11" t="s">
        <v>43</v>
      </c>
      <c r="AO2099" s="1">
        <v>1</v>
      </c>
    </row>
    <row r="2100" spans="2:41">
      <c r="B2100" s="38"/>
      <c r="AE2100" s="5"/>
      <c r="AL2100" s="11" t="s">
        <v>1934</v>
      </c>
      <c r="AM2100" s="11" t="s">
        <v>10</v>
      </c>
      <c r="AN2100" s="11" t="s">
        <v>43</v>
      </c>
      <c r="AO2100" s="1">
        <v>1</v>
      </c>
    </row>
    <row r="2101" spans="2:41">
      <c r="B2101" s="38"/>
      <c r="AE2101" s="5"/>
      <c r="AL2101" s="11" t="s">
        <v>1935</v>
      </c>
      <c r="AM2101" s="11" t="s">
        <v>10</v>
      </c>
      <c r="AN2101" s="11" t="s">
        <v>43</v>
      </c>
      <c r="AO2101" s="1">
        <v>1</v>
      </c>
    </row>
    <row r="2102" spans="2:41">
      <c r="B2102" s="38"/>
      <c r="AE2102" s="5"/>
      <c r="AL2102" s="11" t="s">
        <v>1936</v>
      </c>
      <c r="AM2102" s="11" t="s">
        <v>10</v>
      </c>
      <c r="AN2102" s="11" t="s">
        <v>43</v>
      </c>
      <c r="AO2102" s="1">
        <v>1</v>
      </c>
    </row>
    <row r="2103" spans="2:41">
      <c r="B2103" s="38"/>
      <c r="AE2103" s="5"/>
      <c r="AL2103" s="11" t="s">
        <v>1937</v>
      </c>
      <c r="AM2103" s="11" t="s">
        <v>10</v>
      </c>
      <c r="AN2103" s="11" t="s">
        <v>43</v>
      </c>
      <c r="AO2103" s="1">
        <v>1</v>
      </c>
    </row>
    <row r="2104" spans="2:41">
      <c r="B2104" s="38"/>
      <c r="AE2104" s="5"/>
      <c r="AL2104" s="11" t="s">
        <v>1938</v>
      </c>
      <c r="AM2104" s="11" t="s">
        <v>10</v>
      </c>
      <c r="AN2104" s="11" t="s">
        <v>43</v>
      </c>
      <c r="AO2104" s="1">
        <v>1</v>
      </c>
    </row>
    <row r="2105" spans="2:41">
      <c r="B2105" s="38"/>
      <c r="AE2105" s="5"/>
      <c r="AL2105" s="11" t="s">
        <v>1939</v>
      </c>
      <c r="AM2105" s="11" t="s">
        <v>10</v>
      </c>
      <c r="AN2105" s="11" t="s">
        <v>43</v>
      </c>
      <c r="AO2105" s="1">
        <v>1</v>
      </c>
    </row>
    <row r="2106" spans="2:41">
      <c r="B2106" s="38"/>
      <c r="AE2106" s="5"/>
      <c r="AL2106" s="11" t="s">
        <v>1940</v>
      </c>
      <c r="AM2106" s="11" t="s">
        <v>10</v>
      </c>
      <c r="AN2106" s="11" t="s">
        <v>43</v>
      </c>
      <c r="AO2106" s="1">
        <v>1</v>
      </c>
    </row>
    <row r="2107" spans="2:41">
      <c r="B2107" s="38"/>
      <c r="AE2107" s="5"/>
    </row>
    <row r="2108" spans="2:41">
      <c r="B2108" s="38"/>
      <c r="AE2108" s="5"/>
      <c r="AI2108" s="20" t="s">
        <v>1941</v>
      </c>
      <c r="AJ2108" s="42" t="s">
        <v>1912</v>
      </c>
      <c r="AK2108" s="42"/>
      <c r="AL2108" s="42"/>
      <c r="AM2108" s="11">
        <f>COUNTA(AL2109:AL2115)-COUNTIF(AJ2109:AJ2115,"兼")</f>
        <v>7</v>
      </c>
    </row>
    <row r="2109" spans="2:41">
      <c r="B2109" s="38"/>
      <c r="AE2109" s="5"/>
      <c r="AK2109" s="11" t="s">
        <v>1209</v>
      </c>
      <c r="AL2109" s="11" t="s">
        <v>1942</v>
      </c>
      <c r="AM2109" s="11" t="s">
        <v>10</v>
      </c>
      <c r="AN2109" s="11" t="s">
        <v>43</v>
      </c>
      <c r="AO2109" s="1">
        <v>1</v>
      </c>
    </row>
    <row r="2110" spans="2:41">
      <c r="B2110" s="38"/>
      <c r="AE2110" s="5"/>
      <c r="AL2110" s="11" t="s">
        <v>1943</v>
      </c>
      <c r="AM2110" s="11" t="s">
        <v>10</v>
      </c>
      <c r="AN2110" s="11" t="s">
        <v>43</v>
      </c>
      <c r="AO2110" s="1">
        <v>1</v>
      </c>
    </row>
    <row r="2111" spans="2:41">
      <c r="B2111" s="38"/>
      <c r="AE2111" s="5"/>
      <c r="AL2111" s="11" t="s">
        <v>1944</v>
      </c>
      <c r="AM2111" s="11" t="s">
        <v>10</v>
      </c>
      <c r="AN2111" s="11" t="s">
        <v>43</v>
      </c>
      <c r="AO2111" s="1">
        <v>1</v>
      </c>
    </row>
    <row r="2112" spans="2:41">
      <c r="B2112" s="38"/>
      <c r="AE2112" s="5"/>
      <c r="AL2112" s="11" t="s">
        <v>1945</v>
      </c>
      <c r="AM2112" s="11" t="s">
        <v>10</v>
      </c>
      <c r="AN2112" s="11" t="s">
        <v>43</v>
      </c>
      <c r="AO2112" s="1">
        <v>1</v>
      </c>
    </row>
    <row r="2113" spans="2:42">
      <c r="B2113" s="38"/>
      <c r="AE2113" s="5"/>
      <c r="AL2113" s="11" t="s">
        <v>1946</v>
      </c>
      <c r="AM2113" s="11" t="s">
        <v>10</v>
      </c>
      <c r="AN2113" s="11" t="s">
        <v>43</v>
      </c>
      <c r="AO2113" s="1">
        <v>1</v>
      </c>
    </row>
    <row r="2114" spans="2:42">
      <c r="B2114" s="38"/>
      <c r="AE2114" s="5"/>
      <c r="AL2114" s="11" t="s">
        <v>1947</v>
      </c>
      <c r="AM2114" s="11" t="s">
        <v>10</v>
      </c>
      <c r="AN2114" s="11" t="s">
        <v>43</v>
      </c>
      <c r="AO2114" s="1">
        <v>1</v>
      </c>
    </row>
    <row r="2115" spans="2:42">
      <c r="B2115" s="38"/>
      <c r="AE2115" s="5"/>
      <c r="AL2115" s="11" t="s">
        <v>620</v>
      </c>
      <c r="AM2115" s="11" t="s">
        <v>10</v>
      </c>
      <c r="AN2115" s="11" t="s">
        <v>146</v>
      </c>
      <c r="AO2115" s="40">
        <v>1</v>
      </c>
    </row>
    <row r="2116" spans="2:42">
      <c r="B2116" s="38"/>
      <c r="AE2116" s="5"/>
    </row>
    <row r="2117" spans="2:42">
      <c r="B2117" s="38"/>
      <c r="AE2117" s="5"/>
      <c r="AI2117" s="20" t="s">
        <v>1948</v>
      </c>
      <c r="AJ2117" s="42" t="s">
        <v>1916</v>
      </c>
      <c r="AK2117" s="42"/>
      <c r="AL2117" s="42"/>
      <c r="AM2117" s="11">
        <f>COUNTA(AL2118:AL2121)-COUNTIF(AJ2118:AJ2121,"兼")</f>
        <v>4</v>
      </c>
    </row>
    <row r="2118" spans="2:42">
      <c r="B2118" s="38"/>
      <c r="AE2118" s="5"/>
      <c r="AK2118" s="11" t="s">
        <v>1209</v>
      </c>
      <c r="AL2118" s="11" t="s">
        <v>1949</v>
      </c>
      <c r="AM2118" s="11" t="s">
        <v>10</v>
      </c>
      <c r="AN2118" s="11" t="s">
        <v>43</v>
      </c>
      <c r="AO2118" s="1">
        <v>1</v>
      </c>
    </row>
    <row r="2119" spans="2:42">
      <c r="B2119" s="38"/>
      <c r="AE2119" s="5"/>
      <c r="AL2119" s="11" t="s">
        <v>1950</v>
      </c>
      <c r="AM2119" s="11" t="s">
        <v>10</v>
      </c>
      <c r="AN2119" s="11" t="s">
        <v>43</v>
      </c>
      <c r="AO2119" s="1">
        <v>1</v>
      </c>
    </row>
    <row r="2120" spans="2:42">
      <c r="B2120" s="38"/>
      <c r="AE2120" s="5"/>
      <c r="AL2120" s="11" t="s">
        <v>1951</v>
      </c>
      <c r="AM2120" s="11" t="s">
        <v>10</v>
      </c>
      <c r="AN2120" s="11" t="s">
        <v>43</v>
      </c>
      <c r="AO2120" s="1">
        <v>1</v>
      </c>
    </row>
    <row r="2121" spans="2:42">
      <c r="B2121" s="38"/>
      <c r="AE2121" s="5"/>
      <c r="AL2121" s="11" t="s">
        <v>1433</v>
      </c>
      <c r="AM2121" s="11" t="s">
        <v>10</v>
      </c>
      <c r="AN2121" s="11" t="s">
        <v>78</v>
      </c>
      <c r="AO2121" s="1">
        <v>1</v>
      </c>
    </row>
    <row r="2122" spans="2:42">
      <c r="B2122" s="38"/>
      <c r="X2122" s="16"/>
      <c r="Y2122" s="16"/>
      <c r="Z2122" s="16"/>
      <c r="AA2122" s="16"/>
      <c r="AB2122" s="16"/>
      <c r="AC2122" s="16"/>
      <c r="AD2122" s="16"/>
      <c r="AE2122" s="7"/>
      <c r="AF2122" s="16"/>
      <c r="AG2122" s="16"/>
      <c r="AH2122" s="16"/>
      <c r="AI2122" s="16"/>
      <c r="AJ2122" s="16"/>
      <c r="AK2122" s="16"/>
      <c r="AL2122" s="16"/>
      <c r="AM2122" s="16"/>
      <c r="AN2122" s="16"/>
      <c r="AO2122" s="16"/>
      <c r="AP2122" s="16"/>
    </row>
    <row r="2123" spans="2:42">
      <c r="B2123" s="38"/>
      <c r="AE2123" s="5"/>
    </row>
    <row r="2124" spans="2:42">
      <c r="B2124" s="38"/>
      <c r="X2124" s="11">
        <f>SUM(AC2124,AM2124,AM2134,AM2139)</f>
        <v>15</v>
      </c>
      <c r="Y2124" s="20" t="s">
        <v>1952</v>
      </c>
      <c r="Z2124" s="42" t="s">
        <v>1953</v>
      </c>
      <c r="AA2124" s="42"/>
      <c r="AB2124" s="42"/>
      <c r="AC2124" s="11">
        <f>COUNTA(AB2125:AB2126)-COUNTIF(Z2125:Z2126,"兼")</f>
        <v>2</v>
      </c>
      <c r="AE2124" s="5"/>
      <c r="AI2124" s="20" t="s">
        <v>1954</v>
      </c>
      <c r="AJ2124" s="42" t="s">
        <v>1904</v>
      </c>
      <c r="AK2124" s="42"/>
      <c r="AL2124" s="42"/>
      <c r="AM2124" s="11">
        <f>COUNTA(AL2125:AL2132)-COUNTIF(AJ2125:AJ2132,"兼")</f>
        <v>8</v>
      </c>
    </row>
    <row r="2125" spans="2:42">
      <c r="B2125" s="38"/>
      <c r="AA2125" s="11" t="s">
        <v>98</v>
      </c>
      <c r="AB2125" s="11" t="s">
        <v>1955</v>
      </c>
      <c r="AC2125" s="11" t="s">
        <v>10</v>
      </c>
      <c r="AD2125" s="11" t="s">
        <v>43</v>
      </c>
      <c r="AE2125" s="40">
        <v>0.6</v>
      </c>
      <c r="AK2125" s="11" t="s">
        <v>1209</v>
      </c>
      <c r="AL2125" s="11" t="s">
        <v>1956</v>
      </c>
      <c r="AM2125" s="11" t="s">
        <v>10</v>
      </c>
      <c r="AN2125" s="11" t="s">
        <v>43</v>
      </c>
      <c r="AO2125" s="1">
        <v>1</v>
      </c>
    </row>
    <row r="2126" spans="2:42">
      <c r="B2126" s="38"/>
      <c r="AB2126" s="11" t="s">
        <v>1957</v>
      </c>
      <c r="AC2126" s="11" t="s">
        <v>10</v>
      </c>
      <c r="AD2126" s="11" t="s">
        <v>43</v>
      </c>
      <c r="AE2126" s="40">
        <v>1</v>
      </c>
      <c r="AL2126" s="11" t="s">
        <v>1958</v>
      </c>
      <c r="AM2126" s="11" t="s">
        <v>10</v>
      </c>
      <c r="AN2126" s="11" t="s">
        <v>43</v>
      </c>
      <c r="AO2126" s="1">
        <v>1</v>
      </c>
    </row>
    <row r="2127" spans="2:42">
      <c r="B2127" s="38"/>
      <c r="AE2127" s="5"/>
      <c r="AL2127" s="11" t="s">
        <v>1959</v>
      </c>
      <c r="AM2127" s="11" t="s">
        <v>10</v>
      </c>
      <c r="AN2127" s="11" t="s">
        <v>43</v>
      </c>
      <c r="AO2127" s="1">
        <v>1</v>
      </c>
    </row>
    <row r="2128" spans="2:42">
      <c r="B2128" s="38"/>
      <c r="AE2128" s="5"/>
      <c r="AL2128" s="11" t="s">
        <v>1960</v>
      </c>
      <c r="AM2128" s="11" t="s">
        <v>10</v>
      </c>
      <c r="AN2128" s="11" t="s">
        <v>43</v>
      </c>
      <c r="AO2128" s="1">
        <v>1</v>
      </c>
    </row>
    <row r="2129" spans="2:42">
      <c r="B2129" s="38"/>
      <c r="AE2129" s="5"/>
      <c r="AL2129" s="11" t="s">
        <v>1961</v>
      </c>
      <c r="AM2129" s="11" t="s">
        <v>10</v>
      </c>
      <c r="AN2129" s="11" t="s">
        <v>43</v>
      </c>
      <c r="AO2129" s="1">
        <v>1</v>
      </c>
    </row>
    <row r="2130" spans="2:42">
      <c r="B2130" s="38"/>
      <c r="AE2130" s="5"/>
      <c r="AL2130" s="11" t="s">
        <v>1962</v>
      </c>
      <c r="AM2130" s="11" t="s">
        <v>10</v>
      </c>
      <c r="AN2130" s="11" t="s">
        <v>43</v>
      </c>
      <c r="AO2130" s="1">
        <v>1</v>
      </c>
    </row>
    <row r="2131" spans="2:42">
      <c r="B2131" s="38"/>
      <c r="AE2131" s="5"/>
      <c r="AL2131" s="11" t="s">
        <v>1963</v>
      </c>
      <c r="AM2131" s="11" t="s">
        <v>10</v>
      </c>
      <c r="AN2131" s="11" t="s">
        <v>43</v>
      </c>
      <c r="AO2131" s="1">
        <v>1</v>
      </c>
    </row>
    <row r="2132" spans="2:42">
      <c r="B2132" s="38"/>
      <c r="AE2132" s="5"/>
      <c r="AL2132" s="11" t="s">
        <v>617</v>
      </c>
      <c r="AM2132" s="11" t="s">
        <v>10</v>
      </c>
      <c r="AN2132" s="11" t="s">
        <v>146</v>
      </c>
      <c r="AO2132" s="40">
        <v>1</v>
      </c>
    </row>
    <row r="2133" spans="2:42">
      <c r="B2133" s="38"/>
      <c r="AE2133" s="5"/>
    </row>
    <row r="2134" spans="2:42">
      <c r="B2134" s="38"/>
      <c r="AE2134" s="5"/>
      <c r="AI2134" s="20" t="s">
        <v>1964</v>
      </c>
      <c r="AJ2134" s="42" t="s">
        <v>1912</v>
      </c>
      <c r="AK2134" s="42"/>
      <c r="AL2134" s="42"/>
      <c r="AM2134" s="11">
        <f>COUNTA(AL2135:AL2137)-COUNTIF(AJ2135:AJ2137,"兼")</f>
        <v>2</v>
      </c>
    </row>
    <row r="2135" spans="2:42">
      <c r="B2135" s="38"/>
      <c r="AE2135" s="5"/>
      <c r="AJ2135" s="11" t="s">
        <v>57</v>
      </c>
      <c r="AK2135" s="11" t="s">
        <v>1209</v>
      </c>
      <c r="AL2135" s="11" t="s">
        <v>1965</v>
      </c>
      <c r="AM2135" s="11" t="s">
        <v>10</v>
      </c>
      <c r="AN2135" s="11" t="s">
        <v>43</v>
      </c>
      <c r="AO2135" s="1">
        <v>0.4</v>
      </c>
    </row>
    <row r="2136" spans="2:42">
      <c r="B2136" s="38"/>
      <c r="AE2136" s="5"/>
      <c r="AL2136" s="11" t="s">
        <v>1966</v>
      </c>
      <c r="AM2136" s="11" t="s">
        <v>282</v>
      </c>
      <c r="AN2136" s="11" t="s">
        <v>43</v>
      </c>
      <c r="AO2136" s="1">
        <v>1</v>
      </c>
    </row>
    <row r="2137" spans="2:42">
      <c r="B2137" s="38"/>
      <c r="AE2137" s="5"/>
      <c r="AL2137" s="11" t="s">
        <v>1967</v>
      </c>
      <c r="AM2137" s="11" t="s">
        <v>282</v>
      </c>
      <c r="AN2137" s="11" t="s">
        <v>43</v>
      </c>
      <c r="AO2137" s="1">
        <v>1</v>
      </c>
    </row>
    <row r="2138" spans="2:42">
      <c r="B2138" s="38"/>
      <c r="AE2138" s="5"/>
    </row>
    <row r="2139" spans="2:42">
      <c r="B2139" s="38"/>
      <c r="AE2139" s="5"/>
      <c r="AI2139" s="20" t="s">
        <v>1968</v>
      </c>
      <c r="AJ2139" s="42" t="s">
        <v>1916</v>
      </c>
      <c r="AK2139" s="42"/>
      <c r="AL2139" s="42"/>
      <c r="AM2139" s="11">
        <f>COUNTA(AL2140:AL2142)-COUNTIF(AJ2140:AJ2142,"兼")</f>
        <v>3</v>
      </c>
    </row>
    <row r="2140" spans="2:42">
      <c r="B2140" s="38"/>
      <c r="AE2140" s="5"/>
      <c r="AK2140" s="11" t="s">
        <v>1209</v>
      </c>
      <c r="AL2140" s="11" t="s">
        <v>1969</v>
      </c>
      <c r="AM2140" s="11" t="s">
        <v>10</v>
      </c>
      <c r="AN2140" s="11" t="s">
        <v>43</v>
      </c>
      <c r="AO2140" s="1">
        <v>1</v>
      </c>
    </row>
    <row r="2141" spans="2:42">
      <c r="B2141" s="38"/>
      <c r="AE2141" s="5"/>
      <c r="AL2141" s="11" t="s">
        <v>1970</v>
      </c>
      <c r="AM2141" s="11" t="s">
        <v>10</v>
      </c>
      <c r="AN2141" s="11" t="s">
        <v>43</v>
      </c>
      <c r="AO2141" s="1">
        <v>1</v>
      </c>
    </row>
    <row r="2142" spans="2:42">
      <c r="B2142" s="38"/>
      <c r="AE2142" s="5"/>
      <c r="AL2142" s="11" t="s">
        <v>1971</v>
      </c>
      <c r="AM2142" s="11" t="s">
        <v>10</v>
      </c>
      <c r="AN2142" s="11" t="s">
        <v>43</v>
      </c>
      <c r="AO2142" s="1">
        <v>1</v>
      </c>
    </row>
    <row r="2143" spans="2:42">
      <c r="B2143" s="38"/>
      <c r="X2143" s="16"/>
      <c r="Y2143" s="16"/>
      <c r="Z2143" s="16"/>
      <c r="AA2143" s="16"/>
      <c r="AB2143" s="16"/>
      <c r="AC2143" s="16"/>
      <c r="AD2143" s="16"/>
      <c r="AE2143" s="7"/>
      <c r="AF2143" s="16"/>
      <c r="AG2143" s="16"/>
      <c r="AH2143" s="16"/>
      <c r="AI2143" s="16"/>
      <c r="AJ2143" s="16"/>
      <c r="AK2143" s="16"/>
      <c r="AL2143" s="16"/>
      <c r="AM2143" s="16"/>
      <c r="AN2143" s="16"/>
      <c r="AO2143" s="16"/>
      <c r="AP2143" s="16"/>
    </row>
    <row r="2144" spans="2:42">
      <c r="B2144" s="38"/>
      <c r="AE2144" s="5"/>
    </row>
    <row r="2145" spans="2:41">
      <c r="B2145" s="38"/>
      <c r="X2145" s="11">
        <f>SUM(AC2145,AM2145,AM2154,AM2164)</f>
        <v>21</v>
      </c>
      <c r="Y2145" s="20" t="s">
        <v>1972</v>
      </c>
      <c r="Z2145" s="42" t="s">
        <v>1973</v>
      </c>
      <c r="AA2145" s="42"/>
      <c r="AB2145" s="42"/>
      <c r="AC2145" s="11">
        <f>COUNTA(AB2146)-COUNTIF(Z2146,"兼")</f>
        <v>1</v>
      </c>
      <c r="AE2145" s="5"/>
      <c r="AI2145" s="20" t="s">
        <v>1974</v>
      </c>
      <c r="AJ2145" s="42" t="s">
        <v>1904</v>
      </c>
      <c r="AK2145" s="42"/>
      <c r="AL2145" s="42"/>
      <c r="AM2145" s="11">
        <f>COUNTA(AL2146:AL2152)-COUNTIF(AJ2146:AJ2152,"兼")</f>
        <v>7</v>
      </c>
    </row>
    <row r="2146" spans="2:41">
      <c r="B2146" s="38"/>
      <c r="AA2146" s="11" t="s">
        <v>98</v>
      </c>
      <c r="AB2146" s="11" t="s">
        <v>1975</v>
      </c>
      <c r="AC2146" s="11" t="s">
        <v>10</v>
      </c>
      <c r="AD2146" s="11" t="s">
        <v>43</v>
      </c>
      <c r="AE2146" s="40">
        <v>0.6</v>
      </c>
      <c r="AK2146" s="11" t="s">
        <v>1209</v>
      </c>
      <c r="AL2146" s="11" t="s">
        <v>1976</v>
      </c>
      <c r="AM2146" s="11" t="s">
        <v>10</v>
      </c>
      <c r="AN2146" s="11" t="s">
        <v>43</v>
      </c>
      <c r="AO2146" s="1">
        <v>1</v>
      </c>
    </row>
    <row r="2147" spans="2:41">
      <c r="B2147" s="38"/>
      <c r="AE2147" s="5"/>
      <c r="AL2147" s="11" t="s">
        <v>1977</v>
      </c>
      <c r="AM2147" s="11" t="s">
        <v>10</v>
      </c>
      <c r="AN2147" s="11" t="s">
        <v>43</v>
      </c>
      <c r="AO2147" s="1">
        <v>1</v>
      </c>
    </row>
    <row r="2148" spans="2:41">
      <c r="B2148" s="38"/>
      <c r="AE2148" s="5"/>
      <c r="AL2148" s="11" t="s">
        <v>1978</v>
      </c>
      <c r="AM2148" s="11" t="s">
        <v>10</v>
      </c>
      <c r="AN2148" s="11" t="s">
        <v>43</v>
      </c>
      <c r="AO2148" s="1">
        <v>1</v>
      </c>
    </row>
    <row r="2149" spans="2:41">
      <c r="B2149" s="38"/>
      <c r="AE2149" s="5"/>
      <c r="AL2149" s="11" t="s">
        <v>1979</v>
      </c>
      <c r="AM2149" s="11" t="s">
        <v>10</v>
      </c>
      <c r="AN2149" s="11" t="s">
        <v>43</v>
      </c>
      <c r="AO2149" s="1">
        <v>1</v>
      </c>
    </row>
    <row r="2150" spans="2:41">
      <c r="B2150" s="38"/>
      <c r="AE2150" s="5"/>
      <c r="AL2150" s="11" t="s">
        <v>1980</v>
      </c>
      <c r="AM2150" s="11" t="s">
        <v>10</v>
      </c>
      <c r="AN2150" s="11" t="s">
        <v>43</v>
      </c>
      <c r="AO2150" s="1">
        <v>1</v>
      </c>
    </row>
    <row r="2151" spans="2:41">
      <c r="B2151" s="38"/>
      <c r="AE2151" s="5"/>
      <c r="AL2151" s="11" t="s">
        <v>1981</v>
      </c>
      <c r="AM2151" s="11" t="s">
        <v>10</v>
      </c>
      <c r="AN2151" s="11" t="s">
        <v>43</v>
      </c>
      <c r="AO2151" s="1">
        <v>1</v>
      </c>
    </row>
    <row r="2152" spans="2:41">
      <c r="B2152" s="38"/>
      <c r="AE2152" s="5"/>
      <c r="AL2152" s="11" t="s">
        <v>622</v>
      </c>
      <c r="AM2152" s="11" t="s">
        <v>10</v>
      </c>
      <c r="AN2152" s="11" t="s">
        <v>146</v>
      </c>
      <c r="AO2152" s="40">
        <v>1</v>
      </c>
    </row>
    <row r="2153" spans="2:41">
      <c r="B2153" s="38"/>
      <c r="AE2153" s="5"/>
    </row>
    <row r="2154" spans="2:41">
      <c r="B2154" s="38"/>
      <c r="AE2154" s="5"/>
      <c r="AI2154" s="20" t="s">
        <v>1982</v>
      </c>
      <c r="AJ2154" s="42" t="s">
        <v>1912</v>
      </c>
      <c r="AK2154" s="42"/>
      <c r="AL2154" s="42"/>
      <c r="AM2154" s="11">
        <f>COUNTA(AL2155:AL2162)-COUNTIF(AJ2155:AJ2162,"兼")</f>
        <v>8</v>
      </c>
    </row>
    <row r="2155" spans="2:41">
      <c r="B2155" s="38"/>
      <c r="AE2155" s="5"/>
      <c r="AK2155" s="11" t="s">
        <v>1209</v>
      </c>
      <c r="AL2155" s="11" t="s">
        <v>1983</v>
      </c>
      <c r="AM2155" s="11" t="s">
        <v>10</v>
      </c>
      <c r="AN2155" s="11" t="s">
        <v>43</v>
      </c>
      <c r="AO2155" s="1">
        <v>1</v>
      </c>
    </row>
    <row r="2156" spans="2:41">
      <c r="B2156" s="38"/>
      <c r="AE2156" s="5"/>
      <c r="AL2156" s="11" t="s">
        <v>1984</v>
      </c>
      <c r="AM2156" s="11" t="s">
        <v>10</v>
      </c>
      <c r="AN2156" s="11" t="s">
        <v>43</v>
      </c>
      <c r="AO2156" s="1">
        <v>1</v>
      </c>
    </row>
    <row r="2157" spans="2:41">
      <c r="B2157" s="38"/>
      <c r="AE2157" s="5"/>
      <c r="AL2157" s="11" t="s">
        <v>1985</v>
      </c>
      <c r="AM2157" s="11" t="s">
        <v>10</v>
      </c>
      <c r="AN2157" s="11" t="s">
        <v>43</v>
      </c>
      <c r="AO2157" s="1">
        <v>1</v>
      </c>
    </row>
    <row r="2158" spans="2:41">
      <c r="B2158" s="38"/>
      <c r="AE2158" s="5"/>
      <c r="AL2158" s="11" t="s">
        <v>1986</v>
      </c>
      <c r="AM2158" s="11" t="s">
        <v>10</v>
      </c>
      <c r="AN2158" s="11" t="s">
        <v>43</v>
      </c>
      <c r="AO2158" s="1">
        <v>1</v>
      </c>
    </row>
    <row r="2159" spans="2:41">
      <c r="B2159" s="38"/>
      <c r="AE2159" s="5"/>
      <c r="AL2159" s="11" t="s">
        <v>1987</v>
      </c>
      <c r="AM2159" s="11" t="s">
        <v>10</v>
      </c>
      <c r="AN2159" s="11" t="s">
        <v>43</v>
      </c>
      <c r="AO2159" s="1">
        <v>1</v>
      </c>
    </row>
    <row r="2160" spans="2:41">
      <c r="B2160" s="38"/>
      <c r="AE2160" s="5"/>
      <c r="AL2160" s="11" t="s">
        <v>1988</v>
      </c>
      <c r="AM2160" s="11" t="s">
        <v>10</v>
      </c>
      <c r="AN2160" s="11" t="s">
        <v>43</v>
      </c>
      <c r="AO2160" s="1">
        <v>1</v>
      </c>
    </row>
    <row r="2161" spans="2:42">
      <c r="B2161" s="38"/>
      <c r="AE2161" s="5"/>
      <c r="AL2161" s="11" t="s">
        <v>1989</v>
      </c>
      <c r="AM2161" s="11" t="s">
        <v>10</v>
      </c>
      <c r="AN2161" s="11" t="s">
        <v>43</v>
      </c>
      <c r="AO2161" s="1">
        <v>1</v>
      </c>
    </row>
    <row r="2162" spans="2:42">
      <c r="B2162" s="38"/>
      <c r="AE2162" s="5"/>
      <c r="AL2162" s="11" t="s">
        <v>615</v>
      </c>
      <c r="AM2162" s="11" t="s">
        <v>10</v>
      </c>
      <c r="AN2162" s="11" t="s">
        <v>146</v>
      </c>
      <c r="AO2162" s="40">
        <v>1</v>
      </c>
    </row>
    <row r="2163" spans="2:42">
      <c r="B2163" s="38"/>
      <c r="AE2163" s="5"/>
    </row>
    <row r="2164" spans="2:42">
      <c r="B2164" s="38"/>
      <c r="AE2164" s="5"/>
      <c r="AI2164" s="20" t="s">
        <v>1990</v>
      </c>
      <c r="AJ2164" s="42" t="s">
        <v>1916</v>
      </c>
      <c r="AK2164" s="42"/>
      <c r="AL2164" s="42"/>
      <c r="AM2164" s="11">
        <f>COUNTA(AL2165:AL2170)-COUNTIF(AJ2165:AJ2170,"兼")</f>
        <v>5</v>
      </c>
    </row>
    <row r="2165" spans="2:42">
      <c r="B2165" s="38"/>
      <c r="AE2165" s="5"/>
      <c r="AJ2165" s="11" t="s">
        <v>57</v>
      </c>
      <c r="AK2165" s="11" t="s">
        <v>1209</v>
      </c>
      <c r="AL2165" s="11" t="s">
        <v>1991</v>
      </c>
      <c r="AM2165" s="11" t="s">
        <v>10</v>
      </c>
      <c r="AN2165" s="11" t="s">
        <v>43</v>
      </c>
      <c r="AO2165" s="1">
        <v>0.4</v>
      </c>
    </row>
    <row r="2166" spans="2:42">
      <c r="B2166" s="38"/>
      <c r="AE2166" s="5"/>
      <c r="AL2166" s="11" t="s">
        <v>1992</v>
      </c>
      <c r="AM2166" s="11" t="s">
        <v>10</v>
      </c>
      <c r="AN2166" s="11" t="s">
        <v>43</v>
      </c>
      <c r="AO2166" s="1">
        <v>1</v>
      </c>
    </row>
    <row r="2167" spans="2:42">
      <c r="B2167" s="38"/>
      <c r="AE2167" s="5"/>
      <c r="AL2167" s="11" t="s">
        <v>1993</v>
      </c>
      <c r="AM2167" s="11" t="s">
        <v>10</v>
      </c>
      <c r="AN2167" s="11" t="s">
        <v>43</v>
      </c>
      <c r="AO2167" s="1">
        <v>1</v>
      </c>
    </row>
    <row r="2168" spans="2:42">
      <c r="B2168" s="38"/>
      <c r="AE2168" s="5"/>
      <c r="AL2168" s="11" t="s">
        <v>1994</v>
      </c>
      <c r="AM2168" s="11" t="s">
        <v>10</v>
      </c>
      <c r="AN2168" s="11" t="s">
        <v>43</v>
      </c>
      <c r="AO2168" s="1">
        <v>1</v>
      </c>
    </row>
    <row r="2169" spans="2:42">
      <c r="B2169" s="38"/>
      <c r="AE2169" s="5"/>
      <c r="AL2169" s="11" t="s">
        <v>1995</v>
      </c>
      <c r="AM2169" s="11" t="s">
        <v>10</v>
      </c>
      <c r="AN2169" s="11" t="s">
        <v>43</v>
      </c>
      <c r="AO2169" s="1">
        <v>1</v>
      </c>
    </row>
    <row r="2170" spans="2:42">
      <c r="B2170" s="38"/>
      <c r="AE2170" s="5"/>
      <c r="AL2170" s="11" t="s">
        <v>1996</v>
      </c>
      <c r="AM2170" s="11" t="s">
        <v>10</v>
      </c>
      <c r="AN2170" s="11" t="s">
        <v>43</v>
      </c>
      <c r="AO2170" s="1">
        <v>1</v>
      </c>
    </row>
    <row r="2171" spans="2:42">
      <c r="B2171" s="38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  <c r="AA2171" s="16"/>
      <c r="AB2171" s="16"/>
      <c r="AC2171" s="16"/>
      <c r="AD2171" s="16"/>
      <c r="AE2171" s="7"/>
      <c r="AF2171" s="16"/>
      <c r="AG2171" s="16"/>
      <c r="AH2171" s="16"/>
      <c r="AI2171" s="16"/>
      <c r="AJ2171" s="16"/>
      <c r="AK2171" s="16"/>
      <c r="AL2171" s="16"/>
      <c r="AM2171" s="16"/>
      <c r="AN2171" s="16"/>
      <c r="AO2171" s="16"/>
      <c r="AP2171" s="16"/>
    </row>
    <row r="2172" spans="2:42">
      <c r="B2172" s="38"/>
      <c r="AE2172" s="5"/>
    </row>
    <row r="2173" spans="2:42">
      <c r="B2173" s="38"/>
      <c r="N2173" s="11">
        <f>SUM(S2173,X2173,X2187,X2217)</f>
        <v>40</v>
      </c>
      <c r="O2173" s="20" t="s">
        <v>1997</v>
      </c>
      <c r="P2173" s="42" t="s">
        <v>1998</v>
      </c>
      <c r="Q2173" s="42"/>
      <c r="R2173" s="42"/>
      <c r="S2173" s="11">
        <f>COUNTA(R2174:R2175)-COUNTIF(P2174:P2175,"兼")</f>
        <v>2</v>
      </c>
      <c r="X2173" s="11">
        <f>SUM(AC2173,AM2173,AM2179)</f>
        <v>9</v>
      </c>
      <c r="Y2173" s="20" t="s">
        <v>1999</v>
      </c>
      <c r="Z2173" s="42" t="s">
        <v>2000</v>
      </c>
      <c r="AA2173" s="42"/>
      <c r="AB2173" s="42"/>
      <c r="AC2173" s="11">
        <f>COUNTA(AB2174)-COUNTIF(Z2174,"兼")</f>
        <v>1</v>
      </c>
      <c r="AE2173" s="5"/>
      <c r="AI2173" s="20" t="s">
        <v>2001</v>
      </c>
      <c r="AJ2173" s="42" t="s">
        <v>1904</v>
      </c>
      <c r="AK2173" s="42"/>
      <c r="AL2173" s="42"/>
      <c r="AM2173" s="11">
        <f>COUNTA(AL2174:AL2177)-COUNTIF(AJ2174:AJ2177,"兼")</f>
        <v>4</v>
      </c>
    </row>
    <row r="2174" spans="2:42">
      <c r="B2174" s="38"/>
      <c r="Q2174" s="11" t="s">
        <v>96</v>
      </c>
      <c r="R2174" s="11" t="s">
        <v>1627</v>
      </c>
      <c r="S2174" s="11" t="s">
        <v>10</v>
      </c>
      <c r="T2174" s="11" t="s">
        <v>146</v>
      </c>
      <c r="U2174" s="1">
        <v>0.6</v>
      </c>
      <c r="AA2174" s="11" t="s">
        <v>98</v>
      </c>
      <c r="AB2174" s="11" t="s">
        <v>1873</v>
      </c>
      <c r="AC2174" s="11" t="s">
        <v>10</v>
      </c>
      <c r="AD2174" s="11" t="s">
        <v>43</v>
      </c>
      <c r="AE2174" s="40">
        <v>0.4</v>
      </c>
      <c r="AK2174" s="11" t="s">
        <v>1209</v>
      </c>
      <c r="AL2174" s="11" t="s">
        <v>2002</v>
      </c>
      <c r="AM2174" s="11" t="s">
        <v>10</v>
      </c>
      <c r="AN2174" s="11" t="s">
        <v>43</v>
      </c>
      <c r="AO2174" s="1">
        <v>1</v>
      </c>
    </row>
    <row r="2175" spans="2:42">
      <c r="B2175" s="38"/>
      <c r="Q2175" s="11" t="s">
        <v>133</v>
      </c>
      <c r="R2175" s="11" t="s">
        <v>1569</v>
      </c>
      <c r="S2175" s="11" t="s">
        <v>10</v>
      </c>
      <c r="T2175" s="11" t="s">
        <v>85</v>
      </c>
      <c r="U2175" s="1">
        <v>0.4</v>
      </c>
      <c r="AE2175" s="5"/>
      <c r="AL2175" s="11" t="s">
        <v>2003</v>
      </c>
      <c r="AM2175" s="11" t="s">
        <v>10</v>
      </c>
      <c r="AN2175" s="11" t="s">
        <v>43</v>
      </c>
      <c r="AO2175" s="1">
        <v>1</v>
      </c>
    </row>
    <row r="2176" spans="2:42">
      <c r="B2176" s="38"/>
      <c r="AE2176" s="5"/>
      <c r="AL2176" s="11" t="s">
        <v>2004</v>
      </c>
      <c r="AM2176" s="11" t="s">
        <v>10</v>
      </c>
      <c r="AN2176" s="11" t="s">
        <v>43</v>
      </c>
      <c r="AO2176" s="1">
        <v>0.8</v>
      </c>
    </row>
    <row r="2177" spans="2:42">
      <c r="B2177" s="38"/>
      <c r="AE2177" s="5"/>
      <c r="AL2177" s="11" t="s">
        <v>2005</v>
      </c>
      <c r="AM2177" s="11" t="s">
        <v>10</v>
      </c>
      <c r="AN2177" s="11" t="s">
        <v>43</v>
      </c>
      <c r="AO2177" s="1">
        <v>1</v>
      </c>
    </row>
    <row r="2178" spans="2:42">
      <c r="B2178" s="38"/>
      <c r="AE2178" s="5"/>
    </row>
    <row r="2179" spans="2:42">
      <c r="B2179" s="38"/>
      <c r="AE2179" s="5"/>
      <c r="AI2179" s="20" t="s">
        <v>2006</v>
      </c>
      <c r="AJ2179" s="42" t="s">
        <v>1912</v>
      </c>
      <c r="AK2179" s="42"/>
      <c r="AL2179" s="42"/>
      <c r="AM2179" s="11">
        <f>COUNTA(AL2180:AL2184)-COUNTIF(AJ2180:AJ2184,"兼")</f>
        <v>4</v>
      </c>
    </row>
    <row r="2180" spans="2:42">
      <c r="B2180" s="38"/>
      <c r="AE2180" s="5"/>
      <c r="AJ2180" s="11" t="s">
        <v>57</v>
      </c>
      <c r="AK2180" s="11" t="s">
        <v>1209</v>
      </c>
      <c r="AL2180" s="11" t="s">
        <v>1873</v>
      </c>
      <c r="AM2180" s="11" t="s">
        <v>10</v>
      </c>
      <c r="AN2180" s="11" t="s">
        <v>43</v>
      </c>
      <c r="AO2180" s="1">
        <v>0.2</v>
      </c>
    </row>
    <row r="2181" spans="2:42">
      <c r="B2181" s="38"/>
      <c r="AE2181" s="5"/>
      <c r="AL2181" s="11" t="s">
        <v>2007</v>
      </c>
      <c r="AM2181" s="11" t="s">
        <v>10</v>
      </c>
      <c r="AN2181" s="11" t="s">
        <v>43</v>
      </c>
      <c r="AO2181" s="1">
        <v>0.8</v>
      </c>
    </row>
    <row r="2182" spans="2:42">
      <c r="B2182" s="38"/>
      <c r="AE2182" s="5"/>
      <c r="AL2182" s="11" t="s">
        <v>2008</v>
      </c>
      <c r="AM2182" s="11" t="s">
        <v>10</v>
      </c>
      <c r="AN2182" s="11" t="s">
        <v>43</v>
      </c>
      <c r="AO2182" s="1">
        <v>1</v>
      </c>
    </row>
    <row r="2183" spans="2:42">
      <c r="B2183" s="38"/>
      <c r="AE2183" s="5"/>
      <c r="AL2183" s="11" t="s">
        <v>2009</v>
      </c>
      <c r="AM2183" s="11" t="s">
        <v>10</v>
      </c>
      <c r="AN2183" s="11" t="s">
        <v>43</v>
      </c>
      <c r="AO2183" s="1">
        <v>1</v>
      </c>
    </row>
    <row r="2184" spans="2:42">
      <c r="B2184" s="38"/>
      <c r="AE2184" s="5"/>
      <c r="AL2184" s="11" t="s">
        <v>623</v>
      </c>
      <c r="AM2184" s="11" t="s">
        <v>10</v>
      </c>
      <c r="AN2184" s="11" t="s">
        <v>146</v>
      </c>
      <c r="AO2184" s="40">
        <v>1</v>
      </c>
    </row>
    <row r="2185" spans="2:42">
      <c r="B2185" s="38"/>
      <c r="X2185" s="16"/>
      <c r="Y2185" s="16"/>
      <c r="Z2185" s="16"/>
      <c r="AA2185" s="16"/>
      <c r="AB2185" s="16"/>
      <c r="AC2185" s="16"/>
      <c r="AD2185" s="16"/>
      <c r="AE2185" s="7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16"/>
      <c r="AP2185" s="16"/>
    </row>
    <row r="2186" spans="2:42">
      <c r="B2186" s="38"/>
      <c r="AE2186" s="5"/>
    </row>
    <row r="2187" spans="2:42">
      <c r="B2187" s="38"/>
      <c r="X2187" s="11">
        <f>SUM(AC2187,AM2187,AM2195,AM2200,AM2207)</f>
        <v>22</v>
      </c>
      <c r="Y2187" s="20" t="s">
        <v>2010</v>
      </c>
      <c r="Z2187" s="42" t="s">
        <v>2011</v>
      </c>
      <c r="AA2187" s="42"/>
      <c r="AB2187" s="42"/>
      <c r="AC2187" s="11">
        <f>COUNTA(AB2188:AB2190)-COUNTIF(Z2188:Z2190,"兼")</f>
        <v>1</v>
      </c>
      <c r="AE2187" s="5"/>
      <c r="AI2187" s="20" t="s">
        <v>2012</v>
      </c>
      <c r="AJ2187" s="42" t="s">
        <v>1904</v>
      </c>
      <c r="AK2187" s="42"/>
      <c r="AL2187" s="42"/>
      <c r="AM2187" s="11">
        <f>COUNTA(AL2188:AL2193)-COUNTIF(AJ2188:AJ2193,"兼")</f>
        <v>6</v>
      </c>
    </row>
    <row r="2188" spans="2:42">
      <c r="B2188" s="38"/>
      <c r="AA2188" s="11" t="s">
        <v>98</v>
      </c>
      <c r="AB2188" s="11" t="s">
        <v>2013</v>
      </c>
      <c r="AC2188" s="11" t="s">
        <v>10</v>
      </c>
      <c r="AD2188" s="11" t="s">
        <v>43</v>
      </c>
      <c r="AE2188" s="40">
        <v>0.8</v>
      </c>
      <c r="AK2188" s="11" t="s">
        <v>1209</v>
      </c>
      <c r="AL2188" s="11" t="s">
        <v>2014</v>
      </c>
      <c r="AM2188" s="11" t="s">
        <v>10</v>
      </c>
      <c r="AN2188" s="11" t="s">
        <v>43</v>
      </c>
      <c r="AO2188" s="1">
        <v>1</v>
      </c>
    </row>
    <row r="2189" spans="2:42">
      <c r="B2189" s="38"/>
      <c r="Z2189" s="11" t="s">
        <v>57</v>
      </c>
      <c r="AA2189" s="11" t="s">
        <v>186</v>
      </c>
      <c r="AB2189" s="11" t="s">
        <v>1721</v>
      </c>
      <c r="AC2189" s="11" t="s">
        <v>10</v>
      </c>
      <c r="AD2189" s="11" t="s">
        <v>124</v>
      </c>
      <c r="AE2189" s="40">
        <v>0.2</v>
      </c>
      <c r="AL2189" s="11" t="s">
        <v>2015</v>
      </c>
      <c r="AM2189" s="11" t="s">
        <v>10</v>
      </c>
      <c r="AN2189" s="11" t="s">
        <v>43</v>
      </c>
      <c r="AO2189" s="1">
        <v>1</v>
      </c>
    </row>
    <row r="2190" spans="2:42">
      <c r="B2190" s="38"/>
      <c r="Z2190" s="11" t="s">
        <v>57</v>
      </c>
      <c r="AB2190" s="11" t="s">
        <v>1723</v>
      </c>
      <c r="AC2190" s="11" t="s">
        <v>10</v>
      </c>
      <c r="AD2190" s="11" t="s">
        <v>124</v>
      </c>
      <c r="AE2190" s="40">
        <v>0.4</v>
      </c>
      <c r="AL2190" s="11" t="s">
        <v>2018</v>
      </c>
      <c r="AM2190" s="11" t="s">
        <v>10</v>
      </c>
      <c r="AN2190" s="11" t="s">
        <v>43</v>
      </c>
      <c r="AO2190" s="1">
        <v>1</v>
      </c>
    </row>
    <row r="2191" spans="2:42">
      <c r="B2191" s="38"/>
      <c r="AE2191" s="5"/>
      <c r="AL2191" s="11" t="s">
        <v>621</v>
      </c>
      <c r="AM2191" s="11" t="s">
        <v>10</v>
      </c>
      <c r="AN2191" s="11" t="s">
        <v>146</v>
      </c>
      <c r="AO2191" s="40">
        <v>1</v>
      </c>
    </row>
    <row r="2192" spans="2:42">
      <c r="B2192" s="38"/>
      <c r="AE2192" s="5"/>
      <c r="AL2192" s="11" t="s">
        <v>2220</v>
      </c>
      <c r="AM2192" s="11" t="s">
        <v>10</v>
      </c>
      <c r="AN2192" s="11" t="s">
        <v>146</v>
      </c>
      <c r="AO2192" s="40">
        <v>1</v>
      </c>
    </row>
    <row r="2193" spans="2:41">
      <c r="B2193" s="38"/>
      <c r="AE2193" s="5"/>
      <c r="AL2193" s="11" t="s">
        <v>2249</v>
      </c>
      <c r="AM2193" s="11" t="s">
        <v>10</v>
      </c>
      <c r="AN2193" s="11" t="s">
        <v>146</v>
      </c>
      <c r="AO2193" s="40">
        <v>1</v>
      </c>
    </row>
    <row r="2194" spans="2:41">
      <c r="B2194" s="38"/>
      <c r="AE2194" s="11"/>
    </row>
    <row r="2195" spans="2:41">
      <c r="B2195" s="38"/>
      <c r="AE2195" s="5"/>
      <c r="AI2195" s="20" t="s">
        <v>2019</v>
      </c>
      <c r="AJ2195" s="42" t="s">
        <v>1912</v>
      </c>
      <c r="AK2195" s="42"/>
      <c r="AL2195" s="42"/>
      <c r="AM2195" s="11">
        <f>COUNTA(AL2196:AL2198)-COUNTIF(AJ2196:AJ2198,"兼")</f>
        <v>3</v>
      </c>
    </row>
    <row r="2196" spans="2:41">
      <c r="B2196" s="38"/>
      <c r="AE2196" s="5"/>
      <c r="AI2196" s="25"/>
      <c r="AK2196" s="11" t="s">
        <v>1209</v>
      </c>
      <c r="AL2196" s="11" t="s">
        <v>2020</v>
      </c>
      <c r="AM2196" s="11" t="s">
        <v>10</v>
      </c>
      <c r="AN2196" s="11" t="s">
        <v>43</v>
      </c>
      <c r="AO2196" s="1">
        <v>0.8</v>
      </c>
    </row>
    <row r="2197" spans="2:41">
      <c r="B2197" s="38"/>
      <c r="AE2197" s="5"/>
      <c r="AI2197" s="25"/>
      <c r="AL2197" s="11" t="s">
        <v>2016</v>
      </c>
      <c r="AM2197" s="11" t="s">
        <v>10</v>
      </c>
      <c r="AN2197" s="11" t="s">
        <v>43</v>
      </c>
      <c r="AO2197" s="1">
        <v>1</v>
      </c>
    </row>
    <row r="2198" spans="2:41">
      <c r="B2198" s="38"/>
      <c r="AE2198" s="5"/>
      <c r="AL2198" s="11" t="s">
        <v>2017</v>
      </c>
      <c r="AM2198" s="11" t="s">
        <v>10</v>
      </c>
      <c r="AN2198" s="11" t="s">
        <v>43</v>
      </c>
      <c r="AO2198" s="1">
        <v>1</v>
      </c>
    </row>
    <row r="2199" spans="2:41">
      <c r="B2199" s="38"/>
      <c r="AE2199" s="5"/>
    </row>
    <row r="2200" spans="2:41">
      <c r="B2200" s="38"/>
      <c r="AE2200" s="5"/>
      <c r="AI2200" s="20" t="s">
        <v>2021</v>
      </c>
      <c r="AJ2200" s="42" t="s">
        <v>1916</v>
      </c>
      <c r="AK2200" s="42"/>
      <c r="AL2200" s="42"/>
      <c r="AM2200" s="11">
        <f>COUNTA(AL2201:AL2205)-COUNTIF(AJ2201:AJ2205,"兼")</f>
        <v>5</v>
      </c>
    </row>
    <row r="2201" spans="2:41">
      <c r="B2201" s="38"/>
      <c r="AE2201" s="5"/>
      <c r="AK2201" s="11" t="s">
        <v>1209</v>
      </c>
      <c r="AL2201" s="11" t="s">
        <v>2022</v>
      </c>
      <c r="AM2201" s="11" t="s">
        <v>10</v>
      </c>
      <c r="AN2201" s="11" t="s">
        <v>166</v>
      </c>
      <c r="AO2201" s="1">
        <v>1</v>
      </c>
    </row>
    <row r="2202" spans="2:41">
      <c r="B2202" s="38"/>
      <c r="AE2202" s="5"/>
      <c r="AL2202" s="11" t="s">
        <v>2023</v>
      </c>
      <c r="AM2202" s="11" t="s">
        <v>10</v>
      </c>
      <c r="AN2202" s="11" t="s">
        <v>166</v>
      </c>
      <c r="AO2202" s="1">
        <v>1</v>
      </c>
    </row>
    <row r="2203" spans="2:41">
      <c r="B2203" s="38"/>
      <c r="AE2203" s="5"/>
      <c r="AL2203" s="11" t="s">
        <v>2024</v>
      </c>
      <c r="AM2203" s="11" t="s">
        <v>10</v>
      </c>
      <c r="AN2203" s="11" t="s">
        <v>166</v>
      </c>
      <c r="AO2203" s="1">
        <v>1</v>
      </c>
    </row>
    <row r="2204" spans="2:41">
      <c r="B2204" s="38"/>
      <c r="AE2204" s="5"/>
      <c r="AL2204" s="11" t="s">
        <v>2025</v>
      </c>
      <c r="AM2204" s="11" t="s">
        <v>10</v>
      </c>
      <c r="AN2204" s="11" t="s">
        <v>166</v>
      </c>
      <c r="AO2204" s="1">
        <v>1</v>
      </c>
    </row>
    <row r="2205" spans="2:41">
      <c r="B2205" s="38"/>
      <c r="AE2205" s="5"/>
      <c r="AL2205" s="11" t="s">
        <v>2026</v>
      </c>
      <c r="AM2205" s="11" t="s">
        <v>10</v>
      </c>
      <c r="AN2205" s="11" t="s">
        <v>43</v>
      </c>
      <c r="AO2205" s="1">
        <v>1</v>
      </c>
    </row>
    <row r="2206" spans="2:41">
      <c r="B2206" s="38"/>
      <c r="AE2206" s="5"/>
    </row>
    <row r="2207" spans="2:41">
      <c r="B2207" s="38"/>
      <c r="AE2207" s="5"/>
      <c r="AI2207" s="20" t="s">
        <v>2027</v>
      </c>
      <c r="AJ2207" s="42" t="s">
        <v>2028</v>
      </c>
      <c r="AK2207" s="42"/>
      <c r="AL2207" s="42"/>
      <c r="AM2207" s="11">
        <f>COUNTA(AL2208:AL2214)-COUNTIF(AJ2208:AJ2214,"兼")</f>
        <v>7</v>
      </c>
    </row>
    <row r="2208" spans="2:41">
      <c r="B2208" s="38"/>
      <c r="AE2208" s="5"/>
      <c r="AK2208" s="11" t="s">
        <v>1209</v>
      </c>
      <c r="AL2208" s="11" t="s">
        <v>2029</v>
      </c>
      <c r="AM2208" s="11" t="s">
        <v>10</v>
      </c>
      <c r="AN2208" s="11" t="s">
        <v>43</v>
      </c>
      <c r="AO2208" s="1">
        <v>1</v>
      </c>
    </row>
    <row r="2209" spans="2:42">
      <c r="B2209" s="38"/>
      <c r="AE2209" s="5"/>
      <c r="AL2209" s="11" t="s">
        <v>2030</v>
      </c>
      <c r="AM2209" s="11" t="s">
        <v>10</v>
      </c>
      <c r="AN2209" s="11" t="s">
        <v>43</v>
      </c>
      <c r="AO2209" s="1">
        <v>1</v>
      </c>
    </row>
    <row r="2210" spans="2:42">
      <c r="B2210" s="38"/>
      <c r="AE2210" s="5"/>
      <c r="AL2210" s="11" t="s">
        <v>2031</v>
      </c>
      <c r="AM2210" s="11" t="s">
        <v>10</v>
      </c>
      <c r="AN2210" s="11" t="s">
        <v>43</v>
      </c>
      <c r="AO2210" s="1">
        <v>1</v>
      </c>
    </row>
    <row r="2211" spans="2:42">
      <c r="B2211" s="38"/>
      <c r="AE2211" s="5"/>
      <c r="AL2211" s="11" t="s">
        <v>2032</v>
      </c>
      <c r="AM2211" s="11" t="s">
        <v>10</v>
      </c>
      <c r="AN2211" s="11" t="s">
        <v>43</v>
      </c>
      <c r="AO2211" s="1">
        <v>1</v>
      </c>
    </row>
    <row r="2212" spans="2:42">
      <c r="B2212" s="38"/>
      <c r="AE2212" s="5"/>
      <c r="AL2212" s="11" t="s">
        <v>2033</v>
      </c>
      <c r="AM2212" s="11" t="s">
        <v>10</v>
      </c>
      <c r="AN2212" s="11" t="s">
        <v>43</v>
      </c>
      <c r="AO2212" s="1">
        <v>1</v>
      </c>
    </row>
    <row r="2213" spans="2:42">
      <c r="B2213" s="38"/>
      <c r="AE2213" s="5"/>
      <c r="AL2213" s="11" t="s">
        <v>2034</v>
      </c>
      <c r="AM2213" s="11" t="s">
        <v>10</v>
      </c>
      <c r="AN2213" s="11" t="s">
        <v>43</v>
      </c>
      <c r="AO2213" s="1">
        <v>1</v>
      </c>
    </row>
    <row r="2214" spans="2:42">
      <c r="B2214" s="38"/>
      <c r="AE2214" s="5"/>
      <c r="AL2214" s="11" t="s">
        <v>619</v>
      </c>
      <c r="AM2214" s="11" t="s">
        <v>10</v>
      </c>
      <c r="AN2214" s="11" t="s">
        <v>146</v>
      </c>
      <c r="AO2214" s="40">
        <v>1</v>
      </c>
    </row>
    <row r="2215" spans="2:42">
      <c r="B2215" s="38"/>
      <c r="X2215" s="16"/>
      <c r="Y2215" s="16"/>
      <c r="Z2215" s="16"/>
      <c r="AA2215" s="16"/>
      <c r="AB2215" s="16"/>
      <c r="AC2215" s="16"/>
      <c r="AD2215" s="16"/>
      <c r="AE2215" s="7"/>
      <c r="AF2215" s="16"/>
      <c r="AG2215" s="16"/>
      <c r="AH2215" s="16"/>
      <c r="AI2215" s="16"/>
      <c r="AJ2215" s="16"/>
      <c r="AK2215" s="16"/>
      <c r="AL2215" s="16"/>
      <c r="AM2215" s="16"/>
      <c r="AN2215" s="16"/>
      <c r="AO2215" s="16"/>
      <c r="AP2215" s="16"/>
    </row>
    <row r="2216" spans="2:42">
      <c r="B2216" s="38"/>
      <c r="AE2216" s="5"/>
    </row>
    <row r="2217" spans="2:42">
      <c r="B2217" s="38"/>
      <c r="X2217" s="11">
        <f>SUM(AC2217,AM2217)</f>
        <v>7</v>
      </c>
      <c r="Y2217" s="20" t="s">
        <v>2035</v>
      </c>
      <c r="Z2217" s="42" t="s">
        <v>2036</v>
      </c>
      <c r="AA2217" s="42"/>
      <c r="AB2217" s="42"/>
      <c r="AC2217" s="11">
        <f>COUNTA(AB2218)-COUNTIF(Z2218,"兼")</f>
        <v>1</v>
      </c>
      <c r="AE2217" s="5"/>
      <c r="AI2217" s="20" t="s">
        <v>2037</v>
      </c>
      <c r="AJ2217" s="42" t="s">
        <v>1904</v>
      </c>
      <c r="AK2217" s="42"/>
      <c r="AL2217" s="42"/>
      <c r="AM2217" s="11">
        <f>COUNTA(AL2218:AL2223)-COUNTIF(AJ2218:AJ2223,"兼")</f>
        <v>6</v>
      </c>
    </row>
    <row r="2218" spans="2:42">
      <c r="B2218" s="38"/>
      <c r="AA2218" s="11" t="s">
        <v>98</v>
      </c>
      <c r="AB2218" s="11" t="s">
        <v>2038</v>
      </c>
      <c r="AC2218" s="11" t="s">
        <v>10</v>
      </c>
      <c r="AD2218" s="11" t="s">
        <v>223</v>
      </c>
      <c r="AE2218" s="40">
        <v>0.6</v>
      </c>
      <c r="AK2218" s="11" t="s">
        <v>1209</v>
      </c>
      <c r="AL2218" s="11" t="s">
        <v>2039</v>
      </c>
      <c r="AM2218" s="11" t="s">
        <v>10</v>
      </c>
      <c r="AN2218" s="11" t="s">
        <v>43</v>
      </c>
      <c r="AO2218" s="1">
        <v>1</v>
      </c>
    </row>
    <row r="2219" spans="2:42">
      <c r="B2219" s="38"/>
      <c r="AE2219" s="5"/>
      <c r="AL2219" s="11" t="s">
        <v>2040</v>
      </c>
      <c r="AM2219" s="11" t="s">
        <v>10</v>
      </c>
      <c r="AN2219" s="11" t="s">
        <v>43</v>
      </c>
      <c r="AO2219" s="1">
        <v>1</v>
      </c>
    </row>
    <row r="2220" spans="2:42">
      <c r="B2220" s="38"/>
      <c r="AE2220" s="5"/>
      <c r="AL2220" s="11" t="s">
        <v>2041</v>
      </c>
      <c r="AM2220" s="11" t="s">
        <v>10</v>
      </c>
      <c r="AN2220" s="11" t="s">
        <v>43</v>
      </c>
      <c r="AO2220" s="1">
        <v>1</v>
      </c>
    </row>
    <row r="2221" spans="2:42">
      <c r="B2221" s="38"/>
      <c r="AE2221" s="5"/>
      <c r="AL2221" s="11" t="s">
        <v>2042</v>
      </c>
      <c r="AM2221" s="11" t="s">
        <v>10</v>
      </c>
      <c r="AN2221" s="11" t="s">
        <v>43</v>
      </c>
      <c r="AO2221" s="1">
        <v>1</v>
      </c>
    </row>
    <row r="2222" spans="2:42">
      <c r="B2222" s="38"/>
      <c r="AE2222" s="5"/>
      <c r="AL2222" s="11" t="s">
        <v>2043</v>
      </c>
      <c r="AM2222" s="11" t="s">
        <v>10</v>
      </c>
      <c r="AN2222" s="11" t="s">
        <v>43</v>
      </c>
      <c r="AO2222" s="1">
        <v>1</v>
      </c>
    </row>
    <row r="2223" spans="2:42">
      <c r="B2223" s="38"/>
      <c r="AE2223" s="5"/>
      <c r="AL2223" s="11" t="s">
        <v>2044</v>
      </c>
      <c r="AM2223" s="11" t="s">
        <v>10</v>
      </c>
      <c r="AN2223" s="11" t="s">
        <v>43</v>
      </c>
      <c r="AO2223" s="1">
        <v>1</v>
      </c>
    </row>
    <row r="2224" spans="2:42">
      <c r="B2224" s="38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7"/>
      <c r="AF2224" s="16"/>
      <c r="AG2224" s="16"/>
      <c r="AH2224" s="16"/>
      <c r="AI2224" s="16"/>
      <c r="AJ2224" s="16"/>
      <c r="AK2224" s="16"/>
      <c r="AL2224" s="16"/>
      <c r="AM2224" s="16"/>
      <c r="AN2224" s="16"/>
      <c r="AO2224" s="16"/>
      <c r="AP2224" s="16"/>
    </row>
    <row r="2225" spans="2:41">
      <c r="B2225" s="38"/>
      <c r="AE2225" s="5"/>
    </row>
    <row r="2226" spans="2:41">
      <c r="B2226" s="38"/>
      <c r="N2226" s="11">
        <f>SUM(S2226,X2226,X2246,X2265)</f>
        <v>68</v>
      </c>
      <c r="O2226" s="20" t="s">
        <v>1997</v>
      </c>
      <c r="P2226" s="42" t="s">
        <v>2045</v>
      </c>
      <c r="Q2226" s="42"/>
      <c r="R2226" s="42"/>
      <c r="S2226" s="11">
        <f>COUNTA(R2227:R2230)-COUNTIF(P2227:P2230,"兼")</f>
        <v>0</v>
      </c>
      <c r="X2226" s="11">
        <f>SUM(AC2226,AM2226,AM2239)</f>
        <v>14</v>
      </c>
      <c r="Y2226" s="20" t="s">
        <v>1999</v>
      </c>
      <c r="Z2226" s="42" t="s">
        <v>2046</v>
      </c>
      <c r="AA2226" s="42"/>
      <c r="AB2226" s="42"/>
      <c r="AC2226" s="11">
        <f>COUNTA(AB2227)-COUNTIF(Z2227,"兼")</f>
        <v>0</v>
      </c>
      <c r="AE2226" s="5"/>
      <c r="AI2226" s="20" t="s">
        <v>2047</v>
      </c>
      <c r="AJ2226" s="42" t="s">
        <v>2048</v>
      </c>
      <c r="AK2226" s="42"/>
      <c r="AL2226" s="42"/>
      <c r="AM2226" s="11">
        <f>COUNTA(AL2227:AL2237)-COUNTIF(AJ2227:AJ2237,"兼")</f>
        <v>11</v>
      </c>
    </row>
    <row r="2227" spans="2:41">
      <c r="B2227" s="38"/>
      <c r="P2227" s="11" t="s">
        <v>57</v>
      </c>
      <c r="Q2227" s="11" t="s">
        <v>96</v>
      </c>
      <c r="R2227" s="11" t="s">
        <v>1627</v>
      </c>
      <c r="S2227" s="11" t="s">
        <v>10</v>
      </c>
      <c r="T2227" s="11" t="s">
        <v>146</v>
      </c>
      <c r="U2227" s="1">
        <v>0.2</v>
      </c>
      <c r="Z2227" s="11" t="s">
        <v>57</v>
      </c>
      <c r="AA2227" s="11" t="s">
        <v>98</v>
      </c>
      <c r="AB2227" s="11" t="s">
        <v>1873</v>
      </c>
      <c r="AC2227" s="11" t="s">
        <v>10</v>
      </c>
      <c r="AD2227" s="11" t="s">
        <v>43</v>
      </c>
      <c r="AE2227" s="40">
        <v>0.2</v>
      </c>
      <c r="AK2227" s="11" t="s">
        <v>1209</v>
      </c>
      <c r="AL2227" s="11" t="s">
        <v>2049</v>
      </c>
      <c r="AM2227" s="11" t="s">
        <v>10</v>
      </c>
      <c r="AN2227" s="11" t="s">
        <v>85</v>
      </c>
      <c r="AO2227" s="1">
        <v>1</v>
      </c>
    </row>
    <row r="2228" spans="2:41">
      <c r="B2228" s="38"/>
      <c r="P2228" s="11" t="s">
        <v>57</v>
      </c>
      <c r="Q2228" s="11" t="s">
        <v>133</v>
      </c>
      <c r="R2228" s="11" t="s">
        <v>1569</v>
      </c>
      <c r="S2228" s="11" t="s">
        <v>10</v>
      </c>
      <c r="T2228" s="11" t="s">
        <v>85</v>
      </c>
      <c r="U2228" s="1">
        <v>0.2</v>
      </c>
      <c r="AE2228" s="5"/>
      <c r="AL2228" s="11" t="s">
        <v>2050</v>
      </c>
      <c r="AM2228" s="11" t="s">
        <v>10</v>
      </c>
      <c r="AN2228" s="11" t="s">
        <v>85</v>
      </c>
      <c r="AO2228" s="1">
        <v>1</v>
      </c>
    </row>
    <row r="2229" spans="2:41">
      <c r="B2229" s="38"/>
      <c r="P2229" s="11" t="s">
        <v>57</v>
      </c>
      <c r="R2229" s="11" t="s">
        <v>2051</v>
      </c>
      <c r="S2229" s="11" t="s">
        <v>10</v>
      </c>
      <c r="T2229" s="11" t="s">
        <v>85</v>
      </c>
      <c r="U2229" s="1">
        <v>0.2</v>
      </c>
      <c r="AE2229" s="5"/>
      <c r="AL2229" s="11" t="s">
        <v>2052</v>
      </c>
      <c r="AM2229" s="11" t="s">
        <v>10</v>
      </c>
      <c r="AN2229" s="11" t="s">
        <v>85</v>
      </c>
      <c r="AO2229" s="1">
        <v>1</v>
      </c>
    </row>
    <row r="2230" spans="2:41">
      <c r="B2230" s="38"/>
      <c r="P2230" s="11" t="s">
        <v>57</v>
      </c>
      <c r="R2230" s="11" t="s">
        <v>1197</v>
      </c>
      <c r="S2230" s="11" t="s">
        <v>10</v>
      </c>
      <c r="T2230" s="11" t="s">
        <v>85</v>
      </c>
      <c r="U2230" s="1">
        <v>0.2</v>
      </c>
      <c r="AE2230" s="5"/>
      <c r="AL2230" s="11" t="s">
        <v>2053</v>
      </c>
      <c r="AM2230" s="11" t="s">
        <v>10</v>
      </c>
      <c r="AN2230" s="11" t="s">
        <v>85</v>
      </c>
      <c r="AO2230" s="1">
        <v>1</v>
      </c>
    </row>
    <row r="2231" spans="2:41">
      <c r="B2231" s="38"/>
      <c r="AE2231" s="5"/>
      <c r="AL2231" s="11" t="s">
        <v>2054</v>
      </c>
      <c r="AM2231" s="11" t="s">
        <v>10</v>
      </c>
      <c r="AN2231" s="11" t="s">
        <v>85</v>
      </c>
      <c r="AO2231" s="1">
        <v>1</v>
      </c>
    </row>
    <row r="2232" spans="2:41">
      <c r="B2232" s="38"/>
      <c r="AE2232" s="5"/>
      <c r="AL2232" s="11" t="s">
        <v>2055</v>
      </c>
      <c r="AM2232" s="11" t="s">
        <v>10</v>
      </c>
      <c r="AN2232" s="11" t="s">
        <v>85</v>
      </c>
      <c r="AO2232" s="1">
        <v>1</v>
      </c>
    </row>
    <row r="2233" spans="2:41">
      <c r="B2233" s="38"/>
      <c r="AE2233" s="5"/>
      <c r="AL2233" s="11" t="s">
        <v>2056</v>
      </c>
      <c r="AM2233" s="11" t="s">
        <v>10</v>
      </c>
      <c r="AN2233" s="11" t="s">
        <v>85</v>
      </c>
      <c r="AO2233" s="1">
        <v>1</v>
      </c>
    </row>
    <row r="2234" spans="2:41">
      <c r="B2234" s="38"/>
      <c r="AE2234" s="5"/>
      <c r="AL2234" s="11" t="s">
        <v>2057</v>
      </c>
      <c r="AM2234" s="11" t="s">
        <v>10</v>
      </c>
      <c r="AN2234" s="11" t="s">
        <v>85</v>
      </c>
      <c r="AO2234" s="1">
        <v>1</v>
      </c>
    </row>
    <row r="2235" spans="2:41">
      <c r="B2235" s="38"/>
      <c r="AE2235" s="5"/>
      <c r="AL2235" s="11" t="s">
        <v>2058</v>
      </c>
      <c r="AM2235" s="11" t="s">
        <v>10</v>
      </c>
      <c r="AN2235" s="11" t="s">
        <v>85</v>
      </c>
      <c r="AO2235" s="1">
        <v>1</v>
      </c>
    </row>
    <row r="2236" spans="2:41">
      <c r="B2236" s="38"/>
      <c r="AE2236" s="5"/>
      <c r="AL2236" s="11" t="s">
        <v>642</v>
      </c>
      <c r="AM2236" s="11" t="s">
        <v>10</v>
      </c>
      <c r="AN2236" s="11" t="s">
        <v>223</v>
      </c>
      <c r="AO2236" s="40">
        <v>1</v>
      </c>
    </row>
    <row r="2237" spans="2:41">
      <c r="B2237" s="38"/>
      <c r="AE2237" s="5"/>
      <c r="AL2237" s="11" t="s">
        <v>645</v>
      </c>
      <c r="AM2237" s="11" t="s">
        <v>10</v>
      </c>
      <c r="AN2237" s="11" t="s">
        <v>223</v>
      </c>
      <c r="AO2237" s="40">
        <v>1</v>
      </c>
    </row>
    <row r="2238" spans="2:41">
      <c r="B2238" s="38"/>
      <c r="AE2238" s="5"/>
    </row>
    <row r="2239" spans="2:41">
      <c r="B2239" s="38"/>
      <c r="AE2239" s="5"/>
      <c r="AI2239" s="20" t="s">
        <v>2059</v>
      </c>
      <c r="AJ2239" s="42" t="s">
        <v>2060</v>
      </c>
      <c r="AK2239" s="42"/>
      <c r="AL2239" s="42"/>
      <c r="AM2239" s="11">
        <f>COUNTA(AL2240:AL2243)-COUNTIF(AJ2240:AJ2243,"兼")</f>
        <v>3</v>
      </c>
    </row>
    <row r="2240" spans="2:41">
      <c r="B2240" s="38"/>
      <c r="AE2240" s="5"/>
      <c r="AK2240" s="11" t="s">
        <v>1209</v>
      </c>
      <c r="AL2240" s="11" t="s">
        <v>2061</v>
      </c>
      <c r="AM2240" s="11" t="s">
        <v>10</v>
      </c>
      <c r="AN2240" s="11" t="s">
        <v>85</v>
      </c>
      <c r="AO2240" s="1">
        <v>1</v>
      </c>
    </row>
    <row r="2241" spans="2:42">
      <c r="B2241" s="38"/>
      <c r="AE2241" s="5"/>
      <c r="AL2241" s="11" t="s">
        <v>2062</v>
      </c>
      <c r="AM2241" s="11" t="s">
        <v>10</v>
      </c>
      <c r="AN2241" s="11" t="s">
        <v>85</v>
      </c>
      <c r="AO2241" s="1">
        <v>1</v>
      </c>
    </row>
    <row r="2242" spans="2:42">
      <c r="B2242" s="38"/>
      <c r="AE2242" s="5"/>
      <c r="AL2242" s="11" t="s">
        <v>2063</v>
      </c>
      <c r="AM2242" s="11" t="s">
        <v>10</v>
      </c>
      <c r="AN2242" s="11" t="s">
        <v>85</v>
      </c>
      <c r="AO2242" s="1">
        <v>1</v>
      </c>
    </row>
    <row r="2243" spans="2:42">
      <c r="B2243" s="38"/>
      <c r="AE2243" s="5"/>
      <c r="AJ2243" s="11" t="s">
        <v>57</v>
      </c>
      <c r="AL2243" s="11" t="s">
        <v>1581</v>
      </c>
      <c r="AM2243" s="11" t="s">
        <v>10</v>
      </c>
      <c r="AN2243" s="11" t="s">
        <v>85</v>
      </c>
      <c r="AO2243" s="1">
        <v>0.4</v>
      </c>
    </row>
    <row r="2244" spans="2:42">
      <c r="B2244" s="38"/>
      <c r="X2244" s="16"/>
      <c r="Y2244" s="16"/>
      <c r="Z2244" s="16"/>
      <c r="AA2244" s="16"/>
      <c r="AB2244" s="16"/>
      <c r="AC2244" s="16"/>
      <c r="AD2244" s="16"/>
      <c r="AE2244" s="7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16"/>
      <c r="AP2244" s="16"/>
    </row>
    <row r="2245" spans="2:42">
      <c r="B2245" s="38"/>
      <c r="AE2245" s="5"/>
    </row>
    <row r="2246" spans="2:42">
      <c r="B2246" s="38"/>
      <c r="X2246" s="11">
        <f>SUM(AC2246,AM2246)</f>
        <v>15</v>
      </c>
      <c r="Y2246" s="20" t="s">
        <v>2035</v>
      </c>
      <c r="Z2246" s="42" t="s">
        <v>2064</v>
      </c>
      <c r="AA2246" s="42"/>
      <c r="AB2246" s="42"/>
      <c r="AC2246" s="11">
        <f>COUNTA(AB2247)-COUNTIF(Z2247,"兼")</f>
        <v>0</v>
      </c>
      <c r="AE2246" s="5"/>
      <c r="AI2246" s="20" t="s">
        <v>2065</v>
      </c>
      <c r="AJ2246" s="42" t="s">
        <v>2066</v>
      </c>
      <c r="AK2246" s="42"/>
      <c r="AL2246" s="42"/>
      <c r="AM2246" s="11">
        <f>COUNTA(AL2247:AL2262)-COUNTIF(AJ2247:AJ2262,"兼")</f>
        <v>15</v>
      </c>
    </row>
    <row r="2247" spans="2:42">
      <c r="B2247" s="38"/>
      <c r="Z2247" s="11" t="s">
        <v>57</v>
      </c>
      <c r="AA2247" s="11" t="s">
        <v>98</v>
      </c>
      <c r="AB2247" s="11" t="s">
        <v>2038</v>
      </c>
      <c r="AC2247" s="11" t="s">
        <v>10</v>
      </c>
      <c r="AD2247" s="11" t="s">
        <v>223</v>
      </c>
      <c r="AE2247" s="40">
        <v>0.2</v>
      </c>
      <c r="AJ2247" s="11" t="s">
        <v>57</v>
      </c>
      <c r="AK2247" s="11" t="s">
        <v>1209</v>
      </c>
      <c r="AL2247" s="11" t="s">
        <v>1648</v>
      </c>
      <c r="AM2247" s="11" t="s">
        <v>10</v>
      </c>
      <c r="AN2247" s="11" t="s">
        <v>85</v>
      </c>
      <c r="AO2247" s="1">
        <v>0.2</v>
      </c>
    </row>
    <row r="2248" spans="2:42">
      <c r="B2248" s="38"/>
      <c r="AE2248" s="5"/>
      <c r="AL2248" s="11" t="s">
        <v>2067</v>
      </c>
      <c r="AM2248" s="11" t="s">
        <v>10</v>
      </c>
      <c r="AN2248" s="11" t="s">
        <v>85</v>
      </c>
      <c r="AO2248" s="1">
        <v>1</v>
      </c>
    </row>
    <row r="2249" spans="2:42">
      <c r="B2249" s="38"/>
      <c r="AE2249" s="5"/>
      <c r="AL2249" s="11" t="s">
        <v>2068</v>
      </c>
      <c r="AM2249" s="11" t="s">
        <v>10</v>
      </c>
      <c r="AN2249" s="11" t="s">
        <v>85</v>
      </c>
      <c r="AO2249" s="1">
        <v>1</v>
      </c>
    </row>
    <row r="2250" spans="2:42">
      <c r="B2250" s="38"/>
      <c r="AE2250" s="5"/>
      <c r="AL2250" s="11" t="s">
        <v>2069</v>
      </c>
      <c r="AM2250" s="11" t="s">
        <v>10</v>
      </c>
      <c r="AN2250" s="11" t="s">
        <v>85</v>
      </c>
      <c r="AO2250" s="1">
        <v>1</v>
      </c>
    </row>
    <row r="2251" spans="2:42">
      <c r="B2251" s="38"/>
      <c r="AE2251" s="5"/>
      <c r="AL2251" s="11" t="s">
        <v>2070</v>
      </c>
      <c r="AM2251" s="11" t="s">
        <v>10</v>
      </c>
      <c r="AN2251" s="11" t="s">
        <v>85</v>
      </c>
      <c r="AO2251" s="1">
        <v>1</v>
      </c>
    </row>
    <row r="2252" spans="2:42">
      <c r="B2252" s="38"/>
      <c r="AE2252" s="5"/>
      <c r="AL2252" s="11" t="s">
        <v>2071</v>
      </c>
      <c r="AM2252" s="11" t="s">
        <v>10</v>
      </c>
      <c r="AN2252" s="11" t="s">
        <v>85</v>
      </c>
      <c r="AO2252" s="1">
        <v>1</v>
      </c>
    </row>
    <row r="2253" spans="2:42">
      <c r="B2253" s="38"/>
      <c r="AE2253" s="5"/>
      <c r="AL2253" s="11" t="s">
        <v>2072</v>
      </c>
      <c r="AM2253" s="11" t="s">
        <v>10</v>
      </c>
      <c r="AN2253" s="11" t="s">
        <v>85</v>
      </c>
      <c r="AO2253" s="1">
        <v>1</v>
      </c>
    </row>
    <row r="2254" spans="2:42">
      <c r="B2254" s="38"/>
      <c r="AE2254" s="5"/>
      <c r="AL2254" s="11" t="s">
        <v>2073</v>
      </c>
      <c r="AM2254" s="11" t="s">
        <v>10</v>
      </c>
      <c r="AN2254" s="11" t="s">
        <v>85</v>
      </c>
      <c r="AO2254" s="1">
        <v>1</v>
      </c>
    </row>
    <row r="2255" spans="2:42">
      <c r="B2255" s="38"/>
      <c r="AE2255" s="5"/>
      <c r="AL2255" s="11" t="s">
        <v>2074</v>
      </c>
      <c r="AM2255" s="11" t="s">
        <v>10</v>
      </c>
      <c r="AN2255" s="11" t="s">
        <v>85</v>
      </c>
      <c r="AO2255" s="1">
        <v>1</v>
      </c>
    </row>
    <row r="2256" spans="2:42">
      <c r="B2256" s="38"/>
      <c r="AE2256" s="5"/>
      <c r="AL2256" s="11" t="s">
        <v>2075</v>
      </c>
      <c r="AM2256" s="11" t="s">
        <v>10</v>
      </c>
      <c r="AN2256" s="11" t="s">
        <v>85</v>
      </c>
      <c r="AO2256" s="1">
        <v>1</v>
      </c>
    </row>
    <row r="2257" spans="2:42">
      <c r="B2257" s="38"/>
      <c r="AE2257" s="5"/>
      <c r="AL2257" s="11" t="s">
        <v>2076</v>
      </c>
      <c r="AM2257" s="11" t="s">
        <v>10</v>
      </c>
      <c r="AN2257" s="11" t="s">
        <v>85</v>
      </c>
      <c r="AO2257" s="1">
        <v>1</v>
      </c>
    </row>
    <row r="2258" spans="2:42">
      <c r="B2258" s="38"/>
      <c r="AE2258" s="5"/>
      <c r="AL2258" s="11" t="s">
        <v>2077</v>
      </c>
      <c r="AM2258" s="11" t="s">
        <v>10</v>
      </c>
      <c r="AN2258" s="11" t="s">
        <v>85</v>
      </c>
      <c r="AO2258" s="1">
        <v>1</v>
      </c>
    </row>
    <row r="2259" spans="2:42">
      <c r="B2259" s="38"/>
      <c r="AE2259" s="5"/>
      <c r="AL2259" s="11" t="s">
        <v>2078</v>
      </c>
      <c r="AM2259" s="11" t="s">
        <v>10</v>
      </c>
      <c r="AN2259" s="11" t="s">
        <v>85</v>
      </c>
      <c r="AO2259" s="1">
        <v>1</v>
      </c>
    </row>
    <row r="2260" spans="2:42">
      <c r="B2260" s="38"/>
      <c r="AE2260" s="5"/>
      <c r="AL2260" s="11" t="s">
        <v>2079</v>
      </c>
      <c r="AM2260" s="11" t="s">
        <v>10</v>
      </c>
      <c r="AN2260" s="11" t="s">
        <v>85</v>
      </c>
      <c r="AO2260" s="1">
        <v>1</v>
      </c>
    </row>
    <row r="2261" spans="2:42">
      <c r="B2261" s="38"/>
      <c r="AE2261" s="5"/>
      <c r="AL2261" s="11" t="s">
        <v>2080</v>
      </c>
      <c r="AM2261" s="11" t="s">
        <v>10</v>
      </c>
      <c r="AN2261" s="11" t="s">
        <v>85</v>
      </c>
      <c r="AO2261" s="1">
        <v>1</v>
      </c>
    </row>
    <row r="2262" spans="2:42">
      <c r="B2262" s="38"/>
      <c r="AE2262" s="5"/>
      <c r="AL2262" s="11" t="s">
        <v>2081</v>
      </c>
      <c r="AM2262" s="11" t="s">
        <v>10</v>
      </c>
      <c r="AN2262" s="11" t="s">
        <v>85</v>
      </c>
      <c r="AO2262" s="1">
        <v>1</v>
      </c>
    </row>
    <row r="2263" spans="2:42">
      <c r="B2263" s="38"/>
      <c r="X2263" s="16"/>
      <c r="Y2263" s="16"/>
      <c r="Z2263" s="16"/>
      <c r="AA2263" s="16"/>
      <c r="AB2263" s="16"/>
      <c r="AC2263" s="16"/>
      <c r="AD2263" s="16"/>
      <c r="AE2263" s="7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16"/>
      <c r="AP2263" s="16"/>
    </row>
    <row r="2264" spans="2:42">
      <c r="B2264" s="38"/>
      <c r="AE2264" s="5"/>
    </row>
    <row r="2265" spans="2:42">
      <c r="B2265" s="38"/>
      <c r="X2265" s="11">
        <f>SUM(AC2265,AM2265,AM2279)</f>
        <v>39</v>
      </c>
      <c r="Y2265" s="20" t="s">
        <v>2082</v>
      </c>
      <c r="Z2265" s="42" t="s">
        <v>2083</v>
      </c>
      <c r="AA2265" s="42"/>
      <c r="AB2265" s="42"/>
      <c r="AC2265" s="11">
        <f>COUNTA(AB2266:AB2267)-COUNTIF(Z2266:Z2267,"兼")</f>
        <v>1</v>
      </c>
      <c r="AE2265" s="5"/>
      <c r="AI2265" s="20" t="s">
        <v>2084</v>
      </c>
      <c r="AJ2265" s="42" t="s">
        <v>2085</v>
      </c>
      <c r="AK2265" s="42"/>
      <c r="AL2265" s="42"/>
      <c r="AM2265" s="11">
        <f>COUNTA(AL2266:AL2277)-COUNTIF(AJ2266:AJ2277,"兼")</f>
        <v>12</v>
      </c>
    </row>
    <row r="2266" spans="2:42">
      <c r="B2266" s="38"/>
      <c r="Z2266" s="11" t="s">
        <v>57</v>
      </c>
      <c r="AA2266" s="11" t="s">
        <v>98</v>
      </c>
      <c r="AB2266" s="11" t="s">
        <v>2086</v>
      </c>
      <c r="AC2266" s="11" t="s">
        <v>10</v>
      </c>
      <c r="AD2266" s="11" t="s">
        <v>43</v>
      </c>
      <c r="AE2266" s="40">
        <v>0.2</v>
      </c>
      <c r="AK2266" s="11" t="s">
        <v>1209</v>
      </c>
      <c r="AL2266" s="11" t="s">
        <v>2087</v>
      </c>
      <c r="AM2266" s="11" t="s">
        <v>10</v>
      </c>
      <c r="AN2266" s="11" t="s">
        <v>85</v>
      </c>
      <c r="AO2266" s="1">
        <v>1</v>
      </c>
    </row>
    <row r="2267" spans="2:42">
      <c r="B2267" s="38"/>
      <c r="AA2267" s="11" t="s">
        <v>186</v>
      </c>
      <c r="AB2267" s="11" t="s">
        <v>2088</v>
      </c>
      <c r="AC2267" s="11" t="s">
        <v>10</v>
      </c>
      <c r="AD2267" s="11" t="s">
        <v>223</v>
      </c>
      <c r="AE2267" s="40">
        <v>1</v>
      </c>
      <c r="AL2267" s="11" t="s">
        <v>2089</v>
      </c>
      <c r="AM2267" s="11" t="s">
        <v>10</v>
      </c>
      <c r="AN2267" s="11" t="s">
        <v>85</v>
      </c>
      <c r="AO2267" s="1">
        <v>1</v>
      </c>
    </row>
    <row r="2268" spans="2:42">
      <c r="B2268" s="38"/>
      <c r="AE2268" s="5"/>
      <c r="AL2268" s="11" t="s">
        <v>2090</v>
      </c>
      <c r="AM2268" s="11" t="s">
        <v>10</v>
      </c>
      <c r="AN2268" s="11" t="s">
        <v>85</v>
      </c>
      <c r="AO2268" s="1">
        <v>1</v>
      </c>
    </row>
    <row r="2269" spans="2:42">
      <c r="B2269" s="38"/>
      <c r="AE2269" s="5"/>
      <c r="AL2269" s="11" t="s">
        <v>2091</v>
      </c>
      <c r="AM2269" s="11" t="s">
        <v>10</v>
      </c>
      <c r="AN2269" s="11" t="s">
        <v>85</v>
      </c>
      <c r="AO2269" s="1">
        <v>1</v>
      </c>
    </row>
    <row r="2270" spans="2:42">
      <c r="B2270" s="38"/>
      <c r="AE2270" s="5"/>
      <c r="AL2270" s="11" t="s">
        <v>2092</v>
      </c>
      <c r="AM2270" s="11" t="s">
        <v>10</v>
      </c>
      <c r="AN2270" s="11" t="s">
        <v>85</v>
      </c>
      <c r="AO2270" s="1">
        <v>1</v>
      </c>
    </row>
    <row r="2271" spans="2:42">
      <c r="B2271" s="38"/>
      <c r="AE2271" s="5"/>
      <c r="AL2271" s="11" t="s">
        <v>2093</v>
      </c>
      <c r="AM2271" s="11" t="s">
        <v>10</v>
      </c>
      <c r="AN2271" s="11" t="s">
        <v>85</v>
      </c>
      <c r="AO2271" s="1">
        <v>1</v>
      </c>
    </row>
    <row r="2272" spans="2:42">
      <c r="B2272" s="38"/>
      <c r="AE2272" s="5"/>
      <c r="AL2272" s="11" t="s">
        <v>2094</v>
      </c>
      <c r="AM2272" s="11" t="s">
        <v>10</v>
      </c>
      <c r="AN2272" s="11" t="s">
        <v>85</v>
      </c>
      <c r="AO2272" s="1">
        <v>1</v>
      </c>
    </row>
    <row r="2273" spans="2:41">
      <c r="B2273" s="38"/>
      <c r="AE2273" s="5"/>
      <c r="AL2273" s="11" t="s">
        <v>2095</v>
      </c>
      <c r="AM2273" s="11" t="s">
        <v>10</v>
      </c>
      <c r="AN2273" s="11" t="s">
        <v>85</v>
      </c>
      <c r="AO2273" s="1">
        <v>1</v>
      </c>
    </row>
    <row r="2274" spans="2:41">
      <c r="B2274" s="38"/>
      <c r="AE2274" s="5"/>
      <c r="AL2274" s="11" t="s">
        <v>2096</v>
      </c>
      <c r="AM2274" s="11" t="s">
        <v>10</v>
      </c>
      <c r="AN2274" s="11" t="s">
        <v>85</v>
      </c>
      <c r="AO2274" s="1">
        <v>1</v>
      </c>
    </row>
    <row r="2275" spans="2:41">
      <c r="B2275" s="38"/>
      <c r="AE2275" s="5"/>
      <c r="AL2275" s="11" t="s">
        <v>2097</v>
      </c>
      <c r="AM2275" s="11" t="s">
        <v>10</v>
      </c>
      <c r="AN2275" s="11" t="s">
        <v>85</v>
      </c>
      <c r="AO2275" s="1">
        <v>1</v>
      </c>
    </row>
    <row r="2276" spans="2:41">
      <c r="B2276" s="38"/>
      <c r="AE2276" s="5"/>
      <c r="AL2276" s="11" t="s">
        <v>2098</v>
      </c>
      <c r="AM2276" s="11" t="s">
        <v>10</v>
      </c>
      <c r="AN2276" s="11" t="s">
        <v>85</v>
      </c>
      <c r="AO2276" s="1">
        <v>1</v>
      </c>
    </row>
    <row r="2277" spans="2:41">
      <c r="B2277" s="38"/>
      <c r="AE2277" s="5"/>
      <c r="AL2277" s="11" t="s">
        <v>546</v>
      </c>
      <c r="AM2277" s="11" t="s">
        <v>10</v>
      </c>
      <c r="AN2277" s="11" t="s">
        <v>78</v>
      </c>
      <c r="AO2277" s="1">
        <v>1</v>
      </c>
    </row>
    <row r="2278" spans="2:41">
      <c r="B2278" s="38"/>
      <c r="AE2278" s="5"/>
    </row>
    <row r="2279" spans="2:41">
      <c r="B2279" s="38"/>
      <c r="AE2279" s="5"/>
      <c r="AI2279" s="20" t="s">
        <v>2099</v>
      </c>
      <c r="AJ2279" s="42" t="s">
        <v>2066</v>
      </c>
      <c r="AK2279" s="42"/>
      <c r="AL2279" s="42"/>
      <c r="AM2279" s="11">
        <f>COUNTA(AL2280:AL2305)-COUNTIF(AJ2280:AJ2305,"兼")</f>
        <v>26</v>
      </c>
    </row>
    <row r="2280" spans="2:41">
      <c r="B2280" s="38"/>
      <c r="AE2280" s="5"/>
      <c r="AK2280" s="11" t="s">
        <v>1209</v>
      </c>
      <c r="AL2280" s="11" t="s">
        <v>2100</v>
      </c>
      <c r="AM2280" s="11" t="s">
        <v>10</v>
      </c>
      <c r="AN2280" s="11" t="s">
        <v>85</v>
      </c>
      <c r="AO2280" s="1">
        <v>1</v>
      </c>
    </row>
    <row r="2281" spans="2:41">
      <c r="B2281" s="38"/>
      <c r="AE2281" s="5"/>
      <c r="AL2281" s="11" t="s">
        <v>2101</v>
      </c>
      <c r="AM2281" s="11" t="s">
        <v>10</v>
      </c>
      <c r="AN2281" s="11" t="s">
        <v>43</v>
      </c>
      <c r="AO2281" s="1">
        <v>1</v>
      </c>
    </row>
    <row r="2282" spans="2:41">
      <c r="B2282" s="38"/>
      <c r="AE2282" s="5"/>
      <c r="AL2282" s="11" t="s">
        <v>2102</v>
      </c>
      <c r="AM2282" s="11" t="s">
        <v>10</v>
      </c>
      <c r="AN2282" s="11" t="s">
        <v>85</v>
      </c>
      <c r="AO2282" s="1">
        <v>1</v>
      </c>
    </row>
    <row r="2283" spans="2:41">
      <c r="B2283" s="38"/>
      <c r="AE2283" s="5"/>
      <c r="AL2283" s="11" t="s">
        <v>2103</v>
      </c>
      <c r="AM2283" s="11" t="s">
        <v>10</v>
      </c>
      <c r="AN2283" s="11" t="s">
        <v>85</v>
      </c>
      <c r="AO2283" s="1">
        <v>1</v>
      </c>
    </row>
    <row r="2284" spans="2:41">
      <c r="B2284" s="38"/>
      <c r="AE2284" s="5"/>
      <c r="AL2284" s="11" t="s">
        <v>2104</v>
      </c>
      <c r="AM2284" s="11" t="s">
        <v>10</v>
      </c>
      <c r="AN2284" s="11" t="s">
        <v>85</v>
      </c>
      <c r="AO2284" s="1">
        <v>1</v>
      </c>
    </row>
    <row r="2285" spans="2:41">
      <c r="B2285" s="38"/>
      <c r="AE2285" s="5"/>
      <c r="AL2285" s="11" t="s">
        <v>2105</v>
      </c>
      <c r="AM2285" s="11" t="s">
        <v>10</v>
      </c>
      <c r="AN2285" s="11" t="s">
        <v>85</v>
      </c>
      <c r="AO2285" s="1">
        <v>1</v>
      </c>
    </row>
    <row r="2286" spans="2:41">
      <c r="B2286" s="38"/>
      <c r="AE2286" s="5"/>
      <c r="AL2286" s="11" t="s">
        <v>2106</v>
      </c>
      <c r="AM2286" s="11" t="s">
        <v>10</v>
      </c>
      <c r="AN2286" s="11" t="s">
        <v>85</v>
      </c>
      <c r="AO2286" s="1">
        <v>1</v>
      </c>
    </row>
    <row r="2287" spans="2:41">
      <c r="B2287" s="38"/>
      <c r="AE2287" s="5"/>
      <c r="AL2287" s="11" t="s">
        <v>2107</v>
      </c>
      <c r="AM2287" s="11" t="s">
        <v>10</v>
      </c>
      <c r="AN2287" s="11" t="s">
        <v>85</v>
      </c>
      <c r="AO2287" s="1">
        <v>1</v>
      </c>
    </row>
    <row r="2288" spans="2:41">
      <c r="B2288" s="38"/>
      <c r="AE2288" s="5"/>
      <c r="AL2288" s="11" t="s">
        <v>2108</v>
      </c>
      <c r="AM2288" s="11" t="s">
        <v>10</v>
      </c>
      <c r="AN2288" s="11" t="s">
        <v>85</v>
      </c>
      <c r="AO2288" s="1">
        <v>1</v>
      </c>
    </row>
    <row r="2289" spans="2:41">
      <c r="B2289" s="38"/>
      <c r="AE2289" s="5"/>
      <c r="AL2289" s="11" t="s">
        <v>2109</v>
      </c>
      <c r="AM2289" s="11" t="s">
        <v>10</v>
      </c>
      <c r="AN2289" s="11" t="s">
        <v>85</v>
      </c>
      <c r="AO2289" s="1">
        <v>1</v>
      </c>
    </row>
    <row r="2290" spans="2:41">
      <c r="B2290" s="38"/>
      <c r="AE2290" s="5"/>
      <c r="AL2290" s="11" t="s">
        <v>2110</v>
      </c>
      <c r="AM2290" s="11" t="s">
        <v>10</v>
      </c>
      <c r="AN2290" s="11" t="s">
        <v>85</v>
      </c>
      <c r="AO2290" s="1">
        <v>1</v>
      </c>
    </row>
    <row r="2291" spans="2:41">
      <c r="B2291" s="38"/>
      <c r="AE2291" s="5"/>
      <c r="AL2291" s="11" t="s">
        <v>2111</v>
      </c>
      <c r="AM2291" s="11" t="s">
        <v>10</v>
      </c>
      <c r="AN2291" s="11" t="s">
        <v>85</v>
      </c>
      <c r="AO2291" s="1">
        <v>1</v>
      </c>
    </row>
    <row r="2292" spans="2:41">
      <c r="B2292" s="38"/>
      <c r="AE2292" s="5"/>
      <c r="AL2292" s="11" t="s">
        <v>2112</v>
      </c>
      <c r="AM2292" s="11" t="s">
        <v>10</v>
      </c>
      <c r="AN2292" s="11" t="s">
        <v>85</v>
      </c>
      <c r="AO2292" s="1">
        <v>1</v>
      </c>
    </row>
    <row r="2293" spans="2:41">
      <c r="B2293" s="38"/>
      <c r="AE2293" s="5"/>
      <c r="AL2293" s="11" t="s">
        <v>2113</v>
      </c>
      <c r="AM2293" s="11" t="s">
        <v>10</v>
      </c>
      <c r="AN2293" s="11" t="s">
        <v>85</v>
      </c>
      <c r="AO2293" s="1">
        <v>1</v>
      </c>
    </row>
    <row r="2294" spans="2:41">
      <c r="B2294" s="38"/>
      <c r="AE2294" s="5"/>
      <c r="AL2294" s="11" t="s">
        <v>2114</v>
      </c>
      <c r="AM2294" s="11" t="s">
        <v>10</v>
      </c>
      <c r="AN2294" s="11" t="s">
        <v>85</v>
      </c>
      <c r="AO2294" s="1">
        <v>1</v>
      </c>
    </row>
    <row r="2295" spans="2:41">
      <c r="B2295" s="38"/>
      <c r="AE2295" s="5"/>
      <c r="AL2295" s="11" t="s">
        <v>2115</v>
      </c>
      <c r="AM2295" s="11" t="s">
        <v>10</v>
      </c>
      <c r="AN2295" s="11" t="s">
        <v>85</v>
      </c>
      <c r="AO2295" s="1">
        <v>1</v>
      </c>
    </row>
    <row r="2296" spans="2:41">
      <c r="B2296" s="38"/>
      <c r="AE2296" s="5"/>
      <c r="AL2296" s="11" t="s">
        <v>2116</v>
      </c>
      <c r="AM2296" s="11" t="s">
        <v>10</v>
      </c>
      <c r="AN2296" s="11" t="s">
        <v>85</v>
      </c>
      <c r="AO2296" s="1">
        <v>1</v>
      </c>
    </row>
    <row r="2297" spans="2:41">
      <c r="B2297" s="38"/>
      <c r="AE2297" s="5"/>
      <c r="AL2297" s="11" t="s">
        <v>2117</v>
      </c>
      <c r="AM2297" s="11" t="s">
        <v>10</v>
      </c>
      <c r="AN2297" s="11" t="s">
        <v>85</v>
      </c>
      <c r="AO2297" s="1">
        <v>1</v>
      </c>
    </row>
    <row r="2298" spans="2:41">
      <c r="B2298" s="38"/>
      <c r="AE2298" s="5"/>
      <c r="AL2298" s="11" t="s">
        <v>2118</v>
      </c>
      <c r="AM2298" s="11" t="s">
        <v>10</v>
      </c>
      <c r="AN2298" s="11" t="s">
        <v>85</v>
      </c>
      <c r="AO2298" s="1">
        <v>1</v>
      </c>
    </row>
    <row r="2299" spans="2:41">
      <c r="B2299" s="38"/>
      <c r="AE2299" s="5"/>
      <c r="AL2299" s="11" t="s">
        <v>2119</v>
      </c>
      <c r="AM2299" s="11" t="s">
        <v>10</v>
      </c>
      <c r="AN2299" s="11" t="s">
        <v>85</v>
      </c>
      <c r="AO2299" s="1">
        <v>1</v>
      </c>
    </row>
    <row r="2300" spans="2:41">
      <c r="B2300" s="38"/>
      <c r="AE2300" s="5"/>
      <c r="AL2300" s="11" t="s">
        <v>2120</v>
      </c>
      <c r="AM2300" s="11" t="s">
        <v>10</v>
      </c>
      <c r="AN2300" s="11" t="s">
        <v>85</v>
      </c>
      <c r="AO2300" s="1">
        <v>1</v>
      </c>
    </row>
    <row r="2301" spans="2:41">
      <c r="B2301" s="38"/>
      <c r="AE2301" s="5"/>
      <c r="AL2301" s="11" t="s">
        <v>2121</v>
      </c>
      <c r="AM2301" s="11" t="s">
        <v>10</v>
      </c>
      <c r="AN2301" s="11" t="s">
        <v>85</v>
      </c>
      <c r="AO2301" s="1">
        <v>1</v>
      </c>
    </row>
    <row r="2302" spans="2:41">
      <c r="B2302" s="38"/>
      <c r="AE2302" s="5"/>
      <c r="AL2302" s="11" t="s">
        <v>640</v>
      </c>
      <c r="AM2302" s="11" t="s">
        <v>10</v>
      </c>
      <c r="AN2302" s="11" t="s">
        <v>223</v>
      </c>
      <c r="AO2302" s="40">
        <v>1</v>
      </c>
    </row>
    <row r="2303" spans="2:41">
      <c r="B2303" s="38"/>
      <c r="AE2303" s="5"/>
      <c r="AL2303" s="11" t="s">
        <v>641</v>
      </c>
      <c r="AM2303" s="11" t="s">
        <v>10</v>
      </c>
      <c r="AN2303" s="11" t="s">
        <v>223</v>
      </c>
      <c r="AO2303" s="40">
        <v>1</v>
      </c>
    </row>
    <row r="2304" spans="2:41">
      <c r="B2304" s="38"/>
      <c r="AE2304" s="5"/>
      <c r="AL2304" s="11" t="s">
        <v>643</v>
      </c>
      <c r="AM2304" s="11" t="s">
        <v>10</v>
      </c>
      <c r="AN2304" s="11" t="s">
        <v>223</v>
      </c>
      <c r="AO2304" s="40">
        <v>1</v>
      </c>
    </row>
    <row r="2305" spans="2:42">
      <c r="B2305" s="38"/>
      <c r="AE2305" s="5"/>
      <c r="AL2305" s="11" t="s">
        <v>644</v>
      </c>
      <c r="AM2305" s="11" t="s">
        <v>10</v>
      </c>
      <c r="AN2305" s="11" t="s">
        <v>223</v>
      </c>
      <c r="AO2305" s="40">
        <v>1</v>
      </c>
    </row>
    <row r="2306" spans="2:42">
      <c r="B2306" s="38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7"/>
      <c r="AF2306" s="16"/>
      <c r="AG2306" s="16"/>
      <c r="AH2306" s="16"/>
      <c r="AI2306" s="16"/>
      <c r="AJ2306" s="16"/>
      <c r="AK2306" s="16"/>
      <c r="AL2306" s="16"/>
      <c r="AM2306" s="16"/>
      <c r="AN2306" s="16"/>
      <c r="AO2306" s="16"/>
      <c r="AP2306" s="16"/>
    </row>
    <row r="2307" spans="2:42">
      <c r="B2307" s="38"/>
      <c r="AE2307" s="5"/>
    </row>
    <row r="2308" spans="2:42">
      <c r="B2308" s="38"/>
      <c r="O2308" s="20" t="s">
        <v>2122</v>
      </c>
      <c r="P2308" s="42" t="s">
        <v>2123</v>
      </c>
      <c r="Q2308" s="42"/>
      <c r="R2308" s="42"/>
      <c r="S2308" s="11">
        <f>COUNTA(R2309:R2347)-COUNTIF(P2309:P2347,"兼")</f>
        <v>38</v>
      </c>
      <c r="AE2308" s="5"/>
    </row>
    <row r="2309" spans="2:42">
      <c r="B2309" s="38"/>
      <c r="O2309" s="25"/>
      <c r="P2309" s="11" t="s">
        <v>57</v>
      </c>
      <c r="Q2309" s="11" t="s">
        <v>1542</v>
      </c>
      <c r="R2309" s="11" t="s">
        <v>2218</v>
      </c>
      <c r="S2309" s="11" t="s">
        <v>10</v>
      </c>
      <c r="T2309" s="11" t="s">
        <v>11</v>
      </c>
      <c r="U2309" s="1">
        <v>0</v>
      </c>
      <c r="AE2309" s="5"/>
    </row>
    <row r="2310" spans="2:42">
      <c r="B2310" s="38"/>
      <c r="R2310" s="11" t="s">
        <v>2128</v>
      </c>
      <c r="S2310" s="11" t="s">
        <v>684</v>
      </c>
      <c r="T2310" s="11" t="s">
        <v>43</v>
      </c>
      <c r="U2310" s="1">
        <v>1</v>
      </c>
      <c r="V2310" s="11" t="s">
        <v>2228</v>
      </c>
    </row>
    <row r="2311" spans="2:42">
      <c r="B2311" s="38"/>
      <c r="R2311" s="11" t="s">
        <v>2130</v>
      </c>
      <c r="S2311" s="11" t="s">
        <v>684</v>
      </c>
      <c r="T2311" s="11" t="s">
        <v>43</v>
      </c>
      <c r="U2311" s="1">
        <v>1</v>
      </c>
      <c r="V2311" s="11" t="s">
        <v>2215</v>
      </c>
      <c r="AE2311" s="5"/>
    </row>
    <row r="2312" spans="2:42">
      <c r="B2312" s="38"/>
      <c r="R2312" s="11" t="s">
        <v>2132</v>
      </c>
      <c r="S2312" s="11" t="s">
        <v>684</v>
      </c>
      <c r="T2312" s="11" t="s">
        <v>43</v>
      </c>
      <c r="U2312" s="1">
        <v>1</v>
      </c>
      <c r="V2312" s="11" t="s">
        <v>2215</v>
      </c>
      <c r="AE2312" s="5"/>
    </row>
    <row r="2313" spans="2:42">
      <c r="B2313" s="38"/>
      <c r="R2313" s="11" t="s">
        <v>2124</v>
      </c>
      <c r="S2313" s="11" t="s">
        <v>684</v>
      </c>
      <c r="T2313" s="11" t="s">
        <v>43</v>
      </c>
      <c r="U2313" s="40">
        <v>1</v>
      </c>
      <c r="V2313" s="11" t="s">
        <v>2215</v>
      </c>
      <c r="AE2313" s="5"/>
      <c r="AO2313" s="1">
        <v>1</v>
      </c>
    </row>
    <row r="2314" spans="2:42">
      <c r="B2314" s="38"/>
      <c r="R2314" s="11" t="s">
        <v>2126</v>
      </c>
      <c r="S2314" s="11" t="s">
        <v>684</v>
      </c>
      <c r="T2314" s="11" t="s">
        <v>43</v>
      </c>
      <c r="U2314" s="40">
        <v>1</v>
      </c>
      <c r="V2314" s="11" t="s">
        <v>2215</v>
      </c>
      <c r="AE2314" s="5"/>
    </row>
    <row r="2315" spans="2:42">
      <c r="B2315" s="38"/>
      <c r="R2315" s="11" t="s">
        <v>2125</v>
      </c>
      <c r="S2315" s="11" t="s">
        <v>684</v>
      </c>
      <c r="T2315" s="11" t="s">
        <v>43</v>
      </c>
      <c r="U2315" s="1">
        <v>1</v>
      </c>
      <c r="V2315" s="11" t="s">
        <v>2215</v>
      </c>
      <c r="AE2315" s="5"/>
    </row>
    <row r="2316" spans="2:42">
      <c r="B2316" s="38"/>
      <c r="R2316" s="11" t="s">
        <v>2127</v>
      </c>
      <c r="S2316" s="11" t="s">
        <v>684</v>
      </c>
      <c r="T2316" s="11" t="s">
        <v>43</v>
      </c>
      <c r="U2316" s="1">
        <v>1</v>
      </c>
      <c r="V2316" s="11" t="s">
        <v>2215</v>
      </c>
    </row>
    <row r="2317" spans="2:42">
      <c r="B2317" s="38"/>
      <c r="R2317" s="11" t="s">
        <v>2129</v>
      </c>
      <c r="S2317" s="11" t="s">
        <v>684</v>
      </c>
      <c r="T2317" s="11" t="s">
        <v>43</v>
      </c>
      <c r="U2317" s="1">
        <v>1</v>
      </c>
      <c r="V2317" s="11" t="s">
        <v>2215</v>
      </c>
    </row>
    <row r="2318" spans="2:42">
      <c r="B2318" s="38"/>
      <c r="R2318" s="11" t="s">
        <v>2131</v>
      </c>
      <c r="S2318" s="11" t="s">
        <v>684</v>
      </c>
      <c r="T2318" s="11" t="s">
        <v>43</v>
      </c>
      <c r="U2318" s="1">
        <v>1</v>
      </c>
      <c r="V2318" s="11" t="s">
        <v>2215</v>
      </c>
      <c r="AE2318" s="5"/>
    </row>
    <row r="2319" spans="2:42">
      <c r="B2319" s="38"/>
      <c r="R2319" s="11" t="s">
        <v>2133</v>
      </c>
      <c r="S2319" s="11" t="s">
        <v>684</v>
      </c>
      <c r="T2319" s="11" t="s">
        <v>43</v>
      </c>
      <c r="U2319" s="1">
        <v>1</v>
      </c>
      <c r="V2319" s="11" t="s">
        <v>2215</v>
      </c>
      <c r="AE2319" s="5"/>
    </row>
    <row r="2320" spans="2:42">
      <c r="B2320" s="38"/>
      <c r="R2320" s="11" t="s">
        <v>2207</v>
      </c>
      <c r="S2320" s="11" t="s">
        <v>684</v>
      </c>
      <c r="T2320" s="11" t="s">
        <v>43</v>
      </c>
      <c r="U2320" s="1">
        <v>1</v>
      </c>
      <c r="V2320" s="11" t="s">
        <v>2215</v>
      </c>
      <c r="AE2320" s="5"/>
    </row>
    <row r="2321" spans="2:31">
      <c r="B2321" s="38"/>
      <c r="R2321" s="11" t="s">
        <v>2134</v>
      </c>
      <c r="S2321" s="11" t="s">
        <v>684</v>
      </c>
      <c r="T2321" s="11" t="s">
        <v>43</v>
      </c>
      <c r="U2321" s="1">
        <v>1</v>
      </c>
      <c r="V2321" s="11" t="s">
        <v>2215</v>
      </c>
      <c r="AE2321" s="5"/>
    </row>
    <row r="2322" spans="2:31">
      <c r="B2322" s="38"/>
      <c r="R2322" s="11" t="s">
        <v>2135</v>
      </c>
      <c r="S2322" s="11" t="s">
        <v>684</v>
      </c>
      <c r="T2322" s="11" t="s">
        <v>43</v>
      </c>
      <c r="U2322" s="1">
        <v>1</v>
      </c>
      <c r="V2322" s="11" t="s">
        <v>2215</v>
      </c>
      <c r="AE2322" s="5"/>
    </row>
    <row r="2323" spans="2:31">
      <c r="B2323" s="38"/>
      <c r="R2323" s="11" t="s">
        <v>2136</v>
      </c>
      <c r="S2323" s="11" t="s">
        <v>684</v>
      </c>
      <c r="T2323" s="11" t="s">
        <v>43</v>
      </c>
      <c r="U2323" s="1">
        <v>1</v>
      </c>
      <c r="V2323" s="11" t="s">
        <v>2215</v>
      </c>
      <c r="AE2323" s="5"/>
    </row>
    <row r="2324" spans="2:31">
      <c r="B2324" s="38"/>
      <c r="R2324" s="11" t="s">
        <v>2137</v>
      </c>
      <c r="S2324" s="11" t="s">
        <v>684</v>
      </c>
      <c r="T2324" s="11" t="s">
        <v>43</v>
      </c>
      <c r="U2324" s="1">
        <v>1</v>
      </c>
      <c r="V2324" s="11" t="s">
        <v>2215</v>
      </c>
      <c r="AE2324" s="5"/>
    </row>
    <row r="2325" spans="2:31">
      <c r="B2325" s="38"/>
      <c r="R2325" s="11" t="s">
        <v>2138</v>
      </c>
      <c r="S2325" s="11" t="s">
        <v>684</v>
      </c>
      <c r="T2325" s="11" t="s">
        <v>43</v>
      </c>
      <c r="U2325" s="40">
        <v>1</v>
      </c>
      <c r="V2325" s="11" t="s">
        <v>2215</v>
      </c>
      <c r="AE2325" s="5"/>
    </row>
    <row r="2326" spans="2:31">
      <c r="B2326" s="38"/>
      <c r="R2326" s="11" t="s">
        <v>2139</v>
      </c>
      <c r="S2326" s="11" t="s">
        <v>684</v>
      </c>
      <c r="T2326" s="11" t="s">
        <v>43</v>
      </c>
      <c r="U2326" s="40">
        <v>1</v>
      </c>
      <c r="V2326" s="11" t="s">
        <v>2215</v>
      </c>
      <c r="AE2326" s="5"/>
    </row>
    <row r="2327" spans="2:31">
      <c r="B2327" s="38"/>
      <c r="R2327" s="11" t="s">
        <v>2140</v>
      </c>
      <c r="S2327" s="11" t="s">
        <v>684</v>
      </c>
      <c r="T2327" s="11" t="s">
        <v>43</v>
      </c>
      <c r="U2327" s="1">
        <v>1</v>
      </c>
      <c r="V2327" s="11" t="s">
        <v>2215</v>
      </c>
      <c r="AE2327" s="5"/>
    </row>
    <row r="2328" spans="2:31">
      <c r="B2328" s="38"/>
      <c r="R2328" s="11" t="s">
        <v>2141</v>
      </c>
      <c r="S2328" s="11" t="s">
        <v>684</v>
      </c>
      <c r="T2328" s="11" t="s">
        <v>43</v>
      </c>
      <c r="U2328" s="1">
        <v>1</v>
      </c>
      <c r="V2328" s="11" t="s">
        <v>2215</v>
      </c>
      <c r="AE2328" s="5"/>
    </row>
    <row r="2329" spans="2:31">
      <c r="B2329" s="38"/>
      <c r="R2329" s="11" t="s">
        <v>2142</v>
      </c>
      <c r="S2329" s="11" t="s">
        <v>684</v>
      </c>
      <c r="T2329" s="11" t="s">
        <v>43</v>
      </c>
      <c r="U2329" s="1">
        <v>1</v>
      </c>
      <c r="V2329" s="11" t="s">
        <v>2215</v>
      </c>
      <c r="AE2329" s="5"/>
    </row>
    <row r="2330" spans="2:31">
      <c r="B2330" s="38"/>
      <c r="R2330" s="11" t="s">
        <v>2143</v>
      </c>
      <c r="S2330" s="11" t="s">
        <v>684</v>
      </c>
      <c r="T2330" s="11" t="s">
        <v>43</v>
      </c>
      <c r="U2330" s="1">
        <v>1</v>
      </c>
      <c r="V2330" s="11" t="s">
        <v>2215</v>
      </c>
      <c r="AE2330" s="5"/>
    </row>
    <row r="2331" spans="2:31">
      <c r="B2331" s="38"/>
      <c r="R2331" s="11" t="s">
        <v>2002</v>
      </c>
      <c r="S2331" s="11" t="s">
        <v>684</v>
      </c>
      <c r="T2331" s="11" t="s">
        <v>43</v>
      </c>
      <c r="U2331" s="1">
        <v>1</v>
      </c>
      <c r="V2331" s="11" t="s">
        <v>2215</v>
      </c>
      <c r="AE2331" s="5"/>
    </row>
    <row r="2332" spans="2:31">
      <c r="B2332" s="38"/>
      <c r="R2332" s="11" t="s">
        <v>2144</v>
      </c>
      <c r="S2332" s="11" t="s">
        <v>684</v>
      </c>
      <c r="T2332" s="11" t="s">
        <v>43</v>
      </c>
      <c r="U2332" s="1">
        <v>1</v>
      </c>
      <c r="V2332" s="11" t="s">
        <v>2215</v>
      </c>
    </row>
    <row r="2333" spans="2:31">
      <c r="B2333" s="38"/>
      <c r="R2333" s="11" t="s">
        <v>2206</v>
      </c>
      <c r="S2333" s="11" t="s">
        <v>684</v>
      </c>
      <c r="T2333" s="11" t="s">
        <v>43</v>
      </c>
      <c r="U2333" s="1">
        <v>1</v>
      </c>
      <c r="V2333" s="11" t="s">
        <v>2215</v>
      </c>
      <c r="AE2333" s="5"/>
    </row>
    <row r="2334" spans="2:31">
      <c r="B2334" s="38"/>
      <c r="R2334" s="11" t="s">
        <v>2145</v>
      </c>
      <c r="S2334" s="11" t="s">
        <v>684</v>
      </c>
      <c r="T2334" s="11" t="s">
        <v>43</v>
      </c>
      <c r="U2334" s="1">
        <v>1</v>
      </c>
      <c r="V2334" s="11" t="s">
        <v>2215</v>
      </c>
    </row>
    <row r="2335" spans="2:31">
      <c r="B2335" s="38"/>
      <c r="R2335" s="11" t="s">
        <v>2216</v>
      </c>
      <c r="S2335" s="11" t="s">
        <v>684</v>
      </c>
      <c r="T2335" s="11" t="s">
        <v>43</v>
      </c>
      <c r="U2335" s="1">
        <v>1</v>
      </c>
      <c r="V2335" s="11" t="s">
        <v>2215</v>
      </c>
    </row>
    <row r="2336" spans="2:31">
      <c r="B2336" s="38"/>
      <c r="R2336" s="11" t="s">
        <v>2147</v>
      </c>
      <c r="S2336" s="11" t="s">
        <v>684</v>
      </c>
      <c r="T2336" s="11" t="s">
        <v>43</v>
      </c>
      <c r="U2336" s="1">
        <v>1</v>
      </c>
      <c r="V2336" s="11" t="s">
        <v>2215</v>
      </c>
    </row>
    <row r="2337" spans="2:42">
      <c r="B2337" s="38"/>
      <c r="R2337" s="11" t="s">
        <v>2193</v>
      </c>
      <c r="S2337" s="11" t="s">
        <v>684</v>
      </c>
      <c r="T2337" s="11" t="s">
        <v>43</v>
      </c>
      <c r="U2337" s="1">
        <v>1</v>
      </c>
      <c r="V2337" s="11" t="s">
        <v>2215</v>
      </c>
    </row>
    <row r="2338" spans="2:42">
      <c r="B2338" s="38"/>
      <c r="R2338" s="11" t="s">
        <v>2205</v>
      </c>
      <c r="S2338" s="11" t="s">
        <v>684</v>
      </c>
      <c r="T2338" s="11" t="s">
        <v>43</v>
      </c>
      <c r="U2338" s="40">
        <v>1</v>
      </c>
      <c r="V2338" s="11" t="s">
        <v>2215</v>
      </c>
    </row>
    <row r="2339" spans="2:42">
      <c r="B2339" s="38"/>
      <c r="R2339" s="11" t="s">
        <v>2146</v>
      </c>
      <c r="S2339" s="11" t="s">
        <v>684</v>
      </c>
      <c r="T2339" s="11" t="s">
        <v>43</v>
      </c>
      <c r="U2339" s="1">
        <v>1</v>
      </c>
      <c r="V2339" s="11" t="s">
        <v>2215</v>
      </c>
    </row>
    <row r="2340" spans="2:42">
      <c r="B2340" s="38"/>
      <c r="R2340" s="11" t="s">
        <v>2148</v>
      </c>
      <c r="S2340" s="11" t="s">
        <v>684</v>
      </c>
      <c r="T2340" s="11" t="s">
        <v>43</v>
      </c>
      <c r="U2340" s="1">
        <v>1</v>
      </c>
      <c r="V2340" s="11" t="s">
        <v>2215</v>
      </c>
    </row>
    <row r="2341" spans="2:42">
      <c r="B2341" s="38"/>
      <c r="R2341" s="11" t="s">
        <v>2149</v>
      </c>
      <c r="S2341" s="11" t="s">
        <v>684</v>
      </c>
      <c r="T2341" s="11" t="s">
        <v>43</v>
      </c>
      <c r="U2341" s="1">
        <v>1</v>
      </c>
      <c r="V2341" s="11" t="s">
        <v>2215</v>
      </c>
    </row>
    <row r="2342" spans="2:42">
      <c r="B2342" s="38"/>
      <c r="R2342" s="11" t="s">
        <v>2150</v>
      </c>
      <c r="S2342" s="11" t="s">
        <v>684</v>
      </c>
      <c r="T2342" s="11" t="s">
        <v>43</v>
      </c>
      <c r="U2342" s="1">
        <v>1</v>
      </c>
      <c r="V2342" s="11" t="s">
        <v>2215</v>
      </c>
    </row>
    <row r="2343" spans="2:42">
      <c r="B2343" s="38"/>
      <c r="R2343" s="11" t="s">
        <v>2151</v>
      </c>
      <c r="S2343" s="11" t="s">
        <v>684</v>
      </c>
      <c r="T2343" s="11" t="s">
        <v>43</v>
      </c>
      <c r="U2343" s="1">
        <v>1</v>
      </c>
      <c r="V2343" s="11" t="s">
        <v>2215</v>
      </c>
    </row>
    <row r="2344" spans="2:42">
      <c r="B2344" s="38"/>
      <c r="R2344" s="11" t="s">
        <v>2152</v>
      </c>
      <c r="S2344" s="11" t="s">
        <v>684</v>
      </c>
      <c r="T2344" s="11" t="s">
        <v>43</v>
      </c>
      <c r="U2344" s="1">
        <v>1</v>
      </c>
      <c r="V2344" s="11" t="s">
        <v>2215</v>
      </c>
    </row>
    <row r="2345" spans="2:42">
      <c r="B2345" s="38"/>
      <c r="R2345" s="11" t="s">
        <v>2153</v>
      </c>
      <c r="S2345" s="11" t="s">
        <v>684</v>
      </c>
      <c r="T2345" s="11" t="s">
        <v>43</v>
      </c>
      <c r="U2345" s="1">
        <v>1</v>
      </c>
      <c r="V2345" s="11" t="s">
        <v>2215</v>
      </c>
    </row>
    <row r="2346" spans="2:42">
      <c r="B2346" s="38"/>
      <c r="R2346" s="11" t="s">
        <v>2154</v>
      </c>
      <c r="S2346" s="11" t="s">
        <v>684</v>
      </c>
      <c r="T2346" s="11" t="s">
        <v>43</v>
      </c>
      <c r="U2346" s="1">
        <v>1</v>
      </c>
      <c r="V2346" s="11" t="s">
        <v>2215</v>
      </c>
    </row>
    <row r="2347" spans="2:42">
      <c r="B2347" s="38"/>
      <c r="R2347" s="11" t="s">
        <v>2256</v>
      </c>
      <c r="S2347" s="11" t="s">
        <v>684</v>
      </c>
      <c r="T2347" s="11" t="s">
        <v>43</v>
      </c>
      <c r="U2347" s="1">
        <v>1</v>
      </c>
      <c r="V2347" s="11" t="s">
        <v>2228</v>
      </c>
    </row>
    <row r="2348" spans="2:42">
      <c r="B2348" s="38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A2348" s="16"/>
      <c r="AB2348" s="16"/>
      <c r="AC2348" s="16"/>
      <c r="AD2348" s="16"/>
      <c r="AE2348" s="7"/>
      <c r="AF2348" s="16"/>
      <c r="AG2348" s="16"/>
      <c r="AH2348" s="16"/>
      <c r="AI2348" s="16"/>
      <c r="AJ2348" s="16"/>
      <c r="AK2348" s="16"/>
      <c r="AL2348" s="16"/>
      <c r="AM2348" s="16"/>
      <c r="AN2348" s="16"/>
      <c r="AO2348" s="16"/>
      <c r="AP2348" s="16"/>
    </row>
    <row r="2349" spans="2:42">
      <c r="B2349" s="38"/>
      <c r="AE2349" s="5"/>
    </row>
    <row r="2350" spans="2:42">
      <c r="B2350" s="38"/>
      <c r="N2350" s="11">
        <f>SUM(S2350,AM2350,AM2358,AM2363)</f>
        <v>17</v>
      </c>
      <c r="O2350" s="20" t="s">
        <v>2155</v>
      </c>
      <c r="P2350" s="42" t="s">
        <v>2156</v>
      </c>
      <c r="Q2350" s="42"/>
      <c r="R2350" s="42"/>
      <c r="S2350" s="11">
        <f>COUNTA(AB2351:AB2353)-COUNTIF(Z2351:Z2353,"兼")+COUNTA(R2351:R2353)-COUNTIF(P2351:P2353,"兼")</f>
        <v>3</v>
      </c>
      <c r="AE2350" s="5"/>
      <c r="AI2350" s="20" t="s">
        <v>2157</v>
      </c>
      <c r="AJ2350" s="42" t="s">
        <v>2158</v>
      </c>
      <c r="AK2350" s="42"/>
      <c r="AL2350" s="42"/>
      <c r="AM2350" s="11">
        <f>COUNTA(AL2351:AL2356)-COUNTIF(AJ2351:AJ2356,"兼")</f>
        <v>6</v>
      </c>
    </row>
    <row r="2351" spans="2:42">
      <c r="B2351" s="38"/>
      <c r="Q2351" s="11" t="s">
        <v>2159</v>
      </c>
      <c r="R2351" s="11" t="s">
        <v>2160</v>
      </c>
      <c r="S2351" s="11" t="s">
        <v>10</v>
      </c>
      <c r="T2351" s="11" t="s">
        <v>146</v>
      </c>
      <c r="U2351" s="1">
        <v>1</v>
      </c>
      <c r="AA2351" s="11" t="s">
        <v>2161</v>
      </c>
      <c r="AB2351" s="11" t="s">
        <v>2162</v>
      </c>
      <c r="AC2351" s="11" t="s">
        <v>10</v>
      </c>
      <c r="AD2351" s="11" t="s">
        <v>43</v>
      </c>
      <c r="AE2351" s="40">
        <v>1</v>
      </c>
      <c r="AK2351" s="11" t="s">
        <v>1209</v>
      </c>
      <c r="AL2351" s="11" t="s">
        <v>2163</v>
      </c>
      <c r="AM2351" s="11" t="s">
        <v>10</v>
      </c>
      <c r="AN2351" s="11" t="s">
        <v>43</v>
      </c>
      <c r="AO2351" s="1">
        <v>1</v>
      </c>
    </row>
    <row r="2352" spans="2:42">
      <c r="B2352" s="38"/>
      <c r="AA2352" s="11" t="s">
        <v>2161</v>
      </c>
      <c r="AB2352" s="11" t="s">
        <v>2164</v>
      </c>
      <c r="AC2352" s="11" t="s">
        <v>10</v>
      </c>
      <c r="AD2352" s="11" t="s">
        <v>43</v>
      </c>
      <c r="AE2352" s="40">
        <v>0.6</v>
      </c>
      <c r="AL2352" s="11" t="s">
        <v>2165</v>
      </c>
      <c r="AM2352" s="11" t="s">
        <v>10</v>
      </c>
      <c r="AN2352" s="11" t="s">
        <v>43</v>
      </c>
      <c r="AO2352" s="1">
        <v>1</v>
      </c>
    </row>
    <row r="2353" spans="2:41">
      <c r="B2353" s="38"/>
      <c r="AE2353" s="5"/>
      <c r="AL2353" s="11" t="s">
        <v>2166</v>
      </c>
      <c r="AM2353" s="11" t="s">
        <v>10</v>
      </c>
      <c r="AN2353" s="11" t="s">
        <v>43</v>
      </c>
      <c r="AO2353" s="1">
        <v>1</v>
      </c>
    </row>
    <row r="2354" spans="2:41">
      <c r="B2354" s="38"/>
      <c r="AE2354" s="5"/>
      <c r="AL2354" s="11" t="s">
        <v>2167</v>
      </c>
      <c r="AM2354" s="11" t="s">
        <v>10</v>
      </c>
      <c r="AN2354" s="11" t="s">
        <v>43</v>
      </c>
      <c r="AO2354" s="1">
        <v>1</v>
      </c>
    </row>
    <row r="2355" spans="2:41">
      <c r="B2355" s="38"/>
      <c r="AE2355" s="5"/>
      <c r="AL2355" s="11" t="s">
        <v>2168</v>
      </c>
      <c r="AM2355" s="11" t="s">
        <v>10</v>
      </c>
      <c r="AN2355" s="11" t="s">
        <v>43</v>
      </c>
      <c r="AO2355" s="1">
        <v>1</v>
      </c>
    </row>
    <row r="2356" spans="2:41">
      <c r="B2356" s="38"/>
      <c r="AE2356" s="5"/>
      <c r="AL2356" s="11" t="s">
        <v>2212</v>
      </c>
      <c r="AM2356" s="11" t="s">
        <v>10</v>
      </c>
      <c r="AN2356" s="11" t="s">
        <v>43</v>
      </c>
      <c r="AO2356" s="1">
        <v>1</v>
      </c>
    </row>
    <row r="2357" spans="2:41">
      <c r="B2357" s="38"/>
      <c r="AE2357" s="5"/>
    </row>
    <row r="2358" spans="2:41">
      <c r="B2358" s="38"/>
      <c r="AE2358" s="5"/>
      <c r="AI2358" s="20" t="s">
        <v>2169</v>
      </c>
      <c r="AJ2358" s="42" t="s">
        <v>2170</v>
      </c>
      <c r="AK2358" s="42"/>
      <c r="AL2358" s="42"/>
      <c r="AM2358" s="11">
        <f>COUNTA(AL2359:AL2361)-COUNTIF(AJ2359:AJ2361,"兼")</f>
        <v>3</v>
      </c>
    </row>
    <row r="2359" spans="2:41">
      <c r="B2359" s="38"/>
      <c r="AE2359" s="5"/>
      <c r="AK2359" s="11" t="s">
        <v>1209</v>
      </c>
      <c r="AL2359" s="11" t="s">
        <v>2171</v>
      </c>
      <c r="AM2359" s="11" t="s">
        <v>10</v>
      </c>
      <c r="AN2359" s="11" t="s">
        <v>43</v>
      </c>
      <c r="AO2359" s="1">
        <v>1</v>
      </c>
    </row>
    <row r="2360" spans="2:41">
      <c r="B2360" s="38"/>
      <c r="AE2360" s="5"/>
      <c r="AL2360" s="11" t="s">
        <v>627</v>
      </c>
      <c r="AM2360" s="11" t="s">
        <v>10</v>
      </c>
      <c r="AN2360" s="11" t="s">
        <v>43</v>
      </c>
      <c r="AO2360" s="1">
        <v>1</v>
      </c>
    </row>
    <row r="2361" spans="2:41">
      <c r="B2361" s="38"/>
      <c r="AE2361" s="5"/>
      <c r="AL2361" s="11" t="s">
        <v>2172</v>
      </c>
      <c r="AM2361" s="11" t="s">
        <v>10</v>
      </c>
      <c r="AN2361" s="11" t="s">
        <v>43</v>
      </c>
      <c r="AO2361" s="1">
        <v>1</v>
      </c>
    </row>
    <row r="2362" spans="2:41">
      <c r="B2362" s="38"/>
      <c r="AE2362" s="5"/>
    </row>
    <row r="2363" spans="2:41">
      <c r="B2363" s="38"/>
      <c r="AE2363" s="5"/>
      <c r="AI2363" s="20" t="s">
        <v>2173</v>
      </c>
      <c r="AJ2363" s="42" t="s">
        <v>2174</v>
      </c>
      <c r="AK2363" s="42"/>
      <c r="AL2363" s="42"/>
      <c r="AM2363" s="11">
        <f>COUNTA(AL2364:AL2369)-COUNTIF(AJ2364:AJ2369,"兼")</f>
        <v>5</v>
      </c>
    </row>
    <row r="2364" spans="2:41">
      <c r="B2364" s="38"/>
      <c r="AE2364" s="5"/>
      <c r="AJ2364" s="11" t="s">
        <v>57</v>
      </c>
      <c r="AK2364" s="11" t="s">
        <v>1209</v>
      </c>
      <c r="AL2364" s="11" t="s">
        <v>2175</v>
      </c>
      <c r="AM2364" s="11" t="s">
        <v>10</v>
      </c>
      <c r="AN2364" s="11" t="s">
        <v>43</v>
      </c>
      <c r="AO2364" s="1">
        <v>0.4</v>
      </c>
    </row>
    <row r="2365" spans="2:41">
      <c r="B2365" s="38"/>
      <c r="AE2365" s="5"/>
      <c r="AL2365" s="11" t="s">
        <v>2176</v>
      </c>
      <c r="AM2365" s="11" t="s">
        <v>10</v>
      </c>
      <c r="AN2365" s="11" t="s">
        <v>43</v>
      </c>
      <c r="AO2365" s="1">
        <v>1</v>
      </c>
    </row>
    <row r="2366" spans="2:41">
      <c r="B2366" s="38"/>
      <c r="AE2366" s="5"/>
      <c r="AL2366" s="11" t="s">
        <v>2177</v>
      </c>
      <c r="AM2366" s="11" t="s">
        <v>10</v>
      </c>
      <c r="AN2366" s="11" t="s">
        <v>43</v>
      </c>
      <c r="AO2366" s="1">
        <v>1</v>
      </c>
    </row>
    <row r="2367" spans="2:41">
      <c r="B2367" s="38"/>
      <c r="AE2367" s="5"/>
      <c r="AL2367" s="11" t="s">
        <v>2178</v>
      </c>
      <c r="AM2367" s="11" t="s">
        <v>10</v>
      </c>
      <c r="AN2367" s="11" t="s">
        <v>43</v>
      </c>
      <c r="AO2367" s="1">
        <v>1</v>
      </c>
    </row>
    <row r="2368" spans="2:41">
      <c r="B2368" s="38"/>
      <c r="AE2368" s="5"/>
      <c r="AL2368" s="11" t="s">
        <v>2179</v>
      </c>
      <c r="AM2368" s="11" t="s">
        <v>10</v>
      </c>
      <c r="AN2368" s="11" t="s">
        <v>43</v>
      </c>
      <c r="AO2368" s="1">
        <v>1</v>
      </c>
    </row>
    <row r="2369" spans="2:42">
      <c r="B2369" s="38"/>
      <c r="AE2369" s="5"/>
      <c r="AL2369" s="11" t="s">
        <v>2180</v>
      </c>
      <c r="AM2369" s="11" t="s">
        <v>10</v>
      </c>
      <c r="AN2369" s="11" t="s">
        <v>43</v>
      </c>
      <c r="AO2369" s="1">
        <v>1</v>
      </c>
    </row>
    <row r="2370" spans="2:42">
      <c r="B2370" s="38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6"/>
      <c r="AA2370" s="16"/>
      <c r="AB2370" s="16"/>
      <c r="AC2370" s="16"/>
      <c r="AD2370" s="16"/>
      <c r="AE2370" s="7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16"/>
      <c r="AP2370" s="16"/>
    </row>
    <row r="2371" spans="2:42">
      <c r="B2371" s="38"/>
      <c r="AE2371" s="5"/>
    </row>
    <row r="2372" spans="2:42">
      <c r="B2372" s="38"/>
      <c r="N2372" s="11">
        <f>X2372</f>
        <v>3</v>
      </c>
      <c r="P2372" s="11" t="s">
        <v>2181</v>
      </c>
      <c r="X2372" s="11">
        <f>SUM(AC2372)</f>
        <v>3</v>
      </c>
      <c r="Y2372" s="20" t="s">
        <v>2182</v>
      </c>
      <c r="Z2372" s="42" t="s">
        <v>2183</v>
      </c>
      <c r="AA2372" s="42"/>
      <c r="AB2372" s="42"/>
      <c r="AC2372" s="11">
        <f>COUNTA(AB2373:AB2375)-COUNTIF(Z2373:Z2375,"兼")</f>
        <v>3</v>
      </c>
      <c r="AE2372" s="5"/>
    </row>
    <row r="2373" spans="2:42">
      <c r="B2373" s="38"/>
      <c r="AA2373" s="11" t="s">
        <v>76</v>
      </c>
      <c r="AB2373" s="11" t="s">
        <v>2184</v>
      </c>
      <c r="AC2373" s="11" t="s">
        <v>10</v>
      </c>
      <c r="AD2373" s="11" t="s">
        <v>43</v>
      </c>
      <c r="AE2373" s="40">
        <v>0.6</v>
      </c>
    </row>
    <row r="2374" spans="2:42">
      <c r="B2374" s="38"/>
      <c r="AB2374" s="11" t="s">
        <v>2185</v>
      </c>
      <c r="AC2374" s="11" t="s">
        <v>10</v>
      </c>
      <c r="AD2374" s="11" t="s">
        <v>43</v>
      </c>
      <c r="AE2374" s="40">
        <v>1</v>
      </c>
    </row>
    <row r="2375" spans="2:42">
      <c r="B2375" s="38"/>
      <c r="AB2375" s="11" t="s">
        <v>2186</v>
      </c>
      <c r="AC2375" s="11" t="s">
        <v>10</v>
      </c>
      <c r="AD2375" s="11" t="s">
        <v>43</v>
      </c>
      <c r="AE2375" s="40">
        <v>1</v>
      </c>
    </row>
    <row r="2376" spans="2:42">
      <c r="B2376" s="38"/>
      <c r="D2376" s="16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6"/>
      <c r="AA2376" s="16"/>
      <c r="AB2376" s="16"/>
      <c r="AC2376" s="16"/>
      <c r="AD2376" s="16"/>
      <c r="AE2376" s="7"/>
      <c r="AF2376" s="16"/>
      <c r="AG2376" s="16"/>
      <c r="AH2376" s="16"/>
      <c r="AI2376" s="16"/>
      <c r="AJ2376" s="16"/>
      <c r="AK2376" s="16"/>
      <c r="AL2376" s="16"/>
      <c r="AM2376" s="16"/>
      <c r="AN2376" s="16"/>
      <c r="AO2376" s="16"/>
      <c r="AP2376" s="16"/>
    </row>
  </sheetData>
  <mergeCells count="326">
    <mergeCell ref="AJ2195:AL2195"/>
    <mergeCell ref="AJ2200:AL2200"/>
    <mergeCell ref="AJ2207:AL2207"/>
    <mergeCell ref="Z2217:AB2217"/>
    <mergeCell ref="AJ2217:AL2217"/>
    <mergeCell ref="P2226:R2226"/>
    <mergeCell ref="Z2226:AB2226"/>
    <mergeCell ref="AJ2226:AL2226"/>
    <mergeCell ref="P2173:R2173"/>
    <mergeCell ref="Z2173:AB2173"/>
    <mergeCell ref="AJ2173:AL2173"/>
    <mergeCell ref="AJ2179:AL2179"/>
    <mergeCell ref="Z2187:AB2187"/>
    <mergeCell ref="AJ2187:AL2187"/>
    <mergeCell ref="Z2372:AB2372"/>
    <mergeCell ref="P2350:R2350"/>
    <mergeCell ref="AJ2350:AL2350"/>
    <mergeCell ref="P2308:R2308"/>
    <mergeCell ref="AJ2239:AL2239"/>
    <mergeCell ref="Z2246:AB2246"/>
    <mergeCell ref="AJ2246:AL2246"/>
    <mergeCell ref="Z2265:AB2265"/>
    <mergeCell ref="AJ2265:AL2265"/>
    <mergeCell ref="AJ2279:AL2279"/>
    <mergeCell ref="AJ2358:AL2358"/>
    <mergeCell ref="AJ2363:AL2363"/>
    <mergeCell ref="AJ2134:AL2134"/>
    <mergeCell ref="AJ2139:AL2139"/>
    <mergeCell ref="Z2145:AB2145"/>
    <mergeCell ref="AJ2145:AL2145"/>
    <mergeCell ref="AJ2154:AL2154"/>
    <mergeCell ref="AJ2164:AL2164"/>
    <mergeCell ref="Z2098:AB2098"/>
    <mergeCell ref="AJ2098:AL2098"/>
    <mergeCell ref="AJ2108:AL2108"/>
    <mergeCell ref="AJ2117:AL2117"/>
    <mergeCell ref="Z2124:AB2124"/>
    <mergeCell ref="AJ2124:AL2124"/>
    <mergeCell ref="Z2068:AB2068"/>
    <mergeCell ref="AJ2068:AL2068"/>
    <mergeCell ref="AJ2074:AL2074"/>
    <mergeCell ref="AJ2079:AL2079"/>
    <mergeCell ref="AJ2085:AL2085"/>
    <mergeCell ref="Z2092:AB2092"/>
    <mergeCell ref="P2052:R2052"/>
    <mergeCell ref="Z2052:AB2052"/>
    <mergeCell ref="AJ2052:AL2052"/>
    <mergeCell ref="P2062:R2062"/>
    <mergeCell ref="Z2062:AB2062"/>
    <mergeCell ref="AJ2062:AL2062"/>
    <mergeCell ref="Z2009:AB2009"/>
    <mergeCell ref="AJ2009:AL2009"/>
    <mergeCell ref="Z2023:AB2023"/>
    <mergeCell ref="Z2032:AB2032"/>
    <mergeCell ref="P2045:R2045"/>
    <mergeCell ref="Z2045:AB2045"/>
    <mergeCell ref="AJ2045:AL2045"/>
    <mergeCell ref="AJ1981:AL1981"/>
    <mergeCell ref="Z1989:AB1989"/>
    <mergeCell ref="AJ1989:AL1989"/>
    <mergeCell ref="Z1997:AB1997"/>
    <mergeCell ref="AJ1997:AL1997"/>
    <mergeCell ref="Z2002:AB2002"/>
    <mergeCell ref="AJ2002:AL2002"/>
    <mergeCell ref="Z1945:AB1945"/>
    <mergeCell ref="Z1952:AB1952"/>
    <mergeCell ref="AJ1952:AL1952"/>
    <mergeCell ref="AJ1961:AL1961"/>
    <mergeCell ref="Z1970:AB1970"/>
    <mergeCell ref="AJ1970:AL1970"/>
    <mergeCell ref="AJ1926:AL1926"/>
    <mergeCell ref="P1932:R1932"/>
    <mergeCell ref="Z1932:AB1932"/>
    <mergeCell ref="P1937:R1937"/>
    <mergeCell ref="Z1937:AB1937"/>
    <mergeCell ref="Z1874:AB1874"/>
    <mergeCell ref="AJ1874:AL1874"/>
    <mergeCell ref="AJ1886:AL1886"/>
    <mergeCell ref="Z1902:AB1902"/>
    <mergeCell ref="AJ1902:AL1902"/>
    <mergeCell ref="AJ1914:AL1914"/>
    <mergeCell ref="AJ1835:AL1835"/>
    <mergeCell ref="Z1849:AB1849"/>
    <mergeCell ref="AJ1849:AL1849"/>
    <mergeCell ref="AJ1861:AL1861"/>
    <mergeCell ref="AJ1867:AL1867"/>
    <mergeCell ref="P1814:R1814"/>
    <mergeCell ref="Z1814:AB1814"/>
    <mergeCell ref="Z1825:AB1825"/>
    <mergeCell ref="AJ1825:AL1825"/>
    <mergeCell ref="P1755:R1755"/>
    <mergeCell ref="Z1755:AB1755"/>
    <mergeCell ref="F1765:H1765"/>
    <mergeCell ref="F1770:H1770"/>
    <mergeCell ref="F1782:H1782"/>
    <mergeCell ref="F1800:H1800"/>
    <mergeCell ref="P1732:R1732"/>
    <mergeCell ref="Z1732:AB1732"/>
    <mergeCell ref="AJ1732:AL1732"/>
    <mergeCell ref="AJ1739:AL1739"/>
    <mergeCell ref="AJ1744:AL1744"/>
    <mergeCell ref="AJ1750:AL1750"/>
    <mergeCell ref="Z1700:AB1700"/>
    <mergeCell ref="AJ1700:AL1700"/>
    <mergeCell ref="Z1717:AB1717"/>
    <mergeCell ref="AJ1717:AL1717"/>
    <mergeCell ref="P1726:R1726"/>
    <mergeCell ref="Z1726:AB1726"/>
    <mergeCell ref="AJ1726:AL1726"/>
    <mergeCell ref="AJ1666:AL1666"/>
    <mergeCell ref="P1677:R1677"/>
    <mergeCell ref="Z1677:AB1677"/>
    <mergeCell ref="AJ1677:AL1677"/>
    <mergeCell ref="P1687:R1687"/>
    <mergeCell ref="Z1687:AB1687"/>
    <mergeCell ref="AJ1687:AL1687"/>
    <mergeCell ref="AJ1694:AL1694"/>
    <mergeCell ref="P1645:R1645"/>
    <mergeCell ref="Z1645:AB1645"/>
    <mergeCell ref="Z1650:AB1650"/>
    <mergeCell ref="AJ1650:AL1650"/>
    <mergeCell ref="AJ1654:AL1654"/>
    <mergeCell ref="Z1660:AB1660"/>
    <mergeCell ref="AJ1660:AL1660"/>
    <mergeCell ref="AJ1680:AL1680"/>
    <mergeCell ref="Z1620:AB1620"/>
    <mergeCell ref="AJ1620:AL1620"/>
    <mergeCell ref="P1634:R1634"/>
    <mergeCell ref="Z1634:AB1634"/>
    <mergeCell ref="Z1639:AB1639"/>
    <mergeCell ref="AJ1639:AL1639"/>
    <mergeCell ref="AJ1577:AL1577"/>
    <mergeCell ref="AJ1585:AL1585"/>
    <mergeCell ref="Z1595:AB1595"/>
    <mergeCell ref="AJ1595:AL1595"/>
    <mergeCell ref="AJ1604:AL1604"/>
    <mergeCell ref="AJ1612:AL1612"/>
    <mergeCell ref="Z1533:AB1533"/>
    <mergeCell ref="AJ1533:AL1533"/>
    <mergeCell ref="Z1543:AB1543"/>
    <mergeCell ref="AJ1543:AL1543"/>
    <mergeCell ref="AJ1557:AL1557"/>
    <mergeCell ref="Z1568:AB1568"/>
    <mergeCell ref="AJ1568:AL1568"/>
    <mergeCell ref="Z1506:AB1506"/>
    <mergeCell ref="AJ1506:AL1506"/>
    <mergeCell ref="AJ1511:AL1511"/>
    <mergeCell ref="Z1523:AB1523"/>
    <mergeCell ref="AJ1523:AL1523"/>
    <mergeCell ref="AJ1529:AL1529"/>
    <mergeCell ref="Z1467:AB1467"/>
    <mergeCell ref="AJ1467:AL1467"/>
    <mergeCell ref="Z1476:AB1476"/>
    <mergeCell ref="AJ1476:AL1476"/>
    <mergeCell ref="Z1489:AB1489"/>
    <mergeCell ref="AJ1489:AL1489"/>
    <mergeCell ref="AJ1451:AL1451"/>
    <mergeCell ref="P1459:R1459"/>
    <mergeCell ref="Z1459:AB1459"/>
    <mergeCell ref="AJ1459:AL1459"/>
    <mergeCell ref="AJ1417:AL1417"/>
    <mergeCell ref="Z1423:AB1423"/>
    <mergeCell ref="AJ1423:AL1423"/>
    <mergeCell ref="AJ1434:AL1434"/>
    <mergeCell ref="P1443:R1443"/>
    <mergeCell ref="Z1443:AB1443"/>
    <mergeCell ref="AJ1443:AL1443"/>
    <mergeCell ref="AJ1382:AL1382"/>
    <mergeCell ref="Z1390:AB1390"/>
    <mergeCell ref="AJ1390:AL1390"/>
    <mergeCell ref="AJ1395:AL1395"/>
    <mergeCell ref="AJ1400:AL1400"/>
    <mergeCell ref="Z1408:AB1408"/>
    <mergeCell ref="AJ1408:AL1408"/>
    <mergeCell ref="F1352:H1352"/>
    <mergeCell ref="P1365:R1365"/>
    <mergeCell ref="Z1365:AB1365"/>
    <mergeCell ref="AJ1365:AL1365"/>
    <mergeCell ref="AJ1369:AL1369"/>
    <mergeCell ref="AJ1376:AL1376"/>
    <mergeCell ref="Z1288:AB1288"/>
    <mergeCell ref="AJ1288:AL1288"/>
    <mergeCell ref="AJ1299:AL1299"/>
    <mergeCell ref="F1307:H1307"/>
    <mergeCell ref="F1312:H1312"/>
    <mergeCell ref="F1325:H1325"/>
    <mergeCell ref="AJ1242:AL1242"/>
    <mergeCell ref="AJ1258:AL1258"/>
    <mergeCell ref="AJ1263:AL1263"/>
    <mergeCell ref="AJ1273:AL1273"/>
    <mergeCell ref="Z1279:AB1279"/>
    <mergeCell ref="AJ1279:AL1279"/>
    <mergeCell ref="AJ1199:AL1199"/>
    <mergeCell ref="AJ1205:AL1205"/>
    <mergeCell ref="AJ1212:AL1212"/>
    <mergeCell ref="Z1224:AB1224"/>
    <mergeCell ref="Z1229:AB1229"/>
    <mergeCell ref="AJ1229:AL1229"/>
    <mergeCell ref="P1188:R1188"/>
    <mergeCell ref="Z1188:AB1188"/>
    <mergeCell ref="AJ1188:AL1188"/>
    <mergeCell ref="P1193:R1193"/>
    <mergeCell ref="Z1193:AB1193"/>
    <mergeCell ref="AJ1193:AL1193"/>
    <mergeCell ref="AJ1131:AL1131"/>
    <mergeCell ref="AJ1144:AL1144"/>
    <mergeCell ref="Z1156:AB1156"/>
    <mergeCell ref="AJ1156:AL1156"/>
    <mergeCell ref="AJ1165:AL1165"/>
    <mergeCell ref="AJ1172:AL1172"/>
    <mergeCell ref="Z1065:AB1065"/>
    <mergeCell ref="AJ1065:AL1065"/>
    <mergeCell ref="AJ1081:AL1081"/>
    <mergeCell ref="AJ1098:AL1098"/>
    <mergeCell ref="AJ1111:AL1111"/>
    <mergeCell ref="Z1119:AB1119"/>
    <mergeCell ref="AJ1119:AL1119"/>
    <mergeCell ref="AJ1021:AL1021"/>
    <mergeCell ref="Z1026:AB1026"/>
    <mergeCell ref="AJ1026:AL1026"/>
    <mergeCell ref="Z1037:AB1037"/>
    <mergeCell ref="AJ1037:AL1037"/>
    <mergeCell ref="Z1051:AB1051"/>
    <mergeCell ref="AJ1051:AL1051"/>
    <mergeCell ref="F997:H997"/>
    <mergeCell ref="F1001:H1001"/>
    <mergeCell ref="F1006:H1006"/>
    <mergeCell ref="P1017:R1017"/>
    <mergeCell ref="Z1017:AB1017"/>
    <mergeCell ref="AJ1017:AL1017"/>
    <mergeCell ref="Z957:AB957"/>
    <mergeCell ref="AJ957:AL957"/>
    <mergeCell ref="AJ965:AL965"/>
    <mergeCell ref="AJ970:AL970"/>
    <mergeCell ref="Z977:AB977"/>
    <mergeCell ref="Z986:AB986"/>
    <mergeCell ref="Z921:AB921"/>
    <mergeCell ref="AJ921:AL921"/>
    <mergeCell ref="AJ935:AL935"/>
    <mergeCell ref="Z944:AB944"/>
    <mergeCell ref="AJ944:AL944"/>
    <mergeCell ref="AJ951:AL951"/>
    <mergeCell ref="Z880:AB880"/>
    <mergeCell ref="AJ880:AL880"/>
    <mergeCell ref="AJ888:AL888"/>
    <mergeCell ref="AJ896:AL896"/>
    <mergeCell ref="AJ904:AL904"/>
    <mergeCell ref="AJ912:AL912"/>
    <mergeCell ref="P841:R841"/>
    <mergeCell ref="Z841:AB841"/>
    <mergeCell ref="Z848:AB848"/>
    <mergeCell ref="AJ848:AL848"/>
    <mergeCell ref="AJ861:AL861"/>
    <mergeCell ref="AJ873:AL873"/>
    <mergeCell ref="F804:H804"/>
    <mergeCell ref="Z804:AB804"/>
    <mergeCell ref="F821:H821"/>
    <mergeCell ref="F825:H825"/>
    <mergeCell ref="F833:H833"/>
    <mergeCell ref="Z836:AB836"/>
    <mergeCell ref="AJ436:AL436"/>
    <mergeCell ref="F480:H480"/>
    <mergeCell ref="Z480:AB480"/>
    <mergeCell ref="F669:H669"/>
    <mergeCell ref="Z669:AB669"/>
    <mergeCell ref="F757:H757"/>
    <mergeCell ref="Z757:AB757"/>
    <mergeCell ref="Z285:AB285"/>
    <mergeCell ref="AJ285:AL285"/>
    <mergeCell ref="AJ303:AL303"/>
    <mergeCell ref="AJ329:AL329"/>
    <mergeCell ref="AJ369:AL369"/>
    <mergeCell ref="AJ403:AL403"/>
    <mergeCell ref="AJ339:AL339"/>
    <mergeCell ref="AJ350:AL350"/>
    <mergeCell ref="Z475:AB475"/>
    <mergeCell ref="AJ255:AL255"/>
    <mergeCell ref="Z263:AB263"/>
    <mergeCell ref="AJ263:AL263"/>
    <mergeCell ref="AJ269:AL269"/>
    <mergeCell ref="AJ274:AL274"/>
    <mergeCell ref="Z279:AB279"/>
    <mergeCell ref="AJ279:AL279"/>
    <mergeCell ref="AJ210:AL210"/>
    <mergeCell ref="AJ217:AL217"/>
    <mergeCell ref="Z226:AB226"/>
    <mergeCell ref="AJ226:AL226"/>
    <mergeCell ref="AJ238:AL238"/>
    <mergeCell ref="Z245:AB245"/>
    <mergeCell ref="AJ245:AL245"/>
    <mergeCell ref="F5:H5"/>
    <mergeCell ref="F24:H24"/>
    <mergeCell ref="F29:H29"/>
    <mergeCell ref="F34:H34"/>
    <mergeCell ref="F40:H40"/>
    <mergeCell ref="F43:H43"/>
    <mergeCell ref="P139:R139"/>
    <mergeCell ref="Z139:AB139"/>
    <mergeCell ref="Z145:AB145"/>
    <mergeCell ref="Z111:AB111"/>
    <mergeCell ref="P118:R118"/>
    <mergeCell ref="Z118:AB118"/>
    <mergeCell ref="F49:H49"/>
    <mergeCell ref="Z86:AB86"/>
    <mergeCell ref="P97:R97"/>
    <mergeCell ref="Z97:AB97"/>
    <mergeCell ref="AJ97:AL97"/>
    <mergeCell ref="AJ104:AL104"/>
    <mergeCell ref="P199:R199"/>
    <mergeCell ref="Z199:AB199"/>
    <mergeCell ref="AJ199:AL199"/>
    <mergeCell ref="P156:R156"/>
    <mergeCell ref="Z156:AB156"/>
    <mergeCell ref="AJ156:AL156"/>
    <mergeCell ref="AJ166:AL166"/>
    <mergeCell ref="Z176:AB176"/>
    <mergeCell ref="AJ176:AL176"/>
    <mergeCell ref="Z125:AB125"/>
    <mergeCell ref="Z184:AB184"/>
    <mergeCell ref="AJ184:AL184"/>
    <mergeCell ref="AJ191:AL191"/>
    <mergeCell ref="Z128:AB128"/>
    <mergeCell ref="Z131:AB131"/>
    <mergeCell ref="Z135:AB135"/>
    <mergeCell ref="AJ111:AL111"/>
    <mergeCell ref="AJ118:AL118"/>
  </mergeCells>
  <phoneticPr fontId="4"/>
  <printOptions horizontalCentered="1"/>
  <pageMargins left="0.19685039370078741" right="0.19685039370078741" top="0.19685039370078741" bottom="0.39370078740157483" header="0" footer="0"/>
  <pageSetup paperSize="8" scale="25" fitToHeight="0" orientation="portrait" horizontalDpi="300" verticalDpi="300" r:id="rId1"/>
  <headerFooter>
    <oddFooter>&amp;P / &amp;N ページ</oddFooter>
  </headerFooter>
  <rowBreaks count="9" manualBreakCount="9">
    <brk id="243" max="44" man="1"/>
    <brk id="478" max="44" man="1"/>
    <brk id="728" max="44" man="1"/>
    <brk id="975" max="44" man="1"/>
    <brk id="1222" max="44" man="1"/>
    <brk id="1465" max="44" man="1"/>
    <brk id="1715" max="44" man="1"/>
    <brk id="1935" max="44" man="1"/>
    <brk id="2171" max="4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統合役割表</vt:lpstr>
      <vt:lpstr>統合役割表!Print_Area</vt:lpstr>
      <vt:lpstr>統合役割表!Print_Titles</vt:lpstr>
    </vt:vector>
  </TitlesOfParts>
  <Manager/>
  <Company>Marubeni IT Solutions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Nakayama Izumi-I-DIGIO</dc:creator>
  <cp:keywords/>
  <dc:description/>
  <cp:lastModifiedBy>Segawa Kenichi-I-DIGIO</cp:lastModifiedBy>
  <cp:revision/>
  <cp:lastPrinted>2025-10-30T09:29:39Z</cp:lastPrinted>
  <dcterms:created xsi:type="dcterms:W3CDTF">2025-04-22T04:40:16Z</dcterms:created>
  <dcterms:modified xsi:type="dcterms:W3CDTF">2025-11-13T03:40:55Z</dcterms:modified>
  <cp:category/>
  <cp:contentStatus/>
</cp:coreProperties>
</file>