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人事部ALL\000　旧組織BOXフォルダからの移行（2024年度まで）\2024年度まで：MSYS\2024年度まで：人事課\JJDATA\健康管理\丸紅健保\インフルエンザ補助\2025年度\"/>
    </mc:Choice>
  </mc:AlternateContent>
  <xr:revisionPtr revIDLastSave="0" documentId="13_ncr:1_{F5969E9C-F993-475E-B38E-E1AAAE4D3350}" xr6:coauthVersionLast="47" xr6:coauthVersionMax="47" xr10:uidLastSave="{00000000-0000-0000-0000-000000000000}"/>
  <bookViews>
    <workbookView xWindow="-110" yWindow="-110" windowWidth="21820" windowHeight="13900" xr2:uid="{052EC9E6-0D41-4AFC-A2A5-01000AE9352B}"/>
  </bookViews>
  <sheets>
    <sheet name="編入事業所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J28" i="3" s="1"/>
  <c r="L23" i="3"/>
  <c r="M23" i="3" s="1"/>
  <c r="K23" i="3"/>
  <c r="L22" i="3"/>
  <c r="M22" i="3" s="1"/>
  <c r="K22" i="3"/>
  <c r="K20" i="3"/>
  <c r="K19" i="3"/>
  <c r="G24" i="3"/>
  <c r="I23" i="3"/>
  <c r="I22" i="3"/>
  <c r="I21" i="3"/>
  <c r="L21" i="3" s="1"/>
  <c r="I20" i="3"/>
  <c r="L20" i="3" s="1"/>
  <c r="I19" i="3"/>
  <c r="L19" i="3" s="1"/>
  <c r="I18" i="3"/>
  <c r="K21" i="3" l="1"/>
  <c r="K24" i="3"/>
  <c r="J27" i="3" s="1"/>
  <c r="M21" i="3"/>
  <c r="G28" i="3"/>
  <c r="M20" i="3"/>
  <c r="M19" i="3"/>
  <c r="L24" i="3"/>
  <c r="I24" i="3"/>
  <c r="D27" i="3"/>
  <c r="M24" i="3" l="1"/>
  <c r="G27" i="3" s="1"/>
</calcChain>
</file>

<file path=xl/sharedStrings.xml><?xml version="1.0" encoding="utf-8"?>
<sst xmlns="http://schemas.openxmlformats.org/spreadsheetml/2006/main" count="45" uniqueCount="44">
  <si>
    <t>◆下記スペースに添付できない場合は裏面をご利用ください。</t>
    <rPh sb="1" eb="3">
      <t>カキ</t>
    </rPh>
    <rPh sb="8" eb="10">
      <t>テンプ</t>
    </rPh>
    <rPh sb="14" eb="16">
      <t>バアイ</t>
    </rPh>
    <rPh sb="17" eb="19">
      <t>リメン</t>
    </rPh>
    <rPh sb="21" eb="23">
      <t>リヨウ</t>
    </rPh>
    <phoneticPr fontId="1"/>
  </si>
  <si>
    <t>◆扶養者分等、領収書が複数ある場合は、各々の内容が分かるように重ねて添付ください。</t>
    <rPh sb="1" eb="4">
      <t>フヨウシャ</t>
    </rPh>
    <rPh sb="4" eb="5">
      <t>ブン</t>
    </rPh>
    <rPh sb="5" eb="6">
      <t>トウ</t>
    </rPh>
    <phoneticPr fontId="1"/>
  </si>
  <si>
    <t>◆領収書に『インフルエンザ予防接種代』と明記してください。</t>
    <rPh sb="1" eb="4">
      <t>リョウシュウショ</t>
    </rPh>
    <rPh sb="13" eb="17">
      <t>ヨボウセッシュ</t>
    </rPh>
    <rPh sb="17" eb="18">
      <t>ダイ</t>
    </rPh>
    <rPh sb="20" eb="22">
      <t>メイキ</t>
    </rPh>
    <phoneticPr fontId="1"/>
  </si>
  <si>
    <t>◆医療機関で発行される領収書オリジナル（コピーは不可とします）を添付してください。</t>
    <rPh sb="1" eb="5">
      <t>イリョウキカン</t>
    </rPh>
    <rPh sb="6" eb="8">
      <t>ハッコウ</t>
    </rPh>
    <rPh sb="11" eb="13">
      <t>リョウシュウ</t>
    </rPh>
    <rPh sb="13" eb="14">
      <t>ショ</t>
    </rPh>
    <rPh sb="24" eb="26">
      <t>フカ</t>
    </rPh>
    <rPh sb="32" eb="34">
      <t>テンプ</t>
    </rPh>
    <phoneticPr fontId="1"/>
  </si>
  <si>
    <t>送付先</t>
    <rPh sb="0" eb="3">
      <t>ソウフサキ</t>
    </rPh>
    <phoneticPr fontId="1"/>
  </si>
  <si>
    <t>まで</t>
    <phoneticPr fontId="1"/>
  </si>
  <si>
    <t>申請期限</t>
    <rPh sb="0" eb="2">
      <t>シンセイ</t>
    </rPh>
    <rPh sb="2" eb="4">
      <t>キゲン</t>
    </rPh>
    <phoneticPr fontId="1"/>
  </si>
  <si>
    <t>うち13歳未満</t>
    <rPh sb="4" eb="5">
      <t>サイ</t>
    </rPh>
    <rPh sb="5" eb="7">
      <t>ミマン</t>
    </rPh>
    <phoneticPr fontId="1"/>
  </si>
  <si>
    <t>うち13歳以上</t>
    <rPh sb="4" eb="5">
      <t>サイ</t>
    </rPh>
    <rPh sb="5" eb="7">
      <t>イジョウ</t>
    </rPh>
    <phoneticPr fontId="1"/>
  </si>
  <si>
    <t>被扶養者補助人数</t>
    <rPh sb="0" eb="1">
      <t>ヒ</t>
    </rPh>
    <rPh sb="1" eb="4">
      <t>フヨウシャ</t>
    </rPh>
    <rPh sb="4" eb="6">
      <t>ホジョ</t>
    </rPh>
    <rPh sb="6" eb="8">
      <t>ニンズウ</t>
    </rPh>
    <phoneticPr fontId="1"/>
  </si>
  <si>
    <t>被扶養者（13歳未満）</t>
    <rPh sb="0" eb="1">
      <t>ヒ</t>
    </rPh>
    <rPh sb="1" eb="4">
      <t>フヨウシャ</t>
    </rPh>
    <rPh sb="7" eb="8">
      <t>サイ</t>
    </rPh>
    <rPh sb="8" eb="10">
      <t>ミマン</t>
    </rPh>
    <phoneticPr fontId="1"/>
  </si>
  <si>
    <t>被扶養者（13歳以上）</t>
    <rPh sb="0" eb="4">
      <t>ヒフヨウシャ</t>
    </rPh>
    <rPh sb="7" eb="8">
      <t>サイ</t>
    </rPh>
    <rPh sb="8" eb="10">
      <t>イジョウ</t>
    </rPh>
    <phoneticPr fontId="1"/>
  </si>
  <si>
    <t>本人</t>
    <rPh sb="0" eb="2">
      <t>ホンニン</t>
    </rPh>
    <phoneticPr fontId="1"/>
  </si>
  <si>
    <t>【補助金額】</t>
    <rPh sb="1" eb="5">
      <t>ホジョキンガク</t>
    </rPh>
    <phoneticPr fontId="1"/>
  </si>
  <si>
    <t>黄色（太枠）部分は自動計算</t>
    <rPh sb="0" eb="2">
      <t>キイロ</t>
    </rPh>
    <rPh sb="3" eb="5">
      <t>フトワク</t>
    </rPh>
    <rPh sb="6" eb="8">
      <t>ブブン</t>
    </rPh>
    <rPh sb="9" eb="13">
      <t>ジドウケイサン</t>
    </rPh>
    <phoneticPr fontId="1"/>
  </si>
  <si>
    <r>
      <t>※13歳未満で2回接種を受ける方は、上記で〇を選択の上、</t>
    </r>
    <r>
      <rPr>
        <u/>
        <sz val="8"/>
        <color theme="1"/>
        <rFont val="游ゴシック"/>
        <family val="3"/>
        <charset val="128"/>
        <scheme val="minor"/>
      </rPr>
      <t>2回接種終了後に</t>
    </r>
    <r>
      <rPr>
        <sz val="8"/>
        <color theme="1"/>
        <rFont val="游ゴシック"/>
        <family val="3"/>
        <charset val="128"/>
        <scheme val="minor"/>
      </rPr>
      <t>申請してください。</t>
    </r>
    <rPh sb="3" eb="6">
      <t>サイミマン</t>
    </rPh>
    <rPh sb="8" eb="9">
      <t>カイ</t>
    </rPh>
    <rPh sb="9" eb="11">
      <t>セッシュ</t>
    </rPh>
    <rPh sb="12" eb="13">
      <t>ウ</t>
    </rPh>
    <rPh sb="15" eb="16">
      <t>カタ</t>
    </rPh>
    <rPh sb="18" eb="20">
      <t>ジョウキ</t>
    </rPh>
    <rPh sb="23" eb="25">
      <t>センタク</t>
    </rPh>
    <rPh sb="26" eb="27">
      <t>ウエ</t>
    </rPh>
    <rPh sb="29" eb="30">
      <t>カイ</t>
    </rPh>
    <rPh sb="30" eb="32">
      <t>セッシュ</t>
    </rPh>
    <rPh sb="32" eb="35">
      <t>シュウリョウゴ</t>
    </rPh>
    <rPh sb="36" eb="38">
      <t>シンセイ</t>
    </rPh>
    <phoneticPr fontId="1"/>
  </si>
  <si>
    <t>②世帯合計補助金額</t>
    <rPh sb="1" eb="3">
      <t>セタイ</t>
    </rPh>
    <rPh sb="3" eb="5">
      <t>ゴウケイ</t>
    </rPh>
    <rPh sb="5" eb="7">
      <t>ホジョ</t>
    </rPh>
    <rPh sb="7" eb="9">
      <t>キンガク</t>
    </rPh>
    <phoneticPr fontId="1"/>
  </si>
  <si>
    <t>①世帯合計支払金額</t>
    <rPh sb="1" eb="3">
      <t>セタイ</t>
    </rPh>
    <rPh sb="3" eb="5">
      <t>ゴウケイ</t>
    </rPh>
    <rPh sb="5" eb="7">
      <t>シハラ</t>
    </rPh>
    <rPh sb="7" eb="9">
      <t>キンガク</t>
    </rPh>
    <phoneticPr fontId="1"/>
  </si>
  <si>
    <t>※被扶養者の接種回数欄は受けた回数を選択またはご記入ください。（１ or ２）</t>
    <rPh sb="1" eb="5">
      <t>ヒフヨウシャ</t>
    </rPh>
    <rPh sb="6" eb="8">
      <t>セッシュ</t>
    </rPh>
    <rPh sb="8" eb="10">
      <t>カイスウ</t>
    </rPh>
    <rPh sb="10" eb="11">
      <t>ラン</t>
    </rPh>
    <rPh sb="12" eb="13">
      <t>ウ</t>
    </rPh>
    <rPh sb="15" eb="17">
      <t>カイスウ</t>
    </rPh>
    <rPh sb="18" eb="20">
      <t>センタク</t>
    </rPh>
    <rPh sb="24" eb="26">
      <t>キニュウ</t>
    </rPh>
    <phoneticPr fontId="1"/>
  </si>
  <si>
    <r>
      <t xml:space="preserve">被扶養者
</t>
    </r>
    <r>
      <rPr>
        <sz val="8"/>
        <color theme="1"/>
        <rFont val="游ゴシック"/>
        <family val="3"/>
        <charset val="128"/>
        <scheme val="minor"/>
      </rPr>
      <t>※接種回数を選択ください
(またはご記入ください)</t>
    </r>
    <rPh sb="0" eb="1">
      <t>ヒ</t>
    </rPh>
    <rPh sb="1" eb="4">
      <t>フヨウシャ</t>
    </rPh>
    <rPh sb="6" eb="10">
      <t>セッシュカイスウ</t>
    </rPh>
    <rPh sb="11" eb="13">
      <t>センタク</t>
    </rPh>
    <rPh sb="23" eb="25">
      <t>キニュウ</t>
    </rPh>
    <phoneticPr fontId="1"/>
  </si>
  <si>
    <t>補助金額</t>
    <rPh sb="0" eb="2">
      <t>ホジョ</t>
    </rPh>
    <rPh sb="2" eb="4">
      <t>キンガク</t>
    </rPh>
    <phoneticPr fontId="1"/>
  </si>
  <si>
    <t>接種費用（合計）</t>
    <rPh sb="0" eb="2">
      <t>セッシュ</t>
    </rPh>
    <rPh sb="2" eb="4">
      <t>ヒヨウ</t>
    </rPh>
    <rPh sb="5" eb="7">
      <t>ゴウケイ</t>
    </rPh>
    <phoneticPr fontId="1"/>
  </si>
  <si>
    <t>接種回数</t>
    <rPh sb="0" eb="2">
      <t>セッシュ</t>
    </rPh>
    <rPh sb="2" eb="4">
      <t>カイスウ</t>
    </rPh>
    <phoneticPr fontId="1"/>
  </si>
  <si>
    <t>13歳未満</t>
    <rPh sb="2" eb="3">
      <t>サイ</t>
    </rPh>
    <rPh sb="3" eb="5">
      <t>ミマン</t>
    </rPh>
    <phoneticPr fontId="1"/>
  </si>
  <si>
    <t>接種者氏名</t>
    <rPh sb="0" eb="2">
      <t>セッシュ</t>
    </rPh>
    <rPh sb="2" eb="3">
      <t>シャ</t>
    </rPh>
    <rPh sb="3" eb="5">
      <t>シメイ</t>
    </rPh>
    <phoneticPr fontId="1"/>
  </si>
  <si>
    <t>②【接種者・費用等記入欄】</t>
    <rPh sb="2" eb="4">
      <t>セッシュ</t>
    </rPh>
    <rPh sb="4" eb="5">
      <t>シャ</t>
    </rPh>
    <rPh sb="6" eb="8">
      <t>ヒヨウ</t>
    </rPh>
    <rPh sb="8" eb="9">
      <t>トウ</t>
    </rPh>
    <rPh sb="9" eb="12">
      <t>キニュウラン</t>
    </rPh>
    <phoneticPr fontId="1"/>
  </si>
  <si>
    <t>連絡先電話</t>
    <rPh sb="0" eb="3">
      <t>レンラクサキ</t>
    </rPh>
    <rPh sb="3" eb="5">
      <t>デンワ</t>
    </rPh>
    <phoneticPr fontId="1"/>
  </si>
  <si>
    <t>所属</t>
    <rPh sb="0" eb="2">
      <t>ショゾク</t>
    </rPh>
    <phoneticPr fontId="1"/>
  </si>
  <si>
    <t>会社名</t>
    <rPh sb="0" eb="2">
      <t>カイシャ</t>
    </rPh>
    <rPh sb="2" eb="3">
      <t>メイ</t>
    </rPh>
    <phoneticPr fontId="1"/>
  </si>
  <si>
    <t>氏名</t>
    <rPh sb="0" eb="2">
      <t>シメイ</t>
    </rPh>
    <phoneticPr fontId="1"/>
  </si>
  <si>
    <t>番号</t>
  </si>
  <si>
    <t>被保険者証記号</t>
    <rPh sb="0" eb="4">
      <t>ヒホケンシャ</t>
    </rPh>
    <rPh sb="4" eb="5">
      <t>ショウ</t>
    </rPh>
    <rPh sb="5" eb="7">
      <t>キゴウ</t>
    </rPh>
    <phoneticPr fontId="1"/>
  </si>
  <si>
    <t>①【申請者の資格記入欄】</t>
    <rPh sb="2" eb="5">
      <t>シンセイシャ</t>
    </rPh>
    <rPh sb="6" eb="8">
      <t>シカク</t>
    </rPh>
    <rPh sb="8" eb="10">
      <t>キニュウ</t>
    </rPh>
    <rPh sb="10" eb="11">
      <t>ラン</t>
    </rPh>
    <phoneticPr fontId="1"/>
  </si>
  <si>
    <t>丸紅健康保険組合行き</t>
    <rPh sb="0" eb="2">
      <t>マルベニ</t>
    </rPh>
    <rPh sb="2" eb="4">
      <t>ケンコウ</t>
    </rPh>
    <rPh sb="4" eb="6">
      <t>ホケン</t>
    </rPh>
    <rPh sb="6" eb="8">
      <t>クミアイ</t>
    </rPh>
    <rPh sb="8" eb="9">
      <t>イキ</t>
    </rPh>
    <phoneticPr fontId="1"/>
  </si>
  <si>
    <t>　　年　　月　　日</t>
    <rPh sb="2" eb="3">
      <t>ネン</t>
    </rPh>
    <rPh sb="5" eb="6">
      <t>ガツ</t>
    </rPh>
    <rPh sb="8" eb="9">
      <t>ニチ</t>
    </rPh>
    <phoneticPr fontId="1"/>
  </si>
  <si>
    <t>提出日</t>
    <rPh sb="0" eb="2">
      <t>テイシュツ</t>
    </rPh>
    <rPh sb="2" eb="3">
      <t>ビ</t>
    </rPh>
    <phoneticPr fontId="1"/>
  </si>
  <si>
    <r>
      <t>（注1）補助金額：</t>
    </r>
    <r>
      <rPr>
        <b/>
        <u/>
        <sz val="9"/>
        <color theme="1"/>
        <rFont val="游ゴシック"/>
        <family val="3"/>
        <charset val="128"/>
        <scheme val="minor"/>
      </rPr>
      <t>被保険者・被扶養者ともに5,000円を上限に実費を補助。</t>
    </r>
    <phoneticPr fontId="1"/>
  </si>
  <si>
    <r>
      <t>（注2）13歳未満のみ2回の接種が推奨されているため、</t>
    </r>
    <r>
      <rPr>
        <b/>
        <u/>
        <sz val="9"/>
        <color theme="1"/>
        <rFont val="游ゴシック"/>
        <family val="3"/>
        <charset val="128"/>
        <scheme val="minor"/>
      </rPr>
      <t>13歳未満は2回分の合算金額について</t>
    </r>
    <r>
      <rPr>
        <sz val="9"/>
        <color theme="1"/>
        <rFont val="游ゴシック"/>
        <family val="2"/>
        <charset val="128"/>
        <scheme val="minor"/>
      </rPr>
      <t>5,000円を上限として補助する。</t>
    </r>
    <phoneticPr fontId="1"/>
  </si>
  <si>
    <t>【2025年度】インフルエンザ予防接種補助金申請書</t>
    <rPh sb="5" eb="7">
      <t>ネンド</t>
    </rPh>
    <rPh sb="15" eb="17">
      <t>ヨボウ</t>
    </rPh>
    <rPh sb="17" eb="19">
      <t>セッシュ</t>
    </rPh>
    <rPh sb="19" eb="21">
      <t>ホジョ</t>
    </rPh>
    <rPh sb="21" eb="22">
      <t>キン</t>
    </rPh>
    <rPh sb="22" eb="25">
      <t>シンセイショ</t>
    </rPh>
    <phoneticPr fontId="1"/>
  </si>
  <si>
    <r>
      <t>（注3）</t>
    </r>
    <r>
      <rPr>
        <u/>
        <sz val="9"/>
        <color theme="1"/>
        <rFont val="游ゴシック"/>
        <family val="3"/>
        <charset val="128"/>
        <scheme val="minor"/>
      </rPr>
      <t>今年度も、</t>
    </r>
    <r>
      <rPr>
        <sz val="9"/>
        <color theme="1"/>
        <rFont val="游ゴシック"/>
        <family val="2"/>
        <charset val="128"/>
        <scheme val="minor"/>
      </rPr>
      <t>経鼻型インフルエンザ（フルミスト）を</t>
    </r>
    <r>
      <rPr>
        <b/>
        <u/>
        <sz val="9"/>
        <color theme="1"/>
        <rFont val="游ゴシック"/>
        <family val="3"/>
        <charset val="128"/>
        <scheme val="minor"/>
      </rPr>
      <t>補助の対象といたします。</t>
    </r>
    <rPh sb="1" eb="2">
      <t>チュウ</t>
    </rPh>
    <rPh sb="4" eb="7">
      <t>コンネンド</t>
    </rPh>
    <rPh sb="9" eb="11">
      <t>ケイビ</t>
    </rPh>
    <rPh sb="11" eb="12">
      <t>ガタ</t>
    </rPh>
    <rPh sb="27" eb="29">
      <t>ホジョ</t>
    </rPh>
    <rPh sb="30" eb="32">
      <t>タイショウ</t>
    </rPh>
    <phoneticPr fontId="1"/>
  </si>
  <si>
    <t>接種期間：2025年9月1日～2026年1月末日まで（13歳以上は年度1回限り）</t>
    <rPh sb="0" eb="2">
      <t>セッシュ</t>
    </rPh>
    <rPh sb="2" eb="4">
      <t>キカン</t>
    </rPh>
    <rPh sb="9" eb="10">
      <t>ネン</t>
    </rPh>
    <rPh sb="11" eb="12">
      <t>ガツ</t>
    </rPh>
    <rPh sb="13" eb="14">
      <t>ニチ</t>
    </rPh>
    <rPh sb="19" eb="20">
      <t>ネン</t>
    </rPh>
    <rPh sb="21" eb="22">
      <t>ガツ</t>
    </rPh>
    <rPh sb="22" eb="23">
      <t>マツ</t>
    </rPh>
    <rPh sb="23" eb="24">
      <t>ジツ</t>
    </rPh>
    <rPh sb="29" eb="30">
      <t>サイ</t>
    </rPh>
    <rPh sb="30" eb="32">
      <t>イジョウ</t>
    </rPh>
    <rPh sb="33" eb="35">
      <t>ネンド</t>
    </rPh>
    <rPh sb="36" eb="37">
      <t>カイ</t>
    </rPh>
    <rPh sb="37" eb="38">
      <t>カギ</t>
    </rPh>
    <phoneticPr fontId="1"/>
  </si>
  <si>
    <t>丸紅情報システムズ株式会社</t>
    <rPh sb="0" eb="4">
      <t>マルベニジョウホウ</t>
    </rPh>
    <rPh sb="9" eb="13">
      <t>カブシキガイシャ</t>
    </rPh>
    <phoneticPr fontId="1"/>
  </si>
  <si>
    <t>人事部人事課　MSYSインフルエンザ担当　宛</t>
    <phoneticPr fontId="1"/>
  </si>
  <si>
    <t>2026/2/6（金）必着</t>
    <rPh sb="9" eb="10">
      <t>キン</t>
    </rPh>
    <rPh sb="11" eb="13">
      <t>ヒッチャク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</si>
</sst>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&quot;名&quot;"/>
    <numFmt numFmtId="177" formatCode="#,##0&quot;円&quot;"/>
    <numFmt numFmtId="178" formatCode="General&quot;円&quot;"/>
  </numFmts>
  <fonts count="1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0"/>
      <color theme="1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8"/>
      <color theme="1"/>
      <name val="游ゴシック"/>
      <family val="3"/>
      <charset val="128"/>
      <scheme val="minor"/>
    </font>
    <font>
      <u/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u/>
      <sz val="9"/>
      <color theme="1"/>
      <name val="游ゴシック"/>
      <family val="3"/>
      <charset val="128"/>
      <scheme val="minor"/>
    </font>
    <font>
      <b/>
      <u/>
      <sz val="9"/>
      <color theme="1"/>
      <name val="游ゴシック"/>
      <family val="3"/>
      <charset val="128"/>
      <scheme val="minor"/>
    </font>
    <font>
      <b/>
      <u/>
      <sz val="12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b/>
      <sz val="10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1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>
      <alignment vertical="center"/>
    </xf>
    <xf numFmtId="0" fontId="5" fillId="0" borderId="2" xfId="1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2" fillId="0" borderId="8" xfId="0" applyFont="1" applyBorder="1" applyAlignment="1">
      <alignment horizontal="center" vertical="center"/>
    </xf>
    <xf numFmtId="176" fontId="3" fillId="2" borderId="9" xfId="0" applyNumberFormat="1" applyFont="1" applyFill="1" applyBorder="1" applyAlignment="1">
      <alignment horizontal="center" vertical="center" shrinkToFit="1"/>
    </xf>
    <xf numFmtId="0" fontId="7" fillId="0" borderId="0" xfId="0" applyFont="1" applyAlignment="1">
      <alignment horizontal="left" vertical="center" shrinkToFit="1"/>
    </xf>
    <xf numFmtId="177" fontId="8" fillId="2" borderId="9" xfId="0" applyNumberFormat="1" applyFont="1" applyFill="1" applyBorder="1" applyAlignment="1">
      <alignment horizontal="center" vertical="center"/>
    </xf>
    <xf numFmtId="177" fontId="8" fillId="2" borderId="9" xfId="0" applyNumberFormat="1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" fillId="0" borderId="21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2" fillId="3" borderId="21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 shrinkToFit="1"/>
    </xf>
    <xf numFmtId="0" fontId="2" fillId="3" borderId="17" xfId="0" applyFont="1" applyFill="1" applyBorder="1" applyAlignment="1">
      <alignment vertical="center" shrinkToFit="1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77" fontId="2" fillId="0" borderId="21" xfId="0" applyNumberFormat="1" applyFont="1" applyBorder="1">
      <alignment vertical="center"/>
    </xf>
    <xf numFmtId="177" fontId="2" fillId="0" borderId="17" xfId="0" applyNumberFormat="1" applyFont="1" applyBorder="1">
      <alignment vertical="center"/>
    </xf>
    <xf numFmtId="177" fontId="2" fillId="2" borderId="27" xfId="0" applyNumberFormat="1" applyFont="1" applyFill="1" applyBorder="1" applyAlignment="1">
      <alignment horizontal="right" vertical="center"/>
    </xf>
    <xf numFmtId="177" fontId="2" fillId="2" borderId="26" xfId="0" applyNumberFormat="1" applyFont="1" applyFill="1" applyBorder="1" applyAlignment="1">
      <alignment horizontal="right" vertical="center"/>
    </xf>
    <xf numFmtId="0" fontId="2" fillId="3" borderId="21" xfId="0" applyFont="1" applyFill="1" applyBorder="1" applyAlignment="1">
      <alignment horizontal="center" vertical="center" wrapText="1"/>
    </xf>
    <xf numFmtId="177" fontId="2" fillId="2" borderId="24" xfId="0" applyNumberFormat="1" applyFont="1" applyFill="1" applyBorder="1" applyAlignment="1">
      <alignment horizontal="right" vertical="center"/>
    </xf>
    <xf numFmtId="177" fontId="2" fillId="2" borderId="23" xfId="0" applyNumberFormat="1" applyFont="1" applyFill="1" applyBorder="1" applyAlignment="1">
      <alignment horizontal="right" vertical="center"/>
    </xf>
    <xf numFmtId="177" fontId="2" fillId="0" borderId="20" xfId="0" applyNumberFormat="1" applyFont="1" applyBorder="1">
      <alignment vertical="center"/>
    </xf>
    <xf numFmtId="177" fontId="2" fillId="0" borderId="8" xfId="0" applyNumberFormat="1" applyFont="1" applyBorder="1">
      <alignment vertical="center"/>
    </xf>
    <xf numFmtId="177" fontId="2" fillId="2" borderId="19" xfId="0" applyNumberFormat="1" applyFont="1" applyFill="1" applyBorder="1" applyAlignment="1">
      <alignment horizontal="right" vertical="center"/>
    </xf>
    <xf numFmtId="177" fontId="2" fillId="2" borderId="18" xfId="0" applyNumberFormat="1" applyFont="1" applyFill="1" applyBorder="1" applyAlignment="1">
      <alignment horizontal="right" vertical="center"/>
    </xf>
    <xf numFmtId="0" fontId="2" fillId="3" borderId="17" xfId="0" applyFont="1" applyFill="1" applyBorder="1" applyAlignment="1">
      <alignment horizontal="center" vertical="center" shrinkToFit="1"/>
    </xf>
    <xf numFmtId="0" fontId="2" fillId="3" borderId="16" xfId="0" applyFont="1" applyFill="1" applyBorder="1" applyAlignment="1">
      <alignment horizontal="center" vertical="center" shrinkToFit="1"/>
    </xf>
    <xf numFmtId="0" fontId="2" fillId="3" borderId="15" xfId="0" applyFont="1" applyFill="1" applyBorder="1" applyAlignment="1">
      <alignment horizontal="center" vertical="center" shrinkToFit="1"/>
    </xf>
    <xf numFmtId="177" fontId="2" fillId="2" borderId="14" xfId="0" applyNumberFormat="1" applyFont="1" applyFill="1" applyBorder="1">
      <alignment vertical="center"/>
    </xf>
    <xf numFmtId="177" fontId="2" fillId="2" borderId="13" xfId="0" applyNumberFormat="1" applyFont="1" applyFill="1" applyBorder="1">
      <alignment vertical="center"/>
    </xf>
    <xf numFmtId="177" fontId="2" fillId="2" borderId="12" xfId="0" applyNumberFormat="1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right" vertical="center"/>
    </xf>
    <xf numFmtId="0" fontId="7" fillId="0" borderId="7" xfId="0" applyFont="1" applyBorder="1" applyAlignment="1">
      <alignment horizontal="left" vertical="center" shrinkToFit="1"/>
    </xf>
    <xf numFmtId="177" fontId="2" fillId="0" borderId="10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16" fillId="0" borderId="17" xfId="0" applyFont="1" applyFill="1" applyBorder="1" applyAlignment="1">
      <alignment horizontal="left" vertical="center"/>
    </xf>
    <xf numFmtId="0" fontId="17" fillId="0" borderId="16" xfId="0" applyFont="1" applyFill="1" applyBorder="1" applyAlignment="1">
      <alignment horizontal="left" vertical="center"/>
    </xf>
    <xf numFmtId="0" fontId="17" fillId="0" borderId="22" xfId="0" applyFont="1" applyFill="1" applyBorder="1" applyAlignment="1">
      <alignment horizontal="left" vertical="center"/>
    </xf>
    <xf numFmtId="0" fontId="18" fillId="0" borderId="0" xfId="0" applyFont="1">
      <alignment vertical="center"/>
    </xf>
    <xf numFmtId="0" fontId="0" fillId="0" borderId="0" xfId="0" applyFill="1">
      <alignment vertical="center"/>
    </xf>
    <xf numFmtId="0" fontId="18" fillId="0" borderId="7" xfId="0" applyFont="1" applyBorder="1">
      <alignment vertical="center"/>
    </xf>
    <xf numFmtId="0" fontId="0" fillId="0" borderId="7" xfId="0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767E-D701-4604-BF93-0E36AEA8296D}">
  <sheetPr>
    <pageSetUpPr fitToPage="1"/>
  </sheetPr>
  <dimension ref="A1:M45"/>
  <sheetViews>
    <sheetView tabSelected="1" zoomScaleNormal="100" workbookViewId="0">
      <selection activeCell="P17" sqref="P17"/>
    </sheetView>
  </sheetViews>
  <sheetFormatPr defaultRowHeight="18"/>
  <cols>
    <col min="1" max="1" width="9" customWidth="1"/>
    <col min="2" max="2" width="11.4140625" customWidth="1"/>
    <col min="3" max="3" width="8" customWidth="1"/>
    <col min="4" max="4" width="8.9140625" customWidth="1"/>
    <col min="5" max="6" width="6.4140625" customWidth="1"/>
    <col min="7" max="9" width="8.9140625" customWidth="1"/>
    <col min="10" max="10" width="9.4140625" customWidth="1"/>
    <col min="11" max="11" width="8.9140625" hidden="1" customWidth="1"/>
    <col min="12" max="13" width="8.83203125" hidden="1" customWidth="1"/>
  </cols>
  <sheetData>
    <row r="1" spans="1:10">
      <c r="H1" s="12" t="s">
        <v>35</v>
      </c>
      <c r="I1" t="s">
        <v>34</v>
      </c>
    </row>
    <row r="2" spans="1:10">
      <c r="A2" t="s">
        <v>33</v>
      </c>
      <c r="G2" s="39"/>
      <c r="H2" s="39"/>
      <c r="J2" s="39"/>
    </row>
    <row r="3" spans="1:10" ht="9.75" customHeight="1">
      <c r="A3" s="41"/>
      <c r="B3" s="40"/>
      <c r="C3" s="40"/>
      <c r="G3" s="39"/>
      <c r="H3" s="39"/>
      <c r="I3" s="39"/>
      <c r="J3" s="39"/>
    </row>
    <row r="4" spans="1:10" ht="18.75" customHeight="1">
      <c r="A4" s="46" t="s">
        <v>38</v>
      </c>
      <c r="B4" s="46"/>
      <c r="C4" s="46"/>
      <c r="D4" s="46"/>
      <c r="E4" s="46"/>
      <c r="F4" s="46"/>
      <c r="G4" s="46"/>
      <c r="H4" s="46"/>
      <c r="I4" s="46"/>
      <c r="J4" s="46"/>
    </row>
    <row r="5" spans="1:10" ht="20">
      <c r="C5" s="38"/>
    </row>
    <row r="6" spans="1:10">
      <c r="A6" t="s">
        <v>32</v>
      </c>
    </row>
    <row r="7" spans="1:10">
      <c r="A7" s="37" t="s">
        <v>31</v>
      </c>
      <c r="B7" s="47"/>
      <c r="C7" s="48"/>
      <c r="D7" s="36" t="s">
        <v>30</v>
      </c>
      <c r="E7" s="44"/>
      <c r="F7" s="49"/>
      <c r="G7" s="45"/>
      <c r="H7" s="29" t="s">
        <v>29</v>
      </c>
      <c r="I7" s="44"/>
      <c r="J7" s="45"/>
    </row>
    <row r="8" spans="1:10">
      <c r="A8" s="35" t="s">
        <v>28</v>
      </c>
      <c r="B8" s="83" t="s">
        <v>41</v>
      </c>
      <c r="C8" s="84"/>
      <c r="D8" s="84"/>
      <c r="E8" s="84"/>
      <c r="F8" s="84"/>
      <c r="G8" s="84"/>
      <c r="H8" s="84"/>
      <c r="I8" s="84"/>
      <c r="J8" s="85"/>
    </row>
    <row r="9" spans="1:10">
      <c r="A9" s="34" t="s">
        <v>27</v>
      </c>
      <c r="B9" s="42"/>
      <c r="C9" s="42"/>
      <c r="D9" s="42"/>
      <c r="E9" s="43"/>
      <c r="F9" s="43"/>
      <c r="G9" s="43"/>
      <c r="H9" s="33" t="s">
        <v>26</v>
      </c>
      <c r="I9" s="44"/>
      <c r="J9" s="45"/>
    </row>
    <row r="11" spans="1:10">
      <c r="A11" t="s">
        <v>25</v>
      </c>
    </row>
    <row r="12" spans="1:10" ht="3" customHeight="1"/>
    <row r="13" spans="1:10" ht="14.25" customHeight="1">
      <c r="A13" s="32" t="s">
        <v>36</v>
      </c>
      <c r="D13" s="32"/>
    </row>
    <row r="14" spans="1:10" ht="14.25" customHeight="1">
      <c r="A14" s="32" t="s">
        <v>37</v>
      </c>
      <c r="D14" s="32"/>
    </row>
    <row r="15" spans="1:10" ht="14.25" customHeight="1">
      <c r="A15" s="32" t="s">
        <v>39</v>
      </c>
      <c r="D15" s="32"/>
    </row>
    <row r="16" spans="1:10" ht="3.65" customHeight="1">
      <c r="A16" s="32"/>
      <c r="D16" s="32"/>
    </row>
    <row r="17" spans="1:13" ht="18.5" thickBot="1">
      <c r="A17" s="50" t="s">
        <v>24</v>
      </c>
      <c r="B17" s="51"/>
      <c r="C17" s="51"/>
      <c r="D17" s="52"/>
      <c r="E17" s="31" t="s">
        <v>23</v>
      </c>
      <c r="F17" s="30" t="s">
        <v>22</v>
      </c>
      <c r="G17" s="53" t="s">
        <v>21</v>
      </c>
      <c r="H17" s="53"/>
      <c r="I17" s="54" t="s">
        <v>20</v>
      </c>
      <c r="J17" s="54"/>
    </row>
    <row r="18" spans="1:13">
      <c r="A18" s="29" t="s">
        <v>12</v>
      </c>
      <c r="B18" s="47"/>
      <c r="C18" s="55"/>
      <c r="D18" s="48"/>
      <c r="E18" s="28"/>
      <c r="F18" s="26">
        <v>1</v>
      </c>
      <c r="G18" s="56"/>
      <c r="H18" s="57"/>
      <c r="I18" s="58" t="str">
        <f t="shared" ref="I18:I23" si="0">IF(G18=0,"",IF(G18&lt;=5000,G18,(IF(G18&gt;5000,5000))))</f>
        <v/>
      </c>
      <c r="J18" s="59"/>
    </row>
    <row r="19" spans="1:13" ht="18" customHeight="1">
      <c r="A19" s="60" t="s">
        <v>19</v>
      </c>
      <c r="B19" s="47"/>
      <c r="C19" s="55"/>
      <c r="D19" s="48"/>
      <c r="E19" s="28"/>
      <c r="F19" s="26"/>
      <c r="G19" s="56"/>
      <c r="H19" s="57"/>
      <c r="I19" s="61" t="str">
        <f t="shared" si="0"/>
        <v/>
      </c>
      <c r="J19" s="62"/>
      <c r="K19" s="25">
        <f>IF(E19="〇",I19,0)</f>
        <v>0</v>
      </c>
      <c r="L19" s="25" t="str">
        <f>I19</f>
        <v/>
      </c>
      <c r="M19" s="25">
        <f>IF(ISERROR(L19-K19),0,(L19-K19))</f>
        <v>0</v>
      </c>
    </row>
    <row r="20" spans="1:13">
      <c r="A20" s="60"/>
      <c r="B20" s="47"/>
      <c r="C20" s="55"/>
      <c r="D20" s="48"/>
      <c r="E20" s="27"/>
      <c r="F20" s="26"/>
      <c r="G20" s="56"/>
      <c r="H20" s="57"/>
      <c r="I20" s="61" t="str">
        <f t="shared" si="0"/>
        <v/>
      </c>
      <c r="J20" s="62"/>
      <c r="K20" s="25">
        <f>IF(E20="〇",I20,0)</f>
        <v>0</v>
      </c>
      <c r="L20" s="25" t="str">
        <f>I20</f>
        <v/>
      </c>
      <c r="M20" s="25">
        <f t="shared" ref="M20:M24" si="1">IF(ISERROR(L20-K20),0,(L20-K20))</f>
        <v>0</v>
      </c>
    </row>
    <row r="21" spans="1:13">
      <c r="A21" s="60"/>
      <c r="B21" s="47"/>
      <c r="C21" s="55"/>
      <c r="D21" s="48"/>
      <c r="E21" s="28"/>
      <c r="F21" s="26"/>
      <c r="G21" s="56"/>
      <c r="H21" s="57"/>
      <c r="I21" s="61" t="str">
        <f t="shared" si="0"/>
        <v/>
      </c>
      <c r="J21" s="62"/>
      <c r="K21" s="25">
        <f>IF(E21="〇",I21,0)</f>
        <v>0</v>
      </c>
      <c r="L21" s="25" t="str">
        <f>I21</f>
        <v/>
      </c>
      <c r="M21" s="25">
        <f t="shared" si="1"/>
        <v>0</v>
      </c>
    </row>
    <row r="22" spans="1:13">
      <c r="A22" s="60"/>
      <c r="B22" s="47"/>
      <c r="C22" s="55"/>
      <c r="D22" s="48"/>
      <c r="E22" s="27"/>
      <c r="F22" s="26"/>
      <c r="G22" s="56"/>
      <c r="H22" s="57"/>
      <c r="I22" s="61" t="str">
        <f t="shared" si="0"/>
        <v/>
      </c>
      <c r="J22" s="62"/>
      <c r="K22" s="25">
        <f>IF(E22="〇",I22,0)</f>
        <v>0</v>
      </c>
      <c r="L22" s="25" t="str">
        <f>I22</f>
        <v/>
      </c>
      <c r="M22" s="25">
        <f t="shared" si="1"/>
        <v>0</v>
      </c>
    </row>
    <row r="23" spans="1:13" ht="18.5" thickBot="1">
      <c r="A23" s="60"/>
      <c r="B23" s="47"/>
      <c r="C23" s="55"/>
      <c r="D23" s="48"/>
      <c r="E23" s="27"/>
      <c r="F23" s="26"/>
      <c r="G23" s="63"/>
      <c r="H23" s="64"/>
      <c r="I23" s="65" t="str">
        <f t="shared" si="0"/>
        <v/>
      </c>
      <c r="J23" s="66"/>
      <c r="K23" s="25">
        <f>IF(E23="〇",I23,0)</f>
        <v>0</v>
      </c>
      <c r="L23" s="25" t="str">
        <f>I23</f>
        <v/>
      </c>
      <c r="M23" s="25">
        <f t="shared" si="1"/>
        <v>0</v>
      </c>
    </row>
    <row r="24" spans="1:13" ht="18.5" thickBot="1">
      <c r="A24" s="67" t="s">
        <v>40</v>
      </c>
      <c r="B24" s="68"/>
      <c r="C24" s="68"/>
      <c r="D24" s="68"/>
      <c r="E24" s="68"/>
      <c r="F24" s="69"/>
      <c r="G24" s="70" t="str">
        <f>IF(SUM(G18:H23)=0,"",SUM(G18:H23))</f>
        <v/>
      </c>
      <c r="H24" s="71"/>
      <c r="I24" s="72" t="str">
        <f>IF(SUM(I18:J23)=0,"",SUM(I18:J23))</f>
        <v/>
      </c>
      <c r="J24" s="73"/>
      <c r="K24" s="24">
        <f>SUM(K19:K23)</f>
        <v>0</v>
      </c>
      <c r="L24" s="24">
        <f>SUM(L19:L23)</f>
        <v>0</v>
      </c>
      <c r="M24" s="25">
        <f t="shared" si="1"/>
        <v>0</v>
      </c>
    </row>
    <row r="25" spans="1:13">
      <c r="A25" s="74" t="s">
        <v>18</v>
      </c>
      <c r="B25" s="74"/>
      <c r="C25" s="74"/>
      <c r="D25" s="74"/>
      <c r="E25" s="74"/>
      <c r="F25" s="74"/>
      <c r="G25" s="75" t="s">
        <v>17</v>
      </c>
      <c r="H25" s="75"/>
      <c r="I25" s="75" t="s">
        <v>16</v>
      </c>
      <c r="J25" s="75"/>
    </row>
    <row r="26" spans="1:13" ht="18.5" thickBot="1">
      <c r="A26" s="76" t="s">
        <v>15</v>
      </c>
      <c r="B26" s="76"/>
      <c r="C26" s="76"/>
      <c r="D26" s="76"/>
      <c r="E26" s="76"/>
      <c r="F26" s="76"/>
      <c r="G26" s="76"/>
      <c r="H26" s="76"/>
      <c r="I26" s="77" t="s">
        <v>14</v>
      </c>
      <c r="J26" s="77"/>
    </row>
    <row r="27" spans="1:13" ht="18.5" thickBot="1">
      <c r="A27" s="23"/>
      <c r="B27" s="23" t="s">
        <v>13</v>
      </c>
      <c r="C27" s="23" t="s">
        <v>12</v>
      </c>
      <c r="D27" s="22" t="str">
        <f>I18</f>
        <v/>
      </c>
      <c r="E27" s="78" t="s">
        <v>11</v>
      </c>
      <c r="F27" s="78"/>
      <c r="G27" s="22" t="str">
        <f>IF(M24=0,"",M24)</f>
        <v/>
      </c>
      <c r="H27" s="79" t="s">
        <v>10</v>
      </c>
      <c r="I27" s="79"/>
      <c r="J27" s="21" t="str">
        <f>IF(K24=0,"",K24)</f>
        <v/>
      </c>
    </row>
    <row r="28" spans="1:13" ht="18.5" thickBot="1">
      <c r="A28" s="20"/>
      <c r="B28" s="80" t="s">
        <v>9</v>
      </c>
      <c r="C28" s="81"/>
      <c r="D28" s="19" t="str">
        <f>IF(COUNTA(B19:D23)=0,"",COUNTA(B19:D23))</f>
        <v/>
      </c>
      <c r="E28" s="81" t="s">
        <v>8</v>
      </c>
      <c r="F28" s="81"/>
      <c r="G28" s="19" t="str">
        <f>IF(D28="","",IF(ISERROR(D28-J28),0,(D28-J28)))</f>
        <v/>
      </c>
      <c r="H28" s="82" t="s">
        <v>7</v>
      </c>
      <c r="I28" s="82"/>
      <c r="J28" s="19" t="str">
        <f>IF(D28="","",IF(COUNTA(E19:E23)=0,0,COUNTA(E19:E23)))</f>
        <v/>
      </c>
    </row>
    <row r="29" spans="1:13">
      <c r="A29" s="18" t="s">
        <v>6</v>
      </c>
      <c r="B29" s="88" t="s">
        <v>43</v>
      </c>
      <c r="C29" s="89"/>
      <c r="D29" t="s">
        <v>5</v>
      </c>
      <c r="E29" s="7"/>
      <c r="F29" s="7"/>
      <c r="G29" s="17"/>
      <c r="H29" s="7"/>
      <c r="I29" s="7"/>
      <c r="J29" s="4"/>
    </row>
    <row r="30" spans="1:13">
      <c r="A30" s="16" t="s">
        <v>4</v>
      </c>
      <c r="B30" s="86" t="s">
        <v>42</v>
      </c>
      <c r="C30" s="87"/>
      <c r="D30" s="87"/>
      <c r="E30" s="87"/>
      <c r="F30" s="87"/>
      <c r="G30" s="87"/>
      <c r="J30" s="4"/>
    </row>
    <row r="31" spans="1:13" ht="18.75" customHeight="1">
      <c r="A31" s="15"/>
      <c r="B31" s="14"/>
      <c r="C31" s="13"/>
      <c r="D31" s="13"/>
      <c r="E31" s="13"/>
      <c r="F31" s="2"/>
      <c r="G31" s="2"/>
      <c r="H31" s="2"/>
      <c r="I31" s="2"/>
      <c r="J31" s="1"/>
    </row>
    <row r="32" spans="1:13" ht="6.75" customHeight="1">
      <c r="A32" s="12"/>
      <c r="B32" s="11"/>
      <c r="C32" s="10"/>
      <c r="D32" s="10"/>
      <c r="E32" s="10"/>
    </row>
    <row r="33" spans="1:10">
      <c r="A33" s="9" t="s">
        <v>3</v>
      </c>
    </row>
    <row r="34" spans="1:10">
      <c r="A34" s="9" t="s">
        <v>2</v>
      </c>
    </row>
    <row r="35" spans="1:10">
      <c r="A35" s="9" t="s">
        <v>1</v>
      </c>
    </row>
    <row r="36" spans="1:10">
      <c r="A36" s="9" t="s">
        <v>0</v>
      </c>
      <c r="G36" s="2"/>
    </row>
    <row r="37" spans="1:10">
      <c r="A37" s="8"/>
      <c r="B37" s="7"/>
      <c r="C37" s="7"/>
      <c r="D37" s="7"/>
      <c r="E37" s="7"/>
      <c r="F37" s="7"/>
      <c r="H37" s="7"/>
      <c r="I37" s="7"/>
      <c r="J37" s="6"/>
    </row>
    <row r="38" spans="1:10">
      <c r="A38" s="5"/>
      <c r="J38" s="4"/>
    </row>
    <row r="39" spans="1:10">
      <c r="A39" s="5"/>
      <c r="J39" s="4"/>
    </row>
    <row r="40" spans="1:10">
      <c r="A40" s="5"/>
      <c r="J40" s="4"/>
    </row>
    <row r="41" spans="1:10">
      <c r="A41" s="5"/>
      <c r="J41" s="4"/>
    </row>
    <row r="42" spans="1:10">
      <c r="A42" s="5"/>
      <c r="J42" s="4"/>
    </row>
    <row r="43" spans="1:10" ht="18.75" customHeight="1">
      <c r="A43" s="5"/>
      <c r="J43" s="4"/>
    </row>
    <row r="44" spans="1:10">
      <c r="A44" s="5"/>
      <c r="J44" s="4"/>
    </row>
    <row r="45" spans="1:10" ht="22.5" customHeight="1">
      <c r="A45" s="3"/>
      <c r="B45" s="2"/>
      <c r="C45" s="2"/>
      <c r="D45" s="2"/>
      <c r="E45" s="2"/>
      <c r="F45" s="2"/>
      <c r="G45" s="2"/>
      <c r="H45" s="2"/>
      <c r="I45" s="2"/>
      <c r="J45" s="1"/>
    </row>
  </sheetData>
  <mergeCells count="42">
    <mergeCell ref="A26:H26"/>
    <mergeCell ref="I26:J26"/>
    <mergeCell ref="E27:F27"/>
    <mergeCell ref="H27:I27"/>
    <mergeCell ref="B28:C28"/>
    <mergeCell ref="E28:F28"/>
    <mergeCell ref="H28:I28"/>
    <mergeCell ref="A24:F24"/>
    <mergeCell ref="G24:H24"/>
    <mergeCell ref="I24:J24"/>
    <mergeCell ref="A25:F25"/>
    <mergeCell ref="G25:H25"/>
    <mergeCell ref="I25:J25"/>
    <mergeCell ref="A19:A23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2:D22"/>
    <mergeCell ref="G22:H22"/>
    <mergeCell ref="I22:J22"/>
    <mergeCell ref="B23:D23"/>
    <mergeCell ref="G23:H23"/>
    <mergeCell ref="I23:J23"/>
    <mergeCell ref="A17:D17"/>
    <mergeCell ref="G17:H17"/>
    <mergeCell ref="I17:J17"/>
    <mergeCell ref="B18:D18"/>
    <mergeCell ref="G18:H18"/>
    <mergeCell ref="I18:J18"/>
    <mergeCell ref="B9:G9"/>
    <mergeCell ref="I9:J9"/>
    <mergeCell ref="A4:J4"/>
    <mergeCell ref="B7:C7"/>
    <mergeCell ref="E7:G7"/>
    <mergeCell ref="I7:J7"/>
    <mergeCell ref="B8:J8"/>
  </mergeCells>
  <phoneticPr fontId="1"/>
  <dataValidations count="2">
    <dataValidation type="list" allowBlank="1" showInputMessage="1" showErrorMessage="1" sqref="F19:F23" xr:uid="{8BF216AB-0935-4341-A352-5312A60EEE97}">
      <formula1>"　,1,2"</formula1>
    </dataValidation>
    <dataValidation type="list" allowBlank="1" showInputMessage="1" showErrorMessage="1" sqref="E18:E23" xr:uid="{45125C39-802A-4469-BE6A-E56C9B8E191F}">
      <formula1>" ,〇"</formula1>
    </dataValidation>
  </dataValidations>
  <printOptions horizontalCentered="1" verticalCentered="1"/>
  <pageMargins left="0.51181102362204722" right="0.15748031496062992" top="0.39370078740157483" bottom="0.3149606299212598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編入事業所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 TOSHIFUMI-KHK</dc:creator>
  <cp:lastModifiedBy>Akiyama Miyuki-I-DIGIO</cp:lastModifiedBy>
  <cp:lastPrinted>2023-10-31T01:28:01Z</cp:lastPrinted>
  <dcterms:created xsi:type="dcterms:W3CDTF">2023-09-20T02:20:01Z</dcterms:created>
  <dcterms:modified xsi:type="dcterms:W3CDTF">2025-10-09T09:50:43Z</dcterms:modified>
</cp:coreProperties>
</file>