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21526.MJSDM\Work\01.Develop\00.勤怠関連\"/>
    </mc:Choice>
  </mc:AlternateContent>
  <xr:revisionPtr revIDLastSave="0" documentId="13_ncr:1_{C468F7F2-7DF2-4D0A-AA06-5B5316C35959}" xr6:coauthVersionLast="47" xr6:coauthVersionMax="47" xr10:uidLastSave="{00000000-0000-0000-0000-000000000000}"/>
  <bookViews>
    <workbookView xWindow="1395" yWindow="-14805" windowWidth="21600" windowHeight="1123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4" i="1" l="1"/>
  <c r="R4" i="1"/>
  <c r="Q4" i="1"/>
  <c r="G26" i="1" l="1"/>
  <c r="G25" i="1"/>
  <c r="G24" i="1"/>
  <c r="G23" i="1"/>
  <c r="G19" i="1"/>
  <c r="G18" i="1"/>
  <c r="G17" i="1"/>
  <c r="G16" i="1"/>
  <c r="G15" i="1"/>
  <c r="G12" i="1"/>
  <c r="G11" i="1"/>
  <c r="G10" i="1"/>
  <c r="G9" i="1"/>
  <c r="G8" i="1"/>
  <c r="G5" i="1"/>
  <c r="G4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3" i="1"/>
  <c r="B2" i="1"/>
  <c r="G3" i="1"/>
  <c r="G2" i="1"/>
  <c r="G29" i="1" l="1"/>
</calcChain>
</file>

<file path=xl/sharedStrings.xml><?xml version="1.0" encoding="utf-8"?>
<sst xmlns="http://schemas.openxmlformats.org/spreadsheetml/2006/main" count="21" uniqueCount="16">
  <si>
    <t>日</t>
    <rPh sb="0" eb="1">
      <t>ヒ</t>
    </rPh>
    <phoneticPr fontId="1"/>
  </si>
  <si>
    <t>開始</t>
    <rPh sb="0" eb="2">
      <t>カイシ</t>
    </rPh>
    <phoneticPr fontId="1"/>
  </si>
  <si>
    <t>終了</t>
    <rPh sb="0" eb="2">
      <t>シュウリョウ</t>
    </rPh>
    <phoneticPr fontId="1"/>
  </si>
  <si>
    <t>休憩開始</t>
    <rPh sb="0" eb="2">
      <t>キュウケイ</t>
    </rPh>
    <rPh sb="2" eb="4">
      <t>カイシ</t>
    </rPh>
    <phoneticPr fontId="1"/>
  </si>
  <si>
    <t>休憩終了</t>
    <rPh sb="0" eb="4">
      <t>キュウケイシュウリョウ</t>
    </rPh>
    <phoneticPr fontId="1"/>
  </si>
  <si>
    <t>外出</t>
    <rPh sb="0" eb="2">
      <t>ガイシュツ</t>
    </rPh>
    <phoneticPr fontId="1"/>
  </si>
  <si>
    <t>浜町（MBI)</t>
    <rPh sb="0" eb="1">
      <t>ハマ</t>
    </rPh>
    <rPh sb="1" eb="2">
      <t>マチ</t>
    </rPh>
    <phoneticPr fontId="1"/>
  </si>
  <si>
    <t>タスク</t>
    <phoneticPr fontId="1"/>
  </si>
  <si>
    <t>工数</t>
    <rPh sb="0" eb="2">
      <t>コウスウ</t>
    </rPh>
    <phoneticPr fontId="1"/>
  </si>
  <si>
    <t>入社手続き</t>
    <rPh sb="0" eb="2">
      <t>ニュウシャ</t>
    </rPh>
    <rPh sb="2" eb="4">
      <t>テツヅ</t>
    </rPh>
    <phoneticPr fontId="1"/>
  </si>
  <si>
    <t>PCキッティング</t>
    <phoneticPr fontId="1"/>
  </si>
  <si>
    <t>SBI損保</t>
    <rPh sb="3" eb="5">
      <t>ソンポ</t>
    </rPh>
    <phoneticPr fontId="1"/>
  </si>
  <si>
    <t>eラーニング</t>
    <phoneticPr fontId="1"/>
  </si>
  <si>
    <t>飯田橋－浜町</t>
    <rPh sb="0" eb="3">
      <t>イイダバシ</t>
    </rPh>
    <rPh sb="4" eb="5">
      <t>ハマ</t>
    </rPh>
    <rPh sb="5" eb="6">
      <t>マチ</t>
    </rPh>
    <phoneticPr fontId="1"/>
  </si>
  <si>
    <t>人形町-上大岡</t>
    <rPh sb="0" eb="3">
      <t>ニンギョウチョウ</t>
    </rPh>
    <rPh sb="4" eb="7">
      <t>カミオオオカ</t>
    </rPh>
    <phoneticPr fontId="1"/>
  </si>
  <si>
    <t>バス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</si>
</sst>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aaa"/>
    <numFmt numFmtId="177" formatCode="mm/dd"/>
    <numFmt numFmtId="178" formatCode="[h]:mm"/>
    <numFmt numFmtId="179" formatCode="m/d"/>
    <numFmt numFmtId="180" formatCode="0.0_);[Red]\(0.0\)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L12" sqref="L12"/>
    </sheetView>
  </sheetViews>
  <sheetFormatPr defaultRowHeight="18"/>
  <cols>
    <col min="1" max="1" width="6.3984375" style="3" bestFit="1" customWidth="1"/>
    <col min="2" max="2" width="3.3984375" bestFit="1" customWidth="1"/>
    <col min="9" max="9" width="11.5" bestFit="1" customWidth="1"/>
    <col min="10" max="10" width="13" bestFit="1" customWidth="1"/>
    <col min="11" max="11" width="4.5" bestFit="1" customWidth="1"/>
  </cols>
  <sheetData>
    <row r="1" spans="1:19">
      <c r="A1" s="3" t="s">
        <v>0</v>
      </c>
      <c r="C1" t="s">
        <v>1</v>
      </c>
      <c r="D1" t="s">
        <v>2</v>
      </c>
      <c r="E1" t="s">
        <v>3</v>
      </c>
      <c r="F1" t="s">
        <v>4</v>
      </c>
      <c r="I1" t="s">
        <v>5</v>
      </c>
    </row>
    <row r="2" spans="1:19">
      <c r="A2" s="3">
        <v>45965</v>
      </c>
      <c r="B2" s="2">
        <f>A2</f>
        <v>45965</v>
      </c>
      <c r="C2" s="1">
        <v>0.39583333333333331</v>
      </c>
      <c r="D2" s="1">
        <v>0.75</v>
      </c>
      <c r="E2" s="1">
        <v>0.52083333333333337</v>
      </c>
      <c r="F2" s="1">
        <v>0.5625</v>
      </c>
      <c r="G2" s="1">
        <f>(D2-C2)-(F2-E2)</f>
        <v>0.31250000000000006</v>
      </c>
    </row>
    <row r="3" spans="1:19">
      <c r="A3" s="3">
        <v>45966</v>
      </c>
      <c r="B3" s="2">
        <f>A3</f>
        <v>45966</v>
      </c>
      <c r="C3" s="1">
        <v>0.36458333333333331</v>
      </c>
      <c r="D3" s="1">
        <v>0.75</v>
      </c>
      <c r="E3" s="1">
        <v>0.5</v>
      </c>
      <c r="F3" s="1">
        <v>0.54166666666666663</v>
      </c>
      <c r="G3" s="1">
        <f>(D3-C3)-(F3-E3)</f>
        <v>0.34375000000000006</v>
      </c>
    </row>
    <row r="4" spans="1:19">
      <c r="A4" s="3">
        <v>45967</v>
      </c>
      <c r="B4" s="2">
        <f t="shared" ref="B4:B28" si="0">A4</f>
        <v>45967</v>
      </c>
      <c r="C4" s="1">
        <v>0.36458333333333331</v>
      </c>
      <c r="D4" s="1">
        <v>0.75</v>
      </c>
      <c r="E4" s="1">
        <v>0.5</v>
      </c>
      <c r="F4" s="1">
        <v>0.54166666666666663</v>
      </c>
      <c r="G4" s="1">
        <f t="shared" ref="G4:G26" si="1">(D4-C4)-(F4-E4)</f>
        <v>0.34375000000000006</v>
      </c>
      <c r="I4" t="s">
        <v>6</v>
      </c>
      <c r="J4" t="s">
        <v>13</v>
      </c>
      <c r="K4">
        <v>286</v>
      </c>
      <c r="L4" t="s">
        <v>14</v>
      </c>
      <c r="M4">
        <v>675</v>
      </c>
      <c r="N4" t="s">
        <v>15</v>
      </c>
      <c r="O4">
        <v>220</v>
      </c>
      <c r="Q4">
        <f>824+210</f>
        <v>1034</v>
      </c>
      <c r="R4">
        <f>SUM(K4,M4,O4)</f>
        <v>1181</v>
      </c>
      <c r="S4">
        <f>R4-Q4</f>
        <v>147</v>
      </c>
    </row>
    <row r="5" spans="1:19">
      <c r="A5" s="3">
        <v>45968</v>
      </c>
      <c r="B5" s="2">
        <f t="shared" si="0"/>
        <v>45968</v>
      </c>
      <c r="C5" s="1">
        <v>0.36458333333333331</v>
      </c>
      <c r="D5" s="1">
        <v>0.72916666666666663</v>
      </c>
      <c r="E5" s="1">
        <v>0.5</v>
      </c>
      <c r="F5" s="1">
        <v>0.54166666666666663</v>
      </c>
      <c r="G5" s="1">
        <f t="shared" si="1"/>
        <v>0.32291666666666669</v>
      </c>
    </row>
    <row r="6" spans="1:19">
      <c r="A6" s="3">
        <v>45969</v>
      </c>
      <c r="B6" s="2">
        <f t="shared" si="0"/>
        <v>45969</v>
      </c>
      <c r="C6" s="1"/>
      <c r="D6" s="1"/>
      <c r="E6" s="1"/>
      <c r="F6" s="1"/>
      <c r="G6" s="1"/>
    </row>
    <row r="7" spans="1:19">
      <c r="A7" s="3">
        <v>45970</v>
      </c>
      <c r="B7" s="2">
        <f t="shared" si="0"/>
        <v>45970</v>
      </c>
      <c r="C7" s="1"/>
      <c r="D7" s="1"/>
      <c r="E7" s="1"/>
      <c r="F7" s="1"/>
      <c r="G7" s="1"/>
    </row>
    <row r="8" spans="1:19">
      <c r="A8" s="3">
        <v>45971</v>
      </c>
      <c r="B8" s="2">
        <f t="shared" si="0"/>
        <v>45971</v>
      </c>
      <c r="C8" s="1">
        <v>0.375</v>
      </c>
      <c r="D8" s="1">
        <v>0.75</v>
      </c>
      <c r="E8" s="1">
        <v>0.5</v>
      </c>
      <c r="F8" s="1">
        <v>0.54166666666666663</v>
      </c>
      <c r="G8" s="1">
        <f t="shared" si="1"/>
        <v>0.33333333333333337</v>
      </c>
    </row>
    <row r="9" spans="1:19">
      <c r="A9" s="3">
        <v>45972</v>
      </c>
      <c r="B9" s="2">
        <f t="shared" si="0"/>
        <v>45972</v>
      </c>
      <c r="C9" s="1">
        <v>0.375</v>
      </c>
      <c r="D9" s="1">
        <v>0.75</v>
      </c>
      <c r="E9" s="1">
        <v>0.5</v>
      </c>
      <c r="F9" s="1">
        <v>0.54166666666666663</v>
      </c>
      <c r="G9" s="1">
        <f t="shared" si="1"/>
        <v>0.33333333333333337</v>
      </c>
    </row>
    <row r="10" spans="1:19">
      <c r="A10" s="3">
        <v>45973</v>
      </c>
      <c r="B10" s="2">
        <f t="shared" si="0"/>
        <v>45973</v>
      </c>
      <c r="C10" s="1">
        <v>0.375</v>
      </c>
      <c r="D10" s="1">
        <v>0.75</v>
      </c>
      <c r="E10" s="1">
        <v>0.5</v>
      </c>
      <c r="F10" s="1">
        <v>0.54166666666666663</v>
      </c>
      <c r="G10" s="1">
        <f t="shared" si="1"/>
        <v>0.33333333333333337</v>
      </c>
    </row>
    <row r="11" spans="1:19">
      <c r="A11" s="3">
        <v>45974</v>
      </c>
      <c r="B11" s="2">
        <f t="shared" si="0"/>
        <v>45974</v>
      </c>
      <c r="C11" s="1">
        <v>0.375</v>
      </c>
      <c r="D11" s="1">
        <v>0.75</v>
      </c>
      <c r="E11" s="1">
        <v>0.5</v>
      </c>
      <c r="F11" s="1">
        <v>0.54166666666666663</v>
      </c>
      <c r="G11" s="1">
        <f t="shared" si="1"/>
        <v>0.33333333333333337</v>
      </c>
    </row>
    <row r="12" spans="1:19">
      <c r="A12" s="3">
        <v>45975</v>
      </c>
      <c r="B12" s="2">
        <f t="shared" si="0"/>
        <v>45975</v>
      </c>
      <c r="C12" s="1">
        <v>0.375</v>
      </c>
      <c r="D12" s="1">
        <v>0.75</v>
      </c>
      <c r="E12" s="1">
        <v>0.5</v>
      </c>
      <c r="F12" s="1">
        <v>0.54166666666666663</v>
      </c>
      <c r="G12" s="1">
        <f t="shared" si="1"/>
        <v>0.33333333333333337</v>
      </c>
    </row>
    <row r="13" spans="1:19">
      <c r="A13" s="3">
        <v>45976</v>
      </c>
      <c r="B13" s="2">
        <f t="shared" si="0"/>
        <v>45976</v>
      </c>
      <c r="C13" s="1"/>
      <c r="D13" s="1"/>
      <c r="E13" s="1"/>
      <c r="F13" s="1"/>
      <c r="G13" s="1"/>
    </row>
    <row r="14" spans="1:19">
      <c r="A14" s="3">
        <v>45977</v>
      </c>
      <c r="B14" s="2">
        <f t="shared" si="0"/>
        <v>45977</v>
      </c>
      <c r="C14" s="1"/>
      <c r="D14" s="1"/>
      <c r="E14" s="1"/>
      <c r="F14" s="1"/>
      <c r="G14" s="1"/>
    </row>
    <row r="15" spans="1:19">
      <c r="A15" s="3">
        <v>45978</v>
      </c>
      <c r="B15" s="2">
        <f t="shared" si="0"/>
        <v>45978</v>
      </c>
      <c r="C15" s="1">
        <v>0.375</v>
      </c>
      <c r="D15" s="1">
        <v>0.75</v>
      </c>
      <c r="E15" s="1">
        <v>0.5</v>
      </c>
      <c r="F15" s="1">
        <v>0.54166666666666663</v>
      </c>
      <c r="G15" s="1">
        <f t="shared" si="1"/>
        <v>0.33333333333333337</v>
      </c>
    </row>
    <row r="16" spans="1:19">
      <c r="A16" s="3">
        <v>45979</v>
      </c>
      <c r="B16" s="2">
        <f t="shared" si="0"/>
        <v>45979</v>
      </c>
      <c r="C16" s="1">
        <v>0.375</v>
      </c>
      <c r="D16" s="1">
        <v>0.75</v>
      </c>
      <c r="E16" s="1">
        <v>0.5</v>
      </c>
      <c r="F16" s="1">
        <v>0.54166666666666663</v>
      </c>
      <c r="G16" s="1">
        <f t="shared" si="1"/>
        <v>0.33333333333333337</v>
      </c>
    </row>
    <row r="17" spans="1:7">
      <c r="A17" s="3">
        <v>45980</v>
      </c>
      <c r="B17" s="2">
        <f t="shared" si="0"/>
        <v>45980</v>
      </c>
      <c r="C17" s="1">
        <v>0.375</v>
      </c>
      <c r="D17" s="1">
        <v>0.75</v>
      </c>
      <c r="E17" s="1">
        <v>0.5</v>
      </c>
      <c r="F17" s="1">
        <v>0.54166666666666663</v>
      </c>
      <c r="G17" s="1">
        <f t="shared" si="1"/>
        <v>0.33333333333333337</v>
      </c>
    </row>
    <row r="18" spans="1:7">
      <c r="A18" s="3">
        <v>45981</v>
      </c>
      <c r="B18" s="2">
        <f t="shared" si="0"/>
        <v>45981</v>
      </c>
      <c r="C18" s="1">
        <v>0.375</v>
      </c>
      <c r="D18" s="1">
        <v>0.75</v>
      </c>
      <c r="E18" s="1">
        <v>0.5</v>
      </c>
      <c r="F18" s="1">
        <v>0.54166666666666663</v>
      </c>
      <c r="G18" s="1">
        <f t="shared" si="1"/>
        <v>0.33333333333333337</v>
      </c>
    </row>
    <row r="19" spans="1:7">
      <c r="A19" s="3">
        <v>45982</v>
      </c>
      <c r="B19" s="2">
        <f t="shared" si="0"/>
        <v>45982</v>
      </c>
      <c r="C19" s="1">
        <v>0.375</v>
      </c>
      <c r="D19" s="1">
        <v>0.75</v>
      </c>
      <c r="E19" s="1">
        <v>0.5</v>
      </c>
      <c r="F19" s="1">
        <v>0.54166666666666663</v>
      </c>
      <c r="G19" s="1">
        <f t="shared" si="1"/>
        <v>0.33333333333333337</v>
      </c>
    </row>
    <row r="20" spans="1:7">
      <c r="A20" s="3">
        <v>45983</v>
      </c>
      <c r="B20" s="2">
        <f t="shared" si="0"/>
        <v>45983</v>
      </c>
      <c r="C20" s="1"/>
      <c r="D20" s="1"/>
      <c r="E20" s="1"/>
      <c r="F20" s="1"/>
      <c r="G20" s="1"/>
    </row>
    <row r="21" spans="1:7">
      <c r="A21" s="3">
        <v>45984</v>
      </c>
      <c r="B21" s="2">
        <f t="shared" si="0"/>
        <v>45984</v>
      </c>
      <c r="C21" s="1"/>
      <c r="D21" s="1"/>
      <c r="E21" s="1"/>
      <c r="F21" s="1"/>
      <c r="G21" s="1"/>
    </row>
    <row r="22" spans="1:7">
      <c r="A22" s="3">
        <v>45985</v>
      </c>
      <c r="B22" s="2">
        <f t="shared" si="0"/>
        <v>45985</v>
      </c>
      <c r="C22" s="1"/>
      <c r="D22" s="1"/>
      <c r="E22" s="1"/>
      <c r="F22" s="1"/>
      <c r="G22" s="1"/>
    </row>
    <row r="23" spans="1:7">
      <c r="A23" s="3">
        <v>45986</v>
      </c>
      <c r="B23" s="2">
        <f t="shared" si="0"/>
        <v>45986</v>
      </c>
      <c r="C23" s="1">
        <v>0.375</v>
      </c>
      <c r="D23" s="1">
        <v>0.75</v>
      </c>
      <c r="E23" s="1">
        <v>0.5</v>
      </c>
      <c r="F23" s="1">
        <v>0.54166666666666663</v>
      </c>
      <c r="G23" s="1">
        <f t="shared" si="1"/>
        <v>0.33333333333333337</v>
      </c>
    </row>
    <row r="24" spans="1:7">
      <c r="A24" s="3">
        <v>45987</v>
      </c>
      <c r="B24" s="2">
        <f t="shared" si="0"/>
        <v>45987</v>
      </c>
      <c r="C24" s="1">
        <v>0.375</v>
      </c>
      <c r="D24" s="1">
        <v>0.75</v>
      </c>
      <c r="E24" s="1">
        <v>0.5</v>
      </c>
      <c r="F24" s="1">
        <v>0.54166666666666663</v>
      </c>
      <c r="G24" s="1">
        <f t="shared" si="1"/>
        <v>0.33333333333333337</v>
      </c>
    </row>
    <row r="25" spans="1:7">
      <c r="A25" s="3">
        <v>45988</v>
      </c>
      <c r="B25" s="2">
        <f t="shared" si="0"/>
        <v>45988</v>
      </c>
      <c r="C25" s="1">
        <v>0.375</v>
      </c>
      <c r="D25" s="1">
        <v>0.75</v>
      </c>
      <c r="E25" s="1">
        <v>0.5</v>
      </c>
      <c r="F25" s="1">
        <v>0.54166666666666663</v>
      </c>
      <c r="G25" s="1">
        <f t="shared" si="1"/>
        <v>0.33333333333333337</v>
      </c>
    </row>
    <row r="26" spans="1:7">
      <c r="A26" s="3">
        <v>45989</v>
      </c>
      <c r="B26" s="2">
        <f t="shared" si="0"/>
        <v>45989</v>
      </c>
      <c r="C26" s="1">
        <v>0.375</v>
      </c>
      <c r="D26" s="1">
        <v>0.75</v>
      </c>
      <c r="E26" s="1">
        <v>0.5</v>
      </c>
      <c r="F26" s="1">
        <v>0.54166666666666663</v>
      </c>
      <c r="G26" s="1">
        <f t="shared" si="1"/>
        <v>0.33333333333333337</v>
      </c>
    </row>
    <row r="27" spans="1:7">
      <c r="A27" s="3">
        <v>45990</v>
      </c>
      <c r="B27" s="2">
        <f t="shared" si="0"/>
        <v>45990</v>
      </c>
      <c r="C27" s="1"/>
      <c r="D27" s="1"/>
      <c r="E27" s="1"/>
      <c r="F27" s="1"/>
      <c r="G27" s="1"/>
    </row>
    <row r="28" spans="1:7">
      <c r="A28" s="3">
        <v>45991</v>
      </c>
      <c r="B28" s="2">
        <f t="shared" si="0"/>
        <v>45991</v>
      </c>
      <c r="C28" s="1"/>
      <c r="D28" s="1"/>
      <c r="E28" s="1"/>
      <c r="F28" s="1"/>
      <c r="G28" s="1"/>
    </row>
    <row r="29" spans="1:7">
      <c r="G29" s="4">
        <f>SUM(G2:G28)</f>
        <v>5.989583333333333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EBF8-4B78-4906-A51A-36823792A42B}">
  <dimension ref="A1:C9"/>
  <sheetViews>
    <sheetView workbookViewId="0">
      <selection activeCell="B10" sqref="B10"/>
    </sheetView>
  </sheetViews>
  <sheetFormatPr defaultRowHeight="18"/>
  <cols>
    <col min="1" max="1" width="10.19921875" style="5" bestFit="1" customWidth="1"/>
    <col min="2" max="2" width="15.8984375" bestFit="1" customWidth="1"/>
    <col min="3" max="3" width="8.796875" style="6"/>
  </cols>
  <sheetData>
    <row r="1" spans="1:3">
      <c r="A1" s="5" t="s">
        <v>0</v>
      </c>
      <c r="B1" t="s">
        <v>7</v>
      </c>
      <c r="C1" s="6" t="s">
        <v>8</v>
      </c>
    </row>
    <row r="2" spans="1:3">
      <c r="A2" s="5">
        <v>45965</v>
      </c>
      <c r="B2" t="s">
        <v>9</v>
      </c>
      <c r="C2" s="6">
        <v>6</v>
      </c>
    </row>
    <row r="3" spans="1:3">
      <c r="A3" s="5">
        <v>45965</v>
      </c>
      <c r="B3" t="s">
        <v>10</v>
      </c>
      <c r="C3" s="6">
        <v>2</v>
      </c>
    </row>
    <row r="4" spans="1:3">
      <c r="A4" s="5">
        <v>45966</v>
      </c>
      <c r="B4" t="s">
        <v>10</v>
      </c>
      <c r="C4" s="6">
        <v>8</v>
      </c>
    </row>
    <row r="5" spans="1:3">
      <c r="A5" s="5">
        <v>45967</v>
      </c>
      <c r="B5" t="s">
        <v>10</v>
      </c>
      <c r="C5" s="6">
        <v>4</v>
      </c>
    </row>
    <row r="6" spans="1:3">
      <c r="A6" s="5">
        <v>45967</v>
      </c>
      <c r="B6" t="s">
        <v>11</v>
      </c>
      <c r="C6" s="6">
        <v>3</v>
      </c>
    </row>
    <row r="7" spans="1:3">
      <c r="A7" s="5">
        <v>45968</v>
      </c>
      <c r="B7" t="s">
        <v>11</v>
      </c>
      <c r="C7" s="6">
        <v>3</v>
      </c>
    </row>
    <row r="8" spans="1:3">
      <c r="A8" s="5">
        <v>45968</v>
      </c>
      <c r="B8" t="s">
        <v>10</v>
      </c>
      <c r="C8" s="6">
        <v>2</v>
      </c>
    </row>
    <row r="9" spans="1:3">
      <c r="A9" s="5">
        <v>45968</v>
      </c>
      <c r="B9" t="s">
        <v>12</v>
      </c>
      <c r="C9" s="6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雅美-MSYS</dc:creator>
  <cp:lastModifiedBy>Sato Masami-I-DIGIO</cp:lastModifiedBy>
  <cp:lastPrinted>2025-11-05T09:04:06Z</cp:lastPrinted>
  <dcterms:created xsi:type="dcterms:W3CDTF">2015-06-05T18:19:34Z</dcterms:created>
  <dcterms:modified xsi:type="dcterms:W3CDTF">2025-11-07T08:25:03Z</dcterms:modified>
</cp:coreProperties>
</file>