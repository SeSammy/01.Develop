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21252\Desktop\三井住友カード\02_要件定義準備\"/>
    </mc:Choice>
  </mc:AlternateContent>
  <xr:revisionPtr revIDLastSave="0" documentId="8_{61F12B25-E727-41B5-B2DB-3F2D8348B2DC}" xr6:coauthVersionLast="47" xr6:coauthVersionMax="47" xr10:uidLastSave="{00000000-0000-0000-0000-000000000000}"/>
  <bookViews>
    <workbookView xWindow="-108" yWindow="-108" windowWidth="23256" windowHeight="13896" xr2:uid="{0670571F-644D-4217-B222-E6B4A2161A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 l="1"/>
  <c r="A46" i="1"/>
  <c r="A45" i="1"/>
  <c r="A44" i="1"/>
  <c r="A43" i="1"/>
  <c r="A42" i="1"/>
  <c r="A41" i="1"/>
  <c r="A40" i="1"/>
  <c r="A39" i="1"/>
  <c r="A3" i="1" l="1"/>
  <c r="A4" i="1" s="1"/>
  <c r="A5" i="1" s="1"/>
  <c r="A6" i="1" s="1"/>
  <c r="A7" i="1" s="1"/>
  <c r="A8" i="1" s="1"/>
  <c r="A9" i="1" s="1"/>
  <c r="A10" i="1" l="1"/>
  <c r="A11" i="1" s="1"/>
  <c r="A12" i="1" s="1"/>
  <c r="A13" i="1" s="1"/>
  <c r="A14" i="1" s="1"/>
  <c r="A15" i="1" s="1"/>
  <c r="A16" i="1" s="1"/>
  <c r="A17" i="1" s="1"/>
  <c r="A18" i="1" l="1"/>
  <c r="A19" i="1" l="1"/>
  <c r="A20" i="1" s="1"/>
  <c r="A21" i="1" s="1"/>
  <c r="A22" i="1" s="1"/>
  <c r="A23" i="1" l="1"/>
  <c r="A24" i="1" l="1"/>
  <c r="A25" i="1" l="1"/>
  <c r="A26" i="1" s="1"/>
  <c r="A27" i="1" s="1"/>
  <c r="A28" i="1" s="1"/>
  <c r="A29" i="1" s="1"/>
  <c r="A30" i="1" s="1"/>
  <c r="A31" i="1" s="1"/>
  <c r="A32" i="1" l="1"/>
  <c r="A33" i="1" s="1"/>
  <c r="A34" i="1" s="1"/>
  <c r="A35" i="1" s="1"/>
  <c r="A36" i="1" s="1"/>
  <c r="A37" i="1" s="1"/>
  <c r="A38" i="1" s="1"/>
</calcChain>
</file>

<file path=xl/sharedStrings.xml><?xml version="1.0" encoding="utf-8"?>
<sst xmlns="http://schemas.openxmlformats.org/spreadsheetml/2006/main" count="338" uniqueCount="153">
  <si>
    <t>本書の目的</t>
    <rPh sb="0" eb="2">
      <t>ホンショ</t>
    </rPh>
    <rPh sb="3" eb="5">
      <t>モクテキ</t>
    </rPh>
    <phoneticPr fontId="2"/>
  </si>
  <si>
    <t>検討主体</t>
    <rPh sb="0" eb="4">
      <t>ケントウシュタイ</t>
    </rPh>
    <phoneticPr fontId="2"/>
  </si>
  <si>
    <t>JRI</t>
    <phoneticPr fontId="2"/>
  </si>
  <si>
    <t>PJ管理</t>
    <rPh sb="2" eb="4">
      <t>カンリ</t>
    </rPh>
    <phoneticPr fontId="2"/>
  </si>
  <si>
    <t>溝口</t>
    <rPh sb="0" eb="2">
      <t>ミゾグチ</t>
    </rPh>
    <phoneticPr fontId="2"/>
  </si>
  <si>
    <t>担当者</t>
    <rPh sb="0" eb="3">
      <t>タントウシャ</t>
    </rPh>
    <phoneticPr fontId="2"/>
  </si>
  <si>
    <t>担当チーム</t>
    <rPh sb="0" eb="2">
      <t>タントウ</t>
    </rPh>
    <phoneticPr fontId="2"/>
  </si>
  <si>
    <t>検討事項</t>
    <rPh sb="0" eb="2">
      <t>ケントウ</t>
    </rPh>
    <rPh sb="2" eb="4">
      <t>ジコウ</t>
    </rPh>
    <phoneticPr fontId="2"/>
  </si>
  <si>
    <t>優先順位</t>
    <rPh sb="0" eb="4">
      <t>ユウセンジュンイ</t>
    </rPh>
    <phoneticPr fontId="2"/>
  </si>
  <si>
    <t>最終更新日</t>
    <rPh sb="0" eb="2">
      <t>サイシュウ</t>
    </rPh>
    <rPh sb="2" eb="4">
      <t>コウシン</t>
    </rPh>
    <rPh sb="4" eb="5">
      <t>ヒ</t>
    </rPh>
    <phoneticPr fontId="2"/>
  </si>
  <si>
    <t>プロジェクト概要</t>
    <rPh sb="6" eb="8">
      <t>ガイヨウ</t>
    </rPh>
    <phoneticPr fontId="2"/>
  </si>
  <si>
    <t>本プロジェクトの目的</t>
    <rPh sb="0" eb="1">
      <t>ホン</t>
    </rPh>
    <rPh sb="8" eb="10">
      <t>モクテキ</t>
    </rPh>
    <phoneticPr fontId="2"/>
  </si>
  <si>
    <t>プロジェクト計画書から記載する。
①2028年2月にコンタクト共通基盤の保守期限を迎え、水準更改を基本とした次期基盤への更改を行う。
②更改費用削減を目的とした対応（①CTI基盤統合、②拠点設置機器のDC集約、③席数の見直しによるライセンス費用の削減）を行う。
③全体構成の変更対応（①仮想基盤の変更（Hyper-V基盤への移行）、②CTIアプリ製品の販売終了（Genesys T-Server）、③アウトバウンド製品販売終了（Genesys OCS））を行う。</t>
    <rPh sb="127" eb="128">
      <t>オコナ</t>
    </rPh>
    <rPh sb="228" eb="229">
      <t>オコナ</t>
    </rPh>
    <phoneticPr fontId="2"/>
  </si>
  <si>
    <t xml:space="preserve">
</t>
    <phoneticPr fontId="2"/>
  </si>
  <si>
    <t>項番</t>
    <rPh sb="0" eb="2">
      <t>コウバン</t>
    </rPh>
    <phoneticPr fontId="2"/>
  </si>
  <si>
    <t>記載箇所</t>
    <rPh sb="0" eb="2">
      <t>キサイ</t>
    </rPh>
    <rPh sb="2" eb="4">
      <t>カショ</t>
    </rPh>
    <phoneticPr fontId="2"/>
  </si>
  <si>
    <t>本プロジェクトにおける考慮点、制約</t>
    <rPh sb="0" eb="1">
      <t>ホン</t>
    </rPh>
    <rPh sb="11" eb="14">
      <t>コウリョテン</t>
    </rPh>
    <rPh sb="15" eb="17">
      <t>セイヤク</t>
    </rPh>
    <phoneticPr fontId="2"/>
  </si>
  <si>
    <t>本プロジェクト成果物一覧</t>
    <rPh sb="0" eb="1">
      <t>ホン</t>
    </rPh>
    <rPh sb="7" eb="10">
      <t>セイカブツ</t>
    </rPh>
    <rPh sb="10" eb="12">
      <t>イチラン</t>
    </rPh>
    <phoneticPr fontId="2"/>
  </si>
  <si>
    <t>項目、工程、内容：現行の成果物一覧の記載と同等とする
作成方針：ACD統合に伴い、作成方法を検討</t>
    <rPh sb="0" eb="2">
      <t>コウモク</t>
    </rPh>
    <rPh sb="3" eb="5">
      <t>コウテイ</t>
    </rPh>
    <rPh sb="6" eb="8">
      <t>ナイヨウ</t>
    </rPh>
    <rPh sb="9" eb="11">
      <t>ゲンコウ</t>
    </rPh>
    <rPh sb="12" eb="15">
      <t>セイカブツ</t>
    </rPh>
    <rPh sb="15" eb="17">
      <t>イチラン</t>
    </rPh>
    <rPh sb="18" eb="20">
      <t>キサイ</t>
    </rPh>
    <rPh sb="21" eb="23">
      <t>ドウトウ</t>
    </rPh>
    <rPh sb="27" eb="29">
      <t>サクセイ</t>
    </rPh>
    <rPh sb="29" eb="31">
      <t>ホウシン</t>
    </rPh>
    <rPh sb="35" eb="37">
      <t>トウゴウ</t>
    </rPh>
    <rPh sb="38" eb="39">
      <t>トモナ</t>
    </rPh>
    <rPh sb="41" eb="43">
      <t>サクセイ</t>
    </rPh>
    <rPh sb="43" eb="45">
      <t>ホウホウ</t>
    </rPh>
    <rPh sb="46" eb="48">
      <t>ケントウ</t>
    </rPh>
    <phoneticPr fontId="2"/>
  </si>
  <si>
    <t>検討経緯/結果</t>
    <rPh sb="0" eb="2">
      <t>ケントウ</t>
    </rPh>
    <rPh sb="2" eb="4">
      <t>ケイイ</t>
    </rPh>
    <rPh sb="5" eb="7">
      <t>ケッカ</t>
    </rPh>
    <phoneticPr fontId="2"/>
  </si>
  <si>
    <t>ステータス</t>
    <phoneticPr fontId="2"/>
  </si>
  <si>
    <t>分類</t>
    <rPh sb="0" eb="2">
      <t>ブンルイ</t>
    </rPh>
    <phoneticPr fontId="2"/>
  </si>
  <si>
    <t>SMCC
確認事項</t>
    <rPh sb="5" eb="7">
      <t>カクニン</t>
    </rPh>
    <rPh sb="7" eb="9">
      <t>ジコウ</t>
    </rPh>
    <phoneticPr fontId="2"/>
  </si>
  <si>
    <t>検討期限</t>
    <rPh sb="0" eb="2">
      <t>ケントウ</t>
    </rPh>
    <rPh sb="2" eb="4">
      <t>キゲン</t>
    </rPh>
    <phoneticPr fontId="2"/>
  </si>
  <si>
    <t>成果物の作成方針を決定する。</t>
    <rPh sb="0" eb="3">
      <t>セイカブツ</t>
    </rPh>
    <rPh sb="4" eb="6">
      <t>サクセイ</t>
    </rPh>
    <rPh sb="6" eb="8">
      <t>ホウシン</t>
    </rPh>
    <rPh sb="9" eb="11">
      <t>ケッテイ</t>
    </rPh>
    <phoneticPr fontId="2"/>
  </si>
  <si>
    <t>共同調達対象を明確にする。</t>
    <rPh sb="0" eb="2">
      <t>キョウドウ</t>
    </rPh>
    <rPh sb="2" eb="4">
      <t>チョウタツ</t>
    </rPh>
    <rPh sb="4" eb="6">
      <t>タイショウ</t>
    </rPh>
    <rPh sb="7" eb="9">
      <t>メイカク</t>
    </rPh>
    <phoneticPr fontId="2"/>
  </si>
  <si>
    <t>調達ベンダー/商流を明確にする。</t>
    <phoneticPr fontId="2"/>
  </si>
  <si>
    <t>MSYS</t>
    <phoneticPr fontId="2"/>
  </si>
  <si>
    <t>構成</t>
    <rPh sb="0" eb="2">
      <t>コウセイ</t>
    </rPh>
    <phoneticPr fontId="2"/>
  </si>
  <si>
    <t>プロダクト：PBX、その他（CTIはGenesys廃止に伴い削除）
機器/製品名：HW/MWに分けて記載する（Genesys廃止）
・HW：共通調達対象はアプライアンスサーバ、オープン系システム基盤（共通基盤）、Avaya/NICEの物理サーバとする
・MW：Avaya/NICE（CC One Portalも含める）
メーカ：現行とおり記載する
スペック選定：MSYS（IBMの記載を削除する）
所有者：JRI（現行どおり）</t>
    <rPh sb="12" eb="13">
      <t>タ</t>
    </rPh>
    <rPh sb="25" eb="27">
      <t>ハイシ</t>
    </rPh>
    <rPh sb="28" eb="29">
      <t>トモナ</t>
    </rPh>
    <rPh sb="30" eb="32">
      <t>サクジョ</t>
    </rPh>
    <rPh sb="34" eb="36">
      <t>キキ</t>
    </rPh>
    <rPh sb="37" eb="39">
      <t>セイヒン</t>
    </rPh>
    <rPh sb="39" eb="40">
      <t>メイ</t>
    </rPh>
    <rPh sb="47" eb="48">
      <t>ワ</t>
    </rPh>
    <rPh sb="50" eb="52">
      <t>キサイ</t>
    </rPh>
    <rPh sb="62" eb="64">
      <t>ハイシ</t>
    </rPh>
    <rPh sb="190" eb="192">
      <t>キサイ</t>
    </rPh>
    <rPh sb="193" eb="195">
      <t>サクジョ</t>
    </rPh>
    <phoneticPr fontId="2"/>
  </si>
  <si>
    <t>物理構成/論理構成を明確化する。
アプライアンスサーバ、オープン系システム基盤（共通基盤）、Avaya/NICEの物理サーバとする→機器ごとにどこに分類するかを明確にする。</t>
    <rPh sb="0" eb="2">
      <t>ブツリ</t>
    </rPh>
    <rPh sb="2" eb="4">
      <t>コウセイ</t>
    </rPh>
    <rPh sb="5" eb="7">
      <t>ロンリ</t>
    </rPh>
    <rPh sb="7" eb="9">
      <t>コウセイ</t>
    </rPh>
    <rPh sb="10" eb="13">
      <t>メイカクカ</t>
    </rPh>
    <rPh sb="80" eb="82">
      <t>メイカク</t>
    </rPh>
    <phoneticPr fontId="2"/>
  </si>
  <si>
    <t>SIP化関連で追加する機器/構成変更内容を明確にする。</t>
    <rPh sb="3" eb="4">
      <t>カ</t>
    </rPh>
    <rPh sb="4" eb="6">
      <t>カンレン</t>
    </rPh>
    <rPh sb="7" eb="9">
      <t>ツイカ</t>
    </rPh>
    <rPh sb="11" eb="13">
      <t>キキ</t>
    </rPh>
    <phoneticPr fontId="2"/>
  </si>
  <si>
    <t>AESの分離構成（ACD1,2,旧FS,受託先でAESを分割するか統合するか）を明確にする。</t>
    <rPh sb="4" eb="6">
      <t>ブンリ</t>
    </rPh>
    <rPh sb="6" eb="8">
      <t>コウセイ</t>
    </rPh>
    <rPh sb="40" eb="42">
      <t>メイカク</t>
    </rPh>
    <phoneticPr fontId="2"/>
  </si>
  <si>
    <t>ACD統合に伴い、メインサーバを大和/鰻谷どちらにするか決定する。</t>
    <rPh sb="3" eb="5">
      <t>トウゴウ</t>
    </rPh>
    <rPh sb="6" eb="7">
      <t>トモナ</t>
    </rPh>
    <rPh sb="16" eb="18">
      <t>ヤマト</t>
    </rPh>
    <rPh sb="19" eb="21">
      <t>ウナギダニ</t>
    </rPh>
    <rPh sb="28" eb="30">
      <t>ケッテイ</t>
    </rPh>
    <phoneticPr fontId="2"/>
  </si>
  <si>
    <t>事務用PBXとの接続構成を決定する。</t>
    <rPh sb="0" eb="3">
      <t>ジムヨウ</t>
    </rPh>
    <rPh sb="8" eb="10">
      <t>セツゾク</t>
    </rPh>
    <rPh sb="10" eb="12">
      <t>コウセイ</t>
    </rPh>
    <rPh sb="13" eb="15">
      <t>ケッテイ</t>
    </rPh>
    <phoneticPr fontId="2"/>
  </si>
  <si>
    <t>CTI基盤(PBX・CTI)システム要件（共同調達・構築対象機器）</t>
    <rPh sb="21" eb="23">
      <t>キョウドウ</t>
    </rPh>
    <rPh sb="23" eb="25">
      <t>チョウタツ</t>
    </rPh>
    <rPh sb="26" eb="28">
      <t>コウチク</t>
    </rPh>
    <rPh sb="28" eb="30">
      <t>タイショウ</t>
    </rPh>
    <rPh sb="30" eb="32">
      <t>キキ</t>
    </rPh>
    <phoneticPr fontId="2"/>
  </si>
  <si>
    <t>2.1
3.2</t>
    <phoneticPr fontId="2"/>
  </si>
  <si>
    <t>CTI基盤(PBX・CTI)システム要件（構成範囲）
CTI基盤外部連携対象（セディナ）</t>
    <rPh sb="21" eb="23">
      <t>コウセイ</t>
    </rPh>
    <rPh sb="23" eb="25">
      <t>ハンイ</t>
    </rPh>
    <phoneticPr fontId="2"/>
  </si>
  <si>
    <t xml:space="preserve">
</t>
    <phoneticPr fontId="2"/>
  </si>
  <si>
    <t>CTI基盤(PBX・CTI)システム要件（構成範囲）
CTI基盤外部連携対象（SMCC）
業務統計要件（SMCC）</t>
    <rPh sb="21" eb="23">
      <t>コウセイ</t>
    </rPh>
    <rPh sb="23" eb="25">
      <t>ハンイ</t>
    </rPh>
    <rPh sb="45" eb="47">
      <t>ギョウム</t>
    </rPh>
    <rPh sb="47" eb="49">
      <t>トウケイ</t>
    </rPh>
    <rPh sb="49" eb="51">
      <t>ヨウケン</t>
    </rPh>
    <phoneticPr fontId="2"/>
  </si>
  <si>
    <t>2.1
3.1
4.1</t>
    <phoneticPr fontId="2"/>
  </si>
  <si>
    <t>業務統計要件（SMCC）</t>
    <rPh sb="0" eb="2">
      <t>ギョウム</t>
    </rPh>
    <rPh sb="2" eb="4">
      <t>トウケイ</t>
    </rPh>
    <rPh sb="4" eb="6">
      <t>ヨウケン</t>
    </rPh>
    <phoneticPr fontId="2"/>
  </si>
  <si>
    <t>CC One Portalの記載を追加する。</t>
    <rPh sb="14" eb="16">
      <t>キサイ</t>
    </rPh>
    <rPh sb="17" eb="19">
      <t>ツイカ</t>
    </rPh>
    <phoneticPr fontId="2"/>
  </si>
  <si>
    <t>ACD統合に伴い、参照権限の付与について検討が必要となる。</t>
    <rPh sb="3" eb="5">
      <t>トウゴウ</t>
    </rPh>
    <rPh sb="6" eb="7">
      <t>トモナ</t>
    </rPh>
    <rPh sb="9" eb="11">
      <t>サンショウ</t>
    </rPh>
    <rPh sb="11" eb="13">
      <t>ケンゲン</t>
    </rPh>
    <rPh sb="14" eb="16">
      <t>フヨ</t>
    </rPh>
    <rPh sb="20" eb="22">
      <t>ケントウ</t>
    </rPh>
    <rPh sb="23" eb="25">
      <t>ヒツヨウ</t>
    </rPh>
    <phoneticPr fontId="2"/>
  </si>
  <si>
    <t>SMCC/セディナ間は参照出来て良いか。
受託先は現行どおりテナントごとに参照権限付与で良いか。</t>
    <rPh sb="9" eb="10">
      <t>カン</t>
    </rPh>
    <rPh sb="11" eb="13">
      <t>サンショウ</t>
    </rPh>
    <rPh sb="13" eb="15">
      <t>デキ</t>
    </rPh>
    <rPh sb="16" eb="17">
      <t>ヨ</t>
    </rPh>
    <rPh sb="21" eb="24">
      <t>ジュタクサキ</t>
    </rPh>
    <rPh sb="25" eb="27">
      <t>ゲンコウ</t>
    </rPh>
    <rPh sb="37" eb="41">
      <t>サンショウケンゲン</t>
    </rPh>
    <rPh sb="41" eb="43">
      <t>フヨ</t>
    </rPh>
    <rPh sb="44" eb="45">
      <t>ヨ</t>
    </rPh>
    <phoneticPr fontId="2"/>
  </si>
  <si>
    <t>ドキュメント修正</t>
    <rPh sb="6" eb="8">
      <t>シュウセイ</t>
    </rPh>
    <phoneticPr fontId="2"/>
  </si>
  <si>
    <t>検討</t>
    <rPh sb="0" eb="2">
      <t>ケントウ</t>
    </rPh>
    <phoneticPr fontId="2"/>
  </si>
  <si>
    <t>受託利用コールセンター管理アプリケーション</t>
    <rPh sb="0" eb="2">
      <t>ジュタク</t>
    </rPh>
    <rPh sb="2" eb="4">
      <t>リヨウ</t>
    </rPh>
    <rPh sb="11" eb="13">
      <t>カンリ</t>
    </rPh>
    <phoneticPr fontId="2"/>
  </si>
  <si>
    <t>仮想サーバリソース/ハードウェア要件</t>
    <phoneticPr fontId="2"/>
  </si>
  <si>
    <t>ACD統合に伴うスペックの見直しを行う。</t>
    <rPh sb="3" eb="5">
      <t>トウゴウ</t>
    </rPh>
    <rPh sb="6" eb="7">
      <t>トモナ</t>
    </rPh>
    <rPh sb="13" eb="15">
      <t>ミナオ</t>
    </rPh>
    <rPh sb="17" eb="18">
      <t>オコナ</t>
    </rPh>
    <phoneticPr fontId="2"/>
  </si>
  <si>
    <t>リソース</t>
    <phoneticPr fontId="2"/>
  </si>
  <si>
    <t>CTI基盤(PBX・CTI)システム要件（共同調達・構築対象機器）
CTI基盤(PBX・CTI)システム要件（PBX構成共通）
仮想サーバリソース/ハードウェア要件（物理機器）</t>
    <phoneticPr fontId="2"/>
  </si>
  <si>
    <t>2.2
2.3.2
5.2</t>
    <phoneticPr fontId="2"/>
  </si>
  <si>
    <t>ASG Defender廃止に伴うリモート通知/アクセスの検討が必要となる。</t>
    <rPh sb="12" eb="14">
      <t>ハイシ</t>
    </rPh>
    <rPh sb="15" eb="16">
      <t>トモナ</t>
    </rPh>
    <rPh sb="21" eb="23">
      <t>ツウチ</t>
    </rPh>
    <rPh sb="29" eb="31">
      <t>ケントウ</t>
    </rPh>
    <rPh sb="32" eb="34">
      <t>ヒツヨウ</t>
    </rPh>
    <phoneticPr fontId="2"/>
  </si>
  <si>
    <t>ソフトウェア要件</t>
    <rPh sb="6" eb="8">
      <t>ヨウケン</t>
    </rPh>
    <phoneticPr fontId="2"/>
  </si>
  <si>
    <t>バージョン最新化</t>
    <rPh sb="5" eb="8">
      <t>サイシンカ</t>
    </rPh>
    <phoneticPr fontId="2"/>
  </si>
  <si>
    <t>CTI基盤(PBX・CTI)システム要件（CTI基盤共通）
仮想サーバリソース/ハードウェア要件
ソフトウェア要件（仮想化音声基盤(PBX・CTI)）</t>
    <rPh sb="24" eb="26">
      <t>キバン</t>
    </rPh>
    <rPh sb="26" eb="28">
      <t>キョウツウ</t>
    </rPh>
    <phoneticPr fontId="2"/>
  </si>
  <si>
    <t>基礎数値・ライセンス数についてSMCCに確認する必要がある。</t>
    <rPh sb="0" eb="4">
      <t>キソスウチ</t>
    </rPh>
    <rPh sb="10" eb="11">
      <t>スウ</t>
    </rPh>
    <rPh sb="20" eb="22">
      <t>カクニン</t>
    </rPh>
    <rPh sb="24" eb="26">
      <t>ヒツヨウ</t>
    </rPh>
    <phoneticPr fontId="2"/>
  </si>
  <si>
    <t>システム冗長要件（仮想化音声基盤）</t>
    <rPh sb="4" eb="6">
      <t>ジョウチョウ</t>
    </rPh>
    <rPh sb="6" eb="8">
      <t>ヨウケン</t>
    </rPh>
    <rPh sb="9" eb="11">
      <t>カソウ</t>
    </rPh>
    <rPh sb="11" eb="12">
      <t>カ</t>
    </rPh>
    <rPh sb="12" eb="14">
      <t>オンセイ</t>
    </rPh>
    <rPh sb="14" eb="16">
      <t>キバン</t>
    </rPh>
    <phoneticPr fontId="2"/>
  </si>
  <si>
    <t>アプライアンスサーバ/オープン系システム基盤の可用性要件を検討する必要がある。</t>
    <rPh sb="15" eb="16">
      <t>ケイ</t>
    </rPh>
    <rPh sb="20" eb="22">
      <t>キバン</t>
    </rPh>
    <rPh sb="23" eb="26">
      <t>カヨウセイ</t>
    </rPh>
    <rPh sb="26" eb="28">
      <t>ヨウケン</t>
    </rPh>
    <rPh sb="29" eb="31">
      <t>ケントウ</t>
    </rPh>
    <rPh sb="33" eb="35">
      <t>ヒツヨウ</t>
    </rPh>
    <phoneticPr fontId="2"/>
  </si>
  <si>
    <t>番号計画</t>
    <rPh sb="0" eb="4">
      <t>バンゴウケイカク</t>
    </rPh>
    <phoneticPr fontId="2"/>
  </si>
  <si>
    <t>CTI基盤外部連携対象（SMCC）
仮想サーバリソース/ハードウェア要件（物理機器）
ソフトウェア要件（物理サーバ/物理機器）
システム冗長要件（物理サーバ/物理機器）</t>
    <phoneticPr fontId="2"/>
  </si>
  <si>
    <t>3.1
5.2
6.2
8.2</t>
    <phoneticPr fontId="2"/>
  </si>
  <si>
    <t>延滞PDAPを一つに集約可能か検討する必要がある。</t>
    <rPh sb="0" eb="2">
      <t>エンタイ</t>
    </rPh>
    <rPh sb="7" eb="8">
      <t>ヒト</t>
    </rPh>
    <rPh sb="10" eb="12">
      <t>シュウヤク</t>
    </rPh>
    <rPh sb="12" eb="14">
      <t>カノウ</t>
    </rPh>
    <rPh sb="15" eb="17">
      <t>ケントウ</t>
    </rPh>
    <rPh sb="19" eb="21">
      <t>ヒツヨウ</t>
    </rPh>
    <phoneticPr fontId="2"/>
  </si>
  <si>
    <t>CTI基盤外部連携対象（受託先）</t>
    <rPh sb="12" eb="15">
      <t>ジュタクサキ</t>
    </rPh>
    <phoneticPr fontId="2"/>
  </si>
  <si>
    <t>受託先IP電話機がタカコム録音と連携可能か確認が必要</t>
    <rPh sb="0" eb="3">
      <t>ジュタクサキ</t>
    </rPh>
    <rPh sb="5" eb="8">
      <t>デンワキ</t>
    </rPh>
    <rPh sb="13" eb="15">
      <t>ロクオン</t>
    </rPh>
    <rPh sb="16" eb="18">
      <t>レンケイ</t>
    </rPh>
    <rPh sb="18" eb="20">
      <t>カノウ</t>
    </rPh>
    <rPh sb="21" eb="23">
      <t>カクニン</t>
    </rPh>
    <rPh sb="24" eb="26">
      <t>ヒツヨウ</t>
    </rPh>
    <phoneticPr fontId="2"/>
  </si>
  <si>
    <t>要件定義の目的を記載する必要がある。</t>
    <rPh sb="0" eb="4">
      <t>ヨウケンテイギ</t>
    </rPh>
    <rPh sb="5" eb="7">
      <t>モクテキ</t>
    </rPh>
    <rPh sb="8" eb="10">
      <t>キサイ</t>
    </rPh>
    <rPh sb="12" eb="14">
      <t>ヒツヨウ</t>
    </rPh>
    <phoneticPr fontId="2"/>
  </si>
  <si>
    <t>プロジェクト概要を記載する必要がある。</t>
    <rPh sb="6" eb="8">
      <t>ガイヨウ</t>
    </rPh>
    <rPh sb="9" eb="11">
      <t>キサイ</t>
    </rPh>
    <rPh sb="13" eb="15">
      <t>ヒツヨウ</t>
    </rPh>
    <phoneticPr fontId="2"/>
  </si>
  <si>
    <t>プロジェクト目的を記載する必要がある。</t>
    <rPh sb="6" eb="8">
      <t>モクテキ</t>
    </rPh>
    <rPh sb="9" eb="11">
      <t>キサイ</t>
    </rPh>
    <rPh sb="13" eb="15">
      <t>ヒツヨウ</t>
    </rPh>
    <phoneticPr fontId="2"/>
  </si>
  <si>
    <t>プロジェクトの留意事項を記載する必要がある。</t>
    <rPh sb="7" eb="9">
      <t>リュウイ</t>
    </rPh>
    <rPh sb="9" eb="11">
      <t>ジコウ</t>
    </rPh>
    <rPh sb="12" eb="14">
      <t>キサイ</t>
    </rPh>
    <rPh sb="16" eb="18">
      <t>ヒツヨウ</t>
    </rPh>
    <phoneticPr fontId="2"/>
  </si>
  <si>
    <t>現行：
本要件定義書は、三井住友カード（以下SMCC）、セディナおよび受託個社にて利用しているCTI基盤のシステム更改要件を定義する。
次期：
本要件定義書は、三井住友カード（以下SMCC）、旧セディナおよび受託個社にて利用しているCTI基盤のシステム更改要件を定義する。</t>
    <phoneticPr fontId="2"/>
  </si>
  <si>
    <t>現行：
Avaya、Genesys、NICE、その他に関する共通化調達範囲の仮想音声基盤及びアプライアンス機器を更改の対象とする。
システム要件は、現行システムの要件（※）を基に、現行システム構築後の外部システム環境の変更や、製品パフォーマンスの向上といった要因を考慮・検討した上で決定する。
SMCC及び受託は、2020年3月末までに更改を完了させ、セディナは2019年12月から移行を開始し、移行期間詳細は関係者調整の上で決定し更改を完了させる。
次期：
Avaya、NICE、その他に関する共通化調達範囲のアプライアンス機器およびオープン系システム基盤を更改の対象とする。
システム要件は、現行システムの要件を基に、更改費用削減を目的とした対応に伴う変更点（①CTI基盤統合、②拠点設置機器のDC集約、③席数の見直しによるライセンス費用の削減）や全体構成の変更点（①仮想基盤の変更（Hyper-V基盤への移行）、②CTIアプリ製品の販売終了（Genesys T-Server）、③アウトバウンド製品販売終了（Genesys OCS））を考慮・検討した上で決定する。
2027年9月までにシステムテストを完了させ、2027年10月より移行を開始し、移行期間詳細は移行ショット数の削減検討の結果を含めて関係者調整の上で決定し更改を完了させる。</t>
    <rPh sb="0" eb="2">
      <t>ゲンコウ</t>
    </rPh>
    <rPh sb="227" eb="229">
      <t>ジキ</t>
    </rPh>
    <rPh sb="273" eb="274">
      <t>ケイ</t>
    </rPh>
    <rPh sb="278" eb="280">
      <t>キバン</t>
    </rPh>
    <rPh sb="295" eb="297">
      <t>ヨウケン</t>
    </rPh>
    <rPh sb="299" eb="301">
      <t>ゲンコウ</t>
    </rPh>
    <rPh sb="306" eb="308">
      <t>ヨウケン</t>
    </rPh>
    <rPh sb="309" eb="310">
      <t>モト</t>
    </rPh>
    <rPh sb="327" eb="328">
      <t>トモナ</t>
    </rPh>
    <rPh sb="329" eb="332">
      <t>ヘンコウテン</t>
    </rPh>
    <rPh sb="384" eb="385">
      <t>テン</t>
    </rPh>
    <rPh sb="472" eb="474">
      <t>コウリョ</t>
    </rPh>
    <rPh sb="475" eb="477">
      <t>ケントウ</t>
    </rPh>
    <rPh sb="479" eb="480">
      <t>ウエ</t>
    </rPh>
    <rPh sb="481" eb="483">
      <t>ケッテイ</t>
    </rPh>
    <rPh sb="491" eb="492">
      <t>ネン</t>
    </rPh>
    <rPh sb="493" eb="494">
      <t>ガツ</t>
    </rPh>
    <rPh sb="505" eb="507">
      <t>カンリョウ</t>
    </rPh>
    <rPh sb="514" eb="515">
      <t>ネン</t>
    </rPh>
    <rPh sb="517" eb="518">
      <t>ガツ</t>
    </rPh>
    <rPh sb="520" eb="522">
      <t>イコウ</t>
    </rPh>
    <rPh sb="523" eb="525">
      <t>カイシ</t>
    </rPh>
    <rPh sb="534" eb="536">
      <t>イコウ</t>
    </rPh>
    <rPh sb="540" eb="541">
      <t>スウ</t>
    </rPh>
    <rPh sb="542" eb="544">
      <t>サクゲン</t>
    </rPh>
    <rPh sb="544" eb="546">
      <t>ケントウ</t>
    </rPh>
    <rPh sb="547" eb="549">
      <t>ケッカ</t>
    </rPh>
    <rPh sb="550" eb="551">
      <t>フク</t>
    </rPh>
    <phoneticPr fontId="2"/>
  </si>
  <si>
    <t>Genesysに関する記載を削除</t>
    <phoneticPr fontId="2"/>
  </si>
  <si>
    <t>SMCC直商流システム・機器の対応方針を確認する必要がある。</t>
    <rPh sb="4" eb="7">
      <t>チョクショウリュウ</t>
    </rPh>
    <rPh sb="12" eb="14">
      <t>キキ</t>
    </rPh>
    <rPh sb="15" eb="17">
      <t>タイオウ</t>
    </rPh>
    <rPh sb="17" eb="19">
      <t>ホウシン</t>
    </rPh>
    <rPh sb="20" eb="22">
      <t>カクニン</t>
    </rPh>
    <rPh sb="24" eb="26">
      <t>ヒツヨウ</t>
    </rPh>
    <phoneticPr fontId="2"/>
  </si>
  <si>
    <t>セディナ直商流システム・機器の対応方針を確認する必要がある。</t>
    <rPh sb="4" eb="7">
      <t>チョクショウリュウ</t>
    </rPh>
    <rPh sb="12" eb="14">
      <t>キキ</t>
    </rPh>
    <rPh sb="15" eb="17">
      <t>タイオウ</t>
    </rPh>
    <rPh sb="17" eb="19">
      <t>ホウシン</t>
    </rPh>
    <rPh sb="20" eb="22">
      <t>カクニン</t>
    </rPh>
    <rPh sb="24" eb="26">
      <t>ヒツヨウ</t>
    </rPh>
    <phoneticPr fontId="2"/>
  </si>
  <si>
    <t>ACD統合に伴い、セディナCMSはシングル構成から冗長化構成に変更となる。</t>
    <rPh sb="3" eb="5">
      <t>トウゴウ</t>
    </rPh>
    <rPh sb="6" eb="7">
      <t>トモナ</t>
    </rPh>
    <rPh sb="21" eb="23">
      <t>コウセイ</t>
    </rPh>
    <rPh sb="25" eb="28">
      <t>ジョウチョウカ</t>
    </rPh>
    <rPh sb="28" eb="30">
      <t>コウセイ</t>
    </rPh>
    <rPh sb="31" eb="33">
      <t>ヘンコウ</t>
    </rPh>
    <phoneticPr fontId="2"/>
  </si>
  <si>
    <t>対象を明確にする
次期入会クライアント（GenAPP）、日次帳票、WFM、AmiVoice、VoiceRex</t>
    <rPh sb="0" eb="2">
      <t>タイショウ</t>
    </rPh>
    <rPh sb="3" eb="5">
      <t>メイカク</t>
    </rPh>
    <rPh sb="9" eb="11">
      <t>ジキ</t>
    </rPh>
    <rPh sb="11" eb="13">
      <t>ニュウカイ</t>
    </rPh>
    <rPh sb="28" eb="30">
      <t>ニチジ</t>
    </rPh>
    <rPh sb="30" eb="32">
      <t>チョウヒョウ</t>
    </rPh>
    <phoneticPr fontId="2"/>
  </si>
  <si>
    <t>SMCCのG450設置場所確認</t>
    <rPh sb="9" eb="11">
      <t>セッチ</t>
    </rPh>
    <rPh sb="11" eb="13">
      <t>バショ</t>
    </rPh>
    <rPh sb="13" eb="15">
      <t>カクニン</t>
    </rPh>
    <phoneticPr fontId="2"/>
  </si>
  <si>
    <t>対象を明確にする
OMCｺｰﾙEvery（CINAPS）、入会クライアント（IBIS）、ACEクライアント
CF-IVR、QMC、OMC-IVR、APC</t>
    <rPh sb="0" eb="2">
      <t>タイショウ</t>
    </rPh>
    <rPh sb="3" eb="5">
      <t>メイカク</t>
    </rPh>
    <rPh sb="29" eb="31">
      <t>ニュウカイ</t>
    </rPh>
    <phoneticPr fontId="2"/>
  </si>
  <si>
    <t>延滞管理のCMS連携の廃止について確認が必要</t>
    <rPh sb="0" eb="4">
      <t>エンタイカンリ</t>
    </rPh>
    <rPh sb="8" eb="10">
      <t>レンケイ</t>
    </rPh>
    <rPh sb="11" eb="13">
      <t>ハイシ</t>
    </rPh>
    <rPh sb="17" eb="19">
      <t>カクニン</t>
    </rPh>
    <rPh sb="20" eb="22">
      <t>ヒツヨウ</t>
    </rPh>
    <phoneticPr fontId="2"/>
  </si>
  <si>
    <t>ACD統合に伴い、受託先の鰻谷接続構成について検討が必要</t>
    <rPh sb="3" eb="5">
      <t>トウゴウ</t>
    </rPh>
    <rPh sb="6" eb="7">
      <t>トモナ</t>
    </rPh>
    <rPh sb="9" eb="12">
      <t>ジュタクサキ</t>
    </rPh>
    <rPh sb="13" eb="15">
      <t>ウナギダニ</t>
    </rPh>
    <rPh sb="15" eb="17">
      <t>セツゾク</t>
    </rPh>
    <rPh sb="17" eb="19">
      <t>コウセイ</t>
    </rPh>
    <rPh sb="23" eb="25">
      <t>ケントウ</t>
    </rPh>
    <rPh sb="26" eb="28">
      <t>ヒツヨウ</t>
    </rPh>
    <phoneticPr fontId="2"/>
  </si>
  <si>
    <t>3.2
4.4</t>
    <phoneticPr fontId="2"/>
  </si>
  <si>
    <t>CTI基盤外部連携対象（セディナ）
延滞管理システムとの統計連携</t>
    <rPh sb="18" eb="22">
      <t>エンタイカンリ</t>
    </rPh>
    <rPh sb="28" eb="30">
      <t>トウケイ</t>
    </rPh>
    <rPh sb="30" eb="32">
      <t>レンケイ</t>
    </rPh>
    <phoneticPr fontId="2"/>
  </si>
  <si>
    <t>受託利用コールセンター管理アプリケーションの記載を削除</t>
    <rPh sb="22" eb="24">
      <t>キサイ</t>
    </rPh>
    <rPh sb="25" eb="27">
      <t>サクジョ</t>
    </rPh>
    <phoneticPr fontId="2"/>
  </si>
  <si>
    <t>仮想サーバリソース/ハードウェア要件（仮想化音声基盤）</t>
    <rPh sb="19" eb="22">
      <t>カソウカ</t>
    </rPh>
    <rPh sb="22" eb="24">
      <t>オンセイ</t>
    </rPh>
    <rPh sb="24" eb="26">
      <t>キバン</t>
    </rPh>
    <phoneticPr fontId="2"/>
  </si>
  <si>
    <t>アプライアンスサーバ/オープン系システム基盤のどちらで構成するかを明記する。</t>
    <rPh sb="15" eb="16">
      <t>ケイ</t>
    </rPh>
    <rPh sb="20" eb="22">
      <t>キバン</t>
    </rPh>
    <rPh sb="27" eb="29">
      <t>コウセイ</t>
    </rPh>
    <rPh sb="33" eb="35">
      <t>メイキ</t>
    </rPh>
    <phoneticPr fontId="2"/>
  </si>
  <si>
    <t>電話機のSIP化の検討（SIP/H323）、機器の最新化が必要となる。</t>
    <rPh sb="0" eb="2">
      <t>デンワ</t>
    </rPh>
    <rPh sb="2" eb="3">
      <t>キ</t>
    </rPh>
    <rPh sb="7" eb="8">
      <t>カ</t>
    </rPh>
    <rPh sb="9" eb="11">
      <t>ケントウ</t>
    </rPh>
    <rPh sb="22" eb="24">
      <t>キキ</t>
    </rPh>
    <rPh sb="25" eb="28">
      <t>サイシンカ</t>
    </rPh>
    <rPh sb="29" eb="31">
      <t>ヒツヨウ</t>
    </rPh>
    <phoneticPr fontId="2"/>
  </si>
  <si>
    <t>ACD統合に伴うバックアップサイズの見直しを行う必要がある。</t>
    <rPh sb="3" eb="5">
      <t>トウゴウ</t>
    </rPh>
    <rPh sb="6" eb="7">
      <t>トモナ</t>
    </rPh>
    <rPh sb="18" eb="20">
      <t>ミナオ</t>
    </rPh>
    <rPh sb="22" eb="23">
      <t>オコナ</t>
    </rPh>
    <rPh sb="24" eb="26">
      <t>ヒツヨウ</t>
    </rPh>
    <phoneticPr fontId="2"/>
  </si>
  <si>
    <t>仮想サーバリソース/ハードウェア要件（その他サーバ）</t>
    <phoneticPr fontId="2"/>
  </si>
  <si>
    <t>5.1.3</t>
    <phoneticPr fontId="2"/>
  </si>
  <si>
    <t>2.3.1
5.
6.1.1</t>
    <phoneticPr fontId="2"/>
  </si>
  <si>
    <t>6.1.1</t>
    <phoneticPr fontId="2"/>
  </si>
  <si>
    <t>CTI基盤(PBX・CTI)システム要件（CTI基盤共通）
CTI基盤(PBX・CTI)システム要件（個社ごとの構成）
CTI基盤外部連携対象（SMCC）
CTI基盤外部連携対象（セディナ）
CTI基盤外部連携対象（受託）
仮想サーバリソース/ハードウェア要件
ソフトウェア要件（仮想化音声基盤(PBX・CTI)）
システム冗長要件（PBX）</t>
    <rPh sb="24" eb="26">
      <t>キバン</t>
    </rPh>
    <rPh sb="26" eb="28">
      <t>キョウツウ</t>
    </rPh>
    <phoneticPr fontId="2"/>
  </si>
  <si>
    <t>CTI基盤(PBX・CTI)システム要件（CMS構成共通）
業務統計要件（セディナ）
システム冗長要件（PBX）</t>
    <rPh sb="24" eb="26">
      <t>コウセイ</t>
    </rPh>
    <rPh sb="30" eb="32">
      <t>ギョウム</t>
    </rPh>
    <rPh sb="32" eb="34">
      <t>トウケイ</t>
    </rPh>
    <rPh sb="34" eb="36">
      <t>ヨウケン</t>
    </rPh>
    <phoneticPr fontId="2"/>
  </si>
  <si>
    <t>2.3.3
4.2
8.1.1</t>
    <phoneticPr fontId="2"/>
  </si>
  <si>
    <t>2.3.1
2.3.6
3.1
3.2
3.3
5.
6.1.1
8.1.1</t>
    <phoneticPr fontId="2"/>
  </si>
  <si>
    <t>8.1
17.1.3</t>
    <phoneticPr fontId="2"/>
  </si>
  <si>
    <t>ACD統合に伴い、番号計画の見直しを行う。</t>
    <rPh sb="3" eb="5">
      <t>トウゴウ</t>
    </rPh>
    <rPh sb="6" eb="7">
      <t>トモナ</t>
    </rPh>
    <rPh sb="9" eb="11">
      <t>バンゴウ</t>
    </rPh>
    <rPh sb="11" eb="13">
      <t>ケイカク</t>
    </rPh>
    <rPh sb="14" eb="16">
      <t>ミナオ</t>
    </rPh>
    <rPh sb="18" eb="19">
      <t>オコナ</t>
    </rPh>
    <phoneticPr fontId="2"/>
  </si>
  <si>
    <t>MSYS案を作成し、他シス影響も含めて協議</t>
    <rPh sb="4" eb="5">
      <t>アン</t>
    </rPh>
    <rPh sb="6" eb="8">
      <t>サクセイ</t>
    </rPh>
    <rPh sb="10" eb="11">
      <t>タ</t>
    </rPh>
    <rPh sb="13" eb="15">
      <t>エイキョウ</t>
    </rPh>
    <rPh sb="16" eb="17">
      <t>フク</t>
    </rPh>
    <rPh sb="19" eb="21">
      <t>キョウギ</t>
    </rPh>
    <phoneticPr fontId="2"/>
  </si>
  <si>
    <t>SMCCG450のDC集約に伴い、外線発信方式の見直しが必要</t>
    <rPh sb="11" eb="13">
      <t>シュウヤク</t>
    </rPh>
    <rPh sb="14" eb="15">
      <t>トモナ</t>
    </rPh>
    <rPh sb="17" eb="19">
      <t>ガイセン</t>
    </rPh>
    <rPh sb="19" eb="21">
      <t>ハッシン</t>
    </rPh>
    <rPh sb="21" eb="23">
      <t>ホウシキ</t>
    </rPh>
    <rPh sb="24" eb="26">
      <t>ミナオ</t>
    </rPh>
    <rPh sb="28" eb="30">
      <t>ヒツヨウ</t>
    </rPh>
    <phoneticPr fontId="2"/>
  </si>
  <si>
    <t>10.1.2</t>
    <phoneticPr fontId="2"/>
  </si>
  <si>
    <t>外線発信</t>
    <rPh sb="0" eb="4">
      <t>ガイセンハッシン</t>
    </rPh>
    <phoneticPr fontId="2"/>
  </si>
  <si>
    <t>ACD統合に伴い、BSRフローの廃止が必要</t>
    <rPh sb="3" eb="5">
      <t>トウゴウ</t>
    </rPh>
    <rPh sb="6" eb="7">
      <t>トモナ</t>
    </rPh>
    <rPh sb="16" eb="18">
      <t>ハイシ</t>
    </rPh>
    <rPh sb="19" eb="21">
      <t>ヒツヨウ</t>
    </rPh>
    <phoneticPr fontId="2"/>
  </si>
  <si>
    <t>10.1.4</t>
    <phoneticPr fontId="2"/>
  </si>
  <si>
    <t>ACD、コールフロー機能</t>
    <rPh sb="10" eb="12">
      <t>キノウ</t>
    </rPh>
    <phoneticPr fontId="2"/>
  </si>
  <si>
    <t>番号計画
ACD、コールフロー機能（VDN、Vector番号帯の変更）
スキルグループ（スキル番号帯の変更）</t>
    <rPh sb="0" eb="2">
      <t>バンゴウ</t>
    </rPh>
    <rPh sb="2" eb="4">
      <t>ケイカク</t>
    </rPh>
    <rPh sb="15" eb="17">
      <t>キノウ</t>
    </rPh>
    <rPh sb="28" eb="30">
      <t>バンゴウ</t>
    </rPh>
    <rPh sb="30" eb="31">
      <t>タイ</t>
    </rPh>
    <rPh sb="32" eb="34">
      <t>ヘンコウ</t>
    </rPh>
    <rPh sb="47" eb="49">
      <t>バンゴウ</t>
    </rPh>
    <rPh sb="49" eb="50">
      <t>タイ</t>
    </rPh>
    <rPh sb="51" eb="53">
      <t>ヘンコウ</t>
    </rPh>
    <phoneticPr fontId="2"/>
  </si>
  <si>
    <t>10.1.1
10.1.4
10.1.5</t>
    <phoneticPr fontId="2"/>
  </si>
  <si>
    <t>アナウンスの再生方式を検討する必要がある（G450またはMS）</t>
    <rPh sb="6" eb="8">
      <t>サイセイ</t>
    </rPh>
    <rPh sb="8" eb="10">
      <t>ホウシキ</t>
    </rPh>
    <rPh sb="11" eb="13">
      <t>ケントウ</t>
    </rPh>
    <rPh sb="15" eb="17">
      <t>ヒツヨウ</t>
    </rPh>
    <phoneticPr fontId="2"/>
  </si>
  <si>
    <t>10.1.7</t>
    <phoneticPr fontId="2"/>
  </si>
  <si>
    <t>待ち呼機能</t>
    <rPh sb="0" eb="1">
      <t>マ</t>
    </rPh>
    <rPh sb="2" eb="3">
      <t>コ</t>
    </rPh>
    <rPh sb="3" eb="5">
      <t>キノウ</t>
    </rPh>
    <phoneticPr fontId="2"/>
  </si>
  <si>
    <t>アナウンス機能
保留音発出機能</t>
    <rPh sb="5" eb="7">
      <t>キノウ</t>
    </rPh>
    <rPh sb="8" eb="11">
      <t>ホリュウオン</t>
    </rPh>
    <rPh sb="11" eb="13">
      <t>ハッシュツ</t>
    </rPh>
    <rPh sb="13" eb="15">
      <t>キノウ</t>
    </rPh>
    <phoneticPr fontId="2"/>
  </si>
  <si>
    <t>10.1.6
10.1.9</t>
    <phoneticPr fontId="2"/>
  </si>
  <si>
    <t>待ち呼機能（待ち呼鳴動電話機、待ち呼ボタン表示、待ち呼表示ディスプレイ）の利用有無を確認</t>
    <rPh sb="0" eb="1">
      <t>マ</t>
    </rPh>
    <rPh sb="2" eb="3">
      <t>コ</t>
    </rPh>
    <rPh sb="3" eb="5">
      <t>キノウ</t>
    </rPh>
    <rPh sb="6" eb="7">
      <t>マ</t>
    </rPh>
    <rPh sb="8" eb="9">
      <t>コ</t>
    </rPh>
    <rPh sb="9" eb="11">
      <t>メイドウ</t>
    </rPh>
    <rPh sb="11" eb="14">
      <t>デンワキ</t>
    </rPh>
    <rPh sb="15" eb="16">
      <t>マ</t>
    </rPh>
    <rPh sb="17" eb="18">
      <t>コ</t>
    </rPh>
    <rPh sb="21" eb="23">
      <t>ヒョウジ</t>
    </rPh>
    <rPh sb="24" eb="25">
      <t>マ</t>
    </rPh>
    <rPh sb="26" eb="27">
      <t>コ</t>
    </rPh>
    <rPh sb="27" eb="29">
      <t>ヒョウジ</t>
    </rPh>
    <rPh sb="37" eb="39">
      <t>リヨウ</t>
    </rPh>
    <rPh sb="39" eb="41">
      <t>ウム</t>
    </rPh>
    <rPh sb="42" eb="44">
      <t>カクニン</t>
    </rPh>
    <phoneticPr fontId="2"/>
  </si>
  <si>
    <t>CMSレポート参照機能
CMSコールセンター管理機能
モニタリング機能</t>
    <rPh sb="7" eb="9">
      <t>サンショウ</t>
    </rPh>
    <rPh sb="9" eb="11">
      <t>キノウ</t>
    </rPh>
    <rPh sb="22" eb="24">
      <t>カンリ</t>
    </rPh>
    <rPh sb="24" eb="26">
      <t>キノウ</t>
    </rPh>
    <rPh sb="33" eb="35">
      <t>キノウ</t>
    </rPh>
    <phoneticPr fontId="2"/>
  </si>
  <si>
    <t>4.5
4.6
10.1.8</t>
    <phoneticPr fontId="2"/>
  </si>
  <si>
    <t>発信番号表示の変更についてSMCCに確認が必要</t>
    <rPh sb="0" eb="4">
      <t>ハッシンバンゴウ</t>
    </rPh>
    <rPh sb="4" eb="6">
      <t>ヒョウジ</t>
    </rPh>
    <rPh sb="7" eb="9">
      <t>ヘンコウ</t>
    </rPh>
    <rPh sb="18" eb="20">
      <t>カクニン</t>
    </rPh>
    <rPh sb="21" eb="23">
      <t>ヒツヨウ</t>
    </rPh>
    <phoneticPr fontId="2"/>
  </si>
  <si>
    <t>10.1.10</t>
    <phoneticPr fontId="2"/>
  </si>
  <si>
    <t>発信番号通知機能</t>
    <rPh sb="0" eb="2">
      <t>ハッシン</t>
    </rPh>
    <rPh sb="2" eb="4">
      <t>バンゴウ</t>
    </rPh>
    <rPh sb="4" eb="6">
      <t>ツウチ</t>
    </rPh>
    <rPh sb="6" eb="8">
      <t>キノウ</t>
    </rPh>
    <phoneticPr fontId="2"/>
  </si>
  <si>
    <t>廃止についてSMCCに確認が必要</t>
    <rPh sb="0" eb="2">
      <t>ハイシ</t>
    </rPh>
    <rPh sb="11" eb="13">
      <t>カクニン</t>
    </rPh>
    <rPh sb="14" eb="16">
      <t>ヒツヨウ</t>
    </rPh>
    <phoneticPr fontId="2"/>
  </si>
  <si>
    <t>10.1.11</t>
    <phoneticPr fontId="2"/>
  </si>
  <si>
    <t>FAX、デジタル、アナログ内線電話機</t>
    <rPh sb="13" eb="18">
      <t>ナイセンデンワキ</t>
    </rPh>
    <phoneticPr fontId="2"/>
  </si>
  <si>
    <t>5.2
6.2
8.2
10.1.12</t>
    <phoneticPr fontId="2"/>
  </si>
  <si>
    <t>仮想サーバリソース/ハードウェア要件（物理機器）
ソフトウェア要件（物理サーバ/物理機器）
システム冗長要件（物理サーバ/物理機器）
IP電話機</t>
    <rPh sb="19" eb="21">
      <t>ブツリ</t>
    </rPh>
    <rPh sb="21" eb="23">
      <t>キキ</t>
    </rPh>
    <rPh sb="34" eb="36">
      <t>ブツリ</t>
    </rPh>
    <rPh sb="40" eb="42">
      <t>ブツリ</t>
    </rPh>
    <rPh sb="42" eb="44">
      <t>キキ</t>
    </rPh>
    <rPh sb="69" eb="72">
      <t>デンワキ</t>
    </rPh>
    <phoneticPr fontId="2"/>
  </si>
  <si>
    <t>電話機のボタンレイアウトについてSMCに確認が必要</t>
    <rPh sb="0" eb="2">
      <t>デンワ</t>
    </rPh>
    <rPh sb="2" eb="3">
      <t>キ</t>
    </rPh>
    <rPh sb="20" eb="22">
      <t>カクニン</t>
    </rPh>
    <rPh sb="23" eb="25">
      <t>ヒツヨウ</t>
    </rPh>
    <phoneticPr fontId="2"/>
  </si>
  <si>
    <t>10.1.13</t>
    <phoneticPr fontId="2"/>
  </si>
  <si>
    <t>電話機のボタンレイアウト</t>
    <rPh sb="0" eb="2">
      <t>デンワ</t>
    </rPh>
    <rPh sb="2" eb="3">
      <t>キ</t>
    </rPh>
    <phoneticPr fontId="2"/>
  </si>
  <si>
    <t>2.3.6
10.1.3
10.1.15</t>
    <phoneticPr fontId="2"/>
  </si>
  <si>
    <t>CTI基盤(PBX・CTI)システム要件（個社構成）
内線発信
他PBX接続</t>
    <rPh sb="21" eb="23">
      <t>コシャ</t>
    </rPh>
    <rPh sb="23" eb="25">
      <t>コウセイ</t>
    </rPh>
    <rPh sb="27" eb="31">
      <t>ナイセンハッシン</t>
    </rPh>
    <rPh sb="32" eb="33">
      <t>タ</t>
    </rPh>
    <rPh sb="36" eb="38">
      <t>セツゾク</t>
    </rPh>
    <phoneticPr fontId="2"/>
  </si>
  <si>
    <t>ACD統合に伴い、IVR接続構成の検討が必要</t>
    <rPh sb="3" eb="5">
      <t>トウゴウ</t>
    </rPh>
    <rPh sb="6" eb="7">
      <t>トモナ</t>
    </rPh>
    <rPh sb="12" eb="14">
      <t>セツゾク</t>
    </rPh>
    <rPh sb="14" eb="16">
      <t>コウセイ</t>
    </rPh>
    <rPh sb="17" eb="19">
      <t>ケントウ</t>
    </rPh>
    <rPh sb="20" eb="22">
      <t>ヒツヨウ</t>
    </rPh>
    <phoneticPr fontId="2"/>
  </si>
  <si>
    <t>10.1.14</t>
    <phoneticPr fontId="2"/>
  </si>
  <si>
    <t>IVR接続</t>
    <rPh sb="3" eb="5">
      <t>セツゾク</t>
    </rPh>
    <phoneticPr fontId="2"/>
  </si>
  <si>
    <t>6.2
7.
10.1.16</t>
    <phoneticPr fontId="2"/>
  </si>
  <si>
    <t>ソフトウェア要件（物理サーバ/物理機器）
キャパシティ要件
外線接続</t>
    <rPh sb="6" eb="8">
      <t>ヨウケン</t>
    </rPh>
    <rPh sb="9" eb="11">
      <t>ブツリ</t>
    </rPh>
    <rPh sb="15" eb="17">
      <t>ブツリ</t>
    </rPh>
    <rPh sb="17" eb="19">
      <t>キキ</t>
    </rPh>
    <rPh sb="27" eb="29">
      <t>ヨウケン</t>
    </rPh>
    <rPh sb="30" eb="34">
      <t>ガイセンセツゾク</t>
    </rPh>
    <phoneticPr fontId="2"/>
  </si>
  <si>
    <t>仮想サーバリソース/ハードウェア要件（その他サーバ）
ソフトウェア要件（その他サーバ）
システム冗長要件（その他サーバ）
AES Webサービス機能（SMS管理機能）</t>
    <rPh sb="21" eb="22">
      <t>タ</t>
    </rPh>
    <rPh sb="38" eb="39">
      <t>タ</t>
    </rPh>
    <rPh sb="48" eb="50">
      <t>ジョウチョウ</t>
    </rPh>
    <rPh sb="50" eb="52">
      <t>ヨウケン</t>
    </rPh>
    <rPh sb="55" eb="56">
      <t>タ</t>
    </rPh>
    <phoneticPr fontId="2"/>
  </si>
  <si>
    <t>5.1.3
6.1.3
8.1.3
10.1.17</t>
    <phoneticPr fontId="2"/>
  </si>
  <si>
    <t>機能廃止</t>
    <rPh sb="0" eb="2">
      <t>キノウ</t>
    </rPh>
    <rPh sb="2" eb="4">
      <t>ハイシ</t>
    </rPh>
    <phoneticPr fontId="2"/>
  </si>
  <si>
    <t>10.1.18
10.2.3
10.2.4
10.2.5
10.2.6</t>
    <phoneticPr fontId="2"/>
  </si>
  <si>
    <t>PD発信キャリア切断理由コードハンドリング要件（ディテクション）
プレビュー発信
プレディクティブ発信
コンフィグ設定変更
アウトバウンド設定変更</t>
    <rPh sb="38" eb="40">
      <t>ハッシン</t>
    </rPh>
    <rPh sb="49" eb="51">
      <t>ハッシン</t>
    </rPh>
    <rPh sb="57" eb="59">
      <t>セッテイ</t>
    </rPh>
    <rPh sb="59" eb="61">
      <t>ヘンコウ</t>
    </rPh>
    <rPh sb="69" eb="71">
      <t>セッテイ</t>
    </rPh>
    <rPh sb="71" eb="73">
      <t>ヘンコウ</t>
    </rPh>
    <phoneticPr fontId="2"/>
  </si>
  <si>
    <t>Genesys T-Server廃止に伴う変更点を明確にする必要がある。
※StationLinkからAES接続となる</t>
    <rPh sb="16" eb="18">
      <t>ハイシ</t>
    </rPh>
    <rPh sb="19" eb="20">
      <t>トモナ</t>
    </rPh>
    <rPh sb="21" eb="24">
      <t>ヘンコウテン</t>
    </rPh>
    <rPh sb="25" eb="27">
      <t>メイカク</t>
    </rPh>
    <rPh sb="30" eb="32">
      <t>ヒツヨウ</t>
    </rPh>
    <rPh sb="54" eb="56">
      <t>セツゾク</t>
    </rPh>
    <phoneticPr fontId="2"/>
  </si>
  <si>
    <t>ACD統合に伴い、受託先のESS利用が可能になる</t>
    <rPh sb="3" eb="5">
      <t>トウゴウ</t>
    </rPh>
    <rPh sb="6" eb="7">
      <t>トモナ</t>
    </rPh>
    <rPh sb="9" eb="11">
      <t>ジュタク</t>
    </rPh>
    <rPh sb="11" eb="12">
      <t>サキ</t>
    </rPh>
    <rPh sb="16" eb="18">
      <t>リヨウ</t>
    </rPh>
    <rPh sb="19" eb="21">
      <t>カノウ</t>
    </rPh>
    <phoneticPr fontId="2"/>
  </si>
  <si>
    <t>17.1.1</t>
    <phoneticPr fontId="2"/>
  </si>
  <si>
    <t>障害内容の整理（前提）</t>
    <phoneticPr fontId="2"/>
  </si>
  <si>
    <t>ACD統合に伴い、同じ影響になることを記載する</t>
    <rPh sb="3" eb="5">
      <t>トウゴウ</t>
    </rPh>
    <rPh sb="6" eb="7">
      <t>トモナ</t>
    </rPh>
    <rPh sb="9" eb="10">
      <t>オナ</t>
    </rPh>
    <rPh sb="11" eb="13">
      <t>エイキョウ</t>
    </rPh>
    <rPh sb="19" eb="21">
      <t>キサイ</t>
    </rPh>
    <phoneticPr fontId="2"/>
  </si>
  <si>
    <t>17.1.3</t>
    <phoneticPr fontId="2"/>
  </si>
  <si>
    <t>障害ポイント</t>
    <phoneticPr fontId="2"/>
  </si>
  <si>
    <t>DC集約に伴い、SMCC/セディナの記載を統合する</t>
    <rPh sb="2" eb="4">
      <t>シュウヤク</t>
    </rPh>
    <rPh sb="5" eb="6">
      <t>トモナ</t>
    </rPh>
    <rPh sb="18" eb="20">
      <t>キサイ</t>
    </rPh>
    <rPh sb="21" eb="23">
      <t>トウゴウ</t>
    </rPh>
    <phoneticPr fontId="2"/>
  </si>
  <si>
    <t>障害ポイント（物理機器PBX）</t>
    <rPh sb="0" eb="2">
      <t>ショウガイ</t>
    </rPh>
    <rPh sb="7" eb="9">
      <t>ブツリ</t>
    </rPh>
    <rPh sb="9" eb="11">
      <t>キキ</t>
    </rPh>
    <phoneticPr fontId="2"/>
  </si>
  <si>
    <t>CTI基盤(PBX・CTI)システム要件（AES構成共通）
CTI基盤外部連携対象（SMCC）
CTI基盤外部連携対象（セディナ）
CTI基盤外部連携対象（受託）
システム冗長要件（PBX）
シングル構成機器障害影響</t>
    <rPh sb="24" eb="26">
      <t>コウセイ</t>
    </rPh>
    <rPh sb="26" eb="28">
      <t>キョウツウ</t>
    </rPh>
    <rPh sb="33" eb="35">
      <t>キバン</t>
    </rPh>
    <rPh sb="35" eb="37">
      <t>ガイブ</t>
    </rPh>
    <rPh sb="37" eb="39">
      <t>レンケイ</t>
    </rPh>
    <rPh sb="39" eb="41">
      <t>タイショウ</t>
    </rPh>
    <rPh sb="51" eb="53">
      <t>キバン</t>
    </rPh>
    <rPh sb="53" eb="55">
      <t>ガイブ</t>
    </rPh>
    <rPh sb="55" eb="57">
      <t>レンケイ</t>
    </rPh>
    <rPh sb="57" eb="59">
      <t>タイショウ</t>
    </rPh>
    <rPh sb="69" eb="71">
      <t>キバン</t>
    </rPh>
    <rPh sb="71" eb="73">
      <t>ガイブ</t>
    </rPh>
    <rPh sb="73" eb="75">
      <t>レンケイ</t>
    </rPh>
    <rPh sb="75" eb="77">
      <t>タイショウ</t>
    </rPh>
    <rPh sb="78" eb="80">
      <t>ジュタク</t>
    </rPh>
    <phoneticPr fontId="2"/>
  </si>
  <si>
    <t>2.3.4
3.1
3.2
3.3
8.1.1
17.2</t>
    <phoneticPr fontId="2"/>
  </si>
  <si>
    <t>仮想サーバリソース/ハードウェア要件（物理機器）
ソフトウェア要件（物理サーバ/物理機器）
システム冗長要件（物理サーバ/物理機器）
障害内容の整理（前提）
シングル構成機器障害影響</t>
    <rPh sb="19" eb="21">
      <t>ブツリ</t>
    </rPh>
    <rPh sb="21" eb="23">
      <t>キキ</t>
    </rPh>
    <rPh sb="34" eb="36">
      <t>ブツリ</t>
    </rPh>
    <rPh sb="40" eb="42">
      <t>ブツリ</t>
    </rPh>
    <rPh sb="42" eb="44">
      <t>キキ</t>
    </rPh>
    <rPh sb="50" eb="52">
      <t>ジョウチョウ</t>
    </rPh>
    <rPh sb="52" eb="54">
      <t>ヨウケン</t>
    </rPh>
    <rPh sb="55" eb="57">
      <t>ブツリ</t>
    </rPh>
    <rPh sb="61" eb="63">
      <t>ブツリ</t>
    </rPh>
    <rPh sb="63" eb="65">
      <t>キキ</t>
    </rPh>
    <rPh sb="67" eb="69">
      <t>ショウガイ</t>
    </rPh>
    <rPh sb="69" eb="71">
      <t>ナイヨウ</t>
    </rPh>
    <rPh sb="72" eb="74">
      <t>セイリ</t>
    </rPh>
    <rPh sb="75" eb="77">
      <t>ゼンテイ</t>
    </rPh>
    <phoneticPr fontId="2"/>
  </si>
  <si>
    <t>5.2
6.2
8.2
17.1.1
17.2</t>
    <phoneticPr fontId="2"/>
  </si>
  <si>
    <t>CTI基盤(PBX・CTI)システム要件（構成範囲）
CTI基盤(PBX・CTI)システム要件（共同調達・構築対象機器）
CTI基盤(PBX・CTI)システム要件（AES構成共通）
CTI基盤(PBX・CTI)システム要件（CTI構成共通）
CTI基盤外部連携対象（SMCC）
CTI基盤外部連携対象（セディナ）
CTI基盤外部連携対象（受託）
仮想サーバリソース/ハードウェア要件（CTI）
ソフトウェア要件（仮想化音声基盤（CTI））
ライセンス
システム冗長要件（CTIサーバ）
受電
通常発信
障害ポイント（仮想機器CTI）
シングル構成機器障害影響</t>
    <rPh sb="21" eb="23">
      <t>コウセイ</t>
    </rPh>
    <rPh sb="23" eb="25">
      <t>ハンイ</t>
    </rPh>
    <rPh sb="64" eb="66">
      <t>キバン</t>
    </rPh>
    <rPh sb="85" eb="87">
      <t>コウセイ</t>
    </rPh>
    <rPh sb="87" eb="89">
      <t>キョウツウ</t>
    </rPh>
    <rPh sb="169" eb="171">
      <t>ジュタク</t>
    </rPh>
    <rPh sb="243" eb="245">
      <t>ジュデン</t>
    </rPh>
    <rPh sb="246" eb="248">
      <t>ツウジョウ</t>
    </rPh>
    <rPh sb="248" eb="250">
      <t>ハッシン</t>
    </rPh>
    <phoneticPr fontId="2"/>
  </si>
  <si>
    <t>2.1
2.2
2.3.4
2.3.5
3.1
3.2
3.3
5.1.2
6.1.2
7.2
8.1.2
10.2.1
10.2.2
17.1.3
17.2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</si>
</sst>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5">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1" fillId="0" borderId="0" xfId="0" applyFont="1"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56" fontId="1" fillId="0" borderId="1" xfId="0" applyNumberFormat="1" applyFont="1" applyBorder="1" applyAlignment="1">
      <alignment horizontal="center" vertical="center" wrapText="1"/>
    </xf>
    <xf numFmtId="56"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93198-3ECD-4C7B-909A-F3045064AA25}">
  <dimension ref="A1:N47"/>
  <sheetViews>
    <sheetView tabSelected="1" zoomScale="80" zoomScaleNormal="80" workbookViewId="0">
      <pane xSplit="1" ySplit="1" topLeftCell="B4" activePane="bottomRight" state="frozen"/>
      <selection pane="topRight" activeCell="D1" sqref="D1"/>
      <selection pane="bottomLeft" activeCell="A2" sqref="A2"/>
      <selection pane="bottomRight" activeCell="D47" sqref="D47"/>
    </sheetView>
  </sheetViews>
  <sheetFormatPr defaultColWidth="9" defaultRowHeight="15" x14ac:dyDescent="0.45"/>
  <cols>
    <col min="1" max="1" width="9" style="4"/>
    <col min="2" max="2" width="62.5" style="1" customWidth="1"/>
    <col min="3" max="3" width="9" style="2"/>
    <col min="4" max="4" width="55.8984375" style="1" bestFit="1" customWidth="1"/>
    <col min="5" max="5" width="16" style="4" customWidth="1"/>
    <col min="6" max="8" width="12.5" style="4" customWidth="1"/>
    <col min="9" max="9" width="62.5" style="1" customWidth="1"/>
    <col min="10" max="13" width="12.5" style="4" customWidth="1"/>
    <col min="14" max="16384" width="9" style="1"/>
  </cols>
  <sheetData>
    <row r="1" spans="1:14" ht="30" x14ac:dyDescent="0.45">
      <c r="A1" s="13" t="s">
        <v>14</v>
      </c>
      <c r="B1" s="13" t="s">
        <v>7</v>
      </c>
      <c r="C1" s="14" t="s">
        <v>15</v>
      </c>
      <c r="D1" s="14"/>
      <c r="E1" s="13" t="s">
        <v>21</v>
      </c>
      <c r="F1" s="13" t="s">
        <v>1</v>
      </c>
      <c r="G1" s="13" t="s">
        <v>6</v>
      </c>
      <c r="H1" s="13" t="s">
        <v>5</v>
      </c>
      <c r="I1" s="13" t="s">
        <v>19</v>
      </c>
      <c r="J1" s="13" t="s">
        <v>8</v>
      </c>
      <c r="K1" s="13" t="s">
        <v>20</v>
      </c>
      <c r="L1" s="13" t="s">
        <v>23</v>
      </c>
      <c r="M1" s="13" t="s">
        <v>9</v>
      </c>
      <c r="N1" s="3" t="s">
        <v>13</v>
      </c>
    </row>
    <row r="2" spans="1:14" ht="139.5" customHeight="1" x14ac:dyDescent="0.45">
      <c r="A2" s="5">
        <v>1</v>
      </c>
      <c r="B2" s="8" t="s">
        <v>66</v>
      </c>
      <c r="C2" s="6">
        <v>1.1000000000000001</v>
      </c>
      <c r="D2" s="7" t="s">
        <v>0</v>
      </c>
      <c r="E2" s="9" t="s">
        <v>45</v>
      </c>
      <c r="F2" s="9" t="s">
        <v>2</v>
      </c>
      <c r="G2" s="9" t="s">
        <v>3</v>
      </c>
      <c r="H2" s="9" t="s">
        <v>4</v>
      </c>
      <c r="I2" s="8" t="s">
        <v>70</v>
      </c>
      <c r="J2" s="9"/>
      <c r="K2" s="9"/>
      <c r="L2" s="10"/>
      <c r="M2" s="9"/>
      <c r="N2" s="3" t="s">
        <v>38</v>
      </c>
    </row>
    <row r="3" spans="1:14" ht="349.5" customHeight="1" x14ac:dyDescent="0.45">
      <c r="A3" s="5">
        <f>A2+1</f>
        <v>2</v>
      </c>
      <c r="B3" s="8" t="s">
        <v>67</v>
      </c>
      <c r="C3" s="6">
        <v>1.2</v>
      </c>
      <c r="D3" s="7" t="s">
        <v>10</v>
      </c>
      <c r="E3" s="9" t="s">
        <v>45</v>
      </c>
      <c r="F3" s="9" t="s">
        <v>2</v>
      </c>
      <c r="G3" s="9" t="s">
        <v>3</v>
      </c>
      <c r="H3" s="9" t="s">
        <v>4</v>
      </c>
      <c r="I3" s="8" t="s">
        <v>71</v>
      </c>
      <c r="J3" s="5"/>
      <c r="K3" s="5"/>
      <c r="L3" s="11"/>
      <c r="M3" s="5"/>
      <c r="N3" s="3" t="s">
        <v>38</v>
      </c>
    </row>
    <row r="4" spans="1:14" ht="138.75" customHeight="1" x14ac:dyDescent="0.45">
      <c r="A4" s="5">
        <f t="shared" ref="A4:A23" si="0">A3+1</f>
        <v>3</v>
      </c>
      <c r="B4" s="8" t="s">
        <v>68</v>
      </c>
      <c r="C4" s="6">
        <v>1.3</v>
      </c>
      <c r="D4" s="7" t="s">
        <v>11</v>
      </c>
      <c r="E4" s="9" t="s">
        <v>45</v>
      </c>
      <c r="F4" s="9" t="s">
        <v>2</v>
      </c>
      <c r="G4" s="9" t="s">
        <v>3</v>
      </c>
      <c r="H4" s="9" t="s">
        <v>4</v>
      </c>
      <c r="I4" s="8" t="s">
        <v>12</v>
      </c>
      <c r="J4" s="5"/>
      <c r="K4" s="5"/>
      <c r="L4" s="11"/>
      <c r="M4" s="5"/>
      <c r="N4" s="3" t="s">
        <v>38</v>
      </c>
    </row>
    <row r="5" spans="1:14" ht="30" x14ac:dyDescent="0.45">
      <c r="A5" s="5">
        <f t="shared" si="0"/>
        <v>4</v>
      </c>
      <c r="B5" s="7" t="s">
        <v>69</v>
      </c>
      <c r="C5" s="6">
        <v>1.4</v>
      </c>
      <c r="D5" s="8" t="s">
        <v>16</v>
      </c>
      <c r="E5" s="9" t="s">
        <v>45</v>
      </c>
      <c r="F5" s="9" t="s">
        <v>2</v>
      </c>
      <c r="G5" s="9" t="s">
        <v>3</v>
      </c>
      <c r="H5" s="9" t="s">
        <v>4</v>
      </c>
      <c r="I5" s="7"/>
      <c r="J5" s="5"/>
      <c r="K5" s="5"/>
      <c r="L5" s="11"/>
      <c r="M5" s="5"/>
      <c r="N5" s="3" t="s">
        <v>38</v>
      </c>
    </row>
    <row r="6" spans="1:14" ht="30" x14ac:dyDescent="0.45">
      <c r="A6" s="5">
        <f t="shared" si="0"/>
        <v>5</v>
      </c>
      <c r="B6" s="7" t="s">
        <v>24</v>
      </c>
      <c r="C6" s="6">
        <v>1.5</v>
      </c>
      <c r="D6" s="8" t="s">
        <v>17</v>
      </c>
      <c r="E6" s="9" t="s">
        <v>45</v>
      </c>
      <c r="F6" s="9" t="s">
        <v>2</v>
      </c>
      <c r="G6" s="9" t="s">
        <v>3</v>
      </c>
      <c r="H6" s="9" t="s">
        <v>4</v>
      </c>
      <c r="I6" s="8" t="s">
        <v>18</v>
      </c>
      <c r="J6" s="5"/>
      <c r="K6" s="5"/>
      <c r="L6" s="11"/>
      <c r="M6" s="5"/>
      <c r="N6" s="3" t="s">
        <v>38</v>
      </c>
    </row>
    <row r="7" spans="1:14" ht="45" x14ac:dyDescent="0.45">
      <c r="A7" s="5">
        <f t="shared" si="0"/>
        <v>6</v>
      </c>
      <c r="B7" s="7" t="s">
        <v>73</v>
      </c>
      <c r="C7" s="12" t="s">
        <v>40</v>
      </c>
      <c r="D7" s="8" t="s">
        <v>39</v>
      </c>
      <c r="E7" s="9" t="s">
        <v>22</v>
      </c>
      <c r="F7" s="5" t="s">
        <v>2</v>
      </c>
      <c r="G7" s="5" t="s">
        <v>28</v>
      </c>
      <c r="H7" s="5"/>
      <c r="I7" s="8" t="s">
        <v>76</v>
      </c>
      <c r="J7" s="5"/>
      <c r="K7" s="5"/>
      <c r="L7" s="5"/>
      <c r="M7" s="5"/>
      <c r="N7" s="3" t="s">
        <v>13</v>
      </c>
    </row>
    <row r="8" spans="1:14" ht="45" x14ac:dyDescent="0.45">
      <c r="A8" s="5">
        <f t="shared" si="0"/>
        <v>7</v>
      </c>
      <c r="B8" s="7" t="s">
        <v>74</v>
      </c>
      <c r="C8" s="12" t="s">
        <v>36</v>
      </c>
      <c r="D8" s="8" t="s">
        <v>37</v>
      </c>
      <c r="E8" s="9" t="s">
        <v>22</v>
      </c>
      <c r="F8" s="5" t="s">
        <v>2</v>
      </c>
      <c r="G8" s="5" t="s">
        <v>28</v>
      </c>
      <c r="H8" s="5"/>
      <c r="I8" s="8" t="s">
        <v>78</v>
      </c>
      <c r="J8" s="5"/>
      <c r="K8" s="5"/>
      <c r="L8" s="5"/>
      <c r="M8" s="5"/>
      <c r="N8" s="3" t="s">
        <v>13</v>
      </c>
    </row>
    <row r="9" spans="1:14" ht="225" x14ac:dyDescent="0.45">
      <c r="A9" s="5">
        <f t="shared" si="0"/>
        <v>8</v>
      </c>
      <c r="B9" s="8" t="s">
        <v>138</v>
      </c>
      <c r="C9" s="12" t="s">
        <v>152</v>
      </c>
      <c r="D9" s="8" t="s">
        <v>151</v>
      </c>
      <c r="E9" s="9" t="s">
        <v>45</v>
      </c>
      <c r="F9" s="9" t="s">
        <v>27</v>
      </c>
      <c r="G9" s="5" t="s">
        <v>28</v>
      </c>
      <c r="H9" s="5"/>
      <c r="I9" s="8" t="s">
        <v>72</v>
      </c>
      <c r="J9" s="5"/>
      <c r="K9" s="5"/>
      <c r="L9" s="11"/>
      <c r="M9" s="5"/>
      <c r="N9" s="3" t="s">
        <v>13</v>
      </c>
    </row>
    <row r="10" spans="1:14" ht="140.25" customHeight="1" x14ac:dyDescent="0.45">
      <c r="A10" s="5">
        <f t="shared" si="0"/>
        <v>9</v>
      </c>
      <c r="B10" s="7" t="s">
        <v>25</v>
      </c>
      <c r="C10" s="6">
        <v>2.2000000000000002</v>
      </c>
      <c r="D10" s="8" t="s">
        <v>35</v>
      </c>
      <c r="E10" s="5" t="s">
        <v>45</v>
      </c>
      <c r="F10" s="9" t="s">
        <v>27</v>
      </c>
      <c r="G10" s="5" t="s">
        <v>28</v>
      </c>
      <c r="H10" s="5"/>
      <c r="I10" s="8" t="s">
        <v>29</v>
      </c>
      <c r="J10" s="5"/>
      <c r="K10" s="5"/>
      <c r="L10" s="11"/>
      <c r="M10" s="5"/>
      <c r="N10" s="3" t="s">
        <v>38</v>
      </c>
    </row>
    <row r="11" spans="1:14" ht="30" x14ac:dyDescent="0.45">
      <c r="A11" s="5">
        <f t="shared" si="0"/>
        <v>10</v>
      </c>
      <c r="B11" s="7" t="s">
        <v>26</v>
      </c>
      <c r="C11" s="6">
        <v>2.2000000000000002</v>
      </c>
      <c r="D11" s="8" t="s">
        <v>35</v>
      </c>
      <c r="E11" s="5" t="s">
        <v>46</v>
      </c>
      <c r="F11" s="5" t="s">
        <v>2</v>
      </c>
      <c r="G11" s="9" t="s">
        <v>3</v>
      </c>
      <c r="H11" s="9" t="s">
        <v>4</v>
      </c>
      <c r="I11" s="8"/>
      <c r="J11" s="5"/>
      <c r="K11" s="5"/>
      <c r="L11" s="11"/>
      <c r="M11" s="5"/>
      <c r="N11" s="3" t="s">
        <v>38</v>
      </c>
    </row>
    <row r="12" spans="1:14" ht="45" x14ac:dyDescent="0.45">
      <c r="A12" s="5">
        <f t="shared" si="0"/>
        <v>11</v>
      </c>
      <c r="B12" s="6" t="s">
        <v>31</v>
      </c>
      <c r="C12" s="12" t="s">
        <v>52</v>
      </c>
      <c r="D12" s="8" t="s">
        <v>51</v>
      </c>
      <c r="E12" s="5" t="s">
        <v>46</v>
      </c>
      <c r="F12" s="5" t="s">
        <v>27</v>
      </c>
      <c r="G12" s="9" t="s">
        <v>28</v>
      </c>
      <c r="H12" s="9"/>
      <c r="I12" s="8"/>
      <c r="J12" s="5"/>
      <c r="K12" s="5"/>
      <c r="L12" s="11"/>
      <c r="M12" s="5"/>
      <c r="N12" s="3" t="s">
        <v>38</v>
      </c>
    </row>
    <row r="13" spans="1:14" ht="120" x14ac:dyDescent="0.45">
      <c r="A13" s="5">
        <f t="shared" si="0"/>
        <v>12</v>
      </c>
      <c r="B13" s="7" t="s">
        <v>33</v>
      </c>
      <c r="C13" s="12" t="s">
        <v>95</v>
      </c>
      <c r="D13" s="8" t="s">
        <v>92</v>
      </c>
      <c r="E13" s="9" t="s">
        <v>22</v>
      </c>
      <c r="F13" s="5" t="s">
        <v>2</v>
      </c>
      <c r="G13" s="5" t="s">
        <v>28</v>
      </c>
      <c r="H13" s="5"/>
      <c r="I13" s="7"/>
      <c r="J13" s="5"/>
      <c r="K13" s="5"/>
      <c r="L13" s="5"/>
      <c r="M13" s="5"/>
      <c r="N13" s="3" t="s">
        <v>38</v>
      </c>
    </row>
    <row r="14" spans="1:14" ht="45" x14ac:dyDescent="0.45">
      <c r="A14" s="5">
        <f t="shared" si="0"/>
        <v>13</v>
      </c>
      <c r="B14" s="8" t="s">
        <v>30</v>
      </c>
      <c r="C14" s="12" t="s">
        <v>90</v>
      </c>
      <c r="D14" s="8" t="s">
        <v>56</v>
      </c>
      <c r="E14" s="5" t="s">
        <v>46</v>
      </c>
      <c r="F14" s="5" t="s">
        <v>27</v>
      </c>
      <c r="G14" s="5" t="s">
        <v>28</v>
      </c>
      <c r="H14" s="7"/>
      <c r="I14" s="7"/>
      <c r="J14" s="5"/>
      <c r="K14" s="5"/>
      <c r="L14" s="5"/>
      <c r="M14" s="5"/>
      <c r="N14" s="3" t="s">
        <v>38</v>
      </c>
    </row>
    <row r="15" spans="1:14" ht="45" x14ac:dyDescent="0.45">
      <c r="A15" s="5">
        <f t="shared" si="0"/>
        <v>14</v>
      </c>
      <c r="B15" s="7" t="s">
        <v>75</v>
      </c>
      <c r="C15" s="12" t="s">
        <v>94</v>
      </c>
      <c r="D15" s="8" t="s">
        <v>93</v>
      </c>
      <c r="E15" s="9" t="s">
        <v>45</v>
      </c>
      <c r="F15" s="9" t="s">
        <v>27</v>
      </c>
      <c r="G15" s="9" t="s">
        <v>28</v>
      </c>
      <c r="H15" s="9"/>
      <c r="I15" s="8"/>
      <c r="J15" s="5"/>
      <c r="K15" s="5"/>
      <c r="L15" s="11"/>
      <c r="M15" s="5"/>
      <c r="N15" s="3" t="s">
        <v>13</v>
      </c>
    </row>
    <row r="16" spans="1:14" ht="90" x14ac:dyDescent="0.45">
      <c r="A16" s="5">
        <f t="shared" si="0"/>
        <v>15</v>
      </c>
      <c r="B16" s="8" t="s">
        <v>32</v>
      </c>
      <c r="C16" s="12" t="s">
        <v>148</v>
      </c>
      <c r="D16" s="8" t="s">
        <v>147</v>
      </c>
      <c r="E16" s="9" t="s">
        <v>22</v>
      </c>
      <c r="F16" s="5" t="s">
        <v>2</v>
      </c>
      <c r="G16" s="5" t="s">
        <v>28</v>
      </c>
      <c r="H16" s="5"/>
      <c r="I16" s="8"/>
      <c r="J16" s="5"/>
      <c r="K16" s="5"/>
      <c r="L16" s="5"/>
      <c r="M16" s="5"/>
      <c r="N16" s="3" t="s">
        <v>38</v>
      </c>
    </row>
    <row r="17" spans="1:14" ht="45" x14ac:dyDescent="0.45">
      <c r="A17" s="5">
        <f t="shared" si="0"/>
        <v>16</v>
      </c>
      <c r="B17" s="7" t="s">
        <v>34</v>
      </c>
      <c r="C17" s="12" t="s">
        <v>126</v>
      </c>
      <c r="D17" s="8" t="s">
        <v>127</v>
      </c>
      <c r="E17" s="9" t="s">
        <v>22</v>
      </c>
      <c r="F17" s="5" t="s">
        <v>2</v>
      </c>
      <c r="G17" s="5" t="s">
        <v>28</v>
      </c>
      <c r="H17" s="5"/>
      <c r="I17" s="7"/>
      <c r="J17" s="5"/>
      <c r="K17" s="5"/>
      <c r="L17" s="5"/>
      <c r="M17" s="5"/>
      <c r="N17" s="3" t="s">
        <v>38</v>
      </c>
    </row>
    <row r="18" spans="1:14" ht="60" x14ac:dyDescent="0.45">
      <c r="A18" s="5">
        <f t="shared" si="0"/>
        <v>17</v>
      </c>
      <c r="B18" s="7" t="s">
        <v>77</v>
      </c>
      <c r="C18" s="12" t="s">
        <v>62</v>
      </c>
      <c r="D18" s="8" t="s">
        <v>61</v>
      </c>
      <c r="E18" s="9" t="s">
        <v>45</v>
      </c>
      <c r="F18" s="5" t="s">
        <v>27</v>
      </c>
      <c r="G18" s="5" t="s">
        <v>28</v>
      </c>
      <c r="H18" s="5"/>
      <c r="I18" s="7"/>
      <c r="J18" s="5"/>
      <c r="K18" s="5"/>
      <c r="L18" s="5"/>
      <c r="M18" s="5"/>
      <c r="N18" s="3" t="s">
        <v>38</v>
      </c>
    </row>
    <row r="19" spans="1:14" ht="30" x14ac:dyDescent="0.45">
      <c r="A19" s="5">
        <f t="shared" si="0"/>
        <v>18</v>
      </c>
      <c r="B19" s="7" t="s">
        <v>79</v>
      </c>
      <c r="C19" s="12" t="s">
        <v>81</v>
      </c>
      <c r="D19" s="8" t="s">
        <v>82</v>
      </c>
      <c r="E19" s="9" t="s">
        <v>22</v>
      </c>
      <c r="F19" s="5" t="s">
        <v>2</v>
      </c>
      <c r="G19" s="5" t="s">
        <v>28</v>
      </c>
      <c r="H19" s="5"/>
      <c r="I19" s="8"/>
      <c r="J19" s="5"/>
      <c r="K19" s="5"/>
      <c r="L19" s="5"/>
      <c r="M19" s="5"/>
      <c r="N19" s="3" t="s">
        <v>13</v>
      </c>
    </row>
    <row r="20" spans="1:14" ht="30" x14ac:dyDescent="0.45">
      <c r="A20" s="5">
        <f t="shared" si="0"/>
        <v>19</v>
      </c>
      <c r="B20" s="7" t="s">
        <v>65</v>
      </c>
      <c r="C20" s="12">
        <v>3.3</v>
      </c>
      <c r="D20" s="8" t="s">
        <v>64</v>
      </c>
      <c r="E20" s="9" t="s">
        <v>46</v>
      </c>
      <c r="F20" s="5" t="s">
        <v>27</v>
      </c>
      <c r="G20" s="5" t="s">
        <v>28</v>
      </c>
      <c r="H20" s="5"/>
      <c r="I20" s="8"/>
      <c r="J20" s="5"/>
      <c r="K20" s="5"/>
      <c r="L20" s="5"/>
      <c r="M20" s="5"/>
      <c r="N20" s="3" t="s">
        <v>13</v>
      </c>
    </row>
    <row r="21" spans="1:14" ht="30" x14ac:dyDescent="0.45">
      <c r="A21" s="5">
        <f t="shared" si="0"/>
        <v>20</v>
      </c>
      <c r="B21" s="7" t="s">
        <v>80</v>
      </c>
      <c r="C21" s="12">
        <v>3.3</v>
      </c>
      <c r="D21" s="8" t="s">
        <v>64</v>
      </c>
      <c r="E21" s="9" t="s">
        <v>46</v>
      </c>
      <c r="F21" s="5" t="s">
        <v>27</v>
      </c>
      <c r="G21" s="5" t="s">
        <v>28</v>
      </c>
      <c r="H21" s="5"/>
      <c r="I21" s="8"/>
      <c r="J21" s="5"/>
      <c r="K21" s="5"/>
      <c r="L21" s="5"/>
      <c r="M21" s="5"/>
      <c r="N21" s="3" t="s">
        <v>13</v>
      </c>
    </row>
    <row r="22" spans="1:14" ht="30" x14ac:dyDescent="0.45">
      <c r="A22" s="5">
        <f t="shared" si="0"/>
        <v>21</v>
      </c>
      <c r="B22" s="7" t="s">
        <v>42</v>
      </c>
      <c r="C22" s="12">
        <v>4.0999999999999996</v>
      </c>
      <c r="D22" s="8" t="s">
        <v>41</v>
      </c>
      <c r="E22" s="9" t="s">
        <v>45</v>
      </c>
      <c r="F22" s="9" t="s">
        <v>27</v>
      </c>
      <c r="G22" s="9" t="s">
        <v>28</v>
      </c>
      <c r="H22" s="9"/>
      <c r="I22" s="8"/>
      <c r="J22" s="5"/>
      <c r="K22" s="5"/>
      <c r="L22" s="11"/>
      <c r="M22" s="5"/>
      <c r="N22" s="3" t="s">
        <v>38</v>
      </c>
    </row>
    <row r="23" spans="1:14" ht="45" x14ac:dyDescent="0.45">
      <c r="A23" s="5">
        <f t="shared" si="0"/>
        <v>22</v>
      </c>
      <c r="B23" s="7" t="s">
        <v>43</v>
      </c>
      <c r="C23" s="12" t="s">
        <v>114</v>
      </c>
      <c r="D23" s="8" t="s">
        <v>113</v>
      </c>
      <c r="E23" s="9" t="s">
        <v>46</v>
      </c>
      <c r="F23" s="9" t="s">
        <v>27</v>
      </c>
      <c r="G23" s="9" t="s">
        <v>28</v>
      </c>
      <c r="H23" s="9"/>
      <c r="I23" s="8" t="s">
        <v>44</v>
      </c>
      <c r="J23" s="5"/>
      <c r="K23" s="5"/>
      <c r="L23" s="11"/>
      <c r="M23" s="5"/>
      <c r="N23" s="3" t="s">
        <v>38</v>
      </c>
    </row>
    <row r="24" spans="1:14" ht="30" x14ac:dyDescent="0.45">
      <c r="A24" s="5">
        <f t="shared" ref="A24:A47" si="1">A23+1</f>
        <v>23</v>
      </c>
      <c r="B24" s="7" t="s">
        <v>83</v>
      </c>
      <c r="C24" s="12">
        <v>4.7</v>
      </c>
      <c r="D24" s="8" t="s">
        <v>47</v>
      </c>
      <c r="E24" s="9" t="s">
        <v>45</v>
      </c>
      <c r="F24" s="9" t="s">
        <v>27</v>
      </c>
      <c r="G24" s="9" t="s">
        <v>28</v>
      </c>
      <c r="H24" s="9"/>
      <c r="I24" s="8"/>
      <c r="J24" s="5"/>
      <c r="K24" s="5"/>
      <c r="L24" s="11"/>
      <c r="M24" s="5"/>
      <c r="N24" s="3" t="s">
        <v>38</v>
      </c>
    </row>
    <row r="25" spans="1:14" ht="30" x14ac:dyDescent="0.45">
      <c r="A25" s="5">
        <f t="shared" si="1"/>
        <v>24</v>
      </c>
      <c r="B25" s="8" t="s">
        <v>49</v>
      </c>
      <c r="C25" s="12">
        <v>5</v>
      </c>
      <c r="D25" s="8" t="s">
        <v>48</v>
      </c>
      <c r="E25" s="5" t="s">
        <v>46</v>
      </c>
      <c r="F25" s="5" t="s">
        <v>27</v>
      </c>
      <c r="G25" s="5" t="s">
        <v>50</v>
      </c>
      <c r="H25" s="7"/>
      <c r="I25" s="7"/>
      <c r="J25" s="5"/>
      <c r="K25" s="5"/>
      <c r="L25" s="5"/>
      <c r="M25" s="5"/>
      <c r="N25" s="3" t="s">
        <v>13</v>
      </c>
    </row>
    <row r="26" spans="1:14" ht="30" x14ac:dyDescent="0.45">
      <c r="A26" s="5">
        <f t="shared" si="1"/>
        <v>25</v>
      </c>
      <c r="B26" s="8" t="s">
        <v>85</v>
      </c>
      <c r="C26" s="12">
        <v>5.0999999999999996</v>
      </c>
      <c r="D26" s="8" t="s">
        <v>84</v>
      </c>
      <c r="E26" s="5" t="s">
        <v>45</v>
      </c>
      <c r="F26" s="5" t="s">
        <v>27</v>
      </c>
      <c r="G26" s="5" t="s">
        <v>28</v>
      </c>
      <c r="H26" s="7"/>
      <c r="I26" s="7"/>
      <c r="J26" s="5"/>
      <c r="K26" s="5"/>
      <c r="L26" s="5"/>
      <c r="M26" s="5"/>
      <c r="N26" s="3" t="s">
        <v>38</v>
      </c>
    </row>
    <row r="27" spans="1:14" ht="60" x14ac:dyDescent="0.45">
      <c r="A27" s="5">
        <f t="shared" si="1"/>
        <v>26</v>
      </c>
      <c r="B27" s="8" t="s">
        <v>63</v>
      </c>
      <c r="C27" s="12" t="s">
        <v>134</v>
      </c>
      <c r="D27" s="8" t="s">
        <v>133</v>
      </c>
      <c r="E27" s="9" t="s">
        <v>46</v>
      </c>
      <c r="F27" s="5" t="s">
        <v>27</v>
      </c>
      <c r="G27" s="5" t="s">
        <v>28</v>
      </c>
      <c r="H27" s="7"/>
      <c r="I27" s="7"/>
      <c r="J27" s="5"/>
      <c r="K27" s="5"/>
      <c r="L27" s="5"/>
      <c r="M27" s="5"/>
      <c r="N27" s="3" t="s">
        <v>13</v>
      </c>
    </row>
    <row r="28" spans="1:14" ht="30" x14ac:dyDescent="0.45">
      <c r="A28" s="5">
        <f t="shared" si="1"/>
        <v>27</v>
      </c>
      <c r="B28" s="8" t="s">
        <v>87</v>
      </c>
      <c r="C28" s="12" t="s">
        <v>89</v>
      </c>
      <c r="D28" s="8" t="s">
        <v>88</v>
      </c>
      <c r="E28" s="5" t="s">
        <v>46</v>
      </c>
      <c r="F28" s="5" t="s">
        <v>27</v>
      </c>
      <c r="G28" s="5" t="s">
        <v>50</v>
      </c>
      <c r="H28" s="7"/>
      <c r="I28" s="7"/>
      <c r="J28" s="5"/>
      <c r="K28" s="5"/>
      <c r="L28" s="5"/>
      <c r="M28" s="5"/>
      <c r="N28" s="3" t="s">
        <v>13</v>
      </c>
    </row>
    <row r="29" spans="1:14" ht="60" x14ac:dyDescent="0.45">
      <c r="A29" s="5">
        <f t="shared" si="1"/>
        <v>28</v>
      </c>
      <c r="B29" s="8" t="s">
        <v>86</v>
      </c>
      <c r="C29" s="12" t="s">
        <v>121</v>
      </c>
      <c r="D29" s="8" t="s">
        <v>122</v>
      </c>
      <c r="E29" s="5" t="s">
        <v>46</v>
      </c>
      <c r="F29" s="5" t="s">
        <v>27</v>
      </c>
      <c r="G29" s="5" t="s">
        <v>28</v>
      </c>
      <c r="H29" s="7"/>
      <c r="I29" s="7"/>
      <c r="J29" s="5"/>
      <c r="K29" s="5"/>
      <c r="L29" s="5"/>
      <c r="M29" s="5"/>
      <c r="N29" s="3" t="s">
        <v>38</v>
      </c>
    </row>
    <row r="30" spans="1:14" ht="75" x14ac:dyDescent="0.45">
      <c r="A30" s="5">
        <f t="shared" si="1"/>
        <v>29</v>
      </c>
      <c r="B30" s="8" t="s">
        <v>53</v>
      </c>
      <c r="C30" s="12" t="s">
        <v>150</v>
      </c>
      <c r="D30" s="8" t="s">
        <v>149</v>
      </c>
      <c r="E30" s="5" t="s">
        <v>46</v>
      </c>
      <c r="F30" s="5" t="s">
        <v>27</v>
      </c>
      <c r="G30" s="5" t="s">
        <v>28</v>
      </c>
      <c r="H30" s="7"/>
      <c r="I30" s="7"/>
      <c r="J30" s="5"/>
      <c r="K30" s="5"/>
      <c r="L30" s="5"/>
      <c r="M30" s="5"/>
      <c r="N30" s="3" t="s">
        <v>38</v>
      </c>
    </row>
    <row r="31" spans="1:14" ht="30" x14ac:dyDescent="0.45">
      <c r="A31" s="5">
        <f t="shared" si="1"/>
        <v>30</v>
      </c>
      <c r="B31" s="8" t="s">
        <v>55</v>
      </c>
      <c r="C31" s="12" t="s">
        <v>91</v>
      </c>
      <c r="D31" s="8" t="s">
        <v>54</v>
      </c>
      <c r="E31" s="5" t="s">
        <v>46</v>
      </c>
      <c r="F31" s="5" t="s">
        <v>27</v>
      </c>
      <c r="G31" s="5" t="s">
        <v>28</v>
      </c>
      <c r="H31" s="7"/>
      <c r="I31" s="7"/>
      <c r="J31" s="5"/>
      <c r="K31" s="5"/>
      <c r="L31" s="5"/>
      <c r="M31" s="5"/>
      <c r="N31" s="3" t="s">
        <v>38</v>
      </c>
    </row>
    <row r="32" spans="1:14" ht="45" x14ac:dyDescent="0.45">
      <c r="A32" s="5">
        <f t="shared" si="1"/>
        <v>31</v>
      </c>
      <c r="B32" s="8" t="s">
        <v>57</v>
      </c>
      <c r="C32" s="12" t="s">
        <v>131</v>
      </c>
      <c r="D32" s="8" t="s">
        <v>132</v>
      </c>
      <c r="E32" s="9" t="s">
        <v>22</v>
      </c>
      <c r="F32" s="5" t="s">
        <v>2</v>
      </c>
      <c r="G32" s="5" t="s">
        <v>50</v>
      </c>
      <c r="H32" s="7"/>
      <c r="I32" s="7"/>
      <c r="J32" s="5"/>
      <c r="K32" s="5"/>
      <c r="L32" s="5"/>
      <c r="M32" s="5"/>
      <c r="N32" s="3" t="s">
        <v>38</v>
      </c>
    </row>
    <row r="33" spans="1:14" ht="30" x14ac:dyDescent="0.45">
      <c r="A33" s="5">
        <f t="shared" si="1"/>
        <v>32</v>
      </c>
      <c r="B33" s="8" t="s">
        <v>59</v>
      </c>
      <c r="C33" s="12" t="s">
        <v>96</v>
      </c>
      <c r="D33" s="8" t="s">
        <v>58</v>
      </c>
      <c r="E33" s="9" t="s">
        <v>46</v>
      </c>
      <c r="F33" s="5" t="s">
        <v>27</v>
      </c>
      <c r="G33" s="5" t="s">
        <v>28</v>
      </c>
      <c r="H33" s="7"/>
      <c r="I33" s="7"/>
      <c r="J33" s="5"/>
      <c r="K33" s="5"/>
      <c r="L33" s="5"/>
      <c r="M33" s="5"/>
      <c r="N33" s="3" t="s">
        <v>38</v>
      </c>
    </row>
    <row r="34" spans="1:14" ht="45" x14ac:dyDescent="0.45">
      <c r="A34" s="5">
        <f t="shared" si="1"/>
        <v>33</v>
      </c>
      <c r="B34" s="8" t="s">
        <v>97</v>
      </c>
      <c r="C34" s="12" t="s">
        <v>106</v>
      </c>
      <c r="D34" s="8" t="s">
        <v>105</v>
      </c>
      <c r="E34" s="9" t="s">
        <v>46</v>
      </c>
      <c r="F34" s="5" t="s">
        <v>27</v>
      </c>
      <c r="G34" s="5" t="s">
        <v>60</v>
      </c>
      <c r="H34" s="7"/>
      <c r="I34" s="7" t="s">
        <v>98</v>
      </c>
      <c r="J34" s="5"/>
      <c r="K34" s="5"/>
      <c r="L34" s="5"/>
      <c r="M34" s="5"/>
      <c r="N34" s="3" t="s">
        <v>38</v>
      </c>
    </row>
    <row r="35" spans="1:14" ht="30" x14ac:dyDescent="0.45">
      <c r="A35" s="5">
        <f t="shared" si="1"/>
        <v>34</v>
      </c>
      <c r="B35" s="8" t="s">
        <v>99</v>
      </c>
      <c r="C35" s="12" t="s">
        <v>100</v>
      </c>
      <c r="D35" s="8" t="s">
        <v>101</v>
      </c>
      <c r="E35" s="9" t="s">
        <v>46</v>
      </c>
      <c r="F35" s="5" t="s">
        <v>27</v>
      </c>
      <c r="G35" s="5" t="s">
        <v>60</v>
      </c>
      <c r="H35" s="7"/>
      <c r="I35" s="7"/>
      <c r="J35" s="5"/>
      <c r="K35" s="5"/>
      <c r="L35" s="5"/>
      <c r="M35" s="5"/>
      <c r="N35" s="3" t="s">
        <v>13</v>
      </c>
    </row>
    <row r="36" spans="1:14" ht="30" x14ac:dyDescent="0.45">
      <c r="A36" s="5">
        <f t="shared" si="1"/>
        <v>35</v>
      </c>
      <c r="B36" s="8" t="s">
        <v>102</v>
      </c>
      <c r="C36" s="12" t="s">
        <v>103</v>
      </c>
      <c r="D36" s="8" t="s">
        <v>104</v>
      </c>
      <c r="E36" s="9" t="s">
        <v>46</v>
      </c>
      <c r="F36" s="5" t="s">
        <v>27</v>
      </c>
      <c r="G36" s="5" t="s">
        <v>60</v>
      </c>
      <c r="H36" s="7"/>
      <c r="I36" s="7"/>
      <c r="J36" s="5"/>
      <c r="K36" s="5"/>
      <c r="L36" s="5"/>
      <c r="M36" s="5"/>
      <c r="N36" s="3" t="s">
        <v>13</v>
      </c>
    </row>
    <row r="37" spans="1:14" ht="30" x14ac:dyDescent="0.45">
      <c r="A37" s="5">
        <f t="shared" si="1"/>
        <v>36</v>
      </c>
      <c r="B37" s="8" t="s">
        <v>107</v>
      </c>
      <c r="C37" s="12" t="s">
        <v>111</v>
      </c>
      <c r="D37" s="8" t="s">
        <v>110</v>
      </c>
      <c r="E37" s="9" t="s">
        <v>46</v>
      </c>
      <c r="F37" s="5" t="s">
        <v>27</v>
      </c>
      <c r="G37" s="5" t="s">
        <v>60</v>
      </c>
      <c r="H37" s="7"/>
      <c r="I37" s="7"/>
      <c r="J37" s="5"/>
      <c r="K37" s="5"/>
      <c r="L37" s="5"/>
      <c r="M37" s="5"/>
      <c r="N37" s="3" t="s">
        <v>13</v>
      </c>
    </row>
    <row r="38" spans="1:14" ht="30" x14ac:dyDescent="0.45">
      <c r="A38" s="5">
        <f t="shared" si="1"/>
        <v>37</v>
      </c>
      <c r="B38" s="8" t="s">
        <v>112</v>
      </c>
      <c r="C38" s="12" t="s">
        <v>108</v>
      </c>
      <c r="D38" s="8" t="s">
        <v>109</v>
      </c>
      <c r="E38" s="9" t="s">
        <v>22</v>
      </c>
      <c r="F38" s="5" t="s">
        <v>2</v>
      </c>
      <c r="G38" s="5" t="s">
        <v>60</v>
      </c>
      <c r="H38" s="7"/>
      <c r="I38" s="7"/>
      <c r="J38" s="5"/>
      <c r="K38" s="5"/>
      <c r="L38" s="5"/>
      <c r="M38" s="5"/>
      <c r="N38" s="3" t="s">
        <v>13</v>
      </c>
    </row>
    <row r="39" spans="1:14" ht="30" x14ac:dyDescent="0.45">
      <c r="A39" s="5">
        <f t="shared" si="1"/>
        <v>38</v>
      </c>
      <c r="B39" s="8" t="s">
        <v>115</v>
      </c>
      <c r="C39" s="12" t="s">
        <v>116</v>
      </c>
      <c r="D39" s="8" t="s">
        <v>117</v>
      </c>
      <c r="E39" s="9" t="s">
        <v>22</v>
      </c>
      <c r="F39" s="5" t="s">
        <v>2</v>
      </c>
      <c r="G39" s="5" t="s">
        <v>60</v>
      </c>
      <c r="H39" s="7"/>
      <c r="I39" s="7"/>
      <c r="J39" s="5"/>
      <c r="K39" s="5"/>
      <c r="L39" s="5"/>
      <c r="M39" s="5"/>
      <c r="N39" s="3" t="s">
        <v>13</v>
      </c>
    </row>
    <row r="40" spans="1:14" ht="30" x14ac:dyDescent="0.45">
      <c r="A40" s="5">
        <f t="shared" si="1"/>
        <v>39</v>
      </c>
      <c r="B40" s="8" t="s">
        <v>118</v>
      </c>
      <c r="C40" s="12" t="s">
        <v>119</v>
      </c>
      <c r="D40" s="8" t="s">
        <v>120</v>
      </c>
      <c r="E40" s="9" t="s">
        <v>22</v>
      </c>
      <c r="F40" s="5" t="s">
        <v>2</v>
      </c>
      <c r="G40" s="5" t="s">
        <v>60</v>
      </c>
      <c r="H40" s="7"/>
      <c r="I40" s="7"/>
      <c r="J40" s="5"/>
      <c r="K40" s="5"/>
      <c r="L40" s="5"/>
      <c r="M40" s="5"/>
      <c r="N40" s="3" t="s">
        <v>13</v>
      </c>
    </row>
    <row r="41" spans="1:14" ht="30" x14ac:dyDescent="0.45">
      <c r="A41" s="5">
        <f t="shared" si="1"/>
        <v>40</v>
      </c>
      <c r="B41" s="8" t="s">
        <v>123</v>
      </c>
      <c r="C41" s="12" t="s">
        <v>124</v>
      </c>
      <c r="D41" s="8" t="s">
        <v>125</v>
      </c>
      <c r="E41" s="9" t="s">
        <v>22</v>
      </c>
      <c r="F41" s="5" t="s">
        <v>2</v>
      </c>
      <c r="G41" s="5" t="s">
        <v>60</v>
      </c>
      <c r="H41" s="7"/>
      <c r="I41" s="7"/>
      <c r="J41" s="5"/>
      <c r="K41" s="5"/>
      <c r="L41" s="5"/>
      <c r="M41" s="5"/>
      <c r="N41" s="3" t="s">
        <v>13</v>
      </c>
    </row>
    <row r="42" spans="1:14" ht="30" x14ac:dyDescent="0.45">
      <c r="A42" s="5">
        <f t="shared" si="1"/>
        <v>41</v>
      </c>
      <c r="B42" s="8" t="s">
        <v>128</v>
      </c>
      <c r="C42" s="12" t="s">
        <v>129</v>
      </c>
      <c r="D42" s="8" t="s">
        <v>130</v>
      </c>
      <c r="E42" s="9" t="s">
        <v>46</v>
      </c>
      <c r="F42" s="5" t="s">
        <v>27</v>
      </c>
      <c r="G42" s="5" t="s">
        <v>28</v>
      </c>
      <c r="H42" s="7"/>
      <c r="I42" s="7"/>
      <c r="J42" s="5"/>
      <c r="K42" s="5"/>
      <c r="L42" s="5"/>
      <c r="M42" s="5"/>
      <c r="N42" s="3" t="s">
        <v>13</v>
      </c>
    </row>
    <row r="43" spans="1:14" ht="75" x14ac:dyDescent="0.45">
      <c r="A43" s="5">
        <f t="shared" si="1"/>
        <v>42</v>
      </c>
      <c r="B43" s="8" t="s">
        <v>135</v>
      </c>
      <c r="C43" s="12" t="s">
        <v>136</v>
      </c>
      <c r="D43" s="8" t="s">
        <v>137</v>
      </c>
      <c r="E43" s="9" t="s">
        <v>45</v>
      </c>
      <c r="F43" s="5" t="s">
        <v>27</v>
      </c>
      <c r="G43" s="5" t="s">
        <v>60</v>
      </c>
      <c r="H43" s="7"/>
      <c r="I43" s="7"/>
      <c r="J43" s="5"/>
      <c r="K43" s="5"/>
      <c r="L43" s="5"/>
      <c r="M43" s="5"/>
      <c r="N43" s="3" t="s">
        <v>13</v>
      </c>
    </row>
    <row r="44" spans="1:14" ht="30" x14ac:dyDescent="0.45">
      <c r="A44" s="5">
        <f t="shared" si="1"/>
        <v>43</v>
      </c>
      <c r="B44" s="8" t="s">
        <v>139</v>
      </c>
      <c r="C44" s="12" t="s">
        <v>140</v>
      </c>
      <c r="D44" s="8" t="s">
        <v>141</v>
      </c>
      <c r="E44" s="9" t="s">
        <v>45</v>
      </c>
      <c r="F44" s="5" t="s">
        <v>27</v>
      </c>
      <c r="G44" s="5" t="s">
        <v>28</v>
      </c>
      <c r="H44" s="7"/>
      <c r="I44" s="7"/>
      <c r="J44" s="5"/>
      <c r="K44" s="5"/>
      <c r="L44" s="5"/>
      <c r="M44" s="5"/>
      <c r="N44" s="3" t="s">
        <v>13</v>
      </c>
    </row>
    <row r="45" spans="1:14" ht="30" x14ac:dyDescent="0.45">
      <c r="A45" s="5">
        <f t="shared" si="1"/>
        <v>44</v>
      </c>
      <c r="B45" s="8" t="s">
        <v>142</v>
      </c>
      <c r="C45" s="12" t="s">
        <v>143</v>
      </c>
      <c r="D45" s="8" t="s">
        <v>144</v>
      </c>
      <c r="E45" s="9" t="s">
        <v>46</v>
      </c>
      <c r="F45" s="5" t="s">
        <v>27</v>
      </c>
      <c r="G45" s="5" t="s">
        <v>28</v>
      </c>
      <c r="H45" s="7"/>
      <c r="I45" s="7"/>
      <c r="J45" s="5"/>
      <c r="K45" s="5"/>
      <c r="L45" s="5"/>
      <c r="M45" s="5"/>
      <c r="N45" s="3" t="s">
        <v>13</v>
      </c>
    </row>
    <row r="46" spans="1:14" ht="30" x14ac:dyDescent="0.45">
      <c r="A46" s="5">
        <f t="shared" si="1"/>
        <v>45</v>
      </c>
      <c r="B46" s="8" t="s">
        <v>145</v>
      </c>
      <c r="C46" s="12" t="s">
        <v>143</v>
      </c>
      <c r="D46" s="8" t="s">
        <v>146</v>
      </c>
      <c r="E46" s="9" t="s">
        <v>46</v>
      </c>
      <c r="F46" s="5" t="s">
        <v>27</v>
      </c>
      <c r="G46" s="5" t="s">
        <v>28</v>
      </c>
      <c r="H46" s="7"/>
      <c r="I46" s="7"/>
      <c r="J46" s="5"/>
      <c r="K46" s="5"/>
      <c r="L46" s="5"/>
      <c r="M46" s="5"/>
      <c r="N46" s="3" t="s">
        <v>13</v>
      </c>
    </row>
    <row r="47" spans="1:14" ht="30" x14ac:dyDescent="0.45">
      <c r="A47" s="5">
        <f t="shared" si="1"/>
        <v>46</v>
      </c>
      <c r="B47" s="8" t="s">
        <v>145</v>
      </c>
      <c r="C47" s="12" t="s">
        <v>143</v>
      </c>
      <c r="D47" s="8" t="s">
        <v>146</v>
      </c>
      <c r="E47" s="9" t="s">
        <v>46</v>
      </c>
      <c r="F47" s="5" t="s">
        <v>27</v>
      </c>
      <c r="G47" s="5" t="s">
        <v>28</v>
      </c>
      <c r="H47" s="7"/>
      <c r="I47" s="7"/>
      <c r="J47" s="5"/>
      <c r="K47" s="5"/>
      <c r="L47" s="5"/>
      <c r="M47" s="5"/>
      <c r="N47" s="3" t="s">
        <v>13</v>
      </c>
    </row>
  </sheetData>
  <mergeCells count="1">
    <mergeCell ref="C1:D1"/>
  </mergeCells>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溝口 賢／ＰＦ基盤（クライアント／チーム長／JRI (mizoguchi satoshi)</dc:creator>
  <cp:lastModifiedBy>Segawa Kenichi-I-DIGIO</cp:lastModifiedBy>
  <dcterms:created xsi:type="dcterms:W3CDTF">2025-10-22T09:24:29Z</dcterms:created>
  <dcterms:modified xsi:type="dcterms:W3CDTF">2025-11-18T06:38:01Z</dcterms:modified>
</cp:coreProperties>
</file>