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129更新\比較なし修正\"/>
    </mc:Choice>
  </mc:AlternateContent>
  <bookViews>
    <workbookView xWindow="0" yWindow="0" windowWidth="28800" windowHeight="13908" tabRatio="834"/>
  </bookViews>
  <sheets>
    <sheet name="08 バックアップ" sheetId="1" r:id="rId1"/>
    <sheet name="バックアップ対象一覧" sheetId="2" r:id="rId2"/>
  </sheets>
  <definedNames>
    <definedName name="_xlnm._FilterDatabase" localSheetId="1">バックアップ対象一覧!$A$4:$AG$12</definedName>
    <definedName name="_xlnm.Print_Area" localSheetId="0">'08 バックアップ'!$A:$CE</definedName>
    <definedName name="_xlnm.Print_Area" localSheetId="1">バックアップ対象一覧!$A$1:$AG$152</definedName>
    <definedName name="_xlnm.Print_Titles" localSheetId="0">'08 バックアップ'!$1:$7</definedName>
    <definedName name="_xlnm.Print_Titles" localSheetId="1">バックアップ対象一覧!$1:$6</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6" i="2" l="1"/>
  <c r="B18" i="2" l="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I10" i="2"/>
  <c r="I8" i="2" l="1"/>
  <c r="I9" i="2"/>
  <c r="I7" i="2"/>
</calcChain>
</file>

<file path=xl/sharedStrings.xml><?xml version="1.0" encoding="utf-8"?>
<sst xmlns="http://schemas.openxmlformats.org/spreadsheetml/2006/main" count="4485" uniqueCount="543">
  <si>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</si>
  <si>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</si>
  <si>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</si>
  <si>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</si>
  <si>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</si>
  <si>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</si>
  <si>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</si>
  <si>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</si>
  <si>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</si>
  <si>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</si>
  <si>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バックアップ先</t>
    <rPh sb="6" eb="7">
      <t>サキ</t>
    </rPh>
    <phoneticPr fontId="4"/>
  </si>
  <si>
    <t>バックアップ方式</t>
    <rPh sb="6" eb="8">
      <t>ホウシキ</t>
    </rPh>
    <phoneticPr fontId="4"/>
  </si>
  <si>
    <t>バックアップ取得タイミング</t>
    <rPh sb="6" eb="8">
      <t>シュトク</t>
    </rPh>
    <phoneticPr fontId="4"/>
  </si>
  <si>
    <t>バックアップ処理実行方法</t>
    <rPh sb="6" eb="8">
      <t>ショリ</t>
    </rPh>
    <rPh sb="8" eb="10">
      <t>ジッコウ</t>
    </rPh>
    <rPh sb="10" eb="12">
      <t>ホウホウ</t>
    </rPh>
    <phoneticPr fontId="4"/>
  </si>
  <si>
    <t>データ種類／データ内容</t>
    <rPh sb="3" eb="5">
      <t>シュルイ</t>
    </rPh>
    <rPh sb="9" eb="11">
      <t>ナイヨウ</t>
    </rPh>
    <phoneticPr fontId="4"/>
  </si>
  <si>
    <t>必要媒体組数　※1</t>
    <rPh sb="0" eb="2">
      <t>ヒツヨウ</t>
    </rPh>
    <rPh sb="2" eb="4">
      <t>バイタイ</t>
    </rPh>
    <rPh sb="4" eb="5">
      <t>クミ</t>
    </rPh>
    <rPh sb="5" eb="6">
      <t>スウ</t>
    </rPh>
    <phoneticPr fontId="4"/>
  </si>
  <si>
    <t>媒体種別　※1</t>
    <rPh sb="0" eb="2">
      <t>バイタイ</t>
    </rPh>
    <rPh sb="2" eb="4">
      <t>シュベツ</t>
    </rPh>
    <phoneticPr fontId="4"/>
  </si>
  <si>
    <t>区分</t>
    <rPh sb="0" eb="2">
      <t>クブン</t>
    </rPh>
    <phoneticPr fontId="4"/>
  </si>
  <si>
    <t>内容</t>
    <rPh sb="0" eb="2">
      <t>ナイヨウ</t>
    </rPh>
    <phoneticPr fontId="4"/>
  </si>
  <si>
    <t>システムバックアップ</t>
    <phoneticPr fontId="4"/>
  </si>
  <si>
    <t>データバックアップ</t>
    <phoneticPr fontId="4"/>
  </si>
  <si>
    <t>8-2. バックアップ</t>
    <phoneticPr fontId="4"/>
  </si>
  <si>
    <t>8-2-1. 目的</t>
    <rPh sb="7" eb="9">
      <t>モクテキ</t>
    </rPh>
    <phoneticPr fontId="4"/>
  </si>
  <si>
    <t>8-2-2. バックアップ区分</t>
    <rPh sb="13" eb="15">
      <t>クブン</t>
    </rPh>
    <phoneticPr fontId="4"/>
  </si>
  <si>
    <t>バックアップ方針</t>
    <phoneticPr fontId="4"/>
  </si>
  <si>
    <t>詳細</t>
    <rPh sb="0" eb="2">
      <t>ショウサイ</t>
    </rPh>
    <phoneticPr fontId="4"/>
  </si>
  <si>
    <t>8-2-4. バックアップ方式、対象一覧</t>
    <rPh sb="13" eb="15">
      <t>ホウシキ</t>
    </rPh>
    <rPh sb="16" eb="18">
      <t>タイショウ</t>
    </rPh>
    <rPh sb="18" eb="20">
      <t>イチラン</t>
    </rPh>
    <phoneticPr fontId="4"/>
  </si>
  <si>
    <t>No.</t>
    <phoneticPr fontId="4"/>
  </si>
  <si>
    <t>システムデータを含む、全ドライブ保管データをバックアップします。</t>
    <rPh sb="8" eb="9">
      <t>フク</t>
    </rPh>
    <rPh sb="11" eb="12">
      <t>ゼン</t>
    </rPh>
    <rPh sb="16" eb="18">
      <t>ホカン</t>
    </rPh>
    <phoneticPr fontId="4"/>
  </si>
  <si>
    <t>8. バックアップ</t>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</si>
  <si>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</si>
  <si>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</si>
  <si>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</si>
  <si>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</si>
  <si>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</si>
  <si>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</si>
  <si>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</si>
  <si>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</si>
  <si>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</si>
  <si>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</si>
  <si>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</si>
  <si>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</si>
  <si>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</si>
  <si>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</si>
  <si>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</si>
  <si>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</si>
  <si>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</si>
  <si>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</si>
  <si>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</si>
  <si>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</si>
  <si>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</si>
  <si>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</si>
  <si>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</si>
  <si>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</si>
  <si>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</si>
  <si>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27</t>
  </si>
  <si>
    <t>28</t>
  </si>
  <si>
    <t>29</t>
  </si>
  <si>
    <t>30</t>
  </si>
  <si>
    <t>31</t>
  </si>
  <si>
    <t>32</t>
  </si>
  <si>
    <t>33</t>
  </si>
  <si>
    <t>34</t>
  </si>
  <si>
    <t>35</t>
  </si>
  <si>
    <t>36</t>
  </si>
  <si>
    <t>37</t>
  </si>
  <si>
    <t>38</t>
  </si>
  <si>
    <t>39</t>
  </si>
  <si>
    <t>41</t>
  </si>
  <si>
    <t>42</t>
  </si>
  <si>
    <t>43</t>
  </si>
  <si>
    <t>44</t>
  </si>
  <si>
    <t>45</t>
  </si>
  <si>
    <t>46</t>
  </si>
  <si>
    <t>47</t>
  </si>
  <si>
    <t>48</t>
  </si>
  <si>
    <t>49</t>
  </si>
  <si>
    <t>50</t>
  </si>
  <si>
    <t>51</t>
  </si>
  <si>
    <t>52</t>
  </si>
  <si>
    <t>53</t>
  </si>
  <si>
    <t>54</t>
  </si>
  <si>
    <t>55</t>
  </si>
  <si>
    <t>56</t>
  </si>
  <si>
    <t>58</t>
  </si>
  <si>
    <t>59</t>
  </si>
  <si>
    <t>60</t>
  </si>
  <si>
    <t>62</t>
  </si>
  <si>
    <t>64</t>
  </si>
  <si>
    <t>66</t>
  </si>
  <si>
    <t>67</t>
  </si>
  <si>
    <t>69</t>
  </si>
  <si>
    <t>96</t>
  </si>
  <si>
    <t>97</t>
  </si>
  <si>
    <t>98</t>
  </si>
  <si>
    <t>99</t>
  </si>
  <si>
    <t>100</t>
  </si>
  <si>
    <t>101</t>
  </si>
  <si>
    <t>102</t>
  </si>
  <si>
    <t>103</t>
  </si>
  <si>
    <t>104</t>
  </si>
  <si>
    <t>105</t>
  </si>
  <si>
    <t>106</t>
  </si>
  <si>
    <t>107</t>
  </si>
  <si>
    <t>108</t>
  </si>
  <si>
    <t>111</t>
  </si>
  <si>
    <t>118</t>
  </si>
  <si>
    <t>119</t>
  </si>
  <si>
    <t>120</t>
  </si>
  <si>
    <t>121</t>
  </si>
  <si>
    <t>122</t>
  </si>
  <si>
    <t>123</t>
  </si>
  <si>
    <t>124</t>
  </si>
  <si>
    <t>125</t>
  </si>
  <si>
    <t>126</t>
  </si>
  <si>
    <t>127</t>
  </si>
  <si>
    <t>128</t>
  </si>
  <si>
    <t>129</t>
  </si>
  <si>
    <t>説明</t>
    <rPh sb="0" eb="2">
      <t>セツメイ</t>
    </rPh>
    <phoneticPr fontId="4"/>
  </si>
  <si>
    <t>システム障害時に１～数時間程度で復旧が必要なシステムに関する対応方針を記載します。
システム設置センター被災時についてはスコープ外とします。</t>
    <phoneticPr fontId="4"/>
  </si>
  <si>
    <t>アプリケーションデータ、業務DBデータ、運用・管理データをバックアップします。</t>
    <rPh sb="12" eb="14">
      <t>ギョウム</t>
    </rPh>
    <rPh sb="20" eb="22">
      <t>ウンヨウ</t>
    </rPh>
    <rPh sb="23" eb="25">
      <t>カンリ</t>
    </rPh>
    <phoneticPr fontId="4"/>
  </si>
  <si>
    <t>*</t>
    <phoneticPr fontId="4"/>
  </si>
  <si>
    <t>WAS</t>
    <phoneticPr fontId="4"/>
  </si>
  <si>
    <t>-</t>
  </si>
  <si>
    <t>-</t>
    <phoneticPr fontId="4"/>
  </si>
  <si>
    <t>日次（月曜～土曜）差分バックアップ/週次（日曜）フルバックアップ</t>
    <rPh sb="0" eb="2">
      <t>ニチジ</t>
    </rPh>
    <rPh sb="3" eb="5">
      <t>ゲツヨウ</t>
    </rPh>
    <rPh sb="6" eb="8">
      <t>ドヨウ</t>
    </rPh>
    <rPh sb="9" eb="11">
      <t>サブン</t>
    </rPh>
    <rPh sb="18" eb="19">
      <t>シュウ</t>
    </rPh>
    <rPh sb="19" eb="20">
      <t>ジ</t>
    </rPh>
    <rPh sb="21" eb="23">
      <t>ニチヨウ</t>
    </rPh>
    <phoneticPr fontId="4"/>
  </si>
  <si>
    <t>2世代</t>
    <rPh sb="1" eb="3">
      <t>セダイ</t>
    </rPh>
    <phoneticPr fontId="4"/>
  </si>
  <si>
    <t>システム構成変更時</t>
    <rPh sb="4" eb="6">
      <t>コウセイ</t>
    </rPh>
    <rPh sb="6" eb="8">
      <t>ヘンコウ</t>
    </rPh>
    <rPh sb="8" eb="9">
      <t>ジ</t>
    </rPh>
    <phoneticPr fontId="4"/>
  </si>
  <si>
    <t>手動</t>
    <rPh sb="0" eb="2">
      <t>シュドウ</t>
    </rPh>
    <phoneticPr fontId="4"/>
  </si>
  <si>
    <t>随時</t>
    <rPh sb="0" eb="2">
      <t>ズイジ</t>
    </rPh>
    <phoneticPr fontId="4"/>
  </si>
  <si>
    <t>媒体種別</t>
    <rPh sb="0" eb="2">
      <t>バイタイ</t>
    </rPh>
    <rPh sb="2" eb="4">
      <t>シュベツ</t>
    </rPh>
    <phoneticPr fontId="4"/>
  </si>
  <si>
    <t>必要媒体組数</t>
    <rPh sb="0" eb="2">
      <t>ヒツヨウ</t>
    </rPh>
    <rPh sb="2" eb="4">
      <t>バイタイ</t>
    </rPh>
    <rPh sb="4" eb="5">
      <t>クミ</t>
    </rPh>
    <rPh sb="5" eb="6">
      <t>スウ</t>
    </rPh>
    <phoneticPr fontId="4"/>
  </si>
  <si>
    <t>8-2-3. バックアップ方針</t>
    <rPh sb="13" eb="15">
      <t>ホウシン</t>
    </rPh>
    <phoneticPr fontId="4"/>
  </si>
  <si>
    <t>バックアップ元ディレクトリ</t>
    <rPh sb="6" eb="7">
      <t>モト</t>
    </rPh>
    <phoneticPr fontId="4"/>
  </si>
  <si>
    <t>バックアップ元ファイル</t>
    <rPh sb="6" eb="7">
      <t>モト</t>
    </rPh>
    <phoneticPr fontId="4"/>
  </si>
  <si>
    <t>バックアップ対象</t>
    <rPh sb="6" eb="8">
      <t>タイショウ</t>
    </rPh>
    <phoneticPr fontId="4"/>
  </si>
  <si>
    <t>ファイル生成形式</t>
    <rPh sb="4" eb="6">
      <t>セイセイ</t>
    </rPh>
    <rPh sb="6" eb="8">
      <t>ケイシキ</t>
    </rPh>
    <phoneticPr fontId="4"/>
  </si>
  <si>
    <t>実施しない</t>
    <rPh sb="0" eb="2">
      <t>ジッシ</t>
    </rPh>
    <phoneticPr fontId="4"/>
  </si>
  <si>
    <t>フル</t>
    <phoneticPr fontId="4"/>
  </si>
  <si>
    <t>バックアップ対象一覧</t>
    <rPh sb="6" eb="8">
      <t>タイショウ</t>
    </rPh>
    <rPh sb="8" eb="10">
      <t>イチラン</t>
    </rPh>
    <phoneticPr fontId="4"/>
  </si>
  <si>
    <t>ファイル生成はなし</t>
    <rPh sb="4" eb="6">
      <t>セイセイ</t>
    </rPh>
    <phoneticPr fontId="4"/>
  </si>
  <si>
    <t>備考</t>
    <rPh sb="0" eb="2">
      <t>ビコウ</t>
    </rPh>
    <phoneticPr fontId="4"/>
  </si>
  <si>
    <t>本番</t>
    <rPh sb="0" eb="2">
      <t>ホンバン</t>
    </rPh>
    <phoneticPr fontId="4"/>
  </si>
  <si>
    <t>研修</t>
    <rPh sb="0" eb="2">
      <t>ケンシュウ</t>
    </rPh>
    <phoneticPr fontId="4"/>
  </si>
  <si>
    <t>MPP</t>
    <phoneticPr fontId="4"/>
  </si>
  <si>
    <t>○</t>
    <phoneticPr fontId="4"/>
  </si>
  <si>
    <t>(2) バックアップ必要なデータを確保できる環境および運用体制を整備します。</t>
    <phoneticPr fontId="4"/>
  </si>
  <si>
    <t>RMAN</t>
    <phoneticPr fontId="4"/>
  </si>
  <si>
    <t>保管期間・世代数</t>
    <phoneticPr fontId="4"/>
  </si>
  <si>
    <t>日次/フル</t>
    <rPh sb="0" eb="2">
      <t>ニチジ</t>
    </rPh>
    <phoneticPr fontId="4"/>
  </si>
  <si>
    <t>バックアップスケジュール</t>
    <phoneticPr fontId="4"/>
  </si>
  <si>
    <t>月</t>
    <rPh sb="0" eb="1">
      <t>ゲツ</t>
    </rPh>
    <phoneticPr fontId="4"/>
  </si>
  <si>
    <t>火</t>
  </si>
  <si>
    <t>水</t>
  </si>
  <si>
    <t>木</t>
  </si>
  <si>
    <t>金</t>
  </si>
  <si>
    <t>土</t>
  </si>
  <si>
    <t>日</t>
  </si>
  <si>
    <t>〇</t>
    <phoneticPr fontId="4"/>
  </si>
  <si>
    <t>バックアップ方針概要</t>
    <rPh sb="6" eb="8">
      <t>ホウシン</t>
    </rPh>
    <rPh sb="8" eb="10">
      <t>ガイヨウ</t>
    </rPh>
    <phoneticPr fontId="4"/>
  </si>
  <si>
    <t>61</t>
  </si>
  <si>
    <t>70</t>
  </si>
  <si>
    <t>71</t>
  </si>
  <si>
    <t>72</t>
  </si>
  <si>
    <t>73</t>
  </si>
  <si>
    <t>74</t>
  </si>
  <si>
    <t>75</t>
  </si>
  <si>
    <t>76</t>
  </si>
  <si>
    <t>77</t>
  </si>
  <si>
    <t>109</t>
  </si>
  <si>
    <t>110</t>
  </si>
  <si>
    <t>112</t>
  </si>
  <si>
    <t>113</t>
  </si>
  <si>
    <t>114</t>
  </si>
  <si>
    <t>115</t>
  </si>
  <si>
    <t>116</t>
  </si>
  <si>
    <t>117</t>
  </si>
  <si>
    <t>140</t>
  </si>
  <si>
    <t>141</t>
  </si>
  <si>
    <t>142</t>
  </si>
  <si>
    <t>143</t>
  </si>
  <si>
    <t>144</t>
  </si>
  <si>
    <t>145</t>
  </si>
  <si>
    <t>146</t>
  </si>
  <si>
    <t>147</t>
  </si>
  <si>
    <t>170</t>
  </si>
  <si>
    <t>171</t>
  </si>
  <si>
    <t>172</t>
  </si>
  <si>
    <t>データ内容</t>
    <rPh sb="3" eb="5">
      <t>ナイヨウ</t>
    </rPh>
    <phoneticPr fontId="4"/>
  </si>
  <si>
    <t>生成形式</t>
    <rPh sb="0" eb="2">
      <t>セイセイ</t>
    </rPh>
    <rPh sb="2" eb="4">
      <t>ケイシキ</t>
    </rPh>
    <phoneticPr fontId="4"/>
  </si>
  <si>
    <t>新規生成/随時</t>
    <rPh sb="0" eb="2">
      <t>シンキ</t>
    </rPh>
    <rPh sb="2" eb="4">
      <t>セイセイ</t>
    </rPh>
    <rPh sb="5" eb="7">
      <t>ズイジ</t>
    </rPh>
    <phoneticPr fontId="4"/>
  </si>
  <si>
    <t>定例</t>
    <rPh sb="0" eb="2">
      <t>テイレイ</t>
    </rPh>
    <phoneticPr fontId="4"/>
  </si>
  <si>
    <t>非定例</t>
    <rPh sb="0" eb="1">
      <t>ヒ</t>
    </rPh>
    <rPh sb="1" eb="3">
      <t>テイレイ</t>
    </rPh>
    <phoneticPr fontId="4"/>
  </si>
  <si>
    <t>×</t>
    <phoneticPr fontId="4"/>
  </si>
  <si>
    <t>随時実行されます。</t>
    <rPh sb="0" eb="2">
      <t>ズイジ</t>
    </rPh>
    <rPh sb="2" eb="4">
      <t>ジッコウ</t>
    </rPh>
    <phoneticPr fontId="4"/>
  </si>
  <si>
    <t>システムバックアップ</t>
    <phoneticPr fontId="4"/>
  </si>
  <si>
    <t>本システム</t>
    <rPh sb="0" eb="1">
      <t>ホン</t>
    </rPh>
    <phoneticPr fontId="4"/>
  </si>
  <si>
    <t>Oracle DB</t>
    <phoneticPr fontId="4"/>
  </si>
  <si>
    <t>差分</t>
    <rPh sb="0" eb="2">
      <t>サブン</t>
    </rPh>
    <phoneticPr fontId="4"/>
  </si>
  <si>
    <t>毎週日曜4:00</t>
    <rPh sb="0" eb="1">
      <t>マイ</t>
    </rPh>
    <rPh sb="1" eb="2">
      <t>シュウ</t>
    </rPh>
    <rPh sb="2" eb="3">
      <t>ヒ</t>
    </rPh>
    <phoneticPr fontId="4"/>
  </si>
  <si>
    <t>毎週月～土4:00</t>
    <rPh sb="0" eb="1">
      <t>マイ</t>
    </rPh>
    <rPh sb="1" eb="2">
      <t>シュウ</t>
    </rPh>
    <rPh sb="2" eb="3">
      <t>ツキ</t>
    </rPh>
    <rPh sb="4" eb="5">
      <t>ツチ</t>
    </rPh>
    <phoneticPr fontId="4"/>
  </si>
  <si>
    <t>○</t>
    <phoneticPr fontId="4"/>
  </si>
  <si>
    <t>68</t>
  </si>
  <si>
    <t>取得間隔/バックアップ方式</t>
    <rPh sb="0" eb="2">
      <t>シュトク</t>
    </rPh>
    <rPh sb="2" eb="4">
      <t>カンカク</t>
    </rPh>
    <rPh sb="11" eb="13">
      <t>ホウシキ</t>
    </rPh>
    <phoneticPr fontId="4"/>
  </si>
  <si>
    <t>業務ランク</t>
    <phoneticPr fontId="4"/>
  </si>
  <si>
    <t>運用標準</t>
    <rPh sb="0" eb="2">
      <t>ウンヨウ</t>
    </rPh>
    <rPh sb="2" eb="4">
      <t>ヒョウジュン</t>
    </rPh>
    <phoneticPr fontId="4"/>
  </si>
  <si>
    <t>A</t>
    <phoneticPr fontId="4"/>
  </si>
  <si>
    <t>・顧客の経営戦略に直結するシステム                  
・季節により継続的にシステムの使用状況の変動の可能性があるシステム</t>
    <phoneticPr fontId="4"/>
  </si>
  <si>
    <t>8-1. 方針概要</t>
    <rPh sb="5" eb="7">
      <t>ホウシン</t>
    </rPh>
    <rPh sb="7" eb="9">
      <t>ガイヨウ</t>
    </rPh>
    <phoneticPr fontId="4"/>
  </si>
  <si>
    <t>26</t>
  </si>
  <si>
    <t>65</t>
  </si>
  <si>
    <t>4:00 日　　　：フルバックアップ
4:00 月～土：差分バックアップ</t>
    <rPh sb="24" eb="25">
      <t>ゲツ</t>
    </rPh>
    <rPh sb="26" eb="27">
      <t>ド</t>
    </rPh>
    <rPh sb="28" eb="30">
      <t>サブン</t>
    </rPh>
    <phoneticPr fontId="4"/>
  </si>
  <si>
    <t>(1) システムの障害時に備え、適切なデータのバックアップを実行し、保管します。</t>
    <rPh sb="9" eb="11">
      <t>ショウガイ</t>
    </rPh>
    <rPh sb="11" eb="12">
      <t>ジ</t>
    </rPh>
    <rPh sb="13" eb="14">
      <t>ソナ</t>
    </rPh>
    <rPh sb="16" eb="18">
      <t>テキセツ</t>
    </rPh>
    <rPh sb="30" eb="32">
      <t>ジッコウ</t>
    </rPh>
    <rPh sb="34" eb="36">
      <t>ホカン</t>
    </rPh>
    <phoneticPr fontId="4"/>
  </si>
  <si>
    <t>バックアップの方針概要については、以下の通りとします。</t>
    <rPh sb="7" eb="9">
      <t>ホウシン</t>
    </rPh>
    <rPh sb="9" eb="11">
      <t>ガイヨウ</t>
    </rPh>
    <rPh sb="17" eb="19">
      <t>イカ</t>
    </rPh>
    <rPh sb="20" eb="21">
      <t>トオ</t>
    </rPh>
    <phoneticPr fontId="4"/>
  </si>
  <si>
    <t>2世代（月曜～日曜の日次・週次の1週間分のバックアップを2世代）</t>
    <rPh sb="1" eb="3">
      <t>セダイ</t>
    </rPh>
    <rPh sb="4" eb="6">
      <t>ゲツヨウ</t>
    </rPh>
    <rPh sb="7" eb="9">
      <t>ニチヨウ</t>
    </rPh>
    <rPh sb="10" eb="12">
      <t>ニチジ</t>
    </rPh>
    <rPh sb="13" eb="14">
      <t>シュウ</t>
    </rPh>
    <rPh sb="14" eb="15">
      <t>ジ</t>
    </rPh>
    <rPh sb="17" eb="20">
      <t>シュウカンブン</t>
    </rPh>
    <rPh sb="29" eb="31">
      <t>セダイ</t>
    </rPh>
    <phoneticPr fontId="4"/>
  </si>
  <si>
    <t>バックアップ
方式</t>
    <rPh sb="7" eb="9">
      <t>ホウシキ</t>
    </rPh>
    <phoneticPr fontId="4"/>
  </si>
  <si>
    <t>バックアップ
実行方法</t>
    <rPh sb="7" eb="9">
      <t>ジッコウ</t>
    </rPh>
    <rPh sb="9" eb="11">
      <t>ホウホウ</t>
    </rPh>
    <phoneticPr fontId="4"/>
  </si>
  <si>
    <t>バックアップ
タイミング</t>
    <phoneticPr fontId="4"/>
  </si>
  <si>
    <t>保管期間・
世代数</t>
    <rPh sb="0" eb="2">
      <t>ホカン</t>
    </rPh>
    <rPh sb="2" eb="4">
      <t>キカン</t>
    </rPh>
    <rPh sb="6" eb="8">
      <t>セダイ</t>
    </rPh>
    <rPh sb="8" eb="9">
      <t>スウ</t>
    </rPh>
    <phoneticPr fontId="4"/>
  </si>
  <si>
    <t>システムバックアップ／
OS・ミドルウェアの実行モジュールなど</t>
    <phoneticPr fontId="4"/>
  </si>
  <si>
    <t>(1) システムバックアップ（本システム）</t>
    <phoneticPr fontId="4"/>
  </si>
  <si>
    <t>-</t>
    <phoneticPr fontId="4"/>
  </si>
  <si>
    <t>保管期間・世代数</t>
    <phoneticPr fontId="4"/>
  </si>
  <si>
    <t>1.システムバックアップ</t>
    <phoneticPr fontId="4"/>
  </si>
  <si>
    <t>8-2-5. バックアップ作業場所</t>
  </si>
  <si>
    <t>158</t>
  </si>
  <si>
    <t xml:space="preserve">システム構成変更時に随時実行します。
</t>
    <rPh sb="4" eb="6">
      <t>コウセイ</t>
    </rPh>
    <rPh sb="6" eb="8">
      <t>ヘンコウ</t>
    </rPh>
    <rPh sb="8" eb="9">
      <t>ジ</t>
    </rPh>
    <rPh sb="10" eb="12">
      <t>ズイジ</t>
    </rPh>
    <rPh sb="12" eb="14">
      <t>ジッコウ</t>
    </rPh>
    <phoneticPr fontId="4"/>
  </si>
  <si>
    <t>影響範囲の大きさから、障害が発生しないようにする必要があります。</t>
    <rPh sb="24" eb="26">
      <t>ヒツヨウ</t>
    </rPh>
    <phoneticPr fontId="4"/>
  </si>
  <si>
    <t>コンタクトセンター共通化</t>
    <phoneticPr fontId="4"/>
  </si>
  <si>
    <t>MSYS
木全</t>
    <rPh sb="5" eb="7">
      <t>キマタ</t>
    </rPh>
    <phoneticPr fontId="4"/>
  </si>
  <si>
    <t>統合バックアップ</t>
    <rPh sb="0" eb="2">
      <t>トウゴウ</t>
    </rPh>
    <phoneticPr fontId="4"/>
  </si>
  <si>
    <t>随時</t>
    <rPh sb="0" eb="2">
      <t>ズイジ</t>
    </rPh>
    <phoneticPr fontId="4"/>
  </si>
  <si>
    <t>OSのdumpコマンドによるバックアップ</t>
    <phoneticPr fontId="4"/>
  </si>
  <si>
    <t>システム構成変更時</t>
    <rPh sb="4" eb="6">
      <t>コウセイ</t>
    </rPh>
    <rPh sb="6" eb="8">
      <t>ヘンコウ</t>
    </rPh>
    <rPh sb="8" eb="9">
      <t>ジ</t>
    </rPh>
    <phoneticPr fontId="4"/>
  </si>
  <si>
    <t>手動</t>
    <rPh sb="0" eb="2">
      <t>シュドウ</t>
    </rPh>
    <phoneticPr fontId="4"/>
  </si>
  <si>
    <t>2世代</t>
    <rPh sb="1" eb="3">
      <t>セダイ</t>
    </rPh>
    <phoneticPr fontId="4"/>
  </si>
  <si>
    <t>運用管理</t>
    <rPh sb="0" eb="2">
      <t>ウンヨウ</t>
    </rPh>
    <rPh sb="2" eb="4">
      <t>カンリ</t>
    </rPh>
    <phoneticPr fontId="4"/>
  </si>
  <si>
    <t>統合バックアップ</t>
    <rPh sb="0" eb="2">
      <t>トウゴウ</t>
    </rPh>
    <phoneticPr fontId="4"/>
  </si>
  <si>
    <t>Avaya Linux</t>
    <phoneticPr fontId="4"/>
  </si>
  <si>
    <t>RHEL</t>
    <phoneticPr fontId="4"/>
  </si>
  <si>
    <t>Windows</t>
    <phoneticPr fontId="4"/>
  </si>
  <si>
    <t>EPM</t>
    <phoneticPr fontId="4"/>
  </si>
  <si>
    <t>DB</t>
    <phoneticPr fontId="4"/>
  </si>
  <si>
    <t>UNGIVR01EPM01</t>
    <phoneticPr fontId="4"/>
  </si>
  <si>
    <t>UNGIVR02EPM01</t>
    <phoneticPr fontId="4"/>
  </si>
  <si>
    <t>UNGIVR01MPP01</t>
  </si>
  <si>
    <t>UNGIVR01MPP02</t>
  </si>
  <si>
    <t>UNGIVR02MPP01</t>
  </si>
  <si>
    <t>UNGIVR02MPP02</t>
  </si>
  <si>
    <t>UNGIVR01WAS01</t>
  </si>
  <si>
    <t>UNGIVR01WAS02</t>
  </si>
  <si>
    <t>UNGIVR02WAS01</t>
  </si>
  <si>
    <t>UNGIVR02WAS02</t>
  </si>
  <si>
    <t>UNGIVR97RDB01</t>
  </si>
  <si>
    <t>UNGIVR97RDB02</t>
  </si>
  <si>
    <t>UNGIVR97OPM01</t>
  </si>
  <si>
    <t>UNGIVR98AEP01</t>
  </si>
  <si>
    <t>UNGIVR98WAS01</t>
  </si>
  <si>
    <t>*</t>
    <phoneticPr fontId="4"/>
  </si>
  <si>
    <r>
      <t>詳細は「バックアップ対象一覧」シートを参照　※項番1</t>
    </r>
    <r>
      <rPr>
        <sz val="10"/>
        <color rgb="FFFF0000"/>
        <rFont val="ＭＳ Ｐゴシック"/>
        <family val="3"/>
        <charset val="128"/>
      </rPr>
      <t>、2</t>
    </r>
    <r>
      <rPr>
        <sz val="10"/>
        <rFont val="ＭＳ Ｐゴシック"/>
        <family val="3"/>
        <charset val="128"/>
      </rPr>
      <t>を参照</t>
    </r>
    <phoneticPr fontId="4"/>
  </si>
  <si>
    <t>録音ファイル</t>
    <rPh sb="0" eb="2">
      <t>ロクオン</t>
    </rPh>
    <phoneticPr fontId="4"/>
  </si>
  <si>
    <t>/share/oradata/kis01/app/ki/script</t>
    <phoneticPr fontId="4"/>
  </si>
  <si>
    <t>新規生成/日次</t>
    <phoneticPr fontId="4"/>
  </si>
  <si>
    <t>4:00</t>
    <phoneticPr fontId="4"/>
  </si>
  <si>
    <t>業務データ</t>
    <rPh sb="0" eb="2">
      <t>ギョウム</t>
    </rPh>
    <phoneticPr fontId="4"/>
  </si>
  <si>
    <t>JP1/AJS3</t>
    <phoneticPr fontId="4"/>
  </si>
  <si>
    <t>月：10240
火：20480
水：30720
木：40960
金：51200
土：61440</t>
    <rPh sb="0" eb="1">
      <t>ゲツ</t>
    </rPh>
    <rPh sb="8" eb="9">
      <t>ヒ</t>
    </rPh>
    <rPh sb="16" eb="17">
      <t>スイ</t>
    </rPh>
    <rPh sb="24" eb="25">
      <t>モク</t>
    </rPh>
    <rPh sb="32" eb="33">
      <t>キン</t>
    </rPh>
    <rPh sb="40" eb="41">
      <t>ド</t>
    </rPh>
    <phoneticPr fontId="4"/>
  </si>
  <si>
    <t>日：225280</t>
    <rPh sb="0" eb="1">
      <t>ニチ</t>
    </rPh>
    <phoneticPr fontId="4"/>
  </si>
  <si>
    <t>MSYS
八代</t>
    <rPh sb="5" eb="7">
      <t>ヤシロ</t>
    </rPh>
    <phoneticPr fontId="4"/>
  </si>
  <si>
    <t>シングルユーザモードに移行し、OSのdumpコマンドを利用して、各パーティションのバックアップを、Backup/Syslogサーバに接続された統合バックアップの領域に取得します。
運用管理サーバは、Windows Server バックアップを利用して取得します。</t>
    <rPh sb="90" eb="92">
      <t>ウンヨウ</t>
    </rPh>
    <rPh sb="92" eb="94">
      <t>カンリ</t>
    </rPh>
    <rPh sb="125" eb="127">
      <t>シュトク</t>
    </rPh>
    <phoneticPr fontId="4"/>
  </si>
  <si>
    <t xml:space="preserve">RMAN（Recovery Manager）を使用して、DBサーバのOracleデータベースのバックアップを、Backup/Syslogサーバに接続された統合バックアップの領域に取得します。日次で差分バックアップ、週次でフルバックアップを取得します。
</t>
    <rPh sb="95" eb="97">
      <t>ニチジ</t>
    </rPh>
    <rPh sb="98" eb="100">
      <t>サブン</t>
    </rPh>
    <rPh sb="107" eb="108">
      <t>シュウ</t>
    </rPh>
    <rPh sb="108" eb="109">
      <t>ツギ</t>
    </rPh>
    <rPh sb="119" eb="121">
      <t>シュトク</t>
    </rPh>
    <phoneticPr fontId="4"/>
  </si>
  <si>
    <t>運用管理サーバ</t>
    <rPh sb="0" eb="2">
      <t>ウンヨウ</t>
    </rPh>
    <rPh sb="2" eb="4">
      <t>カンリ</t>
    </rPh>
    <phoneticPr fontId="4"/>
  </si>
  <si>
    <t>-</t>
    <phoneticPr fontId="4"/>
  </si>
  <si>
    <t>OSのWindows Server バックアップによるバックアップ</t>
    <phoneticPr fontId="4"/>
  </si>
  <si>
    <t>Arcserveによるバックアップ</t>
    <phoneticPr fontId="4"/>
  </si>
  <si>
    <r>
      <rPr>
        <b/>
        <u/>
        <sz val="14"/>
        <rFont val="ＭＳ Ｐゴシック"/>
        <family val="3"/>
        <charset val="128"/>
      </rPr>
      <t>運用基本設計書</t>
    </r>
    <r>
      <rPr>
        <b/>
        <sz val="14"/>
        <rFont val="ＭＳ Ｐゴシック"/>
        <family val="3"/>
        <charset val="128"/>
      </rPr>
      <t>　バックアップ</t>
    </r>
    <rPh sb="0" eb="2">
      <t>ウンヨウ</t>
    </rPh>
    <rPh sb="4" eb="6">
      <t>セッケイ</t>
    </rPh>
    <rPh sb="6" eb="7">
      <t>ショ</t>
    </rPh>
    <phoneticPr fontId="4"/>
  </si>
  <si>
    <t>データバックアップ／
業務データ</t>
    <phoneticPr fontId="4"/>
  </si>
  <si>
    <t>JP1/AJS3にてスケジューリングし、日次でバックアップを取得します。</t>
    <rPh sb="20" eb="22">
      <t>ニチジ</t>
    </rPh>
    <rPh sb="30" eb="32">
      <t>シュトク</t>
    </rPh>
    <phoneticPr fontId="4"/>
  </si>
  <si>
    <t>データバックアップ／
DBデータ</t>
    <phoneticPr fontId="4"/>
  </si>
  <si>
    <t>JP1/AJS3にてスケジューリングし、週次でフルバックアップ、日次で差分バックアップを取得します。</t>
    <rPh sb="20" eb="21">
      <t>シュウ</t>
    </rPh>
    <rPh sb="21" eb="22">
      <t>ジ</t>
    </rPh>
    <rPh sb="35" eb="37">
      <t>サブン</t>
    </rPh>
    <phoneticPr fontId="4"/>
  </si>
  <si>
    <t>詳細は「バックアップ対象一覧」シートを参照　※項番3を参照</t>
    <phoneticPr fontId="4"/>
  </si>
  <si>
    <t>(2) データバックアップ／業務データ</t>
    <rPh sb="14" eb="16">
      <t>ギョウム</t>
    </rPh>
    <phoneticPr fontId="4"/>
  </si>
  <si>
    <t>JP1/AJS3でのスケジューリング</t>
    <phoneticPr fontId="4"/>
  </si>
  <si>
    <t>詳細は「バックアップ対象一覧」シートを参照　※項番4を参照</t>
    <phoneticPr fontId="4"/>
  </si>
  <si>
    <t>(3) データバックアップ／DBデータ</t>
    <phoneticPr fontId="4"/>
  </si>
  <si>
    <t>JP1/AJS3でのスケジューリング</t>
    <phoneticPr fontId="4"/>
  </si>
  <si>
    <t>詳細は「バックアップ対象一覧」シートを参照　※項番5～6を参照</t>
    <phoneticPr fontId="4"/>
  </si>
  <si>
    <t>3.データバックアップ／DBデータ</t>
    <phoneticPr fontId="4"/>
  </si>
  <si>
    <t>DBデータ</t>
    <phoneticPr fontId="4"/>
  </si>
  <si>
    <t>EPM/MPP</t>
    <phoneticPr fontId="4"/>
  </si>
  <si>
    <t>80</t>
  </si>
  <si>
    <t>81</t>
  </si>
  <si>
    <t>82</t>
  </si>
  <si>
    <t>83</t>
  </si>
  <si>
    <t>84</t>
  </si>
  <si>
    <t>85</t>
  </si>
  <si>
    <t>86</t>
  </si>
  <si>
    <t>87</t>
  </si>
  <si>
    <t>88</t>
  </si>
  <si>
    <t>89</t>
  </si>
  <si>
    <t>90</t>
  </si>
  <si>
    <t>91</t>
  </si>
  <si>
    <t>92</t>
  </si>
  <si>
    <t>93</t>
  </si>
  <si>
    <t>94</t>
  </si>
  <si>
    <t>95</t>
  </si>
  <si>
    <t>148</t>
  </si>
  <si>
    <t>149</t>
  </si>
  <si>
    <t>150</t>
  </si>
  <si>
    <t>153</t>
  </si>
  <si>
    <t>154</t>
  </si>
  <si>
    <t>155</t>
  </si>
  <si>
    <t>156</t>
  </si>
  <si>
    <t>157</t>
  </si>
  <si>
    <t>159</t>
  </si>
  <si>
    <t>160</t>
  </si>
  <si>
    <t>161</t>
  </si>
  <si>
    <t>162</t>
  </si>
  <si>
    <t>163</t>
  </si>
  <si>
    <t>164</t>
  </si>
  <si>
    <t>165</t>
  </si>
  <si>
    <t>166</t>
  </si>
  <si>
    <t>167</t>
  </si>
  <si>
    <t>168</t>
  </si>
  <si>
    <t>169</t>
  </si>
  <si>
    <r>
      <t>2.データバックアップ／</t>
    </r>
    <r>
      <rPr>
        <sz val="10"/>
        <rFont val="ＭＳ Ｐゴシック"/>
        <family val="3"/>
        <charset val="128"/>
      </rPr>
      <t>業務データ</t>
    </r>
    <rPh sb="12" eb="14">
      <t>ギョウム</t>
    </rPh>
    <phoneticPr fontId="4"/>
  </si>
  <si>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</si>
  <si>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</si>
  <si>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</si>
  <si>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</si>
  <si>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</si>
  <si>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</si>
  <si>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</si>
  <si>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</si>
  <si>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</si>
  <si>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</si>
  <si>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</si>
  <si>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</si>
  <si>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</si>
  <si>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</si>
  <si>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</si>
  <si>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</si>
  <si>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</si>
  <si>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</si>
  <si>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</si>
  <si>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</si>
  <si>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</si>
  <si>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</si>
  <si>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</si>
  <si>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No</t>
    <phoneticPr fontId="4"/>
  </si>
  <si>
    <t>バックアップ
サイズ
（MB）</t>
    <phoneticPr fontId="4"/>
  </si>
  <si>
    <t>バックアップツール</t>
    <phoneticPr fontId="4"/>
  </si>
  <si>
    <t>dumpコマンド</t>
    <phoneticPr fontId="4"/>
  </si>
  <si>
    <t>ローテーション
タイミング</t>
    <phoneticPr fontId="4"/>
  </si>
  <si>
    <t>WindowsServerバックアップ</t>
    <phoneticPr fontId="4"/>
  </si>
  <si>
    <t>①運用ツール
②Arcserve</t>
    <rPh sb="1" eb="3">
      <t>ウンヨウ</t>
    </rPh>
    <phoneticPr fontId="4"/>
  </si>
  <si>
    <t>RMAN</t>
    <phoneticPr fontId="4"/>
  </si>
  <si>
    <t>JP1/AJS3</t>
    <phoneticPr fontId="4"/>
  </si>
  <si>
    <t xml:space="preserve">/dev/sda1
/dev/os_vg01/root_lv01
/dev/os_vg01/opt_lv01
/dev/os_vg01/var_lv01
/dev/os_vg01/var_crash_lv01
</t>
    <phoneticPr fontId="4"/>
  </si>
  <si>
    <t>0:00</t>
    <phoneticPr fontId="4"/>
  </si>
  <si>
    <t>0:00に取得</t>
    <rPh sb="5" eb="7">
      <t>シュトク</t>
    </rPh>
    <phoneticPr fontId="4"/>
  </si>
  <si>
    <t>運用ツールを使用して、対象サーバに保管している業務データを特定ディレクトリに収集し、ArcserveでBackup/Syslogサーバに接続された統合バックアップの領域に取得します。
日次でDBサーバの録音テンポラリファイルを取得します。</t>
    <rPh sb="11" eb="13">
      <t>タイショウ</t>
    </rPh>
    <rPh sb="23" eb="25">
      <t>ギョウム</t>
    </rPh>
    <rPh sb="92" eb="94">
      <t>ニチジ</t>
    </rPh>
    <rPh sb="113" eb="115">
      <t>シュトク</t>
    </rPh>
    <phoneticPr fontId="4"/>
  </si>
  <si>
    <t>データバックアップ／
APログ</t>
    <phoneticPr fontId="4"/>
  </si>
  <si>
    <t>VPMSサービスログ
Tomcatサービスログ
PostgreSQLサービスログ
MPPサービスログ
cticonnectorログ
バッチ実行ログ
SQLPlus実行ログ
SQLLoader実行ログ</t>
    <phoneticPr fontId="4"/>
  </si>
  <si>
    <t>音声フローErrorログ
音声フローInfoログ
音声フローDebugログ
管理画面Errorログ
管理画面Infoログ
管理画面Debugログ
ストアドファンクション実行ログ
RSCログ</t>
    <phoneticPr fontId="4"/>
  </si>
  <si>
    <t>月次、週次、日次（ログによって変わる）/フル</t>
    <rPh sb="0" eb="2">
      <t>ゲツジ</t>
    </rPh>
    <rPh sb="3" eb="4">
      <t>シュウ</t>
    </rPh>
    <rPh sb="4" eb="5">
      <t>ジ</t>
    </rPh>
    <rPh sb="6" eb="8">
      <t>ニチジ</t>
    </rPh>
    <rPh sb="15" eb="16">
      <t>カ</t>
    </rPh>
    <phoneticPr fontId="4"/>
  </si>
  <si>
    <t>ファイルコピー</t>
    <phoneticPr fontId="4"/>
  </si>
  <si>
    <t>1:00のログローテーション終了後（バッチログのローテーションは16:30に実施するが、バックアップ取得タイミングは左記と同じ）</t>
    <rPh sb="14" eb="17">
      <t>シュウリョウゴ</t>
    </rPh>
    <rPh sb="38" eb="40">
      <t>ジッシ</t>
    </rPh>
    <rPh sb="50" eb="52">
      <t>シュトク</t>
    </rPh>
    <rPh sb="58" eb="60">
      <t>サキ</t>
    </rPh>
    <rPh sb="61" eb="62">
      <t>オナ</t>
    </rPh>
    <phoneticPr fontId="4"/>
  </si>
  <si>
    <t>JP1/AJS2でのスケジューリング</t>
    <phoneticPr fontId="4"/>
  </si>
  <si>
    <t>18カ月</t>
    <rPh sb="3" eb="4">
      <t>ゲツ</t>
    </rPh>
    <phoneticPr fontId="4"/>
  </si>
  <si>
    <t>1:00のログローテーション終了後に取得</t>
    <rPh sb="14" eb="17">
      <t>シュウリョウゴ</t>
    </rPh>
    <rPh sb="18" eb="20">
      <t>シュトク</t>
    </rPh>
    <phoneticPr fontId="4"/>
  </si>
  <si>
    <t>APログ</t>
    <phoneticPr fontId="4"/>
  </si>
  <si>
    <t>ログ</t>
    <phoneticPr fontId="4"/>
  </si>
  <si>
    <t>詳細設計にて検討後、記載</t>
    <rPh sb="0" eb="2">
      <t>ショウサイ</t>
    </rPh>
    <rPh sb="2" eb="4">
      <t>セッケイ</t>
    </rPh>
    <rPh sb="6" eb="8">
      <t>ケントウ</t>
    </rPh>
    <rPh sb="8" eb="9">
      <t>ゴ</t>
    </rPh>
    <rPh sb="10" eb="12">
      <t>キサイ</t>
    </rPh>
    <phoneticPr fontId="4"/>
  </si>
  <si>
    <t>(5) データバックアップ／APログ</t>
    <phoneticPr fontId="4"/>
  </si>
  <si>
    <t>(4) データバックアップ／システムログ</t>
    <phoneticPr fontId="4"/>
  </si>
  <si>
    <t>システムログ</t>
    <phoneticPr fontId="4"/>
  </si>
  <si>
    <t>Linux系</t>
    <rPh sb="5" eb="6">
      <t>ケイ</t>
    </rPh>
    <phoneticPr fontId="4"/>
  </si>
  <si>
    <t>/opt/Avaya/VoicePortal/VPMS/logs/</t>
    <phoneticPr fontId="4"/>
  </si>
  <si>
    <t>avaya.vpms.log.n(nは1～5の連番）</t>
  </si>
  <si>
    <t>イベント発生時に追記</t>
    <rPh sb="4" eb="6">
      <t>ハッセイ</t>
    </rPh>
    <rPh sb="6" eb="7">
      <t>ジ</t>
    </rPh>
    <rPh sb="8" eb="10">
      <t>ツイキ</t>
    </rPh>
    <phoneticPr fontId="4"/>
  </si>
  <si>
    <t>ファイルサイズ10MB超過時</t>
    <rPh sb="11" eb="13">
      <t>チョウカ</t>
    </rPh>
    <rPh sb="13" eb="14">
      <t>ジ</t>
    </rPh>
    <phoneticPr fontId="4"/>
  </si>
  <si>
    <t>日次1:00</t>
    <rPh sb="0" eb="2">
      <t>ニチジ</t>
    </rPh>
    <phoneticPr fontId="4"/>
  </si>
  <si>
    <t>１ファイル</t>
    <phoneticPr fontId="4"/>
  </si>
  <si>
    <t>/opt/Avaya/VoicePortal/VPMS/logs/</t>
  </si>
  <si>
    <t>avaya.audit.log.n(nは1～5の連番）</t>
  </si>
  <si>
    <t>avaya.appintfws.log.n(nは1～10の連番）</t>
  </si>
  <si>
    <t>ファイルサイズ50MB超過時</t>
    <rPh sb="11" eb="13">
      <t>チョウカ</t>
    </rPh>
    <rPh sb="13" eb="14">
      <t>ジ</t>
    </rPh>
    <phoneticPr fontId="4"/>
  </si>
  <si>
    <t>avaya.applogger.log.n(nは1～5の連番）</t>
    <phoneticPr fontId="4"/>
  </si>
  <si>
    <t>avaya.vplistener.log.n(nは1～5の連番）</t>
  </si>
  <si>
    <t>avaya.vpmanagews.log.n(nは1～5の連番）</t>
    <phoneticPr fontId="4"/>
  </si>
  <si>
    <t>avaya.snmpagent.log.n(nは1～5の連番）</t>
  </si>
  <si>
    <t>avaya.upgradews.log.n(nは1～5の連番）</t>
  </si>
  <si>
    <t>avaya.backupmgr.log.n(nは1～5の連番）</t>
  </si>
  <si>
    <t>avaya.tracemgr.log.n(nは1～5の連番）</t>
  </si>
  <si>
    <t>axis.webservice.log.n(nは1～5の連番）</t>
  </si>
  <si>
    <t>axis2.webservice.log.n(nは1～5の連番）</t>
  </si>
  <si>
    <t>avaya.coreservices.log.n(nは1～5の連番）</t>
  </si>
  <si>
    <t>avaya.appintfservice.log.n(nは1～5の連番）</t>
  </si>
  <si>
    <t>ファイルサイズ100KB超過時</t>
    <rPh sb="12" eb="14">
      <t>チョウカ</t>
    </rPh>
    <rPh sb="14" eb="15">
      <t>ジ</t>
    </rPh>
    <phoneticPr fontId="4"/>
  </si>
  <si>
    <t>avaya.hostlogserver.log.n(nは1～2の連番）</t>
  </si>
  <si>
    <t>avaya.networklogretrieverserver.log.n(nは1～3の連番）</t>
  </si>
  <si>
    <t>avaya.networklogserver.log.n(nは1～2の連番）</t>
  </si>
  <si>
    <t>avaya.service.vpms.log</t>
    <phoneticPr fontId="4"/>
  </si>
  <si>
    <t>weblmserver.log</t>
  </si>
  <si>
    <t>Tomcatサービスログ</t>
  </si>
  <si>
    <t>/opt/Tomcat/tomcat/logs/</t>
    <phoneticPr fontId="4"/>
  </si>
  <si>
    <t>admin*.log（*:yyyy-mm-dd（例:admin.2011-08-26.log））</t>
    <rPh sb="24" eb="25">
      <t>レイ</t>
    </rPh>
    <phoneticPr fontId="4"/>
  </si>
  <si>
    <t>日次0:00</t>
    <rPh sb="0" eb="2">
      <t>ニチジ</t>
    </rPh>
    <phoneticPr fontId="4"/>
  </si>
  <si>
    <t>新規生成/日次</t>
    <rPh sb="0" eb="2">
      <t>シンキ</t>
    </rPh>
    <rPh sb="2" eb="4">
      <t>セイセイ</t>
    </rPh>
    <rPh sb="5" eb="7">
      <t>ニチジ</t>
    </rPh>
    <phoneticPr fontId="4"/>
  </si>
  <si>
    <t>/opt/Tomcat/tomcat/logs/</t>
  </si>
  <si>
    <t>catalina*.log（*:yyyy-mm-dd（例:catalina.2011-08-21.log））</t>
  </si>
  <si>
    <t>catalina.out</t>
  </si>
  <si>
    <t>localhost*.log（*:yyyy-mm-dd（例:localhost.2011-08-21.log））</t>
  </si>
  <si>
    <t>manager*.log（*:yyyy-mm-dd（例:manager.2011-08-26.log））</t>
  </si>
  <si>
    <t>PostgreSQLサービスログ</t>
  </si>
  <si>
    <t>/var/lib/pgsql/data/pg_log/</t>
    <phoneticPr fontId="4"/>
  </si>
  <si>
    <t>postgres*.log（*:yyyy-mm-dd_hhmmss（例:postgresql-2011-08-30_014554.log））</t>
  </si>
  <si>
    <t>MPPサービスログ</t>
  </si>
  <si>
    <t>/opt/Avaya/VoicePortal/MPP/logs/process/Administration/</t>
  </si>
  <si>
    <t>mppmaint.log</t>
    <phoneticPr fontId="4"/>
  </si>
  <si>
    <t>/opt/Avaya/VoicePortal/MPP/logs/process/CXI/</t>
    <phoneticPr fontId="4"/>
  </si>
  <si>
    <t>CCXML-Global*.log（*:n（例:CCXML-Global-8.log））</t>
  </si>
  <si>
    <t>/opt/Avaya/VoicePortal/MPP/logs/process/SessMgr/</t>
  </si>
  <si>
    <t>Session*.log（*:XXX（例:SessionSlot-016.log））</t>
  </si>
  <si>
    <t>/opt/Avaya/VoicePortal/MPP/logs/process/VB/</t>
    <phoneticPr fontId="4"/>
  </si>
  <si>
    <t>global*.log（*:n（例:global9.log））</t>
    <phoneticPr fontId="4"/>
  </si>
  <si>
    <t>/opt/Avaya/VoicePortal/MPP/logs/process/VB/</t>
  </si>
  <si>
    <t>Session*.log（*:XXX（例:SessionSlot-014.log））</t>
  </si>
  <si>
    <t>cticonnectorログ</t>
    <phoneticPr fontId="4"/>
  </si>
  <si>
    <t>/opt/weblogic/user_projects/domains/KIUTAP01/servers
/KIUTAP01_ManagedServer01/stage/cticonnector/cticonnector/data/log/</t>
    <phoneticPr fontId="4"/>
  </si>
  <si>
    <t>trace.log.*（*:yyyy-mm-dd（例:trace.log.2011-09-29））</t>
    <phoneticPr fontId="4"/>
  </si>
  <si>
    <t>/opt/weblogic/user_projects/domains/KIUHAP01/servers
/KIUHAP01_ManagedServer01/stage/cticonnector/cticonnector/data/log/</t>
    <phoneticPr fontId="4"/>
  </si>
  <si>
    <t>/opt/weblogic/user_projects/domains/KIUKAP01/servers
/KIUKAP01_ManagedServer01/stage/cticonnector/cticonnector/data/log/</t>
    <phoneticPr fontId="4"/>
  </si>
  <si>
    <t>バッチ実行ログ</t>
    <rPh sb="3" eb="5">
      <t>ジッコウ</t>
    </rPh>
    <phoneticPr fontId="2"/>
  </si>
  <si>
    <t>/var/app/ki/script/log/</t>
    <phoneticPr fontId="4"/>
  </si>
  <si>
    <t>BDS101.log</t>
    <phoneticPr fontId="4"/>
  </si>
  <si>
    <t>バッチ実行時</t>
    <rPh sb="3" eb="5">
      <t>ジッコウ</t>
    </rPh>
    <rPh sb="5" eb="6">
      <t>ジ</t>
    </rPh>
    <phoneticPr fontId="4"/>
  </si>
  <si>
    <t>日次16:30</t>
    <rPh sb="0" eb="2">
      <t>ニチジ</t>
    </rPh>
    <phoneticPr fontId="4"/>
  </si>
  <si>
    <t>BDS102.log</t>
    <phoneticPr fontId="4"/>
  </si>
  <si>
    <t>COM101.log</t>
    <phoneticPr fontId="4"/>
  </si>
  <si>
    <t>COM103.log</t>
    <phoneticPr fontId="4"/>
  </si>
  <si>
    <t>HSR101.log</t>
    <phoneticPr fontId="4"/>
  </si>
  <si>
    <t>HSR102.log</t>
    <phoneticPr fontId="4"/>
  </si>
  <si>
    <t>HSR103.log</t>
    <phoneticPr fontId="4"/>
  </si>
  <si>
    <t>HSR104.log</t>
    <phoneticPr fontId="4"/>
  </si>
  <si>
    <t>HSR105.log</t>
    <phoneticPr fontId="4"/>
  </si>
  <si>
    <t>LDI101.log</t>
    <phoneticPr fontId="4"/>
  </si>
  <si>
    <t>LDI102.log</t>
    <phoneticPr fontId="4"/>
  </si>
  <si>
    <t>LDI103.log</t>
    <phoneticPr fontId="4"/>
  </si>
  <si>
    <t>/var/app/ki/script/log/</t>
  </si>
  <si>
    <t>CRC101.log</t>
  </si>
  <si>
    <t>日次00:00</t>
    <rPh sb="0" eb="2">
      <t>ニチジ</t>
    </rPh>
    <phoneticPr fontId="4"/>
  </si>
  <si>
    <t>フル</t>
  </si>
  <si>
    <t>１ファイル</t>
  </si>
  <si>
    <t>○</t>
  </si>
  <si>
    <t>×</t>
  </si>
  <si>
    <t>CRC102.log</t>
  </si>
  <si>
    <t>CRC103.log</t>
  </si>
  <si>
    <t>CRC104.log</t>
  </si>
  <si>
    <t>CRC105.log</t>
  </si>
  <si>
    <t>/var/app/ki02/script/log/</t>
    <phoneticPr fontId="4"/>
  </si>
  <si>
    <t>/var/app/ki02/script/log/</t>
  </si>
  <si>
    <t>SQLPlus実行ログ</t>
    <rPh sb="7" eb="9">
      <t>ジッコウ</t>
    </rPh>
    <phoneticPr fontId="2"/>
  </si>
  <si>
    <t>BDS101_SQL1_*.log (*:yyyymmddhhmiss(例:BDS101_SQL1_20120131235059.log))</t>
    <rPh sb="36" eb="37">
      <t>レイ</t>
    </rPh>
    <phoneticPr fontId="4"/>
  </si>
  <si>
    <t>新規作成/随時</t>
    <rPh sb="0" eb="2">
      <t>シンキ</t>
    </rPh>
    <rPh sb="2" eb="4">
      <t>サクセイ</t>
    </rPh>
    <rPh sb="5" eb="7">
      <t>ズイジ</t>
    </rPh>
    <phoneticPr fontId="4"/>
  </si>
  <si>
    <t>BDS101_SQL2_*.log (*:yyyymmddhhmiss(例:BDS101_SQL2_20120131235059.log))</t>
    <phoneticPr fontId="4"/>
  </si>
  <si>
    <t>BDS101_SQL3_*.log (*:yyyymmddhhmiss(例:BDS101_SQL3_20120131235059.log))</t>
    <phoneticPr fontId="4"/>
  </si>
  <si>
    <t>BDS102_SQL1_*.log (*:yyyymmddhhmiss(例:BDS102_SQL1_20120131235059.log))</t>
    <phoneticPr fontId="4"/>
  </si>
  <si>
    <t>BDS102_SQL2_*.log (*:yyyymmddhhmiss(例:BDS102_SQL2_20120131235059.log))</t>
    <phoneticPr fontId="4"/>
  </si>
  <si>
    <t>BDS102_SQL3_*.log (*:yyyymmddhhmiss(例:BDS102_SQL3_20120131235059.log))</t>
    <phoneticPr fontId="4"/>
  </si>
  <si>
    <t>COM101_SQL_*.log (*:yyyymmddhhmiss(例:COM101_SQL_20120131235059.log))</t>
    <phoneticPr fontId="4"/>
  </si>
  <si>
    <t>HSR101_SQL_*.log (*:yyyymmddhhmiss(例:HSR101_SQL_20120131235059.log))</t>
    <phoneticPr fontId="4"/>
  </si>
  <si>
    <t>HSR102_SQL_*.log (*:yyyymmddhhmiss(例:HSR102_SQL_20120131235059.log))</t>
    <phoneticPr fontId="4"/>
  </si>
  <si>
    <t>HSR104_SQL_*.log (*:yyyymmddhhmiss(例:HSR104_SQL_20120131235059.log))</t>
    <phoneticPr fontId="4"/>
  </si>
  <si>
    <t>LDI103_SQL_*.log (*:yyyymmddhhmiss(例:LDI103_SQL_20120131235059.log))</t>
    <phoneticPr fontId="4"/>
  </si>
  <si>
    <t>CRC101_SQL_*.log (*:yyyymmddhhmiss(例:CRC101_SQL_20120131235059.log))</t>
  </si>
  <si>
    <t>CRC102_SQL_*.log (*:yyyymmddhhmiss(例:CRC102_SQL_20120131235059.log))</t>
  </si>
  <si>
    <t>CRC104_SQL_*.log (*:yyyymmddhhmiss(例:CRC104_SQL_20120131235059.log))</t>
  </si>
  <si>
    <t>SQLLoader実行ログ</t>
    <rPh sb="9" eb="11">
      <t>ジッコウ</t>
    </rPh>
    <phoneticPr fontId="2"/>
  </si>
  <si>
    <t>LOAD_D_OPERATION_LOG_IN_*_*.log (*_*:項番(数値)_yyyymmddhhmiss
(例:LOAD_D_OPERATION_LOG_IN_1_20120131235059.log))</t>
    <phoneticPr fontId="4"/>
  </si>
  <si>
    <t>音声フローErrorログ</t>
    <rPh sb="0" eb="2">
      <t>オンセイ</t>
    </rPh>
    <phoneticPr fontId="2"/>
  </si>
  <si>
    <t>/var/app/ki/flow/log/</t>
    <phoneticPr fontId="4"/>
  </si>
  <si>
    <t>error.log.n(nは1～50の連番）</t>
    <phoneticPr fontId="4"/>
  </si>
  <si>
    <t>/var/app/ki02/flow/log/</t>
    <phoneticPr fontId="4"/>
  </si>
  <si>
    <t>音声フローInfoログ</t>
    <rPh sb="0" eb="2">
      <t>オンセイ</t>
    </rPh>
    <phoneticPr fontId="2"/>
  </si>
  <si>
    <t>info.log.n(nは1～50の連番）</t>
    <phoneticPr fontId="4"/>
  </si>
  <si>
    <t>音声フローDebugログ</t>
    <rPh sb="0" eb="2">
      <t>オンセイ</t>
    </rPh>
    <phoneticPr fontId="2"/>
  </si>
  <si>
    <t>debug.log.n(nは1～50の連番）</t>
    <phoneticPr fontId="4"/>
  </si>
  <si>
    <t>管理画面Errorログ</t>
    <rPh sb="0" eb="2">
      <t>カンリ</t>
    </rPh>
    <rPh sb="2" eb="4">
      <t>ガメン</t>
    </rPh>
    <phoneticPr fontId="2"/>
  </si>
  <si>
    <t>/var/app/ki/mng-web/log/</t>
    <phoneticPr fontId="4"/>
  </si>
  <si>
    <t>error.log.*（*:yyyy-mm-dd（例:error.log.2011-09-29））</t>
    <phoneticPr fontId="4"/>
  </si>
  <si>
    <t>/var/app/ki02/mng-web/log/</t>
    <phoneticPr fontId="4"/>
  </si>
  <si>
    <t>管理画面Infoログ</t>
    <rPh sb="0" eb="2">
      <t>カンリ</t>
    </rPh>
    <rPh sb="2" eb="4">
      <t>ガメン</t>
    </rPh>
    <phoneticPr fontId="2"/>
  </si>
  <si>
    <t>info.log.*（*:yyyy-mm-dd（例:info.log.2011-09-29））</t>
    <phoneticPr fontId="4"/>
  </si>
  <si>
    <t>管理画面Debugログ</t>
    <rPh sb="0" eb="2">
      <t>カンリ</t>
    </rPh>
    <rPh sb="2" eb="4">
      <t>ガメン</t>
    </rPh>
    <phoneticPr fontId="2"/>
  </si>
  <si>
    <t>debug.log.*（*:yyyy-mm-dd（例:debug.log.2011-09-29））</t>
    <phoneticPr fontId="4"/>
  </si>
  <si>
    <t>ストアドファンクション実行ログ</t>
    <rPh sb="11" eb="13">
      <t>ジッコウ</t>
    </rPh>
    <phoneticPr fontId="2"/>
  </si>
  <si>
    <t>BDS101_D_ANALYZE_MNG_*.log (*:yyyymmddhhmiss(例:BDS101_D_ANALYZE_MNG_20120131235059.log.log))</t>
    <phoneticPr fontId="4"/>
  </si>
  <si>
    <t>BDS101_D_MENU_COUNT_DAY_*.log (*:yyyymmddhhmiss(例:BDS101_D_MENU_COUNT_DAY_20120131235059.log))</t>
    <phoneticPr fontId="4"/>
  </si>
  <si>
    <t>BDS102_D_ANALYZE_MNG_*.log (*:yyyymmddhhmiss(例:BDS102_D_ANALYZE_MNG_20120131235059.log))</t>
    <phoneticPr fontId="4"/>
  </si>
  <si>
    <t>BDS102_D_PORT_COUNT_SEC_*.log (*:yyyymmddhhmiss(例:BDS102_D_PORT_COUNT_SEC_20120131235059.log))</t>
    <phoneticPr fontId="4"/>
  </si>
  <si>
    <t>BDS102_D_DOC_RECEIPT_*.log (*:yyyymmddhhmiss(例:BDS102_D_DOC_RECEIPT_20120131235059.log))</t>
    <phoneticPr fontId="4"/>
  </si>
  <si>
    <t>BDS102_D_MAILORD_RECEIPT_*.log (*:yyyymmddhhmiss(例:BDS102_D_MAILORD_RECEIPT_20120131235059.log))</t>
    <phoneticPr fontId="4"/>
  </si>
  <si>
    <t>BDS102_D_OPERATION_LOG_*.log (*:yyyymmddhhmiss(例:BDS102_D_OPERATION_LOG_20120131235059.log))</t>
    <phoneticPr fontId="4"/>
  </si>
  <si>
    <t>BDS102_D_CAMP_RECEIPT_*.log (*:yyyymmddhhmiss(例:BDS102_D_CAMP_RECEIPT_20120131235059.log))</t>
    <phoneticPr fontId="4"/>
  </si>
  <si>
    <t>PRC_EDIT_SIRYO_DATA_*.log (*:yyyymmddhhmiss(例:PRC_EDIT_SIRYO_DATA_20120131235059.log))</t>
    <phoneticPr fontId="4"/>
  </si>
  <si>
    <t>PRC_EDIT_CAMPAIGN_DATA_*.log (*:yyyymmddhhmiss(例:PRC_EDIT_CAMPAIGN_DATA_20120131235059.log))</t>
  </si>
  <si>
    <t>PRC_MAX_PORT_*.log (*:yyyymmddhhmiss(例:PRC_MAX_PORT_20120131235059.log))</t>
    <phoneticPr fontId="4"/>
  </si>
  <si>
    <t>PRC_DELETE_COM_*.log (*:yyyymmddhhmiss(例:PRC_DELETE_COM_20120131235059.log))</t>
    <phoneticPr fontId="4"/>
  </si>
  <si>
    <t>5.データバックアップ／APログ</t>
    <phoneticPr fontId="4"/>
  </si>
  <si>
    <t>4.データバックアップ／システムログ</t>
    <phoneticPr fontId="4"/>
  </si>
  <si>
    <t>バックアップジョブ失敗時のリランはMSYS開発部署にて判断を行い対応します。</t>
    <phoneticPr fontId="4"/>
  </si>
  <si>
    <t>/
/root2
/var</t>
    <phoneticPr fontId="4"/>
  </si>
  <si>
    <t>本システムのシステムバックアップは、MSYS開発部署にて実施します。</t>
    <rPh sb="0" eb="1">
      <t>ホン</t>
    </rPh>
    <rPh sb="22" eb="24">
      <t>カイハツ</t>
    </rPh>
    <rPh sb="24" eb="26">
      <t>ブショ</t>
    </rPh>
    <rPh sb="28" eb="30">
      <t>ジッシ</t>
    </rPh>
    <phoneticPr fontId="4"/>
  </si>
  <si>
    <t>OSのシステムログ（Windowsの場合、イベントログ）を収集します。
システム稼働情報ログについては、WebSAM Agent導入機器はWebSAMのリソース監視にて収集。WebSAM Agent未導入機器は運用ツールにて収集。</t>
    <rPh sb="18" eb="20">
      <t>バアイ</t>
    </rPh>
    <rPh sb="29" eb="31">
      <t>シュウシュウ</t>
    </rPh>
    <rPh sb="64" eb="66">
      <t>ドウニュウ</t>
    </rPh>
    <rPh sb="66" eb="68">
      <t>キキ</t>
    </rPh>
    <rPh sb="80" eb="82">
      <t>カンシ</t>
    </rPh>
    <rPh sb="84" eb="86">
      <t>シュウシュウ</t>
    </rPh>
    <rPh sb="99" eb="100">
      <t>ミ</t>
    </rPh>
    <rPh sb="105" eb="107">
      <t>ウンヨウ</t>
    </rPh>
    <rPh sb="112" eb="114">
      <t>シュウシュウ</t>
    </rPh>
    <phoneticPr fontId="4"/>
  </si>
  <si>
    <t>JP1/AJS3にてスケジューリングし、バックアップを取得します。</t>
    <phoneticPr fontId="4"/>
  </si>
  <si>
    <t>データバックアップ／
システムログ・システム稼働情報ログ</t>
    <phoneticPr fontId="4"/>
  </si>
  <si>
    <t>システムログ、およびWebSAM未導入機器のシステム稼働情報ログは、JP1/AJS3にてスケジューリングし、バックアップを取得します。
WebSAM導入機器のシステム稼働情報ログは、WebSAM Managerにて収集</t>
    <rPh sb="16" eb="19">
      <t>ミドウニュウ</t>
    </rPh>
    <rPh sb="19" eb="21">
      <t>キキ</t>
    </rPh>
    <rPh sb="26" eb="28">
      <t>カドウ</t>
    </rPh>
    <rPh sb="28" eb="30">
      <t>ジョウホウ</t>
    </rPh>
    <rPh sb="61" eb="63">
      <t>シュトク</t>
    </rPh>
    <rPh sb="107" eb="109">
      <t>シュウシュウ</t>
    </rPh>
    <phoneticPr fontId="4"/>
  </si>
  <si>
    <t>〇</t>
    <phoneticPr fontId="4"/>
  </si>
  <si>
    <t>システム稼働情報ログ</t>
    <phoneticPr fontId="4"/>
  </si>
  <si>
    <t>WebSAM Agent導入機器</t>
    <rPh sb="12" eb="14">
      <t>ドウニュウ</t>
    </rPh>
    <rPh sb="14" eb="16">
      <t>キキ</t>
    </rPh>
    <phoneticPr fontId="4"/>
  </si>
  <si>
    <t>WebSAM Agent未導入機器</t>
    <rPh sb="12" eb="13">
      <t>ミ</t>
    </rPh>
    <rPh sb="13" eb="15">
      <t>ドウニュウ</t>
    </rPh>
    <rPh sb="15" eb="17">
      <t>キキ</t>
    </rPh>
    <phoneticPr fontId="4"/>
  </si>
  <si>
    <t>messages</t>
  </si>
  <si>
    <t>/var/log/</t>
    <phoneticPr fontId="4"/>
  </si>
  <si>
    <t>-</t>
    <phoneticPr fontId="4"/>
  </si>
  <si>
    <t>イベントログ</t>
    <phoneticPr fontId="4"/>
  </si>
  <si>
    <t>avaya.hostlogretrieverserver.log.n(nは1～3の連番）</t>
    <phoneticPr fontId="4"/>
  </si>
  <si>
    <t>host-manager*.log（*:yyyy-mm-dd（例:host-manager.2011-08-26.log））</t>
    <phoneticPr fontId="4"/>
  </si>
  <si>
    <t>日付</t>
    <rPh sb="0" eb="2">
      <t>ヒヅケ</t>
    </rPh>
    <phoneticPr fontId="4"/>
  </si>
  <si>
    <t>定期的に追記</t>
    <rPh sb="0" eb="3">
      <t>テイキテキ</t>
    </rPh>
    <rPh sb="4" eb="6">
      <t>ツイキ</t>
    </rPh>
    <phoneticPr fontId="4"/>
  </si>
  <si>
    <t>WebSAM Managerに保存</t>
    <rPh sb="15" eb="17">
      <t>ホゾン</t>
    </rPh>
    <phoneticPr fontId="4"/>
  </si>
  <si>
    <t>JP1/AJS3</t>
  </si>
  <si>
    <t>EPMサービスログ</t>
    <phoneticPr fontId="4"/>
  </si>
  <si>
    <t>No12以降のAPログについては、詳細設計にて検討後、修正</t>
    <rPh sb="4" eb="6">
      <t>イコウ</t>
    </rPh>
    <rPh sb="17" eb="19">
      <t>ショウサイ</t>
    </rPh>
    <rPh sb="19" eb="21">
      <t>セッケイ</t>
    </rPh>
    <rPh sb="23" eb="25">
      <t>ケントウ</t>
    </rPh>
    <rPh sb="25" eb="26">
      <t>ゴ</t>
    </rPh>
    <rPh sb="27" eb="29">
      <t>シュウセイ</t>
    </rPh>
    <phoneticPr fontId="4"/>
  </si>
  <si>
    <t>詳細は「バックアップ対象一覧」シートを参照　※項番11を参照</t>
    <rPh sb="0" eb="2">
      <t>ショウサイ</t>
    </rPh>
    <rPh sb="10" eb="12">
      <t>タイショウ</t>
    </rPh>
    <rPh sb="12" eb="14">
      <t>イチラン</t>
    </rPh>
    <rPh sb="19" eb="21">
      <t>サンショウ</t>
    </rPh>
    <phoneticPr fontId="4"/>
  </si>
  <si>
    <t>詳細は「バックアップ対象一覧」シートを参照　※項番7～10を参照</t>
    <rPh sb="0" eb="2">
      <t>ショウサイ</t>
    </rPh>
    <rPh sb="10" eb="12">
      <t>タイショウ</t>
    </rPh>
    <rPh sb="12" eb="14">
      <t>イチラン</t>
    </rPh>
    <rPh sb="19" eb="21">
      <t>サンショウ</t>
    </rPh>
    <rPh sb="23" eb="24">
      <t>ウナジ</t>
    </rPh>
    <rPh sb="24" eb="25">
      <t>バン</t>
    </rPh>
    <rPh sb="30" eb="32">
      <t>サンショウ</t>
    </rPh>
    <phoneticPr fontId="4"/>
  </si>
  <si>
    <t>運用ツール</t>
    <phoneticPr fontId="4"/>
  </si>
  <si>
    <t xml:space="preserve">ベア メタル回復
システム状態
システムで予約済み
C:
D:
</t>
    <rPh sb="6" eb="8">
      <t>カイフク</t>
    </rPh>
    <rPh sb="13" eb="15">
      <t>ジョウタイ</t>
    </rPh>
    <rPh sb="21" eb="23">
      <t>ヨヤク</t>
    </rPh>
    <rPh sb="23" eb="24">
      <t>ズ</t>
    </rPh>
    <phoneticPr fontId="4"/>
  </si>
  <si>
    <t>①JP1/AJS3
②Arcserve</t>
    <phoneticPr fontId="4"/>
  </si>
  <si>
    <t>①日次0:00
②日次0:30</t>
    <rPh sb="1" eb="3">
      <t>ニチジ</t>
    </rPh>
    <phoneticPr fontId="4"/>
  </si>
  <si>
    <t>コンタクトセンターシステム（SMCC）</t>
    <phoneticPr fontId="4"/>
  </si>
  <si>
    <t>SMCC-IVRシステム</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</si>
</sst>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
    <numFmt numFmtId="177" formatCode="h:mm;@"/>
    <numFmt numFmtId="178" formatCode="yyyy/m/d;@"/>
  </numFmts>
  <fonts count="13"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rgb="FF0070C0"/>
      <name val="ＭＳ Ｐゴシック"/>
      <family val="3"/>
      <charset val="128"/>
    </font>
    <font>
      <strike/>
      <sz val="10"/>
      <name val="ＭＳ Ｐゴシック"/>
      <family val="3"/>
      <charset val="128"/>
    </font>
    <font>
      <sz val="10"/>
      <color theme="1"/>
      <name val="ＭＳ Ｐゴシック"/>
      <family val="3"/>
      <charset val="128"/>
    </font>
  </fonts>
  <fills count="8">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C000"/>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1" fillId="0" borderId="0"/>
    <xf numFmtId="0" fontId="9" fillId="0" borderId="0">
      <alignment vertical="center"/>
    </xf>
  </cellStyleXfs>
  <cellXfs count="148">
    <xf numFmtId="0" fontId="0" fillId="0" borderId="0" xfId="0"/>
    <xf numFmtId="0" fontId="5" fillId="0" borderId="0" xfId="0" applyNumberFormat="1" applyFont="1" applyFill="1" applyBorder="1" applyAlignment="1"/>
    <xf numFmtId="0" fontId="5" fillId="0" borderId="0" xfId="0"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0" xfId="0" applyNumberFormat="1" applyFont="1" applyFill="1" applyBorder="1" applyAlignment="1">
      <alignment horizontal="left"/>
    </xf>
    <xf numFmtId="0" fontId="6" fillId="0" borderId="2" xfId="0" applyNumberFormat="1" applyFont="1" applyFill="1" applyBorder="1" applyAlignment="1"/>
    <xf numFmtId="0" fontId="5" fillId="0" borderId="3" xfId="0" applyNumberFormat="1" applyFont="1" applyFill="1" applyBorder="1" applyAlignment="1">
      <alignment horizontal="left"/>
    </xf>
    <xf numFmtId="0" fontId="5" fillId="0" borderId="0" xfId="0" applyNumberFormat="1" applyFont="1"/>
    <xf numFmtId="0" fontId="5" fillId="0" borderId="0" xfId="0" applyNumberFormat="1" applyFont="1" applyBorder="1"/>
    <xf numFmtId="0" fontId="5" fillId="0" borderId="5" xfId="0" applyNumberFormat="1" applyFont="1" applyBorder="1"/>
    <xf numFmtId="0" fontId="1" fillId="0" borderId="5" xfId="0" applyNumberFormat="1" applyFont="1" applyBorder="1" applyAlignment="1">
      <alignment horizontal="left"/>
    </xf>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0" xfId="0" quotePrefix="1" applyNumberFormat="1" applyFont="1" applyFill="1" applyAlignment="1"/>
    <xf numFmtId="0" fontId="5" fillId="0" borderId="9" xfId="0" applyNumberFormat="1" applyFont="1" applyFill="1" applyBorder="1" applyAlignment="1"/>
    <xf numFmtId="0" fontId="5" fillId="0" borderId="5" xfId="0" applyNumberFormat="1" applyFont="1" applyFill="1" applyBorder="1" applyAlignment="1"/>
    <xf numFmtId="0" fontId="5" fillId="0" borderId="5" xfId="0" applyNumberFormat="1" applyFont="1" applyFill="1" applyBorder="1" applyAlignment="1">
      <alignment horizontal="left" vertical="top"/>
    </xf>
    <xf numFmtId="0" fontId="5" fillId="0" borderId="10" xfId="0" applyNumberFormat="1" applyFont="1" applyFill="1" applyBorder="1" applyAlignment="1"/>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horizontal="center" vertical="top"/>
    </xf>
    <xf numFmtId="0" fontId="3" fillId="0" borderId="0" xfId="0" applyNumberFormat="1" applyFont="1"/>
    <xf numFmtId="0" fontId="5" fillId="3" borderId="12" xfId="0" applyNumberFormat="1" applyFont="1" applyFill="1" applyBorder="1" applyAlignment="1">
      <alignment horizontal="left" vertical="top"/>
    </xf>
    <xf numFmtId="0" fontId="5" fillId="3" borderId="13" xfId="0" applyNumberFormat="1" applyFont="1" applyFill="1" applyBorder="1" applyAlignment="1">
      <alignment horizontal="left" vertical="top"/>
    </xf>
    <xf numFmtId="0" fontId="5" fillId="3" borderId="11" xfId="0" applyNumberFormat="1" applyFont="1" applyFill="1" applyBorder="1" applyAlignment="1">
      <alignment horizontal="left" vertical="top"/>
    </xf>
    <xf numFmtId="177" fontId="5" fillId="3" borderId="12" xfId="0" applyNumberFormat="1" applyFont="1" applyFill="1" applyBorder="1" applyAlignment="1">
      <alignment horizontal="left" vertical="top"/>
    </xf>
    <xf numFmtId="177" fontId="5" fillId="3" borderId="13" xfId="0" applyNumberFormat="1" applyFont="1" applyFill="1" applyBorder="1" applyAlignment="1">
      <alignment horizontal="left" vertical="top"/>
    </xf>
    <xf numFmtId="177" fontId="5" fillId="3" borderId="11" xfId="0" quotePrefix="1" applyNumberFormat="1" applyFont="1" applyFill="1" applyBorder="1" applyAlignment="1">
      <alignment horizontal="left" vertical="top"/>
    </xf>
    <xf numFmtId="20" fontId="5" fillId="3" borderId="11" xfId="0" quotePrefix="1" applyNumberFormat="1" applyFont="1" applyFill="1" applyBorder="1" applyAlignment="1">
      <alignment horizontal="left" vertical="top"/>
    </xf>
    <xf numFmtId="0" fontId="10" fillId="0" borderId="0" xfId="0" applyNumberFormat="1" applyFont="1" applyFill="1" applyBorder="1" applyAlignment="1"/>
    <xf numFmtId="0" fontId="10" fillId="0" borderId="0" xfId="0" applyNumberFormat="1" applyFont="1" applyFill="1" applyBorder="1" applyAlignment="1">
      <alignment horizontal="left" vertical="top"/>
    </xf>
    <xf numFmtId="0" fontId="8" fillId="0" borderId="1" xfId="0" applyNumberFormat="1" applyFont="1" applyFill="1" applyBorder="1" applyAlignment="1"/>
    <xf numFmtId="0" fontId="8" fillId="0" borderId="0" xfId="0" applyNumberFormat="1" applyFont="1" applyFill="1" applyAlignment="1"/>
    <xf numFmtId="0" fontId="12" fillId="0" borderId="4" xfId="0" quotePrefix="1" applyNumberFormat="1" applyFont="1" applyBorder="1" applyAlignment="1">
      <alignment horizontal="left" vertical="top"/>
    </xf>
    <xf numFmtId="0" fontId="12" fillId="0" borderId="4" xfId="0" applyNumberFormat="1"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wrapText="1"/>
    </xf>
    <xf numFmtId="0" fontId="12" fillId="0" borderId="4" xfId="0" applyNumberFormat="1" applyFont="1" applyBorder="1" applyAlignment="1">
      <alignment horizontal="center" vertical="top"/>
    </xf>
    <xf numFmtId="0" fontId="12" fillId="0" borderId="4" xfId="0" applyNumberFormat="1" applyFont="1" applyFill="1" applyBorder="1" applyAlignment="1">
      <alignment horizontal="center" vertical="top"/>
    </xf>
    <xf numFmtId="0" fontId="5" fillId="0" borderId="0" xfId="0" applyNumberFormat="1" applyFont="1" applyFill="1"/>
    <xf numFmtId="0" fontId="8" fillId="0" borderId="0" xfId="0" applyNumberFormat="1" applyFont="1" applyFill="1" applyBorder="1" applyAlignment="1"/>
    <xf numFmtId="0" fontId="5" fillId="4" borderId="4" xfId="0" applyNumberFormat="1" applyFont="1" applyFill="1" applyBorder="1" applyAlignment="1">
      <alignment horizontal="center" vertical="center" wrapText="1"/>
    </xf>
    <xf numFmtId="0" fontId="12" fillId="5" borderId="4" xfId="0" applyNumberFormat="1" applyFont="1" applyFill="1" applyBorder="1" applyAlignment="1">
      <alignment horizontal="center" vertical="center" textRotation="180" wrapText="1"/>
    </xf>
    <xf numFmtId="0" fontId="12" fillId="6" borderId="4" xfId="0" applyNumberFormat="1" applyFont="1" applyFill="1" applyBorder="1" applyAlignment="1">
      <alignment horizontal="center" vertical="center" textRotation="180" wrapText="1"/>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5" fillId="7" borderId="1" xfId="0" applyNumberFormat="1" applyFont="1" applyFill="1" applyBorder="1" applyAlignment="1"/>
    <xf numFmtId="0" fontId="5" fillId="0" borderId="1" xfId="0" applyFont="1" applyBorder="1"/>
    <xf numFmtId="0" fontId="5" fillId="0" borderId="0" xfId="0" applyFont="1"/>
    <xf numFmtId="0" fontId="5" fillId="0" borderId="4" xfId="0" applyFont="1" applyBorder="1" applyAlignment="1">
      <alignment horizontal="left" vertical="top" wrapText="1"/>
    </xf>
    <xf numFmtId="0" fontId="5" fillId="0" borderId="2" xfId="0" applyFont="1" applyBorder="1"/>
    <xf numFmtId="0" fontId="5" fillId="0" borderId="0" xfId="0" quotePrefix="1" applyFont="1"/>
    <xf numFmtId="0" fontId="5" fillId="7" borderId="1" xfId="0" applyFont="1" applyFill="1" applyBorder="1"/>
    <xf numFmtId="0" fontId="5" fillId="0" borderId="0" xfId="0" applyFont="1" applyAlignment="1">
      <alignment horizontal="left" vertical="top"/>
    </xf>
    <xf numFmtId="0" fontId="5" fillId="0" borderId="0" xfId="0" applyFont="1" applyAlignment="1">
      <alignment horizontal="center" vertical="top"/>
    </xf>
    <xf numFmtId="0" fontId="5" fillId="0" borderId="4" xfId="0" applyFont="1" applyBorder="1" applyAlignment="1">
      <alignment horizontal="left" vertical="top"/>
    </xf>
    <xf numFmtId="0" fontId="5" fillId="0" borderId="4" xfId="0" applyFont="1" applyBorder="1" applyAlignment="1">
      <alignment horizontal="center" vertical="top"/>
    </xf>
    <xf numFmtId="0" fontId="8" fillId="0" borderId="4" xfId="0" applyFont="1" applyBorder="1" applyAlignment="1">
      <alignment horizontal="left" vertical="top" wrapText="1"/>
    </xf>
    <xf numFmtId="0" fontId="8" fillId="0" borderId="4" xfId="0" applyFont="1" applyBorder="1" applyAlignment="1">
      <alignment horizontal="left" vertical="top"/>
    </xf>
    <xf numFmtId="0" fontId="8" fillId="0" borderId="4" xfId="0" applyFont="1" applyBorder="1" applyAlignment="1">
      <alignment horizontal="center" vertical="top"/>
    </xf>
    <xf numFmtId="0" fontId="5" fillId="0" borderId="0" xfId="0" applyFont="1" applyAlignment="1">
      <alignment horizontal="left" vertical="center"/>
    </xf>
    <xf numFmtId="0" fontId="5" fillId="7" borderId="0" xfId="0" applyNumberFormat="1" applyFont="1" applyFill="1"/>
    <xf numFmtId="0" fontId="5" fillId="0" borderId="4" xfId="0" applyFont="1" applyBorder="1" applyAlignment="1">
      <alignment horizontal="left" vertical="top" wrapText="1"/>
    </xf>
    <xf numFmtId="0" fontId="5" fillId="0" borderId="4" xfId="0"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12" fillId="0" borderId="0" xfId="0" applyNumberFormat="1" applyFont="1" applyFill="1" applyBorder="1" applyAlignment="1"/>
    <xf numFmtId="0" fontId="12" fillId="0" borderId="0" xfId="0" applyNumberFormat="1" applyFont="1" applyFill="1" applyBorder="1" applyAlignment="1">
      <alignment horizontal="left" vertical="top"/>
    </xf>
    <xf numFmtId="0" fontId="12" fillId="0" borderId="4" xfId="0" applyFont="1" applyBorder="1" applyAlignment="1">
      <alignment horizontal="left" vertical="top"/>
    </xf>
    <xf numFmtId="0" fontId="12" fillId="0" borderId="4" xfId="0" applyFont="1" applyBorder="1" applyAlignment="1">
      <alignment horizontal="center" vertical="top"/>
    </xf>
    <xf numFmtId="0" fontId="12" fillId="0" borderId="4" xfId="0" applyFont="1" applyBorder="1" applyAlignment="1">
      <alignment horizontal="left" vertical="top" wrapText="1"/>
    </xf>
    <xf numFmtId="0" fontId="5" fillId="7" borderId="0" xfId="0" applyFont="1" applyFill="1"/>
    <xf numFmtId="0" fontId="5" fillId="7" borderId="0" xfId="0" applyFont="1" applyFill="1" applyAlignment="1">
      <alignment horizontal="left" vertical="center"/>
    </xf>
    <xf numFmtId="0" fontId="12" fillId="0" borderId="4" xfId="0" applyNumberFormat="1" applyFont="1" applyFill="1" applyBorder="1" applyAlignment="1">
      <alignment vertical="top" wrapText="1"/>
    </xf>
    <xf numFmtId="0" fontId="12" fillId="0" borderId="4" xfId="0" applyNumberFormat="1" applyFont="1" applyFill="1" applyBorder="1" applyAlignment="1">
      <alignment vertical="top"/>
    </xf>
    <xf numFmtId="0" fontId="5" fillId="0" borderId="4" xfId="0" applyFont="1" applyBorder="1" applyAlignment="1">
      <alignment horizontal="left" vertical="top" wrapText="1"/>
    </xf>
    <xf numFmtId="0" fontId="5" fillId="0" borderId="4" xfId="0" applyFont="1" applyBorder="1" applyAlignment="1">
      <alignment horizontal="center" vertical="top" wrapText="1"/>
    </xf>
    <xf numFmtId="0" fontId="0" fillId="0" borderId="4" xfId="0" applyBorder="1" applyAlignment="1">
      <alignment vertical="top"/>
    </xf>
    <xf numFmtId="0" fontId="5" fillId="0" borderId="4" xfId="0" applyFont="1" applyFill="1" applyBorder="1" applyAlignment="1">
      <alignment horizontal="left" vertical="top" wrapText="1"/>
    </xf>
    <xf numFmtId="0" fontId="7" fillId="2" borderId="11"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4" xfId="0" applyNumberFormat="1" applyFont="1" applyFill="1" applyBorder="1" applyAlignment="1">
      <alignment horizontal="left" vertical="top" wrapText="1"/>
    </xf>
    <xf numFmtId="0" fontId="5" fillId="0" borderId="4" xfId="0" applyNumberFormat="1" applyFont="1" applyFill="1" applyBorder="1" applyAlignment="1">
      <alignment horizontal="center" vertical="top" wrapText="1"/>
    </xf>
    <xf numFmtId="0" fontId="7"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left" vertical="top" wrapText="1"/>
    </xf>
    <xf numFmtId="0" fontId="7" fillId="2" borderId="11" xfId="0" applyNumberFormat="1" applyFont="1" applyFill="1" applyBorder="1" applyAlignment="1">
      <alignment horizontal="left" vertical="top" wrapText="1"/>
    </xf>
    <xf numFmtId="0" fontId="7" fillId="2" borderId="12" xfId="0" applyNumberFormat="1" applyFont="1" applyFill="1" applyBorder="1" applyAlignment="1">
      <alignment horizontal="left" vertical="top" wrapText="1"/>
    </xf>
    <xf numFmtId="0" fontId="7" fillId="2" borderId="13" xfId="0" applyNumberFormat="1" applyFont="1" applyFill="1" applyBorder="1" applyAlignment="1">
      <alignment horizontal="left" vertical="top" wrapText="1"/>
    </xf>
    <xf numFmtId="0" fontId="11" fillId="0" borderId="4" xfId="0" applyNumberFormat="1" applyFont="1" applyFill="1" applyBorder="1" applyAlignment="1">
      <alignment horizontal="left"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3" xfId="0" applyNumberFormat="1" applyFont="1" applyFill="1" applyBorder="1" applyAlignment="1">
      <alignment horizontal="left"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2" fillId="0" borderId="0" xfId="0" applyNumberFormat="1" applyFont="1" applyAlignment="1">
      <alignment horizontal="center"/>
    </xf>
    <xf numFmtId="0" fontId="5" fillId="0" borderId="4" xfId="0" applyNumberFormat="1" applyFont="1" applyBorder="1" applyAlignment="1">
      <alignment horizontal="center" vertical="center"/>
    </xf>
    <xf numFmtId="0" fontId="5" fillId="0" borderId="4" xfId="3" applyNumberFormat="1" applyFont="1" applyBorder="1" applyAlignment="1">
      <alignment horizontal="center" vertical="center" wrapText="1"/>
    </xf>
    <xf numFmtId="0" fontId="5" fillId="0" borderId="4" xfId="3" applyNumberFormat="1" applyFont="1" applyFill="1" applyBorder="1" applyAlignment="1">
      <alignment horizontal="center" vertical="center" wrapText="1"/>
    </xf>
    <xf numFmtId="0" fontId="5" fillId="0" borderId="4" xfId="0" applyNumberFormat="1" applyFont="1" applyBorder="1" applyAlignment="1">
      <alignment horizontal="center" vertical="center" textRotation="255"/>
    </xf>
    <xf numFmtId="0" fontId="5" fillId="0" borderId="14" xfId="1" applyFont="1" applyFill="1" applyBorder="1" applyAlignment="1">
      <alignment horizontal="center" vertical="center" wrapText="1"/>
    </xf>
    <xf numFmtId="0" fontId="5" fillId="0" borderId="15" xfId="1" applyFont="1" applyFill="1" applyBorder="1" applyAlignment="1">
      <alignment horizontal="center" vertical="center"/>
    </xf>
    <xf numFmtId="0" fontId="5" fillId="0" borderId="16" xfId="1" applyFont="1" applyFill="1" applyBorder="1" applyAlignment="1">
      <alignment horizontal="center" vertical="center"/>
    </xf>
    <xf numFmtId="0" fontId="5" fillId="0" borderId="17" xfId="1" applyFont="1" applyFill="1" applyBorder="1" applyAlignment="1">
      <alignment horizontal="center" vertical="center"/>
    </xf>
    <xf numFmtId="0" fontId="5" fillId="0" borderId="0"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18" xfId="1" applyFont="1" applyFill="1" applyBorder="1" applyAlignment="1">
      <alignment horizontal="center" vertical="center"/>
    </xf>
    <xf numFmtId="0" fontId="5" fillId="0" borderId="19" xfId="1" applyFont="1" applyFill="1" applyBorder="1" applyAlignment="1">
      <alignment horizontal="center" vertical="center"/>
    </xf>
    <xf numFmtId="0" fontId="5" fillId="0" borderId="20" xfId="1" applyFont="1" applyFill="1" applyBorder="1" applyAlignment="1">
      <alignment horizontal="center" vertical="center"/>
    </xf>
    <xf numFmtId="176" fontId="5" fillId="0" borderId="4" xfId="0" applyNumberFormat="1" applyFont="1" applyBorder="1" applyAlignment="1">
      <alignment horizontal="center" vertical="center"/>
    </xf>
    <xf numFmtId="178" fontId="5" fillId="0" borderId="11" xfId="2" applyNumberFormat="1" applyFont="1" applyBorder="1" applyAlignment="1">
      <alignment horizontal="center" vertical="center"/>
    </xf>
    <xf numFmtId="178" fontId="5" fillId="0" borderId="12" xfId="2" applyNumberFormat="1" applyFont="1" applyBorder="1" applyAlignment="1">
      <alignment horizontal="center" vertical="center"/>
    </xf>
    <xf numFmtId="178" fontId="5" fillId="0" borderId="13" xfId="2" applyNumberFormat="1" applyFont="1" applyBorder="1" applyAlignment="1">
      <alignment horizontal="center" vertical="center"/>
    </xf>
    <xf numFmtId="14" fontId="5" fillId="0" borderId="11" xfId="3" applyNumberFormat="1" applyFont="1" applyBorder="1" applyAlignment="1">
      <alignment horizontal="center" vertical="center" wrapText="1"/>
    </xf>
    <xf numFmtId="14" fontId="5" fillId="0" borderId="12" xfId="3" applyNumberFormat="1" applyFont="1" applyBorder="1" applyAlignment="1">
      <alignment horizontal="center" vertical="center" wrapText="1"/>
    </xf>
    <xf numFmtId="14" fontId="5" fillId="0" borderId="13" xfId="3" applyNumberFormat="1" applyFont="1" applyBorder="1" applyAlignment="1">
      <alignment horizontal="center" vertical="center" wrapText="1"/>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12" fillId="0" borderId="4" xfId="0" applyNumberFormat="1" applyFont="1" applyFill="1" applyBorder="1" applyAlignment="1">
      <alignment horizontal="left" vertical="top"/>
    </xf>
    <xf numFmtId="0" fontId="5" fillId="4" borderId="4" xfId="0" applyNumberFormat="1" applyFont="1" applyFill="1" applyBorder="1" applyAlignment="1">
      <alignment horizontal="center" vertical="center" wrapText="1"/>
    </xf>
    <xf numFmtId="0" fontId="12" fillId="0" borderId="4" xfId="0" applyNumberFormat="1" applyFont="1" applyBorder="1" applyAlignment="1">
      <alignment horizontal="left" vertical="top"/>
    </xf>
    <xf numFmtId="0" fontId="5" fillId="6" borderId="4" xfId="0" applyNumberFormat="1" applyFont="1" applyFill="1" applyBorder="1" applyAlignment="1">
      <alignment horizontal="center" vertical="center" wrapText="1"/>
    </xf>
    <xf numFmtId="0" fontId="12" fillId="5" borderId="4" xfId="0" applyNumberFormat="1" applyFont="1" applyFill="1" applyBorder="1" applyAlignment="1">
      <alignment horizontal="center" vertical="center" textRotation="180" wrapText="1"/>
    </xf>
    <xf numFmtId="0" fontId="5" fillId="5" borderId="4" xfId="0" applyNumberFormat="1" applyFont="1" applyFill="1" applyBorder="1" applyAlignment="1">
      <alignment horizontal="center" vertical="center" wrapText="1"/>
    </xf>
    <xf numFmtId="0" fontId="12" fillId="5" borderId="11" xfId="0" applyNumberFormat="1" applyFont="1" applyFill="1" applyBorder="1" applyAlignment="1">
      <alignment horizontal="center" vertical="center" textRotation="180" wrapText="1"/>
    </xf>
    <xf numFmtId="0" fontId="12" fillId="5" borderId="13" xfId="0" applyNumberFormat="1" applyFont="1" applyFill="1" applyBorder="1" applyAlignment="1">
      <alignment horizontal="center" vertical="center" textRotation="180" wrapText="1"/>
    </xf>
    <xf numFmtId="0" fontId="12" fillId="5" borderId="12" xfId="0" applyNumberFormat="1" applyFont="1" applyFill="1" applyBorder="1" applyAlignment="1">
      <alignment horizontal="center" vertical="center" textRotation="180" wrapText="1"/>
    </xf>
    <xf numFmtId="0" fontId="12" fillId="4" borderId="21" xfId="0" applyNumberFormat="1" applyFont="1" applyFill="1" applyBorder="1" applyAlignment="1">
      <alignment horizontal="center" vertical="center" wrapText="1"/>
    </xf>
    <xf numFmtId="0" fontId="12" fillId="4" borderId="22" xfId="0" applyNumberFormat="1" applyFont="1" applyFill="1" applyBorder="1" applyAlignment="1">
      <alignment horizontal="center" vertical="center" wrapText="1"/>
    </xf>
    <xf numFmtId="0" fontId="12" fillId="4" borderId="23" xfId="0" applyNumberFormat="1" applyFont="1" applyFill="1" applyBorder="1" applyAlignment="1">
      <alignment horizontal="center" vertical="center" wrapText="1"/>
    </xf>
    <xf numFmtId="14" fontId="8" fillId="0" borderId="11" xfId="1" applyNumberFormat="1" applyFont="1" applyBorder="1" applyAlignment="1">
      <alignment horizontal="center" vertical="center"/>
    </xf>
    <xf numFmtId="0" fontId="8" fillId="0" borderId="12" xfId="1" applyFont="1" applyBorder="1" applyAlignment="1">
      <alignment horizontal="center" vertical="center"/>
    </xf>
    <xf numFmtId="0" fontId="8" fillId="0" borderId="13" xfId="1" applyFont="1" applyBorder="1" applyAlignment="1">
      <alignment horizontal="center" vertical="center"/>
    </xf>
    <xf numFmtId="0" fontId="8" fillId="0" borderId="4" xfId="3" applyNumberFormat="1" applyFont="1" applyBorder="1" applyAlignment="1">
      <alignment horizontal="center" vertical="center" wrapText="1"/>
    </xf>
  </cellXfs>
  <cellStyles count="4">
    <cellStyle name="標準" xfId="0" builtinId="0"/>
    <cellStyle name="標準 2" xfId="3"/>
    <cellStyle name="標準_25.システム化の目的と前提条件" xfId="1"/>
    <cellStyle name="標準_25.システム化の目的と前提条件 2" xfId="2"/>
  </cellStyles>
  <dxfs count="46">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GA214"/>
  <sheetViews>
    <sheetView tabSelected="1" view="pageBreakPreview" topLeftCell="A166" zoomScale="85" zoomScaleNormal="85" zoomScaleSheetLayoutView="85" workbookViewId="0">
      <selection activeCell="AN28" sqref="AN28"/>
    </sheetView>
  </sheetViews>
  <sheetFormatPr defaultColWidth="1.6640625" defaultRowHeight="12" customHeight="1" x14ac:dyDescent="0.15"/>
  <cols>
    <col min="1" max="43" width="1.6640625" style="2" customWidth="1"/>
    <col min="44" max="61" width="1.6640625" style="2"/>
    <col min="62" max="73" width="1.6640625" style="2" customWidth="1"/>
    <col min="74" max="83" width="1.6640625" style="2"/>
    <col min="84" max="84" width="1.6640625" style="2" customWidth="1"/>
    <col min="85" max="16384" width="1.6640625" style="2"/>
  </cols>
  <sheetData>
    <row r="1" spans="1:183" ht="18" customHeight="1" x14ac:dyDescent="0.2">
      <c r="A1" s="105" t="s">
        <v>275</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row>
    <row r="2" spans="1:183" ht="4.5" customHeight="1" x14ac:dyDescent="0.1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9"/>
      <c r="BK2" s="9"/>
      <c r="BL2" s="9"/>
      <c r="BM2" s="9"/>
      <c r="BN2" s="9"/>
      <c r="BO2" s="9"/>
      <c r="BP2" s="9"/>
      <c r="BQ2" s="8"/>
      <c r="BR2" s="8"/>
      <c r="BS2" s="8"/>
      <c r="BT2" s="8"/>
      <c r="BU2" s="8"/>
      <c r="BV2" s="8"/>
      <c r="BW2" s="8"/>
      <c r="BX2" s="8"/>
      <c r="BY2" s="8"/>
      <c r="BZ2" s="8"/>
      <c r="CA2" s="8"/>
      <c r="CB2" s="8"/>
      <c r="CC2" s="8"/>
      <c r="CD2" s="8"/>
      <c r="CE2" s="8"/>
    </row>
    <row r="3" spans="1:183" ht="13.5" customHeight="1" x14ac:dyDescent="0.15">
      <c r="A3" s="106" t="s">
        <v>0</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t="s">
        <v>1</v>
      </c>
      <c r="AE3" s="106"/>
      <c r="AF3" s="106"/>
      <c r="AG3" s="106"/>
      <c r="AH3" s="106"/>
      <c r="AI3" s="106"/>
      <c r="AJ3" s="106"/>
      <c r="AK3" s="106"/>
      <c r="AL3" s="106"/>
      <c r="AM3" s="147" t="s">
        <v>541</v>
      </c>
      <c r="AN3" s="147"/>
      <c r="AO3" s="147"/>
      <c r="AP3" s="147"/>
      <c r="AQ3" s="147"/>
      <c r="AR3" s="147"/>
      <c r="AS3" s="147"/>
      <c r="AT3" s="147"/>
      <c r="AU3" s="147"/>
      <c r="AV3" s="147"/>
      <c r="AW3" s="147"/>
      <c r="AX3" s="147"/>
      <c r="AY3" s="147"/>
      <c r="AZ3" s="147"/>
      <c r="BA3" s="147"/>
      <c r="BB3" s="147"/>
      <c r="BC3" s="147"/>
      <c r="BD3" s="147"/>
      <c r="BE3" s="147"/>
      <c r="BF3" s="147"/>
      <c r="BG3" s="147"/>
      <c r="BH3" s="147"/>
      <c r="BI3" s="147"/>
      <c r="BJ3" s="147"/>
      <c r="BK3" s="147"/>
      <c r="BL3" s="147"/>
      <c r="BM3" s="147"/>
      <c r="BN3" s="147"/>
      <c r="BO3" s="147"/>
      <c r="BP3" s="147"/>
      <c r="BQ3" s="147"/>
      <c r="BR3" s="109" t="s">
        <v>2</v>
      </c>
      <c r="BS3" s="109"/>
      <c r="BT3" s="110" t="s">
        <v>268</v>
      </c>
      <c r="BU3" s="111"/>
      <c r="BV3" s="111"/>
      <c r="BW3" s="111"/>
      <c r="BX3" s="112"/>
      <c r="BY3" s="109" t="s">
        <v>3</v>
      </c>
      <c r="BZ3" s="109"/>
      <c r="CA3" s="108" t="s">
        <v>229</v>
      </c>
      <c r="CB3" s="108"/>
      <c r="CC3" s="108"/>
      <c r="CD3" s="108"/>
      <c r="CE3" s="108"/>
    </row>
    <row r="4" spans="1:183" ht="13.5" customHeight="1" x14ac:dyDescent="0.15">
      <c r="A4" s="106" t="s">
        <v>4</v>
      </c>
      <c r="B4" s="106"/>
      <c r="C4" s="106"/>
      <c r="D4" s="106"/>
      <c r="E4" s="106"/>
      <c r="F4" s="106"/>
      <c r="G4" s="106"/>
      <c r="H4" s="106"/>
      <c r="I4" s="107" t="s">
        <v>228</v>
      </c>
      <c r="J4" s="107"/>
      <c r="K4" s="107"/>
      <c r="L4" s="107"/>
      <c r="M4" s="107"/>
      <c r="N4" s="107"/>
      <c r="O4" s="107"/>
      <c r="P4" s="107"/>
      <c r="Q4" s="107"/>
      <c r="R4" s="107"/>
      <c r="S4" s="107"/>
      <c r="T4" s="107"/>
      <c r="U4" s="107"/>
      <c r="V4" s="107"/>
      <c r="W4" s="107"/>
      <c r="X4" s="107"/>
      <c r="Y4" s="107"/>
      <c r="Z4" s="107"/>
      <c r="AA4" s="107"/>
      <c r="AB4" s="107"/>
      <c r="AC4" s="107"/>
      <c r="AD4" s="106" t="s">
        <v>5</v>
      </c>
      <c r="AE4" s="106"/>
      <c r="AF4" s="106"/>
      <c r="AG4" s="106"/>
      <c r="AH4" s="106"/>
      <c r="AI4" s="106"/>
      <c r="AJ4" s="106"/>
      <c r="AK4" s="106"/>
      <c r="AL4" s="106"/>
      <c r="AM4" s="147" t="s">
        <v>542</v>
      </c>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09"/>
      <c r="BS4" s="109"/>
      <c r="BT4" s="113"/>
      <c r="BU4" s="114"/>
      <c r="BV4" s="114"/>
      <c r="BW4" s="114"/>
      <c r="BX4" s="115"/>
      <c r="BY4" s="109"/>
      <c r="BZ4" s="109"/>
      <c r="CA4" s="108"/>
      <c r="CB4" s="108"/>
      <c r="CC4" s="108"/>
      <c r="CD4" s="108"/>
      <c r="CE4" s="108"/>
    </row>
    <row r="5" spans="1:183" ht="13.5" customHeight="1" x14ac:dyDescent="0.15">
      <c r="A5" s="106"/>
      <c r="B5" s="106"/>
      <c r="C5" s="106"/>
      <c r="D5" s="106"/>
      <c r="E5" s="106"/>
      <c r="F5" s="106"/>
      <c r="G5" s="106"/>
      <c r="H5" s="106"/>
      <c r="I5" s="107"/>
      <c r="J5" s="107"/>
      <c r="K5" s="107"/>
      <c r="L5" s="107"/>
      <c r="M5" s="107"/>
      <c r="N5" s="107"/>
      <c r="O5" s="107"/>
      <c r="P5" s="107"/>
      <c r="Q5" s="107"/>
      <c r="R5" s="107"/>
      <c r="S5" s="107"/>
      <c r="T5" s="107"/>
      <c r="U5" s="107"/>
      <c r="V5" s="107"/>
      <c r="W5" s="107"/>
      <c r="X5" s="107"/>
      <c r="Y5" s="107"/>
      <c r="Z5" s="107"/>
      <c r="AA5" s="107"/>
      <c r="AB5" s="107"/>
      <c r="AC5" s="107"/>
      <c r="AD5" s="106" t="s">
        <v>6</v>
      </c>
      <c r="AE5" s="106"/>
      <c r="AF5" s="106"/>
      <c r="AG5" s="106"/>
      <c r="AH5" s="123">
        <v>43488</v>
      </c>
      <c r="AI5" s="124"/>
      <c r="AJ5" s="124"/>
      <c r="AK5" s="124"/>
      <c r="AL5" s="124"/>
      <c r="AM5" s="124"/>
      <c r="AN5" s="125"/>
      <c r="AO5" s="106" t="s">
        <v>7</v>
      </c>
      <c r="AP5" s="106"/>
      <c r="AQ5" s="106"/>
      <c r="AR5" s="106"/>
      <c r="AS5" s="144">
        <v>43798</v>
      </c>
      <c r="AT5" s="145"/>
      <c r="AU5" s="145"/>
      <c r="AV5" s="145"/>
      <c r="AW5" s="145"/>
      <c r="AX5" s="145"/>
      <c r="AY5" s="146"/>
      <c r="AZ5" s="106" t="s">
        <v>9</v>
      </c>
      <c r="BA5" s="106"/>
      <c r="BB5" s="106"/>
      <c r="BC5" s="106"/>
      <c r="BD5" s="120"/>
      <c r="BE5" s="121"/>
      <c r="BF5" s="121"/>
      <c r="BG5" s="121"/>
      <c r="BH5" s="121"/>
      <c r="BI5" s="121"/>
      <c r="BJ5" s="122"/>
      <c r="BK5" s="106" t="s">
        <v>8</v>
      </c>
      <c r="BL5" s="106"/>
      <c r="BM5" s="106"/>
      <c r="BN5" s="119"/>
      <c r="BO5" s="119"/>
      <c r="BP5" s="119"/>
      <c r="BQ5" s="119"/>
      <c r="BR5" s="109"/>
      <c r="BS5" s="109"/>
      <c r="BT5" s="116"/>
      <c r="BU5" s="117"/>
      <c r="BV5" s="117"/>
      <c r="BW5" s="117"/>
      <c r="BX5" s="118"/>
      <c r="BY5" s="109"/>
      <c r="BZ5" s="109"/>
      <c r="CA5" s="108"/>
      <c r="CB5" s="108"/>
      <c r="CC5" s="108"/>
      <c r="CD5" s="108"/>
      <c r="CE5" s="108"/>
    </row>
    <row r="6" spans="1:183" ht="5.0999999999999996" customHeight="1" x14ac:dyDescent="0.1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8"/>
    </row>
    <row r="7" spans="1:183" ht="12" customHeight="1" thickBo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1"/>
    </row>
    <row r="8" spans="1:183" ht="12" customHeight="1" x14ac:dyDescent="0.1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4"/>
      <c r="CF8" s="15" t="s">
        <v>30</v>
      </c>
    </row>
    <row r="9" spans="1:183" ht="12" customHeight="1" x14ac:dyDescent="0.15">
      <c r="A9" s="3"/>
      <c r="B9" s="1" t="s">
        <v>29</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4"/>
      <c r="CF9" s="15" t="s">
        <v>31</v>
      </c>
    </row>
    <row r="10" spans="1:183" ht="12" customHeight="1" x14ac:dyDescent="0.15">
      <c r="A10" s="3"/>
      <c r="B10" s="1"/>
      <c r="C10" s="1" t="s">
        <v>208</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4"/>
      <c r="CF10" s="15" t="s">
        <v>32</v>
      </c>
    </row>
    <row r="11" spans="1:183" ht="12" customHeight="1" x14ac:dyDescent="0.15">
      <c r="A11" s="3"/>
      <c r="B11" s="1"/>
      <c r="C11" s="1"/>
      <c r="D11" s="1" t="s">
        <v>213</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4"/>
      <c r="CF11" s="15" t="s">
        <v>33</v>
      </c>
      <c r="CG11" s="1"/>
      <c r="CH11" s="1"/>
      <c r="CI11" s="1"/>
    </row>
    <row r="12" spans="1:183" ht="12" customHeight="1" x14ac:dyDescent="0.15">
      <c r="A12" s="3"/>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4"/>
      <c r="CF12" s="15" t="s">
        <v>34</v>
      </c>
      <c r="CG12" s="1"/>
      <c r="CH12" s="1"/>
      <c r="CI12" s="1"/>
      <c r="CJ12" s="33"/>
    </row>
    <row r="13" spans="1:183" ht="12" customHeight="1" x14ac:dyDescent="0.15">
      <c r="A13" s="3"/>
      <c r="B13" s="1"/>
      <c r="C13" s="7"/>
      <c r="D13" s="90" t="s">
        <v>204</v>
      </c>
      <c r="E13" s="90"/>
      <c r="F13" s="90"/>
      <c r="G13" s="90"/>
      <c r="H13" s="90"/>
      <c r="I13" s="90"/>
      <c r="J13" s="90" t="s">
        <v>118</v>
      </c>
      <c r="K13" s="90"/>
      <c r="L13" s="90"/>
      <c r="M13" s="90"/>
      <c r="N13" s="90"/>
      <c r="O13" s="90"/>
      <c r="P13" s="90"/>
      <c r="Q13" s="90"/>
      <c r="R13" s="90"/>
      <c r="S13" s="90"/>
      <c r="T13" s="90"/>
      <c r="U13" s="90"/>
      <c r="V13" s="90"/>
      <c r="W13" s="90"/>
      <c r="X13" s="90"/>
      <c r="Y13" s="90"/>
      <c r="Z13" s="90"/>
      <c r="AA13" s="90"/>
      <c r="AB13" s="90"/>
      <c r="AC13" s="90" t="s">
        <v>205</v>
      </c>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t="s">
        <v>159</v>
      </c>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6"/>
      <c r="CF13" s="15" t="s">
        <v>35</v>
      </c>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row>
    <row r="14" spans="1:183" ht="12" customHeight="1" x14ac:dyDescent="0.15">
      <c r="A14" s="3"/>
      <c r="B14" s="1"/>
      <c r="C14" s="7"/>
      <c r="D14" s="89" t="s">
        <v>206</v>
      </c>
      <c r="E14" s="89"/>
      <c r="F14" s="89"/>
      <c r="G14" s="89"/>
      <c r="H14" s="89"/>
      <c r="I14" s="89"/>
      <c r="J14" s="88" t="s">
        <v>207</v>
      </c>
      <c r="K14" s="88"/>
      <c r="L14" s="88"/>
      <c r="M14" s="88"/>
      <c r="N14" s="88"/>
      <c r="O14" s="88"/>
      <c r="P14" s="88"/>
      <c r="Q14" s="88"/>
      <c r="R14" s="88"/>
      <c r="S14" s="88"/>
      <c r="T14" s="88"/>
      <c r="U14" s="88"/>
      <c r="V14" s="88"/>
      <c r="W14" s="88"/>
      <c r="X14" s="88"/>
      <c r="Y14" s="88"/>
      <c r="Z14" s="88"/>
      <c r="AA14" s="88"/>
      <c r="AB14" s="88"/>
      <c r="AC14" s="88" t="s">
        <v>227</v>
      </c>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t="s">
        <v>119</v>
      </c>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6"/>
      <c r="CF14" s="15" t="s">
        <v>36</v>
      </c>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row>
    <row r="15" spans="1:183" ht="12" customHeight="1" x14ac:dyDescent="0.15">
      <c r="A15" s="3"/>
      <c r="B15" s="1"/>
      <c r="C15" s="7"/>
      <c r="D15" s="89"/>
      <c r="E15" s="89"/>
      <c r="F15" s="89"/>
      <c r="G15" s="89"/>
      <c r="H15" s="89"/>
      <c r="I15" s="89"/>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6"/>
      <c r="CF15" s="15" t="s">
        <v>37</v>
      </c>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row>
    <row r="16" spans="1:183" ht="12" customHeight="1" x14ac:dyDescent="0.15">
      <c r="A16" s="3"/>
      <c r="B16" s="1"/>
      <c r="C16" s="7"/>
      <c r="D16" s="89"/>
      <c r="E16" s="89"/>
      <c r="F16" s="89"/>
      <c r="G16" s="89"/>
      <c r="H16" s="89"/>
      <c r="I16" s="89"/>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6"/>
      <c r="CF16" s="15" t="s">
        <v>38</v>
      </c>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row>
    <row r="17" spans="1:183" ht="12" customHeight="1" x14ac:dyDescent="0.15">
      <c r="A17" s="3"/>
      <c r="B17" s="1"/>
      <c r="C17" s="7"/>
      <c r="D17" s="89"/>
      <c r="E17" s="89"/>
      <c r="F17" s="89"/>
      <c r="G17" s="89"/>
      <c r="H17" s="89"/>
      <c r="I17" s="89"/>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6"/>
      <c r="CF17" s="15" t="s">
        <v>39</v>
      </c>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row>
    <row r="18" spans="1:183" ht="12" customHeight="1" x14ac:dyDescent="0.15">
      <c r="A18" s="3"/>
      <c r="B18" s="1"/>
      <c r="C18" s="7"/>
      <c r="D18" s="89"/>
      <c r="E18" s="89"/>
      <c r="F18" s="89"/>
      <c r="G18" s="89"/>
      <c r="H18" s="89"/>
      <c r="I18" s="89"/>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6"/>
      <c r="CF18" s="15" t="s">
        <v>40</v>
      </c>
      <c r="CG18" s="1"/>
      <c r="CH18" s="1"/>
      <c r="CI18" s="1"/>
      <c r="CJ18" s="1"/>
      <c r="CK18" s="1"/>
      <c r="CL18" s="1"/>
      <c r="CM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row>
    <row r="19" spans="1:183" ht="12" customHeight="1" x14ac:dyDescent="0.15">
      <c r="A19" s="3"/>
      <c r="B19" s="1"/>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6"/>
      <c r="CF19" s="15" t="s">
        <v>41</v>
      </c>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row>
    <row r="20" spans="1:183" ht="12" customHeight="1" x14ac:dyDescent="0.15">
      <c r="A20" s="3"/>
      <c r="B20" s="1"/>
      <c r="C20" s="5"/>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6"/>
      <c r="CF20" s="15" t="s">
        <v>42</v>
      </c>
      <c r="CG20" s="1"/>
      <c r="CH20" s="1"/>
      <c r="CI20" s="1"/>
      <c r="CJ20" s="4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row>
    <row r="21" spans="1:183" ht="12" customHeight="1" x14ac:dyDescent="0.15">
      <c r="A21" s="3"/>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6"/>
      <c r="CF21" s="15" t="s">
        <v>43</v>
      </c>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row>
    <row r="22" spans="1:183" ht="12" customHeight="1" x14ac:dyDescent="0.15">
      <c r="A22" s="3"/>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6"/>
      <c r="CF22" s="15" t="s">
        <v>44</v>
      </c>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row>
    <row r="23" spans="1:183" ht="12" customHeight="1" x14ac:dyDescent="0.15">
      <c r="A23" s="3"/>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6"/>
      <c r="CF23" s="15" t="s">
        <v>45</v>
      </c>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row>
    <row r="24" spans="1:183" ht="12" customHeight="1" x14ac:dyDescent="0.15">
      <c r="A24" s="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6"/>
      <c r="CF24" s="15" t="s">
        <v>46</v>
      </c>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row>
    <row r="25" spans="1:183" ht="12" customHeight="1" x14ac:dyDescent="0.15">
      <c r="A25" s="3"/>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6"/>
      <c r="CF25" s="15" t="s">
        <v>47</v>
      </c>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row>
    <row r="26" spans="1:183" ht="12" customHeight="1" x14ac:dyDescent="0.15">
      <c r="A26" s="3"/>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6"/>
      <c r="CF26" s="15" t="s">
        <v>48</v>
      </c>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row>
    <row r="27" spans="1:183" ht="12" customHeight="1" x14ac:dyDescent="0.15">
      <c r="A27" s="3"/>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4"/>
      <c r="CF27" s="15" t="s">
        <v>49</v>
      </c>
    </row>
    <row r="28" spans="1:183" ht="12" customHeight="1" x14ac:dyDescent="0.15">
      <c r="A28" s="3"/>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4"/>
      <c r="CF28" s="15" t="s">
        <v>50</v>
      </c>
    </row>
    <row r="29" spans="1:183" ht="12" customHeight="1" x14ac:dyDescent="0.15">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4"/>
      <c r="CF29" s="15" t="s">
        <v>51</v>
      </c>
    </row>
    <row r="30" spans="1:183" ht="12" customHeight="1" x14ac:dyDescent="0.15">
      <c r="A30" s="3"/>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4"/>
      <c r="CF30" s="15" t="s">
        <v>52</v>
      </c>
    </row>
    <row r="31" spans="1:183" ht="12" customHeight="1" x14ac:dyDescent="0.15">
      <c r="A31" s="3"/>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4"/>
      <c r="CF31" s="15" t="s">
        <v>53</v>
      </c>
    </row>
    <row r="32" spans="1:183" ht="12" customHeight="1" x14ac:dyDescent="0.15">
      <c r="A32" s="3"/>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4"/>
      <c r="CF32" s="15" t="s">
        <v>54</v>
      </c>
    </row>
    <row r="33" spans="1:91" ht="12" customHeight="1" x14ac:dyDescent="0.15">
      <c r="A33" s="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4"/>
      <c r="CF33" s="15" t="s">
        <v>209</v>
      </c>
    </row>
    <row r="34" spans="1:91" ht="12" customHeight="1" x14ac:dyDescent="0.15">
      <c r="A34" s="3"/>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4"/>
      <c r="CF34" s="15" t="s">
        <v>55</v>
      </c>
    </row>
    <row r="35" spans="1:91" ht="12" customHeight="1" x14ac:dyDescent="0.15">
      <c r="A35" s="3"/>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4"/>
      <c r="CF35" s="15" t="s">
        <v>56</v>
      </c>
    </row>
    <row r="36" spans="1:91" ht="12" customHeight="1" x14ac:dyDescent="0.15">
      <c r="A36" s="3"/>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4"/>
      <c r="CF36" s="15" t="s">
        <v>57</v>
      </c>
    </row>
    <row r="37" spans="1:91" ht="12" customHeight="1" x14ac:dyDescent="0.15">
      <c r="A37" s="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4"/>
      <c r="CF37" s="15" t="s">
        <v>58</v>
      </c>
    </row>
    <row r="38" spans="1:91" ht="12" customHeight="1" x14ac:dyDescent="0.15">
      <c r="A38" s="3"/>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4"/>
      <c r="CF38" s="15" t="s">
        <v>59</v>
      </c>
    </row>
    <row r="39" spans="1:91" ht="12" customHeight="1" x14ac:dyDescent="0.15">
      <c r="A39" s="3"/>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4"/>
      <c r="CF39" s="15" t="s">
        <v>60</v>
      </c>
    </row>
    <row r="40" spans="1:91" ht="12" customHeight="1" x14ac:dyDescent="0.15">
      <c r="A40" s="3"/>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4"/>
      <c r="CF40" s="15" t="s">
        <v>61</v>
      </c>
    </row>
    <row r="41" spans="1:91" ht="12" customHeight="1" x14ac:dyDescent="0.15">
      <c r="A41" s="3"/>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4"/>
      <c r="CF41" s="15" t="s">
        <v>62</v>
      </c>
    </row>
    <row r="42" spans="1:91" ht="12" customHeight="1" x14ac:dyDescent="0.15">
      <c r="A42" s="3"/>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4"/>
      <c r="CF42" s="15" t="s">
        <v>63</v>
      </c>
    </row>
    <row r="43" spans="1:91" ht="12" customHeight="1" x14ac:dyDescent="0.15">
      <c r="A43" s="3"/>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4"/>
      <c r="CF43" s="15" t="s">
        <v>64</v>
      </c>
    </row>
    <row r="44" spans="1:91" ht="12" customHeight="1" x14ac:dyDescent="0.15">
      <c r="A44" s="3"/>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4"/>
      <c r="CF44" s="15" t="s">
        <v>65</v>
      </c>
    </row>
    <row r="45" spans="1:91" ht="12" customHeight="1" x14ac:dyDescent="0.15">
      <c r="A45" s="3"/>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4"/>
      <c r="CF45" s="15" t="s">
        <v>66</v>
      </c>
    </row>
    <row r="46" spans="1:91" ht="12" customHeight="1" thickBot="1" x14ac:dyDescent="0.2">
      <c r="A46" s="16"/>
      <c r="B46" s="17"/>
      <c r="C46" s="17"/>
      <c r="D46" s="17"/>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9"/>
      <c r="CF46" s="15" t="s">
        <v>67</v>
      </c>
    </row>
    <row r="47" spans="1:91" ht="12" customHeight="1" x14ac:dyDescent="0.15">
      <c r="A47" s="3"/>
      <c r="B47" s="1"/>
      <c r="C47" s="1" t="s">
        <v>21</v>
      </c>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4"/>
      <c r="CF47" s="15" t="s">
        <v>68</v>
      </c>
    </row>
    <row r="48" spans="1:91" ht="12" customHeight="1" x14ac:dyDescent="0.15">
      <c r="A48" s="3"/>
      <c r="B48" s="1"/>
      <c r="C48" s="1"/>
      <c r="D48" s="1" t="s">
        <v>22</v>
      </c>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4"/>
      <c r="CF48" s="15" t="s">
        <v>69</v>
      </c>
      <c r="CM48" s="1"/>
    </row>
    <row r="49" spans="1:91" ht="12" customHeight="1" x14ac:dyDescent="0.15">
      <c r="A49" s="3"/>
      <c r="B49" s="1"/>
      <c r="C49" s="1"/>
      <c r="D49" s="1"/>
      <c r="E49" s="1" t="s">
        <v>212</v>
      </c>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4"/>
      <c r="CF49" s="15" t="s">
        <v>70</v>
      </c>
      <c r="CM49" s="1"/>
    </row>
    <row r="50" spans="1:91" ht="12" customHeight="1" x14ac:dyDescent="0.15">
      <c r="A50" s="3"/>
      <c r="B50" s="1"/>
      <c r="C50" s="1"/>
      <c r="D50" s="1"/>
      <c r="E50" s="1" t="s">
        <v>146</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4"/>
      <c r="CF50" s="15" t="s">
        <v>71</v>
      </c>
    </row>
    <row r="51" spans="1:91" ht="12" customHeight="1" x14ac:dyDescent="0.15">
      <c r="A51" s="3"/>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4"/>
      <c r="CF51" s="15" t="s">
        <v>72</v>
      </c>
    </row>
    <row r="52" spans="1:91" ht="12" customHeight="1" x14ac:dyDescent="0.15">
      <c r="A52" s="3"/>
      <c r="B52" s="1"/>
      <c r="C52" s="1"/>
      <c r="D52" s="1" t="s">
        <v>23</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4"/>
      <c r="CF52" s="15" t="s">
        <v>73</v>
      </c>
    </row>
    <row r="53" spans="1:91" ht="12" customHeight="1" x14ac:dyDescent="0.15">
      <c r="A53" s="3"/>
      <c r="B53" s="1"/>
      <c r="C53" s="1"/>
      <c r="D53" s="1"/>
      <c r="E53" s="90" t="s">
        <v>17</v>
      </c>
      <c r="F53" s="90"/>
      <c r="G53" s="90"/>
      <c r="H53" s="90"/>
      <c r="I53" s="90"/>
      <c r="J53" s="90"/>
      <c r="K53" s="90"/>
      <c r="L53" s="90"/>
      <c r="M53" s="90"/>
      <c r="N53" s="90"/>
      <c r="O53" s="90"/>
      <c r="P53" s="90"/>
      <c r="Q53" s="90"/>
      <c r="R53" s="90" t="s">
        <v>18</v>
      </c>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0"/>
      <c r="BQ53" s="90"/>
      <c r="BR53" s="90"/>
      <c r="BS53" s="90"/>
      <c r="BT53" s="1"/>
      <c r="BU53" s="1"/>
      <c r="BV53" s="1"/>
      <c r="BW53" s="1"/>
      <c r="BX53" s="1"/>
      <c r="BY53" s="1"/>
      <c r="BZ53" s="1"/>
      <c r="CA53" s="1"/>
      <c r="CB53" s="1"/>
      <c r="CC53" s="1"/>
      <c r="CD53" s="1"/>
      <c r="CE53" s="4"/>
      <c r="CF53" s="15" t="s">
        <v>74</v>
      </c>
    </row>
    <row r="54" spans="1:91" ht="12" customHeight="1" x14ac:dyDescent="0.15">
      <c r="A54" s="3"/>
      <c r="B54" s="1"/>
      <c r="C54" s="1"/>
      <c r="D54" s="1"/>
      <c r="E54" s="88" t="s">
        <v>19</v>
      </c>
      <c r="F54" s="88"/>
      <c r="G54" s="88"/>
      <c r="H54" s="88"/>
      <c r="I54" s="88"/>
      <c r="J54" s="88"/>
      <c r="K54" s="88"/>
      <c r="L54" s="88"/>
      <c r="M54" s="88"/>
      <c r="N54" s="88"/>
      <c r="O54" s="88"/>
      <c r="P54" s="88"/>
      <c r="Q54" s="88"/>
      <c r="R54" s="88" t="s">
        <v>28</v>
      </c>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1"/>
      <c r="BU54" s="1"/>
      <c r="BV54" s="1"/>
      <c r="BW54" s="1"/>
      <c r="BX54" s="1"/>
      <c r="BY54" s="1"/>
      <c r="BZ54" s="1"/>
      <c r="CA54" s="1"/>
      <c r="CB54" s="1"/>
      <c r="CC54" s="1"/>
      <c r="CD54" s="1"/>
      <c r="CE54" s="4"/>
      <c r="CF54" s="15" t="s">
        <v>75</v>
      </c>
    </row>
    <row r="55" spans="1:91" ht="12" customHeight="1" x14ac:dyDescent="0.15">
      <c r="A55" s="3"/>
      <c r="B55" s="1"/>
      <c r="C55" s="1"/>
      <c r="D55" s="1"/>
      <c r="E55" s="88" t="s">
        <v>20</v>
      </c>
      <c r="F55" s="88"/>
      <c r="G55" s="88"/>
      <c r="H55" s="88"/>
      <c r="I55" s="88"/>
      <c r="J55" s="88"/>
      <c r="K55" s="88"/>
      <c r="L55" s="88"/>
      <c r="M55" s="88"/>
      <c r="N55" s="88"/>
      <c r="O55" s="88"/>
      <c r="P55" s="88"/>
      <c r="Q55" s="88"/>
      <c r="R55" s="88" t="s">
        <v>120</v>
      </c>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1"/>
      <c r="BU55" s="1"/>
      <c r="BV55" s="1"/>
      <c r="BW55" s="1"/>
      <c r="BX55" s="1"/>
      <c r="BY55" s="1"/>
      <c r="BZ55" s="1"/>
      <c r="CA55" s="1"/>
      <c r="CB55" s="1"/>
      <c r="CC55" s="1"/>
      <c r="CD55" s="1"/>
      <c r="CE55" s="4"/>
      <c r="CF55" s="15" t="s">
        <v>76</v>
      </c>
    </row>
    <row r="56" spans="1:91" ht="12" customHeight="1" x14ac:dyDescent="0.15">
      <c r="A56" s="3"/>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4"/>
      <c r="CF56" s="15" t="s">
        <v>77</v>
      </c>
    </row>
    <row r="57" spans="1:91" ht="12" customHeight="1" x14ac:dyDescent="0.15">
      <c r="A57" s="3"/>
      <c r="B57" s="1"/>
      <c r="C57" s="1"/>
      <c r="D57" s="1" t="s">
        <v>132</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4"/>
      <c r="CF57" s="15" t="s">
        <v>78</v>
      </c>
    </row>
    <row r="58" spans="1:91" ht="12" customHeight="1" x14ac:dyDescent="0.15">
      <c r="A58" s="3"/>
      <c r="B58" s="1"/>
      <c r="C58" s="1"/>
      <c r="D58" s="1"/>
      <c r="E58" s="90" t="s">
        <v>27</v>
      </c>
      <c r="F58" s="90"/>
      <c r="G58" s="90" t="s">
        <v>14</v>
      </c>
      <c r="H58" s="90"/>
      <c r="I58" s="90"/>
      <c r="J58" s="90"/>
      <c r="K58" s="90"/>
      <c r="L58" s="90"/>
      <c r="M58" s="90"/>
      <c r="N58" s="90"/>
      <c r="O58" s="90"/>
      <c r="P58" s="90"/>
      <c r="Q58" s="90"/>
      <c r="R58" s="90"/>
      <c r="S58" s="90"/>
      <c r="T58" s="90"/>
      <c r="U58" s="90" t="s">
        <v>25</v>
      </c>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t="s">
        <v>24</v>
      </c>
      <c r="BB58" s="90"/>
      <c r="BC58" s="90"/>
      <c r="BD58" s="90"/>
      <c r="BE58" s="90"/>
      <c r="BF58" s="90"/>
      <c r="BG58" s="90"/>
      <c r="BH58" s="90"/>
      <c r="BI58" s="90"/>
      <c r="BJ58" s="90"/>
      <c r="BK58" s="90"/>
      <c r="BL58" s="90"/>
      <c r="BM58" s="90"/>
      <c r="BN58" s="90"/>
      <c r="BO58" s="90"/>
      <c r="BP58" s="90"/>
      <c r="BQ58" s="90"/>
      <c r="BR58" s="90"/>
      <c r="BS58" s="90"/>
      <c r="BT58" s="90"/>
      <c r="BU58" s="90" t="s">
        <v>191</v>
      </c>
      <c r="BV58" s="90"/>
      <c r="BW58" s="90"/>
      <c r="BX58" s="90"/>
      <c r="BY58" s="90"/>
      <c r="BZ58" s="90" t="s">
        <v>192</v>
      </c>
      <c r="CA58" s="90"/>
      <c r="CB58" s="90"/>
      <c r="CC58" s="90"/>
      <c r="CD58" s="90"/>
      <c r="CE58" s="4"/>
      <c r="CF58" s="15" t="s">
        <v>79</v>
      </c>
    </row>
    <row r="59" spans="1:91" ht="12" customHeight="1" x14ac:dyDescent="0.15">
      <c r="A59" s="3"/>
      <c r="B59" s="1"/>
      <c r="C59" s="1"/>
      <c r="D59" s="1"/>
      <c r="E59" s="88">
        <v>1</v>
      </c>
      <c r="F59" s="88"/>
      <c r="G59" s="88" t="s">
        <v>219</v>
      </c>
      <c r="H59" s="88"/>
      <c r="I59" s="88"/>
      <c r="J59" s="88"/>
      <c r="K59" s="88"/>
      <c r="L59" s="88"/>
      <c r="M59" s="88"/>
      <c r="N59" s="88"/>
      <c r="O59" s="88"/>
      <c r="P59" s="88"/>
      <c r="Q59" s="88"/>
      <c r="R59" s="88"/>
      <c r="S59" s="88"/>
      <c r="T59" s="88"/>
      <c r="U59" s="88" t="s">
        <v>269</v>
      </c>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t="s">
        <v>226</v>
      </c>
      <c r="BB59" s="88"/>
      <c r="BC59" s="88"/>
      <c r="BD59" s="88"/>
      <c r="BE59" s="88"/>
      <c r="BF59" s="88"/>
      <c r="BG59" s="88"/>
      <c r="BH59" s="88"/>
      <c r="BI59" s="88"/>
      <c r="BJ59" s="88"/>
      <c r="BK59" s="88"/>
      <c r="BL59" s="88"/>
      <c r="BM59" s="88"/>
      <c r="BN59" s="88"/>
      <c r="BO59" s="88"/>
      <c r="BP59" s="88"/>
      <c r="BQ59" s="88"/>
      <c r="BR59" s="88"/>
      <c r="BS59" s="88"/>
      <c r="BT59" s="88"/>
      <c r="BU59" s="89" t="s">
        <v>124</v>
      </c>
      <c r="BV59" s="89"/>
      <c r="BW59" s="89"/>
      <c r="BX59" s="89"/>
      <c r="BY59" s="89"/>
      <c r="BZ59" s="89" t="s">
        <v>145</v>
      </c>
      <c r="CA59" s="89"/>
      <c r="CB59" s="89"/>
      <c r="CC59" s="89"/>
      <c r="CD59" s="89"/>
      <c r="CE59" s="4"/>
      <c r="CF59" s="15" t="s">
        <v>80</v>
      </c>
    </row>
    <row r="60" spans="1:91" ht="12" customHeight="1" x14ac:dyDescent="0.15">
      <c r="A60" s="3"/>
      <c r="B60" s="1"/>
      <c r="C60" s="1"/>
      <c r="D60" s="1"/>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9"/>
      <c r="BV60" s="89"/>
      <c r="BW60" s="89"/>
      <c r="BX60" s="89"/>
      <c r="BY60" s="89"/>
      <c r="BZ60" s="89"/>
      <c r="CA60" s="89"/>
      <c r="CB60" s="89"/>
      <c r="CC60" s="89"/>
      <c r="CD60" s="89"/>
      <c r="CE60" s="4"/>
      <c r="CF60" s="15" t="s">
        <v>81</v>
      </c>
    </row>
    <row r="61" spans="1:91" ht="12" customHeight="1" x14ac:dyDescent="0.15">
      <c r="A61" s="3"/>
      <c r="B61" s="1"/>
      <c r="C61" s="1"/>
      <c r="D61" s="1"/>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9"/>
      <c r="BV61" s="89"/>
      <c r="BW61" s="89"/>
      <c r="BX61" s="89"/>
      <c r="BY61" s="89"/>
      <c r="BZ61" s="89"/>
      <c r="CA61" s="89"/>
      <c r="CB61" s="89"/>
      <c r="CC61" s="89"/>
      <c r="CD61" s="89"/>
      <c r="CE61" s="4"/>
      <c r="CF61" s="15" t="s">
        <v>82</v>
      </c>
    </row>
    <row r="62" spans="1:91" ht="12" customHeight="1" x14ac:dyDescent="0.15">
      <c r="A62" s="3"/>
      <c r="B62" s="1"/>
      <c r="C62" s="1"/>
      <c r="D62" s="1"/>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9"/>
      <c r="BV62" s="89"/>
      <c r="BW62" s="89"/>
      <c r="BX62" s="89"/>
      <c r="BY62" s="89"/>
      <c r="BZ62" s="89"/>
      <c r="CA62" s="89"/>
      <c r="CB62" s="89"/>
      <c r="CC62" s="89"/>
      <c r="CD62" s="89"/>
      <c r="CE62" s="4"/>
      <c r="CF62" s="15" t="s">
        <v>83</v>
      </c>
    </row>
    <row r="63" spans="1:91" ht="12" customHeight="1" x14ac:dyDescent="0.15">
      <c r="A63" s="3"/>
      <c r="B63" s="1"/>
      <c r="C63" s="1"/>
      <c r="D63" s="1"/>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9"/>
      <c r="BV63" s="89"/>
      <c r="BW63" s="89"/>
      <c r="BX63" s="89"/>
      <c r="BY63" s="89"/>
      <c r="BZ63" s="89"/>
      <c r="CA63" s="89"/>
      <c r="CB63" s="89"/>
      <c r="CC63" s="89"/>
      <c r="CD63" s="89"/>
      <c r="CE63" s="4"/>
      <c r="CF63" s="15" t="s">
        <v>84</v>
      </c>
    </row>
    <row r="64" spans="1:91" ht="12" customHeight="1" x14ac:dyDescent="0.15">
      <c r="A64" s="3"/>
      <c r="B64" s="1"/>
      <c r="C64" s="1"/>
      <c r="D64" s="1"/>
      <c r="E64" s="88">
        <v>2</v>
      </c>
      <c r="F64" s="88"/>
      <c r="G64" s="88" t="s">
        <v>276</v>
      </c>
      <c r="H64" s="88"/>
      <c r="I64" s="88"/>
      <c r="J64" s="88"/>
      <c r="K64" s="88"/>
      <c r="L64" s="88"/>
      <c r="M64" s="88"/>
      <c r="N64" s="88"/>
      <c r="O64" s="88"/>
      <c r="P64" s="88"/>
      <c r="Q64" s="88"/>
      <c r="R64" s="88"/>
      <c r="S64" s="88"/>
      <c r="T64" s="88"/>
      <c r="U64" s="96" t="s">
        <v>361</v>
      </c>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8"/>
      <c r="BA64" s="88" t="s">
        <v>277</v>
      </c>
      <c r="BB64" s="88"/>
      <c r="BC64" s="88"/>
      <c r="BD64" s="88"/>
      <c r="BE64" s="88"/>
      <c r="BF64" s="88"/>
      <c r="BG64" s="88"/>
      <c r="BH64" s="88"/>
      <c r="BI64" s="88"/>
      <c r="BJ64" s="88"/>
      <c r="BK64" s="88"/>
      <c r="BL64" s="88"/>
      <c r="BM64" s="88"/>
      <c r="BN64" s="88"/>
      <c r="BO64" s="88"/>
      <c r="BP64" s="88"/>
      <c r="BQ64" s="88"/>
      <c r="BR64" s="88"/>
      <c r="BS64" s="88"/>
      <c r="BT64" s="88"/>
      <c r="BU64" s="89" t="s">
        <v>145</v>
      </c>
      <c r="BV64" s="89"/>
      <c r="BW64" s="89"/>
      <c r="BX64" s="89"/>
      <c r="BY64" s="89"/>
      <c r="BZ64" s="89" t="s">
        <v>124</v>
      </c>
      <c r="CA64" s="89"/>
      <c r="CB64" s="89"/>
      <c r="CC64" s="89"/>
      <c r="CD64" s="89"/>
      <c r="CE64" s="4"/>
      <c r="CF64" s="15" t="s">
        <v>85</v>
      </c>
    </row>
    <row r="65" spans="1:84" ht="12" customHeight="1" x14ac:dyDescent="0.15">
      <c r="A65" s="3"/>
      <c r="B65" s="1"/>
      <c r="C65" s="1"/>
      <c r="D65" s="1"/>
      <c r="E65" s="88"/>
      <c r="F65" s="88"/>
      <c r="G65" s="88"/>
      <c r="H65" s="88"/>
      <c r="I65" s="88"/>
      <c r="J65" s="88"/>
      <c r="K65" s="88"/>
      <c r="L65" s="88"/>
      <c r="M65" s="88"/>
      <c r="N65" s="88"/>
      <c r="O65" s="88"/>
      <c r="P65" s="88"/>
      <c r="Q65" s="88"/>
      <c r="R65" s="88"/>
      <c r="S65" s="88"/>
      <c r="T65" s="88"/>
      <c r="U65" s="99"/>
      <c r="V65" s="100"/>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100"/>
      <c r="AV65" s="100"/>
      <c r="AW65" s="100"/>
      <c r="AX65" s="100"/>
      <c r="AY65" s="100"/>
      <c r="AZ65" s="101"/>
      <c r="BA65" s="88"/>
      <c r="BB65" s="88"/>
      <c r="BC65" s="88"/>
      <c r="BD65" s="88"/>
      <c r="BE65" s="88"/>
      <c r="BF65" s="88"/>
      <c r="BG65" s="88"/>
      <c r="BH65" s="88"/>
      <c r="BI65" s="88"/>
      <c r="BJ65" s="88"/>
      <c r="BK65" s="88"/>
      <c r="BL65" s="88"/>
      <c r="BM65" s="88"/>
      <c r="BN65" s="88"/>
      <c r="BO65" s="88"/>
      <c r="BP65" s="88"/>
      <c r="BQ65" s="88"/>
      <c r="BR65" s="88"/>
      <c r="BS65" s="88"/>
      <c r="BT65" s="88"/>
      <c r="BU65" s="89"/>
      <c r="BV65" s="89"/>
      <c r="BW65" s="89"/>
      <c r="BX65" s="89"/>
      <c r="BY65" s="89"/>
      <c r="BZ65" s="89"/>
      <c r="CA65" s="89"/>
      <c r="CB65" s="89"/>
      <c r="CC65" s="89"/>
      <c r="CD65" s="89"/>
      <c r="CE65" s="4"/>
      <c r="CF65" s="15" t="s">
        <v>86</v>
      </c>
    </row>
    <row r="66" spans="1:84" ht="12" customHeight="1" x14ac:dyDescent="0.15">
      <c r="A66" s="3"/>
      <c r="B66" s="1"/>
      <c r="C66" s="1"/>
      <c r="D66" s="1"/>
      <c r="E66" s="88"/>
      <c r="F66" s="88"/>
      <c r="G66" s="88"/>
      <c r="H66" s="88"/>
      <c r="I66" s="88"/>
      <c r="J66" s="88"/>
      <c r="K66" s="88"/>
      <c r="L66" s="88"/>
      <c r="M66" s="88"/>
      <c r="N66" s="88"/>
      <c r="O66" s="88"/>
      <c r="P66" s="88"/>
      <c r="Q66" s="88"/>
      <c r="R66" s="88"/>
      <c r="S66" s="88"/>
      <c r="T66" s="88"/>
      <c r="U66" s="99"/>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1"/>
      <c r="BA66" s="88"/>
      <c r="BB66" s="88"/>
      <c r="BC66" s="88"/>
      <c r="BD66" s="88"/>
      <c r="BE66" s="88"/>
      <c r="BF66" s="88"/>
      <c r="BG66" s="88"/>
      <c r="BH66" s="88"/>
      <c r="BI66" s="88"/>
      <c r="BJ66" s="88"/>
      <c r="BK66" s="88"/>
      <c r="BL66" s="88"/>
      <c r="BM66" s="88"/>
      <c r="BN66" s="88"/>
      <c r="BO66" s="88"/>
      <c r="BP66" s="88"/>
      <c r="BQ66" s="88"/>
      <c r="BR66" s="88"/>
      <c r="BS66" s="88"/>
      <c r="BT66" s="88"/>
      <c r="BU66" s="89"/>
      <c r="BV66" s="89"/>
      <c r="BW66" s="89"/>
      <c r="BX66" s="89"/>
      <c r="BY66" s="89"/>
      <c r="BZ66" s="89"/>
      <c r="CA66" s="89"/>
      <c r="CB66" s="89"/>
      <c r="CC66" s="89"/>
      <c r="CD66" s="89"/>
      <c r="CE66" s="4"/>
      <c r="CF66" s="15" t="s">
        <v>160</v>
      </c>
    </row>
    <row r="67" spans="1:84" ht="12" customHeight="1" x14ac:dyDescent="0.15">
      <c r="A67" s="49"/>
      <c r="B67" s="1"/>
      <c r="C67" s="1"/>
      <c r="D67" s="1"/>
      <c r="E67" s="88"/>
      <c r="F67" s="88"/>
      <c r="G67" s="88"/>
      <c r="H67" s="88"/>
      <c r="I67" s="88"/>
      <c r="J67" s="88"/>
      <c r="K67" s="88"/>
      <c r="L67" s="88"/>
      <c r="M67" s="88"/>
      <c r="N67" s="88"/>
      <c r="O67" s="88"/>
      <c r="P67" s="88"/>
      <c r="Q67" s="88"/>
      <c r="R67" s="88"/>
      <c r="S67" s="88"/>
      <c r="T67" s="88"/>
      <c r="U67" s="99"/>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1"/>
      <c r="BA67" s="88"/>
      <c r="BB67" s="88"/>
      <c r="BC67" s="88"/>
      <c r="BD67" s="88"/>
      <c r="BE67" s="88"/>
      <c r="BF67" s="88"/>
      <c r="BG67" s="88"/>
      <c r="BH67" s="88"/>
      <c r="BI67" s="88"/>
      <c r="BJ67" s="88"/>
      <c r="BK67" s="88"/>
      <c r="BL67" s="88"/>
      <c r="BM67" s="88"/>
      <c r="BN67" s="88"/>
      <c r="BO67" s="88"/>
      <c r="BP67" s="88"/>
      <c r="BQ67" s="88"/>
      <c r="BR67" s="88"/>
      <c r="BS67" s="88"/>
      <c r="BT67" s="88"/>
      <c r="BU67" s="89"/>
      <c r="BV67" s="89"/>
      <c r="BW67" s="89"/>
      <c r="BX67" s="89"/>
      <c r="BY67" s="89"/>
      <c r="BZ67" s="89"/>
      <c r="CA67" s="89"/>
      <c r="CB67" s="89"/>
      <c r="CC67" s="89"/>
      <c r="CD67" s="89"/>
      <c r="CE67" s="4"/>
      <c r="CF67" s="15" t="s">
        <v>87</v>
      </c>
    </row>
    <row r="68" spans="1:84" ht="12" customHeight="1" x14ac:dyDescent="0.15">
      <c r="A68" s="3"/>
      <c r="B68" s="1"/>
      <c r="C68" s="1"/>
      <c r="D68" s="1"/>
      <c r="E68" s="88"/>
      <c r="F68" s="88"/>
      <c r="G68" s="88"/>
      <c r="H68" s="88"/>
      <c r="I68" s="88"/>
      <c r="J68" s="88"/>
      <c r="K68" s="88"/>
      <c r="L68" s="88"/>
      <c r="M68" s="88"/>
      <c r="N68" s="88"/>
      <c r="O68" s="88"/>
      <c r="P68" s="88"/>
      <c r="Q68" s="88"/>
      <c r="R68" s="88"/>
      <c r="S68" s="88"/>
      <c r="T68" s="88"/>
      <c r="U68" s="102"/>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4"/>
      <c r="BA68" s="88"/>
      <c r="BB68" s="88"/>
      <c r="BC68" s="88"/>
      <c r="BD68" s="88"/>
      <c r="BE68" s="88"/>
      <c r="BF68" s="88"/>
      <c r="BG68" s="88"/>
      <c r="BH68" s="88"/>
      <c r="BI68" s="88"/>
      <c r="BJ68" s="88"/>
      <c r="BK68" s="88"/>
      <c r="BL68" s="88"/>
      <c r="BM68" s="88"/>
      <c r="BN68" s="88"/>
      <c r="BO68" s="88"/>
      <c r="BP68" s="88"/>
      <c r="BQ68" s="88"/>
      <c r="BR68" s="88"/>
      <c r="BS68" s="88"/>
      <c r="BT68" s="88"/>
      <c r="BU68" s="89"/>
      <c r="BV68" s="89"/>
      <c r="BW68" s="89"/>
      <c r="BX68" s="89"/>
      <c r="BY68" s="89"/>
      <c r="BZ68" s="89"/>
      <c r="CA68" s="89"/>
      <c r="CB68" s="89"/>
      <c r="CC68" s="89"/>
      <c r="CD68" s="89"/>
      <c r="CE68" s="4"/>
      <c r="CF68" s="15" t="s">
        <v>88</v>
      </c>
    </row>
    <row r="69" spans="1:84" ht="12" customHeight="1" x14ac:dyDescent="0.15">
      <c r="A69" s="3"/>
      <c r="B69" s="1"/>
      <c r="C69" s="1"/>
      <c r="D69" s="1"/>
      <c r="E69" s="88">
        <v>3</v>
      </c>
      <c r="F69" s="88"/>
      <c r="G69" s="88" t="s">
        <v>278</v>
      </c>
      <c r="H69" s="88"/>
      <c r="I69" s="88"/>
      <c r="J69" s="88"/>
      <c r="K69" s="88"/>
      <c r="L69" s="88"/>
      <c r="M69" s="88"/>
      <c r="N69" s="88"/>
      <c r="O69" s="88"/>
      <c r="P69" s="88"/>
      <c r="Q69" s="88"/>
      <c r="R69" s="88"/>
      <c r="S69" s="88"/>
      <c r="T69" s="88"/>
      <c r="U69" s="88" t="s">
        <v>270</v>
      </c>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t="s">
        <v>279</v>
      </c>
      <c r="BB69" s="88"/>
      <c r="BC69" s="88"/>
      <c r="BD69" s="88"/>
      <c r="BE69" s="88"/>
      <c r="BF69" s="88"/>
      <c r="BG69" s="88"/>
      <c r="BH69" s="88"/>
      <c r="BI69" s="88"/>
      <c r="BJ69" s="88"/>
      <c r="BK69" s="88"/>
      <c r="BL69" s="88"/>
      <c r="BM69" s="88"/>
      <c r="BN69" s="88"/>
      <c r="BO69" s="88"/>
      <c r="BP69" s="88"/>
      <c r="BQ69" s="88"/>
      <c r="BR69" s="88"/>
      <c r="BS69" s="88"/>
      <c r="BT69" s="88"/>
      <c r="BU69" s="89" t="s">
        <v>201</v>
      </c>
      <c r="BV69" s="89"/>
      <c r="BW69" s="89"/>
      <c r="BX69" s="89"/>
      <c r="BY69" s="89"/>
      <c r="BZ69" s="89" t="s">
        <v>124</v>
      </c>
      <c r="CA69" s="89"/>
      <c r="CB69" s="89"/>
      <c r="CC69" s="89"/>
      <c r="CD69" s="89"/>
      <c r="CE69" s="4"/>
      <c r="CF69" s="15" t="s">
        <v>210</v>
      </c>
    </row>
    <row r="70" spans="1:84" ht="12" customHeight="1" x14ac:dyDescent="0.15">
      <c r="A70" s="3"/>
      <c r="B70" s="1"/>
      <c r="C70" s="1"/>
      <c r="D70" s="1"/>
      <c r="E70" s="88"/>
      <c r="F70" s="88"/>
      <c r="G70" s="88"/>
      <c r="H70" s="88"/>
      <c r="I70" s="88"/>
      <c r="J70" s="88"/>
      <c r="K70" s="88"/>
      <c r="L70" s="88"/>
      <c r="M70" s="88"/>
      <c r="N70" s="88"/>
      <c r="O70" s="88"/>
      <c r="P70" s="88"/>
      <c r="Q70" s="88"/>
      <c r="R70" s="88"/>
      <c r="S70" s="88"/>
      <c r="T70" s="88"/>
      <c r="U70" s="95"/>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9"/>
      <c r="BV70" s="89"/>
      <c r="BW70" s="89"/>
      <c r="BX70" s="89"/>
      <c r="BY70" s="89"/>
      <c r="BZ70" s="89"/>
      <c r="CA70" s="89"/>
      <c r="CB70" s="89"/>
      <c r="CC70" s="89"/>
      <c r="CD70" s="89"/>
      <c r="CE70" s="4"/>
      <c r="CF70" s="15" t="s">
        <v>89</v>
      </c>
    </row>
    <row r="71" spans="1:84" ht="12" customHeight="1" x14ac:dyDescent="0.15">
      <c r="A71" s="3"/>
      <c r="B71" s="1"/>
      <c r="C71" s="1"/>
      <c r="D71" s="1"/>
      <c r="E71" s="88"/>
      <c r="F71" s="88"/>
      <c r="G71" s="88"/>
      <c r="H71" s="88"/>
      <c r="I71" s="88"/>
      <c r="J71" s="88"/>
      <c r="K71" s="88"/>
      <c r="L71" s="88"/>
      <c r="M71" s="88"/>
      <c r="N71" s="88"/>
      <c r="O71" s="88"/>
      <c r="P71" s="88"/>
      <c r="Q71" s="88"/>
      <c r="R71" s="88"/>
      <c r="S71" s="88"/>
      <c r="T71" s="88"/>
      <c r="U71" s="95"/>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9"/>
      <c r="BV71" s="89"/>
      <c r="BW71" s="89"/>
      <c r="BX71" s="89"/>
      <c r="BY71" s="89"/>
      <c r="BZ71" s="89"/>
      <c r="CA71" s="89"/>
      <c r="CB71" s="89"/>
      <c r="CC71" s="89"/>
      <c r="CD71" s="89"/>
      <c r="CE71" s="4"/>
      <c r="CF71" s="15" t="s">
        <v>90</v>
      </c>
    </row>
    <row r="72" spans="1:84" ht="12" customHeight="1" x14ac:dyDescent="0.15">
      <c r="A72" s="3"/>
      <c r="B72" s="1"/>
      <c r="C72" s="1"/>
      <c r="D72" s="1"/>
      <c r="E72" s="88"/>
      <c r="F72" s="88"/>
      <c r="G72" s="88"/>
      <c r="H72" s="88"/>
      <c r="I72" s="88"/>
      <c r="J72" s="88"/>
      <c r="K72" s="88"/>
      <c r="L72" s="88"/>
      <c r="M72" s="88"/>
      <c r="N72" s="88"/>
      <c r="O72" s="88"/>
      <c r="P72" s="88"/>
      <c r="Q72" s="88"/>
      <c r="R72" s="88"/>
      <c r="S72" s="88"/>
      <c r="T72" s="88"/>
      <c r="U72" s="95"/>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9"/>
      <c r="BV72" s="89"/>
      <c r="BW72" s="89"/>
      <c r="BX72" s="89"/>
      <c r="BY72" s="89"/>
      <c r="BZ72" s="89"/>
      <c r="CA72" s="89"/>
      <c r="CB72" s="89"/>
      <c r="CC72" s="89"/>
      <c r="CD72" s="89"/>
      <c r="CE72" s="4"/>
      <c r="CF72" s="15" t="s">
        <v>202</v>
      </c>
    </row>
    <row r="73" spans="1:84" ht="12" customHeight="1" x14ac:dyDescent="0.15">
      <c r="A73" s="3"/>
      <c r="B73" s="1"/>
      <c r="C73" s="1"/>
      <c r="D73" s="1"/>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9"/>
      <c r="BV73" s="89"/>
      <c r="BW73" s="89"/>
      <c r="BX73" s="89"/>
      <c r="BY73" s="89"/>
      <c r="BZ73" s="89"/>
      <c r="CA73" s="89"/>
      <c r="CB73" s="89"/>
      <c r="CC73" s="89"/>
      <c r="CD73" s="89"/>
      <c r="CE73" s="4"/>
      <c r="CF73" s="15" t="s">
        <v>161</v>
      </c>
    </row>
    <row r="74" spans="1:84" s="51" customFormat="1" ht="12" customHeight="1" x14ac:dyDescent="0.15">
      <c r="A74" s="55"/>
      <c r="E74" s="78">
        <v>4</v>
      </c>
      <c r="F74" s="78"/>
      <c r="G74" s="78" t="s">
        <v>517</v>
      </c>
      <c r="H74" s="78"/>
      <c r="I74" s="78"/>
      <c r="J74" s="78"/>
      <c r="K74" s="78"/>
      <c r="L74" s="78"/>
      <c r="M74" s="78"/>
      <c r="N74" s="78"/>
      <c r="O74" s="78"/>
      <c r="P74" s="78"/>
      <c r="Q74" s="78"/>
      <c r="R74" s="78"/>
      <c r="S74" s="78"/>
      <c r="T74" s="78"/>
      <c r="U74" s="81" t="s">
        <v>515</v>
      </c>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78" t="s">
        <v>518</v>
      </c>
      <c r="BB74" s="78"/>
      <c r="BC74" s="78"/>
      <c r="BD74" s="78"/>
      <c r="BE74" s="78"/>
      <c r="BF74" s="78"/>
      <c r="BG74" s="78"/>
      <c r="BH74" s="78"/>
      <c r="BI74" s="78"/>
      <c r="BJ74" s="78"/>
      <c r="BK74" s="78"/>
      <c r="BL74" s="78"/>
      <c r="BM74" s="78"/>
      <c r="BN74" s="78"/>
      <c r="BO74" s="78"/>
      <c r="BP74" s="78"/>
      <c r="BQ74" s="78"/>
      <c r="BR74" s="78"/>
      <c r="BS74" s="78"/>
      <c r="BT74" s="78"/>
      <c r="BU74" s="79" t="s">
        <v>145</v>
      </c>
      <c r="BV74" s="79"/>
      <c r="BW74" s="79"/>
      <c r="BX74" s="79"/>
      <c r="BY74" s="79"/>
      <c r="BZ74" s="79" t="s">
        <v>124</v>
      </c>
      <c r="CA74" s="79"/>
      <c r="CB74" s="79"/>
      <c r="CC74" s="79"/>
      <c r="CD74" s="79"/>
      <c r="CE74" s="53"/>
      <c r="CF74" s="54" t="s">
        <v>210</v>
      </c>
    </row>
    <row r="75" spans="1:84" s="51" customFormat="1" ht="12" customHeight="1" x14ac:dyDescent="0.15">
      <c r="A75" s="55"/>
      <c r="E75" s="78"/>
      <c r="F75" s="78"/>
      <c r="G75" s="78"/>
      <c r="H75" s="78"/>
      <c r="I75" s="78"/>
      <c r="J75" s="78"/>
      <c r="K75" s="78"/>
      <c r="L75" s="78"/>
      <c r="M75" s="78"/>
      <c r="N75" s="78"/>
      <c r="O75" s="78"/>
      <c r="P75" s="78"/>
      <c r="Q75" s="78"/>
      <c r="R75" s="78"/>
      <c r="S75" s="78"/>
      <c r="T75" s="78"/>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78"/>
      <c r="BB75" s="78"/>
      <c r="BC75" s="78"/>
      <c r="BD75" s="78"/>
      <c r="BE75" s="78"/>
      <c r="BF75" s="78"/>
      <c r="BG75" s="78"/>
      <c r="BH75" s="78"/>
      <c r="BI75" s="78"/>
      <c r="BJ75" s="78"/>
      <c r="BK75" s="78"/>
      <c r="BL75" s="78"/>
      <c r="BM75" s="78"/>
      <c r="BN75" s="78"/>
      <c r="BO75" s="78"/>
      <c r="BP75" s="78"/>
      <c r="BQ75" s="78"/>
      <c r="BR75" s="78"/>
      <c r="BS75" s="78"/>
      <c r="BT75" s="78"/>
      <c r="BU75" s="79"/>
      <c r="BV75" s="79"/>
      <c r="BW75" s="79"/>
      <c r="BX75" s="79"/>
      <c r="BY75" s="79"/>
      <c r="BZ75" s="79"/>
      <c r="CA75" s="79"/>
      <c r="CB75" s="79"/>
      <c r="CC75" s="79"/>
      <c r="CD75" s="79"/>
      <c r="CE75" s="53"/>
      <c r="CF75" s="54" t="s">
        <v>89</v>
      </c>
    </row>
    <row r="76" spans="1:84" s="51" customFormat="1" ht="12" customHeight="1" x14ac:dyDescent="0.15">
      <c r="A76" s="55"/>
      <c r="E76" s="78"/>
      <c r="F76" s="78"/>
      <c r="G76" s="78"/>
      <c r="H76" s="78"/>
      <c r="I76" s="78"/>
      <c r="J76" s="78"/>
      <c r="K76" s="78"/>
      <c r="L76" s="78"/>
      <c r="M76" s="78"/>
      <c r="N76" s="78"/>
      <c r="O76" s="78"/>
      <c r="P76" s="78"/>
      <c r="Q76" s="78"/>
      <c r="R76" s="78"/>
      <c r="S76" s="78"/>
      <c r="T76" s="78"/>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c r="AZ76" s="81"/>
      <c r="BA76" s="78"/>
      <c r="BB76" s="78"/>
      <c r="BC76" s="78"/>
      <c r="BD76" s="78"/>
      <c r="BE76" s="78"/>
      <c r="BF76" s="78"/>
      <c r="BG76" s="78"/>
      <c r="BH76" s="78"/>
      <c r="BI76" s="78"/>
      <c r="BJ76" s="78"/>
      <c r="BK76" s="78"/>
      <c r="BL76" s="78"/>
      <c r="BM76" s="78"/>
      <c r="BN76" s="78"/>
      <c r="BO76" s="78"/>
      <c r="BP76" s="78"/>
      <c r="BQ76" s="78"/>
      <c r="BR76" s="78"/>
      <c r="BS76" s="78"/>
      <c r="BT76" s="78"/>
      <c r="BU76" s="79"/>
      <c r="BV76" s="79"/>
      <c r="BW76" s="79"/>
      <c r="BX76" s="79"/>
      <c r="BY76" s="79"/>
      <c r="BZ76" s="79"/>
      <c r="CA76" s="79"/>
      <c r="CB76" s="79"/>
      <c r="CC76" s="79"/>
      <c r="CD76" s="79"/>
      <c r="CE76" s="53"/>
      <c r="CF76" s="54" t="s">
        <v>90</v>
      </c>
    </row>
    <row r="77" spans="1:84" s="51" customFormat="1" ht="12" customHeight="1" x14ac:dyDescent="0.15">
      <c r="A77" s="55"/>
      <c r="E77" s="78"/>
      <c r="F77" s="78"/>
      <c r="G77" s="78"/>
      <c r="H77" s="78"/>
      <c r="I77" s="78"/>
      <c r="J77" s="78"/>
      <c r="K77" s="78"/>
      <c r="L77" s="78"/>
      <c r="M77" s="78"/>
      <c r="N77" s="78"/>
      <c r="O77" s="78"/>
      <c r="P77" s="78"/>
      <c r="Q77" s="78"/>
      <c r="R77" s="78"/>
      <c r="S77" s="78"/>
      <c r="T77" s="78"/>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78"/>
      <c r="BB77" s="78"/>
      <c r="BC77" s="78"/>
      <c r="BD77" s="78"/>
      <c r="BE77" s="78"/>
      <c r="BF77" s="78"/>
      <c r="BG77" s="78"/>
      <c r="BH77" s="78"/>
      <c r="BI77" s="78"/>
      <c r="BJ77" s="78"/>
      <c r="BK77" s="78"/>
      <c r="BL77" s="78"/>
      <c r="BM77" s="78"/>
      <c r="BN77" s="78"/>
      <c r="BO77" s="78"/>
      <c r="BP77" s="78"/>
      <c r="BQ77" s="78"/>
      <c r="BR77" s="78"/>
      <c r="BS77" s="78"/>
      <c r="BT77" s="78"/>
      <c r="BU77" s="79"/>
      <c r="BV77" s="79"/>
      <c r="BW77" s="79"/>
      <c r="BX77" s="79"/>
      <c r="BY77" s="79"/>
      <c r="BZ77" s="79"/>
      <c r="CA77" s="79"/>
      <c r="CB77" s="79"/>
      <c r="CC77" s="79"/>
      <c r="CD77" s="79"/>
      <c r="CE77" s="53"/>
      <c r="CF77" s="54" t="s">
        <v>90</v>
      </c>
    </row>
    <row r="78" spans="1:84" s="51" customFormat="1" ht="12" customHeight="1" x14ac:dyDescent="0.15">
      <c r="A78" s="55"/>
      <c r="E78" s="78"/>
      <c r="F78" s="78"/>
      <c r="G78" s="78"/>
      <c r="H78" s="78"/>
      <c r="I78" s="78"/>
      <c r="J78" s="78"/>
      <c r="K78" s="78"/>
      <c r="L78" s="78"/>
      <c r="M78" s="78"/>
      <c r="N78" s="78"/>
      <c r="O78" s="78"/>
      <c r="P78" s="78"/>
      <c r="Q78" s="78"/>
      <c r="R78" s="78"/>
      <c r="S78" s="78"/>
      <c r="T78" s="78"/>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78"/>
      <c r="BB78" s="78"/>
      <c r="BC78" s="78"/>
      <c r="BD78" s="78"/>
      <c r="BE78" s="78"/>
      <c r="BF78" s="78"/>
      <c r="BG78" s="78"/>
      <c r="BH78" s="78"/>
      <c r="BI78" s="78"/>
      <c r="BJ78" s="78"/>
      <c r="BK78" s="78"/>
      <c r="BL78" s="78"/>
      <c r="BM78" s="78"/>
      <c r="BN78" s="78"/>
      <c r="BO78" s="78"/>
      <c r="BP78" s="78"/>
      <c r="BQ78" s="78"/>
      <c r="BR78" s="78"/>
      <c r="BS78" s="78"/>
      <c r="BT78" s="78"/>
      <c r="BU78" s="79"/>
      <c r="BV78" s="79"/>
      <c r="BW78" s="79"/>
      <c r="BX78" s="79"/>
      <c r="BY78" s="79"/>
      <c r="BZ78" s="79"/>
      <c r="CA78" s="79"/>
      <c r="CB78" s="79"/>
      <c r="CC78" s="79"/>
      <c r="CD78" s="79"/>
      <c r="CE78" s="53"/>
      <c r="CF78" s="54" t="s">
        <v>90</v>
      </c>
    </row>
    <row r="79" spans="1:84" s="51" customFormat="1" ht="12" customHeight="1" x14ac:dyDescent="0.15">
      <c r="A79" s="55"/>
      <c r="E79" s="78"/>
      <c r="F79" s="78"/>
      <c r="G79" s="78"/>
      <c r="H79" s="78"/>
      <c r="I79" s="78"/>
      <c r="J79" s="78"/>
      <c r="K79" s="78"/>
      <c r="L79" s="78"/>
      <c r="M79" s="78"/>
      <c r="N79" s="78"/>
      <c r="O79" s="78"/>
      <c r="P79" s="78"/>
      <c r="Q79" s="78"/>
      <c r="R79" s="78"/>
      <c r="S79" s="78"/>
      <c r="T79" s="78"/>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78"/>
      <c r="BB79" s="78"/>
      <c r="BC79" s="78"/>
      <c r="BD79" s="78"/>
      <c r="BE79" s="78"/>
      <c r="BF79" s="78"/>
      <c r="BG79" s="78"/>
      <c r="BH79" s="78"/>
      <c r="BI79" s="78"/>
      <c r="BJ79" s="78"/>
      <c r="BK79" s="78"/>
      <c r="BL79" s="78"/>
      <c r="BM79" s="78"/>
      <c r="BN79" s="78"/>
      <c r="BO79" s="78"/>
      <c r="BP79" s="78"/>
      <c r="BQ79" s="78"/>
      <c r="BR79" s="78"/>
      <c r="BS79" s="78"/>
      <c r="BT79" s="78"/>
      <c r="BU79" s="79"/>
      <c r="BV79" s="79"/>
      <c r="BW79" s="79"/>
      <c r="BX79" s="79"/>
      <c r="BY79" s="79"/>
      <c r="BZ79" s="79"/>
      <c r="CA79" s="79"/>
      <c r="CB79" s="79"/>
      <c r="CC79" s="79"/>
      <c r="CD79" s="79"/>
      <c r="CE79" s="53"/>
      <c r="CF79" s="54" t="s">
        <v>202</v>
      </c>
    </row>
    <row r="80" spans="1:84" s="51" customFormat="1" ht="12" customHeight="1" x14ac:dyDescent="0.15">
      <c r="A80" s="55"/>
      <c r="E80" s="78">
        <v>5</v>
      </c>
      <c r="F80" s="78"/>
      <c r="G80" s="78" t="s">
        <v>362</v>
      </c>
      <c r="H80" s="78"/>
      <c r="I80" s="78"/>
      <c r="J80" s="78"/>
      <c r="K80" s="78"/>
      <c r="L80" s="78"/>
      <c r="M80" s="78"/>
      <c r="N80" s="78"/>
      <c r="O80" s="78"/>
      <c r="P80" s="78"/>
      <c r="Q80" s="78"/>
      <c r="R80" s="78"/>
      <c r="S80" s="78"/>
      <c r="T80" s="78"/>
      <c r="U80" s="78" t="s">
        <v>363</v>
      </c>
      <c r="V80" s="78"/>
      <c r="W80" s="78"/>
      <c r="X80" s="78"/>
      <c r="Y80" s="78"/>
      <c r="Z80" s="78"/>
      <c r="AA80" s="78"/>
      <c r="AB80" s="78"/>
      <c r="AC80" s="78"/>
      <c r="AD80" s="78"/>
      <c r="AE80" s="78"/>
      <c r="AF80" s="78"/>
      <c r="AG80" s="78"/>
      <c r="AH80" s="78"/>
      <c r="AI80" s="78"/>
      <c r="AJ80" s="78"/>
      <c r="AK80" s="78" t="s">
        <v>364</v>
      </c>
      <c r="AL80" s="78"/>
      <c r="AM80" s="78"/>
      <c r="AN80" s="78"/>
      <c r="AO80" s="78"/>
      <c r="AP80" s="78"/>
      <c r="AQ80" s="78"/>
      <c r="AR80" s="78"/>
      <c r="AS80" s="78"/>
      <c r="AT80" s="78"/>
      <c r="AU80" s="78"/>
      <c r="AV80" s="78"/>
      <c r="AW80" s="78"/>
      <c r="AX80" s="78"/>
      <c r="AY80" s="78"/>
      <c r="AZ80" s="78"/>
      <c r="BA80" s="78" t="s">
        <v>516</v>
      </c>
      <c r="BB80" s="78"/>
      <c r="BC80" s="78"/>
      <c r="BD80" s="78"/>
      <c r="BE80" s="78"/>
      <c r="BF80" s="78"/>
      <c r="BG80" s="78"/>
      <c r="BH80" s="78"/>
      <c r="BI80" s="78"/>
      <c r="BJ80" s="78"/>
      <c r="BK80" s="78"/>
      <c r="BL80" s="78"/>
      <c r="BM80" s="78"/>
      <c r="BN80" s="78"/>
      <c r="BO80" s="78"/>
      <c r="BP80" s="78"/>
      <c r="BQ80" s="78"/>
      <c r="BR80" s="78"/>
      <c r="BS80" s="78"/>
      <c r="BT80" s="78"/>
      <c r="BU80" s="79" t="s">
        <v>145</v>
      </c>
      <c r="BV80" s="79"/>
      <c r="BW80" s="79"/>
      <c r="BX80" s="79"/>
      <c r="BY80" s="79"/>
      <c r="BZ80" s="79" t="s">
        <v>124</v>
      </c>
      <c r="CA80" s="79"/>
      <c r="CB80" s="79"/>
      <c r="CC80" s="79"/>
      <c r="CD80" s="79"/>
      <c r="CE80" s="53"/>
      <c r="CF80" s="54" t="s">
        <v>91</v>
      </c>
    </row>
    <row r="81" spans="1:84" s="51" customFormat="1" ht="12" customHeight="1" x14ac:dyDescent="0.15">
      <c r="A81" s="55"/>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9"/>
      <c r="BV81" s="79"/>
      <c r="BW81" s="79"/>
      <c r="BX81" s="79"/>
      <c r="BY81" s="79"/>
      <c r="BZ81" s="79"/>
      <c r="CA81" s="79"/>
      <c r="CB81" s="79"/>
      <c r="CC81" s="79"/>
      <c r="CD81" s="79"/>
      <c r="CE81" s="53"/>
      <c r="CF81" s="54" t="s">
        <v>161</v>
      </c>
    </row>
    <row r="82" spans="1:84" s="51" customFormat="1" ht="12" customHeight="1" x14ac:dyDescent="0.15">
      <c r="A82" s="55"/>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9"/>
      <c r="BV82" s="79"/>
      <c r="BW82" s="79"/>
      <c r="BX82" s="79"/>
      <c r="BY82" s="79"/>
      <c r="BZ82" s="79"/>
      <c r="CA82" s="79"/>
      <c r="CB82" s="79"/>
      <c r="CC82" s="79"/>
      <c r="CD82" s="79"/>
      <c r="CE82" s="53"/>
      <c r="CF82" s="54" t="s">
        <v>162</v>
      </c>
    </row>
    <row r="83" spans="1:84" s="51" customFormat="1" ht="12" customHeight="1" x14ac:dyDescent="0.15">
      <c r="A83" s="55"/>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9"/>
      <c r="BV83" s="79"/>
      <c r="BW83" s="79"/>
      <c r="BX83" s="79"/>
      <c r="BY83" s="79"/>
      <c r="BZ83" s="79"/>
      <c r="CA83" s="79"/>
      <c r="CB83" s="79"/>
      <c r="CC83" s="79"/>
      <c r="CD83" s="79"/>
      <c r="CE83" s="53"/>
      <c r="CF83" s="54" t="s">
        <v>163</v>
      </c>
    </row>
    <row r="84" spans="1:84" s="51" customFormat="1" ht="12" customHeight="1" x14ac:dyDescent="0.15">
      <c r="A84" s="55"/>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9"/>
      <c r="BV84" s="79"/>
      <c r="BW84" s="79"/>
      <c r="BX84" s="79"/>
      <c r="BY84" s="79"/>
      <c r="BZ84" s="79"/>
      <c r="CA84" s="79"/>
      <c r="CB84" s="79"/>
      <c r="CC84" s="79"/>
      <c r="CD84" s="79"/>
      <c r="CE84" s="53"/>
      <c r="CF84" s="54" t="s">
        <v>164</v>
      </c>
    </row>
    <row r="85" spans="1:84" s="51" customFormat="1" ht="12" customHeight="1" x14ac:dyDescent="0.15">
      <c r="A85" s="55"/>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9"/>
      <c r="BV85" s="79"/>
      <c r="BW85" s="79"/>
      <c r="BX85" s="79"/>
      <c r="BY85" s="79"/>
      <c r="BZ85" s="79"/>
      <c r="CA85" s="79"/>
      <c r="CB85" s="79"/>
      <c r="CC85" s="79"/>
      <c r="CD85" s="79"/>
      <c r="CE85" s="53"/>
      <c r="CF85" s="54" t="s">
        <v>165</v>
      </c>
    </row>
    <row r="86" spans="1:84" s="51" customFormat="1" ht="12" customHeight="1" x14ac:dyDescent="0.15">
      <c r="A86" s="55"/>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9"/>
      <c r="BV86" s="79"/>
      <c r="BW86" s="79"/>
      <c r="BX86" s="79"/>
      <c r="BY86" s="79"/>
      <c r="BZ86" s="79"/>
      <c r="CA86" s="79"/>
      <c r="CB86" s="79"/>
      <c r="CC86" s="79"/>
      <c r="CD86" s="79"/>
      <c r="CE86" s="53"/>
      <c r="CF86" s="54" t="s">
        <v>166</v>
      </c>
    </row>
    <row r="87" spans="1:84" s="51" customFormat="1" ht="12" customHeight="1" x14ac:dyDescent="0.15">
      <c r="A87" s="55"/>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9"/>
      <c r="BV87" s="79"/>
      <c r="BW87" s="79"/>
      <c r="BX87" s="79"/>
      <c r="BY87" s="79"/>
      <c r="BZ87" s="79"/>
      <c r="CA87" s="79"/>
      <c r="CB87" s="79"/>
      <c r="CC87" s="79"/>
      <c r="CD87" s="79"/>
      <c r="CE87" s="53"/>
      <c r="CF87" s="54" t="s">
        <v>167</v>
      </c>
    </row>
    <row r="88" spans="1:84" s="51" customFormat="1" ht="12" customHeight="1" x14ac:dyDescent="0.15">
      <c r="A88" s="55"/>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9"/>
      <c r="BV88" s="79"/>
      <c r="BW88" s="79"/>
      <c r="BX88" s="79"/>
      <c r="BY88" s="79"/>
      <c r="BZ88" s="79"/>
      <c r="CA88" s="79"/>
      <c r="CB88" s="79"/>
      <c r="CC88" s="79"/>
      <c r="CD88" s="79"/>
      <c r="CE88" s="53"/>
      <c r="CF88" s="54" t="s">
        <v>168</v>
      </c>
    </row>
    <row r="89" spans="1:84" ht="12" customHeight="1" thickBot="1" x14ac:dyDescent="0.2">
      <c r="A89" s="16"/>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9"/>
      <c r="CF89" s="15" t="s">
        <v>290</v>
      </c>
    </row>
    <row r="90" spans="1:84" ht="12" customHeight="1" x14ac:dyDescent="0.15">
      <c r="A90" s="3"/>
      <c r="B90" s="1"/>
      <c r="C90" s="1"/>
      <c r="D90" s="1" t="s">
        <v>26</v>
      </c>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4"/>
      <c r="CF90" s="15" t="s">
        <v>290</v>
      </c>
    </row>
    <row r="91" spans="1:84" ht="12" customHeight="1" x14ac:dyDescent="0.15">
      <c r="A91" s="3"/>
      <c r="B91" s="1"/>
      <c r="C91" s="1"/>
      <c r="D91" s="1"/>
      <c r="E91" s="1" t="s">
        <v>220</v>
      </c>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4"/>
      <c r="CF91" s="15" t="s">
        <v>291</v>
      </c>
    </row>
    <row r="92" spans="1:84" ht="12" customHeight="1" x14ac:dyDescent="0.15">
      <c r="A92" s="3"/>
      <c r="B92" s="1"/>
      <c r="C92" s="1"/>
      <c r="D92" s="1"/>
      <c r="E92" s="1"/>
      <c r="F92" s="1" t="s">
        <v>196</v>
      </c>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4"/>
      <c r="CF92" s="15" t="s">
        <v>292</v>
      </c>
    </row>
    <row r="93" spans="1:84" ht="12" customHeight="1" x14ac:dyDescent="0.15">
      <c r="A93" s="3"/>
      <c r="B93" s="1"/>
      <c r="C93" s="1"/>
      <c r="D93" s="1"/>
      <c r="E93" s="1"/>
      <c r="F93" s="91" t="s">
        <v>10</v>
      </c>
      <c r="G93" s="91"/>
      <c r="H93" s="91"/>
      <c r="I93" s="91"/>
      <c r="J93" s="91"/>
      <c r="K93" s="91"/>
      <c r="L93" s="91"/>
      <c r="M93" s="91"/>
      <c r="N93" s="91"/>
      <c r="O93" s="91"/>
      <c r="P93" s="91"/>
      <c r="Q93" s="91"/>
      <c r="R93" s="91"/>
      <c r="S93" s="91"/>
      <c r="T93" s="25" t="s">
        <v>230</v>
      </c>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4"/>
      <c r="CE93" s="4"/>
      <c r="CF93" s="15" t="s">
        <v>293</v>
      </c>
    </row>
    <row r="94" spans="1:84" ht="12" customHeight="1" x14ac:dyDescent="0.15">
      <c r="A94" s="3"/>
      <c r="B94" s="1"/>
      <c r="C94" s="1"/>
      <c r="D94" s="1"/>
      <c r="E94" s="1"/>
      <c r="F94" s="91" t="s">
        <v>130</v>
      </c>
      <c r="G94" s="91"/>
      <c r="H94" s="91"/>
      <c r="I94" s="91"/>
      <c r="J94" s="91"/>
      <c r="K94" s="91"/>
      <c r="L94" s="91"/>
      <c r="M94" s="91"/>
      <c r="N94" s="91"/>
      <c r="O94" s="91"/>
      <c r="P94" s="91"/>
      <c r="Q94" s="91"/>
      <c r="R94" s="91"/>
      <c r="S94" s="91"/>
      <c r="T94" s="25" t="s">
        <v>123</v>
      </c>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4"/>
      <c r="CE94" s="4"/>
      <c r="CF94" s="15" t="s">
        <v>294</v>
      </c>
    </row>
    <row r="95" spans="1:84" ht="12" customHeight="1" x14ac:dyDescent="0.15">
      <c r="A95" s="3"/>
      <c r="B95" s="1"/>
      <c r="C95" s="1"/>
      <c r="D95" s="1"/>
      <c r="E95" s="1"/>
      <c r="F95" s="91" t="s">
        <v>131</v>
      </c>
      <c r="G95" s="91"/>
      <c r="H95" s="91"/>
      <c r="I95" s="91"/>
      <c r="J95" s="91"/>
      <c r="K95" s="91"/>
      <c r="L95" s="91"/>
      <c r="M95" s="91"/>
      <c r="N95" s="91"/>
      <c r="O95" s="91"/>
      <c r="P95" s="91"/>
      <c r="Q95" s="91"/>
      <c r="R95" s="91"/>
      <c r="S95" s="91"/>
      <c r="T95" s="25" t="s">
        <v>123</v>
      </c>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4"/>
      <c r="CE95" s="4"/>
      <c r="CF95" s="15" t="s">
        <v>295</v>
      </c>
    </row>
    <row r="96" spans="1:84" ht="12" customHeight="1" x14ac:dyDescent="0.15">
      <c r="A96" s="3"/>
      <c r="B96" s="1"/>
      <c r="C96" s="1"/>
      <c r="D96" s="1"/>
      <c r="E96" s="1"/>
      <c r="F96" s="91" t="s">
        <v>203</v>
      </c>
      <c r="G96" s="91"/>
      <c r="H96" s="91"/>
      <c r="I96" s="91"/>
      <c r="J96" s="91"/>
      <c r="K96" s="91"/>
      <c r="L96" s="91"/>
      <c r="M96" s="91"/>
      <c r="N96" s="91"/>
      <c r="O96" s="91"/>
      <c r="P96" s="91"/>
      <c r="Q96" s="91"/>
      <c r="R96" s="91"/>
      <c r="S96" s="91"/>
      <c r="T96" s="25" t="s">
        <v>231</v>
      </c>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4"/>
      <c r="CE96" s="4"/>
      <c r="CF96" s="15" t="s">
        <v>296</v>
      </c>
    </row>
    <row r="97" spans="1:84" ht="12" customHeight="1" x14ac:dyDescent="0.15">
      <c r="A97" s="3"/>
      <c r="B97" s="1"/>
      <c r="C97" s="1"/>
      <c r="D97" s="1"/>
      <c r="E97" s="1"/>
      <c r="F97" s="91" t="s">
        <v>11</v>
      </c>
      <c r="G97" s="91"/>
      <c r="H97" s="91"/>
      <c r="I97" s="91"/>
      <c r="J97" s="91"/>
      <c r="K97" s="91"/>
      <c r="L97" s="91"/>
      <c r="M97" s="91"/>
      <c r="N97" s="91"/>
      <c r="O97" s="91"/>
      <c r="P97" s="91"/>
      <c r="Q97" s="91"/>
      <c r="R97" s="91"/>
      <c r="S97" s="91"/>
      <c r="T97" s="25" t="s">
        <v>232</v>
      </c>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4"/>
      <c r="CE97" s="4"/>
      <c r="CF97" s="15" t="s">
        <v>297</v>
      </c>
    </row>
    <row r="98" spans="1:84" ht="12" customHeight="1" x14ac:dyDescent="0.15">
      <c r="A98" s="3"/>
      <c r="B98" s="1"/>
      <c r="C98" s="1"/>
      <c r="D98" s="1"/>
      <c r="E98" s="1"/>
      <c r="F98" s="91" t="s">
        <v>12</v>
      </c>
      <c r="G98" s="91"/>
      <c r="H98" s="91"/>
      <c r="I98" s="91"/>
      <c r="J98" s="91"/>
      <c r="K98" s="91"/>
      <c r="L98" s="91"/>
      <c r="M98" s="91"/>
      <c r="N98" s="91"/>
      <c r="O98" s="91"/>
      <c r="P98" s="91"/>
      <c r="Q98" s="91"/>
      <c r="R98" s="91"/>
      <c r="S98" s="91"/>
      <c r="T98" s="25" t="s">
        <v>233</v>
      </c>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4"/>
      <c r="CE98" s="4"/>
      <c r="CF98" s="15" t="s">
        <v>298</v>
      </c>
    </row>
    <row r="99" spans="1:84" ht="12" customHeight="1" x14ac:dyDescent="0.15">
      <c r="A99" s="3"/>
      <c r="B99" s="1"/>
      <c r="C99" s="1"/>
      <c r="D99" s="1"/>
      <c r="E99" s="1"/>
      <c r="F99" s="91" t="s">
        <v>13</v>
      </c>
      <c r="G99" s="91"/>
      <c r="H99" s="91"/>
      <c r="I99" s="91"/>
      <c r="J99" s="91"/>
      <c r="K99" s="91"/>
      <c r="L99" s="91"/>
      <c r="M99" s="91"/>
      <c r="N99" s="91"/>
      <c r="O99" s="91"/>
      <c r="P99" s="91"/>
      <c r="Q99" s="91"/>
      <c r="R99" s="91"/>
      <c r="S99" s="91"/>
      <c r="T99" s="25" t="s">
        <v>234</v>
      </c>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4"/>
      <c r="CE99" s="4"/>
      <c r="CF99" s="15" t="s">
        <v>299</v>
      </c>
    </row>
    <row r="100" spans="1:84" ht="12" customHeight="1" x14ac:dyDescent="0.15">
      <c r="A100" s="3"/>
      <c r="B100" s="1"/>
      <c r="C100" s="1"/>
      <c r="D100" s="1"/>
      <c r="E100" s="1"/>
      <c r="F100" s="91" t="s">
        <v>148</v>
      </c>
      <c r="G100" s="91"/>
      <c r="H100" s="91"/>
      <c r="I100" s="91"/>
      <c r="J100" s="91"/>
      <c r="K100" s="91"/>
      <c r="L100" s="91"/>
      <c r="M100" s="91"/>
      <c r="N100" s="91"/>
      <c r="O100" s="91"/>
      <c r="P100" s="91"/>
      <c r="Q100" s="91"/>
      <c r="R100" s="91"/>
      <c r="S100" s="91"/>
      <c r="T100" s="25" t="s">
        <v>235</v>
      </c>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4"/>
      <c r="CE100" s="4"/>
      <c r="CF100" s="15" t="s">
        <v>300</v>
      </c>
    </row>
    <row r="101" spans="1:84" ht="12" customHeight="1" x14ac:dyDescent="0.15">
      <c r="A101" s="3"/>
      <c r="B101" s="1"/>
      <c r="C101" s="1"/>
      <c r="D101" s="1"/>
      <c r="E101" s="1"/>
      <c r="F101" s="91" t="s">
        <v>141</v>
      </c>
      <c r="G101" s="91"/>
      <c r="H101" s="91"/>
      <c r="I101" s="91"/>
      <c r="J101" s="91"/>
      <c r="K101" s="91"/>
      <c r="L101" s="91"/>
      <c r="M101" s="91"/>
      <c r="N101" s="91"/>
      <c r="O101" s="91"/>
      <c r="P101" s="91"/>
      <c r="Q101" s="91"/>
      <c r="R101" s="91"/>
      <c r="S101" s="91"/>
      <c r="T101" s="25" t="s">
        <v>259</v>
      </c>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4"/>
      <c r="CE101" s="4"/>
      <c r="CF101" s="15" t="s">
        <v>301</v>
      </c>
    </row>
    <row r="102" spans="1:84" ht="12" customHeight="1" x14ac:dyDescent="0.15">
      <c r="A102" s="3"/>
      <c r="B102" s="1"/>
      <c r="C102" s="1"/>
      <c r="D102" s="1"/>
      <c r="E102" s="20"/>
      <c r="F102" s="20"/>
      <c r="G102" s="20"/>
      <c r="H102" s="20"/>
      <c r="I102" s="20"/>
      <c r="J102" s="20"/>
      <c r="K102" s="20"/>
      <c r="L102" s="20"/>
      <c r="M102" s="20"/>
      <c r="N102" s="20"/>
      <c r="O102" s="20"/>
      <c r="P102" s="20"/>
      <c r="Q102" s="20"/>
      <c r="R102" s="20"/>
      <c r="S102" s="20"/>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4"/>
      <c r="CF102" s="15" t="s">
        <v>302</v>
      </c>
    </row>
    <row r="103" spans="1:84" ht="12" customHeight="1" x14ac:dyDescent="0.15">
      <c r="A103" s="3"/>
      <c r="B103" s="1"/>
      <c r="C103" s="1"/>
      <c r="D103" s="1"/>
      <c r="E103" s="20"/>
      <c r="F103" s="20" t="s">
        <v>271</v>
      </c>
      <c r="G103" s="20"/>
      <c r="H103" s="20"/>
      <c r="I103" s="20"/>
      <c r="J103" s="20"/>
      <c r="K103" s="20"/>
      <c r="L103" s="20"/>
      <c r="M103" s="20"/>
      <c r="N103" s="20"/>
      <c r="O103" s="20"/>
      <c r="P103" s="20"/>
      <c r="Q103" s="20"/>
      <c r="R103" s="20"/>
      <c r="S103" s="20"/>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4"/>
      <c r="CF103" s="15" t="s">
        <v>303</v>
      </c>
    </row>
    <row r="104" spans="1:84" ht="12" customHeight="1" x14ac:dyDescent="0.15">
      <c r="A104" s="3"/>
      <c r="B104" s="1"/>
      <c r="C104" s="1"/>
      <c r="D104" s="1"/>
      <c r="E104" s="1"/>
      <c r="F104" s="91" t="s">
        <v>10</v>
      </c>
      <c r="G104" s="91"/>
      <c r="H104" s="91"/>
      <c r="I104" s="91"/>
      <c r="J104" s="91"/>
      <c r="K104" s="91"/>
      <c r="L104" s="91"/>
      <c r="M104" s="91"/>
      <c r="N104" s="91"/>
      <c r="O104" s="91"/>
      <c r="P104" s="91"/>
      <c r="Q104" s="91"/>
      <c r="R104" s="91"/>
      <c r="S104" s="91"/>
      <c r="T104" s="25" t="s">
        <v>230</v>
      </c>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4"/>
      <c r="CE104" s="4"/>
      <c r="CF104" s="15" t="s">
        <v>304</v>
      </c>
    </row>
    <row r="105" spans="1:84" ht="12" customHeight="1" x14ac:dyDescent="0.15">
      <c r="A105" s="3"/>
      <c r="B105" s="1"/>
      <c r="C105" s="1"/>
      <c r="D105" s="1"/>
      <c r="E105" s="1"/>
      <c r="F105" s="91" t="s">
        <v>130</v>
      </c>
      <c r="G105" s="91"/>
      <c r="H105" s="91"/>
      <c r="I105" s="91"/>
      <c r="J105" s="91"/>
      <c r="K105" s="91"/>
      <c r="L105" s="91"/>
      <c r="M105" s="91"/>
      <c r="N105" s="91"/>
      <c r="O105" s="91"/>
      <c r="P105" s="91"/>
      <c r="Q105" s="91"/>
      <c r="R105" s="91"/>
      <c r="S105" s="91"/>
      <c r="T105" s="25" t="s">
        <v>221</v>
      </c>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4"/>
      <c r="CE105" s="4"/>
      <c r="CF105" s="15" t="s">
        <v>305</v>
      </c>
    </row>
    <row r="106" spans="1:84" ht="12" customHeight="1" x14ac:dyDescent="0.15">
      <c r="A106" s="3"/>
      <c r="B106" s="1"/>
      <c r="C106" s="1"/>
      <c r="D106" s="1"/>
      <c r="E106" s="1"/>
      <c r="F106" s="91" t="s">
        <v>131</v>
      </c>
      <c r="G106" s="91"/>
      <c r="H106" s="91"/>
      <c r="I106" s="91"/>
      <c r="J106" s="91"/>
      <c r="K106" s="91"/>
      <c r="L106" s="91"/>
      <c r="M106" s="91"/>
      <c r="N106" s="91"/>
      <c r="O106" s="91"/>
      <c r="P106" s="91"/>
      <c r="Q106" s="91"/>
      <c r="R106" s="91"/>
      <c r="S106" s="91"/>
      <c r="T106" s="25" t="s">
        <v>272</v>
      </c>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4"/>
      <c r="CE106" s="4"/>
      <c r="CF106" s="15" t="s">
        <v>92</v>
      </c>
    </row>
    <row r="107" spans="1:84" ht="12" customHeight="1" x14ac:dyDescent="0.15">
      <c r="A107" s="3"/>
      <c r="B107" s="1"/>
      <c r="C107" s="1"/>
      <c r="D107" s="1"/>
      <c r="E107" s="1"/>
      <c r="F107" s="91" t="s">
        <v>203</v>
      </c>
      <c r="G107" s="91"/>
      <c r="H107" s="91"/>
      <c r="I107" s="91"/>
      <c r="J107" s="91"/>
      <c r="K107" s="91"/>
      <c r="L107" s="91"/>
      <c r="M107" s="91"/>
      <c r="N107" s="91"/>
      <c r="O107" s="91"/>
      <c r="P107" s="91"/>
      <c r="Q107" s="91"/>
      <c r="R107" s="91"/>
      <c r="S107" s="91"/>
      <c r="T107" s="25" t="s">
        <v>129</v>
      </c>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4"/>
      <c r="CE107" s="4"/>
      <c r="CF107" s="15" t="s">
        <v>93</v>
      </c>
    </row>
    <row r="108" spans="1:84" ht="12" customHeight="1" x14ac:dyDescent="0.15">
      <c r="A108" s="3"/>
      <c r="B108" s="1"/>
      <c r="C108" s="1"/>
      <c r="D108" s="1"/>
      <c r="E108" s="1"/>
      <c r="F108" s="91" t="s">
        <v>11</v>
      </c>
      <c r="G108" s="91"/>
      <c r="H108" s="91"/>
      <c r="I108" s="91"/>
      <c r="J108" s="91"/>
      <c r="K108" s="91"/>
      <c r="L108" s="91"/>
      <c r="M108" s="91"/>
      <c r="N108" s="91"/>
      <c r="O108" s="91"/>
      <c r="P108" s="91"/>
      <c r="Q108" s="91"/>
      <c r="R108" s="91"/>
      <c r="S108" s="91"/>
      <c r="T108" s="25" t="s">
        <v>273</v>
      </c>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4"/>
      <c r="CE108" s="4"/>
      <c r="CF108" s="15" t="s">
        <v>94</v>
      </c>
    </row>
    <row r="109" spans="1:84" ht="12" customHeight="1" x14ac:dyDescent="0.15">
      <c r="A109" s="3"/>
      <c r="B109" s="1"/>
      <c r="C109" s="1"/>
      <c r="D109" s="1"/>
      <c r="E109" s="1"/>
      <c r="F109" s="91" t="s">
        <v>12</v>
      </c>
      <c r="G109" s="91"/>
      <c r="H109" s="91"/>
      <c r="I109" s="91"/>
      <c r="J109" s="91"/>
      <c r="K109" s="91"/>
      <c r="L109" s="91"/>
      <c r="M109" s="91"/>
      <c r="N109" s="91"/>
      <c r="O109" s="91"/>
      <c r="P109" s="91"/>
      <c r="Q109" s="91"/>
      <c r="R109" s="91"/>
      <c r="S109" s="91"/>
      <c r="T109" s="25" t="s">
        <v>127</v>
      </c>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4"/>
      <c r="CE109" s="4"/>
      <c r="CF109" s="15" t="s">
        <v>95</v>
      </c>
    </row>
    <row r="110" spans="1:84" ht="12" customHeight="1" x14ac:dyDescent="0.15">
      <c r="A110" s="3"/>
      <c r="B110" s="1"/>
      <c r="C110" s="1"/>
      <c r="D110" s="1"/>
      <c r="E110" s="1"/>
      <c r="F110" s="91" t="s">
        <v>13</v>
      </c>
      <c r="G110" s="91"/>
      <c r="H110" s="91"/>
      <c r="I110" s="91"/>
      <c r="J110" s="91"/>
      <c r="K110" s="91"/>
      <c r="L110" s="91"/>
      <c r="M110" s="91"/>
      <c r="N110" s="91"/>
      <c r="O110" s="91"/>
      <c r="P110" s="91"/>
      <c r="Q110" s="91"/>
      <c r="R110" s="91"/>
      <c r="S110" s="91"/>
      <c r="T110" s="25" t="s">
        <v>128</v>
      </c>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4"/>
      <c r="CE110" s="4"/>
      <c r="CF110" s="15" t="s">
        <v>96</v>
      </c>
    </row>
    <row r="111" spans="1:84" ht="12" customHeight="1" x14ac:dyDescent="0.15">
      <c r="A111" s="3"/>
      <c r="B111" s="1"/>
      <c r="C111" s="1"/>
      <c r="D111" s="1"/>
      <c r="E111" s="1"/>
      <c r="F111" s="91" t="s">
        <v>148</v>
      </c>
      <c r="G111" s="91"/>
      <c r="H111" s="91"/>
      <c r="I111" s="91"/>
      <c r="J111" s="91"/>
      <c r="K111" s="91"/>
      <c r="L111" s="91"/>
      <c r="M111" s="91"/>
      <c r="N111" s="91"/>
      <c r="O111" s="91"/>
      <c r="P111" s="91"/>
      <c r="Q111" s="91"/>
      <c r="R111" s="91"/>
      <c r="S111" s="91"/>
      <c r="T111" s="25" t="s">
        <v>126</v>
      </c>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4"/>
      <c r="CE111" s="4"/>
      <c r="CF111" s="15" t="s">
        <v>97</v>
      </c>
    </row>
    <row r="112" spans="1:84" ht="12" customHeight="1" x14ac:dyDescent="0.15">
      <c r="A112" s="3"/>
      <c r="B112" s="1"/>
      <c r="C112" s="1"/>
      <c r="D112" s="1"/>
      <c r="E112" s="1"/>
      <c r="F112" s="91" t="s">
        <v>141</v>
      </c>
      <c r="G112" s="91"/>
      <c r="H112" s="91"/>
      <c r="I112" s="91"/>
      <c r="J112" s="91"/>
      <c r="K112" s="91"/>
      <c r="L112" s="91"/>
      <c r="M112" s="91"/>
      <c r="N112" s="91"/>
      <c r="O112" s="91"/>
      <c r="P112" s="91"/>
      <c r="Q112" s="91"/>
      <c r="R112" s="91"/>
      <c r="S112" s="91"/>
      <c r="T112" s="25" t="s">
        <v>280</v>
      </c>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4"/>
      <c r="CE112" s="4"/>
      <c r="CF112" s="15" t="s">
        <v>98</v>
      </c>
    </row>
    <row r="113" spans="1:84" ht="12" customHeight="1" x14ac:dyDescent="0.15">
      <c r="A113" s="3"/>
      <c r="B113" s="1"/>
      <c r="C113" s="1"/>
      <c r="D113" s="1"/>
      <c r="E113" s="20"/>
      <c r="F113" s="20"/>
      <c r="G113" s="20"/>
      <c r="H113" s="20"/>
      <c r="I113" s="20"/>
      <c r="J113" s="20"/>
      <c r="K113" s="20"/>
      <c r="L113" s="20"/>
      <c r="M113" s="20"/>
      <c r="N113" s="20"/>
      <c r="O113" s="20"/>
      <c r="P113" s="20"/>
      <c r="Q113" s="20"/>
      <c r="R113" s="20"/>
      <c r="S113" s="20"/>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4"/>
      <c r="CF113" s="15" t="s">
        <v>99</v>
      </c>
    </row>
    <row r="114" spans="1:84" ht="12" customHeight="1" x14ac:dyDescent="0.15">
      <c r="A114" s="3"/>
      <c r="B114" s="1"/>
      <c r="C114" s="1"/>
      <c r="D114" s="1"/>
      <c r="E114" s="20" t="s">
        <v>281</v>
      </c>
      <c r="F114" s="20"/>
      <c r="G114" s="20"/>
      <c r="H114" s="20"/>
      <c r="I114" s="20"/>
      <c r="J114" s="20"/>
      <c r="K114" s="20"/>
      <c r="L114" s="20"/>
      <c r="M114" s="20"/>
      <c r="N114" s="20"/>
      <c r="O114" s="20"/>
      <c r="P114" s="20"/>
      <c r="Q114" s="20"/>
      <c r="R114" s="20"/>
      <c r="S114" s="20"/>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4"/>
      <c r="CF114" s="15" t="s">
        <v>100</v>
      </c>
    </row>
    <row r="115" spans="1:84" ht="12" customHeight="1" x14ac:dyDescent="0.15">
      <c r="A115" s="3"/>
      <c r="B115" s="1"/>
      <c r="C115" s="1"/>
      <c r="D115" s="1"/>
      <c r="E115" s="1"/>
      <c r="F115" s="92" t="s">
        <v>10</v>
      </c>
      <c r="G115" s="93"/>
      <c r="H115" s="93"/>
      <c r="I115" s="93"/>
      <c r="J115" s="93"/>
      <c r="K115" s="93"/>
      <c r="L115" s="93"/>
      <c r="M115" s="93"/>
      <c r="N115" s="93"/>
      <c r="O115" s="93"/>
      <c r="P115" s="93"/>
      <c r="Q115" s="93"/>
      <c r="R115" s="93"/>
      <c r="S115" s="94"/>
      <c r="T115" s="25" t="s">
        <v>230</v>
      </c>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4"/>
      <c r="CE115" s="4"/>
      <c r="CF115" s="15" t="s">
        <v>101</v>
      </c>
    </row>
    <row r="116" spans="1:84" ht="12" customHeight="1" x14ac:dyDescent="0.15">
      <c r="A116" s="3"/>
      <c r="B116" s="1"/>
      <c r="C116" s="1"/>
      <c r="D116" s="1"/>
      <c r="E116" s="1"/>
      <c r="F116" s="92" t="s">
        <v>130</v>
      </c>
      <c r="G116" s="93"/>
      <c r="H116" s="93"/>
      <c r="I116" s="93"/>
      <c r="J116" s="93"/>
      <c r="K116" s="93"/>
      <c r="L116" s="93"/>
      <c r="M116" s="93"/>
      <c r="N116" s="93"/>
      <c r="O116" s="93"/>
      <c r="P116" s="93"/>
      <c r="Q116" s="93"/>
      <c r="R116" s="93"/>
      <c r="S116" s="94"/>
      <c r="T116" s="25" t="s">
        <v>221</v>
      </c>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4"/>
      <c r="CE116" s="4"/>
      <c r="CF116" s="15" t="s">
        <v>102</v>
      </c>
    </row>
    <row r="117" spans="1:84" ht="13.5" customHeight="1" x14ac:dyDescent="0.15">
      <c r="A117" s="3"/>
      <c r="B117" s="1"/>
      <c r="C117" s="1"/>
      <c r="D117" s="1"/>
      <c r="E117" s="1"/>
      <c r="F117" s="92" t="s">
        <v>131</v>
      </c>
      <c r="G117" s="93"/>
      <c r="H117" s="93"/>
      <c r="I117" s="93"/>
      <c r="J117" s="93"/>
      <c r="K117" s="93"/>
      <c r="L117" s="93"/>
      <c r="M117" s="93"/>
      <c r="N117" s="93"/>
      <c r="O117" s="93"/>
      <c r="P117" s="93"/>
      <c r="Q117" s="93"/>
      <c r="R117" s="93"/>
      <c r="S117" s="94"/>
      <c r="T117" s="25" t="s">
        <v>221</v>
      </c>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4"/>
      <c r="CE117" s="4"/>
      <c r="CF117" s="15" t="s">
        <v>103</v>
      </c>
    </row>
    <row r="118" spans="1:84" ht="12" customHeight="1" x14ac:dyDescent="0.15">
      <c r="A118" s="3"/>
      <c r="B118" s="1"/>
      <c r="C118" s="1"/>
      <c r="D118" s="1"/>
      <c r="E118" s="1"/>
      <c r="F118" s="92" t="s">
        <v>203</v>
      </c>
      <c r="G118" s="93"/>
      <c r="H118" s="93"/>
      <c r="I118" s="93"/>
      <c r="J118" s="93"/>
      <c r="K118" s="93"/>
      <c r="L118" s="93"/>
      <c r="M118" s="93"/>
      <c r="N118" s="93"/>
      <c r="O118" s="93"/>
      <c r="P118" s="93"/>
      <c r="Q118" s="93"/>
      <c r="R118" s="93"/>
      <c r="S118" s="94"/>
      <c r="T118" s="25" t="s">
        <v>149</v>
      </c>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4"/>
      <c r="CE118" s="4"/>
      <c r="CF118" s="15" t="s">
        <v>104</v>
      </c>
    </row>
    <row r="119" spans="1:84" ht="12" customHeight="1" x14ac:dyDescent="0.15">
      <c r="A119" s="32"/>
      <c r="B119" s="1"/>
      <c r="C119" s="1"/>
      <c r="D119" s="1"/>
      <c r="E119" s="1"/>
      <c r="F119" s="92" t="s">
        <v>11</v>
      </c>
      <c r="G119" s="93"/>
      <c r="H119" s="93"/>
      <c r="I119" s="93"/>
      <c r="J119" s="93"/>
      <c r="K119" s="93"/>
      <c r="L119" s="93"/>
      <c r="M119" s="93"/>
      <c r="N119" s="93"/>
      <c r="O119" s="93"/>
      <c r="P119" s="93"/>
      <c r="Q119" s="93"/>
      <c r="R119" s="93"/>
      <c r="S119" s="94"/>
      <c r="T119" s="25" t="s">
        <v>274</v>
      </c>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4"/>
      <c r="CE119" s="4"/>
      <c r="CF119" s="15" t="s">
        <v>169</v>
      </c>
    </row>
    <row r="120" spans="1:84" ht="12" customHeight="1" x14ac:dyDescent="0.15">
      <c r="A120" s="32"/>
      <c r="B120" s="1"/>
      <c r="C120" s="1"/>
      <c r="D120" s="1"/>
      <c r="E120" s="1"/>
      <c r="F120" s="92" t="s">
        <v>12</v>
      </c>
      <c r="G120" s="93"/>
      <c r="H120" s="93"/>
      <c r="I120" s="93"/>
      <c r="J120" s="93"/>
      <c r="K120" s="93"/>
      <c r="L120" s="93"/>
      <c r="M120" s="93"/>
      <c r="N120" s="93"/>
      <c r="O120" s="93"/>
      <c r="P120" s="93"/>
      <c r="Q120" s="93"/>
      <c r="R120" s="93"/>
      <c r="S120" s="94"/>
      <c r="T120" s="29" t="s">
        <v>359</v>
      </c>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4"/>
      <c r="CE120" s="4"/>
      <c r="CF120" s="15" t="s">
        <v>170</v>
      </c>
    </row>
    <row r="121" spans="1:84" ht="12" customHeight="1" x14ac:dyDescent="0.15">
      <c r="A121" s="32"/>
      <c r="B121" s="1"/>
      <c r="C121" s="1"/>
      <c r="D121" s="1"/>
      <c r="E121" s="1"/>
      <c r="F121" s="92" t="s">
        <v>13</v>
      </c>
      <c r="G121" s="93"/>
      <c r="H121" s="93"/>
      <c r="I121" s="93"/>
      <c r="J121" s="93"/>
      <c r="K121" s="93"/>
      <c r="L121" s="93"/>
      <c r="M121" s="93"/>
      <c r="N121" s="93"/>
      <c r="O121" s="93"/>
      <c r="P121" s="93"/>
      <c r="Q121" s="93"/>
      <c r="R121" s="93"/>
      <c r="S121" s="94"/>
      <c r="T121" s="25" t="s">
        <v>282</v>
      </c>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4"/>
      <c r="CE121" s="4"/>
      <c r="CF121" s="15" t="s">
        <v>105</v>
      </c>
    </row>
    <row r="122" spans="1:84" ht="12" customHeight="1" x14ac:dyDescent="0.15">
      <c r="A122" s="3"/>
      <c r="B122" s="1"/>
      <c r="C122" s="1"/>
      <c r="D122" s="1"/>
      <c r="E122" s="1"/>
      <c r="F122" s="92" t="s">
        <v>222</v>
      </c>
      <c r="G122" s="93"/>
      <c r="H122" s="93"/>
      <c r="I122" s="93"/>
      <c r="J122" s="93"/>
      <c r="K122" s="93"/>
      <c r="L122" s="93"/>
      <c r="M122" s="93"/>
      <c r="N122" s="93"/>
      <c r="O122" s="93"/>
      <c r="P122" s="93"/>
      <c r="Q122" s="93"/>
      <c r="R122" s="93"/>
      <c r="S122" s="94"/>
      <c r="T122" s="25" t="s">
        <v>126</v>
      </c>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4"/>
      <c r="CE122" s="4"/>
      <c r="CF122" s="15" t="s">
        <v>171</v>
      </c>
    </row>
    <row r="123" spans="1:84" ht="12" customHeight="1" x14ac:dyDescent="0.15">
      <c r="A123" s="3"/>
      <c r="B123" s="1"/>
      <c r="C123" s="1"/>
      <c r="D123" s="1"/>
      <c r="E123" s="1"/>
      <c r="F123" s="92" t="s">
        <v>141</v>
      </c>
      <c r="G123" s="93"/>
      <c r="H123" s="93"/>
      <c r="I123" s="93"/>
      <c r="J123" s="93"/>
      <c r="K123" s="93"/>
      <c r="L123" s="93"/>
      <c r="M123" s="93"/>
      <c r="N123" s="93"/>
      <c r="O123" s="93"/>
      <c r="P123" s="93"/>
      <c r="Q123" s="93"/>
      <c r="R123" s="93"/>
      <c r="S123" s="94"/>
      <c r="T123" s="25" t="s">
        <v>283</v>
      </c>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4"/>
      <c r="CE123" s="4"/>
      <c r="CF123" s="15" t="s">
        <v>172</v>
      </c>
    </row>
    <row r="124" spans="1:84" ht="12" customHeight="1" x14ac:dyDescent="0.15">
      <c r="A124" s="3"/>
      <c r="B124" s="1"/>
      <c r="C124" s="1"/>
      <c r="D124" s="1"/>
      <c r="E124" s="20"/>
      <c r="F124" s="20"/>
      <c r="G124" s="20"/>
      <c r="H124" s="20"/>
      <c r="I124" s="20"/>
      <c r="J124" s="20"/>
      <c r="K124" s="20"/>
      <c r="L124" s="20"/>
      <c r="M124" s="20"/>
      <c r="N124" s="20"/>
      <c r="O124" s="20"/>
      <c r="P124" s="20"/>
      <c r="Q124" s="20"/>
      <c r="R124" s="20"/>
      <c r="S124" s="20"/>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4"/>
      <c r="CF124" s="15" t="s">
        <v>173</v>
      </c>
    </row>
    <row r="125" spans="1:84" ht="12" customHeight="1" x14ac:dyDescent="0.15">
      <c r="A125" s="3"/>
      <c r="B125" s="1"/>
      <c r="C125" s="1"/>
      <c r="D125" s="1"/>
      <c r="E125" s="20"/>
      <c r="F125" s="20"/>
      <c r="G125" s="20"/>
      <c r="H125" s="20"/>
      <c r="I125" s="20"/>
      <c r="J125" s="20"/>
      <c r="K125" s="20"/>
      <c r="L125" s="20"/>
      <c r="M125" s="20"/>
      <c r="N125" s="20"/>
      <c r="O125" s="20"/>
      <c r="P125" s="20"/>
      <c r="Q125" s="20"/>
      <c r="R125" s="20"/>
      <c r="S125" s="20"/>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4"/>
      <c r="CF125" s="15" t="s">
        <v>174</v>
      </c>
    </row>
    <row r="126" spans="1:84" ht="12" customHeight="1" x14ac:dyDescent="0.15">
      <c r="A126" s="3"/>
      <c r="B126" s="1"/>
      <c r="C126" s="1"/>
      <c r="D126" s="1"/>
      <c r="E126" s="20"/>
      <c r="F126" s="20"/>
      <c r="G126" s="20"/>
      <c r="H126" s="20"/>
      <c r="I126" s="20"/>
      <c r="J126" s="20"/>
      <c r="K126" s="20"/>
      <c r="L126" s="20"/>
      <c r="M126" s="20"/>
      <c r="N126" s="20"/>
      <c r="O126" s="20"/>
      <c r="P126" s="20"/>
      <c r="Q126" s="20"/>
      <c r="R126" s="20"/>
      <c r="S126" s="20"/>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4"/>
      <c r="CF126" s="15" t="s">
        <v>175</v>
      </c>
    </row>
    <row r="127" spans="1:84" ht="12" customHeight="1" thickBot="1" x14ac:dyDescent="0.2">
      <c r="A127" s="16"/>
      <c r="B127" s="17"/>
      <c r="C127" s="17"/>
      <c r="D127" s="17"/>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9"/>
      <c r="CF127" s="15" t="s">
        <v>176</v>
      </c>
    </row>
    <row r="128" spans="1:84" ht="12" customHeight="1" x14ac:dyDescent="0.15">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4"/>
      <c r="CF128" s="15" t="s">
        <v>106</v>
      </c>
    </row>
    <row r="129" spans="1:84" ht="12" customHeight="1" x14ac:dyDescent="0.15">
      <c r="A129" s="3"/>
      <c r="B129" s="1"/>
      <c r="C129" s="1"/>
      <c r="D129" s="1"/>
      <c r="E129" s="20" t="s">
        <v>284</v>
      </c>
      <c r="F129" s="20"/>
      <c r="G129" s="20"/>
      <c r="H129" s="20"/>
      <c r="I129" s="20"/>
      <c r="J129" s="20"/>
      <c r="K129" s="20"/>
      <c r="L129" s="20"/>
      <c r="M129" s="20"/>
      <c r="N129" s="20"/>
      <c r="O129" s="20"/>
      <c r="P129" s="20"/>
      <c r="Q129" s="20"/>
      <c r="R129" s="20"/>
      <c r="S129" s="20"/>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4"/>
      <c r="CF129" s="15" t="s">
        <v>107</v>
      </c>
    </row>
    <row r="130" spans="1:84" ht="12" customHeight="1" x14ac:dyDescent="0.15">
      <c r="A130" s="3"/>
      <c r="B130" s="1"/>
      <c r="C130" s="1"/>
      <c r="D130" s="1"/>
      <c r="E130" s="1"/>
      <c r="F130" s="92" t="s">
        <v>10</v>
      </c>
      <c r="G130" s="93"/>
      <c r="H130" s="93"/>
      <c r="I130" s="93"/>
      <c r="J130" s="93"/>
      <c r="K130" s="93"/>
      <c r="L130" s="93"/>
      <c r="M130" s="93"/>
      <c r="N130" s="93"/>
      <c r="O130" s="93"/>
      <c r="P130" s="93"/>
      <c r="Q130" s="93"/>
      <c r="R130" s="93"/>
      <c r="S130" s="94"/>
      <c r="T130" s="25" t="s">
        <v>230</v>
      </c>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4"/>
      <c r="CE130" s="4"/>
      <c r="CF130" s="15" t="s">
        <v>108</v>
      </c>
    </row>
    <row r="131" spans="1:84" ht="12" customHeight="1" x14ac:dyDescent="0.15">
      <c r="A131" s="3"/>
      <c r="B131" s="1"/>
      <c r="C131" s="1"/>
      <c r="D131" s="1"/>
      <c r="E131" s="1"/>
      <c r="F131" s="92" t="s">
        <v>16</v>
      </c>
      <c r="G131" s="93"/>
      <c r="H131" s="93"/>
      <c r="I131" s="93"/>
      <c r="J131" s="93"/>
      <c r="K131" s="93"/>
      <c r="L131" s="93"/>
      <c r="M131" s="93"/>
      <c r="N131" s="93"/>
      <c r="O131" s="93"/>
      <c r="P131" s="93"/>
      <c r="Q131" s="93"/>
      <c r="R131" s="93"/>
      <c r="S131" s="94"/>
      <c r="T131" s="25" t="s">
        <v>124</v>
      </c>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4"/>
      <c r="CE131" s="4"/>
      <c r="CF131" s="15" t="s">
        <v>109</v>
      </c>
    </row>
    <row r="132" spans="1:84" ht="12" customHeight="1" x14ac:dyDescent="0.15">
      <c r="A132" s="3"/>
      <c r="B132" s="1"/>
      <c r="C132" s="1"/>
      <c r="D132" s="1"/>
      <c r="E132" s="1"/>
      <c r="F132" s="92" t="s">
        <v>15</v>
      </c>
      <c r="G132" s="93"/>
      <c r="H132" s="93"/>
      <c r="I132" s="93"/>
      <c r="J132" s="93"/>
      <c r="K132" s="93"/>
      <c r="L132" s="93"/>
      <c r="M132" s="93"/>
      <c r="N132" s="93"/>
      <c r="O132" s="93"/>
      <c r="P132" s="93"/>
      <c r="Q132" s="93"/>
      <c r="R132" s="93"/>
      <c r="S132" s="94"/>
      <c r="T132" s="25" t="s">
        <v>124</v>
      </c>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4"/>
      <c r="CE132" s="4"/>
      <c r="CF132" s="15" t="s">
        <v>110</v>
      </c>
    </row>
    <row r="133" spans="1:84" ht="12" customHeight="1" x14ac:dyDescent="0.15">
      <c r="A133" s="3"/>
      <c r="B133" s="1"/>
      <c r="C133" s="1"/>
      <c r="D133" s="1"/>
      <c r="E133" s="1"/>
      <c r="F133" s="92" t="s">
        <v>203</v>
      </c>
      <c r="G133" s="93"/>
      <c r="H133" s="93"/>
      <c r="I133" s="93"/>
      <c r="J133" s="93"/>
      <c r="K133" s="93"/>
      <c r="L133" s="93"/>
      <c r="M133" s="93"/>
      <c r="N133" s="93"/>
      <c r="O133" s="93"/>
      <c r="P133" s="93"/>
      <c r="Q133" s="93"/>
      <c r="R133" s="93"/>
      <c r="S133" s="94"/>
      <c r="T133" s="25" t="s">
        <v>125</v>
      </c>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4"/>
      <c r="CE133" s="4"/>
      <c r="CF133" s="15" t="s">
        <v>111</v>
      </c>
    </row>
    <row r="134" spans="1:84" ht="12" customHeight="1" x14ac:dyDescent="0.15">
      <c r="A134" s="3"/>
      <c r="B134" s="1"/>
      <c r="C134" s="1"/>
      <c r="D134" s="1"/>
      <c r="E134" s="1"/>
      <c r="F134" s="92" t="s">
        <v>11</v>
      </c>
      <c r="G134" s="93"/>
      <c r="H134" s="93"/>
      <c r="I134" s="93"/>
      <c r="J134" s="93"/>
      <c r="K134" s="93"/>
      <c r="L134" s="93"/>
      <c r="M134" s="93"/>
      <c r="N134" s="93"/>
      <c r="O134" s="93"/>
      <c r="P134" s="93"/>
      <c r="Q134" s="93"/>
      <c r="R134" s="93"/>
      <c r="S134" s="94"/>
      <c r="T134" s="25" t="s">
        <v>147</v>
      </c>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4"/>
      <c r="CE134" s="4"/>
      <c r="CF134" s="15" t="s">
        <v>112</v>
      </c>
    </row>
    <row r="135" spans="1:84" ht="12" customHeight="1" x14ac:dyDescent="0.15">
      <c r="A135" s="3"/>
      <c r="B135" s="1"/>
      <c r="C135" s="1"/>
      <c r="D135" s="1"/>
      <c r="E135" s="1"/>
      <c r="F135" s="92" t="s">
        <v>12</v>
      </c>
      <c r="G135" s="93"/>
      <c r="H135" s="93"/>
      <c r="I135" s="93"/>
      <c r="J135" s="93"/>
      <c r="K135" s="93"/>
      <c r="L135" s="93"/>
      <c r="M135" s="93"/>
      <c r="N135" s="93"/>
      <c r="O135" s="93"/>
      <c r="P135" s="93"/>
      <c r="Q135" s="93"/>
      <c r="R135" s="93"/>
      <c r="S135" s="94"/>
      <c r="T135" s="28" t="s">
        <v>263</v>
      </c>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7"/>
      <c r="CE135" s="4"/>
      <c r="CF135" s="15" t="s">
        <v>113</v>
      </c>
    </row>
    <row r="136" spans="1:84" ht="12" customHeight="1" x14ac:dyDescent="0.15">
      <c r="A136" s="3"/>
      <c r="B136" s="1"/>
      <c r="C136" s="1"/>
      <c r="D136" s="1"/>
      <c r="E136" s="1"/>
      <c r="F136" s="92" t="s">
        <v>13</v>
      </c>
      <c r="G136" s="93"/>
      <c r="H136" s="93"/>
      <c r="I136" s="93"/>
      <c r="J136" s="93"/>
      <c r="K136" s="93"/>
      <c r="L136" s="93"/>
      <c r="M136" s="93"/>
      <c r="N136" s="93"/>
      <c r="O136" s="93"/>
      <c r="P136" s="93"/>
      <c r="Q136" s="93"/>
      <c r="R136" s="93"/>
      <c r="S136" s="94"/>
      <c r="T136" s="25" t="s">
        <v>285</v>
      </c>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4"/>
      <c r="CE136" s="4"/>
      <c r="CF136" s="15" t="s">
        <v>114</v>
      </c>
    </row>
    <row r="137" spans="1:84" ht="12" customHeight="1" x14ac:dyDescent="0.15">
      <c r="A137" s="3"/>
      <c r="B137" s="1"/>
      <c r="C137" s="1"/>
      <c r="D137" s="1"/>
      <c r="E137" s="1"/>
      <c r="F137" s="92" t="s">
        <v>222</v>
      </c>
      <c r="G137" s="93"/>
      <c r="H137" s="93"/>
      <c r="I137" s="93"/>
      <c r="J137" s="93"/>
      <c r="K137" s="93"/>
      <c r="L137" s="93"/>
      <c r="M137" s="93"/>
      <c r="N137" s="93"/>
      <c r="O137" s="93"/>
      <c r="P137" s="93"/>
      <c r="Q137" s="93"/>
      <c r="R137" s="93"/>
      <c r="S137" s="94"/>
      <c r="T137" s="25" t="s">
        <v>214</v>
      </c>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4"/>
      <c r="CE137" s="4"/>
      <c r="CF137" s="15" t="s">
        <v>115</v>
      </c>
    </row>
    <row r="138" spans="1:84" ht="12" customHeight="1" x14ac:dyDescent="0.15">
      <c r="A138" s="3"/>
      <c r="B138" s="1"/>
      <c r="C138" s="1"/>
      <c r="D138" s="1"/>
      <c r="E138" s="1"/>
      <c r="F138" s="92" t="s">
        <v>141</v>
      </c>
      <c r="G138" s="93"/>
      <c r="H138" s="93"/>
      <c r="I138" s="93"/>
      <c r="J138" s="93"/>
      <c r="K138" s="93"/>
      <c r="L138" s="93"/>
      <c r="M138" s="93"/>
      <c r="N138" s="93"/>
      <c r="O138" s="93"/>
      <c r="P138" s="93"/>
      <c r="Q138" s="93"/>
      <c r="R138" s="93"/>
      <c r="S138" s="94"/>
      <c r="T138" s="25" t="s">
        <v>286</v>
      </c>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4"/>
      <c r="CE138" s="4"/>
      <c r="CF138" s="15" t="s">
        <v>116</v>
      </c>
    </row>
    <row r="139" spans="1:84" s="51" customFormat="1" ht="12" customHeight="1" x14ac:dyDescent="0.15">
      <c r="A139" s="50"/>
      <c r="E139" s="56"/>
      <c r="F139" s="56"/>
      <c r="G139" s="56"/>
      <c r="H139" s="56"/>
      <c r="I139" s="56"/>
      <c r="J139" s="56"/>
      <c r="K139" s="56"/>
      <c r="L139" s="56"/>
      <c r="M139" s="56"/>
      <c r="N139" s="56"/>
      <c r="O139" s="56"/>
      <c r="P139" s="56"/>
      <c r="Q139" s="56"/>
      <c r="R139" s="56"/>
      <c r="S139" s="56"/>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c r="BT139" s="57"/>
      <c r="BU139" s="57"/>
      <c r="BV139" s="57"/>
      <c r="BW139" s="57"/>
      <c r="BX139" s="57"/>
      <c r="BY139" s="57"/>
      <c r="BZ139" s="57"/>
      <c r="CA139" s="57"/>
      <c r="CB139" s="57"/>
      <c r="CC139" s="57"/>
      <c r="CD139" s="57"/>
      <c r="CE139" s="53"/>
      <c r="CF139" s="54" t="s">
        <v>177</v>
      </c>
    </row>
    <row r="140" spans="1:84" s="51" customFormat="1" ht="12" customHeight="1" x14ac:dyDescent="0.15">
      <c r="A140" s="55"/>
      <c r="E140" s="56" t="s">
        <v>375</v>
      </c>
      <c r="F140" s="56"/>
      <c r="G140" s="56"/>
      <c r="H140" s="56"/>
      <c r="I140" s="56"/>
      <c r="J140" s="56"/>
      <c r="K140" s="56"/>
      <c r="L140" s="56"/>
      <c r="M140" s="56"/>
      <c r="N140" s="56"/>
      <c r="O140" s="56"/>
      <c r="P140" s="56"/>
      <c r="Q140" s="56"/>
      <c r="R140" s="56"/>
      <c r="S140" s="56"/>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3"/>
      <c r="CF140" s="54" t="s">
        <v>178</v>
      </c>
    </row>
    <row r="141" spans="1:84" s="51" customFormat="1" ht="12" customHeight="1" x14ac:dyDescent="0.15">
      <c r="A141" s="55"/>
      <c r="F141" s="82" t="s">
        <v>10</v>
      </c>
      <c r="G141" s="83"/>
      <c r="H141" s="83"/>
      <c r="I141" s="83"/>
      <c r="J141" s="83"/>
      <c r="K141" s="83"/>
      <c r="L141" s="83"/>
      <c r="M141" s="83"/>
      <c r="N141" s="83"/>
      <c r="O141" s="83"/>
      <c r="P141" s="83"/>
      <c r="Q141" s="83"/>
      <c r="R141" s="83"/>
      <c r="S141" s="84"/>
      <c r="T141" s="85" t="s">
        <v>230</v>
      </c>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c r="AQ141" s="86"/>
      <c r="AR141" s="86"/>
      <c r="AS141" s="86"/>
      <c r="AT141" s="86"/>
      <c r="AU141" s="86"/>
      <c r="AV141" s="86"/>
      <c r="AW141" s="86"/>
      <c r="AX141" s="86"/>
      <c r="AY141" s="86"/>
      <c r="AZ141" s="86"/>
      <c r="BA141" s="86"/>
      <c r="BB141" s="86"/>
      <c r="BC141" s="86"/>
      <c r="BD141" s="86"/>
      <c r="BE141" s="86"/>
      <c r="BF141" s="86"/>
      <c r="BG141" s="86"/>
      <c r="BH141" s="86"/>
      <c r="BI141" s="86"/>
      <c r="BJ141" s="86"/>
      <c r="BK141" s="86"/>
      <c r="BL141" s="86"/>
      <c r="BM141" s="86"/>
      <c r="BN141" s="86"/>
      <c r="BO141" s="86"/>
      <c r="BP141" s="86"/>
      <c r="BQ141" s="86"/>
      <c r="BR141" s="86"/>
      <c r="BS141" s="86"/>
      <c r="BT141" s="86"/>
      <c r="BU141" s="86"/>
      <c r="BV141" s="86"/>
      <c r="BW141" s="86"/>
      <c r="BX141" s="86"/>
      <c r="BY141" s="86"/>
      <c r="BZ141" s="86"/>
      <c r="CA141" s="86"/>
      <c r="CB141" s="86"/>
      <c r="CC141" s="86"/>
      <c r="CD141" s="87"/>
      <c r="CE141" s="53"/>
      <c r="CF141" s="54" t="s">
        <v>179</v>
      </c>
    </row>
    <row r="142" spans="1:84" s="51" customFormat="1" ht="12" customHeight="1" x14ac:dyDescent="0.15">
      <c r="A142" s="55"/>
      <c r="F142" s="82" t="s">
        <v>16</v>
      </c>
      <c r="G142" s="83"/>
      <c r="H142" s="83"/>
      <c r="I142" s="83"/>
      <c r="J142" s="83"/>
      <c r="K142" s="83"/>
      <c r="L142" s="83"/>
      <c r="M142" s="83"/>
      <c r="N142" s="83"/>
      <c r="O142" s="83"/>
      <c r="P142" s="83"/>
      <c r="Q142" s="83"/>
      <c r="R142" s="83"/>
      <c r="S142" s="84"/>
      <c r="T142" s="85" t="s">
        <v>124</v>
      </c>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c r="AT142" s="86"/>
      <c r="AU142" s="86"/>
      <c r="AV142" s="86"/>
      <c r="AW142" s="86"/>
      <c r="AX142" s="86"/>
      <c r="AY142" s="86"/>
      <c r="AZ142" s="86"/>
      <c r="BA142" s="86"/>
      <c r="BB142" s="86"/>
      <c r="BC142" s="86"/>
      <c r="BD142" s="86"/>
      <c r="BE142" s="86"/>
      <c r="BF142" s="86"/>
      <c r="BG142" s="86"/>
      <c r="BH142" s="86"/>
      <c r="BI142" s="86"/>
      <c r="BJ142" s="86"/>
      <c r="BK142" s="86"/>
      <c r="BL142" s="86"/>
      <c r="BM142" s="86"/>
      <c r="BN142" s="86"/>
      <c r="BO142" s="86"/>
      <c r="BP142" s="86"/>
      <c r="BQ142" s="86"/>
      <c r="BR142" s="86"/>
      <c r="BS142" s="86"/>
      <c r="BT142" s="86"/>
      <c r="BU142" s="86"/>
      <c r="BV142" s="86"/>
      <c r="BW142" s="86"/>
      <c r="BX142" s="86"/>
      <c r="BY142" s="86"/>
      <c r="BZ142" s="86"/>
      <c r="CA142" s="86"/>
      <c r="CB142" s="86"/>
      <c r="CC142" s="86"/>
      <c r="CD142" s="87"/>
      <c r="CE142" s="53"/>
      <c r="CF142" s="54" t="s">
        <v>180</v>
      </c>
    </row>
    <row r="143" spans="1:84" s="51" customFormat="1" ht="12" customHeight="1" x14ac:dyDescent="0.15">
      <c r="A143" s="55"/>
      <c r="F143" s="82" t="s">
        <v>15</v>
      </c>
      <c r="G143" s="83"/>
      <c r="H143" s="83"/>
      <c r="I143" s="83"/>
      <c r="J143" s="83"/>
      <c r="K143" s="83"/>
      <c r="L143" s="83"/>
      <c r="M143" s="83"/>
      <c r="N143" s="83"/>
      <c r="O143" s="83"/>
      <c r="P143" s="83"/>
      <c r="Q143" s="83"/>
      <c r="R143" s="83"/>
      <c r="S143" s="84"/>
      <c r="T143" s="85" t="s">
        <v>124</v>
      </c>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c r="AQ143" s="86"/>
      <c r="AR143" s="86"/>
      <c r="AS143" s="86"/>
      <c r="AT143" s="86"/>
      <c r="AU143" s="86"/>
      <c r="AV143" s="86"/>
      <c r="AW143" s="86"/>
      <c r="AX143" s="86"/>
      <c r="AY143" s="86"/>
      <c r="AZ143" s="86"/>
      <c r="BA143" s="86"/>
      <c r="BB143" s="86"/>
      <c r="BC143" s="86"/>
      <c r="BD143" s="86"/>
      <c r="BE143" s="86"/>
      <c r="BF143" s="86"/>
      <c r="BG143" s="86"/>
      <c r="BH143" s="86"/>
      <c r="BI143" s="86"/>
      <c r="BJ143" s="86"/>
      <c r="BK143" s="86"/>
      <c r="BL143" s="86"/>
      <c r="BM143" s="86"/>
      <c r="BN143" s="86"/>
      <c r="BO143" s="86"/>
      <c r="BP143" s="86"/>
      <c r="BQ143" s="86"/>
      <c r="BR143" s="86"/>
      <c r="BS143" s="86"/>
      <c r="BT143" s="86"/>
      <c r="BU143" s="86"/>
      <c r="BV143" s="86"/>
      <c r="BW143" s="86"/>
      <c r="BX143" s="86"/>
      <c r="BY143" s="86"/>
      <c r="BZ143" s="86"/>
      <c r="CA143" s="86"/>
      <c r="CB143" s="86"/>
      <c r="CC143" s="86"/>
      <c r="CD143" s="87"/>
      <c r="CE143" s="53"/>
      <c r="CF143" s="54" t="s">
        <v>181</v>
      </c>
    </row>
    <row r="144" spans="1:84" s="51" customFormat="1" ht="12" customHeight="1" x14ac:dyDescent="0.15">
      <c r="A144" s="55"/>
      <c r="F144" s="82" t="s">
        <v>203</v>
      </c>
      <c r="G144" s="83"/>
      <c r="H144" s="83"/>
      <c r="I144" s="83"/>
      <c r="J144" s="83"/>
      <c r="K144" s="83"/>
      <c r="L144" s="83"/>
      <c r="M144" s="83"/>
      <c r="N144" s="83"/>
      <c r="O144" s="83"/>
      <c r="P144" s="83"/>
      <c r="Q144" s="83"/>
      <c r="R144" s="83"/>
      <c r="S144" s="84"/>
      <c r="T144" s="85" t="s">
        <v>365</v>
      </c>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c r="AT144" s="86"/>
      <c r="AU144" s="86"/>
      <c r="AV144" s="86"/>
      <c r="AW144" s="86"/>
      <c r="AX144" s="86"/>
      <c r="AY144" s="86"/>
      <c r="AZ144" s="86"/>
      <c r="BA144" s="86"/>
      <c r="BB144" s="86"/>
      <c r="BC144" s="86"/>
      <c r="BD144" s="86"/>
      <c r="BE144" s="86"/>
      <c r="BF144" s="86"/>
      <c r="BG144" s="86"/>
      <c r="BH144" s="86"/>
      <c r="BI144" s="86"/>
      <c r="BJ144" s="86"/>
      <c r="BK144" s="86"/>
      <c r="BL144" s="86"/>
      <c r="BM144" s="86"/>
      <c r="BN144" s="86"/>
      <c r="BO144" s="86"/>
      <c r="BP144" s="86"/>
      <c r="BQ144" s="86"/>
      <c r="BR144" s="86"/>
      <c r="BS144" s="86"/>
      <c r="BT144" s="86"/>
      <c r="BU144" s="86"/>
      <c r="BV144" s="86"/>
      <c r="BW144" s="86"/>
      <c r="BX144" s="86"/>
      <c r="BY144" s="86"/>
      <c r="BZ144" s="86"/>
      <c r="CA144" s="86"/>
      <c r="CB144" s="86"/>
      <c r="CC144" s="86"/>
      <c r="CD144" s="87"/>
      <c r="CE144" s="53"/>
      <c r="CF144" s="54" t="s">
        <v>182</v>
      </c>
    </row>
    <row r="145" spans="1:84" s="51" customFormat="1" ht="12" customHeight="1" x14ac:dyDescent="0.15">
      <c r="A145" s="55"/>
      <c r="F145" s="82" t="s">
        <v>11</v>
      </c>
      <c r="G145" s="83"/>
      <c r="H145" s="83"/>
      <c r="I145" s="83"/>
      <c r="J145" s="83"/>
      <c r="K145" s="83"/>
      <c r="L145" s="83"/>
      <c r="M145" s="83"/>
      <c r="N145" s="83"/>
      <c r="O145" s="83"/>
      <c r="P145" s="83"/>
      <c r="Q145" s="83"/>
      <c r="R145" s="83"/>
      <c r="S145" s="84"/>
      <c r="T145" s="85" t="s">
        <v>366</v>
      </c>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c r="AQ145" s="86"/>
      <c r="AR145" s="86"/>
      <c r="AS145" s="86"/>
      <c r="AT145" s="86"/>
      <c r="AU145" s="86"/>
      <c r="AV145" s="86"/>
      <c r="AW145" s="86"/>
      <c r="AX145" s="86"/>
      <c r="AY145" s="86"/>
      <c r="AZ145" s="86"/>
      <c r="BA145" s="86"/>
      <c r="BB145" s="86"/>
      <c r="BC145" s="86"/>
      <c r="BD145" s="86"/>
      <c r="BE145" s="86"/>
      <c r="BF145" s="86"/>
      <c r="BG145" s="86"/>
      <c r="BH145" s="86"/>
      <c r="BI145" s="86"/>
      <c r="BJ145" s="86"/>
      <c r="BK145" s="86"/>
      <c r="BL145" s="86"/>
      <c r="BM145" s="86"/>
      <c r="BN145" s="86"/>
      <c r="BO145" s="86"/>
      <c r="BP145" s="86"/>
      <c r="BQ145" s="86"/>
      <c r="BR145" s="86"/>
      <c r="BS145" s="86"/>
      <c r="BT145" s="86"/>
      <c r="BU145" s="86"/>
      <c r="BV145" s="86"/>
      <c r="BW145" s="86"/>
      <c r="BX145" s="86"/>
      <c r="BY145" s="86"/>
      <c r="BZ145" s="86"/>
      <c r="CA145" s="86"/>
      <c r="CB145" s="86"/>
      <c r="CC145" s="86"/>
      <c r="CD145" s="87"/>
      <c r="CE145" s="53"/>
      <c r="CF145" s="54" t="s">
        <v>183</v>
      </c>
    </row>
    <row r="146" spans="1:84" s="51" customFormat="1" ht="12" customHeight="1" x14ac:dyDescent="0.15">
      <c r="A146" s="55"/>
      <c r="F146" s="82" t="s">
        <v>12</v>
      </c>
      <c r="G146" s="83"/>
      <c r="H146" s="83"/>
      <c r="I146" s="83"/>
      <c r="J146" s="83"/>
      <c r="K146" s="83"/>
      <c r="L146" s="83"/>
      <c r="M146" s="83"/>
      <c r="N146" s="83"/>
      <c r="O146" s="83"/>
      <c r="P146" s="83"/>
      <c r="Q146" s="83"/>
      <c r="R146" s="83"/>
      <c r="S146" s="84"/>
      <c r="T146" s="85" t="s">
        <v>367</v>
      </c>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c r="AQ146" s="86"/>
      <c r="AR146" s="86"/>
      <c r="AS146" s="86"/>
      <c r="AT146" s="86"/>
      <c r="AU146" s="86"/>
      <c r="AV146" s="86"/>
      <c r="AW146" s="86"/>
      <c r="AX146" s="86"/>
      <c r="AY146" s="86"/>
      <c r="AZ146" s="86"/>
      <c r="BA146" s="86"/>
      <c r="BB146" s="86"/>
      <c r="BC146" s="86"/>
      <c r="BD146" s="86"/>
      <c r="BE146" s="86"/>
      <c r="BF146" s="86"/>
      <c r="BG146" s="86"/>
      <c r="BH146" s="86"/>
      <c r="BI146" s="86"/>
      <c r="BJ146" s="86"/>
      <c r="BK146" s="86"/>
      <c r="BL146" s="86"/>
      <c r="BM146" s="86"/>
      <c r="BN146" s="86"/>
      <c r="BO146" s="86"/>
      <c r="BP146" s="86"/>
      <c r="BQ146" s="86"/>
      <c r="BR146" s="86"/>
      <c r="BS146" s="86"/>
      <c r="BT146" s="86"/>
      <c r="BU146" s="86"/>
      <c r="BV146" s="86"/>
      <c r="BW146" s="86"/>
      <c r="BX146" s="86"/>
      <c r="BY146" s="86"/>
      <c r="BZ146" s="86"/>
      <c r="CA146" s="86"/>
      <c r="CB146" s="86"/>
      <c r="CC146" s="86"/>
      <c r="CD146" s="87"/>
      <c r="CE146" s="53"/>
      <c r="CF146" s="54" t="s">
        <v>184</v>
      </c>
    </row>
    <row r="147" spans="1:84" s="51" customFormat="1" ht="12" customHeight="1" x14ac:dyDescent="0.15">
      <c r="A147" s="55"/>
      <c r="F147" s="82" t="s">
        <v>13</v>
      </c>
      <c r="G147" s="83"/>
      <c r="H147" s="83"/>
      <c r="I147" s="83"/>
      <c r="J147" s="83"/>
      <c r="K147" s="83"/>
      <c r="L147" s="83"/>
      <c r="M147" s="83"/>
      <c r="N147" s="83"/>
      <c r="O147" s="83"/>
      <c r="P147" s="83"/>
      <c r="Q147" s="83"/>
      <c r="R147" s="83"/>
      <c r="S147" s="84"/>
      <c r="T147" s="85" t="s">
        <v>368</v>
      </c>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c r="AQ147" s="86"/>
      <c r="AR147" s="86"/>
      <c r="AS147" s="86"/>
      <c r="AT147" s="86"/>
      <c r="AU147" s="86"/>
      <c r="AV147" s="86"/>
      <c r="AW147" s="86"/>
      <c r="AX147" s="86"/>
      <c r="AY147" s="86"/>
      <c r="AZ147" s="86"/>
      <c r="BA147" s="86"/>
      <c r="BB147" s="86"/>
      <c r="BC147" s="86"/>
      <c r="BD147" s="86"/>
      <c r="BE147" s="86"/>
      <c r="BF147" s="86"/>
      <c r="BG147" s="86"/>
      <c r="BH147" s="86"/>
      <c r="BI147" s="86"/>
      <c r="BJ147" s="86"/>
      <c r="BK147" s="86"/>
      <c r="BL147" s="86"/>
      <c r="BM147" s="86"/>
      <c r="BN147" s="86"/>
      <c r="BO147" s="86"/>
      <c r="BP147" s="86"/>
      <c r="BQ147" s="86"/>
      <c r="BR147" s="86"/>
      <c r="BS147" s="86"/>
      <c r="BT147" s="86"/>
      <c r="BU147" s="86"/>
      <c r="BV147" s="86"/>
      <c r="BW147" s="86"/>
      <c r="BX147" s="86"/>
      <c r="BY147" s="86"/>
      <c r="BZ147" s="86"/>
      <c r="CA147" s="86"/>
      <c r="CB147" s="86"/>
      <c r="CC147" s="86"/>
      <c r="CD147" s="87"/>
      <c r="CE147" s="53"/>
      <c r="CF147" s="54" t="s">
        <v>306</v>
      </c>
    </row>
    <row r="148" spans="1:84" s="51" customFormat="1" ht="12" customHeight="1" x14ac:dyDescent="0.15">
      <c r="A148" s="55"/>
      <c r="F148" s="82" t="s">
        <v>148</v>
      </c>
      <c r="G148" s="83"/>
      <c r="H148" s="83"/>
      <c r="I148" s="83"/>
      <c r="J148" s="83"/>
      <c r="K148" s="83"/>
      <c r="L148" s="83"/>
      <c r="M148" s="83"/>
      <c r="N148" s="83"/>
      <c r="O148" s="83"/>
      <c r="P148" s="83"/>
      <c r="Q148" s="83"/>
      <c r="R148" s="83"/>
      <c r="S148" s="84"/>
      <c r="T148" s="85" t="s">
        <v>369</v>
      </c>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6"/>
      <c r="AU148" s="86"/>
      <c r="AV148" s="86"/>
      <c r="AW148" s="86"/>
      <c r="AX148" s="86"/>
      <c r="AY148" s="86"/>
      <c r="AZ148" s="86"/>
      <c r="BA148" s="86"/>
      <c r="BB148" s="86"/>
      <c r="BC148" s="86"/>
      <c r="BD148" s="86"/>
      <c r="BE148" s="86"/>
      <c r="BF148" s="86"/>
      <c r="BG148" s="86"/>
      <c r="BH148" s="86"/>
      <c r="BI148" s="86"/>
      <c r="BJ148" s="86"/>
      <c r="BK148" s="86"/>
      <c r="BL148" s="86"/>
      <c r="BM148" s="86"/>
      <c r="BN148" s="86"/>
      <c r="BO148" s="86"/>
      <c r="BP148" s="86"/>
      <c r="BQ148" s="86"/>
      <c r="BR148" s="86"/>
      <c r="BS148" s="86"/>
      <c r="BT148" s="86"/>
      <c r="BU148" s="86"/>
      <c r="BV148" s="86"/>
      <c r="BW148" s="86"/>
      <c r="BX148" s="86"/>
      <c r="BY148" s="86"/>
      <c r="BZ148" s="86"/>
      <c r="CA148" s="86"/>
      <c r="CB148" s="86"/>
      <c r="CC148" s="86"/>
      <c r="CD148" s="87"/>
      <c r="CE148" s="53"/>
      <c r="CF148" s="54" t="s">
        <v>307</v>
      </c>
    </row>
    <row r="149" spans="1:84" s="51" customFormat="1" ht="12" customHeight="1" x14ac:dyDescent="0.15">
      <c r="A149" s="55"/>
      <c r="F149" s="82" t="s">
        <v>141</v>
      </c>
      <c r="G149" s="83"/>
      <c r="H149" s="83"/>
      <c r="I149" s="83"/>
      <c r="J149" s="83"/>
      <c r="K149" s="83"/>
      <c r="L149" s="83"/>
      <c r="M149" s="83"/>
      <c r="N149" s="83"/>
      <c r="O149" s="83"/>
      <c r="P149" s="83"/>
      <c r="Q149" s="83"/>
      <c r="R149" s="83"/>
      <c r="S149" s="84"/>
      <c r="T149" s="85" t="s">
        <v>536</v>
      </c>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c r="AQ149" s="86"/>
      <c r="AR149" s="86"/>
      <c r="AS149" s="86"/>
      <c r="AT149" s="86"/>
      <c r="AU149" s="86"/>
      <c r="AV149" s="86"/>
      <c r="AW149" s="86"/>
      <c r="AX149" s="86"/>
      <c r="AY149" s="86"/>
      <c r="AZ149" s="86"/>
      <c r="BA149" s="86"/>
      <c r="BB149" s="86"/>
      <c r="BC149" s="86"/>
      <c r="BD149" s="86"/>
      <c r="BE149" s="86"/>
      <c r="BF149" s="86"/>
      <c r="BG149" s="86"/>
      <c r="BH149" s="86"/>
      <c r="BI149" s="86"/>
      <c r="BJ149" s="86"/>
      <c r="BK149" s="86"/>
      <c r="BL149" s="86"/>
      <c r="BM149" s="86"/>
      <c r="BN149" s="86"/>
      <c r="BO149" s="86"/>
      <c r="BP149" s="86"/>
      <c r="BQ149" s="86"/>
      <c r="BR149" s="86"/>
      <c r="BS149" s="86"/>
      <c r="BT149" s="86"/>
      <c r="BU149" s="86"/>
      <c r="BV149" s="86"/>
      <c r="BW149" s="86"/>
      <c r="BX149" s="86"/>
      <c r="BY149" s="86"/>
      <c r="BZ149" s="86"/>
      <c r="CA149" s="86"/>
      <c r="CB149" s="86"/>
      <c r="CC149" s="86"/>
      <c r="CD149" s="87"/>
      <c r="CE149" s="53"/>
      <c r="CF149" s="54" t="s">
        <v>308</v>
      </c>
    </row>
    <row r="150" spans="1:84" ht="12" customHeight="1" x14ac:dyDescent="0.15">
      <c r="A150" s="49"/>
      <c r="B150" s="1"/>
      <c r="C150" s="1"/>
      <c r="D150" s="1"/>
      <c r="E150" s="20"/>
      <c r="F150" s="20"/>
      <c r="G150" s="20"/>
      <c r="H150" s="20"/>
      <c r="I150" s="20"/>
      <c r="J150" s="20"/>
      <c r="K150" s="20"/>
      <c r="L150" s="20"/>
      <c r="M150" s="20"/>
      <c r="N150" s="20"/>
      <c r="O150" s="20"/>
      <c r="P150" s="20"/>
      <c r="Q150" s="20"/>
      <c r="R150" s="20"/>
      <c r="S150" s="20"/>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4"/>
      <c r="CF150" s="15" t="s">
        <v>117</v>
      </c>
    </row>
    <row r="151" spans="1:84" s="51" customFormat="1" ht="12" customHeight="1" x14ac:dyDescent="0.15">
      <c r="A151" s="55"/>
      <c r="E151" s="56" t="s">
        <v>374</v>
      </c>
      <c r="F151" s="56"/>
      <c r="G151" s="56"/>
      <c r="H151" s="56"/>
      <c r="I151" s="56"/>
      <c r="J151" s="56"/>
      <c r="K151" s="56"/>
      <c r="L151" s="56"/>
      <c r="M151" s="56"/>
      <c r="N151" s="56"/>
      <c r="O151" s="56"/>
      <c r="P151" s="56"/>
      <c r="Q151" s="56"/>
      <c r="R151" s="56"/>
      <c r="S151" s="56"/>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3"/>
      <c r="CF151" s="54" t="s">
        <v>178</v>
      </c>
    </row>
    <row r="152" spans="1:84" s="51" customFormat="1" ht="12" customHeight="1" x14ac:dyDescent="0.15">
      <c r="A152" s="55"/>
      <c r="F152" s="82" t="s">
        <v>10</v>
      </c>
      <c r="G152" s="83"/>
      <c r="H152" s="83"/>
      <c r="I152" s="83"/>
      <c r="J152" s="83"/>
      <c r="K152" s="83"/>
      <c r="L152" s="83"/>
      <c r="M152" s="83"/>
      <c r="N152" s="83"/>
      <c r="O152" s="83"/>
      <c r="P152" s="83"/>
      <c r="Q152" s="83"/>
      <c r="R152" s="83"/>
      <c r="S152" s="84"/>
      <c r="T152" s="85" t="s">
        <v>230</v>
      </c>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c r="AQ152" s="86"/>
      <c r="AR152" s="86"/>
      <c r="AS152" s="86"/>
      <c r="AT152" s="86"/>
      <c r="AU152" s="86"/>
      <c r="AV152" s="86"/>
      <c r="AW152" s="86"/>
      <c r="AX152" s="86"/>
      <c r="AY152" s="86"/>
      <c r="AZ152" s="86"/>
      <c r="BA152" s="86"/>
      <c r="BB152" s="86"/>
      <c r="BC152" s="86"/>
      <c r="BD152" s="86"/>
      <c r="BE152" s="86"/>
      <c r="BF152" s="86"/>
      <c r="BG152" s="86"/>
      <c r="BH152" s="86"/>
      <c r="BI152" s="86"/>
      <c r="BJ152" s="86"/>
      <c r="BK152" s="86"/>
      <c r="BL152" s="86"/>
      <c r="BM152" s="86"/>
      <c r="BN152" s="86"/>
      <c r="BO152" s="86"/>
      <c r="BP152" s="86"/>
      <c r="BQ152" s="86"/>
      <c r="BR152" s="86"/>
      <c r="BS152" s="86"/>
      <c r="BT152" s="86"/>
      <c r="BU152" s="86"/>
      <c r="BV152" s="86"/>
      <c r="BW152" s="86"/>
      <c r="BX152" s="86"/>
      <c r="BY152" s="86"/>
      <c r="BZ152" s="86"/>
      <c r="CA152" s="86"/>
      <c r="CB152" s="86"/>
      <c r="CC152" s="86"/>
      <c r="CD152" s="87"/>
      <c r="CE152" s="53"/>
      <c r="CF152" s="54" t="s">
        <v>179</v>
      </c>
    </row>
    <row r="153" spans="1:84" s="51" customFormat="1" ht="12" customHeight="1" x14ac:dyDescent="0.15">
      <c r="A153" s="55"/>
      <c r="F153" s="82" t="s">
        <v>16</v>
      </c>
      <c r="G153" s="83"/>
      <c r="H153" s="83"/>
      <c r="I153" s="83"/>
      <c r="J153" s="83"/>
      <c r="K153" s="83"/>
      <c r="L153" s="83"/>
      <c r="M153" s="83"/>
      <c r="N153" s="83"/>
      <c r="O153" s="83"/>
      <c r="P153" s="83"/>
      <c r="Q153" s="83"/>
      <c r="R153" s="83"/>
      <c r="S153" s="84"/>
      <c r="T153" s="85" t="s">
        <v>124</v>
      </c>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c r="AQ153" s="86"/>
      <c r="AR153" s="86"/>
      <c r="AS153" s="86"/>
      <c r="AT153" s="86"/>
      <c r="AU153" s="86"/>
      <c r="AV153" s="86"/>
      <c r="AW153" s="86"/>
      <c r="AX153" s="86"/>
      <c r="AY153" s="86"/>
      <c r="AZ153" s="86"/>
      <c r="BA153" s="86"/>
      <c r="BB153" s="86"/>
      <c r="BC153" s="86"/>
      <c r="BD153" s="86"/>
      <c r="BE153" s="86"/>
      <c r="BF153" s="86"/>
      <c r="BG153" s="86"/>
      <c r="BH153" s="86"/>
      <c r="BI153" s="86"/>
      <c r="BJ153" s="86"/>
      <c r="BK153" s="86"/>
      <c r="BL153" s="86"/>
      <c r="BM153" s="86"/>
      <c r="BN153" s="86"/>
      <c r="BO153" s="86"/>
      <c r="BP153" s="86"/>
      <c r="BQ153" s="86"/>
      <c r="BR153" s="86"/>
      <c r="BS153" s="86"/>
      <c r="BT153" s="86"/>
      <c r="BU153" s="86"/>
      <c r="BV153" s="86"/>
      <c r="BW153" s="86"/>
      <c r="BX153" s="86"/>
      <c r="BY153" s="86"/>
      <c r="BZ153" s="86"/>
      <c r="CA153" s="86"/>
      <c r="CB153" s="86"/>
      <c r="CC153" s="86"/>
      <c r="CD153" s="87"/>
      <c r="CE153" s="53"/>
      <c r="CF153" s="54" t="s">
        <v>180</v>
      </c>
    </row>
    <row r="154" spans="1:84" s="51" customFormat="1" ht="12" customHeight="1" x14ac:dyDescent="0.15">
      <c r="A154" s="55"/>
      <c r="F154" s="82" t="s">
        <v>15</v>
      </c>
      <c r="G154" s="83"/>
      <c r="H154" s="83"/>
      <c r="I154" s="83"/>
      <c r="J154" s="83"/>
      <c r="K154" s="83"/>
      <c r="L154" s="83"/>
      <c r="M154" s="83"/>
      <c r="N154" s="83"/>
      <c r="O154" s="83"/>
      <c r="P154" s="83"/>
      <c r="Q154" s="83"/>
      <c r="R154" s="83"/>
      <c r="S154" s="84"/>
      <c r="T154" s="85" t="s">
        <v>124</v>
      </c>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c r="AY154" s="86"/>
      <c r="AZ154" s="86"/>
      <c r="BA154" s="86"/>
      <c r="BB154" s="86"/>
      <c r="BC154" s="86"/>
      <c r="BD154" s="86"/>
      <c r="BE154" s="86"/>
      <c r="BF154" s="86"/>
      <c r="BG154" s="86"/>
      <c r="BH154" s="86"/>
      <c r="BI154" s="86"/>
      <c r="BJ154" s="86"/>
      <c r="BK154" s="86"/>
      <c r="BL154" s="86"/>
      <c r="BM154" s="86"/>
      <c r="BN154" s="86"/>
      <c r="BO154" s="86"/>
      <c r="BP154" s="86"/>
      <c r="BQ154" s="86"/>
      <c r="BR154" s="86"/>
      <c r="BS154" s="86"/>
      <c r="BT154" s="86"/>
      <c r="BU154" s="86"/>
      <c r="BV154" s="86"/>
      <c r="BW154" s="86"/>
      <c r="BX154" s="86"/>
      <c r="BY154" s="86"/>
      <c r="BZ154" s="86"/>
      <c r="CA154" s="86"/>
      <c r="CB154" s="86"/>
      <c r="CC154" s="86"/>
      <c r="CD154" s="87"/>
      <c r="CE154" s="53"/>
      <c r="CF154" s="54" t="s">
        <v>181</v>
      </c>
    </row>
    <row r="155" spans="1:84" s="51" customFormat="1" ht="12" customHeight="1" x14ac:dyDescent="0.15">
      <c r="A155" s="55"/>
      <c r="F155" s="82" t="s">
        <v>203</v>
      </c>
      <c r="G155" s="83"/>
      <c r="H155" s="83"/>
      <c r="I155" s="83"/>
      <c r="J155" s="83"/>
      <c r="K155" s="83"/>
      <c r="L155" s="83"/>
      <c r="M155" s="83"/>
      <c r="N155" s="83"/>
      <c r="O155" s="83"/>
      <c r="P155" s="83"/>
      <c r="Q155" s="83"/>
      <c r="R155" s="83"/>
      <c r="S155" s="84"/>
      <c r="T155" s="85" t="s">
        <v>365</v>
      </c>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6"/>
      <c r="AU155" s="86"/>
      <c r="AV155" s="86"/>
      <c r="AW155" s="86"/>
      <c r="AX155" s="86"/>
      <c r="AY155" s="86"/>
      <c r="AZ155" s="86"/>
      <c r="BA155" s="86"/>
      <c r="BB155" s="86"/>
      <c r="BC155" s="86"/>
      <c r="BD155" s="86"/>
      <c r="BE155" s="86"/>
      <c r="BF155" s="86"/>
      <c r="BG155" s="86"/>
      <c r="BH155" s="86"/>
      <c r="BI155" s="86"/>
      <c r="BJ155" s="86"/>
      <c r="BK155" s="86"/>
      <c r="BL155" s="86"/>
      <c r="BM155" s="86"/>
      <c r="BN155" s="86"/>
      <c r="BO155" s="86"/>
      <c r="BP155" s="86"/>
      <c r="BQ155" s="86"/>
      <c r="BR155" s="86"/>
      <c r="BS155" s="86"/>
      <c r="BT155" s="86"/>
      <c r="BU155" s="86"/>
      <c r="BV155" s="86"/>
      <c r="BW155" s="86"/>
      <c r="BX155" s="86"/>
      <c r="BY155" s="86"/>
      <c r="BZ155" s="86"/>
      <c r="CA155" s="86"/>
      <c r="CB155" s="86"/>
      <c r="CC155" s="86"/>
      <c r="CD155" s="87"/>
      <c r="CE155" s="53"/>
      <c r="CF155" s="54" t="s">
        <v>182</v>
      </c>
    </row>
    <row r="156" spans="1:84" s="51" customFormat="1" ht="12" customHeight="1" x14ac:dyDescent="0.15">
      <c r="A156" s="55"/>
      <c r="F156" s="82" t="s">
        <v>11</v>
      </c>
      <c r="G156" s="83"/>
      <c r="H156" s="83"/>
      <c r="I156" s="83"/>
      <c r="J156" s="83"/>
      <c r="K156" s="83"/>
      <c r="L156" s="83"/>
      <c r="M156" s="83"/>
      <c r="N156" s="83"/>
      <c r="O156" s="83"/>
      <c r="P156" s="83"/>
      <c r="Q156" s="83"/>
      <c r="R156" s="83"/>
      <c r="S156" s="84"/>
      <c r="T156" s="85" t="s">
        <v>366</v>
      </c>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c r="AY156" s="86"/>
      <c r="AZ156" s="86"/>
      <c r="BA156" s="86"/>
      <c r="BB156" s="86"/>
      <c r="BC156" s="86"/>
      <c r="BD156" s="86"/>
      <c r="BE156" s="86"/>
      <c r="BF156" s="86"/>
      <c r="BG156" s="86"/>
      <c r="BH156" s="86"/>
      <c r="BI156" s="86"/>
      <c r="BJ156" s="86"/>
      <c r="BK156" s="86"/>
      <c r="BL156" s="86"/>
      <c r="BM156" s="86"/>
      <c r="BN156" s="86"/>
      <c r="BO156" s="86"/>
      <c r="BP156" s="86"/>
      <c r="BQ156" s="86"/>
      <c r="BR156" s="86"/>
      <c r="BS156" s="86"/>
      <c r="BT156" s="86"/>
      <c r="BU156" s="86"/>
      <c r="BV156" s="86"/>
      <c r="BW156" s="86"/>
      <c r="BX156" s="86"/>
      <c r="BY156" s="86"/>
      <c r="BZ156" s="86"/>
      <c r="CA156" s="86"/>
      <c r="CB156" s="86"/>
      <c r="CC156" s="86"/>
      <c r="CD156" s="87"/>
      <c r="CE156" s="53"/>
      <c r="CF156" s="54" t="s">
        <v>183</v>
      </c>
    </row>
    <row r="157" spans="1:84" s="51" customFormat="1" ht="12" customHeight="1" x14ac:dyDescent="0.15">
      <c r="A157" s="55"/>
      <c r="F157" s="82" t="s">
        <v>12</v>
      </c>
      <c r="G157" s="83"/>
      <c r="H157" s="83"/>
      <c r="I157" s="83"/>
      <c r="J157" s="83"/>
      <c r="K157" s="83"/>
      <c r="L157" s="83"/>
      <c r="M157" s="83"/>
      <c r="N157" s="83"/>
      <c r="O157" s="83"/>
      <c r="P157" s="83"/>
      <c r="Q157" s="83"/>
      <c r="R157" s="83"/>
      <c r="S157" s="84"/>
      <c r="T157" s="85" t="s">
        <v>367</v>
      </c>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c r="AQ157" s="86"/>
      <c r="AR157" s="86"/>
      <c r="AS157" s="86"/>
      <c r="AT157" s="86"/>
      <c r="AU157" s="86"/>
      <c r="AV157" s="86"/>
      <c r="AW157" s="86"/>
      <c r="AX157" s="86"/>
      <c r="AY157" s="86"/>
      <c r="AZ157" s="86"/>
      <c r="BA157" s="86"/>
      <c r="BB157" s="86"/>
      <c r="BC157" s="86"/>
      <c r="BD157" s="86"/>
      <c r="BE157" s="86"/>
      <c r="BF157" s="86"/>
      <c r="BG157" s="86"/>
      <c r="BH157" s="86"/>
      <c r="BI157" s="86"/>
      <c r="BJ157" s="86"/>
      <c r="BK157" s="86"/>
      <c r="BL157" s="86"/>
      <c r="BM157" s="86"/>
      <c r="BN157" s="86"/>
      <c r="BO157" s="86"/>
      <c r="BP157" s="86"/>
      <c r="BQ157" s="86"/>
      <c r="BR157" s="86"/>
      <c r="BS157" s="86"/>
      <c r="BT157" s="86"/>
      <c r="BU157" s="86"/>
      <c r="BV157" s="86"/>
      <c r="BW157" s="86"/>
      <c r="BX157" s="86"/>
      <c r="BY157" s="86"/>
      <c r="BZ157" s="86"/>
      <c r="CA157" s="86"/>
      <c r="CB157" s="86"/>
      <c r="CC157" s="86"/>
      <c r="CD157" s="87"/>
      <c r="CE157" s="53"/>
      <c r="CF157" s="54" t="s">
        <v>184</v>
      </c>
    </row>
    <row r="158" spans="1:84" s="51" customFormat="1" ht="12" customHeight="1" x14ac:dyDescent="0.15">
      <c r="A158" s="55"/>
      <c r="F158" s="82" t="s">
        <v>13</v>
      </c>
      <c r="G158" s="83"/>
      <c r="H158" s="83"/>
      <c r="I158" s="83"/>
      <c r="J158" s="83"/>
      <c r="K158" s="83"/>
      <c r="L158" s="83"/>
      <c r="M158" s="83"/>
      <c r="N158" s="83"/>
      <c r="O158" s="83"/>
      <c r="P158" s="83"/>
      <c r="Q158" s="83"/>
      <c r="R158" s="83"/>
      <c r="S158" s="84"/>
      <c r="T158" s="85" t="s">
        <v>368</v>
      </c>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c r="AQ158" s="86"/>
      <c r="AR158" s="86"/>
      <c r="AS158" s="86"/>
      <c r="AT158" s="86"/>
      <c r="AU158" s="86"/>
      <c r="AV158" s="86"/>
      <c r="AW158" s="86"/>
      <c r="AX158" s="86"/>
      <c r="AY158" s="86"/>
      <c r="AZ158" s="86"/>
      <c r="BA158" s="86"/>
      <c r="BB158" s="86"/>
      <c r="BC158" s="86"/>
      <c r="BD158" s="86"/>
      <c r="BE158" s="86"/>
      <c r="BF158" s="86"/>
      <c r="BG158" s="86"/>
      <c r="BH158" s="86"/>
      <c r="BI158" s="86"/>
      <c r="BJ158" s="86"/>
      <c r="BK158" s="86"/>
      <c r="BL158" s="86"/>
      <c r="BM158" s="86"/>
      <c r="BN158" s="86"/>
      <c r="BO158" s="86"/>
      <c r="BP158" s="86"/>
      <c r="BQ158" s="86"/>
      <c r="BR158" s="86"/>
      <c r="BS158" s="86"/>
      <c r="BT158" s="86"/>
      <c r="BU158" s="86"/>
      <c r="BV158" s="86"/>
      <c r="BW158" s="86"/>
      <c r="BX158" s="86"/>
      <c r="BY158" s="86"/>
      <c r="BZ158" s="86"/>
      <c r="CA158" s="86"/>
      <c r="CB158" s="86"/>
      <c r="CC158" s="86"/>
      <c r="CD158" s="87"/>
      <c r="CE158" s="53"/>
      <c r="CF158" s="54" t="s">
        <v>306</v>
      </c>
    </row>
    <row r="159" spans="1:84" s="51" customFormat="1" ht="12" customHeight="1" x14ac:dyDescent="0.15">
      <c r="A159" s="55"/>
      <c r="F159" s="82" t="s">
        <v>148</v>
      </c>
      <c r="G159" s="83"/>
      <c r="H159" s="83"/>
      <c r="I159" s="83"/>
      <c r="J159" s="83"/>
      <c r="K159" s="83"/>
      <c r="L159" s="83"/>
      <c r="M159" s="83"/>
      <c r="N159" s="83"/>
      <c r="O159" s="83"/>
      <c r="P159" s="83"/>
      <c r="Q159" s="83"/>
      <c r="R159" s="83"/>
      <c r="S159" s="84"/>
      <c r="T159" s="85" t="s">
        <v>369</v>
      </c>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c r="AQ159" s="86"/>
      <c r="AR159" s="86"/>
      <c r="AS159" s="86"/>
      <c r="AT159" s="86"/>
      <c r="AU159" s="86"/>
      <c r="AV159" s="86"/>
      <c r="AW159" s="86"/>
      <c r="AX159" s="86"/>
      <c r="AY159" s="86"/>
      <c r="AZ159" s="86"/>
      <c r="BA159" s="86"/>
      <c r="BB159" s="86"/>
      <c r="BC159" s="86"/>
      <c r="BD159" s="86"/>
      <c r="BE159" s="86"/>
      <c r="BF159" s="86"/>
      <c r="BG159" s="86"/>
      <c r="BH159" s="86"/>
      <c r="BI159" s="86"/>
      <c r="BJ159" s="86"/>
      <c r="BK159" s="86"/>
      <c r="BL159" s="86"/>
      <c r="BM159" s="86"/>
      <c r="BN159" s="86"/>
      <c r="BO159" s="86"/>
      <c r="BP159" s="86"/>
      <c r="BQ159" s="86"/>
      <c r="BR159" s="86"/>
      <c r="BS159" s="86"/>
      <c r="BT159" s="86"/>
      <c r="BU159" s="86"/>
      <c r="BV159" s="86"/>
      <c r="BW159" s="86"/>
      <c r="BX159" s="86"/>
      <c r="BY159" s="86"/>
      <c r="BZ159" s="86"/>
      <c r="CA159" s="86"/>
      <c r="CB159" s="86"/>
      <c r="CC159" s="86"/>
      <c r="CD159" s="87"/>
      <c r="CE159" s="53"/>
      <c r="CF159" s="54" t="s">
        <v>307</v>
      </c>
    </row>
    <row r="160" spans="1:84" s="51" customFormat="1" ht="12" customHeight="1" x14ac:dyDescent="0.15">
      <c r="A160" s="55"/>
      <c r="F160" s="82" t="s">
        <v>141</v>
      </c>
      <c r="G160" s="83"/>
      <c r="H160" s="83"/>
      <c r="I160" s="83"/>
      <c r="J160" s="83"/>
      <c r="K160" s="83"/>
      <c r="L160" s="83"/>
      <c r="M160" s="83"/>
      <c r="N160" s="83"/>
      <c r="O160" s="83"/>
      <c r="P160" s="83"/>
      <c r="Q160" s="83"/>
      <c r="R160" s="83"/>
      <c r="S160" s="84"/>
      <c r="T160" s="85" t="s">
        <v>535</v>
      </c>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c r="AT160" s="86"/>
      <c r="AU160" s="86"/>
      <c r="AV160" s="86"/>
      <c r="AW160" s="86"/>
      <c r="AX160" s="86"/>
      <c r="AY160" s="86"/>
      <c r="AZ160" s="86"/>
      <c r="BA160" s="86"/>
      <c r="BB160" s="86"/>
      <c r="BC160" s="86"/>
      <c r="BD160" s="86"/>
      <c r="BE160" s="86"/>
      <c r="BF160" s="86"/>
      <c r="BG160" s="86"/>
      <c r="BH160" s="86"/>
      <c r="BI160" s="86"/>
      <c r="BJ160" s="86"/>
      <c r="BK160" s="86"/>
      <c r="BL160" s="86"/>
      <c r="BM160" s="86"/>
      <c r="BN160" s="86"/>
      <c r="BO160" s="86"/>
      <c r="BP160" s="86"/>
      <c r="BQ160" s="86"/>
      <c r="BR160" s="86"/>
      <c r="BS160" s="86"/>
      <c r="BT160" s="86"/>
      <c r="BU160" s="86"/>
      <c r="BV160" s="86"/>
      <c r="BW160" s="86"/>
      <c r="BX160" s="86"/>
      <c r="BY160" s="86"/>
      <c r="BZ160" s="86"/>
      <c r="CA160" s="86"/>
      <c r="CB160" s="86"/>
      <c r="CC160" s="86"/>
      <c r="CD160" s="87"/>
      <c r="CE160" s="53"/>
      <c r="CF160" s="54" t="s">
        <v>308</v>
      </c>
    </row>
    <row r="161" spans="1:84" ht="12" customHeight="1" x14ac:dyDescent="0.15">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4"/>
      <c r="CF161" s="15" t="s">
        <v>177</v>
      </c>
    </row>
    <row r="162" spans="1:84" ht="12" customHeight="1" x14ac:dyDescent="0.15">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4"/>
      <c r="CF162" s="15" t="s">
        <v>178</v>
      </c>
    </row>
    <row r="163" spans="1:84" ht="12" customHeight="1" x14ac:dyDescent="0.15">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4"/>
      <c r="CF163" s="15" t="s">
        <v>179</v>
      </c>
    </row>
    <row r="164" spans="1:84" ht="12" customHeight="1" x14ac:dyDescent="0.15">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4"/>
      <c r="CF164" s="15" t="s">
        <v>180</v>
      </c>
    </row>
    <row r="165" spans="1:84" ht="12" customHeight="1" x14ac:dyDescent="0.15">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4"/>
      <c r="CF165" s="15" t="s">
        <v>181</v>
      </c>
    </row>
    <row r="166" spans="1:84" ht="12" customHeight="1" x14ac:dyDescent="0.15">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4"/>
      <c r="CF166" s="15" t="s">
        <v>182</v>
      </c>
    </row>
    <row r="167" spans="1:84" ht="12" customHeight="1" x14ac:dyDescent="0.15">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4"/>
      <c r="CF167" s="15" t="s">
        <v>183</v>
      </c>
    </row>
    <row r="168" spans="1:84" ht="12" customHeight="1" x14ac:dyDescent="0.15">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4"/>
      <c r="CF168" s="15" t="s">
        <v>184</v>
      </c>
    </row>
    <row r="169" spans="1:84" ht="12" customHeight="1" x14ac:dyDescent="0.15">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4"/>
      <c r="CF169" s="15" t="s">
        <v>306</v>
      </c>
    </row>
    <row r="170" spans="1:84" ht="12" customHeight="1" x14ac:dyDescent="0.15">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4"/>
      <c r="CF170" s="15" t="s">
        <v>309</v>
      </c>
    </row>
    <row r="171" spans="1:84" ht="12" customHeight="1" x14ac:dyDescent="0.15">
      <c r="A171" s="3"/>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4"/>
      <c r="CF171" s="15" t="s">
        <v>310</v>
      </c>
    </row>
    <row r="172" spans="1:84" ht="12" customHeight="1" x14ac:dyDescent="0.15">
      <c r="A172" s="3"/>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4"/>
      <c r="CF172" s="15" t="s">
        <v>311</v>
      </c>
    </row>
    <row r="173" spans="1:84" ht="12" customHeight="1" thickBot="1" x14ac:dyDescent="0.2">
      <c r="A173" s="16"/>
      <c r="B173" s="17"/>
      <c r="C173" s="17"/>
      <c r="D173" s="17"/>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9"/>
      <c r="CF173" s="15" t="s">
        <v>312</v>
      </c>
    </row>
    <row r="174" spans="1:84" ht="12" customHeight="1" x14ac:dyDescent="0.15">
      <c r="A174" s="1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4"/>
      <c r="CF174" s="15" t="s">
        <v>313</v>
      </c>
    </row>
    <row r="175" spans="1:84" ht="12" customHeight="1" x14ac:dyDescent="0.15">
      <c r="A175" s="3"/>
      <c r="B175" s="1"/>
      <c r="C175" s="1"/>
      <c r="D175" s="1"/>
      <c r="E175" s="90" t="s">
        <v>150</v>
      </c>
      <c r="F175" s="90"/>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t="s">
        <v>151</v>
      </c>
      <c r="AG175" s="90"/>
      <c r="AH175" s="90"/>
      <c r="AI175" s="90" t="s">
        <v>152</v>
      </c>
      <c r="AJ175" s="90"/>
      <c r="AK175" s="90"/>
      <c r="AL175" s="90" t="s">
        <v>153</v>
      </c>
      <c r="AM175" s="90"/>
      <c r="AN175" s="90"/>
      <c r="AO175" s="90" t="s">
        <v>154</v>
      </c>
      <c r="AP175" s="90"/>
      <c r="AQ175" s="90"/>
      <c r="AR175" s="90" t="s">
        <v>155</v>
      </c>
      <c r="AS175" s="90"/>
      <c r="AT175" s="90"/>
      <c r="AU175" s="90" t="s">
        <v>156</v>
      </c>
      <c r="AV175" s="90"/>
      <c r="AW175" s="90"/>
      <c r="AX175" s="90" t="s">
        <v>157</v>
      </c>
      <c r="AY175" s="90"/>
      <c r="AZ175" s="90"/>
      <c r="BA175" s="90" t="s">
        <v>141</v>
      </c>
      <c r="BB175" s="90"/>
      <c r="BC175" s="90"/>
      <c r="BD175" s="90"/>
      <c r="BE175" s="90"/>
      <c r="BF175" s="90"/>
      <c r="BG175" s="90"/>
      <c r="BH175" s="90"/>
      <c r="BI175" s="90"/>
      <c r="BJ175" s="90"/>
      <c r="BK175" s="90"/>
      <c r="BL175" s="90"/>
      <c r="BM175" s="90"/>
      <c r="BN175" s="90"/>
      <c r="BO175" s="90"/>
      <c r="BP175" s="90"/>
      <c r="BQ175" s="90"/>
      <c r="BR175" s="90"/>
      <c r="BS175" s="90"/>
      <c r="BT175" s="90"/>
      <c r="BU175" s="90"/>
      <c r="BV175" s="20"/>
      <c r="BW175" s="20"/>
      <c r="BX175" s="20"/>
      <c r="BY175" s="20"/>
      <c r="BZ175" s="20"/>
      <c r="CA175" s="20"/>
      <c r="CB175" s="20"/>
      <c r="CC175" s="20"/>
      <c r="CD175" s="20"/>
      <c r="CE175" s="4"/>
      <c r="CF175" s="15" t="s">
        <v>225</v>
      </c>
    </row>
    <row r="176" spans="1:84" ht="12" customHeight="1" x14ac:dyDescent="0.15">
      <c r="A176" s="3"/>
      <c r="B176" s="1"/>
      <c r="C176" s="1"/>
      <c r="D176" s="1"/>
      <c r="E176" s="88" t="s">
        <v>223</v>
      </c>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9" t="s">
        <v>124</v>
      </c>
      <c r="AG176" s="89"/>
      <c r="AH176" s="89"/>
      <c r="AI176" s="89" t="s">
        <v>124</v>
      </c>
      <c r="AJ176" s="89"/>
      <c r="AK176" s="89"/>
      <c r="AL176" s="89" t="s">
        <v>124</v>
      </c>
      <c r="AM176" s="89"/>
      <c r="AN176" s="89"/>
      <c r="AO176" s="89" t="s">
        <v>124</v>
      </c>
      <c r="AP176" s="89"/>
      <c r="AQ176" s="89"/>
      <c r="AR176" s="89" t="s">
        <v>124</v>
      </c>
      <c r="AS176" s="89"/>
      <c r="AT176" s="89"/>
      <c r="AU176" s="89" t="s">
        <v>124</v>
      </c>
      <c r="AV176" s="89"/>
      <c r="AW176" s="89"/>
      <c r="AX176" s="89" t="s">
        <v>124</v>
      </c>
      <c r="AY176" s="89"/>
      <c r="AZ176" s="89"/>
      <c r="BA176" s="88" t="s">
        <v>194</v>
      </c>
      <c r="BB176" s="88"/>
      <c r="BC176" s="88"/>
      <c r="BD176" s="88"/>
      <c r="BE176" s="88"/>
      <c r="BF176" s="88"/>
      <c r="BG176" s="88"/>
      <c r="BH176" s="88"/>
      <c r="BI176" s="88"/>
      <c r="BJ176" s="88"/>
      <c r="BK176" s="88"/>
      <c r="BL176" s="88"/>
      <c r="BM176" s="88"/>
      <c r="BN176" s="88"/>
      <c r="BO176" s="88"/>
      <c r="BP176" s="88"/>
      <c r="BQ176" s="88"/>
      <c r="BR176" s="88"/>
      <c r="BS176" s="88"/>
      <c r="BT176" s="88"/>
      <c r="BU176" s="88"/>
      <c r="BV176" s="20"/>
      <c r="BW176" s="20"/>
      <c r="BX176" s="20"/>
      <c r="BY176" s="20"/>
      <c r="BZ176" s="20"/>
      <c r="CA176" s="20"/>
      <c r="CB176" s="20"/>
      <c r="CC176" s="20"/>
      <c r="CD176" s="20"/>
      <c r="CE176" s="4"/>
      <c r="CF176" s="15" t="s">
        <v>314</v>
      </c>
    </row>
    <row r="177" spans="1:88" ht="12" customHeight="1" x14ac:dyDescent="0.15">
      <c r="A177" s="3"/>
      <c r="B177" s="1"/>
      <c r="C177" s="1"/>
      <c r="D177" s="1"/>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9"/>
      <c r="AG177" s="89"/>
      <c r="AH177" s="89"/>
      <c r="AI177" s="89"/>
      <c r="AJ177" s="89"/>
      <c r="AK177" s="89"/>
      <c r="AL177" s="89"/>
      <c r="AM177" s="89"/>
      <c r="AN177" s="89"/>
      <c r="AO177" s="89"/>
      <c r="AP177" s="89"/>
      <c r="AQ177" s="89"/>
      <c r="AR177" s="89"/>
      <c r="AS177" s="89"/>
      <c r="AT177" s="89"/>
      <c r="AU177" s="89"/>
      <c r="AV177" s="89"/>
      <c r="AW177" s="89"/>
      <c r="AX177" s="89"/>
      <c r="AY177" s="89"/>
      <c r="AZ177" s="89"/>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21"/>
      <c r="BW177" s="21"/>
      <c r="BX177" s="21"/>
      <c r="BY177" s="21"/>
      <c r="BZ177" s="21"/>
      <c r="CA177" s="21"/>
      <c r="CB177" s="21"/>
      <c r="CC177" s="21"/>
      <c r="CD177" s="21"/>
      <c r="CE177" s="4"/>
      <c r="CF177" s="15" t="s">
        <v>315</v>
      </c>
    </row>
    <row r="178" spans="1:88" ht="12" customHeight="1" x14ac:dyDescent="0.15">
      <c r="A178" s="3"/>
      <c r="B178" s="1"/>
      <c r="C178" s="1"/>
      <c r="D178" s="1"/>
      <c r="E178" s="88" t="s">
        <v>325</v>
      </c>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9" t="s">
        <v>158</v>
      </c>
      <c r="AG178" s="89"/>
      <c r="AH178" s="89"/>
      <c r="AI178" s="89" t="s">
        <v>158</v>
      </c>
      <c r="AJ178" s="89"/>
      <c r="AK178" s="89"/>
      <c r="AL178" s="89" t="s">
        <v>158</v>
      </c>
      <c r="AM178" s="89"/>
      <c r="AN178" s="89"/>
      <c r="AO178" s="89" t="s">
        <v>158</v>
      </c>
      <c r="AP178" s="89"/>
      <c r="AQ178" s="89"/>
      <c r="AR178" s="89" t="s">
        <v>158</v>
      </c>
      <c r="AS178" s="89"/>
      <c r="AT178" s="89"/>
      <c r="AU178" s="89" t="s">
        <v>158</v>
      </c>
      <c r="AV178" s="89"/>
      <c r="AW178" s="89"/>
      <c r="AX178" s="89" t="s">
        <v>158</v>
      </c>
      <c r="AY178" s="89"/>
      <c r="AZ178" s="89"/>
      <c r="BA178" s="88" t="s">
        <v>360</v>
      </c>
      <c r="BB178" s="88"/>
      <c r="BC178" s="88"/>
      <c r="BD178" s="88"/>
      <c r="BE178" s="88"/>
      <c r="BF178" s="88"/>
      <c r="BG178" s="88"/>
      <c r="BH178" s="88"/>
      <c r="BI178" s="88"/>
      <c r="BJ178" s="88"/>
      <c r="BK178" s="88"/>
      <c r="BL178" s="88"/>
      <c r="BM178" s="88"/>
      <c r="BN178" s="88"/>
      <c r="BO178" s="88"/>
      <c r="BP178" s="88"/>
      <c r="BQ178" s="88"/>
      <c r="BR178" s="88"/>
      <c r="BS178" s="88"/>
      <c r="BT178" s="88"/>
      <c r="BU178" s="88"/>
      <c r="BV178" s="20"/>
      <c r="BW178" s="20"/>
      <c r="BX178" s="20"/>
      <c r="BY178" s="20"/>
      <c r="BZ178" s="20"/>
      <c r="CA178" s="20"/>
      <c r="CB178" s="20"/>
      <c r="CC178" s="20"/>
      <c r="CD178" s="20"/>
      <c r="CE178" s="4"/>
      <c r="CF178" s="15" t="s">
        <v>316</v>
      </c>
    </row>
    <row r="179" spans="1:88" ht="12" customHeight="1" x14ac:dyDescent="0.15">
      <c r="A179" s="3"/>
      <c r="B179" s="1"/>
      <c r="C179" s="1"/>
      <c r="D179" s="1"/>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9"/>
      <c r="AG179" s="89"/>
      <c r="AH179" s="89"/>
      <c r="AI179" s="89"/>
      <c r="AJ179" s="89"/>
      <c r="AK179" s="89"/>
      <c r="AL179" s="89"/>
      <c r="AM179" s="89"/>
      <c r="AN179" s="89"/>
      <c r="AO179" s="89"/>
      <c r="AP179" s="89"/>
      <c r="AQ179" s="89"/>
      <c r="AR179" s="89"/>
      <c r="AS179" s="89"/>
      <c r="AT179" s="89"/>
      <c r="AU179" s="89"/>
      <c r="AV179" s="89"/>
      <c r="AW179" s="89"/>
      <c r="AX179" s="89"/>
      <c r="AY179" s="89"/>
      <c r="AZ179" s="89"/>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20"/>
      <c r="BW179" s="20"/>
      <c r="BX179" s="20"/>
      <c r="BY179" s="20"/>
      <c r="BZ179" s="20"/>
      <c r="CA179" s="20"/>
      <c r="CB179" s="20"/>
      <c r="CC179" s="20"/>
      <c r="CD179" s="20"/>
      <c r="CE179" s="4"/>
      <c r="CF179" s="15" t="s">
        <v>317</v>
      </c>
    </row>
    <row r="180" spans="1:88" ht="12" customHeight="1" x14ac:dyDescent="0.15">
      <c r="A180" s="3"/>
      <c r="B180" s="1"/>
      <c r="C180" s="1"/>
      <c r="D180" s="1"/>
      <c r="E180" s="88" t="s">
        <v>287</v>
      </c>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9" t="s">
        <v>158</v>
      </c>
      <c r="AG180" s="89"/>
      <c r="AH180" s="89"/>
      <c r="AI180" s="89" t="s">
        <v>158</v>
      </c>
      <c r="AJ180" s="89"/>
      <c r="AK180" s="89"/>
      <c r="AL180" s="89" t="s">
        <v>158</v>
      </c>
      <c r="AM180" s="89"/>
      <c r="AN180" s="89"/>
      <c r="AO180" s="89" t="s">
        <v>158</v>
      </c>
      <c r="AP180" s="89"/>
      <c r="AQ180" s="89"/>
      <c r="AR180" s="89" t="s">
        <v>158</v>
      </c>
      <c r="AS180" s="89"/>
      <c r="AT180" s="89"/>
      <c r="AU180" s="89" t="s">
        <v>158</v>
      </c>
      <c r="AV180" s="89"/>
      <c r="AW180" s="89"/>
      <c r="AX180" s="89" t="s">
        <v>158</v>
      </c>
      <c r="AY180" s="89"/>
      <c r="AZ180" s="89"/>
      <c r="BA180" s="88" t="s">
        <v>211</v>
      </c>
      <c r="BB180" s="88"/>
      <c r="BC180" s="88"/>
      <c r="BD180" s="88"/>
      <c r="BE180" s="88"/>
      <c r="BF180" s="88"/>
      <c r="BG180" s="88"/>
      <c r="BH180" s="88"/>
      <c r="BI180" s="88"/>
      <c r="BJ180" s="88"/>
      <c r="BK180" s="88"/>
      <c r="BL180" s="88"/>
      <c r="BM180" s="88"/>
      <c r="BN180" s="88"/>
      <c r="BO180" s="88"/>
      <c r="BP180" s="88"/>
      <c r="BQ180" s="88"/>
      <c r="BR180" s="88"/>
      <c r="BS180" s="88"/>
      <c r="BT180" s="88"/>
      <c r="BU180" s="88"/>
      <c r="BV180" s="20"/>
      <c r="BW180" s="20"/>
      <c r="BX180" s="20"/>
      <c r="BY180" s="20"/>
      <c r="BZ180" s="20"/>
      <c r="CA180" s="20"/>
      <c r="CB180" s="20"/>
      <c r="CC180" s="20"/>
      <c r="CD180" s="20"/>
      <c r="CE180" s="4"/>
      <c r="CF180" s="15" t="s">
        <v>318</v>
      </c>
    </row>
    <row r="181" spans="1:88" ht="12" customHeight="1" x14ac:dyDescent="0.15">
      <c r="A181" s="3"/>
      <c r="B181" s="1"/>
      <c r="C181" s="1"/>
      <c r="D181" s="1"/>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9"/>
      <c r="AG181" s="89"/>
      <c r="AH181" s="89"/>
      <c r="AI181" s="89"/>
      <c r="AJ181" s="89"/>
      <c r="AK181" s="89"/>
      <c r="AL181" s="89"/>
      <c r="AM181" s="89"/>
      <c r="AN181" s="89"/>
      <c r="AO181" s="89"/>
      <c r="AP181" s="89"/>
      <c r="AQ181" s="89"/>
      <c r="AR181" s="89"/>
      <c r="AS181" s="89"/>
      <c r="AT181" s="89"/>
      <c r="AU181" s="89"/>
      <c r="AV181" s="89"/>
      <c r="AW181" s="89"/>
      <c r="AX181" s="89"/>
      <c r="AY181" s="89"/>
      <c r="AZ181" s="89"/>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20"/>
      <c r="BW181" s="20"/>
      <c r="BX181" s="20"/>
      <c r="BY181" s="20"/>
      <c r="BZ181" s="20"/>
      <c r="CA181" s="20"/>
      <c r="CB181" s="20"/>
      <c r="CC181" s="20"/>
      <c r="CD181" s="20"/>
      <c r="CE181" s="4"/>
      <c r="CF181" s="15" t="s">
        <v>319</v>
      </c>
    </row>
    <row r="182" spans="1:88" ht="12" customHeight="1" x14ac:dyDescent="0.15">
      <c r="A182" s="50"/>
      <c r="B182" s="51"/>
      <c r="C182" s="51"/>
      <c r="D182" s="51"/>
      <c r="E182" s="78" t="s">
        <v>511</v>
      </c>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9" t="s">
        <v>158</v>
      </c>
      <c r="AG182" s="79"/>
      <c r="AH182" s="79"/>
      <c r="AI182" s="79" t="s">
        <v>158</v>
      </c>
      <c r="AJ182" s="79"/>
      <c r="AK182" s="79"/>
      <c r="AL182" s="79" t="s">
        <v>158</v>
      </c>
      <c r="AM182" s="79"/>
      <c r="AN182" s="79"/>
      <c r="AO182" s="79" t="s">
        <v>158</v>
      </c>
      <c r="AP182" s="79"/>
      <c r="AQ182" s="79"/>
      <c r="AR182" s="79" t="s">
        <v>158</v>
      </c>
      <c r="AS182" s="79"/>
      <c r="AT182" s="79"/>
      <c r="AU182" s="79" t="s">
        <v>158</v>
      </c>
      <c r="AV182" s="79"/>
      <c r="AW182" s="79"/>
      <c r="AX182" s="79" t="s">
        <v>158</v>
      </c>
      <c r="AY182" s="79"/>
      <c r="AZ182" s="79"/>
      <c r="BA182" s="78" t="s">
        <v>370</v>
      </c>
      <c r="BB182" s="78"/>
      <c r="BC182" s="78"/>
      <c r="BD182" s="78"/>
      <c r="BE182" s="78"/>
      <c r="BF182" s="78"/>
      <c r="BG182" s="78"/>
      <c r="BH182" s="78"/>
      <c r="BI182" s="78"/>
      <c r="BJ182" s="78"/>
      <c r="BK182" s="78"/>
      <c r="BL182" s="78"/>
      <c r="BM182" s="78"/>
      <c r="BN182" s="78"/>
      <c r="BO182" s="78"/>
      <c r="BP182" s="78"/>
      <c r="BQ182" s="78"/>
      <c r="BR182" s="78"/>
      <c r="BS182" s="78"/>
      <c r="BT182" s="80"/>
      <c r="BU182" s="80"/>
      <c r="BV182" s="56"/>
      <c r="BW182" s="56"/>
      <c r="BX182" s="56"/>
      <c r="BY182" s="56"/>
      <c r="BZ182" s="56"/>
      <c r="CA182" s="56"/>
      <c r="CB182" s="56"/>
      <c r="CC182" s="56"/>
      <c r="CD182" s="56"/>
      <c r="CE182" s="53"/>
      <c r="CF182" s="15" t="s">
        <v>187</v>
      </c>
    </row>
    <row r="183" spans="1:88" ht="12" customHeight="1" x14ac:dyDescent="0.15">
      <c r="A183" s="50"/>
      <c r="B183" s="51"/>
      <c r="C183" s="51"/>
      <c r="D183" s="51"/>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9"/>
      <c r="AG183" s="79"/>
      <c r="AH183" s="79"/>
      <c r="AI183" s="79"/>
      <c r="AJ183" s="79"/>
      <c r="AK183" s="79"/>
      <c r="AL183" s="79"/>
      <c r="AM183" s="79"/>
      <c r="AN183" s="79"/>
      <c r="AO183" s="79"/>
      <c r="AP183" s="79"/>
      <c r="AQ183" s="79"/>
      <c r="AR183" s="79"/>
      <c r="AS183" s="79"/>
      <c r="AT183" s="79"/>
      <c r="AU183" s="79"/>
      <c r="AV183" s="79"/>
      <c r="AW183" s="79"/>
      <c r="AX183" s="79"/>
      <c r="AY183" s="79"/>
      <c r="AZ183" s="79"/>
      <c r="BA183" s="78"/>
      <c r="BB183" s="78"/>
      <c r="BC183" s="78"/>
      <c r="BD183" s="78"/>
      <c r="BE183" s="78"/>
      <c r="BF183" s="78"/>
      <c r="BG183" s="78"/>
      <c r="BH183" s="78"/>
      <c r="BI183" s="78"/>
      <c r="BJ183" s="78"/>
      <c r="BK183" s="78"/>
      <c r="BL183" s="78"/>
      <c r="BM183" s="78"/>
      <c r="BN183" s="78"/>
      <c r="BO183" s="78"/>
      <c r="BP183" s="78"/>
      <c r="BQ183" s="78"/>
      <c r="BR183" s="78"/>
      <c r="BS183" s="78"/>
      <c r="BT183" s="80"/>
      <c r="BU183" s="80"/>
      <c r="BV183" s="57"/>
      <c r="BW183" s="57"/>
      <c r="BX183" s="57"/>
      <c r="BY183" s="57"/>
      <c r="BZ183" s="57"/>
      <c r="CA183" s="57"/>
      <c r="CB183" s="57"/>
      <c r="CC183" s="57"/>
      <c r="CD183" s="57"/>
      <c r="CE183" s="53"/>
      <c r="CF183" s="15" t="s">
        <v>326</v>
      </c>
    </row>
    <row r="184" spans="1:88" ht="12" customHeight="1" x14ac:dyDescent="0.15">
      <c r="A184" s="50"/>
      <c r="B184" s="51"/>
      <c r="C184" s="51"/>
      <c r="D184" s="51"/>
      <c r="E184" s="78" t="s">
        <v>510</v>
      </c>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9" t="s">
        <v>158</v>
      </c>
      <c r="AG184" s="79"/>
      <c r="AH184" s="79"/>
      <c r="AI184" s="79" t="s">
        <v>158</v>
      </c>
      <c r="AJ184" s="79"/>
      <c r="AK184" s="79"/>
      <c r="AL184" s="79" t="s">
        <v>158</v>
      </c>
      <c r="AM184" s="79"/>
      <c r="AN184" s="79"/>
      <c r="AO184" s="79" t="s">
        <v>158</v>
      </c>
      <c r="AP184" s="79"/>
      <c r="AQ184" s="79"/>
      <c r="AR184" s="79" t="s">
        <v>158</v>
      </c>
      <c r="AS184" s="79"/>
      <c r="AT184" s="79"/>
      <c r="AU184" s="79" t="s">
        <v>158</v>
      </c>
      <c r="AV184" s="79"/>
      <c r="AW184" s="79"/>
      <c r="AX184" s="79" t="s">
        <v>158</v>
      </c>
      <c r="AY184" s="79"/>
      <c r="AZ184" s="79"/>
      <c r="BA184" s="78" t="s">
        <v>370</v>
      </c>
      <c r="BB184" s="78"/>
      <c r="BC184" s="78"/>
      <c r="BD184" s="78"/>
      <c r="BE184" s="78"/>
      <c r="BF184" s="78"/>
      <c r="BG184" s="78"/>
      <c r="BH184" s="78"/>
      <c r="BI184" s="78"/>
      <c r="BJ184" s="78"/>
      <c r="BK184" s="78"/>
      <c r="BL184" s="78"/>
      <c r="BM184" s="78"/>
      <c r="BN184" s="78"/>
      <c r="BO184" s="78"/>
      <c r="BP184" s="78"/>
      <c r="BQ184" s="78"/>
      <c r="BR184" s="78"/>
      <c r="BS184" s="78"/>
      <c r="BT184" s="80"/>
      <c r="BU184" s="80"/>
      <c r="BV184" s="56"/>
      <c r="BW184" s="56"/>
      <c r="BX184" s="56"/>
      <c r="BY184" s="56"/>
      <c r="BZ184" s="56"/>
      <c r="CA184" s="56"/>
      <c r="CB184" s="56"/>
      <c r="CC184" s="56"/>
      <c r="CD184" s="56"/>
      <c r="CE184" s="53"/>
      <c r="CF184" s="15" t="s">
        <v>187</v>
      </c>
    </row>
    <row r="185" spans="1:88" ht="12" customHeight="1" x14ac:dyDescent="0.15">
      <c r="A185" s="50"/>
      <c r="B185" s="51"/>
      <c r="C185" s="51"/>
      <c r="D185" s="51"/>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9"/>
      <c r="AG185" s="79"/>
      <c r="AH185" s="79"/>
      <c r="AI185" s="79"/>
      <c r="AJ185" s="79"/>
      <c r="AK185" s="79"/>
      <c r="AL185" s="79"/>
      <c r="AM185" s="79"/>
      <c r="AN185" s="79"/>
      <c r="AO185" s="79"/>
      <c r="AP185" s="79"/>
      <c r="AQ185" s="79"/>
      <c r="AR185" s="79"/>
      <c r="AS185" s="79"/>
      <c r="AT185" s="79"/>
      <c r="AU185" s="79"/>
      <c r="AV185" s="79"/>
      <c r="AW185" s="79"/>
      <c r="AX185" s="79"/>
      <c r="AY185" s="79"/>
      <c r="AZ185" s="79"/>
      <c r="BA185" s="78"/>
      <c r="BB185" s="78"/>
      <c r="BC185" s="78"/>
      <c r="BD185" s="78"/>
      <c r="BE185" s="78"/>
      <c r="BF185" s="78"/>
      <c r="BG185" s="78"/>
      <c r="BH185" s="78"/>
      <c r="BI185" s="78"/>
      <c r="BJ185" s="78"/>
      <c r="BK185" s="78"/>
      <c r="BL185" s="78"/>
      <c r="BM185" s="78"/>
      <c r="BN185" s="78"/>
      <c r="BO185" s="78"/>
      <c r="BP185" s="78"/>
      <c r="BQ185" s="78"/>
      <c r="BR185" s="78"/>
      <c r="BS185" s="78"/>
      <c r="BT185" s="80"/>
      <c r="BU185" s="80"/>
      <c r="BV185" s="57"/>
      <c r="BW185" s="57"/>
      <c r="BX185" s="57"/>
      <c r="BY185" s="57"/>
      <c r="BZ185" s="57"/>
      <c r="CA185" s="57"/>
      <c r="CB185" s="57"/>
      <c r="CC185" s="57"/>
      <c r="CD185" s="57"/>
      <c r="CE185" s="53"/>
      <c r="CF185" s="15" t="s">
        <v>326</v>
      </c>
    </row>
    <row r="186" spans="1:88" ht="12" customHeight="1" x14ac:dyDescent="0.15">
      <c r="A186" s="3"/>
      <c r="B186" s="1"/>
      <c r="G186" s="20"/>
      <c r="H186" s="20"/>
      <c r="I186" s="20"/>
      <c r="J186" s="20"/>
      <c r="K186" s="20"/>
      <c r="L186" s="20"/>
      <c r="M186" s="20"/>
      <c r="N186" s="20"/>
      <c r="O186" s="20"/>
      <c r="P186" s="20"/>
      <c r="Q186" s="20"/>
      <c r="R186" s="20"/>
      <c r="S186" s="20"/>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4"/>
      <c r="CF186" s="15" t="s">
        <v>320</v>
      </c>
    </row>
    <row r="187" spans="1:88" ht="12" customHeight="1" x14ac:dyDescent="0.15">
      <c r="A187" s="3"/>
      <c r="B187" s="1"/>
      <c r="D187" s="2" t="s">
        <v>224</v>
      </c>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4"/>
      <c r="CF187" s="15" t="s">
        <v>321</v>
      </c>
    </row>
    <row r="188" spans="1:88" ht="12" customHeight="1" x14ac:dyDescent="0.15">
      <c r="A188" s="3"/>
      <c r="B188" s="1"/>
      <c r="C188" s="1"/>
      <c r="D188" s="1"/>
      <c r="E188" s="69" t="s">
        <v>514</v>
      </c>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4"/>
      <c r="CF188" s="15" t="s">
        <v>322</v>
      </c>
      <c r="CJ188" s="33"/>
    </row>
    <row r="189" spans="1:88" ht="12" customHeight="1" x14ac:dyDescent="0.15">
      <c r="A189" s="49"/>
      <c r="B189" s="1"/>
      <c r="C189" s="1"/>
      <c r="D189" s="1"/>
      <c r="E189" s="1" t="s">
        <v>512</v>
      </c>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4"/>
      <c r="CF189" s="15" t="s">
        <v>323</v>
      </c>
    </row>
    <row r="190" spans="1:88" ht="12" customHeight="1" x14ac:dyDescent="0.15">
      <c r="A190" s="3"/>
      <c r="B190" s="1"/>
      <c r="C190" s="1"/>
      <c r="D190" s="1"/>
      <c r="E190" s="3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4"/>
      <c r="CF190" s="15" t="s">
        <v>324</v>
      </c>
    </row>
    <row r="191" spans="1:88" ht="12" customHeight="1" x14ac:dyDescent="0.15">
      <c r="A191" s="3"/>
      <c r="B191" s="1"/>
      <c r="C191" s="1"/>
      <c r="D191" s="1"/>
      <c r="E191" s="31"/>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4"/>
      <c r="CF191" s="15" t="s">
        <v>185</v>
      </c>
    </row>
    <row r="192" spans="1:88" ht="12" customHeight="1" x14ac:dyDescent="0.15">
      <c r="A192" s="3"/>
      <c r="B192" s="1"/>
      <c r="C192" s="1"/>
      <c r="D192" s="1"/>
      <c r="BT192" s="21"/>
      <c r="BU192" s="21"/>
      <c r="BV192" s="21"/>
      <c r="BW192" s="21"/>
      <c r="BX192" s="21"/>
      <c r="BY192" s="21"/>
      <c r="BZ192" s="21"/>
      <c r="CA192" s="21"/>
      <c r="CB192" s="21"/>
      <c r="CC192" s="21"/>
      <c r="CD192" s="21"/>
      <c r="CE192" s="4"/>
      <c r="CF192" s="15" t="s">
        <v>186</v>
      </c>
    </row>
    <row r="193" spans="1:84" ht="12" customHeight="1" x14ac:dyDescent="0.15">
      <c r="A193" s="3"/>
      <c r="B193" s="1"/>
      <c r="C193" s="1"/>
      <c r="D193" s="1"/>
      <c r="BT193" s="21"/>
      <c r="BU193" s="21"/>
      <c r="BV193" s="21"/>
      <c r="BW193" s="21"/>
      <c r="BX193" s="21"/>
      <c r="BY193" s="21"/>
      <c r="BZ193" s="21"/>
      <c r="CA193" s="21"/>
      <c r="CB193" s="21"/>
      <c r="CC193" s="21"/>
      <c r="CD193" s="21"/>
      <c r="CE193" s="4"/>
      <c r="CF193" s="15" t="s">
        <v>327</v>
      </c>
    </row>
    <row r="194" spans="1:84" ht="12" customHeight="1" x14ac:dyDescent="0.15">
      <c r="A194" s="3"/>
      <c r="B194" s="1"/>
      <c r="C194" s="1"/>
      <c r="D194" s="1"/>
      <c r="BT194" s="21"/>
      <c r="BU194" s="21"/>
      <c r="BV194" s="21"/>
      <c r="BW194" s="21"/>
      <c r="BX194" s="21"/>
      <c r="BY194" s="21"/>
      <c r="BZ194" s="21"/>
      <c r="CA194" s="21"/>
      <c r="CB194" s="21"/>
      <c r="CC194" s="21"/>
      <c r="CD194" s="21"/>
      <c r="CE194" s="4"/>
      <c r="CF194" s="15" t="s">
        <v>328</v>
      </c>
    </row>
    <row r="195" spans="1:84" ht="12" customHeight="1" x14ac:dyDescent="0.15">
      <c r="A195" s="3"/>
      <c r="B195" s="1"/>
      <c r="C195" s="1"/>
      <c r="D195" s="1"/>
      <c r="BT195" s="21"/>
      <c r="BU195" s="21"/>
      <c r="BV195" s="21"/>
      <c r="BW195" s="21"/>
      <c r="BX195" s="21"/>
      <c r="BY195" s="21"/>
      <c r="BZ195" s="21"/>
      <c r="CA195" s="21"/>
      <c r="CB195" s="21"/>
      <c r="CC195" s="21"/>
      <c r="CD195" s="21"/>
      <c r="CE195" s="4"/>
      <c r="CF195" s="15" t="s">
        <v>329</v>
      </c>
    </row>
    <row r="196" spans="1:84" ht="12" customHeight="1" x14ac:dyDescent="0.15">
      <c r="A196" s="3"/>
      <c r="B196" s="1"/>
      <c r="C196" s="1"/>
      <c r="D196" s="1"/>
      <c r="BT196" s="21"/>
      <c r="BU196" s="21"/>
      <c r="BV196" s="21"/>
      <c r="BW196" s="21"/>
      <c r="BX196" s="21"/>
      <c r="BY196" s="21"/>
      <c r="BZ196" s="21"/>
      <c r="CA196" s="21"/>
      <c r="CB196" s="21"/>
      <c r="CC196" s="21"/>
      <c r="CD196" s="21"/>
      <c r="CE196" s="4"/>
      <c r="CF196" s="15" t="s">
        <v>330</v>
      </c>
    </row>
    <row r="197" spans="1:84" ht="12" customHeight="1" x14ac:dyDescent="0.15">
      <c r="A197" s="3"/>
      <c r="B197" s="1"/>
      <c r="C197" s="1"/>
      <c r="D197" s="1"/>
      <c r="BT197" s="21"/>
      <c r="BU197" s="21"/>
      <c r="BV197" s="21"/>
      <c r="BW197" s="21"/>
      <c r="BX197" s="21"/>
      <c r="BY197" s="21"/>
      <c r="BZ197" s="21"/>
      <c r="CA197" s="21"/>
      <c r="CB197" s="21"/>
      <c r="CC197" s="21"/>
      <c r="CD197" s="21"/>
      <c r="CE197" s="4"/>
      <c r="CF197" s="15" t="s">
        <v>331</v>
      </c>
    </row>
    <row r="198" spans="1:84" ht="12" customHeight="1" x14ac:dyDescent="0.15">
      <c r="A198" s="3"/>
      <c r="B198" s="1"/>
      <c r="C198" s="1"/>
      <c r="D198" s="1"/>
      <c r="BT198" s="21"/>
      <c r="BU198" s="21"/>
      <c r="BV198" s="21"/>
      <c r="BW198" s="21"/>
      <c r="BX198" s="21"/>
      <c r="BY198" s="21"/>
      <c r="BZ198" s="21"/>
      <c r="CA198" s="21"/>
      <c r="CB198" s="21"/>
      <c r="CC198" s="21"/>
      <c r="CD198" s="21"/>
      <c r="CE198" s="4"/>
      <c r="CF198" s="15" t="s">
        <v>332</v>
      </c>
    </row>
    <row r="199" spans="1:84" ht="12" customHeight="1" x14ac:dyDescent="0.15">
      <c r="A199" s="3"/>
      <c r="B199" s="1"/>
      <c r="C199" s="1"/>
      <c r="D199" s="1"/>
      <c r="BT199" s="21"/>
      <c r="BU199" s="21"/>
      <c r="BV199" s="21"/>
      <c r="BW199" s="21"/>
      <c r="BX199" s="21"/>
      <c r="BY199" s="21"/>
      <c r="BZ199" s="21"/>
      <c r="CA199" s="21"/>
      <c r="CB199" s="21"/>
      <c r="CC199" s="21"/>
      <c r="CD199" s="21"/>
      <c r="CE199" s="4"/>
      <c r="CF199" s="15" t="s">
        <v>333</v>
      </c>
    </row>
    <row r="200" spans="1:84" ht="12" customHeight="1" x14ac:dyDescent="0.15">
      <c r="A200" s="3"/>
      <c r="B200" s="1"/>
      <c r="C200" s="1"/>
      <c r="D200" s="1"/>
      <c r="BT200" s="21"/>
      <c r="BU200" s="21"/>
      <c r="BV200" s="21"/>
      <c r="BW200" s="21"/>
      <c r="BX200" s="21"/>
      <c r="BY200" s="21"/>
      <c r="BZ200" s="21"/>
      <c r="CA200" s="21"/>
      <c r="CB200" s="21"/>
      <c r="CC200" s="21"/>
      <c r="CD200" s="21"/>
      <c r="CE200" s="4"/>
      <c r="CF200" s="15" t="s">
        <v>334</v>
      </c>
    </row>
    <row r="201" spans="1:84" ht="12" customHeight="1" x14ac:dyDescent="0.15">
      <c r="A201" s="3"/>
      <c r="B201" s="1"/>
      <c r="C201" s="1"/>
      <c r="D201" s="1"/>
      <c r="BT201" s="20"/>
      <c r="BU201" s="20"/>
      <c r="BV201" s="20"/>
      <c r="BW201" s="20"/>
      <c r="BX201" s="20"/>
      <c r="BY201" s="20"/>
      <c r="BZ201" s="20"/>
      <c r="CA201" s="20"/>
      <c r="CB201" s="20"/>
      <c r="CC201" s="20"/>
      <c r="CD201" s="20"/>
      <c r="CE201" s="4"/>
      <c r="CF201" s="15" t="s">
        <v>335</v>
      </c>
    </row>
    <row r="202" spans="1:84" ht="12" customHeight="1" x14ac:dyDescent="0.15">
      <c r="A202" s="3"/>
      <c r="B202" s="1"/>
      <c r="C202" s="1"/>
      <c r="D202" s="1"/>
      <c r="BT202" s="20"/>
      <c r="BU202" s="20"/>
      <c r="BV202" s="20"/>
      <c r="BW202" s="20"/>
      <c r="BX202" s="20"/>
      <c r="BY202" s="20"/>
      <c r="BZ202" s="20"/>
      <c r="CA202" s="20"/>
      <c r="CB202" s="20"/>
      <c r="CC202" s="20"/>
      <c r="CD202" s="20"/>
      <c r="CE202" s="4"/>
      <c r="CF202" s="15" t="s">
        <v>336</v>
      </c>
    </row>
    <row r="203" spans="1:84" ht="12" customHeight="1" x14ac:dyDescent="0.15">
      <c r="A203" s="3"/>
      <c r="B203" s="1"/>
      <c r="C203" s="1"/>
      <c r="D203" s="1"/>
      <c r="BT203" s="20"/>
      <c r="BU203" s="20"/>
      <c r="BV203" s="20"/>
      <c r="BW203" s="20"/>
      <c r="BX203" s="20"/>
      <c r="BY203" s="20"/>
      <c r="BZ203" s="20"/>
      <c r="CA203" s="20"/>
      <c r="CB203" s="20"/>
      <c r="CC203" s="20"/>
      <c r="CD203" s="20"/>
      <c r="CE203" s="4"/>
      <c r="CF203" s="15" t="s">
        <v>337</v>
      </c>
    </row>
    <row r="204" spans="1:84" ht="12" customHeight="1" x14ac:dyDescent="0.15">
      <c r="A204" s="3"/>
      <c r="B204" s="1"/>
      <c r="C204" s="1"/>
      <c r="D204" s="1"/>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4"/>
      <c r="CF204" s="15" t="s">
        <v>338</v>
      </c>
    </row>
    <row r="205" spans="1:84" ht="12" customHeight="1" x14ac:dyDescent="0.15">
      <c r="A205" s="3"/>
      <c r="B205" s="1"/>
      <c r="C205" s="1"/>
      <c r="D205" s="1"/>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4"/>
      <c r="CF205" s="15" t="s">
        <v>339</v>
      </c>
    </row>
    <row r="206" spans="1:84" ht="12" customHeight="1" x14ac:dyDescent="0.15">
      <c r="A206" s="3"/>
      <c r="B206" s="1"/>
      <c r="C206" s="1"/>
      <c r="D206" s="1"/>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4"/>
      <c r="CF206" s="15" t="s">
        <v>340</v>
      </c>
    </row>
    <row r="207" spans="1:84" ht="12" customHeight="1" x14ac:dyDescent="0.15">
      <c r="A207" s="3"/>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4"/>
      <c r="CF207" s="15" t="s">
        <v>341</v>
      </c>
    </row>
    <row r="208" spans="1:84" ht="12" customHeight="1" x14ac:dyDescent="0.15">
      <c r="A208" s="3"/>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4"/>
      <c r="CF208" s="15" t="s">
        <v>342</v>
      </c>
    </row>
    <row r="209" spans="1:84" ht="12" customHeight="1" x14ac:dyDescent="0.15">
      <c r="A209" s="3"/>
      <c r="B209" s="1"/>
      <c r="C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4"/>
      <c r="CF209" s="15" t="s">
        <v>343</v>
      </c>
    </row>
    <row r="210" spans="1:84" ht="12" customHeight="1" x14ac:dyDescent="0.15">
      <c r="A210" s="3"/>
      <c r="B210" s="1"/>
      <c r="C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4"/>
      <c r="CF210" s="15" t="s">
        <v>344</v>
      </c>
    </row>
    <row r="211" spans="1:84" ht="12" customHeight="1" x14ac:dyDescent="0.15">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4"/>
      <c r="CF211" s="15" t="s">
        <v>345</v>
      </c>
    </row>
    <row r="212" spans="1:84" ht="12" customHeight="1" x14ac:dyDescent="0.15">
      <c r="A212" s="3"/>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4"/>
      <c r="CF212" s="15" t="s">
        <v>346</v>
      </c>
    </row>
    <row r="213" spans="1:84" ht="12" customHeight="1" x14ac:dyDescent="0.15">
      <c r="A213" s="3"/>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4"/>
      <c r="CF213" s="15" t="s">
        <v>347</v>
      </c>
    </row>
    <row r="214" spans="1:84" ht="12" customHeight="1" thickBot="1" x14ac:dyDescent="0.2">
      <c r="A214" s="16"/>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9"/>
      <c r="CF214" s="15" t="s">
        <v>348</v>
      </c>
    </row>
  </sheetData>
  <mergeCells count="198">
    <mergeCell ref="F158:S158"/>
    <mergeCell ref="T158:CD158"/>
    <mergeCell ref="F159:S159"/>
    <mergeCell ref="T159:CD159"/>
    <mergeCell ref="F160:S160"/>
    <mergeCell ref="T160:CD160"/>
    <mergeCell ref="E182:AE183"/>
    <mergeCell ref="AF182:AH183"/>
    <mergeCell ref="AI182:AK183"/>
    <mergeCell ref="AL182:AN183"/>
    <mergeCell ref="AO182:AQ183"/>
    <mergeCell ref="AR182:AT183"/>
    <mergeCell ref="AU182:AW183"/>
    <mergeCell ref="AX182:AZ183"/>
    <mergeCell ref="BA182:BU183"/>
    <mergeCell ref="BA175:BU175"/>
    <mergeCell ref="BA176:BU177"/>
    <mergeCell ref="BA178:BU179"/>
    <mergeCell ref="AI180:AK181"/>
    <mergeCell ref="AL178:AN179"/>
    <mergeCell ref="AO178:AQ179"/>
    <mergeCell ref="AR178:AT179"/>
    <mergeCell ref="AO180:AQ181"/>
    <mergeCell ref="AR180:AT181"/>
    <mergeCell ref="F153:S153"/>
    <mergeCell ref="T153:CD153"/>
    <mergeCell ref="F154:S154"/>
    <mergeCell ref="T154:CD154"/>
    <mergeCell ref="F155:S155"/>
    <mergeCell ref="T155:CD155"/>
    <mergeCell ref="F156:S156"/>
    <mergeCell ref="T156:CD156"/>
    <mergeCell ref="F157:S157"/>
    <mergeCell ref="T157:CD157"/>
    <mergeCell ref="F152:S152"/>
    <mergeCell ref="T152:CD152"/>
    <mergeCell ref="F143:S143"/>
    <mergeCell ref="T143:CD143"/>
    <mergeCell ref="F144:S144"/>
    <mergeCell ref="T144:CD144"/>
    <mergeCell ref="F145:S145"/>
    <mergeCell ref="T145:CD145"/>
    <mergeCell ref="F146:S146"/>
    <mergeCell ref="T146:CD146"/>
    <mergeCell ref="F147:S147"/>
    <mergeCell ref="T147:CD147"/>
    <mergeCell ref="F148:S148"/>
    <mergeCell ref="T148:CD148"/>
    <mergeCell ref="F149:S149"/>
    <mergeCell ref="T149:CD149"/>
    <mergeCell ref="BA180:BU181"/>
    <mergeCell ref="AL175:AN175"/>
    <mergeCell ref="R53:BS53"/>
    <mergeCell ref="F121:S121"/>
    <mergeCell ref="F133:S133"/>
    <mergeCell ref="F134:S134"/>
    <mergeCell ref="F120:S120"/>
    <mergeCell ref="F117:S117"/>
    <mergeCell ref="F135:S135"/>
    <mergeCell ref="F132:S132"/>
    <mergeCell ref="E175:AE175"/>
    <mergeCell ref="AI176:AK177"/>
    <mergeCell ref="AL176:AN177"/>
    <mergeCell ref="AF178:AH179"/>
    <mergeCell ref="AI178:AK179"/>
    <mergeCell ref="AU178:AW179"/>
    <mergeCell ref="AX178:AZ179"/>
    <mergeCell ref="AU180:AW181"/>
    <mergeCell ref="AX180:AZ181"/>
    <mergeCell ref="E80:F88"/>
    <mergeCell ref="G80:T88"/>
    <mergeCell ref="U80:AJ88"/>
    <mergeCell ref="AK80:AZ88"/>
    <mergeCell ref="BA80:BT88"/>
    <mergeCell ref="AL180:AN181"/>
    <mergeCell ref="AF180:AH181"/>
    <mergeCell ref="AX175:AZ175"/>
    <mergeCell ref="AU176:AW177"/>
    <mergeCell ref="AX176:AZ177"/>
    <mergeCell ref="AU175:AW175"/>
    <mergeCell ref="AO175:AQ175"/>
    <mergeCell ref="AF176:AH177"/>
    <mergeCell ref="AF175:AH175"/>
    <mergeCell ref="D13:I13"/>
    <mergeCell ref="J13:AB13"/>
    <mergeCell ref="AC13:BE13"/>
    <mergeCell ref="F97:S97"/>
    <mergeCell ref="F122:S122"/>
    <mergeCell ref="F104:S104"/>
    <mergeCell ref="F136:S136"/>
    <mergeCell ref="F137:S137"/>
    <mergeCell ref="E58:F58"/>
    <mergeCell ref="G58:T58"/>
    <mergeCell ref="R54:BS54"/>
    <mergeCell ref="G59:T63"/>
    <mergeCell ref="U59:AZ63"/>
    <mergeCell ref="E54:Q54"/>
    <mergeCell ref="E64:F68"/>
    <mergeCell ref="E69:F73"/>
    <mergeCell ref="F99:S99"/>
    <mergeCell ref="F100:S100"/>
    <mergeCell ref="F101:S101"/>
    <mergeCell ref="F107:S107"/>
    <mergeCell ref="F108:S108"/>
    <mergeCell ref="F123:S123"/>
    <mergeCell ref="F130:S130"/>
    <mergeCell ref="BF13:CD13"/>
    <mergeCell ref="A1:CE1"/>
    <mergeCell ref="A3:H3"/>
    <mergeCell ref="I3:AC3"/>
    <mergeCell ref="AD3:AL3"/>
    <mergeCell ref="I4:AC5"/>
    <mergeCell ref="AD4:AL4"/>
    <mergeCell ref="CA3:CE5"/>
    <mergeCell ref="BY3:BZ5"/>
    <mergeCell ref="AD5:AG5"/>
    <mergeCell ref="AZ5:BC5"/>
    <mergeCell ref="BK5:BM5"/>
    <mergeCell ref="A4:H5"/>
    <mergeCell ref="BT3:BX5"/>
    <mergeCell ref="BN5:BQ5"/>
    <mergeCell ref="AS5:AY5"/>
    <mergeCell ref="BD5:BJ5"/>
    <mergeCell ref="AH5:AN5"/>
    <mergeCell ref="BR3:BS5"/>
    <mergeCell ref="AO5:AR5"/>
    <mergeCell ref="AM3:BQ3"/>
    <mergeCell ref="AM4:BQ4"/>
    <mergeCell ref="D14:I18"/>
    <mergeCell ref="J14:AB18"/>
    <mergeCell ref="AC14:BE18"/>
    <mergeCell ref="BF14:CD18"/>
    <mergeCell ref="E53:Q53"/>
    <mergeCell ref="E55:Q55"/>
    <mergeCell ref="R55:BS55"/>
    <mergeCell ref="E59:F63"/>
    <mergeCell ref="BZ59:CD63"/>
    <mergeCell ref="BA64:BT68"/>
    <mergeCell ref="BA58:BT58"/>
    <mergeCell ref="U58:AZ58"/>
    <mergeCell ref="U69:AZ73"/>
    <mergeCell ref="U64:AZ68"/>
    <mergeCell ref="BA69:BT73"/>
    <mergeCell ref="G69:T73"/>
    <mergeCell ref="G64:T68"/>
    <mergeCell ref="BZ58:CD58"/>
    <mergeCell ref="BA59:BT63"/>
    <mergeCell ref="BU58:BY58"/>
    <mergeCell ref="BU64:BY68"/>
    <mergeCell ref="BU69:BY73"/>
    <mergeCell ref="BU59:BY63"/>
    <mergeCell ref="BZ64:CD68"/>
    <mergeCell ref="BZ69:CD73"/>
    <mergeCell ref="E180:AE181"/>
    <mergeCell ref="E176:AE177"/>
    <mergeCell ref="AO176:AQ177"/>
    <mergeCell ref="E178:AE179"/>
    <mergeCell ref="AR176:AT177"/>
    <mergeCell ref="AR175:AT175"/>
    <mergeCell ref="AI175:AK175"/>
    <mergeCell ref="F98:S98"/>
    <mergeCell ref="F93:S93"/>
    <mergeCell ref="F94:S94"/>
    <mergeCell ref="F95:S95"/>
    <mergeCell ref="F96:S96"/>
    <mergeCell ref="F112:S112"/>
    <mergeCell ref="F138:S138"/>
    <mergeCell ref="F106:S106"/>
    <mergeCell ref="F109:S109"/>
    <mergeCell ref="F105:S105"/>
    <mergeCell ref="F111:S111"/>
    <mergeCell ref="F118:S118"/>
    <mergeCell ref="F115:S115"/>
    <mergeCell ref="F131:S131"/>
    <mergeCell ref="F116:S116"/>
    <mergeCell ref="F110:S110"/>
    <mergeCell ref="F119:S119"/>
    <mergeCell ref="E74:F79"/>
    <mergeCell ref="G74:T79"/>
    <mergeCell ref="U74:AZ79"/>
    <mergeCell ref="BA74:BT79"/>
    <mergeCell ref="BU74:BY79"/>
    <mergeCell ref="BZ74:CD79"/>
    <mergeCell ref="F141:S141"/>
    <mergeCell ref="T141:CD141"/>
    <mergeCell ref="F142:S142"/>
    <mergeCell ref="T142:CD142"/>
    <mergeCell ref="BU80:BY88"/>
    <mergeCell ref="BZ80:CD88"/>
    <mergeCell ref="E184:AE185"/>
    <mergeCell ref="AF184:AH185"/>
    <mergeCell ref="AI184:AK185"/>
    <mergeCell ref="AL184:AN185"/>
    <mergeCell ref="AO184:AQ185"/>
    <mergeCell ref="AR184:AT185"/>
    <mergeCell ref="AU184:AW185"/>
    <mergeCell ref="AX184:AZ185"/>
    <mergeCell ref="BA184:BU185"/>
  </mergeCells>
  <phoneticPr fontId="4"/>
  <pageMargins left="0.59055118110236227" right="0.59055118110236227" top="0.78740157480314965" bottom="0" header="0.43307086614173229" footer="0"/>
  <pageSetup paperSize="9" scale="93" fitToWidth="0" fitToHeight="0" orientation="landscape" r:id="rId1"/>
  <headerFooter alignWithMargins="0">
    <oddHeader>&amp;R
（&amp;P　／　&amp;N）　</oddHeader>
  </headerFooter>
  <rowBreaks count="4" manualBreakCount="4">
    <brk id="46" max="82" man="1"/>
    <brk id="89" max="82" man="1"/>
    <brk id="127" max="16383" man="1"/>
    <brk id="17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fitToPage="1"/>
  </sheetPr>
  <dimension ref="A2:AG153"/>
  <sheetViews>
    <sheetView view="pageBreakPreview" topLeftCell="A4" zoomScale="115" zoomScaleNormal="100" zoomScaleSheetLayoutView="115" workbookViewId="0">
      <pane xSplit="4" ySplit="3" topLeftCell="E7" activePane="bottomRight" state="frozen"/>
      <selection activeCell="A4" sqref="A4"/>
      <selection pane="topRight" activeCell="E4" sqref="E4"/>
      <selection pane="bottomLeft" activeCell="A7" sqref="A7"/>
      <selection pane="bottomRight"/>
    </sheetView>
  </sheetViews>
  <sheetFormatPr defaultColWidth="9" defaultRowHeight="12" customHeight="1" x14ac:dyDescent="0.15"/>
  <cols>
    <col min="1" max="1" width="1.6640625" style="8" customWidth="1"/>
    <col min="2" max="2" width="3.77734375" style="8" customWidth="1"/>
    <col min="3" max="3" width="17.44140625" style="8" customWidth="1"/>
    <col min="4" max="4" width="14.21875" style="8" customWidth="1"/>
    <col min="5" max="5" width="29.88671875" style="8" customWidth="1"/>
    <col min="6" max="6" width="38.109375" style="8" customWidth="1"/>
    <col min="7" max="7" width="16.88671875" style="8" customWidth="1"/>
    <col min="8" max="8" width="12.21875" style="8" customWidth="1"/>
    <col min="9" max="9" width="11.6640625" style="8" customWidth="1"/>
    <col min="10" max="10" width="15.109375" style="8" customWidth="1"/>
    <col min="11" max="11" width="10.6640625" style="8" customWidth="1"/>
    <col min="12" max="12" width="22.88671875" style="8" customWidth="1"/>
    <col min="13" max="13" width="11.21875" style="8" customWidth="1"/>
    <col min="14" max="15" width="14.6640625" style="8" customWidth="1"/>
    <col min="16" max="16" width="8.88671875" style="8" customWidth="1"/>
    <col min="17" max="18" width="6" style="8" customWidth="1"/>
    <col min="19" max="33" width="3.109375" style="8" customWidth="1"/>
    <col min="34" max="16384" width="9" style="8"/>
  </cols>
  <sheetData>
    <row r="2" spans="1:33" ht="16.2" x14ac:dyDescent="0.2">
      <c r="A2" s="40"/>
      <c r="B2" s="22" t="s">
        <v>139</v>
      </c>
      <c r="C2" s="22"/>
    </row>
    <row r="3" spans="1:33" ht="12" customHeight="1" x14ac:dyDescent="0.2">
      <c r="A3" s="40"/>
      <c r="D3" s="22"/>
    </row>
    <row r="4" spans="1:33" ht="13.5" customHeight="1" x14ac:dyDescent="0.15">
      <c r="A4" s="40"/>
      <c r="B4" s="133" t="s">
        <v>349</v>
      </c>
      <c r="C4" s="133" t="s">
        <v>188</v>
      </c>
      <c r="D4" s="133" t="s">
        <v>135</v>
      </c>
      <c r="E4" s="133" t="s">
        <v>133</v>
      </c>
      <c r="F4" s="133" t="s">
        <v>134</v>
      </c>
      <c r="G4" s="133" t="s">
        <v>136</v>
      </c>
      <c r="H4" s="133" t="s">
        <v>353</v>
      </c>
      <c r="I4" s="133" t="s">
        <v>350</v>
      </c>
      <c r="J4" s="133" t="s">
        <v>10</v>
      </c>
      <c r="K4" s="133" t="s">
        <v>215</v>
      </c>
      <c r="L4" s="141" t="s">
        <v>351</v>
      </c>
      <c r="M4" s="133" t="s">
        <v>216</v>
      </c>
      <c r="N4" s="133" t="s">
        <v>217</v>
      </c>
      <c r="O4" s="133" t="s">
        <v>189</v>
      </c>
      <c r="P4" s="133" t="s">
        <v>218</v>
      </c>
      <c r="Q4" s="133" t="s">
        <v>191</v>
      </c>
      <c r="R4" s="133"/>
      <c r="S4" s="137" t="s">
        <v>142</v>
      </c>
      <c r="T4" s="137"/>
      <c r="U4" s="137"/>
      <c r="V4" s="137"/>
      <c r="W4" s="137"/>
      <c r="X4" s="137"/>
      <c r="Y4" s="137"/>
      <c r="Z4" s="137"/>
      <c r="AA4" s="137"/>
      <c r="AB4" s="137"/>
      <c r="AC4" s="137"/>
      <c r="AD4" s="137"/>
      <c r="AE4" s="137"/>
      <c r="AF4" s="135" t="s">
        <v>143</v>
      </c>
      <c r="AG4" s="135"/>
    </row>
    <row r="5" spans="1:33" ht="63" customHeight="1" x14ac:dyDescent="0.15">
      <c r="A5" s="40"/>
      <c r="B5" s="133"/>
      <c r="C5" s="133"/>
      <c r="D5" s="133"/>
      <c r="E5" s="133"/>
      <c r="F5" s="133"/>
      <c r="G5" s="133"/>
      <c r="H5" s="133"/>
      <c r="I5" s="133"/>
      <c r="J5" s="133"/>
      <c r="K5" s="133"/>
      <c r="L5" s="142"/>
      <c r="M5" s="133"/>
      <c r="N5" s="133"/>
      <c r="O5" s="133"/>
      <c r="P5" s="133"/>
      <c r="Q5" s="133"/>
      <c r="R5" s="133"/>
      <c r="S5" s="138" t="s">
        <v>241</v>
      </c>
      <c r="T5" s="139"/>
      <c r="U5" s="138" t="s">
        <v>144</v>
      </c>
      <c r="V5" s="140"/>
      <c r="W5" s="140"/>
      <c r="X5" s="139"/>
      <c r="Y5" s="138" t="s">
        <v>122</v>
      </c>
      <c r="Z5" s="140"/>
      <c r="AA5" s="140"/>
      <c r="AB5" s="139"/>
      <c r="AC5" s="136" t="s">
        <v>242</v>
      </c>
      <c r="AD5" s="136"/>
      <c r="AE5" s="43" t="s">
        <v>236</v>
      </c>
      <c r="AF5" s="44" t="s">
        <v>289</v>
      </c>
      <c r="AG5" s="44" t="s">
        <v>122</v>
      </c>
    </row>
    <row r="6" spans="1:33" ht="93.75" customHeight="1" x14ac:dyDescent="0.15">
      <c r="A6" s="40"/>
      <c r="B6" s="133"/>
      <c r="C6" s="133"/>
      <c r="D6" s="133"/>
      <c r="E6" s="133"/>
      <c r="F6" s="133"/>
      <c r="G6" s="133"/>
      <c r="H6" s="133"/>
      <c r="I6" s="133"/>
      <c r="J6" s="133"/>
      <c r="K6" s="133"/>
      <c r="L6" s="143"/>
      <c r="M6" s="133"/>
      <c r="N6" s="133"/>
      <c r="O6" s="133"/>
      <c r="P6" s="133"/>
      <c r="Q6" s="42" t="s">
        <v>191</v>
      </c>
      <c r="R6" s="42" t="s">
        <v>192</v>
      </c>
      <c r="S6" s="43" t="s">
        <v>243</v>
      </c>
      <c r="T6" s="43" t="s">
        <v>244</v>
      </c>
      <c r="U6" s="43" t="s">
        <v>245</v>
      </c>
      <c r="V6" s="43" t="s">
        <v>246</v>
      </c>
      <c r="W6" s="43" t="s">
        <v>247</v>
      </c>
      <c r="X6" s="43" t="s">
        <v>248</v>
      </c>
      <c r="Y6" s="43" t="s">
        <v>249</v>
      </c>
      <c r="Z6" s="43" t="s">
        <v>250</v>
      </c>
      <c r="AA6" s="43" t="s">
        <v>251</v>
      </c>
      <c r="AB6" s="43" t="s">
        <v>252</v>
      </c>
      <c r="AC6" s="43" t="s">
        <v>253</v>
      </c>
      <c r="AD6" s="43" t="s">
        <v>254</v>
      </c>
      <c r="AE6" s="43" t="s">
        <v>255</v>
      </c>
      <c r="AF6" s="44" t="s">
        <v>256</v>
      </c>
      <c r="AG6" s="44" t="s">
        <v>257</v>
      </c>
    </row>
    <row r="7" spans="1:33" ht="44.25" customHeight="1" x14ac:dyDescent="0.15">
      <c r="A7" s="64"/>
      <c r="B7" s="34" t="s">
        <v>30</v>
      </c>
      <c r="C7" s="134" t="s">
        <v>195</v>
      </c>
      <c r="D7" s="35" t="s">
        <v>238</v>
      </c>
      <c r="E7" s="37" t="s">
        <v>513</v>
      </c>
      <c r="F7" s="35" t="s">
        <v>121</v>
      </c>
      <c r="G7" s="35" t="s">
        <v>140</v>
      </c>
      <c r="H7" s="36" t="s">
        <v>137</v>
      </c>
      <c r="I7" s="37">
        <f>160*1024</f>
        <v>163840</v>
      </c>
      <c r="J7" s="36" t="s">
        <v>237</v>
      </c>
      <c r="K7" s="36" t="s">
        <v>138</v>
      </c>
      <c r="L7" s="77" t="s">
        <v>352</v>
      </c>
      <c r="M7" s="35" t="s">
        <v>128</v>
      </c>
      <c r="N7" s="35" t="s">
        <v>129</v>
      </c>
      <c r="O7" s="35" t="s">
        <v>190</v>
      </c>
      <c r="P7" s="35" t="s">
        <v>126</v>
      </c>
      <c r="Q7" s="38" t="s">
        <v>193</v>
      </c>
      <c r="R7" s="38" t="s">
        <v>145</v>
      </c>
      <c r="S7" s="38" t="s">
        <v>145</v>
      </c>
      <c r="T7" s="38" t="s">
        <v>145</v>
      </c>
      <c r="U7" s="39" t="s">
        <v>145</v>
      </c>
      <c r="V7" s="39" t="s">
        <v>145</v>
      </c>
      <c r="W7" s="39" t="s">
        <v>145</v>
      </c>
      <c r="X7" s="39" t="s">
        <v>145</v>
      </c>
      <c r="Y7" s="39" t="s">
        <v>123</v>
      </c>
      <c r="Z7" s="39" t="s">
        <v>123</v>
      </c>
      <c r="AA7" s="39" t="s">
        <v>123</v>
      </c>
      <c r="AB7" s="39" t="s">
        <v>123</v>
      </c>
      <c r="AC7" s="39" t="s">
        <v>123</v>
      </c>
      <c r="AD7" s="39" t="s">
        <v>123</v>
      </c>
      <c r="AE7" s="39" t="s">
        <v>123</v>
      </c>
      <c r="AF7" s="38" t="s">
        <v>145</v>
      </c>
      <c r="AG7" s="39" t="s">
        <v>123</v>
      </c>
    </row>
    <row r="8" spans="1:33" ht="72" x14ac:dyDescent="0.15">
      <c r="A8" s="40"/>
      <c r="B8" s="34">
        <v>2</v>
      </c>
      <c r="C8" s="134"/>
      <c r="D8" s="35" t="s">
        <v>239</v>
      </c>
      <c r="E8" s="37" t="s">
        <v>358</v>
      </c>
      <c r="F8" s="68" t="s">
        <v>258</v>
      </c>
      <c r="G8" s="68" t="s">
        <v>140</v>
      </c>
      <c r="H8" s="67" t="s">
        <v>137</v>
      </c>
      <c r="I8" s="37">
        <f>130*1024</f>
        <v>133120</v>
      </c>
      <c r="J8" s="67" t="s">
        <v>230</v>
      </c>
      <c r="K8" s="67" t="s">
        <v>138</v>
      </c>
      <c r="L8" s="77" t="s">
        <v>352</v>
      </c>
      <c r="M8" s="68" t="s">
        <v>128</v>
      </c>
      <c r="N8" s="68" t="s">
        <v>129</v>
      </c>
      <c r="O8" s="68" t="s">
        <v>190</v>
      </c>
      <c r="P8" s="35" t="s">
        <v>126</v>
      </c>
      <c r="Q8" s="38" t="s">
        <v>193</v>
      </c>
      <c r="R8" s="38" t="s">
        <v>145</v>
      </c>
      <c r="S8" s="39" t="s">
        <v>123</v>
      </c>
      <c r="T8" s="39" t="s">
        <v>123</v>
      </c>
      <c r="U8" s="39" t="s">
        <v>123</v>
      </c>
      <c r="V8" s="39" t="s">
        <v>123</v>
      </c>
      <c r="W8" s="39" t="s">
        <v>123</v>
      </c>
      <c r="X8" s="39" t="s">
        <v>123</v>
      </c>
      <c r="Y8" s="39" t="s">
        <v>145</v>
      </c>
      <c r="Z8" s="39" t="s">
        <v>145</v>
      </c>
      <c r="AA8" s="39" t="s">
        <v>145</v>
      </c>
      <c r="AB8" s="39" t="s">
        <v>145</v>
      </c>
      <c r="AC8" s="39" t="s">
        <v>145</v>
      </c>
      <c r="AD8" s="39" t="s">
        <v>145</v>
      </c>
      <c r="AE8" s="38" t="s">
        <v>123</v>
      </c>
      <c r="AF8" s="39" t="s">
        <v>123</v>
      </c>
      <c r="AG8" s="38" t="s">
        <v>145</v>
      </c>
    </row>
    <row r="9" spans="1:33" ht="72" x14ac:dyDescent="0.15">
      <c r="A9" s="40"/>
      <c r="B9" s="34">
        <v>3</v>
      </c>
      <c r="C9" s="134"/>
      <c r="D9" s="35" t="s">
        <v>240</v>
      </c>
      <c r="E9" s="37" t="s">
        <v>538</v>
      </c>
      <c r="F9" s="68" t="s">
        <v>121</v>
      </c>
      <c r="G9" s="68" t="s">
        <v>140</v>
      </c>
      <c r="H9" s="67" t="s">
        <v>137</v>
      </c>
      <c r="I9" s="37">
        <f>130*1024</f>
        <v>133120</v>
      </c>
      <c r="J9" s="67" t="s">
        <v>237</v>
      </c>
      <c r="K9" s="67" t="s">
        <v>138</v>
      </c>
      <c r="L9" s="77" t="s">
        <v>354</v>
      </c>
      <c r="M9" s="68" t="s">
        <v>128</v>
      </c>
      <c r="N9" s="68" t="s">
        <v>129</v>
      </c>
      <c r="O9" s="68" t="s">
        <v>190</v>
      </c>
      <c r="P9" s="35" t="s">
        <v>126</v>
      </c>
      <c r="Q9" s="38" t="s">
        <v>193</v>
      </c>
      <c r="R9" s="38" t="s">
        <v>145</v>
      </c>
      <c r="S9" s="38" t="s">
        <v>123</v>
      </c>
      <c r="T9" s="38" t="s">
        <v>123</v>
      </c>
      <c r="U9" s="39" t="s">
        <v>123</v>
      </c>
      <c r="V9" s="39" t="s">
        <v>123</v>
      </c>
      <c r="W9" s="39" t="s">
        <v>123</v>
      </c>
      <c r="X9" s="39" t="s">
        <v>123</v>
      </c>
      <c r="Y9" s="39" t="s">
        <v>123</v>
      </c>
      <c r="Z9" s="39" t="s">
        <v>123</v>
      </c>
      <c r="AA9" s="39" t="s">
        <v>123</v>
      </c>
      <c r="AB9" s="39" t="s">
        <v>123</v>
      </c>
      <c r="AC9" s="39" t="s">
        <v>123</v>
      </c>
      <c r="AD9" s="39" t="s">
        <v>123</v>
      </c>
      <c r="AE9" s="38" t="s">
        <v>145</v>
      </c>
      <c r="AF9" s="39" t="s">
        <v>123</v>
      </c>
      <c r="AG9" s="39" t="s">
        <v>123</v>
      </c>
    </row>
    <row r="10" spans="1:33" ht="24" x14ac:dyDescent="0.15">
      <c r="A10" s="40"/>
      <c r="B10" s="34">
        <v>4</v>
      </c>
      <c r="C10" s="37" t="s">
        <v>264</v>
      </c>
      <c r="D10" s="35" t="s">
        <v>260</v>
      </c>
      <c r="E10" s="68" t="s">
        <v>261</v>
      </c>
      <c r="F10" s="68" t="s">
        <v>121</v>
      </c>
      <c r="G10" s="68" t="s">
        <v>140</v>
      </c>
      <c r="H10" s="67" t="s">
        <v>137</v>
      </c>
      <c r="I10" s="68">
        <f>0.5*1024</f>
        <v>512</v>
      </c>
      <c r="J10" s="67" t="s">
        <v>230</v>
      </c>
      <c r="K10" s="67" t="s">
        <v>138</v>
      </c>
      <c r="L10" s="76" t="s">
        <v>355</v>
      </c>
      <c r="M10" s="37" t="s">
        <v>539</v>
      </c>
      <c r="N10" s="37" t="s">
        <v>540</v>
      </c>
      <c r="O10" s="68" t="s">
        <v>262</v>
      </c>
      <c r="P10" s="35" t="s">
        <v>126</v>
      </c>
      <c r="Q10" s="38" t="s">
        <v>145</v>
      </c>
      <c r="R10" s="38" t="s">
        <v>193</v>
      </c>
      <c r="S10" s="38" t="s">
        <v>123</v>
      </c>
      <c r="T10" s="38" t="s">
        <v>123</v>
      </c>
      <c r="U10" s="39" t="s">
        <v>123</v>
      </c>
      <c r="V10" s="39" t="s">
        <v>123</v>
      </c>
      <c r="W10" s="39" t="s">
        <v>123</v>
      </c>
      <c r="X10" s="39" t="s">
        <v>123</v>
      </c>
      <c r="Y10" s="39" t="s">
        <v>123</v>
      </c>
      <c r="Z10" s="39" t="s">
        <v>123</v>
      </c>
      <c r="AA10" s="39" t="s">
        <v>123</v>
      </c>
      <c r="AB10" s="39" t="s">
        <v>123</v>
      </c>
      <c r="AC10" s="39" t="s">
        <v>145</v>
      </c>
      <c r="AD10" s="39" t="s">
        <v>145</v>
      </c>
      <c r="AE10" s="38" t="s">
        <v>123</v>
      </c>
      <c r="AF10" s="38" t="s">
        <v>123</v>
      </c>
      <c r="AG10" s="38" t="s">
        <v>123</v>
      </c>
    </row>
    <row r="11" spans="1:33" x14ac:dyDescent="0.15">
      <c r="A11" s="40"/>
      <c r="B11" s="34">
        <v>5</v>
      </c>
      <c r="C11" s="134" t="s">
        <v>288</v>
      </c>
      <c r="D11" s="134" t="s">
        <v>197</v>
      </c>
      <c r="E11" s="134" t="s">
        <v>221</v>
      </c>
      <c r="F11" s="134" t="s">
        <v>221</v>
      </c>
      <c r="G11" s="134" t="s">
        <v>140</v>
      </c>
      <c r="H11" s="132" t="s">
        <v>137</v>
      </c>
      <c r="I11" s="37" t="s">
        <v>267</v>
      </c>
      <c r="J11" s="67" t="s">
        <v>230</v>
      </c>
      <c r="K11" s="67" t="s">
        <v>138</v>
      </c>
      <c r="L11" s="76" t="s">
        <v>356</v>
      </c>
      <c r="M11" s="37" t="s">
        <v>357</v>
      </c>
      <c r="N11" s="68" t="s">
        <v>199</v>
      </c>
      <c r="O11" s="68" t="s">
        <v>190</v>
      </c>
      <c r="P11" s="35" t="s">
        <v>126</v>
      </c>
      <c r="Q11" s="38" t="s">
        <v>145</v>
      </c>
      <c r="R11" s="38" t="s">
        <v>193</v>
      </c>
      <c r="S11" s="38" t="s">
        <v>123</v>
      </c>
      <c r="T11" s="38" t="s">
        <v>123</v>
      </c>
      <c r="U11" s="39" t="s">
        <v>123</v>
      </c>
      <c r="V11" s="39" t="s">
        <v>123</v>
      </c>
      <c r="W11" s="39" t="s">
        <v>123</v>
      </c>
      <c r="X11" s="39" t="s">
        <v>123</v>
      </c>
      <c r="Y11" s="39" t="s">
        <v>123</v>
      </c>
      <c r="Z11" s="39" t="s">
        <v>123</v>
      </c>
      <c r="AA11" s="39" t="s">
        <v>123</v>
      </c>
      <c r="AB11" s="39" t="s">
        <v>123</v>
      </c>
      <c r="AC11" s="39" t="s">
        <v>145</v>
      </c>
      <c r="AD11" s="39" t="s">
        <v>145</v>
      </c>
      <c r="AE11" s="38" t="s">
        <v>123</v>
      </c>
      <c r="AF11" s="38" t="s">
        <v>123</v>
      </c>
      <c r="AG11" s="38" t="s">
        <v>123</v>
      </c>
    </row>
    <row r="12" spans="1:33" ht="72" x14ac:dyDescent="0.15">
      <c r="A12" s="40"/>
      <c r="B12" s="34">
        <v>6</v>
      </c>
      <c r="C12" s="134"/>
      <c r="D12" s="134"/>
      <c r="E12" s="134"/>
      <c r="F12" s="134"/>
      <c r="G12" s="134"/>
      <c r="H12" s="132"/>
      <c r="I12" s="37" t="s">
        <v>266</v>
      </c>
      <c r="J12" s="67" t="s">
        <v>230</v>
      </c>
      <c r="K12" s="67" t="s">
        <v>198</v>
      </c>
      <c r="L12" s="76" t="s">
        <v>356</v>
      </c>
      <c r="M12" s="37" t="s">
        <v>265</v>
      </c>
      <c r="N12" s="68" t="s">
        <v>200</v>
      </c>
      <c r="O12" s="68" t="s">
        <v>190</v>
      </c>
      <c r="P12" s="35" t="s">
        <v>126</v>
      </c>
      <c r="Q12" s="38" t="s">
        <v>145</v>
      </c>
      <c r="R12" s="38" t="s">
        <v>193</v>
      </c>
      <c r="S12" s="38" t="s">
        <v>123</v>
      </c>
      <c r="T12" s="38" t="s">
        <v>123</v>
      </c>
      <c r="U12" s="39" t="s">
        <v>123</v>
      </c>
      <c r="V12" s="39" t="s">
        <v>123</v>
      </c>
      <c r="W12" s="39" t="s">
        <v>123</v>
      </c>
      <c r="X12" s="39" t="s">
        <v>123</v>
      </c>
      <c r="Y12" s="39" t="s">
        <v>123</v>
      </c>
      <c r="Z12" s="39" t="s">
        <v>123</v>
      </c>
      <c r="AA12" s="39" t="s">
        <v>123</v>
      </c>
      <c r="AB12" s="39" t="s">
        <v>123</v>
      </c>
      <c r="AC12" s="39" t="s">
        <v>145</v>
      </c>
      <c r="AD12" s="39" t="s">
        <v>145</v>
      </c>
      <c r="AE12" s="38" t="s">
        <v>123</v>
      </c>
      <c r="AF12" s="38" t="s">
        <v>123</v>
      </c>
      <c r="AG12" s="38" t="s">
        <v>123</v>
      </c>
    </row>
    <row r="13" spans="1:33" ht="24" x14ac:dyDescent="0.15">
      <c r="A13" s="64"/>
      <c r="B13" s="34">
        <v>7</v>
      </c>
      <c r="C13" s="37" t="s">
        <v>376</v>
      </c>
      <c r="D13" s="46" t="s">
        <v>240</v>
      </c>
      <c r="E13" s="46" t="s">
        <v>124</v>
      </c>
      <c r="F13" s="46" t="s">
        <v>526</v>
      </c>
      <c r="G13" s="65" t="s">
        <v>380</v>
      </c>
      <c r="H13" s="45" t="s">
        <v>137</v>
      </c>
      <c r="I13" s="68" t="s">
        <v>525</v>
      </c>
      <c r="J13" s="67" t="s">
        <v>230</v>
      </c>
      <c r="K13" s="67" t="s">
        <v>138</v>
      </c>
      <c r="L13" s="76" t="s">
        <v>537</v>
      </c>
      <c r="M13" s="66" t="s">
        <v>532</v>
      </c>
      <c r="N13" s="66" t="s">
        <v>382</v>
      </c>
      <c r="O13" s="66" t="s">
        <v>383</v>
      </c>
      <c r="P13" s="66" t="s">
        <v>369</v>
      </c>
      <c r="Q13" s="59" t="s">
        <v>193</v>
      </c>
      <c r="R13" s="59" t="s">
        <v>145</v>
      </c>
      <c r="S13" s="38" t="s">
        <v>123</v>
      </c>
      <c r="T13" s="38" t="s">
        <v>123</v>
      </c>
      <c r="U13" s="38" t="s">
        <v>123</v>
      </c>
      <c r="V13" s="38" t="s">
        <v>123</v>
      </c>
      <c r="W13" s="38" t="s">
        <v>123</v>
      </c>
      <c r="X13" s="38" t="s">
        <v>123</v>
      </c>
      <c r="Y13" s="38" t="s">
        <v>123</v>
      </c>
      <c r="Z13" s="38" t="s">
        <v>123</v>
      </c>
      <c r="AA13" s="38" t="s">
        <v>123</v>
      </c>
      <c r="AB13" s="38" t="s">
        <v>123</v>
      </c>
      <c r="AC13" s="38" t="s">
        <v>123</v>
      </c>
      <c r="AD13" s="38" t="s">
        <v>123</v>
      </c>
      <c r="AE13" s="38" t="s">
        <v>519</v>
      </c>
      <c r="AF13" s="38" t="s">
        <v>123</v>
      </c>
      <c r="AG13" s="38" t="s">
        <v>123</v>
      </c>
    </row>
    <row r="14" spans="1:33" ht="24" x14ac:dyDescent="0.15">
      <c r="A14" s="64"/>
      <c r="B14" s="34">
        <v>8</v>
      </c>
      <c r="C14" s="37" t="s">
        <v>376</v>
      </c>
      <c r="D14" s="48" t="s">
        <v>377</v>
      </c>
      <c r="E14" s="48" t="s">
        <v>524</v>
      </c>
      <c r="F14" s="68" t="s">
        <v>523</v>
      </c>
      <c r="G14" s="65" t="s">
        <v>380</v>
      </c>
      <c r="H14" s="47" t="s">
        <v>529</v>
      </c>
      <c r="I14" s="68" t="s">
        <v>525</v>
      </c>
      <c r="J14" s="67" t="s">
        <v>230</v>
      </c>
      <c r="K14" s="67" t="s">
        <v>138</v>
      </c>
      <c r="L14" s="76" t="s">
        <v>537</v>
      </c>
      <c r="M14" s="66" t="s">
        <v>532</v>
      </c>
      <c r="N14" s="66" t="s">
        <v>382</v>
      </c>
      <c r="O14" s="66" t="s">
        <v>383</v>
      </c>
      <c r="P14" s="66" t="s">
        <v>369</v>
      </c>
      <c r="Q14" s="59" t="s">
        <v>193</v>
      </c>
      <c r="R14" s="59" t="s">
        <v>145</v>
      </c>
      <c r="S14" s="38" t="s">
        <v>519</v>
      </c>
      <c r="T14" s="38" t="s">
        <v>519</v>
      </c>
      <c r="U14" s="38" t="s">
        <v>519</v>
      </c>
      <c r="V14" s="38" t="s">
        <v>519</v>
      </c>
      <c r="W14" s="38" t="s">
        <v>519</v>
      </c>
      <c r="X14" s="38" t="s">
        <v>519</v>
      </c>
      <c r="Y14" s="38" t="s">
        <v>519</v>
      </c>
      <c r="Z14" s="38" t="s">
        <v>519</v>
      </c>
      <c r="AA14" s="38" t="s">
        <v>519</v>
      </c>
      <c r="AB14" s="38" t="s">
        <v>519</v>
      </c>
      <c r="AC14" s="38" t="s">
        <v>519</v>
      </c>
      <c r="AD14" s="38" t="s">
        <v>519</v>
      </c>
      <c r="AE14" s="38" t="s">
        <v>123</v>
      </c>
      <c r="AF14" s="38" t="s">
        <v>519</v>
      </c>
      <c r="AG14" s="38" t="s">
        <v>519</v>
      </c>
    </row>
    <row r="15" spans="1:33" ht="24" x14ac:dyDescent="0.15">
      <c r="A15" s="64"/>
      <c r="B15" s="34">
        <v>9</v>
      </c>
      <c r="C15" s="37" t="s">
        <v>520</v>
      </c>
      <c r="D15" s="37" t="s">
        <v>522</v>
      </c>
      <c r="E15" s="68" t="s">
        <v>373</v>
      </c>
      <c r="F15" s="68" t="s">
        <v>525</v>
      </c>
      <c r="G15" s="65" t="s">
        <v>530</v>
      </c>
      <c r="H15" s="67" t="s">
        <v>529</v>
      </c>
      <c r="I15" s="68" t="s">
        <v>525</v>
      </c>
      <c r="J15" s="67" t="s">
        <v>230</v>
      </c>
      <c r="K15" s="67" t="s">
        <v>138</v>
      </c>
      <c r="L15" s="76" t="s">
        <v>537</v>
      </c>
      <c r="M15" s="66" t="s">
        <v>532</v>
      </c>
      <c r="N15" s="66" t="s">
        <v>382</v>
      </c>
      <c r="O15" s="66" t="s">
        <v>383</v>
      </c>
      <c r="P15" s="66" t="s">
        <v>369</v>
      </c>
      <c r="Q15" s="59" t="s">
        <v>145</v>
      </c>
      <c r="R15" s="59" t="s">
        <v>193</v>
      </c>
      <c r="S15" s="38" t="s">
        <v>519</v>
      </c>
      <c r="T15" s="38" t="s">
        <v>519</v>
      </c>
      <c r="U15" s="38" t="s">
        <v>519</v>
      </c>
      <c r="V15" s="38" t="s">
        <v>519</v>
      </c>
      <c r="W15" s="38" t="s">
        <v>519</v>
      </c>
      <c r="X15" s="38" t="s">
        <v>519</v>
      </c>
      <c r="Y15" s="38" t="s">
        <v>123</v>
      </c>
      <c r="Z15" s="38" t="s">
        <v>123</v>
      </c>
      <c r="AA15" s="38" t="s">
        <v>123</v>
      </c>
      <c r="AB15" s="38" t="s">
        <v>123</v>
      </c>
      <c r="AC15" s="38" t="s">
        <v>123</v>
      </c>
      <c r="AD15" s="38" t="s">
        <v>123</v>
      </c>
      <c r="AE15" s="38" t="s">
        <v>123</v>
      </c>
      <c r="AF15" s="38" t="s">
        <v>519</v>
      </c>
      <c r="AG15" s="38" t="s">
        <v>123</v>
      </c>
    </row>
    <row r="16" spans="1:33" ht="24.75" customHeight="1" x14ac:dyDescent="0.15">
      <c r="A16" s="64"/>
      <c r="B16" s="34">
        <f>B15+1</f>
        <v>10</v>
      </c>
      <c r="C16" s="37" t="s">
        <v>520</v>
      </c>
      <c r="D16" s="37" t="s">
        <v>521</v>
      </c>
      <c r="E16" s="68" t="s">
        <v>531</v>
      </c>
      <c r="F16" s="68" t="s">
        <v>525</v>
      </c>
      <c r="G16" s="65" t="s">
        <v>530</v>
      </c>
      <c r="H16" s="68" t="s">
        <v>525</v>
      </c>
      <c r="I16" s="68" t="s">
        <v>525</v>
      </c>
      <c r="J16" s="68" t="s">
        <v>525</v>
      </c>
      <c r="K16" s="68" t="s">
        <v>525</v>
      </c>
      <c r="L16" s="68" t="s">
        <v>525</v>
      </c>
      <c r="M16" s="68" t="s">
        <v>525</v>
      </c>
      <c r="N16" s="68" t="s">
        <v>525</v>
      </c>
      <c r="O16" s="68" t="s">
        <v>525</v>
      </c>
      <c r="P16" s="68" t="s">
        <v>525</v>
      </c>
      <c r="Q16" s="59" t="s">
        <v>145</v>
      </c>
      <c r="R16" s="59" t="s">
        <v>193</v>
      </c>
      <c r="S16" s="59" t="s">
        <v>123</v>
      </c>
      <c r="T16" s="59" t="s">
        <v>123</v>
      </c>
      <c r="U16" s="59" t="s">
        <v>123</v>
      </c>
      <c r="V16" s="59" t="s">
        <v>123</v>
      </c>
      <c r="W16" s="59" t="s">
        <v>123</v>
      </c>
      <c r="X16" s="59" t="s">
        <v>123</v>
      </c>
      <c r="Y16" s="38" t="s">
        <v>519</v>
      </c>
      <c r="Z16" s="38" t="s">
        <v>519</v>
      </c>
      <c r="AA16" s="38" t="s">
        <v>519</v>
      </c>
      <c r="AB16" s="38" t="s">
        <v>519</v>
      </c>
      <c r="AC16" s="38" t="s">
        <v>519</v>
      </c>
      <c r="AD16" s="38" t="s">
        <v>519</v>
      </c>
      <c r="AE16" s="38" t="s">
        <v>123</v>
      </c>
      <c r="AF16" s="38" t="s">
        <v>123</v>
      </c>
      <c r="AG16" s="38" t="s">
        <v>519</v>
      </c>
    </row>
    <row r="17" spans="1:33" ht="24" x14ac:dyDescent="0.15">
      <c r="A17" s="64"/>
      <c r="B17" s="34">
        <v>11</v>
      </c>
      <c r="C17" s="37" t="s">
        <v>371</v>
      </c>
      <c r="D17" s="68" t="s">
        <v>372</v>
      </c>
      <c r="E17" s="37" t="s">
        <v>534</v>
      </c>
      <c r="F17" s="68" t="s">
        <v>525</v>
      </c>
      <c r="G17" s="65" t="s">
        <v>380</v>
      </c>
      <c r="H17" s="68" t="s">
        <v>525</v>
      </c>
      <c r="I17" s="68" t="s">
        <v>525</v>
      </c>
      <c r="J17" s="68" t="s">
        <v>525</v>
      </c>
      <c r="K17" s="68" t="s">
        <v>525</v>
      </c>
      <c r="L17" s="68" t="s">
        <v>525</v>
      </c>
      <c r="M17" s="68" t="s">
        <v>525</v>
      </c>
      <c r="N17" s="68" t="s">
        <v>525</v>
      </c>
      <c r="O17" s="68" t="s">
        <v>525</v>
      </c>
      <c r="P17" s="68" t="s">
        <v>525</v>
      </c>
      <c r="Q17" s="59" t="s">
        <v>193</v>
      </c>
      <c r="R17" s="59" t="s">
        <v>145</v>
      </c>
      <c r="S17" s="38" t="s">
        <v>519</v>
      </c>
      <c r="T17" s="38" t="s">
        <v>519</v>
      </c>
      <c r="U17" s="38" t="s">
        <v>519</v>
      </c>
      <c r="V17" s="38" t="s">
        <v>519</v>
      </c>
      <c r="W17" s="38" t="s">
        <v>519</v>
      </c>
      <c r="X17" s="38" t="s">
        <v>519</v>
      </c>
      <c r="Y17" s="38" t="s">
        <v>519</v>
      </c>
      <c r="Z17" s="38" t="s">
        <v>519</v>
      </c>
      <c r="AA17" s="38" t="s">
        <v>519</v>
      </c>
      <c r="AB17" s="38" t="s">
        <v>519</v>
      </c>
      <c r="AC17" s="38" t="s">
        <v>519</v>
      </c>
      <c r="AD17" s="38" t="s">
        <v>519</v>
      </c>
      <c r="AE17" s="38" t="s">
        <v>519</v>
      </c>
      <c r="AF17" s="38" t="s">
        <v>519</v>
      </c>
      <c r="AG17" s="38" t="s">
        <v>519</v>
      </c>
    </row>
    <row r="18" spans="1:33" s="51" customFormat="1" ht="12" customHeight="1" x14ac:dyDescent="0.15">
      <c r="A18" s="74"/>
      <c r="B18" s="34">
        <f t="shared" ref="B18:B80" si="0">B17+1</f>
        <v>12</v>
      </c>
      <c r="C18" s="126" t="s">
        <v>371</v>
      </c>
      <c r="D18" s="126" t="s">
        <v>533</v>
      </c>
      <c r="E18" s="66" t="s">
        <v>378</v>
      </c>
      <c r="F18" s="58" t="s">
        <v>379</v>
      </c>
      <c r="G18" s="52" t="s">
        <v>380</v>
      </c>
      <c r="H18" s="52" t="s">
        <v>381</v>
      </c>
      <c r="I18" s="58">
        <v>50</v>
      </c>
      <c r="J18" s="67" t="s">
        <v>230</v>
      </c>
      <c r="K18" s="58" t="s">
        <v>138</v>
      </c>
      <c r="L18" s="58"/>
      <c r="M18" s="66" t="s">
        <v>532</v>
      </c>
      <c r="N18" s="66" t="s">
        <v>382</v>
      </c>
      <c r="O18" s="66" t="s">
        <v>383</v>
      </c>
      <c r="P18" s="66" t="s">
        <v>369</v>
      </c>
      <c r="Q18" s="59" t="s">
        <v>193</v>
      </c>
      <c r="R18" s="59" t="s">
        <v>145</v>
      </c>
      <c r="S18" s="38" t="s">
        <v>519</v>
      </c>
      <c r="T18" s="38" t="s">
        <v>519</v>
      </c>
      <c r="U18" s="59" t="s">
        <v>123</v>
      </c>
      <c r="V18" s="59" t="s">
        <v>123</v>
      </c>
      <c r="W18" s="59" t="s">
        <v>123</v>
      </c>
      <c r="X18" s="59" t="s">
        <v>123</v>
      </c>
      <c r="Y18" s="59" t="s">
        <v>123</v>
      </c>
      <c r="Z18" s="59" t="s">
        <v>123</v>
      </c>
      <c r="AA18" s="59" t="s">
        <v>123</v>
      </c>
      <c r="AB18" s="59" t="s">
        <v>123</v>
      </c>
      <c r="AC18" s="59" t="s">
        <v>123</v>
      </c>
      <c r="AD18" s="59" t="s">
        <v>123</v>
      </c>
      <c r="AE18" s="59" t="s">
        <v>123</v>
      </c>
      <c r="AF18" s="38" t="s">
        <v>519</v>
      </c>
      <c r="AG18" s="59" t="s">
        <v>123</v>
      </c>
    </row>
    <row r="19" spans="1:33" s="51" customFormat="1" ht="12" customHeight="1" x14ac:dyDescent="0.15">
      <c r="A19" s="74"/>
      <c r="B19" s="34">
        <f t="shared" si="0"/>
        <v>13</v>
      </c>
      <c r="C19" s="127"/>
      <c r="D19" s="127"/>
      <c r="E19" s="66" t="s">
        <v>384</v>
      </c>
      <c r="F19" s="58" t="s">
        <v>385</v>
      </c>
      <c r="G19" s="52" t="s">
        <v>380</v>
      </c>
      <c r="H19" s="52" t="s">
        <v>381</v>
      </c>
      <c r="I19" s="58">
        <v>50</v>
      </c>
      <c r="J19" s="67" t="s">
        <v>230</v>
      </c>
      <c r="K19" s="58" t="s">
        <v>138</v>
      </c>
      <c r="L19" s="58"/>
      <c r="M19" s="66" t="s">
        <v>532</v>
      </c>
      <c r="N19" s="66" t="s">
        <v>382</v>
      </c>
      <c r="O19" s="66" t="s">
        <v>383</v>
      </c>
      <c r="P19" s="66" t="s">
        <v>369</v>
      </c>
      <c r="Q19" s="59" t="s">
        <v>193</v>
      </c>
      <c r="R19" s="59" t="s">
        <v>145</v>
      </c>
      <c r="S19" s="38" t="s">
        <v>519</v>
      </c>
      <c r="T19" s="38" t="s">
        <v>519</v>
      </c>
      <c r="U19" s="59" t="s">
        <v>123</v>
      </c>
      <c r="V19" s="59" t="s">
        <v>123</v>
      </c>
      <c r="W19" s="59" t="s">
        <v>123</v>
      </c>
      <c r="X19" s="59" t="s">
        <v>123</v>
      </c>
      <c r="Y19" s="59" t="s">
        <v>123</v>
      </c>
      <c r="Z19" s="59" t="s">
        <v>123</v>
      </c>
      <c r="AA19" s="59" t="s">
        <v>123</v>
      </c>
      <c r="AB19" s="59" t="s">
        <v>123</v>
      </c>
      <c r="AC19" s="59" t="s">
        <v>123</v>
      </c>
      <c r="AD19" s="59" t="s">
        <v>123</v>
      </c>
      <c r="AE19" s="59" t="s">
        <v>123</v>
      </c>
      <c r="AF19" s="38" t="s">
        <v>519</v>
      </c>
      <c r="AG19" s="59" t="s">
        <v>123</v>
      </c>
    </row>
    <row r="20" spans="1:33" s="51" customFormat="1" ht="12" customHeight="1" x14ac:dyDescent="0.15">
      <c r="A20" s="74"/>
      <c r="B20" s="34">
        <f t="shared" si="0"/>
        <v>14</v>
      </c>
      <c r="C20" s="127"/>
      <c r="D20" s="127"/>
      <c r="E20" s="66" t="s">
        <v>384</v>
      </c>
      <c r="F20" s="58" t="s">
        <v>386</v>
      </c>
      <c r="G20" s="52" t="s">
        <v>380</v>
      </c>
      <c r="H20" s="52" t="s">
        <v>387</v>
      </c>
      <c r="I20" s="58">
        <v>500</v>
      </c>
      <c r="J20" s="67" t="s">
        <v>230</v>
      </c>
      <c r="K20" s="58" t="s">
        <v>138</v>
      </c>
      <c r="L20" s="58"/>
      <c r="M20" s="66" t="s">
        <v>532</v>
      </c>
      <c r="N20" s="66" t="s">
        <v>382</v>
      </c>
      <c r="O20" s="66" t="s">
        <v>383</v>
      </c>
      <c r="P20" s="66" t="s">
        <v>369</v>
      </c>
      <c r="Q20" s="59" t="s">
        <v>193</v>
      </c>
      <c r="R20" s="59" t="s">
        <v>145</v>
      </c>
      <c r="S20" s="38" t="s">
        <v>519</v>
      </c>
      <c r="T20" s="38" t="s">
        <v>519</v>
      </c>
      <c r="U20" s="59" t="s">
        <v>123</v>
      </c>
      <c r="V20" s="59" t="s">
        <v>123</v>
      </c>
      <c r="W20" s="59" t="s">
        <v>123</v>
      </c>
      <c r="X20" s="59" t="s">
        <v>123</v>
      </c>
      <c r="Y20" s="59" t="s">
        <v>123</v>
      </c>
      <c r="Z20" s="59" t="s">
        <v>123</v>
      </c>
      <c r="AA20" s="59" t="s">
        <v>123</v>
      </c>
      <c r="AB20" s="59" t="s">
        <v>123</v>
      </c>
      <c r="AC20" s="59" t="s">
        <v>123</v>
      </c>
      <c r="AD20" s="59" t="s">
        <v>123</v>
      </c>
      <c r="AE20" s="59" t="s">
        <v>123</v>
      </c>
      <c r="AF20" s="38" t="s">
        <v>519</v>
      </c>
      <c r="AG20" s="59" t="s">
        <v>123</v>
      </c>
    </row>
    <row r="21" spans="1:33" s="51" customFormat="1" ht="12" customHeight="1" x14ac:dyDescent="0.15">
      <c r="A21" s="74"/>
      <c r="B21" s="34">
        <f t="shared" si="0"/>
        <v>15</v>
      </c>
      <c r="C21" s="127"/>
      <c r="D21" s="127"/>
      <c r="E21" s="66" t="s">
        <v>384</v>
      </c>
      <c r="F21" s="58" t="s">
        <v>388</v>
      </c>
      <c r="G21" s="52" t="s">
        <v>380</v>
      </c>
      <c r="H21" s="52" t="s">
        <v>381</v>
      </c>
      <c r="I21" s="58">
        <v>50</v>
      </c>
      <c r="J21" s="67" t="s">
        <v>230</v>
      </c>
      <c r="K21" s="58" t="s">
        <v>138</v>
      </c>
      <c r="L21" s="58"/>
      <c r="M21" s="66" t="s">
        <v>532</v>
      </c>
      <c r="N21" s="66" t="s">
        <v>382</v>
      </c>
      <c r="O21" s="66" t="s">
        <v>383</v>
      </c>
      <c r="P21" s="66" t="s">
        <v>369</v>
      </c>
      <c r="Q21" s="59" t="s">
        <v>193</v>
      </c>
      <c r="R21" s="59" t="s">
        <v>145</v>
      </c>
      <c r="S21" s="38" t="s">
        <v>519</v>
      </c>
      <c r="T21" s="38" t="s">
        <v>519</v>
      </c>
      <c r="U21" s="59" t="s">
        <v>123</v>
      </c>
      <c r="V21" s="59" t="s">
        <v>123</v>
      </c>
      <c r="W21" s="59" t="s">
        <v>123</v>
      </c>
      <c r="X21" s="59" t="s">
        <v>123</v>
      </c>
      <c r="Y21" s="59" t="s">
        <v>123</v>
      </c>
      <c r="Z21" s="59" t="s">
        <v>123</v>
      </c>
      <c r="AA21" s="59" t="s">
        <v>123</v>
      </c>
      <c r="AB21" s="59" t="s">
        <v>123</v>
      </c>
      <c r="AC21" s="59" t="s">
        <v>123</v>
      </c>
      <c r="AD21" s="59" t="s">
        <v>123</v>
      </c>
      <c r="AE21" s="59" t="s">
        <v>123</v>
      </c>
      <c r="AF21" s="38" t="s">
        <v>519</v>
      </c>
      <c r="AG21" s="59" t="s">
        <v>123</v>
      </c>
    </row>
    <row r="22" spans="1:33" s="51" customFormat="1" ht="12" customHeight="1" x14ac:dyDescent="0.15">
      <c r="A22" s="74"/>
      <c r="B22" s="34">
        <f t="shared" si="0"/>
        <v>16</v>
      </c>
      <c r="C22" s="127"/>
      <c r="D22" s="127"/>
      <c r="E22" s="66" t="s">
        <v>384</v>
      </c>
      <c r="F22" s="58" t="s">
        <v>389</v>
      </c>
      <c r="G22" s="52" t="s">
        <v>380</v>
      </c>
      <c r="H22" s="52" t="s">
        <v>381</v>
      </c>
      <c r="I22" s="58">
        <v>50</v>
      </c>
      <c r="J22" s="67" t="s">
        <v>230</v>
      </c>
      <c r="K22" s="58" t="s">
        <v>138</v>
      </c>
      <c r="L22" s="58"/>
      <c r="M22" s="66" t="s">
        <v>532</v>
      </c>
      <c r="N22" s="66" t="s">
        <v>382</v>
      </c>
      <c r="O22" s="66" t="s">
        <v>383</v>
      </c>
      <c r="P22" s="66" t="s">
        <v>369</v>
      </c>
      <c r="Q22" s="59" t="s">
        <v>193</v>
      </c>
      <c r="R22" s="59" t="s">
        <v>145</v>
      </c>
      <c r="S22" s="38" t="s">
        <v>519</v>
      </c>
      <c r="T22" s="38" t="s">
        <v>519</v>
      </c>
      <c r="U22" s="59" t="s">
        <v>123</v>
      </c>
      <c r="V22" s="59" t="s">
        <v>123</v>
      </c>
      <c r="W22" s="59" t="s">
        <v>123</v>
      </c>
      <c r="X22" s="59" t="s">
        <v>123</v>
      </c>
      <c r="Y22" s="59" t="s">
        <v>123</v>
      </c>
      <c r="Z22" s="59" t="s">
        <v>123</v>
      </c>
      <c r="AA22" s="59" t="s">
        <v>123</v>
      </c>
      <c r="AB22" s="59" t="s">
        <v>123</v>
      </c>
      <c r="AC22" s="59" t="s">
        <v>123</v>
      </c>
      <c r="AD22" s="59" t="s">
        <v>123</v>
      </c>
      <c r="AE22" s="59" t="s">
        <v>123</v>
      </c>
      <c r="AF22" s="38" t="s">
        <v>519</v>
      </c>
      <c r="AG22" s="59" t="s">
        <v>123</v>
      </c>
    </row>
    <row r="23" spans="1:33" s="51" customFormat="1" ht="12" customHeight="1" x14ac:dyDescent="0.15">
      <c r="A23" s="74"/>
      <c r="B23" s="34">
        <f t="shared" si="0"/>
        <v>17</v>
      </c>
      <c r="C23" s="127"/>
      <c r="D23" s="127"/>
      <c r="E23" s="66" t="s">
        <v>384</v>
      </c>
      <c r="F23" s="65" t="s">
        <v>390</v>
      </c>
      <c r="G23" s="52" t="s">
        <v>380</v>
      </c>
      <c r="H23" s="52" t="s">
        <v>381</v>
      </c>
      <c r="I23" s="58">
        <v>50</v>
      </c>
      <c r="J23" s="67" t="s">
        <v>230</v>
      </c>
      <c r="K23" s="58" t="s">
        <v>138</v>
      </c>
      <c r="L23" s="58"/>
      <c r="M23" s="66" t="s">
        <v>532</v>
      </c>
      <c r="N23" s="66" t="s">
        <v>382</v>
      </c>
      <c r="O23" s="66" t="s">
        <v>383</v>
      </c>
      <c r="P23" s="66" t="s">
        <v>369</v>
      </c>
      <c r="Q23" s="59" t="s">
        <v>193</v>
      </c>
      <c r="R23" s="59" t="s">
        <v>145</v>
      </c>
      <c r="S23" s="38" t="s">
        <v>519</v>
      </c>
      <c r="T23" s="38" t="s">
        <v>519</v>
      </c>
      <c r="U23" s="59" t="s">
        <v>123</v>
      </c>
      <c r="V23" s="59" t="s">
        <v>123</v>
      </c>
      <c r="W23" s="59" t="s">
        <v>123</v>
      </c>
      <c r="X23" s="59" t="s">
        <v>123</v>
      </c>
      <c r="Y23" s="59" t="s">
        <v>123</v>
      </c>
      <c r="Z23" s="59" t="s">
        <v>123</v>
      </c>
      <c r="AA23" s="59" t="s">
        <v>123</v>
      </c>
      <c r="AB23" s="59" t="s">
        <v>123</v>
      </c>
      <c r="AC23" s="59" t="s">
        <v>123</v>
      </c>
      <c r="AD23" s="59" t="s">
        <v>123</v>
      </c>
      <c r="AE23" s="59" t="s">
        <v>123</v>
      </c>
      <c r="AF23" s="38" t="s">
        <v>519</v>
      </c>
      <c r="AG23" s="59" t="s">
        <v>123</v>
      </c>
    </row>
    <row r="24" spans="1:33" s="51" customFormat="1" ht="12" customHeight="1" x14ac:dyDescent="0.15">
      <c r="A24" s="74"/>
      <c r="B24" s="34">
        <f t="shared" si="0"/>
        <v>18</v>
      </c>
      <c r="C24" s="127"/>
      <c r="D24" s="127"/>
      <c r="E24" s="66" t="s">
        <v>384</v>
      </c>
      <c r="F24" s="65" t="s">
        <v>391</v>
      </c>
      <c r="G24" s="52" t="s">
        <v>380</v>
      </c>
      <c r="H24" s="52" t="s">
        <v>381</v>
      </c>
      <c r="I24" s="58">
        <v>50</v>
      </c>
      <c r="J24" s="67" t="s">
        <v>230</v>
      </c>
      <c r="K24" s="58" t="s">
        <v>138</v>
      </c>
      <c r="L24" s="58"/>
      <c r="M24" s="66" t="s">
        <v>532</v>
      </c>
      <c r="N24" s="66" t="s">
        <v>382</v>
      </c>
      <c r="O24" s="66" t="s">
        <v>383</v>
      </c>
      <c r="P24" s="66" t="s">
        <v>369</v>
      </c>
      <c r="Q24" s="59" t="s">
        <v>193</v>
      </c>
      <c r="R24" s="59" t="s">
        <v>145</v>
      </c>
      <c r="S24" s="38" t="s">
        <v>519</v>
      </c>
      <c r="T24" s="38" t="s">
        <v>519</v>
      </c>
      <c r="U24" s="59" t="s">
        <v>123</v>
      </c>
      <c r="V24" s="59" t="s">
        <v>123</v>
      </c>
      <c r="W24" s="59" t="s">
        <v>123</v>
      </c>
      <c r="X24" s="59" t="s">
        <v>123</v>
      </c>
      <c r="Y24" s="59" t="s">
        <v>123</v>
      </c>
      <c r="Z24" s="59" t="s">
        <v>123</v>
      </c>
      <c r="AA24" s="59" t="s">
        <v>123</v>
      </c>
      <c r="AB24" s="59" t="s">
        <v>123</v>
      </c>
      <c r="AC24" s="59" t="s">
        <v>123</v>
      </c>
      <c r="AD24" s="59" t="s">
        <v>123</v>
      </c>
      <c r="AE24" s="59" t="s">
        <v>123</v>
      </c>
      <c r="AF24" s="38" t="s">
        <v>519</v>
      </c>
      <c r="AG24" s="59" t="s">
        <v>123</v>
      </c>
    </row>
    <row r="25" spans="1:33" s="51" customFormat="1" ht="12" customHeight="1" x14ac:dyDescent="0.15">
      <c r="A25" s="74"/>
      <c r="B25" s="34">
        <f t="shared" si="0"/>
        <v>19</v>
      </c>
      <c r="C25" s="127"/>
      <c r="D25" s="127"/>
      <c r="E25" s="66" t="s">
        <v>384</v>
      </c>
      <c r="F25" s="65" t="s">
        <v>392</v>
      </c>
      <c r="G25" s="52" t="s">
        <v>380</v>
      </c>
      <c r="H25" s="52" t="s">
        <v>381</v>
      </c>
      <c r="I25" s="58">
        <v>50</v>
      </c>
      <c r="J25" s="67" t="s">
        <v>230</v>
      </c>
      <c r="K25" s="58" t="s">
        <v>138</v>
      </c>
      <c r="L25" s="58"/>
      <c r="M25" s="66" t="s">
        <v>532</v>
      </c>
      <c r="N25" s="66" t="s">
        <v>382</v>
      </c>
      <c r="O25" s="66" t="s">
        <v>383</v>
      </c>
      <c r="P25" s="66" t="s">
        <v>369</v>
      </c>
      <c r="Q25" s="59" t="s">
        <v>193</v>
      </c>
      <c r="R25" s="59" t="s">
        <v>145</v>
      </c>
      <c r="S25" s="38" t="s">
        <v>519</v>
      </c>
      <c r="T25" s="38" t="s">
        <v>519</v>
      </c>
      <c r="U25" s="59" t="s">
        <v>123</v>
      </c>
      <c r="V25" s="59" t="s">
        <v>123</v>
      </c>
      <c r="W25" s="59" t="s">
        <v>123</v>
      </c>
      <c r="X25" s="59" t="s">
        <v>123</v>
      </c>
      <c r="Y25" s="59" t="s">
        <v>123</v>
      </c>
      <c r="Z25" s="59" t="s">
        <v>123</v>
      </c>
      <c r="AA25" s="59" t="s">
        <v>123</v>
      </c>
      <c r="AB25" s="59" t="s">
        <v>123</v>
      </c>
      <c r="AC25" s="59" t="s">
        <v>123</v>
      </c>
      <c r="AD25" s="59" t="s">
        <v>123</v>
      </c>
      <c r="AE25" s="59" t="s">
        <v>123</v>
      </c>
      <c r="AF25" s="38" t="s">
        <v>519</v>
      </c>
      <c r="AG25" s="59" t="s">
        <v>123</v>
      </c>
    </row>
    <row r="26" spans="1:33" s="51" customFormat="1" ht="12" customHeight="1" x14ac:dyDescent="0.15">
      <c r="A26" s="74"/>
      <c r="B26" s="34">
        <f t="shared" si="0"/>
        <v>20</v>
      </c>
      <c r="C26" s="127"/>
      <c r="D26" s="127"/>
      <c r="E26" s="66" t="s">
        <v>384</v>
      </c>
      <c r="F26" s="65" t="s">
        <v>393</v>
      </c>
      <c r="G26" s="52" t="s">
        <v>380</v>
      </c>
      <c r="H26" s="52" t="s">
        <v>381</v>
      </c>
      <c r="I26" s="58">
        <v>50</v>
      </c>
      <c r="J26" s="67" t="s">
        <v>230</v>
      </c>
      <c r="K26" s="58" t="s">
        <v>138</v>
      </c>
      <c r="L26" s="58"/>
      <c r="M26" s="66" t="s">
        <v>532</v>
      </c>
      <c r="N26" s="66" t="s">
        <v>382</v>
      </c>
      <c r="O26" s="66" t="s">
        <v>383</v>
      </c>
      <c r="P26" s="66" t="s">
        <v>369</v>
      </c>
      <c r="Q26" s="59" t="s">
        <v>193</v>
      </c>
      <c r="R26" s="59" t="s">
        <v>145</v>
      </c>
      <c r="S26" s="38" t="s">
        <v>519</v>
      </c>
      <c r="T26" s="38" t="s">
        <v>519</v>
      </c>
      <c r="U26" s="59" t="s">
        <v>123</v>
      </c>
      <c r="V26" s="59" t="s">
        <v>123</v>
      </c>
      <c r="W26" s="59" t="s">
        <v>123</v>
      </c>
      <c r="X26" s="59" t="s">
        <v>123</v>
      </c>
      <c r="Y26" s="59" t="s">
        <v>123</v>
      </c>
      <c r="Z26" s="59" t="s">
        <v>123</v>
      </c>
      <c r="AA26" s="59" t="s">
        <v>123</v>
      </c>
      <c r="AB26" s="59" t="s">
        <v>123</v>
      </c>
      <c r="AC26" s="59" t="s">
        <v>123</v>
      </c>
      <c r="AD26" s="59" t="s">
        <v>123</v>
      </c>
      <c r="AE26" s="59" t="s">
        <v>123</v>
      </c>
      <c r="AF26" s="38" t="s">
        <v>519</v>
      </c>
      <c r="AG26" s="59" t="s">
        <v>123</v>
      </c>
    </row>
    <row r="27" spans="1:33" s="51" customFormat="1" ht="12" customHeight="1" x14ac:dyDescent="0.15">
      <c r="A27" s="74"/>
      <c r="B27" s="34">
        <f t="shared" si="0"/>
        <v>21</v>
      </c>
      <c r="C27" s="127"/>
      <c r="D27" s="127"/>
      <c r="E27" s="66" t="s">
        <v>384</v>
      </c>
      <c r="F27" s="65" t="s">
        <v>394</v>
      </c>
      <c r="G27" s="52" t="s">
        <v>380</v>
      </c>
      <c r="H27" s="52" t="s">
        <v>381</v>
      </c>
      <c r="I27" s="58">
        <v>50</v>
      </c>
      <c r="J27" s="67" t="s">
        <v>230</v>
      </c>
      <c r="K27" s="58" t="s">
        <v>138</v>
      </c>
      <c r="L27" s="58"/>
      <c r="M27" s="66" t="s">
        <v>532</v>
      </c>
      <c r="N27" s="66" t="s">
        <v>382</v>
      </c>
      <c r="O27" s="66" t="s">
        <v>383</v>
      </c>
      <c r="P27" s="66" t="s">
        <v>369</v>
      </c>
      <c r="Q27" s="59" t="s">
        <v>193</v>
      </c>
      <c r="R27" s="59" t="s">
        <v>145</v>
      </c>
      <c r="S27" s="38" t="s">
        <v>519</v>
      </c>
      <c r="T27" s="38" t="s">
        <v>519</v>
      </c>
      <c r="U27" s="59" t="s">
        <v>123</v>
      </c>
      <c r="V27" s="59" t="s">
        <v>123</v>
      </c>
      <c r="W27" s="59" t="s">
        <v>123</v>
      </c>
      <c r="X27" s="59" t="s">
        <v>123</v>
      </c>
      <c r="Y27" s="59" t="s">
        <v>123</v>
      </c>
      <c r="Z27" s="59" t="s">
        <v>123</v>
      </c>
      <c r="AA27" s="59" t="s">
        <v>123</v>
      </c>
      <c r="AB27" s="59" t="s">
        <v>123</v>
      </c>
      <c r="AC27" s="59" t="s">
        <v>123</v>
      </c>
      <c r="AD27" s="59" t="s">
        <v>123</v>
      </c>
      <c r="AE27" s="59" t="s">
        <v>123</v>
      </c>
      <c r="AF27" s="38" t="s">
        <v>519</v>
      </c>
      <c r="AG27" s="59" t="s">
        <v>123</v>
      </c>
    </row>
    <row r="28" spans="1:33" s="51" customFormat="1" ht="12" customHeight="1" x14ac:dyDescent="0.15">
      <c r="A28" s="74"/>
      <c r="B28" s="34">
        <f t="shared" si="0"/>
        <v>22</v>
      </c>
      <c r="C28" s="127"/>
      <c r="D28" s="127"/>
      <c r="E28" s="66" t="s">
        <v>384</v>
      </c>
      <c r="F28" s="65" t="s">
        <v>395</v>
      </c>
      <c r="G28" s="52" t="s">
        <v>380</v>
      </c>
      <c r="H28" s="52" t="s">
        <v>381</v>
      </c>
      <c r="I28" s="58">
        <v>50</v>
      </c>
      <c r="J28" s="67" t="s">
        <v>230</v>
      </c>
      <c r="K28" s="58" t="s">
        <v>138</v>
      </c>
      <c r="L28" s="58"/>
      <c r="M28" s="66" t="s">
        <v>532</v>
      </c>
      <c r="N28" s="66" t="s">
        <v>382</v>
      </c>
      <c r="O28" s="66" t="s">
        <v>383</v>
      </c>
      <c r="P28" s="66" t="s">
        <v>369</v>
      </c>
      <c r="Q28" s="59" t="s">
        <v>193</v>
      </c>
      <c r="R28" s="59" t="s">
        <v>145</v>
      </c>
      <c r="S28" s="38" t="s">
        <v>519</v>
      </c>
      <c r="T28" s="38" t="s">
        <v>519</v>
      </c>
      <c r="U28" s="59" t="s">
        <v>123</v>
      </c>
      <c r="V28" s="59" t="s">
        <v>123</v>
      </c>
      <c r="W28" s="59" t="s">
        <v>123</v>
      </c>
      <c r="X28" s="59" t="s">
        <v>123</v>
      </c>
      <c r="Y28" s="59" t="s">
        <v>123</v>
      </c>
      <c r="Z28" s="59" t="s">
        <v>123</v>
      </c>
      <c r="AA28" s="59" t="s">
        <v>123</v>
      </c>
      <c r="AB28" s="59" t="s">
        <v>123</v>
      </c>
      <c r="AC28" s="59" t="s">
        <v>123</v>
      </c>
      <c r="AD28" s="59" t="s">
        <v>123</v>
      </c>
      <c r="AE28" s="59" t="s">
        <v>123</v>
      </c>
      <c r="AF28" s="38" t="s">
        <v>519</v>
      </c>
      <c r="AG28" s="59" t="s">
        <v>123</v>
      </c>
    </row>
    <row r="29" spans="1:33" s="51" customFormat="1" ht="12" customHeight="1" x14ac:dyDescent="0.15">
      <c r="A29" s="74"/>
      <c r="B29" s="34">
        <f t="shared" si="0"/>
        <v>23</v>
      </c>
      <c r="C29" s="127"/>
      <c r="D29" s="127"/>
      <c r="E29" s="66" t="s">
        <v>384</v>
      </c>
      <c r="F29" s="65" t="s">
        <v>396</v>
      </c>
      <c r="G29" s="52" t="s">
        <v>380</v>
      </c>
      <c r="H29" s="52" t="s">
        <v>381</v>
      </c>
      <c r="I29" s="58">
        <v>50</v>
      </c>
      <c r="J29" s="67" t="s">
        <v>230</v>
      </c>
      <c r="K29" s="58" t="s">
        <v>138</v>
      </c>
      <c r="L29" s="58"/>
      <c r="M29" s="66" t="s">
        <v>532</v>
      </c>
      <c r="N29" s="66" t="s">
        <v>382</v>
      </c>
      <c r="O29" s="66" t="s">
        <v>383</v>
      </c>
      <c r="P29" s="66" t="s">
        <v>369</v>
      </c>
      <c r="Q29" s="59" t="s">
        <v>193</v>
      </c>
      <c r="R29" s="59" t="s">
        <v>145</v>
      </c>
      <c r="S29" s="38" t="s">
        <v>519</v>
      </c>
      <c r="T29" s="38" t="s">
        <v>519</v>
      </c>
      <c r="U29" s="59" t="s">
        <v>123</v>
      </c>
      <c r="V29" s="59" t="s">
        <v>123</v>
      </c>
      <c r="W29" s="59" t="s">
        <v>123</v>
      </c>
      <c r="X29" s="59" t="s">
        <v>123</v>
      </c>
      <c r="Y29" s="59" t="s">
        <v>123</v>
      </c>
      <c r="Z29" s="59" t="s">
        <v>123</v>
      </c>
      <c r="AA29" s="59" t="s">
        <v>123</v>
      </c>
      <c r="AB29" s="59" t="s">
        <v>123</v>
      </c>
      <c r="AC29" s="59" t="s">
        <v>123</v>
      </c>
      <c r="AD29" s="59" t="s">
        <v>123</v>
      </c>
      <c r="AE29" s="59" t="s">
        <v>123</v>
      </c>
      <c r="AF29" s="38" t="s">
        <v>519</v>
      </c>
      <c r="AG29" s="59" t="s">
        <v>123</v>
      </c>
    </row>
    <row r="30" spans="1:33" s="51" customFormat="1" ht="12" customHeight="1" x14ac:dyDescent="0.15">
      <c r="A30" s="74"/>
      <c r="B30" s="34">
        <f t="shared" si="0"/>
        <v>24</v>
      </c>
      <c r="C30" s="127"/>
      <c r="D30" s="127"/>
      <c r="E30" s="66" t="s">
        <v>384</v>
      </c>
      <c r="F30" s="65" t="s">
        <v>397</v>
      </c>
      <c r="G30" s="52" t="s">
        <v>380</v>
      </c>
      <c r="H30" s="52" t="s">
        <v>381</v>
      </c>
      <c r="I30" s="58">
        <v>50</v>
      </c>
      <c r="J30" s="67" t="s">
        <v>230</v>
      </c>
      <c r="K30" s="58" t="s">
        <v>138</v>
      </c>
      <c r="L30" s="58"/>
      <c r="M30" s="66" t="s">
        <v>532</v>
      </c>
      <c r="N30" s="66" t="s">
        <v>382</v>
      </c>
      <c r="O30" s="66" t="s">
        <v>383</v>
      </c>
      <c r="P30" s="66" t="s">
        <v>369</v>
      </c>
      <c r="Q30" s="59" t="s">
        <v>193</v>
      </c>
      <c r="R30" s="59" t="s">
        <v>145</v>
      </c>
      <c r="S30" s="38" t="s">
        <v>519</v>
      </c>
      <c r="T30" s="38" t="s">
        <v>519</v>
      </c>
      <c r="U30" s="59" t="s">
        <v>123</v>
      </c>
      <c r="V30" s="59" t="s">
        <v>123</v>
      </c>
      <c r="W30" s="59" t="s">
        <v>123</v>
      </c>
      <c r="X30" s="59" t="s">
        <v>123</v>
      </c>
      <c r="Y30" s="59" t="s">
        <v>123</v>
      </c>
      <c r="Z30" s="59" t="s">
        <v>123</v>
      </c>
      <c r="AA30" s="59" t="s">
        <v>123</v>
      </c>
      <c r="AB30" s="59" t="s">
        <v>123</v>
      </c>
      <c r="AC30" s="59" t="s">
        <v>123</v>
      </c>
      <c r="AD30" s="59" t="s">
        <v>123</v>
      </c>
      <c r="AE30" s="59" t="s">
        <v>123</v>
      </c>
      <c r="AF30" s="38" t="s">
        <v>519</v>
      </c>
      <c r="AG30" s="59" t="s">
        <v>123</v>
      </c>
    </row>
    <row r="31" spans="1:33" s="51" customFormat="1" ht="12" customHeight="1" x14ac:dyDescent="0.15">
      <c r="A31" s="74"/>
      <c r="B31" s="34">
        <f t="shared" si="0"/>
        <v>25</v>
      </c>
      <c r="C31" s="127"/>
      <c r="D31" s="127"/>
      <c r="E31" s="66" t="s">
        <v>384</v>
      </c>
      <c r="F31" s="65" t="s">
        <v>398</v>
      </c>
      <c r="G31" s="52" t="s">
        <v>380</v>
      </c>
      <c r="H31" s="52" t="s">
        <v>387</v>
      </c>
      <c r="I31" s="58">
        <v>500</v>
      </c>
      <c r="J31" s="67" t="s">
        <v>230</v>
      </c>
      <c r="K31" s="58" t="s">
        <v>138</v>
      </c>
      <c r="L31" s="58"/>
      <c r="M31" s="66" t="s">
        <v>532</v>
      </c>
      <c r="N31" s="66" t="s">
        <v>382</v>
      </c>
      <c r="O31" s="66" t="s">
        <v>383</v>
      </c>
      <c r="P31" s="66" t="s">
        <v>369</v>
      </c>
      <c r="Q31" s="59" t="s">
        <v>193</v>
      </c>
      <c r="R31" s="59" t="s">
        <v>145</v>
      </c>
      <c r="S31" s="38" t="s">
        <v>519</v>
      </c>
      <c r="T31" s="38" t="s">
        <v>519</v>
      </c>
      <c r="U31" s="59" t="s">
        <v>123</v>
      </c>
      <c r="V31" s="59" t="s">
        <v>123</v>
      </c>
      <c r="W31" s="59" t="s">
        <v>123</v>
      </c>
      <c r="X31" s="59" t="s">
        <v>123</v>
      </c>
      <c r="Y31" s="59" t="s">
        <v>123</v>
      </c>
      <c r="Z31" s="59" t="s">
        <v>123</v>
      </c>
      <c r="AA31" s="59" t="s">
        <v>123</v>
      </c>
      <c r="AB31" s="59" t="s">
        <v>123</v>
      </c>
      <c r="AC31" s="59" t="s">
        <v>123</v>
      </c>
      <c r="AD31" s="59" t="s">
        <v>123</v>
      </c>
      <c r="AE31" s="59" t="s">
        <v>123</v>
      </c>
      <c r="AF31" s="38" t="s">
        <v>519</v>
      </c>
      <c r="AG31" s="59" t="s">
        <v>123</v>
      </c>
    </row>
    <row r="32" spans="1:33" s="51" customFormat="1" ht="12" customHeight="1" x14ac:dyDescent="0.15">
      <c r="A32" s="74"/>
      <c r="B32" s="34">
        <f t="shared" si="0"/>
        <v>26</v>
      </c>
      <c r="C32" s="127"/>
      <c r="D32" s="127"/>
      <c r="E32" s="66" t="s">
        <v>384</v>
      </c>
      <c r="F32" s="65" t="s">
        <v>527</v>
      </c>
      <c r="G32" s="52" t="s">
        <v>380</v>
      </c>
      <c r="H32" s="52" t="s">
        <v>399</v>
      </c>
      <c r="I32" s="58">
        <v>0.3</v>
      </c>
      <c r="J32" s="67" t="s">
        <v>230</v>
      </c>
      <c r="K32" s="58" t="s">
        <v>138</v>
      </c>
      <c r="L32" s="58"/>
      <c r="M32" s="66" t="s">
        <v>532</v>
      </c>
      <c r="N32" s="66" t="s">
        <v>382</v>
      </c>
      <c r="O32" s="66" t="s">
        <v>383</v>
      </c>
      <c r="P32" s="66" t="s">
        <v>369</v>
      </c>
      <c r="Q32" s="59" t="s">
        <v>193</v>
      </c>
      <c r="R32" s="59" t="s">
        <v>145</v>
      </c>
      <c r="S32" s="38" t="s">
        <v>519</v>
      </c>
      <c r="T32" s="38" t="s">
        <v>519</v>
      </c>
      <c r="U32" s="59" t="s">
        <v>123</v>
      </c>
      <c r="V32" s="59" t="s">
        <v>123</v>
      </c>
      <c r="W32" s="59" t="s">
        <v>123</v>
      </c>
      <c r="X32" s="59" t="s">
        <v>123</v>
      </c>
      <c r="Y32" s="59" t="s">
        <v>123</v>
      </c>
      <c r="Z32" s="59" t="s">
        <v>123</v>
      </c>
      <c r="AA32" s="59" t="s">
        <v>123</v>
      </c>
      <c r="AB32" s="59" t="s">
        <v>123</v>
      </c>
      <c r="AC32" s="59" t="s">
        <v>123</v>
      </c>
      <c r="AD32" s="59" t="s">
        <v>123</v>
      </c>
      <c r="AE32" s="59" t="s">
        <v>123</v>
      </c>
      <c r="AF32" s="38" t="s">
        <v>519</v>
      </c>
      <c r="AG32" s="59" t="s">
        <v>123</v>
      </c>
    </row>
    <row r="33" spans="1:33" s="51" customFormat="1" ht="12" customHeight="1" x14ac:dyDescent="0.15">
      <c r="A33" s="74"/>
      <c r="B33" s="34">
        <f t="shared" si="0"/>
        <v>27</v>
      </c>
      <c r="C33" s="127"/>
      <c r="D33" s="127"/>
      <c r="E33" s="66" t="s">
        <v>384</v>
      </c>
      <c r="F33" s="65" t="s">
        <v>400</v>
      </c>
      <c r="G33" s="52" t="s">
        <v>380</v>
      </c>
      <c r="H33" s="52" t="s">
        <v>381</v>
      </c>
      <c r="I33" s="58">
        <v>50</v>
      </c>
      <c r="J33" s="67" t="s">
        <v>230</v>
      </c>
      <c r="K33" s="58" t="s">
        <v>138</v>
      </c>
      <c r="L33" s="58"/>
      <c r="M33" s="66" t="s">
        <v>532</v>
      </c>
      <c r="N33" s="66" t="s">
        <v>382</v>
      </c>
      <c r="O33" s="66" t="s">
        <v>383</v>
      </c>
      <c r="P33" s="66" t="s">
        <v>369</v>
      </c>
      <c r="Q33" s="59" t="s">
        <v>193</v>
      </c>
      <c r="R33" s="59" t="s">
        <v>145</v>
      </c>
      <c r="S33" s="38" t="s">
        <v>519</v>
      </c>
      <c r="T33" s="38" t="s">
        <v>519</v>
      </c>
      <c r="U33" s="59" t="s">
        <v>123</v>
      </c>
      <c r="V33" s="59" t="s">
        <v>123</v>
      </c>
      <c r="W33" s="59" t="s">
        <v>123</v>
      </c>
      <c r="X33" s="59" t="s">
        <v>123</v>
      </c>
      <c r="Y33" s="59" t="s">
        <v>123</v>
      </c>
      <c r="Z33" s="59" t="s">
        <v>123</v>
      </c>
      <c r="AA33" s="59" t="s">
        <v>123</v>
      </c>
      <c r="AB33" s="59" t="s">
        <v>123</v>
      </c>
      <c r="AC33" s="59" t="s">
        <v>123</v>
      </c>
      <c r="AD33" s="59" t="s">
        <v>123</v>
      </c>
      <c r="AE33" s="59" t="s">
        <v>123</v>
      </c>
      <c r="AF33" s="38" t="s">
        <v>519</v>
      </c>
      <c r="AG33" s="59" t="s">
        <v>123</v>
      </c>
    </row>
    <row r="34" spans="1:33" s="51" customFormat="1" ht="12" customHeight="1" x14ac:dyDescent="0.15">
      <c r="A34" s="74"/>
      <c r="B34" s="34">
        <f t="shared" si="0"/>
        <v>28</v>
      </c>
      <c r="C34" s="127"/>
      <c r="D34" s="127"/>
      <c r="E34" s="66" t="s">
        <v>384</v>
      </c>
      <c r="F34" s="65" t="s">
        <v>401</v>
      </c>
      <c r="G34" s="52" t="s">
        <v>380</v>
      </c>
      <c r="H34" s="52" t="s">
        <v>399</v>
      </c>
      <c r="I34" s="58">
        <v>0.3</v>
      </c>
      <c r="J34" s="67" t="s">
        <v>230</v>
      </c>
      <c r="K34" s="58" t="s">
        <v>138</v>
      </c>
      <c r="L34" s="58"/>
      <c r="M34" s="66" t="s">
        <v>532</v>
      </c>
      <c r="N34" s="66" t="s">
        <v>382</v>
      </c>
      <c r="O34" s="66" t="s">
        <v>383</v>
      </c>
      <c r="P34" s="66" t="s">
        <v>369</v>
      </c>
      <c r="Q34" s="59" t="s">
        <v>193</v>
      </c>
      <c r="R34" s="59" t="s">
        <v>145</v>
      </c>
      <c r="S34" s="38" t="s">
        <v>519</v>
      </c>
      <c r="T34" s="38" t="s">
        <v>519</v>
      </c>
      <c r="U34" s="59" t="s">
        <v>123</v>
      </c>
      <c r="V34" s="59" t="s">
        <v>123</v>
      </c>
      <c r="W34" s="59" t="s">
        <v>123</v>
      </c>
      <c r="X34" s="59" t="s">
        <v>123</v>
      </c>
      <c r="Y34" s="59" t="s">
        <v>123</v>
      </c>
      <c r="Z34" s="59" t="s">
        <v>123</v>
      </c>
      <c r="AA34" s="59" t="s">
        <v>123</v>
      </c>
      <c r="AB34" s="59" t="s">
        <v>123</v>
      </c>
      <c r="AC34" s="59" t="s">
        <v>123</v>
      </c>
      <c r="AD34" s="59" t="s">
        <v>123</v>
      </c>
      <c r="AE34" s="59" t="s">
        <v>123</v>
      </c>
      <c r="AF34" s="38" t="s">
        <v>519</v>
      </c>
      <c r="AG34" s="59" t="s">
        <v>123</v>
      </c>
    </row>
    <row r="35" spans="1:33" s="51" customFormat="1" ht="12" customHeight="1" x14ac:dyDescent="0.15">
      <c r="A35" s="74"/>
      <c r="B35" s="34">
        <f t="shared" si="0"/>
        <v>29</v>
      </c>
      <c r="C35" s="127"/>
      <c r="D35" s="127"/>
      <c r="E35" s="66" t="s">
        <v>384</v>
      </c>
      <c r="F35" s="65" t="s">
        <v>402</v>
      </c>
      <c r="G35" s="52" t="s">
        <v>380</v>
      </c>
      <c r="H35" s="52" t="s">
        <v>381</v>
      </c>
      <c r="I35" s="58">
        <v>50</v>
      </c>
      <c r="J35" s="67" t="s">
        <v>230</v>
      </c>
      <c r="K35" s="58" t="s">
        <v>138</v>
      </c>
      <c r="L35" s="58"/>
      <c r="M35" s="66" t="s">
        <v>532</v>
      </c>
      <c r="N35" s="66" t="s">
        <v>382</v>
      </c>
      <c r="O35" s="66" t="s">
        <v>383</v>
      </c>
      <c r="P35" s="66" t="s">
        <v>369</v>
      </c>
      <c r="Q35" s="59" t="s">
        <v>193</v>
      </c>
      <c r="R35" s="59" t="s">
        <v>145</v>
      </c>
      <c r="S35" s="38" t="s">
        <v>519</v>
      </c>
      <c r="T35" s="38" t="s">
        <v>519</v>
      </c>
      <c r="U35" s="59" t="s">
        <v>123</v>
      </c>
      <c r="V35" s="59" t="s">
        <v>123</v>
      </c>
      <c r="W35" s="59" t="s">
        <v>123</v>
      </c>
      <c r="X35" s="59" t="s">
        <v>123</v>
      </c>
      <c r="Y35" s="59" t="s">
        <v>123</v>
      </c>
      <c r="Z35" s="59" t="s">
        <v>123</v>
      </c>
      <c r="AA35" s="59" t="s">
        <v>123</v>
      </c>
      <c r="AB35" s="59" t="s">
        <v>123</v>
      </c>
      <c r="AC35" s="59" t="s">
        <v>123</v>
      </c>
      <c r="AD35" s="59" t="s">
        <v>123</v>
      </c>
      <c r="AE35" s="59" t="s">
        <v>123</v>
      </c>
      <c r="AF35" s="38" t="s">
        <v>519</v>
      </c>
      <c r="AG35" s="59" t="s">
        <v>123</v>
      </c>
    </row>
    <row r="36" spans="1:33" s="51" customFormat="1" ht="12" customHeight="1" x14ac:dyDescent="0.15">
      <c r="A36" s="74"/>
      <c r="B36" s="34">
        <f t="shared" si="0"/>
        <v>30</v>
      </c>
      <c r="C36" s="127"/>
      <c r="D36" s="127"/>
      <c r="E36" s="66" t="s">
        <v>384</v>
      </c>
      <c r="F36" s="65" t="s">
        <v>403</v>
      </c>
      <c r="G36" s="52" t="s">
        <v>380</v>
      </c>
      <c r="H36" s="58" t="s">
        <v>382</v>
      </c>
      <c r="I36" s="58">
        <v>100</v>
      </c>
      <c r="J36" s="67" t="s">
        <v>230</v>
      </c>
      <c r="K36" s="58" t="s">
        <v>138</v>
      </c>
      <c r="L36" s="58"/>
      <c r="M36" s="66" t="s">
        <v>532</v>
      </c>
      <c r="N36" s="66" t="s">
        <v>382</v>
      </c>
      <c r="O36" s="66" t="s">
        <v>383</v>
      </c>
      <c r="P36" s="66" t="s">
        <v>369</v>
      </c>
      <c r="Q36" s="59" t="s">
        <v>193</v>
      </c>
      <c r="R36" s="59" t="s">
        <v>145</v>
      </c>
      <c r="S36" s="38" t="s">
        <v>519</v>
      </c>
      <c r="T36" s="38" t="s">
        <v>519</v>
      </c>
      <c r="U36" s="59" t="s">
        <v>123</v>
      </c>
      <c r="V36" s="59" t="s">
        <v>123</v>
      </c>
      <c r="W36" s="59" t="s">
        <v>123</v>
      </c>
      <c r="X36" s="59" t="s">
        <v>123</v>
      </c>
      <c r="Y36" s="59" t="s">
        <v>123</v>
      </c>
      <c r="Z36" s="59" t="s">
        <v>123</v>
      </c>
      <c r="AA36" s="59" t="s">
        <v>123</v>
      </c>
      <c r="AB36" s="59" t="s">
        <v>123</v>
      </c>
      <c r="AC36" s="59" t="s">
        <v>123</v>
      </c>
      <c r="AD36" s="59" t="s">
        <v>123</v>
      </c>
      <c r="AE36" s="59" t="s">
        <v>123</v>
      </c>
      <c r="AF36" s="38" t="s">
        <v>519</v>
      </c>
      <c r="AG36" s="59" t="s">
        <v>123</v>
      </c>
    </row>
    <row r="37" spans="1:33" s="51" customFormat="1" ht="12" customHeight="1" x14ac:dyDescent="0.15">
      <c r="A37" s="74"/>
      <c r="B37" s="34">
        <f t="shared" si="0"/>
        <v>31</v>
      </c>
      <c r="C37" s="127"/>
      <c r="D37" s="128"/>
      <c r="E37" s="66" t="s">
        <v>384</v>
      </c>
      <c r="F37" s="65" t="s">
        <v>404</v>
      </c>
      <c r="G37" s="52" t="s">
        <v>380</v>
      </c>
      <c r="H37" s="58" t="s">
        <v>382</v>
      </c>
      <c r="I37" s="58">
        <v>100</v>
      </c>
      <c r="J37" s="67" t="s">
        <v>230</v>
      </c>
      <c r="K37" s="58" t="s">
        <v>138</v>
      </c>
      <c r="L37" s="58"/>
      <c r="M37" s="66" t="s">
        <v>532</v>
      </c>
      <c r="N37" s="66" t="s">
        <v>382</v>
      </c>
      <c r="O37" s="66" t="s">
        <v>383</v>
      </c>
      <c r="P37" s="66" t="s">
        <v>369</v>
      </c>
      <c r="Q37" s="59" t="s">
        <v>193</v>
      </c>
      <c r="R37" s="59" t="s">
        <v>145</v>
      </c>
      <c r="S37" s="38" t="s">
        <v>519</v>
      </c>
      <c r="T37" s="38" t="s">
        <v>519</v>
      </c>
      <c r="U37" s="59" t="s">
        <v>123</v>
      </c>
      <c r="V37" s="59" t="s">
        <v>123</v>
      </c>
      <c r="W37" s="59" t="s">
        <v>123</v>
      </c>
      <c r="X37" s="59" t="s">
        <v>123</v>
      </c>
      <c r="Y37" s="59" t="s">
        <v>123</v>
      </c>
      <c r="Z37" s="59" t="s">
        <v>123</v>
      </c>
      <c r="AA37" s="59" t="s">
        <v>123</v>
      </c>
      <c r="AB37" s="59" t="s">
        <v>123</v>
      </c>
      <c r="AC37" s="59" t="s">
        <v>123</v>
      </c>
      <c r="AD37" s="59" t="s">
        <v>123</v>
      </c>
      <c r="AE37" s="59" t="s">
        <v>123</v>
      </c>
      <c r="AF37" s="38" t="s">
        <v>519</v>
      </c>
      <c r="AG37" s="59" t="s">
        <v>123</v>
      </c>
    </row>
    <row r="38" spans="1:33" s="51" customFormat="1" ht="24" x14ac:dyDescent="0.15">
      <c r="A38" s="74"/>
      <c r="B38" s="34">
        <f t="shared" si="0"/>
        <v>32</v>
      </c>
      <c r="C38" s="127"/>
      <c r="D38" s="126" t="s">
        <v>405</v>
      </c>
      <c r="E38" s="66" t="s">
        <v>406</v>
      </c>
      <c r="F38" s="65" t="s">
        <v>407</v>
      </c>
      <c r="G38" s="52" t="s">
        <v>380</v>
      </c>
      <c r="H38" s="58" t="s">
        <v>408</v>
      </c>
      <c r="I38" s="58">
        <v>30</v>
      </c>
      <c r="J38" s="67" t="s">
        <v>230</v>
      </c>
      <c r="K38" s="58" t="s">
        <v>138</v>
      </c>
      <c r="L38" s="58"/>
      <c r="M38" s="66" t="s">
        <v>532</v>
      </c>
      <c r="N38" s="66" t="s">
        <v>382</v>
      </c>
      <c r="O38" s="66" t="s">
        <v>409</v>
      </c>
      <c r="P38" s="66" t="s">
        <v>369</v>
      </c>
      <c r="Q38" s="59" t="s">
        <v>193</v>
      </c>
      <c r="R38" s="59" t="s">
        <v>145</v>
      </c>
      <c r="S38" s="38" t="s">
        <v>519</v>
      </c>
      <c r="T38" s="38" t="s">
        <v>519</v>
      </c>
      <c r="U38" s="59" t="s">
        <v>123</v>
      </c>
      <c r="V38" s="59" t="s">
        <v>123</v>
      </c>
      <c r="W38" s="59" t="s">
        <v>123</v>
      </c>
      <c r="X38" s="59" t="s">
        <v>123</v>
      </c>
      <c r="Y38" s="59" t="s">
        <v>123</v>
      </c>
      <c r="Z38" s="59" t="s">
        <v>123</v>
      </c>
      <c r="AA38" s="59" t="s">
        <v>123</v>
      </c>
      <c r="AB38" s="59" t="s">
        <v>123</v>
      </c>
      <c r="AC38" s="59" t="s">
        <v>123</v>
      </c>
      <c r="AD38" s="59" t="s">
        <v>123</v>
      </c>
      <c r="AE38" s="59" t="s">
        <v>123</v>
      </c>
      <c r="AF38" s="38" t="s">
        <v>519</v>
      </c>
      <c r="AG38" s="59" t="s">
        <v>123</v>
      </c>
    </row>
    <row r="39" spans="1:33" s="51" customFormat="1" ht="24" x14ac:dyDescent="0.15">
      <c r="A39" s="74"/>
      <c r="B39" s="34">
        <f t="shared" si="0"/>
        <v>33</v>
      </c>
      <c r="C39" s="127"/>
      <c r="D39" s="127"/>
      <c r="E39" s="66" t="s">
        <v>410</v>
      </c>
      <c r="F39" s="65" t="s">
        <v>411</v>
      </c>
      <c r="G39" s="52" t="s">
        <v>380</v>
      </c>
      <c r="H39" s="58" t="s">
        <v>408</v>
      </c>
      <c r="I39" s="58">
        <v>30</v>
      </c>
      <c r="J39" s="67" t="s">
        <v>230</v>
      </c>
      <c r="K39" s="58" t="s">
        <v>138</v>
      </c>
      <c r="L39" s="58"/>
      <c r="M39" s="66" t="s">
        <v>532</v>
      </c>
      <c r="N39" s="66" t="s">
        <v>382</v>
      </c>
      <c r="O39" s="66" t="s">
        <v>409</v>
      </c>
      <c r="P39" s="66" t="s">
        <v>369</v>
      </c>
      <c r="Q39" s="59" t="s">
        <v>193</v>
      </c>
      <c r="R39" s="59" t="s">
        <v>145</v>
      </c>
      <c r="S39" s="38" t="s">
        <v>519</v>
      </c>
      <c r="T39" s="38" t="s">
        <v>519</v>
      </c>
      <c r="U39" s="59" t="s">
        <v>123</v>
      </c>
      <c r="V39" s="59" t="s">
        <v>123</v>
      </c>
      <c r="W39" s="59" t="s">
        <v>123</v>
      </c>
      <c r="X39" s="59" t="s">
        <v>123</v>
      </c>
      <c r="Y39" s="59" t="s">
        <v>123</v>
      </c>
      <c r="Z39" s="59" t="s">
        <v>123</v>
      </c>
      <c r="AA39" s="59" t="s">
        <v>123</v>
      </c>
      <c r="AB39" s="59" t="s">
        <v>123</v>
      </c>
      <c r="AC39" s="59" t="s">
        <v>123</v>
      </c>
      <c r="AD39" s="59" t="s">
        <v>123</v>
      </c>
      <c r="AE39" s="59" t="s">
        <v>123</v>
      </c>
      <c r="AF39" s="38" t="s">
        <v>519</v>
      </c>
      <c r="AG39" s="59" t="s">
        <v>123</v>
      </c>
    </row>
    <row r="40" spans="1:33" s="51" customFormat="1" ht="24" x14ac:dyDescent="0.15">
      <c r="A40" s="74"/>
      <c r="B40" s="34">
        <f t="shared" si="0"/>
        <v>34</v>
      </c>
      <c r="C40" s="127"/>
      <c r="D40" s="127"/>
      <c r="E40" s="66" t="s">
        <v>410</v>
      </c>
      <c r="F40" s="65" t="s">
        <v>412</v>
      </c>
      <c r="G40" s="52" t="s">
        <v>380</v>
      </c>
      <c r="H40" s="58" t="s">
        <v>382</v>
      </c>
      <c r="I40" s="58">
        <v>500</v>
      </c>
      <c r="J40" s="67" t="s">
        <v>230</v>
      </c>
      <c r="K40" s="58" t="s">
        <v>138</v>
      </c>
      <c r="L40" s="58"/>
      <c r="M40" s="66" t="s">
        <v>532</v>
      </c>
      <c r="N40" s="66" t="s">
        <v>382</v>
      </c>
      <c r="O40" s="66" t="s">
        <v>409</v>
      </c>
      <c r="P40" s="66" t="s">
        <v>369</v>
      </c>
      <c r="Q40" s="59" t="s">
        <v>193</v>
      </c>
      <c r="R40" s="59" t="s">
        <v>145</v>
      </c>
      <c r="S40" s="38" t="s">
        <v>519</v>
      </c>
      <c r="T40" s="38" t="s">
        <v>519</v>
      </c>
      <c r="U40" s="59" t="s">
        <v>123</v>
      </c>
      <c r="V40" s="59" t="s">
        <v>123</v>
      </c>
      <c r="W40" s="59" t="s">
        <v>123</v>
      </c>
      <c r="X40" s="59" t="s">
        <v>123</v>
      </c>
      <c r="Y40" s="59" t="s">
        <v>123</v>
      </c>
      <c r="Z40" s="59" t="s">
        <v>123</v>
      </c>
      <c r="AA40" s="59" t="s">
        <v>123</v>
      </c>
      <c r="AB40" s="59" t="s">
        <v>123</v>
      </c>
      <c r="AC40" s="59" t="s">
        <v>123</v>
      </c>
      <c r="AD40" s="59" t="s">
        <v>123</v>
      </c>
      <c r="AE40" s="59" t="s">
        <v>123</v>
      </c>
      <c r="AF40" s="38" t="s">
        <v>519</v>
      </c>
      <c r="AG40" s="59" t="s">
        <v>123</v>
      </c>
    </row>
    <row r="41" spans="1:33" s="51" customFormat="1" ht="24" x14ac:dyDescent="0.15">
      <c r="A41" s="74"/>
      <c r="B41" s="34">
        <f t="shared" si="0"/>
        <v>35</v>
      </c>
      <c r="C41" s="127"/>
      <c r="D41" s="127"/>
      <c r="E41" s="66" t="s">
        <v>410</v>
      </c>
      <c r="F41" s="65" t="s">
        <v>528</v>
      </c>
      <c r="G41" s="52" t="s">
        <v>380</v>
      </c>
      <c r="H41" s="58" t="s">
        <v>408</v>
      </c>
      <c r="I41" s="58">
        <v>30</v>
      </c>
      <c r="J41" s="67" t="s">
        <v>230</v>
      </c>
      <c r="K41" s="58" t="s">
        <v>138</v>
      </c>
      <c r="L41" s="58"/>
      <c r="M41" s="66" t="s">
        <v>532</v>
      </c>
      <c r="N41" s="66" t="s">
        <v>382</v>
      </c>
      <c r="O41" s="66" t="s">
        <v>409</v>
      </c>
      <c r="P41" s="66" t="s">
        <v>369</v>
      </c>
      <c r="Q41" s="59" t="s">
        <v>193</v>
      </c>
      <c r="R41" s="59" t="s">
        <v>145</v>
      </c>
      <c r="S41" s="38" t="s">
        <v>519</v>
      </c>
      <c r="T41" s="38" t="s">
        <v>519</v>
      </c>
      <c r="U41" s="59" t="s">
        <v>123</v>
      </c>
      <c r="V41" s="59" t="s">
        <v>123</v>
      </c>
      <c r="W41" s="59" t="s">
        <v>123</v>
      </c>
      <c r="X41" s="59" t="s">
        <v>123</v>
      </c>
      <c r="Y41" s="59" t="s">
        <v>123</v>
      </c>
      <c r="Z41" s="59" t="s">
        <v>123</v>
      </c>
      <c r="AA41" s="59" t="s">
        <v>123</v>
      </c>
      <c r="AB41" s="59" t="s">
        <v>123</v>
      </c>
      <c r="AC41" s="59" t="s">
        <v>123</v>
      </c>
      <c r="AD41" s="59" t="s">
        <v>123</v>
      </c>
      <c r="AE41" s="59" t="s">
        <v>123</v>
      </c>
      <c r="AF41" s="38" t="s">
        <v>519</v>
      </c>
      <c r="AG41" s="59" t="s">
        <v>123</v>
      </c>
    </row>
    <row r="42" spans="1:33" s="51" customFormat="1" ht="24" x14ac:dyDescent="0.15">
      <c r="A42" s="74"/>
      <c r="B42" s="34">
        <f t="shared" si="0"/>
        <v>36</v>
      </c>
      <c r="C42" s="127"/>
      <c r="D42" s="127"/>
      <c r="E42" s="66" t="s">
        <v>406</v>
      </c>
      <c r="F42" s="65" t="s">
        <v>413</v>
      </c>
      <c r="G42" s="52" t="s">
        <v>380</v>
      </c>
      <c r="H42" s="58" t="s">
        <v>408</v>
      </c>
      <c r="I42" s="58">
        <v>30</v>
      </c>
      <c r="J42" s="67" t="s">
        <v>230</v>
      </c>
      <c r="K42" s="58" t="s">
        <v>138</v>
      </c>
      <c r="L42" s="58"/>
      <c r="M42" s="66" t="s">
        <v>532</v>
      </c>
      <c r="N42" s="66" t="s">
        <v>382</v>
      </c>
      <c r="O42" s="66" t="s">
        <v>409</v>
      </c>
      <c r="P42" s="66" t="s">
        <v>369</v>
      </c>
      <c r="Q42" s="59" t="s">
        <v>193</v>
      </c>
      <c r="R42" s="59" t="s">
        <v>145</v>
      </c>
      <c r="S42" s="38" t="s">
        <v>519</v>
      </c>
      <c r="T42" s="38" t="s">
        <v>519</v>
      </c>
      <c r="U42" s="59" t="s">
        <v>123</v>
      </c>
      <c r="V42" s="59" t="s">
        <v>123</v>
      </c>
      <c r="W42" s="59" t="s">
        <v>123</v>
      </c>
      <c r="X42" s="59" t="s">
        <v>123</v>
      </c>
      <c r="Y42" s="59" t="s">
        <v>123</v>
      </c>
      <c r="Z42" s="59" t="s">
        <v>123</v>
      </c>
      <c r="AA42" s="59" t="s">
        <v>123</v>
      </c>
      <c r="AB42" s="59" t="s">
        <v>123</v>
      </c>
      <c r="AC42" s="59" t="s">
        <v>123</v>
      </c>
      <c r="AD42" s="59" t="s">
        <v>123</v>
      </c>
      <c r="AE42" s="59" t="s">
        <v>123</v>
      </c>
      <c r="AF42" s="38" t="s">
        <v>519</v>
      </c>
      <c r="AG42" s="59" t="s">
        <v>123</v>
      </c>
    </row>
    <row r="43" spans="1:33" s="51" customFormat="1" ht="24" x14ac:dyDescent="0.15">
      <c r="A43" s="74"/>
      <c r="B43" s="34">
        <f t="shared" si="0"/>
        <v>37</v>
      </c>
      <c r="C43" s="127"/>
      <c r="D43" s="128"/>
      <c r="E43" s="66" t="s">
        <v>406</v>
      </c>
      <c r="F43" s="65" t="s">
        <v>414</v>
      </c>
      <c r="G43" s="52" t="s">
        <v>380</v>
      </c>
      <c r="H43" s="58" t="s">
        <v>408</v>
      </c>
      <c r="I43" s="58">
        <v>30</v>
      </c>
      <c r="J43" s="67" t="s">
        <v>230</v>
      </c>
      <c r="K43" s="58" t="s">
        <v>138</v>
      </c>
      <c r="L43" s="58"/>
      <c r="M43" s="66" t="s">
        <v>532</v>
      </c>
      <c r="N43" s="66" t="s">
        <v>382</v>
      </c>
      <c r="O43" s="66" t="s">
        <v>409</v>
      </c>
      <c r="P43" s="66" t="s">
        <v>369</v>
      </c>
      <c r="Q43" s="59" t="s">
        <v>193</v>
      </c>
      <c r="R43" s="59" t="s">
        <v>145</v>
      </c>
      <c r="S43" s="38" t="s">
        <v>519</v>
      </c>
      <c r="T43" s="38" t="s">
        <v>519</v>
      </c>
      <c r="U43" s="59" t="s">
        <v>123</v>
      </c>
      <c r="V43" s="59" t="s">
        <v>123</v>
      </c>
      <c r="W43" s="59" t="s">
        <v>123</v>
      </c>
      <c r="X43" s="59" t="s">
        <v>123</v>
      </c>
      <c r="Y43" s="59" t="s">
        <v>123</v>
      </c>
      <c r="Z43" s="59" t="s">
        <v>123</v>
      </c>
      <c r="AA43" s="59" t="s">
        <v>123</v>
      </c>
      <c r="AB43" s="59" t="s">
        <v>123</v>
      </c>
      <c r="AC43" s="59" t="s">
        <v>123</v>
      </c>
      <c r="AD43" s="59" t="s">
        <v>123</v>
      </c>
      <c r="AE43" s="59" t="s">
        <v>123</v>
      </c>
      <c r="AF43" s="38" t="s">
        <v>519</v>
      </c>
      <c r="AG43" s="59" t="s">
        <v>123</v>
      </c>
    </row>
    <row r="44" spans="1:33" s="51" customFormat="1" ht="24" x14ac:dyDescent="0.15">
      <c r="A44" s="74"/>
      <c r="B44" s="34">
        <f t="shared" si="0"/>
        <v>38</v>
      </c>
      <c r="C44" s="127"/>
      <c r="D44" s="66" t="s">
        <v>415</v>
      </c>
      <c r="E44" s="66" t="s">
        <v>416</v>
      </c>
      <c r="F44" s="65" t="s">
        <v>417</v>
      </c>
      <c r="G44" s="52" t="s">
        <v>380</v>
      </c>
      <c r="H44" s="71" t="s">
        <v>408</v>
      </c>
      <c r="I44" s="71">
        <v>30</v>
      </c>
      <c r="J44" s="67" t="s">
        <v>230</v>
      </c>
      <c r="K44" s="71" t="s">
        <v>138</v>
      </c>
      <c r="L44" s="71"/>
      <c r="M44" s="71" t="s">
        <v>532</v>
      </c>
      <c r="N44" s="71" t="s">
        <v>382</v>
      </c>
      <c r="O44" s="71" t="s">
        <v>409</v>
      </c>
      <c r="P44" s="71" t="s">
        <v>369</v>
      </c>
      <c r="Q44" s="72" t="s">
        <v>193</v>
      </c>
      <c r="R44" s="72" t="s">
        <v>145</v>
      </c>
      <c r="S44" s="38" t="s">
        <v>519</v>
      </c>
      <c r="T44" s="38" t="s">
        <v>519</v>
      </c>
      <c r="U44" s="59" t="s">
        <v>123</v>
      </c>
      <c r="V44" s="59" t="s">
        <v>123</v>
      </c>
      <c r="W44" s="59" t="s">
        <v>123</v>
      </c>
      <c r="X44" s="59" t="s">
        <v>123</v>
      </c>
      <c r="Y44" s="59" t="s">
        <v>123</v>
      </c>
      <c r="Z44" s="59" t="s">
        <v>123</v>
      </c>
      <c r="AA44" s="59" t="s">
        <v>123</v>
      </c>
      <c r="AB44" s="59" t="s">
        <v>123</v>
      </c>
      <c r="AC44" s="59" t="s">
        <v>123</v>
      </c>
      <c r="AD44" s="59" t="s">
        <v>123</v>
      </c>
      <c r="AE44" s="59" t="s">
        <v>123</v>
      </c>
      <c r="AF44" s="38" t="s">
        <v>519</v>
      </c>
      <c r="AG44" s="59" t="s">
        <v>123</v>
      </c>
    </row>
    <row r="45" spans="1:33" s="51" customFormat="1" ht="12" customHeight="1" x14ac:dyDescent="0.15">
      <c r="A45" s="74"/>
      <c r="B45" s="34">
        <f t="shared" si="0"/>
        <v>39</v>
      </c>
      <c r="C45" s="127"/>
      <c r="D45" s="126" t="s">
        <v>418</v>
      </c>
      <c r="E45" s="66" t="s">
        <v>419</v>
      </c>
      <c r="F45" s="65" t="s">
        <v>420</v>
      </c>
      <c r="G45" s="52" t="s">
        <v>380</v>
      </c>
      <c r="H45" s="71" t="s">
        <v>382</v>
      </c>
      <c r="I45" s="71">
        <v>100</v>
      </c>
      <c r="J45" s="67" t="s">
        <v>230</v>
      </c>
      <c r="K45" s="71" t="s">
        <v>138</v>
      </c>
      <c r="L45" s="71"/>
      <c r="M45" s="71" t="s">
        <v>532</v>
      </c>
      <c r="N45" s="71" t="s">
        <v>382</v>
      </c>
      <c r="O45" s="71" t="s">
        <v>383</v>
      </c>
      <c r="P45" s="71" t="s">
        <v>369</v>
      </c>
      <c r="Q45" s="72" t="s">
        <v>193</v>
      </c>
      <c r="R45" s="72" t="s">
        <v>123</v>
      </c>
      <c r="S45" s="59" t="s">
        <v>123</v>
      </c>
      <c r="T45" s="59" t="s">
        <v>123</v>
      </c>
      <c r="U45" s="59" t="s">
        <v>145</v>
      </c>
      <c r="V45" s="59" t="s">
        <v>145</v>
      </c>
      <c r="W45" s="59" t="s">
        <v>145</v>
      </c>
      <c r="X45" s="59" t="s">
        <v>145</v>
      </c>
      <c r="Y45" s="59" t="s">
        <v>123</v>
      </c>
      <c r="Z45" s="59" t="s">
        <v>123</v>
      </c>
      <c r="AA45" s="59" t="s">
        <v>123</v>
      </c>
      <c r="AB45" s="59" t="s">
        <v>123</v>
      </c>
      <c r="AC45" s="59" t="s">
        <v>123</v>
      </c>
      <c r="AD45" s="59" t="s">
        <v>123</v>
      </c>
      <c r="AE45" s="59" t="s">
        <v>123</v>
      </c>
      <c r="AF45" s="59" t="s">
        <v>145</v>
      </c>
      <c r="AG45" s="59" t="s">
        <v>123</v>
      </c>
    </row>
    <row r="46" spans="1:33" s="51" customFormat="1" ht="12" customHeight="1" x14ac:dyDescent="0.15">
      <c r="A46" s="74"/>
      <c r="B46" s="34">
        <f t="shared" si="0"/>
        <v>40</v>
      </c>
      <c r="C46" s="127"/>
      <c r="D46" s="127"/>
      <c r="E46" s="66" t="s">
        <v>421</v>
      </c>
      <c r="F46" s="65" t="s">
        <v>422</v>
      </c>
      <c r="G46" s="52" t="s">
        <v>380</v>
      </c>
      <c r="H46" s="73" t="s">
        <v>381</v>
      </c>
      <c r="I46" s="71">
        <v>100</v>
      </c>
      <c r="J46" s="67" t="s">
        <v>230</v>
      </c>
      <c r="K46" s="71" t="s">
        <v>138</v>
      </c>
      <c r="L46" s="71"/>
      <c r="M46" s="71" t="s">
        <v>532</v>
      </c>
      <c r="N46" s="71" t="s">
        <v>382</v>
      </c>
      <c r="O46" s="71" t="s">
        <v>383</v>
      </c>
      <c r="P46" s="71" t="s">
        <v>369</v>
      </c>
      <c r="Q46" s="72" t="s">
        <v>193</v>
      </c>
      <c r="R46" s="72" t="s">
        <v>123</v>
      </c>
      <c r="S46" s="59" t="s">
        <v>123</v>
      </c>
      <c r="T46" s="59" t="s">
        <v>123</v>
      </c>
      <c r="U46" s="59" t="s">
        <v>145</v>
      </c>
      <c r="V46" s="59" t="s">
        <v>145</v>
      </c>
      <c r="W46" s="59" t="s">
        <v>145</v>
      </c>
      <c r="X46" s="59" t="s">
        <v>145</v>
      </c>
      <c r="Y46" s="59" t="s">
        <v>123</v>
      </c>
      <c r="Z46" s="59" t="s">
        <v>123</v>
      </c>
      <c r="AA46" s="59" t="s">
        <v>123</v>
      </c>
      <c r="AB46" s="59" t="s">
        <v>123</v>
      </c>
      <c r="AC46" s="59" t="s">
        <v>123</v>
      </c>
      <c r="AD46" s="59" t="s">
        <v>123</v>
      </c>
      <c r="AE46" s="59" t="s">
        <v>123</v>
      </c>
      <c r="AF46" s="59" t="s">
        <v>145</v>
      </c>
      <c r="AG46" s="59" t="s">
        <v>123</v>
      </c>
    </row>
    <row r="47" spans="1:33" s="51" customFormat="1" ht="12" customHeight="1" x14ac:dyDescent="0.15">
      <c r="A47" s="74"/>
      <c r="B47" s="34">
        <f t="shared" si="0"/>
        <v>41</v>
      </c>
      <c r="C47" s="127"/>
      <c r="D47" s="127"/>
      <c r="E47" s="66" t="s">
        <v>423</v>
      </c>
      <c r="F47" s="65" t="s">
        <v>424</v>
      </c>
      <c r="G47" s="52" t="s">
        <v>380</v>
      </c>
      <c r="H47" s="73" t="s">
        <v>381</v>
      </c>
      <c r="I47" s="71">
        <v>100</v>
      </c>
      <c r="J47" s="67" t="s">
        <v>230</v>
      </c>
      <c r="K47" s="71" t="s">
        <v>138</v>
      </c>
      <c r="L47" s="71"/>
      <c r="M47" s="71" t="s">
        <v>532</v>
      </c>
      <c r="N47" s="71" t="s">
        <v>382</v>
      </c>
      <c r="O47" s="71" t="s">
        <v>383</v>
      </c>
      <c r="P47" s="71" t="s">
        <v>369</v>
      </c>
      <c r="Q47" s="72" t="s">
        <v>193</v>
      </c>
      <c r="R47" s="72" t="s">
        <v>123</v>
      </c>
      <c r="S47" s="59" t="s">
        <v>123</v>
      </c>
      <c r="T47" s="59" t="s">
        <v>123</v>
      </c>
      <c r="U47" s="59" t="s">
        <v>145</v>
      </c>
      <c r="V47" s="59" t="s">
        <v>145</v>
      </c>
      <c r="W47" s="59" t="s">
        <v>145</v>
      </c>
      <c r="X47" s="59" t="s">
        <v>145</v>
      </c>
      <c r="Y47" s="59" t="s">
        <v>123</v>
      </c>
      <c r="Z47" s="59" t="s">
        <v>123</v>
      </c>
      <c r="AA47" s="59" t="s">
        <v>123</v>
      </c>
      <c r="AB47" s="59" t="s">
        <v>123</v>
      </c>
      <c r="AC47" s="59" t="s">
        <v>123</v>
      </c>
      <c r="AD47" s="59" t="s">
        <v>123</v>
      </c>
      <c r="AE47" s="59" t="s">
        <v>123</v>
      </c>
      <c r="AF47" s="59" t="s">
        <v>145</v>
      </c>
      <c r="AG47" s="59" t="s">
        <v>123</v>
      </c>
    </row>
    <row r="48" spans="1:33" s="51" customFormat="1" ht="12" customHeight="1" x14ac:dyDescent="0.15">
      <c r="A48" s="74"/>
      <c r="B48" s="34">
        <f t="shared" si="0"/>
        <v>42</v>
      </c>
      <c r="C48" s="127"/>
      <c r="D48" s="127"/>
      <c r="E48" s="66" t="s">
        <v>425</v>
      </c>
      <c r="F48" s="65" t="s">
        <v>426</v>
      </c>
      <c r="G48" s="52" t="s">
        <v>380</v>
      </c>
      <c r="H48" s="73" t="s">
        <v>381</v>
      </c>
      <c r="I48" s="71">
        <v>100</v>
      </c>
      <c r="J48" s="67" t="s">
        <v>230</v>
      </c>
      <c r="K48" s="71" t="s">
        <v>138</v>
      </c>
      <c r="L48" s="71"/>
      <c r="M48" s="71" t="s">
        <v>532</v>
      </c>
      <c r="N48" s="71" t="s">
        <v>382</v>
      </c>
      <c r="O48" s="71" t="s">
        <v>383</v>
      </c>
      <c r="P48" s="71" t="s">
        <v>369</v>
      </c>
      <c r="Q48" s="72" t="s">
        <v>193</v>
      </c>
      <c r="R48" s="72" t="s">
        <v>123</v>
      </c>
      <c r="S48" s="59" t="s">
        <v>123</v>
      </c>
      <c r="T48" s="59" t="s">
        <v>123</v>
      </c>
      <c r="U48" s="59" t="s">
        <v>145</v>
      </c>
      <c r="V48" s="59" t="s">
        <v>145</v>
      </c>
      <c r="W48" s="59" t="s">
        <v>145</v>
      </c>
      <c r="X48" s="59" t="s">
        <v>145</v>
      </c>
      <c r="Y48" s="59" t="s">
        <v>123</v>
      </c>
      <c r="Z48" s="59" t="s">
        <v>123</v>
      </c>
      <c r="AA48" s="59" t="s">
        <v>123</v>
      </c>
      <c r="AB48" s="59" t="s">
        <v>123</v>
      </c>
      <c r="AC48" s="59" t="s">
        <v>123</v>
      </c>
      <c r="AD48" s="59" t="s">
        <v>123</v>
      </c>
      <c r="AE48" s="59" t="s">
        <v>123</v>
      </c>
      <c r="AF48" s="59" t="s">
        <v>145</v>
      </c>
      <c r="AG48" s="59" t="s">
        <v>123</v>
      </c>
    </row>
    <row r="49" spans="1:33" s="51" customFormat="1" ht="12" customHeight="1" x14ac:dyDescent="0.15">
      <c r="A49" s="74"/>
      <c r="B49" s="34">
        <f t="shared" si="0"/>
        <v>43</v>
      </c>
      <c r="C49" s="127"/>
      <c r="D49" s="128"/>
      <c r="E49" s="66" t="s">
        <v>427</v>
      </c>
      <c r="F49" s="65" t="s">
        <v>428</v>
      </c>
      <c r="G49" s="52" t="s">
        <v>380</v>
      </c>
      <c r="H49" s="73" t="s">
        <v>381</v>
      </c>
      <c r="I49" s="71">
        <v>100</v>
      </c>
      <c r="J49" s="67" t="s">
        <v>230</v>
      </c>
      <c r="K49" s="71" t="s">
        <v>138</v>
      </c>
      <c r="L49" s="71"/>
      <c r="M49" s="71" t="s">
        <v>532</v>
      </c>
      <c r="N49" s="71" t="s">
        <v>382</v>
      </c>
      <c r="O49" s="71" t="s">
        <v>383</v>
      </c>
      <c r="P49" s="71" t="s">
        <v>369</v>
      </c>
      <c r="Q49" s="72" t="s">
        <v>193</v>
      </c>
      <c r="R49" s="72" t="s">
        <v>123</v>
      </c>
      <c r="S49" s="59" t="s">
        <v>123</v>
      </c>
      <c r="T49" s="59" t="s">
        <v>123</v>
      </c>
      <c r="U49" s="59" t="s">
        <v>145</v>
      </c>
      <c r="V49" s="59" t="s">
        <v>145</v>
      </c>
      <c r="W49" s="59" t="s">
        <v>145</v>
      </c>
      <c r="X49" s="59" t="s">
        <v>145</v>
      </c>
      <c r="Y49" s="59" t="s">
        <v>123</v>
      </c>
      <c r="Z49" s="59" t="s">
        <v>123</v>
      </c>
      <c r="AA49" s="59" t="s">
        <v>123</v>
      </c>
      <c r="AB49" s="59" t="s">
        <v>123</v>
      </c>
      <c r="AC49" s="59" t="s">
        <v>123</v>
      </c>
      <c r="AD49" s="59" t="s">
        <v>123</v>
      </c>
      <c r="AE49" s="59" t="s">
        <v>123</v>
      </c>
      <c r="AF49" s="59" t="s">
        <v>145</v>
      </c>
      <c r="AG49" s="59" t="s">
        <v>123</v>
      </c>
    </row>
    <row r="50" spans="1:33" s="51" customFormat="1" ht="12" customHeight="1" x14ac:dyDescent="0.15">
      <c r="A50" s="74"/>
      <c r="B50" s="34">
        <f t="shared" si="0"/>
        <v>44</v>
      </c>
      <c r="C50" s="127"/>
      <c r="D50" s="129" t="s">
        <v>429</v>
      </c>
      <c r="E50" s="65" t="s">
        <v>430</v>
      </c>
      <c r="F50" s="65" t="s">
        <v>431</v>
      </c>
      <c r="G50" s="52" t="s">
        <v>380</v>
      </c>
      <c r="H50" s="71" t="s">
        <v>408</v>
      </c>
      <c r="I50" s="73">
        <v>10</v>
      </c>
      <c r="J50" s="67" t="s">
        <v>230</v>
      </c>
      <c r="K50" s="71" t="s">
        <v>138</v>
      </c>
      <c r="L50" s="71"/>
      <c r="M50" s="71" t="s">
        <v>532</v>
      </c>
      <c r="N50" s="71" t="s">
        <v>382</v>
      </c>
      <c r="O50" s="71" t="s">
        <v>409</v>
      </c>
      <c r="P50" s="71" t="s">
        <v>369</v>
      </c>
      <c r="Q50" s="72" t="s">
        <v>193</v>
      </c>
      <c r="R50" s="72" t="s">
        <v>123</v>
      </c>
      <c r="S50" s="59" t="s">
        <v>123</v>
      </c>
      <c r="T50" s="59" t="s">
        <v>123</v>
      </c>
      <c r="U50" s="59" t="s">
        <v>123</v>
      </c>
      <c r="V50" s="59" t="s">
        <v>123</v>
      </c>
      <c r="W50" s="59" t="s">
        <v>123</v>
      </c>
      <c r="X50" s="59" t="s">
        <v>123</v>
      </c>
      <c r="Y50" s="59" t="s">
        <v>123</v>
      </c>
      <c r="Z50" s="59" t="s">
        <v>123</v>
      </c>
      <c r="AA50" s="59" t="s">
        <v>123</v>
      </c>
      <c r="AB50" s="59" t="s">
        <v>123</v>
      </c>
      <c r="AC50" s="59" t="s">
        <v>123</v>
      </c>
      <c r="AD50" s="59" t="s">
        <v>123</v>
      </c>
      <c r="AE50" s="59" t="s">
        <v>123</v>
      </c>
      <c r="AF50" s="59" t="s">
        <v>123</v>
      </c>
      <c r="AG50" s="59" t="s">
        <v>123</v>
      </c>
    </row>
    <row r="51" spans="1:33" s="51" customFormat="1" ht="12" customHeight="1" x14ac:dyDescent="0.15">
      <c r="A51" s="74"/>
      <c r="B51" s="34">
        <f t="shared" si="0"/>
        <v>45</v>
      </c>
      <c r="C51" s="127"/>
      <c r="D51" s="130"/>
      <c r="E51" s="65" t="s">
        <v>432</v>
      </c>
      <c r="F51" s="65" t="s">
        <v>431</v>
      </c>
      <c r="G51" s="52" t="s">
        <v>380</v>
      </c>
      <c r="H51" s="71" t="s">
        <v>408</v>
      </c>
      <c r="I51" s="73">
        <v>10</v>
      </c>
      <c r="J51" s="67" t="s">
        <v>230</v>
      </c>
      <c r="K51" s="71" t="s">
        <v>138</v>
      </c>
      <c r="L51" s="71"/>
      <c r="M51" s="71" t="s">
        <v>532</v>
      </c>
      <c r="N51" s="71" t="s">
        <v>382</v>
      </c>
      <c r="O51" s="71" t="s">
        <v>409</v>
      </c>
      <c r="P51" s="71" t="s">
        <v>369</v>
      </c>
      <c r="Q51" s="72" t="s">
        <v>193</v>
      </c>
      <c r="R51" s="72" t="s">
        <v>123</v>
      </c>
      <c r="S51" s="59" t="s">
        <v>123</v>
      </c>
      <c r="T51" s="59" t="s">
        <v>123</v>
      </c>
      <c r="U51" s="59" t="s">
        <v>123</v>
      </c>
      <c r="V51" s="59" t="s">
        <v>123</v>
      </c>
      <c r="W51" s="59" t="s">
        <v>123</v>
      </c>
      <c r="X51" s="59" t="s">
        <v>123</v>
      </c>
      <c r="Y51" s="59" t="s">
        <v>145</v>
      </c>
      <c r="Z51" s="59" t="s">
        <v>145</v>
      </c>
      <c r="AA51" s="59" t="s">
        <v>145</v>
      </c>
      <c r="AB51" s="59" t="s">
        <v>145</v>
      </c>
      <c r="AC51" s="59" t="s">
        <v>123</v>
      </c>
      <c r="AD51" s="59" t="s">
        <v>123</v>
      </c>
      <c r="AE51" s="59" t="s">
        <v>123</v>
      </c>
      <c r="AF51" s="59" t="s">
        <v>123</v>
      </c>
      <c r="AG51" s="59" t="s">
        <v>123</v>
      </c>
    </row>
    <row r="52" spans="1:33" s="51" customFormat="1" ht="12" customHeight="1" x14ac:dyDescent="0.15">
      <c r="A52" s="74"/>
      <c r="B52" s="34">
        <f t="shared" si="0"/>
        <v>46</v>
      </c>
      <c r="C52" s="127"/>
      <c r="D52" s="131"/>
      <c r="E52" s="65" t="s">
        <v>433</v>
      </c>
      <c r="F52" s="65" t="s">
        <v>431</v>
      </c>
      <c r="G52" s="52" t="s">
        <v>380</v>
      </c>
      <c r="H52" s="71" t="s">
        <v>408</v>
      </c>
      <c r="I52" s="73">
        <v>10</v>
      </c>
      <c r="J52" s="67" t="s">
        <v>230</v>
      </c>
      <c r="K52" s="71" t="s">
        <v>138</v>
      </c>
      <c r="L52" s="71"/>
      <c r="M52" s="71" t="s">
        <v>532</v>
      </c>
      <c r="N52" s="71" t="s">
        <v>382</v>
      </c>
      <c r="O52" s="71" t="s">
        <v>409</v>
      </c>
      <c r="P52" s="71" t="s">
        <v>369</v>
      </c>
      <c r="Q52" s="72" t="s">
        <v>193</v>
      </c>
      <c r="R52" s="72" t="s">
        <v>123</v>
      </c>
      <c r="S52" s="59" t="s">
        <v>123</v>
      </c>
      <c r="T52" s="59" t="s">
        <v>123</v>
      </c>
      <c r="U52" s="59" t="s">
        <v>123</v>
      </c>
      <c r="V52" s="59" t="s">
        <v>123</v>
      </c>
      <c r="W52" s="59" t="s">
        <v>123</v>
      </c>
      <c r="X52" s="59" t="s">
        <v>123</v>
      </c>
      <c r="Y52" s="59" t="s">
        <v>123</v>
      </c>
      <c r="Z52" s="59" t="s">
        <v>123</v>
      </c>
      <c r="AA52" s="59" t="s">
        <v>123</v>
      </c>
      <c r="AB52" s="59" t="s">
        <v>123</v>
      </c>
      <c r="AC52" s="59" t="s">
        <v>123</v>
      </c>
      <c r="AD52" s="59" t="s">
        <v>123</v>
      </c>
      <c r="AE52" s="59" t="s">
        <v>123</v>
      </c>
      <c r="AF52" s="59" t="s">
        <v>123</v>
      </c>
      <c r="AG52" s="59" t="s">
        <v>145</v>
      </c>
    </row>
    <row r="53" spans="1:33" s="51" customFormat="1" ht="12" customHeight="1" x14ac:dyDescent="0.15">
      <c r="A53" s="74"/>
      <c r="B53" s="34">
        <f t="shared" si="0"/>
        <v>47</v>
      </c>
      <c r="C53" s="127"/>
      <c r="D53" s="126" t="s">
        <v>434</v>
      </c>
      <c r="E53" s="65" t="s">
        <v>435</v>
      </c>
      <c r="F53" s="65" t="s">
        <v>436</v>
      </c>
      <c r="G53" s="58" t="s">
        <v>437</v>
      </c>
      <c r="H53" s="71" t="s">
        <v>438</v>
      </c>
      <c r="I53" s="71">
        <v>1</v>
      </c>
      <c r="J53" s="67" t="s">
        <v>230</v>
      </c>
      <c r="K53" s="71" t="s">
        <v>138</v>
      </c>
      <c r="L53" s="71"/>
      <c r="M53" s="71" t="s">
        <v>532</v>
      </c>
      <c r="N53" s="71" t="s">
        <v>382</v>
      </c>
      <c r="O53" s="71" t="s">
        <v>383</v>
      </c>
      <c r="P53" s="71" t="s">
        <v>369</v>
      </c>
      <c r="Q53" s="72" t="s">
        <v>193</v>
      </c>
      <c r="R53" s="72" t="s">
        <v>123</v>
      </c>
      <c r="S53" s="59" t="s">
        <v>123</v>
      </c>
      <c r="T53" s="59" t="s">
        <v>123</v>
      </c>
      <c r="U53" s="59" t="s">
        <v>123</v>
      </c>
      <c r="V53" s="59" t="s">
        <v>123</v>
      </c>
      <c r="W53" s="59" t="s">
        <v>123</v>
      </c>
      <c r="X53" s="59" t="s">
        <v>123</v>
      </c>
      <c r="Y53" s="59" t="s">
        <v>123</v>
      </c>
      <c r="Z53" s="59" t="s">
        <v>123</v>
      </c>
      <c r="AA53" s="59" t="s">
        <v>123</v>
      </c>
      <c r="AB53" s="59" t="s">
        <v>123</v>
      </c>
      <c r="AC53" s="59" t="s">
        <v>123</v>
      </c>
      <c r="AD53" s="59" t="s">
        <v>123</v>
      </c>
      <c r="AE53" s="59" t="s">
        <v>123</v>
      </c>
      <c r="AF53" s="59" t="s">
        <v>123</v>
      </c>
      <c r="AG53" s="59" t="s">
        <v>123</v>
      </c>
    </row>
    <row r="54" spans="1:33" s="51" customFormat="1" ht="12" customHeight="1" x14ac:dyDescent="0.15">
      <c r="A54" s="74"/>
      <c r="B54" s="34">
        <f t="shared" si="0"/>
        <v>48</v>
      </c>
      <c r="C54" s="127"/>
      <c r="D54" s="127"/>
      <c r="E54" s="65" t="s">
        <v>435</v>
      </c>
      <c r="F54" s="65" t="s">
        <v>439</v>
      </c>
      <c r="G54" s="58" t="s">
        <v>437</v>
      </c>
      <c r="H54" s="71" t="s">
        <v>438</v>
      </c>
      <c r="I54" s="71">
        <v>1</v>
      </c>
      <c r="J54" s="67" t="s">
        <v>230</v>
      </c>
      <c r="K54" s="71" t="s">
        <v>138</v>
      </c>
      <c r="L54" s="71"/>
      <c r="M54" s="71" t="s">
        <v>532</v>
      </c>
      <c r="N54" s="71" t="s">
        <v>382</v>
      </c>
      <c r="O54" s="71" t="s">
        <v>383</v>
      </c>
      <c r="P54" s="71" t="s">
        <v>369</v>
      </c>
      <c r="Q54" s="72" t="s">
        <v>193</v>
      </c>
      <c r="R54" s="72" t="s">
        <v>123</v>
      </c>
      <c r="S54" s="59" t="s">
        <v>123</v>
      </c>
      <c r="T54" s="59" t="s">
        <v>123</v>
      </c>
      <c r="U54" s="59" t="s">
        <v>123</v>
      </c>
      <c r="V54" s="59" t="s">
        <v>123</v>
      </c>
      <c r="W54" s="59" t="s">
        <v>123</v>
      </c>
      <c r="X54" s="59" t="s">
        <v>123</v>
      </c>
      <c r="Y54" s="59" t="s">
        <v>123</v>
      </c>
      <c r="Z54" s="59" t="s">
        <v>123</v>
      </c>
      <c r="AA54" s="59" t="s">
        <v>123</v>
      </c>
      <c r="AB54" s="59" t="s">
        <v>123</v>
      </c>
      <c r="AC54" s="59" t="s">
        <v>123</v>
      </c>
      <c r="AD54" s="59" t="s">
        <v>123</v>
      </c>
      <c r="AE54" s="59" t="s">
        <v>123</v>
      </c>
      <c r="AF54" s="59" t="s">
        <v>123</v>
      </c>
      <c r="AG54" s="59" t="s">
        <v>123</v>
      </c>
    </row>
    <row r="55" spans="1:33" s="51" customFormat="1" ht="12" customHeight="1" x14ac:dyDescent="0.15">
      <c r="A55" s="74"/>
      <c r="B55" s="34">
        <f t="shared" si="0"/>
        <v>49</v>
      </c>
      <c r="C55" s="127"/>
      <c r="D55" s="127"/>
      <c r="E55" s="65" t="s">
        <v>435</v>
      </c>
      <c r="F55" s="65" t="s">
        <v>440</v>
      </c>
      <c r="G55" s="58" t="s">
        <v>437</v>
      </c>
      <c r="H55" s="71" t="s">
        <v>438</v>
      </c>
      <c r="I55" s="71">
        <v>1</v>
      </c>
      <c r="J55" s="67" t="s">
        <v>230</v>
      </c>
      <c r="K55" s="71" t="s">
        <v>138</v>
      </c>
      <c r="L55" s="71"/>
      <c r="M55" s="71" t="s">
        <v>532</v>
      </c>
      <c r="N55" s="71" t="s">
        <v>382</v>
      </c>
      <c r="O55" s="71" t="s">
        <v>383</v>
      </c>
      <c r="P55" s="71" t="s">
        <v>369</v>
      </c>
      <c r="Q55" s="72" t="s">
        <v>193</v>
      </c>
      <c r="R55" s="72" t="s">
        <v>123</v>
      </c>
      <c r="S55" s="59" t="s">
        <v>123</v>
      </c>
      <c r="T55" s="59" t="s">
        <v>123</v>
      </c>
      <c r="U55" s="59" t="s">
        <v>123</v>
      </c>
      <c r="V55" s="59" t="s">
        <v>123</v>
      </c>
      <c r="W55" s="59" t="s">
        <v>123</v>
      </c>
      <c r="X55" s="59" t="s">
        <v>123</v>
      </c>
      <c r="Y55" s="59" t="s">
        <v>123</v>
      </c>
      <c r="Z55" s="59" t="s">
        <v>123</v>
      </c>
      <c r="AA55" s="59" t="s">
        <v>123</v>
      </c>
      <c r="AB55" s="59" t="s">
        <v>123</v>
      </c>
      <c r="AC55" s="59" t="s">
        <v>123</v>
      </c>
      <c r="AD55" s="59" t="s">
        <v>123</v>
      </c>
      <c r="AE55" s="59" t="s">
        <v>123</v>
      </c>
      <c r="AF55" s="59" t="s">
        <v>123</v>
      </c>
      <c r="AG55" s="59" t="s">
        <v>123</v>
      </c>
    </row>
    <row r="56" spans="1:33" s="51" customFormat="1" ht="12" customHeight="1" x14ac:dyDescent="0.15">
      <c r="A56" s="74"/>
      <c r="B56" s="34">
        <f t="shared" si="0"/>
        <v>50</v>
      </c>
      <c r="C56" s="127"/>
      <c r="D56" s="127"/>
      <c r="E56" s="65" t="s">
        <v>435</v>
      </c>
      <c r="F56" s="65" t="s">
        <v>441</v>
      </c>
      <c r="G56" s="58" t="s">
        <v>437</v>
      </c>
      <c r="H56" s="71" t="s">
        <v>438</v>
      </c>
      <c r="I56" s="71">
        <v>1</v>
      </c>
      <c r="J56" s="67" t="s">
        <v>230</v>
      </c>
      <c r="K56" s="71" t="s">
        <v>138</v>
      </c>
      <c r="L56" s="71"/>
      <c r="M56" s="71" t="s">
        <v>532</v>
      </c>
      <c r="N56" s="71" t="s">
        <v>382</v>
      </c>
      <c r="O56" s="71" t="s">
        <v>383</v>
      </c>
      <c r="P56" s="71" t="s">
        <v>369</v>
      </c>
      <c r="Q56" s="72" t="s">
        <v>193</v>
      </c>
      <c r="R56" s="72" t="s">
        <v>123</v>
      </c>
      <c r="S56" s="59" t="s">
        <v>123</v>
      </c>
      <c r="T56" s="59" t="s">
        <v>123</v>
      </c>
      <c r="U56" s="59" t="s">
        <v>123</v>
      </c>
      <c r="V56" s="59" t="s">
        <v>123</v>
      </c>
      <c r="W56" s="59" t="s">
        <v>123</v>
      </c>
      <c r="X56" s="59" t="s">
        <v>123</v>
      </c>
      <c r="Y56" s="59" t="s">
        <v>123</v>
      </c>
      <c r="Z56" s="59" t="s">
        <v>123</v>
      </c>
      <c r="AA56" s="59" t="s">
        <v>123</v>
      </c>
      <c r="AB56" s="59" t="s">
        <v>123</v>
      </c>
      <c r="AC56" s="59" t="s">
        <v>123</v>
      </c>
      <c r="AD56" s="59" t="s">
        <v>123</v>
      </c>
      <c r="AE56" s="59" t="s">
        <v>123</v>
      </c>
      <c r="AF56" s="59" t="s">
        <v>123</v>
      </c>
      <c r="AG56" s="59" t="s">
        <v>123</v>
      </c>
    </row>
    <row r="57" spans="1:33" s="51" customFormat="1" ht="12" customHeight="1" x14ac:dyDescent="0.15">
      <c r="A57" s="74"/>
      <c r="B57" s="34">
        <f t="shared" si="0"/>
        <v>51</v>
      </c>
      <c r="C57" s="127"/>
      <c r="D57" s="127"/>
      <c r="E57" s="65" t="s">
        <v>435</v>
      </c>
      <c r="F57" s="65" t="s">
        <v>442</v>
      </c>
      <c r="G57" s="58" t="s">
        <v>437</v>
      </c>
      <c r="H57" s="71" t="s">
        <v>438</v>
      </c>
      <c r="I57" s="71">
        <v>1</v>
      </c>
      <c r="J57" s="67" t="s">
        <v>230</v>
      </c>
      <c r="K57" s="71" t="s">
        <v>138</v>
      </c>
      <c r="L57" s="71"/>
      <c r="M57" s="71" t="s">
        <v>532</v>
      </c>
      <c r="N57" s="71" t="s">
        <v>382</v>
      </c>
      <c r="O57" s="71" t="s">
        <v>383</v>
      </c>
      <c r="P57" s="71" t="s">
        <v>369</v>
      </c>
      <c r="Q57" s="72" t="s">
        <v>193</v>
      </c>
      <c r="R57" s="72" t="s">
        <v>123</v>
      </c>
      <c r="S57" s="59" t="s">
        <v>123</v>
      </c>
      <c r="T57" s="59" t="s">
        <v>123</v>
      </c>
      <c r="U57" s="59" t="s">
        <v>123</v>
      </c>
      <c r="V57" s="59" t="s">
        <v>123</v>
      </c>
      <c r="W57" s="59" t="s">
        <v>123</v>
      </c>
      <c r="X57" s="59" t="s">
        <v>123</v>
      </c>
      <c r="Y57" s="59" t="s">
        <v>123</v>
      </c>
      <c r="Z57" s="59" t="s">
        <v>123</v>
      </c>
      <c r="AA57" s="59" t="s">
        <v>123</v>
      </c>
      <c r="AB57" s="59" t="s">
        <v>123</v>
      </c>
      <c r="AC57" s="59" t="s">
        <v>123</v>
      </c>
      <c r="AD57" s="59" t="s">
        <v>123</v>
      </c>
      <c r="AE57" s="59" t="s">
        <v>123</v>
      </c>
      <c r="AF57" s="59" t="s">
        <v>123</v>
      </c>
      <c r="AG57" s="59" t="s">
        <v>123</v>
      </c>
    </row>
    <row r="58" spans="1:33" s="51" customFormat="1" ht="12" customHeight="1" x14ac:dyDescent="0.15">
      <c r="A58" s="74"/>
      <c r="B58" s="34">
        <f t="shared" si="0"/>
        <v>52</v>
      </c>
      <c r="C58" s="127"/>
      <c r="D58" s="127"/>
      <c r="E58" s="65" t="s">
        <v>435</v>
      </c>
      <c r="F58" s="65" t="s">
        <v>443</v>
      </c>
      <c r="G58" s="58" t="s">
        <v>437</v>
      </c>
      <c r="H58" s="71" t="s">
        <v>438</v>
      </c>
      <c r="I58" s="71">
        <v>1</v>
      </c>
      <c r="J58" s="67" t="s">
        <v>230</v>
      </c>
      <c r="K58" s="71" t="s">
        <v>138</v>
      </c>
      <c r="L58" s="71"/>
      <c r="M58" s="71" t="s">
        <v>532</v>
      </c>
      <c r="N58" s="71" t="s">
        <v>382</v>
      </c>
      <c r="O58" s="71" t="s">
        <v>383</v>
      </c>
      <c r="P58" s="71" t="s">
        <v>369</v>
      </c>
      <c r="Q58" s="72" t="s">
        <v>193</v>
      </c>
      <c r="R58" s="72" t="s">
        <v>123</v>
      </c>
      <c r="S58" s="59" t="s">
        <v>123</v>
      </c>
      <c r="T58" s="59" t="s">
        <v>123</v>
      </c>
      <c r="U58" s="59" t="s">
        <v>123</v>
      </c>
      <c r="V58" s="59" t="s">
        <v>123</v>
      </c>
      <c r="W58" s="59" t="s">
        <v>123</v>
      </c>
      <c r="X58" s="59" t="s">
        <v>123</v>
      </c>
      <c r="Y58" s="59" t="s">
        <v>123</v>
      </c>
      <c r="Z58" s="59" t="s">
        <v>123</v>
      </c>
      <c r="AA58" s="59" t="s">
        <v>123</v>
      </c>
      <c r="AB58" s="59" t="s">
        <v>123</v>
      </c>
      <c r="AC58" s="59" t="s">
        <v>123</v>
      </c>
      <c r="AD58" s="59" t="s">
        <v>123</v>
      </c>
      <c r="AE58" s="59" t="s">
        <v>123</v>
      </c>
      <c r="AF58" s="59" t="s">
        <v>123</v>
      </c>
      <c r="AG58" s="59" t="s">
        <v>123</v>
      </c>
    </row>
    <row r="59" spans="1:33" s="51" customFormat="1" ht="12" customHeight="1" x14ac:dyDescent="0.15">
      <c r="A59" s="74"/>
      <c r="B59" s="34">
        <f t="shared" si="0"/>
        <v>53</v>
      </c>
      <c r="C59" s="127"/>
      <c r="D59" s="127"/>
      <c r="E59" s="65" t="s">
        <v>435</v>
      </c>
      <c r="F59" s="65" t="s">
        <v>444</v>
      </c>
      <c r="G59" s="58" t="s">
        <v>437</v>
      </c>
      <c r="H59" s="71" t="s">
        <v>438</v>
      </c>
      <c r="I59" s="71">
        <v>1</v>
      </c>
      <c r="J59" s="67" t="s">
        <v>230</v>
      </c>
      <c r="K59" s="71" t="s">
        <v>138</v>
      </c>
      <c r="L59" s="71"/>
      <c r="M59" s="71" t="s">
        <v>532</v>
      </c>
      <c r="N59" s="71" t="s">
        <v>382</v>
      </c>
      <c r="O59" s="71" t="s">
        <v>383</v>
      </c>
      <c r="P59" s="71" t="s">
        <v>369</v>
      </c>
      <c r="Q59" s="72" t="s">
        <v>193</v>
      </c>
      <c r="R59" s="72" t="s">
        <v>123</v>
      </c>
      <c r="S59" s="59" t="s">
        <v>123</v>
      </c>
      <c r="T59" s="59" t="s">
        <v>123</v>
      </c>
      <c r="U59" s="59" t="s">
        <v>123</v>
      </c>
      <c r="V59" s="59" t="s">
        <v>123</v>
      </c>
      <c r="W59" s="59" t="s">
        <v>123</v>
      </c>
      <c r="X59" s="59" t="s">
        <v>123</v>
      </c>
      <c r="Y59" s="59" t="s">
        <v>123</v>
      </c>
      <c r="Z59" s="59" t="s">
        <v>123</v>
      </c>
      <c r="AA59" s="59" t="s">
        <v>123</v>
      </c>
      <c r="AB59" s="59" t="s">
        <v>123</v>
      </c>
      <c r="AC59" s="59" t="s">
        <v>123</v>
      </c>
      <c r="AD59" s="59" t="s">
        <v>123</v>
      </c>
      <c r="AE59" s="59" t="s">
        <v>123</v>
      </c>
      <c r="AF59" s="59" t="s">
        <v>123</v>
      </c>
      <c r="AG59" s="59" t="s">
        <v>123</v>
      </c>
    </row>
    <row r="60" spans="1:33" s="51" customFormat="1" ht="12" customHeight="1" x14ac:dyDescent="0.15">
      <c r="A60" s="74"/>
      <c r="B60" s="34">
        <f t="shared" si="0"/>
        <v>54</v>
      </c>
      <c r="C60" s="127"/>
      <c r="D60" s="127"/>
      <c r="E60" s="65" t="s">
        <v>435</v>
      </c>
      <c r="F60" s="65" t="s">
        <v>445</v>
      </c>
      <c r="G60" s="58" t="s">
        <v>437</v>
      </c>
      <c r="H60" s="71" t="s">
        <v>438</v>
      </c>
      <c r="I60" s="71">
        <v>1</v>
      </c>
      <c r="J60" s="67" t="s">
        <v>230</v>
      </c>
      <c r="K60" s="71" t="s">
        <v>138</v>
      </c>
      <c r="L60" s="71"/>
      <c r="M60" s="71" t="s">
        <v>532</v>
      </c>
      <c r="N60" s="71" t="s">
        <v>382</v>
      </c>
      <c r="O60" s="71" t="s">
        <v>383</v>
      </c>
      <c r="P60" s="71" t="s">
        <v>369</v>
      </c>
      <c r="Q60" s="72" t="s">
        <v>193</v>
      </c>
      <c r="R60" s="72" t="s">
        <v>123</v>
      </c>
      <c r="S60" s="59" t="s">
        <v>123</v>
      </c>
      <c r="T60" s="59" t="s">
        <v>123</v>
      </c>
      <c r="U60" s="59" t="s">
        <v>123</v>
      </c>
      <c r="V60" s="59" t="s">
        <v>123</v>
      </c>
      <c r="W60" s="59" t="s">
        <v>123</v>
      </c>
      <c r="X60" s="59" t="s">
        <v>123</v>
      </c>
      <c r="Y60" s="59" t="s">
        <v>123</v>
      </c>
      <c r="Z60" s="59" t="s">
        <v>123</v>
      </c>
      <c r="AA60" s="59" t="s">
        <v>123</v>
      </c>
      <c r="AB60" s="59" t="s">
        <v>123</v>
      </c>
      <c r="AC60" s="59" t="s">
        <v>123</v>
      </c>
      <c r="AD60" s="59" t="s">
        <v>123</v>
      </c>
      <c r="AE60" s="59" t="s">
        <v>123</v>
      </c>
      <c r="AF60" s="59" t="s">
        <v>123</v>
      </c>
      <c r="AG60" s="59" t="s">
        <v>123</v>
      </c>
    </row>
    <row r="61" spans="1:33" s="51" customFormat="1" ht="12" customHeight="1" x14ac:dyDescent="0.15">
      <c r="A61" s="74"/>
      <c r="B61" s="34">
        <f t="shared" si="0"/>
        <v>55</v>
      </c>
      <c r="C61" s="127"/>
      <c r="D61" s="127"/>
      <c r="E61" s="65" t="s">
        <v>435</v>
      </c>
      <c r="F61" s="65" t="s">
        <v>446</v>
      </c>
      <c r="G61" s="58" t="s">
        <v>437</v>
      </c>
      <c r="H61" s="71" t="s">
        <v>438</v>
      </c>
      <c r="I61" s="71">
        <v>1</v>
      </c>
      <c r="J61" s="67" t="s">
        <v>230</v>
      </c>
      <c r="K61" s="71" t="s">
        <v>138</v>
      </c>
      <c r="L61" s="71"/>
      <c r="M61" s="71" t="s">
        <v>532</v>
      </c>
      <c r="N61" s="71" t="s">
        <v>382</v>
      </c>
      <c r="O61" s="71" t="s">
        <v>383</v>
      </c>
      <c r="P61" s="71" t="s">
        <v>369</v>
      </c>
      <c r="Q61" s="72" t="s">
        <v>193</v>
      </c>
      <c r="R61" s="72" t="s">
        <v>123</v>
      </c>
      <c r="S61" s="59" t="s">
        <v>123</v>
      </c>
      <c r="T61" s="59" t="s">
        <v>123</v>
      </c>
      <c r="U61" s="59" t="s">
        <v>123</v>
      </c>
      <c r="V61" s="59" t="s">
        <v>123</v>
      </c>
      <c r="W61" s="59" t="s">
        <v>123</v>
      </c>
      <c r="X61" s="59" t="s">
        <v>123</v>
      </c>
      <c r="Y61" s="59" t="s">
        <v>123</v>
      </c>
      <c r="Z61" s="59" t="s">
        <v>123</v>
      </c>
      <c r="AA61" s="59" t="s">
        <v>123</v>
      </c>
      <c r="AB61" s="59" t="s">
        <v>123</v>
      </c>
      <c r="AC61" s="59" t="s">
        <v>123</v>
      </c>
      <c r="AD61" s="59" t="s">
        <v>123</v>
      </c>
      <c r="AE61" s="59" t="s">
        <v>123</v>
      </c>
      <c r="AF61" s="59" t="s">
        <v>123</v>
      </c>
      <c r="AG61" s="59" t="s">
        <v>123</v>
      </c>
    </row>
    <row r="62" spans="1:33" s="51" customFormat="1" ht="12" customHeight="1" x14ac:dyDescent="0.15">
      <c r="A62" s="74"/>
      <c r="B62" s="34">
        <f t="shared" si="0"/>
        <v>56</v>
      </c>
      <c r="C62" s="127"/>
      <c r="D62" s="127"/>
      <c r="E62" s="65" t="s">
        <v>435</v>
      </c>
      <c r="F62" s="65" t="s">
        <v>447</v>
      </c>
      <c r="G62" s="58" t="s">
        <v>437</v>
      </c>
      <c r="H62" s="71" t="s">
        <v>438</v>
      </c>
      <c r="I62" s="71">
        <v>1</v>
      </c>
      <c r="J62" s="67" t="s">
        <v>230</v>
      </c>
      <c r="K62" s="71" t="s">
        <v>138</v>
      </c>
      <c r="L62" s="71"/>
      <c r="M62" s="71" t="s">
        <v>532</v>
      </c>
      <c r="N62" s="71" t="s">
        <v>382</v>
      </c>
      <c r="O62" s="71" t="s">
        <v>383</v>
      </c>
      <c r="P62" s="71" t="s">
        <v>369</v>
      </c>
      <c r="Q62" s="72" t="s">
        <v>193</v>
      </c>
      <c r="R62" s="72" t="s">
        <v>123</v>
      </c>
      <c r="S62" s="59" t="s">
        <v>123</v>
      </c>
      <c r="T62" s="59" t="s">
        <v>123</v>
      </c>
      <c r="U62" s="59" t="s">
        <v>123</v>
      </c>
      <c r="V62" s="59" t="s">
        <v>123</v>
      </c>
      <c r="W62" s="59" t="s">
        <v>123</v>
      </c>
      <c r="X62" s="59" t="s">
        <v>123</v>
      </c>
      <c r="Y62" s="59" t="s">
        <v>123</v>
      </c>
      <c r="Z62" s="59" t="s">
        <v>123</v>
      </c>
      <c r="AA62" s="59" t="s">
        <v>123</v>
      </c>
      <c r="AB62" s="59" t="s">
        <v>123</v>
      </c>
      <c r="AC62" s="59" t="s">
        <v>123</v>
      </c>
      <c r="AD62" s="59" t="s">
        <v>123</v>
      </c>
      <c r="AE62" s="59" t="s">
        <v>123</v>
      </c>
      <c r="AF62" s="59" t="s">
        <v>123</v>
      </c>
      <c r="AG62" s="59" t="s">
        <v>123</v>
      </c>
    </row>
    <row r="63" spans="1:33" s="51" customFormat="1" ht="12" customHeight="1" x14ac:dyDescent="0.15">
      <c r="A63" s="74"/>
      <c r="B63" s="34">
        <f t="shared" si="0"/>
        <v>57</v>
      </c>
      <c r="C63" s="127"/>
      <c r="D63" s="127"/>
      <c r="E63" s="65" t="s">
        <v>435</v>
      </c>
      <c r="F63" s="65" t="s">
        <v>448</v>
      </c>
      <c r="G63" s="58" t="s">
        <v>437</v>
      </c>
      <c r="H63" s="71" t="s">
        <v>438</v>
      </c>
      <c r="I63" s="71">
        <v>1</v>
      </c>
      <c r="J63" s="67" t="s">
        <v>230</v>
      </c>
      <c r="K63" s="71" t="s">
        <v>138</v>
      </c>
      <c r="L63" s="71"/>
      <c r="M63" s="71" t="s">
        <v>532</v>
      </c>
      <c r="N63" s="71" t="s">
        <v>382</v>
      </c>
      <c r="O63" s="71" t="s">
        <v>383</v>
      </c>
      <c r="P63" s="71" t="s">
        <v>369</v>
      </c>
      <c r="Q63" s="72" t="s">
        <v>193</v>
      </c>
      <c r="R63" s="72" t="s">
        <v>123</v>
      </c>
      <c r="S63" s="59" t="s">
        <v>123</v>
      </c>
      <c r="T63" s="59" t="s">
        <v>123</v>
      </c>
      <c r="U63" s="59" t="s">
        <v>123</v>
      </c>
      <c r="V63" s="59" t="s">
        <v>123</v>
      </c>
      <c r="W63" s="59" t="s">
        <v>123</v>
      </c>
      <c r="X63" s="59" t="s">
        <v>123</v>
      </c>
      <c r="Y63" s="59" t="s">
        <v>123</v>
      </c>
      <c r="Z63" s="59" t="s">
        <v>123</v>
      </c>
      <c r="AA63" s="59" t="s">
        <v>123</v>
      </c>
      <c r="AB63" s="59" t="s">
        <v>123</v>
      </c>
      <c r="AC63" s="59" t="s">
        <v>123</v>
      </c>
      <c r="AD63" s="59" t="s">
        <v>123</v>
      </c>
      <c r="AE63" s="59" t="s">
        <v>123</v>
      </c>
      <c r="AF63" s="59" t="s">
        <v>123</v>
      </c>
      <c r="AG63" s="59" t="s">
        <v>123</v>
      </c>
    </row>
    <row r="64" spans="1:33" s="51" customFormat="1" ht="12" customHeight="1" x14ac:dyDescent="0.15">
      <c r="A64" s="74"/>
      <c r="B64" s="34">
        <f t="shared" si="0"/>
        <v>58</v>
      </c>
      <c r="C64" s="127"/>
      <c r="D64" s="127"/>
      <c r="E64" s="65" t="s">
        <v>435</v>
      </c>
      <c r="F64" s="65" t="s">
        <v>449</v>
      </c>
      <c r="G64" s="58" t="s">
        <v>437</v>
      </c>
      <c r="H64" s="71" t="s">
        <v>438</v>
      </c>
      <c r="I64" s="71">
        <v>1</v>
      </c>
      <c r="J64" s="67" t="s">
        <v>230</v>
      </c>
      <c r="K64" s="71" t="s">
        <v>138</v>
      </c>
      <c r="L64" s="71"/>
      <c r="M64" s="71" t="s">
        <v>532</v>
      </c>
      <c r="N64" s="71" t="s">
        <v>382</v>
      </c>
      <c r="O64" s="71" t="s">
        <v>383</v>
      </c>
      <c r="P64" s="71" t="s">
        <v>369</v>
      </c>
      <c r="Q64" s="72" t="s">
        <v>193</v>
      </c>
      <c r="R64" s="72" t="s">
        <v>123</v>
      </c>
      <c r="S64" s="59" t="s">
        <v>123</v>
      </c>
      <c r="T64" s="59" t="s">
        <v>123</v>
      </c>
      <c r="U64" s="59" t="s">
        <v>123</v>
      </c>
      <c r="V64" s="59" t="s">
        <v>123</v>
      </c>
      <c r="W64" s="59" t="s">
        <v>123</v>
      </c>
      <c r="X64" s="59" t="s">
        <v>123</v>
      </c>
      <c r="Y64" s="59" t="s">
        <v>123</v>
      </c>
      <c r="Z64" s="59" t="s">
        <v>123</v>
      </c>
      <c r="AA64" s="59" t="s">
        <v>123</v>
      </c>
      <c r="AB64" s="59" t="s">
        <v>123</v>
      </c>
      <c r="AC64" s="59" t="s">
        <v>123</v>
      </c>
      <c r="AD64" s="59" t="s">
        <v>123</v>
      </c>
      <c r="AE64" s="59" t="s">
        <v>123</v>
      </c>
      <c r="AF64" s="59" t="s">
        <v>123</v>
      </c>
      <c r="AG64" s="59" t="s">
        <v>123</v>
      </c>
    </row>
    <row r="65" spans="1:33" s="51" customFormat="1" ht="12" customHeight="1" x14ac:dyDescent="0.15">
      <c r="A65" s="74"/>
      <c r="B65" s="34">
        <f t="shared" si="0"/>
        <v>59</v>
      </c>
      <c r="C65" s="127"/>
      <c r="D65" s="127"/>
      <c r="E65" s="60" t="s">
        <v>450</v>
      </c>
      <c r="F65" s="60" t="s">
        <v>451</v>
      </c>
      <c r="G65" s="61" t="s">
        <v>437</v>
      </c>
      <c r="H65" s="71" t="s">
        <v>452</v>
      </c>
      <c r="I65" s="71">
        <v>1</v>
      </c>
      <c r="J65" s="67" t="s">
        <v>230</v>
      </c>
      <c r="K65" s="71" t="s">
        <v>453</v>
      </c>
      <c r="L65" s="71"/>
      <c r="M65" s="71" t="s">
        <v>532</v>
      </c>
      <c r="N65" s="71" t="s">
        <v>382</v>
      </c>
      <c r="O65" s="71" t="s">
        <v>454</v>
      </c>
      <c r="P65" s="71" t="s">
        <v>369</v>
      </c>
      <c r="Q65" s="72" t="s">
        <v>456</v>
      </c>
      <c r="R65" s="72" t="s">
        <v>123</v>
      </c>
      <c r="S65" s="59" t="s">
        <v>123</v>
      </c>
      <c r="T65" s="59" t="s">
        <v>123</v>
      </c>
      <c r="U65" s="59" t="s">
        <v>123</v>
      </c>
      <c r="V65" s="59" t="s">
        <v>123</v>
      </c>
      <c r="W65" s="59" t="s">
        <v>123</v>
      </c>
      <c r="X65" s="59" t="s">
        <v>123</v>
      </c>
      <c r="Y65" s="59" t="s">
        <v>123</v>
      </c>
      <c r="Z65" s="59" t="s">
        <v>123</v>
      </c>
      <c r="AA65" s="59" t="s">
        <v>123</v>
      </c>
      <c r="AB65" s="59" t="s">
        <v>123</v>
      </c>
      <c r="AC65" s="59" t="s">
        <v>123</v>
      </c>
      <c r="AD65" s="59" t="s">
        <v>123</v>
      </c>
      <c r="AE65" s="59" t="s">
        <v>123</v>
      </c>
      <c r="AF65" s="59" t="s">
        <v>123</v>
      </c>
      <c r="AG65" s="59" t="s">
        <v>123</v>
      </c>
    </row>
    <row r="66" spans="1:33" s="51" customFormat="1" ht="12" customHeight="1" x14ac:dyDescent="0.15">
      <c r="A66" s="74"/>
      <c r="B66" s="34">
        <f t="shared" si="0"/>
        <v>60</v>
      </c>
      <c r="C66" s="127"/>
      <c r="D66" s="127"/>
      <c r="E66" s="60" t="s">
        <v>450</v>
      </c>
      <c r="F66" s="60" t="s">
        <v>457</v>
      </c>
      <c r="G66" s="61" t="s">
        <v>437</v>
      </c>
      <c r="H66" s="71" t="s">
        <v>452</v>
      </c>
      <c r="I66" s="71">
        <v>1</v>
      </c>
      <c r="J66" s="67" t="s">
        <v>230</v>
      </c>
      <c r="K66" s="71" t="s">
        <v>453</v>
      </c>
      <c r="L66" s="71"/>
      <c r="M66" s="71" t="s">
        <v>532</v>
      </c>
      <c r="N66" s="71" t="s">
        <v>382</v>
      </c>
      <c r="O66" s="71" t="s">
        <v>454</v>
      </c>
      <c r="P66" s="71" t="s">
        <v>369</v>
      </c>
      <c r="Q66" s="72" t="s">
        <v>456</v>
      </c>
      <c r="R66" s="72" t="s">
        <v>123</v>
      </c>
      <c r="S66" s="59" t="s">
        <v>123</v>
      </c>
      <c r="T66" s="59" t="s">
        <v>123</v>
      </c>
      <c r="U66" s="59" t="s">
        <v>123</v>
      </c>
      <c r="V66" s="59" t="s">
        <v>123</v>
      </c>
      <c r="W66" s="59" t="s">
        <v>123</v>
      </c>
      <c r="X66" s="59" t="s">
        <v>123</v>
      </c>
      <c r="Y66" s="59" t="s">
        <v>123</v>
      </c>
      <c r="Z66" s="59" t="s">
        <v>123</v>
      </c>
      <c r="AA66" s="59" t="s">
        <v>123</v>
      </c>
      <c r="AB66" s="59" t="s">
        <v>123</v>
      </c>
      <c r="AC66" s="59" t="s">
        <v>123</v>
      </c>
      <c r="AD66" s="59" t="s">
        <v>123</v>
      </c>
      <c r="AE66" s="59" t="s">
        <v>123</v>
      </c>
      <c r="AF66" s="59" t="s">
        <v>123</v>
      </c>
      <c r="AG66" s="59" t="s">
        <v>123</v>
      </c>
    </row>
    <row r="67" spans="1:33" s="51" customFormat="1" ht="12" customHeight="1" x14ac:dyDescent="0.15">
      <c r="A67" s="74"/>
      <c r="B67" s="34">
        <f t="shared" si="0"/>
        <v>61</v>
      </c>
      <c r="C67" s="127"/>
      <c r="D67" s="127"/>
      <c r="E67" s="60" t="s">
        <v>450</v>
      </c>
      <c r="F67" s="60" t="s">
        <v>458</v>
      </c>
      <c r="G67" s="61" t="s">
        <v>437</v>
      </c>
      <c r="H67" s="71" t="s">
        <v>452</v>
      </c>
      <c r="I67" s="71">
        <v>1</v>
      </c>
      <c r="J67" s="67" t="s">
        <v>230</v>
      </c>
      <c r="K67" s="71" t="s">
        <v>453</v>
      </c>
      <c r="L67" s="71"/>
      <c r="M67" s="71" t="s">
        <v>532</v>
      </c>
      <c r="N67" s="71" t="s">
        <v>382</v>
      </c>
      <c r="O67" s="71" t="s">
        <v>454</v>
      </c>
      <c r="P67" s="71" t="s">
        <v>369</v>
      </c>
      <c r="Q67" s="72" t="s">
        <v>456</v>
      </c>
      <c r="R67" s="72" t="s">
        <v>123</v>
      </c>
      <c r="S67" s="59" t="s">
        <v>123</v>
      </c>
      <c r="T67" s="59" t="s">
        <v>123</v>
      </c>
      <c r="U67" s="59" t="s">
        <v>123</v>
      </c>
      <c r="V67" s="59" t="s">
        <v>123</v>
      </c>
      <c r="W67" s="59" t="s">
        <v>123</v>
      </c>
      <c r="X67" s="59" t="s">
        <v>123</v>
      </c>
      <c r="Y67" s="59" t="s">
        <v>123</v>
      </c>
      <c r="Z67" s="59" t="s">
        <v>123</v>
      </c>
      <c r="AA67" s="59" t="s">
        <v>123</v>
      </c>
      <c r="AB67" s="59" t="s">
        <v>123</v>
      </c>
      <c r="AC67" s="59" t="s">
        <v>123</v>
      </c>
      <c r="AD67" s="59" t="s">
        <v>123</v>
      </c>
      <c r="AE67" s="59" t="s">
        <v>123</v>
      </c>
      <c r="AF67" s="59" t="s">
        <v>123</v>
      </c>
      <c r="AG67" s="59" t="s">
        <v>123</v>
      </c>
    </row>
    <row r="68" spans="1:33" s="51" customFormat="1" ht="12" customHeight="1" x14ac:dyDescent="0.15">
      <c r="A68" s="74"/>
      <c r="B68" s="34">
        <f t="shared" si="0"/>
        <v>62</v>
      </c>
      <c r="C68" s="127"/>
      <c r="D68" s="127"/>
      <c r="E68" s="60" t="s">
        <v>450</v>
      </c>
      <c r="F68" s="60" t="s">
        <v>459</v>
      </c>
      <c r="G68" s="61" t="s">
        <v>437</v>
      </c>
      <c r="H68" s="71" t="s">
        <v>452</v>
      </c>
      <c r="I68" s="71">
        <v>1</v>
      </c>
      <c r="J68" s="67" t="s">
        <v>230</v>
      </c>
      <c r="K68" s="71" t="s">
        <v>453</v>
      </c>
      <c r="L68" s="71"/>
      <c r="M68" s="71" t="s">
        <v>532</v>
      </c>
      <c r="N68" s="71" t="s">
        <v>382</v>
      </c>
      <c r="O68" s="71" t="s">
        <v>454</v>
      </c>
      <c r="P68" s="71" t="s">
        <v>369</v>
      </c>
      <c r="Q68" s="72" t="s">
        <v>456</v>
      </c>
      <c r="R68" s="72" t="s">
        <v>123</v>
      </c>
      <c r="S68" s="59" t="s">
        <v>123</v>
      </c>
      <c r="T68" s="59" t="s">
        <v>123</v>
      </c>
      <c r="U68" s="59" t="s">
        <v>123</v>
      </c>
      <c r="V68" s="59" t="s">
        <v>123</v>
      </c>
      <c r="W68" s="59" t="s">
        <v>123</v>
      </c>
      <c r="X68" s="59" t="s">
        <v>123</v>
      </c>
      <c r="Y68" s="59" t="s">
        <v>123</v>
      </c>
      <c r="Z68" s="59" t="s">
        <v>123</v>
      </c>
      <c r="AA68" s="59" t="s">
        <v>123</v>
      </c>
      <c r="AB68" s="59" t="s">
        <v>123</v>
      </c>
      <c r="AC68" s="59" t="s">
        <v>123</v>
      </c>
      <c r="AD68" s="59" t="s">
        <v>123</v>
      </c>
      <c r="AE68" s="59" t="s">
        <v>123</v>
      </c>
      <c r="AF68" s="59" t="s">
        <v>123</v>
      </c>
      <c r="AG68" s="59" t="s">
        <v>123</v>
      </c>
    </row>
    <row r="69" spans="1:33" s="51" customFormat="1" ht="12" customHeight="1" x14ac:dyDescent="0.15">
      <c r="A69" s="74"/>
      <c r="B69" s="34">
        <f t="shared" si="0"/>
        <v>63</v>
      </c>
      <c r="C69" s="127"/>
      <c r="D69" s="127"/>
      <c r="E69" s="60" t="s">
        <v>450</v>
      </c>
      <c r="F69" s="60" t="s">
        <v>460</v>
      </c>
      <c r="G69" s="61" t="s">
        <v>437</v>
      </c>
      <c r="H69" s="71" t="s">
        <v>452</v>
      </c>
      <c r="I69" s="71">
        <v>1</v>
      </c>
      <c r="J69" s="67" t="s">
        <v>230</v>
      </c>
      <c r="K69" s="71" t="s">
        <v>453</v>
      </c>
      <c r="L69" s="71"/>
      <c r="M69" s="71" t="s">
        <v>532</v>
      </c>
      <c r="N69" s="71" t="s">
        <v>382</v>
      </c>
      <c r="O69" s="71" t="s">
        <v>454</v>
      </c>
      <c r="P69" s="71" t="s">
        <v>369</v>
      </c>
      <c r="Q69" s="72" t="s">
        <v>456</v>
      </c>
      <c r="R69" s="72" t="s">
        <v>123</v>
      </c>
      <c r="S69" s="59" t="s">
        <v>123</v>
      </c>
      <c r="T69" s="59" t="s">
        <v>123</v>
      </c>
      <c r="U69" s="59" t="s">
        <v>123</v>
      </c>
      <c r="V69" s="59" t="s">
        <v>123</v>
      </c>
      <c r="W69" s="59" t="s">
        <v>123</v>
      </c>
      <c r="X69" s="59" t="s">
        <v>123</v>
      </c>
      <c r="Y69" s="59" t="s">
        <v>123</v>
      </c>
      <c r="Z69" s="59" t="s">
        <v>123</v>
      </c>
      <c r="AA69" s="59" t="s">
        <v>123</v>
      </c>
      <c r="AB69" s="59" t="s">
        <v>123</v>
      </c>
      <c r="AC69" s="59" t="s">
        <v>123</v>
      </c>
      <c r="AD69" s="59" t="s">
        <v>123</v>
      </c>
      <c r="AE69" s="59" t="s">
        <v>123</v>
      </c>
      <c r="AF69" s="59" t="s">
        <v>123</v>
      </c>
      <c r="AG69" s="59" t="s">
        <v>123</v>
      </c>
    </row>
    <row r="70" spans="1:33" s="51" customFormat="1" ht="12" customHeight="1" x14ac:dyDescent="0.15">
      <c r="A70" s="74"/>
      <c r="B70" s="34">
        <f t="shared" si="0"/>
        <v>64</v>
      </c>
      <c r="C70" s="127"/>
      <c r="D70" s="127"/>
      <c r="E70" s="65" t="s">
        <v>461</v>
      </c>
      <c r="F70" s="65" t="s">
        <v>436</v>
      </c>
      <c r="G70" s="58" t="s">
        <v>437</v>
      </c>
      <c r="H70" s="71" t="s">
        <v>438</v>
      </c>
      <c r="I70" s="71">
        <v>1</v>
      </c>
      <c r="J70" s="67" t="s">
        <v>230</v>
      </c>
      <c r="K70" s="71" t="s">
        <v>138</v>
      </c>
      <c r="L70" s="71"/>
      <c r="M70" s="71" t="s">
        <v>532</v>
      </c>
      <c r="N70" s="71" t="s">
        <v>382</v>
      </c>
      <c r="O70" s="71" t="s">
        <v>383</v>
      </c>
      <c r="P70" s="71" t="s">
        <v>369</v>
      </c>
      <c r="Q70" s="72" t="s">
        <v>193</v>
      </c>
      <c r="R70" s="72" t="s">
        <v>123</v>
      </c>
      <c r="S70" s="59" t="s">
        <v>123</v>
      </c>
      <c r="T70" s="59" t="s">
        <v>123</v>
      </c>
      <c r="U70" s="59" t="s">
        <v>123</v>
      </c>
      <c r="V70" s="59" t="s">
        <v>123</v>
      </c>
      <c r="W70" s="59" t="s">
        <v>123</v>
      </c>
      <c r="X70" s="59" t="s">
        <v>123</v>
      </c>
      <c r="Y70" s="59" t="s">
        <v>123</v>
      </c>
      <c r="Z70" s="59" t="s">
        <v>123</v>
      </c>
      <c r="AA70" s="59" t="s">
        <v>123</v>
      </c>
      <c r="AB70" s="59" t="s">
        <v>123</v>
      </c>
      <c r="AC70" s="59" t="s">
        <v>123</v>
      </c>
      <c r="AD70" s="59" t="s">
        <v>123</v>
      </c>
      <c r="AE70" s="59" t="s">
        <v>123</v>
      </c>
      <c r="AF70" s="59" t="s">
        <v>123</v>
      </c>
      <c r="AG70" s="59" t="s">
        <v>123</v>
      </c>
    </row>
    <row r="71" spans="1:33" s="51" customFormat="1" ht="12" customHeight="1" x14ac:dyDescent="0.15">
      <c r="A71" s="74"/>
      <c r="B71" s="34">
        <f t="shared" si="0"/>
        <v>65</v>
      </c>
      <c r="C71" s="127"/>
      <c r="D71" s="127"/>
      <c r="E71" s="65" t="s">
        <v>461</v>
      </c>
      <c r="F71" s="65" t="s">
        <v>439</v>
      </c>
      <c r="G71" s="58" t="s">
        <v>437</v>
      </c>
      <c r="H71" s="71" t="s">
        <v>438</v>
      </c>
      <c r="I71" s="71">
        <v>1</v>
      </c>
      <c r="J71" s="67" t="s">
        <v>230</v>
      </c>
      <c r="K71" s="71" t="s">
        <v>138</v>
      </c>
      <c r="L71" s="71"/>
      <c r="M71" s="71" t="s">
        <v>532</v>
      </c>
      <c r="N71" s="71" t="s">
        <v>382</v>
      </c>
      <c r="O71" s="71" t="s">
        <v>383</v>
      </c>
      <c r="P71" s="71" t="s">
        <v>369</v>
      </c>
      <c r="Q71" s="72" t="s">
        <v>193</v>
      </c>
      <c r="R71" s="72" t="s">
        <v>123</v>
      </c>
      <c r="S71" s="59" t="s">
        <v>123</v>
      </c>
      <c r="T71" s="59" t="s">
        <v>123</v>
      </c>
      <c r="U71" s="59" t="s">
        <v>123</v>
      </c>
      <c r="V71" s="59" t="s">
        <v>123</v>
      </c>
      <c r="W71" s="59" t="s">
        <v>123</v>
      </c>
      <c r="X71" s="59" t="s">
        <v>123</v>
      </c>
      <c r="Y71" s="59" t="s">
        <v>123</v>
      </c>
      <c r="Z71" s="59" t="s">
        <v>123</v>
      </c>
      <c r="AA71" s="59" t="s">
        <v>123</v>
      </c>
      <c r="AB71" s="59" t="s">
        <v>123</v>
      </c>
      <c r="AC71" s="59" t="s">
        <v>123</v>
      </c>
      <c r="AD71" s="59" t="s">
        <v>123</v>
      </c>
      <c r="AE71" s="59" t="s">
        <v>123</v>
      </c>
      <c r="AF71" s="59" t="s">
        <v>123</v>
      </c>
      <c r="AG71" s="59" t="s">
        <v>123</v>
      </c>
    </row>
    <row r="72" spans="1:33" s="51" customFormat="1" ht="12" customHeight="1" x14ac:dyDescent="0.15">
      <c r="A72" s="74"/>
      <c r="B72" s="34">
        <f t="shared" si="0"/>
        <v>66</v>
      </c>
      <c r="C72" s="127"/>
      <c r="D72" s="127"/>
      <c r="E72" s="65" t="s">
        <v>461</v>
      </c>
      <c r="F72" s="65" t="s">
        <v>440</v>
      </c>
      <c r="G72" s="58" t="s">
        <v>437</v>
      </c>
      <c r="H72" s="71" t="s">
        <v>438</v>
      </c>
      <c r="I72" s="71">
        <v>1</v>
      </c>
      <c r="J72" s="67" t="s">
        <v>230</v>
      </c>
      <c r="K72" s="71" t="s">
        <v>138</v>
      </c>
      <c r="L72" s="71"/>
      <c r="M72" s="71" t="s">
        <v>532</v>
      </c>
      <c r="N72" s="71" t="s">
        <v>382</v>
      </c>
      <c r="O72" s="71" t="s">
        <v>383</v>
      </c>
      <c r="P72" s="71" t="s">
        <v>369</v>
      </c>
      <c r="Q72" s="72" t="s">
        <v>193</v>
      </c>
      <c r="R72" s="72" t="s">
        <v>123</v>
      </c>
      <c r="S72" s="59" t="s">
        <v>123</v>
      </c>
      <c r="T72" s="59" t="s">
        <v>123</v>
      </c>
      <c r="U72" s="59" t="s">
        <v>123</v>
      </c>
      <c r="V72" s="59" t="s">
        <v>123</v>
      </c>
      <c r="W72" s="59" t="s">
        <v>123</v>
      </c>
      <c r="X72" s="59" t="s">
        <v>123</v>
      </c>
      <c r="Y72" s="59" t="s">
        <v>123</v>
      </c>
      <c r="Z72" s="59" t="s">
        <v>123</v>
      </c>
      <c r="AA72" s="59" t="s">
        <v>123</v>
      </c>
      <c r="AB72" s="59" t="s">
        <v>123</v>
      </c>
      <c r="AC72" s="59" t="s">
        <v>123</v>
      </c>
      <c r="AD72" s="59" t="s">
        <v>123</v>
      </c>
      <c r="AE72" s="59" t="s">
        <v>123</v>
      </c>
      <c r="AF72" s="59" t="s">
        <v>123</v>
      </c>
      <c r="AG72" s="59" t="s">
        <v>123</v>
      </c>
    </row>
    <row r="73" spans="1:33" s="51" customFormat="1" ht="12" customHeight="1" x14ac:dyDescent="0.15">
      <c r="A73" s="74"/>
      <c r="B73" s="34">
        <f t="shared" si="0"/>
        <v>67</v>
      </c>
      <c r="C73" s="127"/>
      <c r="D73" s="127"/>
      <c r="E73" s="65" t="s">
        <v>461</v>
      </c>
      <c r="F73" s="65" t="s">
        <v>441</v>
      </c>
      <c r="G73" s="58" t="s">
        <v>437</v>
      </c>
      <c r="H73" s="71" t="s">
        <v>438</v>
      </c>
      <c r="I73" s="71">
        <v>1</v>
      </c>
      <c r="J73" s="67" t="s">
        <v>230</v>
      </c>
      <c r="K73" s="71" t="s">
        <v>138</v>
      </c>
      <c r="L73" s="71"/>
      <c r="M73" s="71" t="s">
        <v>532</v>
      </c>
      <c r="N73" s="71" t="s">
        <v>382</v>
      </c>
      <c r="O73" s="71" t="s">
        <v>383</v>
      </c>
      <c r="P73" s="71" t="s">
        <v>369</v>
      </c>
      <c r="Q73" s="72" t="s">
        <v>193</v>
      </c>
      <c r="R73" s="72" t="s">
        <v>123</v>
      </c>
      <c r="S73" s="59" t="s">
        <v>123</v>
      </c>
      <c r="T73" s="59" t="s">
        <v>123</v>
      </c>
      <c r="U73" s="59" t="s">
        <v>123</v>
      </c>
      <c r="V73" s="59" t="s">
        <v>123</v>
      </c>
      <c r="W73" s="59" t="s">
        <v>123</v>
      </c>
      <c r="X73" s="59" t="s">
        <v>123</v>
      </c>
      <c r="Y73" s="59" t="s">
        <v>123</v>
      </c>
      <c r="Z73" s="59" t="s">
        <v>123</v>
      </c>
      <c r="AA73" s="59" t="s">
        <v>123</v>
      </c>
      <c r="AB73" s="59" t="s">
        <v>123</v>
      </c>
      <c r="AC73" s="59" t="s">
        <v>123</v>
      </c>
      <c r="AD73" s="59" t="s">
        <v>123</v>
      </c>
      <c r="AE73" s="59" t="s">
        <v>123</v>
      </c>
      <c r="AF73" s="59" t="s">
        <v>123</v>
      </c>
      <c r="AG73" s="59" t="s">
        <v>123</v>
      </c>
    </row>
    <row r="74" spans="1:33" s="51" customFormat="1" ht="12" customHeight="1" x14ac:dyDescent="0.15">
      <c r="A74" s="74"/>
      <c r="B74" s="34">
        <f t="shared" si="0"/>
        <v>68</v>
      </c>
      <c r="C74" s="127"/>
      <c r="D74" s="127"/>
      <c r="E74" s="65" t="s">
        <v>461</v>
      </c>
      <c r="F74" s="65" t="s">
        <v>442</v>
      </c>
      <c r="G74" s="58" t="s">
        <v>437</v>
      </c>
      <c r="H74" s="71" t="s">
        <v>438</v>
      </c>
      <c r="I74" s="71">
        <v>1</v>
      </c>
      <c r="J74" s="67" t="s">
        <v>230</v>
      </c>
      <c r="K74" s="71" t="s">
        <v>138</v>
      </c>
      <c r="L74" s="71"/>
      <c r="M74" s="71" t="s">
        <v>532</v>
      </c>
      <c r="N74" s="71" t="s">
        <v>382</v>
      </c>
      <c r="O74" s="71" t="s">
        <v>383</v>
      </c>
      <c r="P74" s="71" t="s">
        <v>369</v>
      </c>
      <c r="Q74" s="72" t="s">
        <v>193</v>
      </c>
      <c r="R74" s="72" t="s">
        <v>123</v>
      </c>
      <c r="S74" s="59" t="s">
        <v>123</v>
      </c>
      <c r="T74" s="59" t="s">
        <v>123</v>
      </c>
      <c r="U74" s="59" t="s">
        <v>123</v>
      </c>
      <c r="V74" s="59" t="s">
        <v>123</v>
      </c>
      <c r="W74" s="59" t="s">
        <v>123</v>
      </c>
      <c r="X74" s="59" t="s">
        <v>123</v>
      </c>
      <c r="Y74" s="59" t="s">
        <v>123</v>
      </c>
      <c r="Z74" s="59" t="s">
        <v>123</v>
      </c>
      <c r="AA74" s="59" t="s">
        <v>123</v>
      </c>
      <c r="AB74" s="59" t="s">
        <v>123</v>
      </c>
      <c r="AC74" s="59" t="s">
        <v>123</v>
      </c>
      <c r="AD74" s="59" t="s">
        <v>123</v>
      </c>
      <c r="AE74" s="59" t="s">
        <v>123</v>
      </c>
      <c r="AF74" s="59" t="s">
        <v>123</v>
      </c>
      <c r="AG74" s="59" t="s">
        <v>123</v>
      </c>
    </row>
    <row r="75" spans="1:33" s="51" customFormat="1" ht="12" customHeight="1" x14ac:dyDescent="0.15">
      <c r="A75" s="74"/>
      <c r="B75" s="34">
        <f t="shared" si="0"/>
        <v>69</v>
      </c>
      <c r="C75" s="127"/>
      <c r="D75" s="127"/>
      <c r="E75" s="65" t="s">
        <v>461</v>
      </c>
      <c r="F75" s="65" t="s">
        <v>443</v>
      </c>
      <c r="G75" s="58" t="s">
        <v>437</v>
      </c>
      <c r="H75" s="71" t="s">
        <v>438</v>
      </c>
      <c r="I75" s="71">
        <v>1</v>
      </c>
      <c r="J75" s="67" t="s">
        <v>230</v>
      </c>
      <c r="K75" s="71" t="s">
        <v>138</v>
      </c>
      <c r="L75" s="71"/>
      <c r="M75" s="71" t="s">
        <v>532</v>
      </c>
      <c r="N75" s="71" t="s">
        <v>382</v>
      </c>
      <c r="O75" s="71" t="s">
        <v>383</v>
      </c>
      <c r="P75" s="71" t="s">
        <v>369</v>
      </c>
      <c r="Q75" s="72" t="s">
        <v>193</v>
      </c>
      <c r="R75" s="72" t="s">
        <v>123</v>
      </c>
      <c r="S75" s="59" t="s">
        <v>123</v>
      </c>
      <c r="T75" s="59" t="s">
        <v>123</v>
      </c>
      <c r="U75" s="59" t="s">
        <v>123</v>
      </c>
      <c r="V75" s="59" t="s">
        <v>123</v>
      </c>
      <c r="W75" s="59" t="s">
        <v>123</v>
      </c>
      <c r="X75" s="59" t="s">
        <v>123</v>
      </c>
      <c r="Y75" s="59" t="s">
        <v>123</v>
      </c>
      <c r="Z75" s="59" t="s">
        <v>123</v>
      </c>
      <c r="AA75" s="59" t="s">
        <v>123</v>
      </c>
      <c r="AB75" s="59" t="s">
        <v>123</v>
      </c>
      <c r="AC75" s="59" t="s">
        <v>123</v>
      </c>
      <c r="AD75" s="59" t="s">
        <v>123</v>
      </c>
      <c r="AE75" s="59" t="s">
        <v>123</v>
      </c>
      <c r="AF75" s="59" t="s">
        <v>123</v>
      </c>
      <c r="AG75" s="59" t="s">
        <v>123</v>
      </c>
    </row>
    <row r="76" spans="1:33" s="51" customFormat="1" ht="12" customHeight="1" x14ac:dyDescent="0.15">
      <c r="A76" s="74"/>
      <c r="B76" s="34">
        <f t="shared" si="0"/>
        <v>70</v>
      </c>
      <c r="C76" s="127"/>
      <c r="D76" s="127"/>
      <c r="E76" s="65" t="s">
        <v>461</v>
      </c>
      <c r="F76" s="65" t="s">
        <v>444</v>
      </c>
      <c r="G76" s="58" t="s">
        <v>437</v>
      </c>
      <c r="H76" s="71" t="s">
        <v>438</v>
      </c>
      <c r="I76" s="71">
        <v>1</v>
      </c>
      <c r="J76" s="67" t="s">
        <v>230</v>
      </c>
      <c r="K76" s="71" t="s">
        <v>138</v>
      </c>
      <c r="L76" s="71"/>
      <c r="M76" s="71" t="s">
        <v>532</v>
      </c>
      <c r="N76" s="71" t="s">
        <v>382</v>
      </c>
      <c r="O76" s="71" t="s">
        <v>383</v>
      </c>
      <c r="P76" s="71" t="s">
        <v>369</v>
      </c>
      <c r="Q76" s="72" t="s">
        <v>193</v>
      </c>
      <c r="R76" s="72" t="s">
        <v>123</v>
      </c>
      <c r="S76" s="59" t="s">
        <v>123</v>
      </c>
      <c r="T76" s="59" t="s">
        <v>123</v>
      </c>
      <c r="U76" s="59" t="s">
        <v>123</v>
      </c>
      <c r="V76" s="59" t="s">
        <v>123</v>
      </c>
      <c r="W76" s="59" t="s">
        <v>123</v>
      </c>
      <c r="X76" s="59" t="s">
        <v>123</v>
      </c>
      <c r="Y76" s="59" t="s">
        <v>123</v>
      </c>
      <c r="Z76" s="59" t="s">
        <v>123</v>
      </c>
      <c r="AA76" s="59" t="s">
        <v>123</v>
      </c>
      <c r="AB76" s="59" t="s">
        <v>123</v>
      </c>
      <c r="AC76" s="59" t="s">
        <v>123</v>
      </c>
      <c r="AD76" s="59" t="s">
        <v>123</v>
      </c>
      <c r="AE76" s="59" t="s">
        <v>123</v>
      </c>
      <c r="AF76" s="59" t="s">
        <v>123</v>
      </c>
      <c r="AG76" s="59" t="s">
        <v>123</v>
      </c>
    </row>
    <row r="77" spans="1:33" s="51" customFormat="1" ht="12" customHeight="1" x14ac:dyDescent="0.15">
      <c r="A77" s="74"/>
      <c r="B77" s="34">
        <f t="shared" si="0"/>
        <v>71</v>
      </c>
      <c r="C77" s="127"/>
      <c r="D77" s="127"/>
      <c r="E77" s="65" t="s">
        <v>461</v>
      </c>
      <c r="F77" s="65" t="s">
        <v>445</v>
      </c>
      <c r="G77" s="58" t="s">
        <v>437</v>
      </c>
      <c r="H77" s="71" t="s">
        <v>438</v>
      </c>
      <c r="I77" s="71">
        <v>1</v>
      </c>
      <c r="J77" s="67" t="s">
        <v>230</v>
      </c>
      <c r="K77" s="71" t="s">
        <v>138</v>
      </c>
      <c r="L77" s="71"/>
      <c r="M77" s="71" t="s">
        <v>532</v>
      </c>
      <c r="N77" s="71" t="s">
        <v>382</v>
      </c>
      <c r="O77" s="71" t="s">
        <v>383</v>
      </c>
      <c r="P77" s="71" t="s">
        <v>369</v>
      </c>
      <c r="Q77" s="72" t="s">
        <v>193</v>
      </c>
      <c r="R77" s="72" t="s">
        <v>123</v>
      </c>
      <c r="S77" s="59" t="s">
        <v>123</v>
      </c>
      <c r="T77" s="59" t="s">
        <v>123</v>
      </c>
      <c r="U77" s="59" t="s">
        <v>123</v>
      </c>
      <c r="V77" s="59" t="s">
        <v>123</v>
      </c>
      <c r="W77" s="59" t="s">
        <v>123</v>
      </c>
      <c r="X77" s="59" t="s">
        <v>123</v>
      </c>
      <c r="Y77" s="59" t="s">
        <v>123</v>
      </c>
      <c r="Z77" s="59" t="s">
        <v>123</v>
      </c>
      <c r="AA77" s="59" t="s">
        <v>123</v>
      </c>
      <c r="AB77" s="59" t="s">
        <v>123</v>
      </c>
      <c r="AC77" s="59" t="s">
        <v>123</v>
      </c>
      <c r="AD77" s="59" t="s">
        <v>123</v>
      </c>
      <c r="AE77" s="59" t="s">
        <v>123</v>
      </c>
      <c r="AF77" s="59" t="s">
        <v>123</v>
      </c>
      <c r="AG77" s="59" t="s">
        <v>123</v>
      </c>
    </row>
    <row r="78" spans="1:33" s="51" customFormat="1" ht="12" customHeight="1" x14ac:dyDescent="0.15">
      <c r="A78" s="74"/>
      <c r="B78" s="34">
        <f t="shared" si="0"/>
        <v>72</v>
      </c>
      <c r="C78" s="127"/>
      <c r="D78" s="127"/>
      <c r="E78" s="65" t="s">
        <v>461</v>
      </c>
      <c r="F78" s="65" t="s">
        <v>446</v>
      </c>
      <c r="G78" s="58" t="s">
        <v>437</v>
      </c>
      <c r="H78" s="71" t="s">
        <v>438</v>
      </c>
      <c r="I78" s="71">
        <v>1</v>
      </c>
      <c r="J78" s="67" t="s">
        <v>230</v>
      </c>
      <c r="K78" s="71" t="s">
        <v>138</v>
      </c>
      <c r="L78" s="71"/>
      <c r="M78" s="71" t="s">
        <v>532</v>
      </c>
      <c r="N78" s="71" t="s">
        <v>382</v>
      </c>
      <c r="O78" s="71" t="s">
        <v>383</v>
      </c>
      <c r="P78" s="71" t="s">
        <v>369</v>
      </c>
      <c r="Q78" s="72" t="s">
        <v>193</v>
      </c>
      <c r="R78" s="72" t="s">
        <v>123</v>
      </c>
      <c r="S78" s="59" t="s">
        <v>123</v>
      </c>
      <c r="T78" s="59" t="s">
        <v>123</v>
      </c>
      <c r="U78" s="59" t="s">
        <v>123</v>
      </c>
      <c r="V78" s="59" t="s">
        <v>123</v>
      </c>
      <c r="W78" s="59" t="s">
        <v>123</v>
      </c>
      <c r="X78" s="59" t="s">
        <v>123</v>
      </c>
      <c r="Y78" s="59" t="s">
        <v>123</v>
      </c>
      <c r="Z78" s="59" t="s">
        <v>123</v>
      </c>
      <c r="AA78" s="59" t="s">
        <v>123</v>
      </c>
      <c r="AB78" s="59" t="s">
        <v>123</v>
      </c>
      <c r="AC78" s="59" t="s">
        <v>123</v>
      </c>
      <c r="AD78" s="59" t="s">
        <v>123</v>
      </c>
      <c r="AE78" s="59" t="s">
        <v>123</v>
      </c>
      <c r="AF78" s="59" t="s">
        <v>123</v>
      </c>
      <c r="AG78" s="59" t="s">
        <v>123</v>
      </c>
    </row>
    <row r="79" spans="1:33" s="51" customFormat="1" ht="12" customHeight="1" x14ac:dyDescent="0.15">
      <c r="A79" s="74"/>
      <c r="B79" s="34">
        <f t="shared" si="0"/>
        <v>73</v>
      </c>
      <c r="C79" s="127"/>
      <c r="D79" s="127"/>
      <c r="E79" s="65" t="s">
        <v>461</v>
      </c>
      <c r="F79" s="65" t="s">
        <v>447</v>
      </c>
      <c r="G79" s="58" t="s">
        <v>437</v>
      </c>
      <c r="H79" s="71" t="s">
        <v>438</v>
      </c>
      <c r="I79" s="71">
        <v>1</v>
      </c>
      <c r="J79" s="67" t="s">
        <v>230</v>
      </c>
      <c r="K79" s="71" t="s">
        <v>138</v>
      </c>
      <c r="L79" s="71"/>
      <c r="M79" s="71" t="s">
        <v>532</v>
      </c>
      <c r="N79" s="71" t="s">
        <v>382</v>
      </c>
      <c r="O79" s="71" t="s">
        <v>383</v>
      </c>
      <c r="P79" s="71" t="s">
        <v>369</v>
      </c>
      <c r="Q79" s="72" t="s">
        <v>193</v>
      </c>
      <c r="R79" s="72" t="s">
        <v>123</v>
      </c>
      <c r="S79" s="59" t="s">
        <v>123</v>
      </c>
      <c r="T79" s="59" t="s">
        <v>123</v>
      </c>
      <c r="U79" s="59" t="s">
        <v>123</v>
      </c>
      <c r="V79" s="59" t="s">
        <v>123</v>
      </c>
      <c r="W79" s="59" t="s">
        <v>123</v>
      </c>
      <c r="X79" s="59" t="s">
        <v>123</v>
      </c>
      <c r="Y79" s="59" t="s">
        <v>123</v>
      </c>
      <c r="Z79" s="59" t="s">
        <v>123</v>
      </c>
      <c r="AA79" s="59" t="s">
        <v>123</v>
      </c>
      <c r="AB79" s="59" t="s">
        <v>123</v>
      </c>
      <c r="AC79" s="59" t="s">
        <v>123</v>
      </c>
      <c r="AD79" s="59" t="s">
        <v>123</v>
      </c>
      <c r="AE79" s="59" t="s">
        <v>123</v>
      </c>
      <c r="AF79" s="59" t="s">
        <v>123</v>
      </c>
      <c r="AG79" s="59" t="s">
        <v>123</v>
      </c>
    </row>
    <row r="80" spans="1:33" s="51" customFormat="1" ht="12" customHeight="1" x14ac:dyDescent="0.15">
      <c r="A80" s="74"/>
      <c r="B80" s="34">
        <f t="shared" si="0"/>
        <v>74</v>
      </c>
      <c r="C80" s="127"/>
      <c r="D80" s="127"/>
      <c r="E80" s="65" t="s">
        <v>461</v>
      </c>
      <c r="F80" s="65" t="s">
        <v>448</v>
      </c>
      <c r="G80" s="58" t="s">
        <v>437</v>
      </c>
      <c r="H80" s="71" t="s">
        <v>438</v>
      </c>
      <c r="I80" s="71">
        <v>1</v>
      </c>
      <c r="J80" s="67" t="s">
        <v>230</v>
      </c>
      <c r="K80" s="71" t="s">
        <v>138</v>
      </c>
      <c r="L80" s="71"/>
      <c r="M80" s="71" t="s">
        <v>532</v>
      </c>
      <c r="N80" s="71" t="s">
        <v>382</v>
      </c>
      <c r="O80" s="71" t="s">
        <v>383</v>
      </c>
      <c r="P80" s="71" t="s">
        <v>369</v>
      </c>
      <c r="Q80" s="72" t="s">
        <v>193</v>
      </c>
      <c r="R80" s="72" t="s">
        <v>123</v>
      </c>
      <c r="S80" s="59" t="s">
        <v>123</v>
      </c>
      <c r="T80" s="59" t="s">
        <v>123</v>
      </c>
      <c r="U80" s="59" t="s">
        <v>123</v>
      </c>
      <c r="V80" s="59" t="s">
        <v>123</v>
      </c>
      <c r="W80" s="59" t="s">
        <v>123</v>
      </c>
      <c r="X80" s="59" t="s">
        <v>123</v>
      </c>
      <c r="Y80" s="59" t="s">
        <v>123</v>
      </c>
      <c r="Z80" s="59" t="s">
        <v>123</v>
      </c>
      <c r="AA80" s="59" t="s">
        <v>123</v>
      </c>
      <c r="AB80" s="59" t="s">
        <v>123</v>
      </c>
      <c r="AC80" s="59" t="s">
        <v>123</v>
      </c>
      <c r="AD80" s="59" t="s">
        <v>123</v>
      </c>
      <c r="AE80" s="59" t="s">
        <v>123</v>
      </c>
      <c r="AF80" s="59" t="s">
        <v>123</v>
      </c>
      <c r="AG80" s="59" t="s">
        <v>123</v>
      </c>
    </row>
    <row r="81" spans="1:33" s="51" customFormat="1" ht="12" customHeight="1" x14ac:dyDescent="0.15">
      <c r="A81" s="74"/>
      <c r="B81" s="34">
        <f t="shared" ref="B81:B144" si="1">B80+1</f>
        <v>75</v>
      </c>
      <c r="C81" s="127"/>
      <c r="D81" s="127"/>
      <c r="E81" s="65" t="s">
        <v>461</v>
      </c>
      <c r="F81" s="65" t="s">
        <v>449</v>
      </c>
      <c r="G81" s="58" t="s">
        <v>437</v>
      </c>
      <c r="H81" s="71" t="s">
        <v>438</v>
      </c>
      <c r="I81" s="71">
        <v>1</v>
      </c>
      <c r="J81" s="67" t="s">
        <v>230</v>
      </c>
      <c r="K81" s="71" t="s">
        <v>138</v>
      </c>
      <c r="L81" s="71"/>
      <c r="M81" s="71" t="s">
        <v>532</v>
      </c>
      <c r="N81" s="71" t="s">
        <v>382</v>
      </c>
      <c r="O81" s="71" t="s">
        <v>383</v>
      </c>
      <c r="P81" s="71" t="s">
        <v>369</v>
      </c>
      <c r="Q81" s="72" t="s">
        <v>193</v>
      </c>
      <c r="R81" s="72" t="s">
        <v>123</v>
      </c>
      <c r="S81" s="59" t="s">
        <v>123</v>
      </c>
      <c r="T81" s="59" t="s">
        <v>123</v>
      </c>
      <c r="U81" s="59" t="s">
        <v>123</v>
      </c>
      <c r="V81" s="59" t="s">
        <v>123</v>
      </c>
      <c r="W81" s="59" t="s">
        <v>123</v>
      </c>
      <c r="X81" s="59" t="s">
        <v>123</v>
      </c>
      <c r="Y81" s="59" t="s">
        <v>123</v>
      </c>
      <c r="Z81" s="59" t="s">
        <v>123</v>
      </c>
      <c r="AA81" s="59" t="s">
        <v>123</v>
      </c>
      <c r="AB81" s="59" t="s">
        <v>123</v>
      </c>
      <c r="AC81" s="59" t="s">
        <v>123</v>
      </c>
      <c r="AD81" s="59" t="s">
        <v>123</v>
      </c>
      <c r="AE81" s="59" t="s">
        <v>123</v>
      </c>
      <c r="AF81" s="59" t="s">
        <v>123</v>
      </c>
      <c r="AG81" s="59" t="s">
        <v>123</v>
      </c>
    </row>
    <row r="82" spans="1:33" s="51" customFormat="1" ht="12" customHeight="1" x14ac:dyDescent="0.15">
      <c r="A82" s="74"/>
      <c r="B82" s="34">
        <f t="shared" si="1"/>
        <v>76</v>
      </c>
      <c r="C82" s="127"/>
      <c r="D82" s="127"/>
      <c r="E82" s="60" t="s">
        <v>462</v>
      </c>
      <c r="F82" s="60" t="s">
        <v>451</v>
      </c>
      <c r="G82" s="61" t="s">
        <v>437</v>
      </c>
      <c r="H82" s="71" t="s">
        <v>452</v>
      </c>
      <c r="I82" s="71">
        <v>1</v>
      </c>
      <c r="J82" s="67" t="s">
        <v>230</v>
      </c>
      <c r="K82" s="71" t="s">
        <v>453</v>
      </c>
      <c r="L82" s="71"/>
      <c r="M82" s="71" t="s">
        <v>532</v>
      </c>
      <c r="N82" s="71" t="s">
        <v>382</v>
      </c>
      <c r="O82" s="71" t="s">
        <v>454</v>
      </c>
      <c r="P82" s="71" t="s">
        <v>369</v>
      </c>
      <c r="Q82" s="72" t="s">
        <v>456</v>
      </c>
      <c r="R82" s="72" t="s">
        <v>123</v>
      </c>
      <c r="S82" s="59" t="s">
        <v>123</v>
      </c>
      <c r="T82" s="59" t="s">
        <v>123</v>
      </c>
      <c r="U82" s="59" t="s">
        <v>123</v>
      </c>
      <c r="V82" s="59" t="s">
        <v>123</v>
      </c>
      <c r="W82" s="59" t="s">
        <v>123</v>
      </c>
      <c r="X82" s="59" t="s">
        <v>123</v>
      </c>
      <c r="Y82" s="59" t="s">
        <v>123</v>
      </c>
      <c r="Z82" s="59" t="s">
        <v>123</v>
      </c>
      <c r="AA82" s="59" t="s">
        <v>123</v>
      </c>
      <c r="AB82" s="59" t="s">
        <v>123</v>
      </c>
      <c r="AC82" s="59" t="s">
        <v>123</v>
      </c>
      <c r="AD82" s="59" t="s">
        <v>123</v>
      </c>
      <c r="AE82" s="59" t="s">
        <v>123</v>
      </c>
      <c r="AF82" s="59" t="s">
        <v>123</v>
      </c>
      <c r="AG82" s="59" t="s">
        <v>123</v>
      </c>
    </row>
    <row r="83" spans="1:33" s="51" customFormat="1" ht="12" customHeight="1" x14ac:dyDescent="0.15">
      <c r="A83" s="74"/>
      <c r="B83" s="34">
        <f t="shared" si="1"/>
        <v>77</v>
      </c>
      <c r="C83" s="127"/>
      <c r="D83" s="127"/>
      <c r="E83" s="60" t="s">
        <v>462</v>
      </c>
      <c r="F83" s="60" t="s">
        <v>457</v>
      </c>
      <c r="G83" s="61" t="s">
        <v>437</v>
      </c>
      <c r="H83" s="71" t="s">
        <v>452</v>
      </c>
      <c r="I83" s="71">
        <v>1</v>
      </c>
      <c r="J83" s="67" t="s">
        <v>230</v>
      </c>
      <c r="K83" s="71" t="s">
        <v>453</v>
      </c>
      <c r="L83" s="71"/>
      <c r="M83" s="71" t="s">
        <v>532</v>
      </c>
      <c r="N83" s="71" t="s">
        <v>382</v>
      </c>
      <c r="O83" s="71" t="s">
        <v>454</v>
      </c>
      <c r="P83" s="71" t="s">
        <v>369</v>
      </c>
      <c r="Q83" s="72" t="s">
        <v>456</v>
      </c>
      <c r="R83" s="72" t="s">
        <v>123</v>
      </c>
      <c r="S83" s="59" t="s">
        <v>123</v>
      </c>
      <c r="T83" s="59" t="s">
        <v>123</v>
      </c>
      <c r="U83" s="59" t="s">
        <v>123</v>
      </c>
      <c r="V83" s="59" t="s">
        <v>123</v>
      </c>
      <c r="W83" s="59" t="s">
        <v>123</v>
      </c>
      <c r="X83" s="59" t="s">
        <v>123</v>
      </c>
      <c r="Y83" s="59" t="s">
        <v>123</v>
      </c>
      <c r="Z83" s="59" t="s">
        <v>123</v>
      </c>
      <c r="AA83" s="59" t="s">
        <v>123</v>
      </c>
      <c r="AB83" s="59" t="s">
        <v>123</v>
      </c>
      <c r="AC83" s="59" t="s">
        <v>123</v>
      </c>
      <c r="AD83" s="59" t="s">
        <v>123</v>
      </c>
      <c r="AE83" s="59" t="s">
        <v>123</v>
      </c>
      <c r="AF83" s="59" t="s">
        <v>123</v>
      </c>
      <c r="AG83" s="59" t="s">
        <v>123</v>
      </c>
    </row>
    <row r="84" spans="1:33" s="51" customFormat="1" ht="12" customHeight="1" x14ac:dyDescent="0.15">
      <c r="A84" s="74"/>
      <c r="B84" s="34">
        <f t="shared" si="1"/>
        <v>78</v>
      </c>
      <c r="C84" s="127"/>
      <c r="D84" s="127"/>
      <c r="E84" s="60" t="s">
        <v>462</v>
      </c>
      <c r="F84" s="60" t="s">
        <v>458</v>
      </c>
      <c r="G84" s="61" t="s">
        <v>437</v>
      </c>
      <c r="H84" s="71" t="s">
        <v>452</v>
      </c>
      <c r="I84" s="71">
        <v>1</v>
      </c>
      <c r="J84" s="67" t="s">
        <v>230</v>
      </c>
      <c r="K84" s="71" t="s">
        <v>453</v>
      </c>
      <c r="L84" s="71"/>
      <c r="M84" s="71" t="s">
        <v>532</v>
      </c>
      <c r="N84" s="71" t="s">
        <v>382</v>
      </c>
      <c r="O84" s="71" t="s">
        <v>454</v>
      </c>
      <c r="P84" s="71" t="s">
        <v>369</v>
      </c>
      <c r="Q84" s="72" t="s">
        <v>456</v>
      </c>
      <c r="R84" s="72" t="s">
        <v>123</v>
      </c>
      <c r="S84" s="59" t="s">
        <v>123</v>
      </c>
      <c r="T84" s="59" t="s">
        <v>123</v>
      </c>
      <c r="U84" s="59" t="s">
        <v>123</v>
      </c>
      <c r="V84" s="59" t="s">
        <v>123</v>
      </c>
      <c r="W84" s="59" t="s">
        <v>123</v>
      </c>
      <c r="X84" s="59" t="s">
        <v>123</v>
      </c>
      <c r="Y84" s="59" t="s">
        <v>123</v>
      </c>
      <c r="Z84" s="59" t="s">
        <v>123</v>
      </c>
      <c r="AA84" s="59" t="s">
        <v>123</v>
      </c>
      <c r="AB84" s="59" t="s">
        <v>123</v>
      </c>
      <c r="AC84" s="59" t="s">
        <v>123</v>
      </c>
      <c r="AD84" s="59" t="s">
        <v>123</v>
      </c>
      <c r="AE84" s="59" t="s">
        <v>123</v>
      </c>
      <c r="AF84" s="59" t="s">
        <v>123</v>
      </c>
      <c r="AG84" s="59" t="s">
        <v>123</v>
      </c>
    </row>
    <row r="85" spans="1:33" s="51" customFormat="1" ht="12" customHeight="1" x14ac:dyDescent="0.15">
      <c r="A85" s="74"/>
      <c r="B85" s="34">
        <f t="shared" si="1"/>
        <v>79</v>
      </c>
      <c r="C85" s="127"/>
      <c r="D85" s="127"/>
      <c r="E85" s="60" t="s">
        <v>462</v>
      </c>
      <c r="F85" s="60" t="s">
        <v>459</v>
      </c>
      <c r="G85" s="61" t="s">
        <v>437</v>
      </c>
      <c r="H85" s="71" t="s">
        <v>452</v>
      </c>
      <c r="I85" s="71">
        <v>1</v>
      </c>
      <c r="J85" s="67" t="s">
        <v>230</v>
      </c>
      <c r="K85" s="71" t="s">
        <v>453</v>
      </c>
      <c r="L85" s="71"/>
      <c r="M85" s="71" t="s">
        <v>532</v>
      </c>
      <c r="N85" s="71" t="s">
        <v>382</v>
      </c>
      <c r="O85" s="71" t="s">
        <v>454</v>
      </c>
      <c r="P85" s="71" t="s">
        <v>369</v>
      </c>
      <c r="Q85" s="72" t="s">
        <v>456</v>
      </c>
      <c r="R85" s="72" t="s">
        <v>123</v>
      </c>
      <c r="S85" s="59" t="s">
        <v>123</v>
      </c>
      <c r="T85" s="59" t="s">
        <v>123</v>
      </c>
      <c r="U85" s="59" t="s">
        <v>123</v>
      </c>
      <c r="V85" s="59" t="s">
        <v>123</v>
      </c>
      <c r="W85" s="59" t="s">
        <v>123</v>
      </c>
      <c r="X85" s="59" t="s">
        <v>123</v>
      </c>
      <c r="Y85" s="59" t="s">
        <v>123</v>
      </c>
      <c r="Z85" s="59" t="s">
        <v>123</v>
      </c>
      <c r="AA85" s="59" t="s">
        <v>123</v>
      </c>
      <c r="AB85" s="59" t="s">
        <v>123</v>
      </c>
      <c r="AC85" s="59" t="s">
        <v>123</v>
      </c>
      <c r="AD85" s="59" t="s">
        <v>123</v>
      </c>
      <c r="AE85" s="59" t="s">
        <v>123</v>
      </c>
      <c r="AF85" s="59" t="s">
        <v>123</v>
      </c>
      <c r="AG85" s="59" t="s">
        <v>123</v>
      </c>
    </row>
    <row r="86" spans="1:33" s="51" customFormat="1" ht="12" customHeight="1" x14ac:dyDescent="0.15">
      <c r="A86" s="74"/>
      <c r="B86" s="34">
        <f t="shared" si="1"/>
        <v>80</v>
      </c>
      <c r="C86" s="127"/>
      <c r="D86" s="128"/>
      <c r="E86" s="60" t="s">
        <v>462</v>
      </c>
      <c r="F86" s="60" t="s">
        <v>460</v>
      </c>
      <c r="G86" s="61" t="s">
        <v>437</v>
      </c>
      <c r="H86" s="71" t="s">
        <v>452</v>
      </c>
      <c r="I86" s="71">
        <v>1</v>
      </c>
      <c r="J86" s="67" t="s">
        <v>230</v>
      </c>
      <c r="K86" s="71" t="s">
        <v>453</v>
      </c>
      <c r="L86" s="71"/>
      <c r="M86" s="71" t="s">
        <v>532</v>
      </c>
      <c r="N86" s="71" t="s">
        <v>382</v>
      </c>
      <c r="O86" s="71" t="s">
        <v>454</v>
      </c>
      <c r="P86" s="71" t="s">
        <v>369</v>
      </c>
      <c r="Q86" s="72" t="s">
        <v>456</v>
      </c>
      <c r="R86" s="72" t="s">
        <v>123</v>
      </c>
      <c r="S86" s="59" t="s">
        <v>123</v>
      </c>
      <c r="T86" s="59" t="s">
        <v>123</v>
      </c>
      <c r="U86" s="59" t="s">
        <v>123</v>
      </c>
      <c r="V86" s="59" t="s">
        <v>123</v>
      </c>
      <c r="W86" s="59" t="s">
        <v>123</v>
      </c>
      <c r="X86" s="59" t="s">
        <v>123</v>
      </c>
      <c r="Y86" s="59" t="s">
        <v>123</v>
      </c>
      <c r="Z86" s="59" t="s">
        <v>123</v>
      </c>
      <c r="AA86" s="59" t="s">
        <v>123</v>
      </c>
      <c r="AB86" s="59" t="s">
        <v>123</v>
      </c>
      <c r="AC86" s="59" t="s">
        <v>123</v>
      </c>
      <c r="AD86" s="59" t="s">
        <v>123</v>
      </c>
      <c r="AE86" s="59" t="s">
        <v>123</v>
      </c>
      <c r="AF86" s="59" t="s">
        <v>123</v>
      </c>
      <c r="AG86" s="59" t="s">
        <v>123</v>
      </c>
    </row>
    <row r="87" spans="1:33" s="51" customFormat="1" ht="12" customHeight="1" x14ac:dyDescent="0.15">
      <c r="A87" s="74"/>
      <c r="B87" s="34">
        <f t="shared" si="1"/>
        <v>81</v>
      </c>
      <c r="C87" s="127"/>
      <c r="D87" s="126" t="s">
        <v>463</v>
      </c>
      <c r="E87" s="65" t="s">
        <v>435</v>
      </c>
      <c r="F87" s="65" t="s">
        <v>464</v>
      </c>
      <c r="G87" s="52" t="s">
        <v>437</v>
      </c>
      <c r="H87" s="71" t="s">
        <v>137</v>
      </c>
      <c r="I87" s="71">
        <v>1</v>
      </c>
      <c r="J87" s="67" t="s">
        <v>230</v>
      </c>
      <c r="K87" s="71" t="s">
        <v>138</v>
      </c>
      <c r="L87" s="71"/>
      <c r="M87" s="71" t="s">
        <v>532</v>
      </c>
      <c r="N87" s="71" t="s">
        <v>382</v>
      </c>
      <c r="O87" s="71" t="s">
        <v>465</v>
      </c>
      <c r="P87" s="71" t="s">
        <v>369</v>
      </c>
      <c r="Q87" s="72" t="s">
        <v>193</v>
      </c>
      <c r="R87" s="72" t="s">
        <v>123</v>
      </c>
      <c r="S87" s="59" t="s">
        <v>123</v>
      </c>
      <c r="T87" s="59" t="s">
        <v>123</v>
      </c>
      <c r="U87" s="59" t="s">
        <v>123</v>
      </c>
      <c r="V87" s="59" t="s">
        <v>123</v>
      </c>
      <c r="W87" s="59" t="s">
        <v>123</v>
      </c>
      <c r="X87" s="59" t="s">
        <v>123</v>
      </c>
      <c r="Y87" s="59" t="s">
        <v>123</v>
      </c>
      <c r="Z87" s="59" t="s">
        <v>123</v>
      </c>
      <c r="AA87" s="59" t="s">
        <v>123</v>
      </c>
      <c r="AB87" s="59" t="s">
        <v>123</v>
      </c>
      <c r="AC87" s="59" t="s">
        <v>123</v>
      </c>
      <c r="AD87" s="59" t="s">
        <v>123</v>
      </c>
      <c r="AE87" s="59" t="s">
        <v>123</v>
      </c>
      <c r="AF87" s="59" t="s">
        <v>123</v>
      </c>
      <c r="AG87" s="59" t="s">
        <v>123</v>
      </c>
    </row>
    <row r="88" spans="1:33" s="51" customFormat="1" ht="12" customHeight="1" x14ac:dyDescent="0.15">
      <c r="A88" s="74"/>
      <c r="B88" s="34">
        <f t="shared" si="1"/>
        <v>82</v>
      </c>
      <c r="C88" s="127"/>
      <c r="D88" s="127"/>
      <c r="E88" s="65" t="s">
        <v>435</v>
      </c>
      <c r="F88" s="65" t="s">
        <v>466</v>
      </c>
      <c r="G88" s="52" t="s">
        <v>437</v>
      </c>
      <c r="H88" s="71" t="s">
        <v>137</v>
      </c>
      <c r="I88" s="71">
        <v>1</v>
      </c>
      <c r="J88" s="67" t="s">
        <v>230</v>
      </c>
      <c r="K88" s="71" t="s">
        <v>138</v>
      </c>
      <c r="L88" s="71"/>
      <c r="M88" s="71" t="s">
        <v>532</v>
      </c>
      <c r="N88" s="71" t="s">
        <v>382</v>
      </c>
      <c r="O88" s="71" t="s">
        <v>465</v>
      </c>
      <c r="P88" s="71" t="s">
        <v>369</v>
      </c>
      <c r="Q88" s="72" t="s">
        <v>193</v>
      </c>
      <c r="R88" s="72" t="s">
        <v>123</v>
      </c>
      <c r="S88" s="59" t="s">
        <v>123</v>
      </c>
      <c r="T88" s="59" t="s">
        <v>123</v>
      </c>
      <c r="U88" s="59" t="s">
        <v>123</v>
      </c>
      <c r="V88" s="59" t="s">
        <v>123</v>
      </c>
      <c r="W88" s="59" t="s">
        <v>123</v>
      </c>
      <c r="X88" s="59" t="s">
        <v>123</v>
      </c>
      <c r="Y88" s="59" t="s">
        <v>123</v>
      </c>
      <c r="Z88" s="59" t="s">
        <v>123</v>
      </c>
      <c r="AA88" s="59" t="s">
        <v>123</v>
      </c>
      <c r="AB88" s="59" t="s">
        <v>123</v>
      </c>
      <c r="AC88" s="59" t="s">
        <v>123</v>
      </c>
      <c r="AD88" s="59" t="s">
        <v>123</v>
      </c>
      <c r="AE88" s="59" t="s">
        <v>123</v>
      </c>
      <c r="AF88" s="59" t="s">
        <v>123</v>
      </c>
      <c r="AG88" s="59" t="s">
        <v>123</v>
      </c>
    </row>
    <row r="89" spans="1:33" s="51" customFormat="1" ht="12" customHeight="1" x14ac:dyDescent="0.15">
      <c r="A89" s="74"/>
      <c r="B89" s="34">
        <f t="shared" si="1"/>
        <v>83</v>
      </c>
      <c r="C89" s="127"/>
      <c r="D89" s="127"/>
      <c r="E89" s="65" t="s">
        <v>435</v>
      </c>
      <c r="F89" s="65" t="s">
        <v>467</v>
      </c>
      <c r="G89" s="52" t="s">
        <v>437</v>
      </c>
      <c r="H89" s="71" t="s">
        <v>137</v>
      </c>
      <c r="I89" s="71">
        <v>1</v>
      </c>
      <c r="J89" s="67" t="s">
        <v>230</v>
      </c>
      <c r="K89" s="71" t="s">
        <v>138</v>
      </c>
      <c r="L89" s="71"/>
      <c r="M89" s="71" t="s">
        <v>532</v>
      </c>
      <c r="N89" s="71" t="s">
        <v>382</v>
      </c>
      <c r="O89" s="71" t="s">
        <v>465</v>
      </c>
      <c r="P89" s="71" t="s">
        <v>369</v>
      </c>
      <c r="Q89" s="72" t="s">
        <v>193</v>
      </c>
      <c r="R89" s="72" t="s">
        <v>123</v>
      </c>
      <c r="S89" s="59" t="s">
        <v>123</v>
      </c>
      <c r="T89" s="59" t="s">
        <v>123</v>
      </c>
      <c r="U89" s="59" t="s">
        <v>123</v>
      </c>
      <c r="V89" s="59" t="s">
        <v>123</v>
      </c>
      <c r="W89" s="59" t="s">
        <v>123</v>
      </c>
      <c r="X89" s="59" t="s">
        <v>123</v>
      </c>
      <c r="Y89" s="59" t="s">
        <v>123</v>
      </c>
      <c r="Z89" s="59" t="s">
        <v>123</v>
      </c>
      <c r="AA89" s="59" t="s">
        <v>123</v>
      </c>
      <c r="AB89" s="59" t="s">
        <v>123</v>
      </c>
      <c r="AC89" s="59" t="s">
        <v>123</v>
      </c>
      <c r="AD89" s="59" t="s">
        <v>123</v>
      </c>
      <c r="AE89" s="59" t="s">
        <v>123</v>
      </c>
      <c r="AF89" s="59" t="s">
        <v>123</v>
      </c>
      <c r="AG89" s="59" t="s">
        <v>123</v>
      </c>
    </row>
    <row r="90" spans="1:33" s="51" customFormat="1" ht="12" customHeight="1" x14ac:dyDescent="0.15">
      <c r="A90" s="74"/>
      <c r="B90" s="34">
        <f t="shared" si="1"/>
        <v>84</v>
      </c>
      <c r="C90" s="127"/>
      <c r="D90" s="127"/>
      <c r="E90" s="65" t="s">
        <v>435</v>
      </c>
      <c r="F90" s="65" t="s">
        <v>468</v>
      </c>
      <c r="G90" s="52" t="s">
        <v>437</v>
      </c>
      <c r="H90" s="71" t="s">
        <v>137</v>
      </c>
      <c r="I90" s="71">
        <v>1</v>
      </c>
      <c r="J90" s="67" t="s">
        <v>230</v>
      </c>
      <c r="K90" s="71" t="s">
        <v>138</v>
      </c>
      <c r="L90" s="71"/>
      <c r="M90" s="71" t="s">
        <v>532</v>
      </c>
      <c r="N90" s="71" t="s">
        <v>382</v>
      </c>
      <c r="O90" s="71" t="s">
        <v>465</v>
      </c>
      <c r="P90" s="71" t="s">
        <v>369</v>
      </c>
      <c r="Q90" s="72" t="s">
        <v>193</v>
      </c>
      <c r="R90" s="72" t="s">
        <v>123</v>
      </c>
      <c r="S90" s="59" t="s">
        <v>123</v>
      </c>
      <c r="T90" s="59" t="s">
        <v>123</v>
      </c>
      <c r="U90" s="59" t="s">
        <v>123</v>
      </c>
      <c r="V90" s="59" t="s">
        <v>123</v>
      </c>
      <c r="W90" s="59" t="s">
        <v>123</v>
      </c>
      <c r="X90" s="59" t="s">
        <v>123</v>
      </c>
      <c r="Y90" s="59" t="s">
        <v>123</v>
      </c>
      <c r="Z90" s="59" t="s">
        <v>123</v>
      </c>
      <c r="AA90" s="59" t="s">
        <v>123</v>
      </c>
      <c r="AB90" s="59" t="s">
        <v>123</v>
      </c>
      <c r="AC90" s="59" t="s">
        <v>123</v>
      </c>
      <c r="AD90" s="59" t="s">
        <v>123</v>
      </c>
      <c r="AE90" s="59" t="s">
        <v>123</v>
      </c>
      <c r="AF90" s="59" t="s">
        <v>123</v>
      </c>
      <c r="AG90" s="59" t="s">
        <v>123</v>
      </c>
    </row>
    <row r="91" spans="1:33" s="51" customFormat="1" ht="12" customHeight="1" x14ac:dyDescent="0.15">
      <c r="A91" s="74"/>
      <c r="B91" s="34">
        <f t="shared" si="1"/>
        <v>85</v>
      </c>
      <c r="C91" s="127"/>
      <c r="D91" s="127"/>
      <c r="E91" s="65" t="s">
        <v>435</v>
      </c>
      <c r="F91" s="65" t="s">
        <v>469</v>
      </c>
      <c r="G91" s="52" t="s">
        <v>437</v>
      </c>
      <c r="H91" s="71" t="s">
        <v>137</v>
      </c>
      <c r="I91" s="71">
        <v>1</v>
      </c>
      <c r="J91" s="67" t="s">
        <v>230</v>
      </c>
      <c r="K91" s="71" t="s">
        <v>138</v>
      </c>
      <c r="L91" s="71"/>
      <c r="M91" s="71" t="s">
        <v>532</v>
      </c>
      <c r="N91" s="71" t="s">
        <v>382</v>
      </c>
      <c r="O91" s="71" t="s">
        <v>465</v>
      </c>
      <c r="P91" s="71" t="s">
        <v>369</v>
      </c>
      <c r="Q91" s="72" t="s">
        <v>193</v>
      </c>
      <c r="R91" s="72" t="s">
        <v>123</v>
      </c>
      <c r="S91" s="59" t="s">
        <v>123</v>
      </c>
      <c r="T91" s="59" t="s">
        <v>123</v>
      </c>
      <c r="U91" s="59" t="s">
        <v>123</v>
      </c>
      <c r="V91" s="59" t="s">
        <v>123</v>
      </c>
      <c r="W91" s="59" t="s">
        <v>123</v>
      </c>
      <c r="X91" s="59" t="s">
        <v>123</v>
      </c>
      <c r="Y91" s="59" t="s">
        <v>123</v>
      </c>
      <c r="Z91" s="59" t="s">
        <v>123</v>
      </c>
      <c r="AA91" s="59" t="s">
        <v>123</v>
      </c>
      <c r="AB91" s="59" t="s">
        <v>123</v>
      </c>
      <c r="AC91" s="59" t="s">
        <v>123</v>
      </c>
      <c r="AD91" s="59" t="s">
        <v>123</v>
      </c>
      <c r="AE91" s="59" t="s">
        <v>123</v>
      </c>
      <c r="AF91" s="59" t="s">
        <v>123</v>
      </c>
      <c r="AG91" s="59" t="s">
        <v>123</v>
      </c>
    </row>
    <row r="92" spans="1:33" s="51" customFormat="1" ht="12" customHeight="1" x14ac:dyDescent="0.15">
      <c r="A92" s="74"/>
      <c r="B92" s="34">
        <f t="shared" si="1"/>
        <v>86</v>
      </c>
      <c r="C92" s="127"/>
      <c r="D92" s="127"/>
      <c r="E92" s="65" t="s">
        <v>435</v>
      </c>
      <c r="F92" s="65" t="s">
        <v>470</v>
      </c>
      <c r="G92" s="52" t="s">
        <v>437</v>
      </c>
      <c r="H92" s="71" t="s">
        <v>137</v>
      </c>
      <c r="I92" s="71">
        <v>1</v>
      </c>
      <c r="J92" s="67" t="s">
        <v>230</v>
      </c>
      <c r="K92" s="71" t="s">
        <v>138</v>
      </c>
      <c r="L92" s="71"/>
      <c r="M92" s="71" t="s">
        <v>532</v>
      </c>
      <c r="N92" s="71" t="s">
        <v>382</v>
      </c>
      <c r="O92" s="71" t="s">
        <v>465</v>
      </c>
      <c r="P92" s="71" t="s">
        <v>369</v>
      </c>
      <c r="Q92" s="72" t="s">
        <v>193</v>
      </c>
      <c r="R92" s="72" t="s">
        <v>123</v>
      </c>
      <c r="S92" s="59" t="s">
        <v>123</v>
      </c>
      <c r="T92" s="59" t="s">
        <v>123</v>
      </c>
      <c r="U92" s="59" t="s">
        <v>123</v>
      </c>
      <c r="V92" s="59" t="s">
        <v>123</v>
      </c>
      <c r="W92" s="59" t="s">
        <v>123</v>
      </c>
      <c r="X92" s="59" t="s">
        <v>123</v>
      </c>
      <c r="Y92" s="59" t="s">
        <v>123</v>
      </c>
      <c r="Z92" s="59" t="s">
        <v>123</v>
      </c>
      <c r="AA92" s="59" t="s">
        <v>123</v>
      </c>
      <c r="AB92" s="59" t="s">
        <v>123</v>
      </c>
      <c r="AC92" s="59" t="s">
        <v>123</v>
      </c>
      <c r="AD92" s="59" t="s">
        <v>123</v>
      </c>
      <c r="AE92" s="59" t="s">
        <v>123</v>
      </c>
      <c r="AF92" s="59" t="s">
        <v>123</v>
      </c>
      <c r="AG92" s="59" t="s">
        <v>123</v>
      </c>
    </row>
    <row r="93" spans="1:33" s="51" customFormat="1" ht="12" customHeight="1" x14ac:dyDescent="0.15">
      <c r="A93" s="74"/>
      <c r="B93" s="34">
        <f t="shared" si="1"/>
        <v>87</v>
      </c>
      <c r="C93" s="127"/>
      <c r="D93" s="127"/>
      <c r="E93" s="65" t="s">
        <v>435</v>
      </c>
      <c r="F93" s="65" t="s">
        <v>471</v>
      </c>
      <c r="G93" s="52" t="s">
        <v>437</v>
      </c>
      <c r="H93" s="71" t="s">
        <v>137</v>
      </c>
      <c r="I93" s="71">
        <v>1</v>
      </c>
      <c r="J93" s="67" t="s">
        <v>230</v>
      </c>
      <c r="K93" s="71" t="s">
        <v>138</v>
      </c>
      <c r="L93" s="71"/>
      <c r="M93" s="71" t="s">
        <v>532</v>
      </c>
      <c r="N93" s="71" t="s">
        <v>382</v>
      </c>
      <c r="O93" s="71" t="s">
        <v>465</v>
      </c>
      <c r="P93" s="71" t="s">
        <v>369</v>
      </c>
      <c r="Q93" s="72" t="s">
        <v>193</v>
      </c>
      <c r="R93" s="72" t="s">
        <v>123</v>
      </c>
      <c r="S93" s="59" t="s">
        <v>123</v>
      </c>
      <c r="T93" s="59" t="s">
        <v>123</v>
      </c>
      <c r="U93" s="59" t="s">
        <v>123</v>
      </c>
      <c r="V93" s="59" t="s">
        <v>123</v>
      </c>
      <c r="W93" s="59" t="s">
        <v>123</v>
      </c>
      <c r="X93" s="59" t="s">
        <v>123</v>
      </c>
      <c r="Y93" s="59" t="s">
        <v>123</v>
      </c>
      <c r="Z93" s="59" t="s">
        <v>123</v>
      </c>
      <c r="AA93" s="59" t="s">
        <v>123</v>
      </c>
      <c r="AB93" s="59" t="s">
        <v>123</v>
      </c>
      <c r="AC93" s="59" t="s">
        <v>123</v>
      </c>
      <c r="AD93" s="59" t="s">
        <v>123</v>
      </c>
      <c r="AE93" s="59" t="s">
        <v>123</v>
      </c>
      <c r="AF93" s="59" t="s">
        <v>123</v>
      </c>
      <c r="AG93" s="59" t="s">
        <v>123</v>
      </c>
    </row>
    <row r="94" spans="1:33" s="51" customFormat="1" ht="12" customHeight="1" x14ac:dyDescent="0.15">
      <c r="A94" s="74"/>
      <c r="B94" s="34">
        <f t="shared" si="1"/>
        <v>88</v>
      </c>
      <c r="C94" s="127"/>
      <c r="D94" s="127"/>
      <c r="E94" s="65" t="s">
        <v>435</v>
      </c>
      <c r="F94" s="65" t="s">
        <v>472</v>
      </c>
      <c r="G94" s="52" t="s">
        <v>437</v>
      </c>
      <c r="H94" s="71" t="s">
        <v>137</v>
      </c>
      <c r="I94" s="71">
        <v>1</v>
      </c>
      <c r="J94" s="67" t="s">
        <v>230</v>
      </c>
      <c r="K94" s="71" t="s">
        <v>138</v>
      </c>
      <c r="L94" s="71"/>
      <c r="M94" s="71" t="s">
        <v>532</v>
      </c>
      <c r="N94" s="71" t="s">
        <v>382</v>
      </c>
      <c r="O94" s="71" t="s">
        <v>465</v>
      </c>
      <c r="P94" s="71" t="s">
        <v>369</v>
      </c>
      <c r="Q94" s="72" t="s">
        <v>193</v>
      </c>
      <c r="R94" s="72" t="s">
        <v>123</v>
      </c>
      <c r="S94" s="59" t="s">
        <v>123</v>
      </c>
      <c r="T94" s="59" t="s">
        <v>123</v>
      </c>
      <c r="U94" s="59" t="s">
        <v>123</v>
      </c>
      <c r="V94" s="59" t="s">
        <v>123</v>
      </c>
      <c r="W94" s="59" t="s">
        <v>123</v>
      </c>
      <c r="X94" s="59" t="s">
        <v>123</v>
      </c>
      <c r="Y94" s="59" t="s">
        <v>123</v>
      </c>
      <c r="Z94" s="59" t="s">
        <v>123</v>
      </c>
      <c r="AA94" s="59" t="s">
        <v>123</v>
      </c>
      <c r="AB94" s="59" t="s">
        <v>123</v>
      </c>
      <c r="AC94" s="59" t="s">
        <v>123</v>
      </c>
      <c r="AD94" s="59" t="s">
        <v>123</v>
      </c>
      <c r="AE94" s="59" t="s">
        <v>123</v>
      </c>
      <c r="AF94" s="59" t="s">
        <v>123</v>
      </c>
      <c r="AG94" s="59" t="s">
        <v>123</v>
      </c>
    </row>
    <row r="95" spans="1:33" s="51" customFormat="1" ht="12" customHeight="1" x14ac:dyDescent="0.15">
      <c r="A95" s="74"/>
      <c r="B95" s="34">
        <f t="shared" si="1"/>
        <v>89</v>
      </c>
      <c r="C95" s="127"/>
      <c r="D95" s="127"/>
      <c r="E95" s="65" t="s">
        <v>435</v>
      </c>
      <c r="F95" s="65" t="s">
        <v>473</v>
      </c>
      <c r="G95" s="52" t="s">
        <v>437</v>
      </c>
      <c r="H95" s="71" t="s">
        <v>137</v>
      </c>
      <c r="I95" s="71">
        <v>1</v>
      </c>
      <c r="J95" s="67" t="s">
        <v>230</v>
      </c>
      <c r="K95" s="71" t="s">
        <v>138</v>
      </c>
      <c r="L95" s="71"/>
      <c r="M95" s="71" t="s">
        <v>532</v>
      </c>
      <c r="N95" s="71" t="s">
        <v>382</v>
      </c>
      <c r="O95" s="71" t="s">
        <v>465</v>
      </c>
      <c r="P95" s="71" t="s">
        <v>369</v>
      </c>
      <c r="Q95" s="72" t="s">
        <v>193</v>
      </c>
      <c r="R95" s="72" t="s">
        <v>123</v>
      </c>
      <c r="S95" s="59" t="s">
        <v>123</v>
      </c>
      <c r="T95" s="59" t="s">
        <v>123</v>
      </c>
      <c r="U95" s="59" t="s">
        <v>123</v>
      </c>
      <c r="V95" s="59" t="s">
        <v>123</v>
      </c>
      <c r="W95" s="59" t="s">
        <v>123</v>
      </c>
      <c r="X95" s="59" t="s">
        <v>123</v>
      </c>
      <c r="Y95" s="59" t="s">
        <v>123</v>
      </c>
      <c r="Z95" s="59" t="s">
        <v>123</v>
      </c>
      <c r="AA95" s="59" t="s">
        <v>123</v>
      </c>
      <c r="AB95" s="59" t="s">
        <v>123</v>
      </c>
      <c r="AC95" s="59" t="s">
        <v>123</v>
      </c>
      <c r="AD95" s="59" t="s">
        <v>123</v>
      </c>
      <c r="AE95" s="59" t="s">
        <v>123</v>
      </c>
      <c r="AF95" s="59" t="s">
        <v>123</v>
      </c>
      <c r="AG95" s="59" t="s">
        <v>123</v>
      </c>
    </row>
    <row r="96" spans="1:33" s="51" customFormat="1" ht="12" customHeight="1" x14ac:dyDescent="0.15">
      <c r="A96" s="74"/>
      <c r="B96" s="34">
        <f t="shared" si="1"/>
        <v>90</v>
      </c>
      <c r="C96" s="127"/>
      <c r="D96" s="127"/>
      <c r="E96" s="65" t="s">
        <v>435</v>
      </c>
      <c r="F96" s="65" t="s">
        <v>474</v>
      </c>
      <c r="G96" s="52" t="s">
        <v>437</v>
      </c>
      <c r="H96" s="71" t="s">
        <v>137</v>
      </c>
      <c r="I96" s="71">
        <v>1</v>
      </c>
      <c r="J96" s="67" t="s">
        <v>230</v>
      </c>
      <c r="K96" s="71" t="s">
        <v>138</v>
      </c>
      <c r="L96" s="71"/>
      <c r="M96" s="71" t="s">
        <v>532</v>
      </c>
      <c r="N96" s="71" t="s">
        <v>382</v>
      </c>
      <c r="O96" s="71" t="s">
        <v>465</v>
      </c>
      <c r="P96" s="71" t="s">
        <v>369</v>
      </c>
      <c r="Q96" s="72" t="s">
        <v>193</v>
      </c>
      <c r="R96" s="72" t="s">
        <v>123</v>
      </c>
      <c r="S96" s="59" t="s">
        <v>123</v>
      </c>
      <c r="T96" s="59" t="s">
        <v>123</v>
      </c>
      <c r="U96" s="59" t="s">
        <v>123</v>
      </c>
      <c r="V96" s="59" t="s">
        <v>123</v>
      </c>
      <c r="W96" s="59" t="s">
        <v>123</v>
      </c>
      <c r="X96" s="59" t="s">
        <v>123</v>
      </c>
      <c r="Y96" s="59" t="s">
        <v>123</v>
      </c>
      <c r="Z96" s="59" t="s">
        <v>123</v>
      </c>
      <c r="AA96" s="59" t="s">
        <v>123</v>
      </c>
      <c r="AB96" s="59" t="s">
        <v>123</v>
      </c>
      <c r="AC96" s="59" t="s">
        <v>123</v>
      </c>
      <c r="AD96" s="59" t="s">
        <v>123</v>
      </c>
      <c r="AE96" s="59" t="s">
        <v>123</v>
      </c>
      <c r="AF96" s="59" t="s">
        <v>123</v>
      </c>
      <c r="AG96" s="59" t="s">
        <v>123</v>
      </c>
    </row>
    <row r="97" spans="1:33" s="51" customFormat="1" ht="12" customHeight="1" x14ac:dyDescent="0.15">
      <c r="A97" s="74"/>
      <c r="B97" s="34">
        <f t="shared" si="1"/>
        <v>91</v>
      </c>
      <c r="C97" s="127"/>
      <c r="D97" s="127"/>
      <c r="E97" s="65" t="s">
        <v>435</v>
      </c>
      <c r="F97" s="65" t="s">
        <v>475</v>
      </c>
      <c r="G97" s="52" t="s">
        <v>437</v>
      </c>
      <c r="H97" s="71" t="s">
        <v>137</v>
      </c>
      <c r="I97" s="71">
        <v>1</v>
      </c>
      <c r="J97" s="67" t="s">
        <v>230</v>
      </c>
      <c r="K97" s="71" t="s">
        <v>138</v>
      </c>
      <c r="L97" s="71"/>
      <c r="M97" s="71" t="s">
        <v>532</v>
      </c>
      <c r="N97" s="71" t="s">
        <v>382</v>
      </c>
      <c r="O97" s="71" t="s">
        <v>465</v>
      </c>
      <c r="P97" s="71" t="s">
        <v>369</v>
      </c>
      <c r="Q97" s="72" t="s">
        <v>193</v>
      </c>
      <c r="R97" s="72" t="s">
        <v>123</v>
      </c>
      <c r="S97" s="59" t="s">
        <v>123</v>
      </c>
      <c r="T97" s="59" t="s">
        <v>123</v>
      </c>
      <c r="U97" s="59" t="s">
        <v>123</v>
      </c>
      <c r="V97" s="59" t="s">
        <v>123</v>
      </c>
      <c r="W97" s="59" t="s">
        <v>123</v>
      </c>
      <c r="X97" s="59" t="s">
        <v>123</v>
      </c>
      <c r="Y97" s="59" t="s">
        <v>123</v>
      </c>
      <c r="Z97" s="59" t="s">
        <v>123</v>
      </c>
      <c r="AA97" s="59" t="s">
        <v>123</v>
      </c>
      <c r="AB97" s="59" t="s">
        <v>123</v>
      </c>
      <c r="AC97" s="59" t="s">
        <v>123</v>
      </c>
      <c r="AD97" s="59" t="s">
        <v>123</v>
      </c>
      <c r="AE97" s="59" t="s">
        <v>123</v>
      </c>
      <c r="AF97" s="59" t="s">
        <v>123</v>
      </c>
      <c r="AG97" s="59" t="s">
        <v>123</v>
      </c>
    </row>
    <row r="98" spans="1:33" s="51" customFormat="1" ht="12" customHeight="1" x14ac:dyDescent="0.15">
      <c r="A98" s="74"/>
      <c r="B98" s="34">
        <f t="shared" si="1"/>
        <v>92</v>
      </c>
      <c r="C98" s="127"/>
      <c r="D98" s="127"/>
      <c r="E98" s="60" t="s">
        <v>450</v>
      </c>
      <c r="F98" s="60" t="s">
        <v>476</v>
      </c>
      <c r="G98" s="60" t="s">
        <v>437</v>
      </c>
      <c r="H98" s="71" t="s">
        <v>137</v>
      </c>
      <c r="I98" s="71">
        <v>1</v>
      </c>
      <c r="J98" s="67" t="s">
        <v>230</v>
      </c>
      <c r="K98" s="71" t="s">
        <v>453</v>
      </c>
      <c r="L98" s="71"/>
      <c r="M98" s="71" t="s">
        <v>532</v>
      </c>
      <c r="N98" s="71" t="s">
        <v>382</v>
      </c>
      <c r="O98" s="71" t="s">
        <v>465</v>
      </c>
      <c r="P98" s="71" t="s">
        <v>369</v>
      </c>
      <c r="Q98" s="72" t="s">
        <v>456</v>
      </c>
      <c r="R98" s="72" t="s">
        <v>123</v>
      </c>
      <c r="S98" s="59" t="s">
        <v>123</v>
      </c>
      <c r="T98" s="59" t="s">
        <v>123</v>
      </c>
      <c r="U98" s="59" t="s">
        <v>123</v>
      </c>
      <c r="V98" s="59" t="s">
        <v>123</v>
      </c>
      <c r="W98" s="59" t="s">
        <v>123</v>
      </c>
      <c r="X98" s="59" t="s">
        <v>123</v>
      </c>
      <c r="Y98" s="59" t="s">
        <v>123</v>
      </c>
      <c r="Z98" s="59" t="s">
        <v>123</v>
      </c>
      <c r="AA98" s="59" t="s">
        <v>123</v>
      </c>
      <c r="AB98" s="59" t="s">
        <v>123</v>
      </c>
      <c r="AC98" s="59" t="s">
        <v>123</v>
      </c>
      <c r="AD98" s="59" t="s">
        <v>123</v>
      </c>
      <c r="AE98" s="59" t="s">
        <v>123</v>
      </c>
      <c r="AF98" s="59" t="s">
        <v>123</v>
      </c>
      <c r="AG98" s="59" t="s">
        <v>123</v>
      </c>
    </row>
    <row r="99" spans="1:33" s="51" customFormat="1" ht="12" customHeight="1" x14ac:dyDescent="0.15">
      <c r="A99" s="74"/>
      <c r="B99" s="34">
        <f t="shared" si="1"/>
        <v>93</v>
      </c>
      <c r="C99" s="127"/>
      <c r="D99" s="127"/>
      <c r="E99" s="60" t="s">
        <v>450</v>
      </c>
      <c r="F99" s="60" t="s">
        <v>477</v>
      </c>
      <c r="G99" s="60" t="s">
        <v>437</v>
      </c>
      <c r="H99" s="71" t="s">
        <v>137</v>
      </c>
      <c r="I99" s="71">
        <v>1</v>
      </c>
      <c r="J99" s="67" t="s">
        <v>230</v>
      </c>
      <c r="K99" s="71" t="s">
        <v>453</v>
      </c>
      <c r="L99" s="71"/>
      <c r="M99" s="71" t="s">
        <v>532</v>
      </c>
      <c r="N99" s="71" t="s">
        <v>382</v>
      </c>
      <c r="O99" s="71" t="s">
        <v>465</v>
      </c>
      <c r="P99" s="71" t="s">
        <v>369</v>
      </c>
      <c r="Q99" s="72" t="s">
        <v>456</v>
      </c>
      <c r="R99" s="72" t="s">
        <v>123</v>
      </c>
      <c r="S99" s="59" t="s">
        <v>123</v>
      </c>
      <c r="T99" s="59" t="s">
        <v>123</v>
      </c>
      <c r="U99" s="59" t="s">
        <v>123</v>
      </c>
      <c r="V99" s="59" t="s">
        <v>123</v>
      </c>
      <c r="W99" s="59" t="s">
        <v>123</v>
      </c>
      <c r="X99" s="59" t="s">
        <v>123</v>
      </c>
      <c r="Y99" s="59" t="s">
        <v>123</v>
      </c>
      <c r="Z99" s="59" t="s">
        <v>123</v>
      </c>
      <c r="AA99" s="59" t="s">
        <v>123</v>
      </c>
      <c r="AB99" s="59" t="s">
        <v>123</v>
      </c>
      <c r="AC99" s="59" t="s">
        <v>123</v>
      </c>
      <c r="AD99" s="59" t="s">
        <v>123</v>
      </c>
      <c r="AE99" s="59" t="s">
        <v>123</v>
      </c>
      <c r="AF99" s="59" t="s">
        <v>123</v>
      </c>
      <c r="AG99" s="59" t="s">
        <v>123</v>
      </c>
    </row>
    <row r="100" spans="1:33" s="51" customFormat="1" ht="12" customHeight="1" x14ac:dyDescent="0.15">
      <c r="A100" s="74"/>
      <c r="B100" s="34">
        <f t="shared" si="1"/>
        <v>94</v>
      </c>
      <c r="C100" s="127"/>
      <c r="D100" s="127"/>
      <c r="E100" s="60" t="s">
        <v>450</v>
      </c>
      <c r="F100" s="60" t="s">
        <v>478</v>
      </c>
      <c r="G100" s="60" t="s">
        <v>437</v>
      </c>
      <c r="H100" s="71" t="s">
        <v>137</v>
      </c>
      <c r="I100" s="71">
        <v>1</v>
      </c>
      <c r="J100" s="67" t="s">
        <v>230</v>
      </c>
      <c r="K100" s="71" t="s">
        <v>453</v>
      </c>
      <c r="L100" s="71"/>
      <c r="M100" s="71" t="s">
        <v>532</v>
      </c>
      <c r="N100" s="71" t="s">
        <v>382</v>
      </c>
      <c r="O100" s="71" t="s">
        <v>465</v>
      </c>
      <c r="P100" s="71" t="s">
        <v>369</v>
      </c>
      <c r="Q100" s="72" t="s">
        <v>456</v>
      </c>
      <c r="R100" s="72" t="s">
        <v>123</v>
      </c>
      <c r="S100" s="59" t="s">
        <v>123</v>
      </c>
      <c r="T100" s="59" t="s">
        <v>123</v>
      </c>
      <c r="U100" s="59" t="s">
        <v>123</v>
      </c>
      <c r="V100" s="59" t="s">
        <v>123</v>
      </c>
      <c r="W100" s="59" t="s">
        <v>123</v>
      </c>
      <c r="X100" s="59" t="s">
        <v>123</v>
      </c>
      <c r="Y100" s="59" t="s">
        <v>123</v>
      </c>
      <c r="Z100" s="59" t="s">
        <v>123</v>
      </c>
      <c r="AA100" s="59" t="s">
        <v>123</v>
      </c>
      <c r="AB100" s="59" t="s">
        <v>123</v>
      </c>
      <c r="AC100" s="59" t="s">
        <v>123</v>
      </c>
      <c r="AD100" s="59" t="s">
        <v>123</v>
      </c>
      <c r="AE100" s="59" t="s">
        <v>123</v>
      </c>
      <c r="AF100" s="59" t="s">
        <v>123</v>
      </c>
      <c r="AG100" s="59" t="s">
        <v>123</v>
      </c>
    </row>
    <row r="101" spans="1:33" s="51" customFormat="1" ht="12" customHeight="1" x14ac:dyDescent="0.15">
      <c r="A101" s="74"/>
      <c r="B101" s="34">
        <f t="shared" si="1"/>
        <v>95</v>
      </c>
      <c r="C101" s="127"/>
      <c r="D101" s="127"/>
      <c r="E101" s="65" t="s">
        <v>461</v>
      </c>
      <c r="F101" s="65" t="s">
        <v>464</v>
      </c>
      <c r="G101" s="52" t="s">
        <v>437</v>
      </c>
      <c r="H101" s="71" t="s">
        <v>137</v>
      </c>
      <c r="I101" s="71">
        <v>1</v>
      </c>
      <c r="J101" s="67" t="s">
        <v>230</v>
      </c>
      <c r="K101" s="71" t="s">
        <v>138</v>
      </c>
      <c r="L101" s="71"/>
      <c r="M101" s="71" t="s">
        <v>532</v>
      </c>
      <c r="N101" s="71" t="s">
        <v>382</v>
      </c>
      <c r="O101" s="71" t="s">
        <v>465</v>
      </c>
      <c r="P101" s="71" t="s">
        <v>369</v>
      </c>
      <c r="Q101" s="72" t="s">
        <v>193</v>
      </c>
      <c r="R101" s="72" t="s">
        <v>123</v>
      </c>
      <c r="S101" s="59" t="s">
        <v>123</v>
      </c>
      <c r="T101" s="59" t="s">
        <v>123</v>
      </c>
      <c r="U101" s="59" t="s">
        <v>123</v>
      </c>
      <c r="V101" s="59" t="s">
        <v>123</v>
      </c>
      <c r="W101" s="59" t="s">
        <v>123</v>
      </c>
      <c r="X101" s="59" t="s">
        <v>123</v>
      </c>
      <c r="Y101" s="59" t="s">
        <v>123</v>
      </c>
      <c r="Z101" s="59" t="s">
        <v>123</v>
      </c>
      <c r="AA101" s="59" t="s">
        <v>123</v>
      </c>
      <c r="AB101" s="59" t="s">
        <v>123</v>
      </c>
      <c r="AC101" s="59" t="s">
        <v>123</v>
      </c>
      <c r="AD101" s="59" t="s">
        <v>123</v>
      </c>
      <c r="AE101" s="59" t="s">
        <v>123</v>
      </c>
      <c r="AF101" s="59" t="s">
        <v>123</v>
      </c>
      <c r="AG101" s="59" t="s">
        <v>123</v>
      </c>
    </row>
    <row r="102" spans="1:33" s="51" customFormat="1" ht="12" customHeight="1" x14ac:dyDescent="0.15">
      <c r="A102" s="74"/>
      <c r="B102" s="34">
        <f t="shared" si="1"/>
        <v>96</v>
      </c>
      <c r="C102" s="127"/>
      <c r="D102" s="127"/>
      <c r="E102" s="65" t="s">
        <v>461</v>
      </c>
      <c r="F102" s="65" t="s">
        <v>466</v>
      </c>
      <c r="G102" s="52" t="s">
        <v>437</v>
      </c>
      <c r="H102" s="71" t="s">
        <v>137</v>
      </c>
      <c r="I102" s="71">
        <v>1</v>
      </c>
      <c r="J102" s="67" t="s">
        <v>230</v>
      </c>
      <c r="K102" s="71" t="s">
        <v>138</v>
      </c>
      <c r="L102" s="71"/>
      <c r="M102" s="71" t="s">
        <v>532</v>
      </c>
      <c r="N102" s="71" t="s">
        <v>382</v>
      </c>
      <c r="O102" s="71" t="s">
        <v>465</v>
      </c>
      <c r="P102" s="71" t="s">
        <v>369</v>
      </c>
      <c r="Q102" s="72" t="s">
        <v>193</v>
      </c>
      <c r="R102" s="72" t="s">
        <v>123</v>
      </c>
      <c r="S102" s="59" t="s">
        <v>123</v>
      </c>
      <c r="T102" s="59" t="s">
        <v>123</v>
      </c>
      <c r="U102" s="59" t="s">
        <v>123</v>
      </c>
      <c r="V102" s="59" t="s">
        <v>123</v>
      </c>
      <c r="W102" s="59" t="s">
        <v>123</v>
      </c>
      <c r="X102" s="59" t="s">
        <v>123</v>
      </c>
      <c r="Y102" s="59" t="s">
        <v>123</v>
      </c>
      <c r="Z102" s="59" t="s">
        <v>123</v>
      </c>
      <c r="AA102" s="59" t="s">
        <v>123</v>
      </c>
      <c r="AB102" s="59" t="s">
        <v>123</v>
      </c>
      <c r="AC102" s="59" t="s">
        <v>123</v>
      </c>
      <c r="AD102" s="59" t="s">
        <v>123</v>
      </c>
      <c r="AE102" s="59" t="s">
        <v>123</v>
      </c>
      <c r="AF102" s="59" t="s">
        <v>123</v>
      </c>
      <c r="AG102" s="59" t="s">
        <v>123</v>
      </c>
    </row>
    <row r="103" spans="1:33" s="51" customFormat="1" ht="12" customHeight="1" x14ac:dyDescent="0.15">
      <c r="A103" s="74"/>
      <c r="B103" s="34">
        <f t="shared" si="1"/>
        <v>97</v>
      </c>
      <c r="C103" s="127"/>
      <c r="D103" s="127"/>
      <c r="E103" s="65" t="s">
        <v>461</v>
      </c>
      <c r="F103" s="65" t="s">
        <v>467</v>
      </c>
      <c r="G103" s="52" t="s">
        <v>437</v>
      </c>
      <c r="H103" s="71" t="s">
        <v>137</v>
      </c>
      <c r="I103" s="71">
        <v>1</v>
      </c>
      <c r="J103" s="67" t="s">
        <v>230</v>
      </c>
      <c r="K103" s="71" t="s">
        <v>138</v>
      </c>
      <c r="L103" s="71"/>
      <c r="M103" s="71" t="s">
        <v>532</v>
      </c>
      <c r="N103" s="71" t="s">
        <v>382</v>
      </c>
      <c r="O103" s="71" t="s">
        <v>465</v>
      </c>
      <c r="P103" s="71" t="s">
        <v>369</v>
      </c>
      <c r="Q103" s="72" t="s">
        <v>193</v>
      </c>
      <c r="R103" s="72" t="s">
        <v>123</v>
      </c>
      <c r="S103" s="59" t="s">
        <v>123</v>
      </c>
      <c r="T103" s="59" t="s">
        <v>123</v>
      </c>
      <c r="U103" s="59" t="s">
        <v>123</v>
      </c>
      <c r="V103" s="59" t="s">
        <v>123</v>
      </c>
      <c r="W103" s="59" t="s">
        <v>123</v>
      </c>
      <c r="X103" s="59" t="s">
        <v>123</v>
      </c>
      <c r="Y103" s="59" t="s">
        <v>123</v>
      </c>
      <c r="Z103" s="59" t="s">
        <v>123</v>
      </c>
      <c r="AA103" s="59" t="s">
        <v>123</v>
      </c>
      <c r="AB103" s="59" t="s">
        <v>123</v>
      </c>
      <c r="AC103" s="59" t="s">
        <v>123</v>
      </c>
      <c r="AD103" s="59" t="s">
        <v>123</v>
      </c>
      <c r="AE103" s="59" t="s">
        <v>123</v>
      </c>
      <c r="AF103" s="59" t="s">
        <v>123</v>
      </c>
      <c r="AG103" s="59" t="s">
        <v>123</v>
      </c>
    </row>
    <row r="104" spans="1:33" s="51" customFormat="1" ht="12" customHeight="1" x14ac:dyDescent="0.15">
      <c r="A104" s="74"/>
      <c r="B104" s="34">
        <f t="shared" si="1"/>
        <v>98</v>
      </c>
      <c r="C104" s="127"/>
      <c r="D104" s="127"/>
      <c r="E104" s="65" t="s">
        <v>461</v>
      </c>
      <c r="F104" s="65" t="s">
        <v>468</v>
      </c>
      <c r="G104" s="52" t="s">
        <v>437</v>
      </c>
      <c r="H104" s="71" t="s">
        <v>137</v>
      </c>
      <c r="I104" s="71">
        <v>1</v>
      </c>
      <c r="J104" s="67" t="s">
        <v>230</v>
      </c>
      <c r="K104" s="71" t="s">
        <v>138</v>
      </c>
      <c r="L104" s="71"/>
      <c r="M104" s="71" t="s">
        <v>532</v>
      </c>
      <c r="N104" s="71" t="s">
        <v>382</v>
      </c>
      <c r="O104" s="71" t="s">
        <v>465</v>
      </c>
      <c r="P104" s="71" t="s">
        <v>369</v>
      </c>
      <c r="Q104" s="72" t="s">
        <v>193</v>
      </c>
      <c r="R104" s="72" t="s">
        <v>123</v>
      </c>
      <c r="S104" s="59" t="s">
        <v>123</v>
      </c>
      <c r="T104" s="59" t="s">
        <v>123</v>
      </c>
      <c r="U104" s="59" t="s">
        <v>123</v>
      </c>
      <c r="V104" s="59" t="s">
        <v>123</v>
      </c>
      <c r="W104" s="59" t="s">
        <v>123</v>
      </c>
      <c r="X104" s="59" t="s">
        <v>123</v>
      </c>
      <c r="Y104" s="59" t="s">
        <v>123</v>
      </c>
      <c r="Z104" s="59" t="s">
        <v>123</v>
      </c>
      <c r="AA104" s="59" t="s">
        <v>123</v>
      </c>
      <c r="AB104" s="59" t="s">
        <v>123</v>
      </c>
      <c r="AC104" s="59" t="s">
        <v>123</v>
      </c>
      <c r="AD104" s="59" t="s">
        <v>123</v>
      </c>
      <c r="AE104" s="59" t="s">
        <v>123</v>
      </c>
      <c r="AF104" s="59" t="s">
        <v>123</v>
      </c>
      <c r="AG104" s="59" t="s">
        <v>123</v>
      </c>
    </row>
    <row r="105" spans="1:33" s="51" customFormat="1" ht="12" customHeight="1" x14ac:dyDescent="0.15">
      <c r="A105" s="74"/>
      <c r="B105" s="34">
        <f t="shared" si="1"/>
        <v>99</v>
      </c>
      <c r="C105" s="127"/>
      <c r="D105" s="127"/>
      <c r="E105" s="65" t="s">
        <v>461</v>
      </c>
      <c r="F105" s="65" t="s">
        <v>469</v>
      </c>
      <c r="G105" s="52" t="s">
        <v>437</v>
      </c>
      <c r="H105" s="71" t="s">
        <v>137</v>
      </c>
      <c r="I105" s="71">
        <v>1</v>
      </c>
      <c r="J105" s="67" t="s">
        <v>230</v>
      </c>
      <c r="K105" s="71" t="s">
        <v>138</v>
      </c>
      <c r="L105" s="71"/>
      <c r="M105" s="71" t="s">
        <v>532</v>
      </c>
      <c r="N105" s="71" t="s">
        <v>382</v>
      </c>
      <c r="O105" s="71" t="s">
        <v>465</v>
      </c>
      <c r="P105" s="71" t="s">
        <v>369</v>
      </c>
      <c r="Q105" s="72" t="s">
        <v>193</v>
      </c>
      <c r="R105" s="72" t="s">
        <v>123</v>
      </c>
      <c r="S105" s="59" t="s">
        <v>123</v>
      </c>
      <c r="T105" s="59" t="s">
        <v>123</v>
      </c>
      <c r="U105" s="59" t="s">
        <v>123</v>
      </c>
      <c r="V105" s="59" t="s">
        <v>123</v>
      </c>
      <c r="W105" s="59" t="s">
        <v>123</v>
      </c>
      <c r="X105" s="59" t="s">
        <v>123</v>
      </c>
      <c r="Y105" s="59" t="s">
        <v>123</v>
      </c>
      <c r="Z105" s="59" t="s">
        <v>123</v>
      </c>
      <c r="AA105" s="59" t="s">
        <v>123</v>
      </c>
      <c r="AB105" s="59" t="s">
        <v>123</v>
      </c>
      <c r="AC105" s="59" t="s">
        <v>123</v>
      </c>
      <c r="AD105" s="59" t="s">
        <v>123</v>
      </c>
      <c r="AE105" s="59" t="s">
        <v>123</v>
      </c>
      <c r="AF105" s="59" t="s">
        <v>123</v>
      </c>
      <c r="AG105" s="59" t="s">
        <v>123</v>
      </c>
    </row>
    <row r="106" spans="1:33" s="51" customFormat="1" ht="12" customHeight="1" x14ac:dyDescent="0.15">
      <c r="A106" s="74"/>
      <c r="B106" s="34">
        <f t="shared" si="1"/>
        <v>100</v>
      </c>
      <c r="C106" s="127"/>
      <c r="D106" s="127"/>
      <c r="E106" s="65" t="s">
        <v>461</v>
      </c>
      <c r="F106" s="65" t="s">
        <v>470</v>
      </c>
      <c r="G106" s="52" t="s">
        <v>437</v>
      </c>
      <c r="H106" s="71" t="s">
        <v>137</v>
      </c>
      <c r="I106" s="71">
        <v>1</v>
      </c>
      <c r="J106" s="67" t="s">
        <v>230</v>
      </c>
      <c r="K106" s="71" t="s">
        <v>138</v>
      </c>
      <c r="L106" s="71"/>
      <c r="M106" s="71" t="s">
        <v>532</v>
      </c>
      <c r="N106" s="71" t="s">
        <v>382</v>
      </c>
      <c r="O106" s="71" t="s">
        <v>465</v>
      </c>
      <c r="P106" s="71" t="s">
        <v>369</v>
      </c>
      <c r="Q106" s="72" t="s">
        <v>193</v>
      </c>
      <c r="R106" s="72" t="s">
        <v>123</v>
      </c>
      <c r="S106" s="59" t="s">
        <v>123</v>
      </c>
      <c r="T106" s="59" t="s">
        <v>123</v>
      </c>
      <c r="U106" s="59" t="s">
        <v>123</v>
      </c>
      <c r="V106" s="59" t="s">
        <v>123</v>
      </c>
      <c r="W106" s="59" t="s">
        <v>123</v>
      </c>
      <c r="X106" s="59" t="s">
        <v>123</v>
      </c>
      <c r="Y106" s="59" t="s">
        <v>123</v>
      </c>
      <c r="Z106" s="59" t="s">
        <v>123</v>
      </c>
      <c r="AA106" s="59" t="s">
        <v>123</v>
      </c>
      <c r="AB106" s="59" t="s">
        <v>123</v>
      </c>
      <c r="AC106" s="59" t="s">
        <v>123</v>
      </c>
      <c r="AD106" s="59" t="s">
        <v>123</v>
      </c>
      <c r="AE106" s="59" t="s">
        <v>123</v>
      </c>
      <c r="AF106" s="59" t="s">
        <v>123</v>
      </c>
      <c r="AG106" s="59" t="s">
        <v>123</v>
      </c>
    </row>
    <row r="107" spans="1:33" s="51" customFormat="1" ht="12" customHeight="1" x14ac:dyDescent="0.15">
      <c r="A107" s="74"/>
      <c r="B107" s="34">
        <f t="shared" si="1"/>
        <v>101</v>
      </c>
      <c r="C107" s="127"/>
      <c r="D107" s="127"/>
      <c r="E107" s="65" t="s">
        <v>461</v>
      </c>
      <c r="F107" s="65" t="s">
        <v>471</v>
      </c>
      <c r="G107" s="52" t="s">
        <v>437</v>
      </c>
      <c r="H107" s="71" t="s">
        <v>137</v>
      </c>
      <c r="I107" s="71">
        <v>1</v>
      </c>
      <c r="J107" s="67" t="s">
        <v>230</v>
      </c>
      <c r="K107" s="71" t="s">
        <v>138</v>
      </c>
      <c r="L107" s="71"/>
      <c r="M107" s="71" t="s">
        <v>532</v>
      </c>
      <c r="N107" s="71" t="s">
        <v>382</v>
      </c>
      <c r="O107" s="71" t="s">
        <v>465</v>
      </c>
      <c r="P107" s="71" t="s">
        <v>369</v>
      </c>
      <c r="Q107" s="72" t="s">
        <v>193</v>
      </c>
      <c r="R107" s="72" t="s">
        <v>123</v>
      </c>
      <c r="S107" s="59" t="s">
        <v>123</v>
      </c>
      <c r="T107" s="59" t="s">
        <v>123</v>
      </c>
      <c r="U107" s="59" t="s">
        <v>123</v>
      </c>
      <c r="V107" s="59" t="s">
        <v>123</v>
      </c>
      <c r="W107" s="59" t="s">
        <v>123</v>
      </c>
      <c r="X107" s="59" t="s">
        <v>123</v>
      </c>
      <c r="Y107" s="59" t="s">
        <v>123</v>
      </c>
      <c r="Z107" s="59" t="s">
        <v>123</v>
      </c>
      <c r="AA107" s="59" t="s">
        <v>123</v>
      </c>
      <c r="AB107" s="59" t="s">
        <v>123</v>
      </c>
      <c r="AC107" s="59" t="s">
        <v>123</v>
      </c>
      <c r="AD107" s="59" t="s">
        <v>123</v>
      </c>
      <c r="AE107" s="59" t="s">
        <v>123</v>
      </c>
      <c r="AF107" s="59" t="s">
        <v>123</v>
      </c>
      <c r="AG107" s="59" t="s">
        <v>123</v>
      </c>
    </row>
    <row r="108" spans="1:33" s="51" customFormat="1" ht="12" customHeight="1" x14ac:dyDescent="0.15">
      <c r="A108" s="74"/>
      <c r="B108" s="34">
        <f t="shared" si="1"/>
        <v>102</v>
      </c>
      <c r="C108" s="127"/>
      <c r="D108" s="127"/>
      <c r="E108" s="65" t="s">
        <v>461</v>
      </c>
      <c r="F108" s="65" t="s">
        <v>472</v>
      </c>
      <c r="G108" s="52" t="s">
        <v>437</v>
      </c>
      <c r="H108" s="71" t="s">
        <v>137</v>
      </c>
      <c r="I108" s="71">
        <v>1</v>
      </c>
      <c r="J108" s="67" t="s">
        <v>230</v>
      </c>
      <c r="K108" s="71" t="s">
        <v>138</v>
      </c>
      <c r="L108" s="71"/>
      <c r="M108" s="71" t="s">
        <v>532</v>
      </c>
      <c r="N108" s="71" t="s">
        <v>382</v>
      </c>
      <c r="O108" s="71" t="s">
        <v>465</v>
      </c>
      <c r="P108" s="71" t="s">
        <v>369</v>
      </c>
      <c r="Q108" s="72" t="s">
        <v>193</v>
      </c>
      <c r="R108" s="72" t="s">
        <v>123</v>
      </c>
      <c r="S108" s="59" t="s">
        <v>123</v>
      </c>
      <c r="T108" s="59" t="s">
        <v>123</v>
      </c>
      <c r="U108" s="59" t="s">
        <v>123</v>
      </c>
      <c r="V108" s="59" t="s">
        <v>123</v>
      </c>
      <c r="W108" s="59" t="s">
        <v>123</v>
      </c>
      <c r="X108" s="59" t="s">
        <v>123</v>
      </c>
      <c r="Y108" s="59" t="s">
        <v>123</v>
      </c>
      <c r="Z108" s="59" t="s">
        <v>123</v>
      </c>
      <c r="AA108" s="59" t="s">
        <v>123</v>
      </c>
      <c r="AB108" s="59" t="s">
        <v>123</v>
      </c>
      <c r="AC108" s="59" t="s">
        <v>123</v>
      </c>
      <c r="AD108" s="59" t="s">
        <v>123</v>
      </c>
      <c r="AE108" s="59" t="s">
        <v>123</v>
      </c>
      <c r="AF108" s="59" t="s">
        <v>123</v>
      </c>
      <c r="AG108" s="59" t="s">
        <v>123</v>
      </c>
    </row>
    <row r="109" spans="1:33" s="51" customFormat="1" ht="12" customHeight="1" x14ac:dyDescent="0.15">
      <c r="A109" s="74"/>
      <c r="B109" s="34">
        <f t="shared" si="1"/>
        <v>103</v>
      </c>
      <c r="C109" s="127"/>
      <c r="D109" s="127"/>
      <c r="E109" s="65" t="s">
        <v>461</v>
      </c>
      <c r="F109" s="65" t="s">
        <v>473</v>
      </c>
      <c r="G109" s="52" t="s">
        <v>437</v>
      </c>
      <c r="H109" s="71" t="s">
        <v>137</v>
      </c>
      <c r="I109" s="71">
        <v>1</v>
      </c>
      <c r="J109" s="67" t="s">
        <v>230</v>
      </c>
      <c r="K109" s="71" t="s">
        <v>138</v>
      </c>
      <c r="L109" s="71"/>
      <c r="M109" s="71" t="s">
        <v>532</v>
      </c>
      <c r="N109" s="71" t="s">
        <v>382</v>
      </c>
      <c r="O109" s="71" t="s">
        <v>465</v>
      </c>
      <c r="P109" s="71" t="s">
        <v>369</v>
      </c>
      <c r="Q109" s="72" t="s">
        <v>193</v>
      </c>
      <c r="R109" s="72" t="s">
        <v>123</v>
      </c>
      <c r="S109" s="59" t="s">
        <v>123</v>
      </c>
      <c r="T109" s="59" t="s">
        <v>123</v>
      </c>
      <c r="U109" s="59" t="s">
        <v>123</v>
      </c>
      <c r="V109" s="59" t="s">
        <v>123</v>
      </c>
      <c r="W109" s="59" t="s">
        <v>123</v>
      </c>
      <c r="X109" s="59" t="s">
        <v>123</v>
      </c>
      <c r="Y109" s="59" t="s">
        <v>123</v>
      </c>
      <c r="Z109" s="59" t="s">
        <v>123</v>
      </c>
      <c r="AA109" s="59" t="s">
        <v>123</v>
      </c>
      <c r="AB109" s="59" t="s">
        <v>123</v>
      </c>
      <c r="AC109" s="59" t="s">
        <v>123</v>
      </c>
      <c r="AD109" s="59" t="s">
        <v>123</v>
      </c>
      <c r="AE109" s="59" t="s">
        <v>123</v>
      </c>
      <c r="AF109" s="59" t="s">
        <v>123</v>
      </c>
      <c r="AG109" s="59" t="s">
        <v>123</v>
      </c>
    </row>
    <row r="110" spans="1:33" s="51" customFormat="1" ht="12" customHeight="1" x14ac:dyDescent="0.15">
      <c r="A110" s="74"/>
      <c r="B110" s="34">
        <f t="shared" si="1"/>
        <v>104</v>
      </c>
      <c r="C110" s="127"/>
      <c r="D110" s="127"/>
      <c r="E110" s="65" t="s">
        <v>461</v>
      </c>
      <c r="F110" s="65" t="s">
        <v>474</v>
      </c>
      <c r="G110" s="52" t="s">
        <v>437</v>
      </c>
      <c r="H110" s="71" t="s">
        <v>137</v>
      </c>
      <c r="I110" s="71">
        <v>1</v>
      </c>
      <c r="J110" s="67" t="s">
        <v>230</v>
      </c>
      <c r="K110" s="71" t="s">
        <v>138</v>
      </c>
      <c r="L110" s="71"/>
      <c r="M110" s="71" t="s">
        <v>532</v>
      </c>
      <c r="N110" s="71" t="s">
        <v>382</v>
      </c>
      <c r="O110" s="71" t="s">
        <v>465</v>
      </c>
      <c r="P110" s="71" t="s">
        <v>369</v>
      </c>
      <c r="Q110" s="72" t="s">
        <v>193</v>
      </c>
      <c r="R110" s="72" t="s">
        <v>123</v>
      </c>
      <c r="S110" s="59" t="s">
        <v>123</v>
      </c>
      <c r="T110" s="59" t="s">
        <v>123</v>
      </c>
      <c r="U110" s="59" t="s">
        <v>123</v>
      </c>
      <c r="V110" s="59" t="s">
        <v>123</v>
      </c>
      <c r="W110" s="59" t="s">
        <v>123</v>
      </c>
      <c r="X110" s="59" t="s">
        <v>123</v>
      </c>
      <c r="Y110" s="59" t="s">
        <v>123</v>
      </c>
      <c r="Z110" s="59" t="s">
        <v>123</v>
      </c>
      <c r="AA110" s="59" t="s">
        <v>123</v>
      </c>
      <c r="AB110" s="59" t="s">
        <v>123</v>
      </c>
      <c r="AC110" s="59" t="s">
        <v>123</v>
      </c>
      <c r="AD110" s="59" t="s">
        <v>123</v>
      </c>
      <c r="AE110" s="59" t="s">
        <v>123</v>
      </c>
      <c r="AF110" s="59" t="s">
        <v>123</v>
      </c>
      <c r="AG110" s="59" t="s">
        <v>123</v>
      </c>
    </row>
    <row r="111" spans="1:33" s="51" customFormat="1" ht="12" customHeight="1" x14ac:dyDescent="0.15">
      <c r="A111" s="74"/>
      <c r="B111" s="34">
        <f t="shared" si="1"/>
        <v>105</v>
      </c>
      <c r="C111" s="127"/>
      <c r="D111" s="127"/>
      <c r="E111" s="65" t="s">
        <v>461</v>
      </c>
      <c r="F111" s="65" t="s">
        <v>475</v>
      </c>
      <c r="G111" s="52" t="s">
        <v>437</v>
      </c>
      <c r="H111" s="71" t="s">
        <v>137</v>
      </c>
      <c r="I111" s="71">
        <v>1</v>
      </c>
      <c r="J111" s="67" t="s">
        <v>230</v>
      </c>
      <c r="K111" s="71" t="s">
        <v>138</v>
      </c>
      <c r="L111" s="71"/>
      <c r="M111" s="71" t="s">
        <v>532</v>
      </c>
      <c r="N111" s="71" t="s">
        <v>382</v>
      </c>
      <c r="O111" s="71" t="s">
        <v>465</v>
      </c>
      <c r="P111" s="71" t="s">
        <v>369</v>
      </c>
      <c r="Q111" s="72" t="s">
        <v>193</v>
      </c>
      <c r="R111" s="72" t="s">
        <v>123</v>
      </c>
      <c r="S111" s="59" t="s">
        <v>123</v>
      </c>
      <c r="T111" s="59" t="s">
        <v>123</v>
      </c>
      <c r="U111" s="59" t="s">
        <v>123</v>
      </c>
      <c r="V111" s="59" t="s">
        <v>123</v>
      </c>
      <c r="W111" s="59" t="s">
        <v>123</v>
      </c>
      <c r="X111" s="59" t="s">
        <v>123</v>
      </c>
      <c r="Y111" s="59" t="s">
        <v>123</v>
      </c>
      <c r="Z111" s="59" t="s">
        <v>123</v>
      </c>
      <c r="AA111" s="59" t="s">
        <v>123</v>
      </c>
      <c r="AB111" s="59" t="s">
        <v>123</v>
      </c>
      <c r="AC111" s="59" t="s">
        <v>123</v>
      </c>
      <c r="AD111" s="59" t="s">
        <v>123</v>
      </c>
      <c r="AE111" s="59" t="s">
        <v>123</v>
      </c>
      <c r="AF111" s="59" t="s">
        <v>123</v>
      </c>
      <c r="AG111" s="59" t="s">
        <v>123</v>
      </c>
    </row>
    <row r="112" spans="1:33" s="51" customFormat="1" ht="12" customHeight="1" x14ac:dyDescent="0.15">
      <c r="A112" s="74"/>
      <c r="B112" s="34">
        <f t="shared" si="1"/>
        <v>106</v>
      </c>
      <c r="C112" s="127"/>
      <c r="D112" s="127"/>
      <c r="E112" s="60" t="s">
        <v>462</v>
      </c>
      <c r="F112" s="60" t="s">
        <v>476</v>
      </c>
      <c r="G112" s="60" t="s">
        <v>437</v>
      </c>
      <c r="H112" s="71" t="s">
        <v>137</v>
      </c>
      <c r="I112" s="71">
        <v>1</v>
      </c>
      <c r="J112" s="67" t="s">
        <v>230</v>
      </c>
      <c r="K112" s="71" t="s">
        <v>453</v>
      </c>
      <c r="L112" s="71"/>
      <c r="M112" s="71" t="s">
        <v>532</v>
      </c>
      <c r="N112" s="71" t="s">
        <v>382</v>
      </c>
      <c r="O112" s="71" t="s">
        <v>465</v>
      </c>
      <c r="P112" s="71" t="s">
        <v>369</v>
      </c>
      <c r="Q112" s="72" t="s">
        <v>456</v>
      </c>
      <c r="R112" s="72" t="s">
        <v>123</v>
      </c>
      <c r="S112" s="59" t="s">
        <v>123</v>
      </c>
      <c r="T112" s="59" t="s">
        <v>123</v>
      </c>
      <c r="U112" s="59" t="s">
        <v>123</v>
      </c>
      <c r="V112" s="59" t="s">
        <v>123</v>
      </c>
      <c r="W112" s="59" t="s">
        <v>123</v>
      </c>
      <c r="X112" s="59" t="s">
        <v>123</v>
      </c>
      <c r="Y112" s="59" t="s">
        <v>123</v>
      </c>
      <c r="Z112" s="59" t="s">
        <v>123</v>
      </c>
      <c r="AA112" s="59" t="s">
        <v>123</v>
      </c>
      <c r="AB112" s="59" t="s">
        <v>123</v>
      </c>
      <c r="AC112" s="59" t="s">
        <v>123</v>
      </c>
      <c r="AD112" s="59" t="s">
        <v>123</v>
      </c>
      <c r="AE112" s="59" t="s">
        <v>123</v>
      </c>
      <c r="AF112" s="59" t="s">
        <v>123</v>
      </c>
      <c r="AG112" s="59" t="s">
        <v>123</v>
      </c>
    </row>
    <row r="113" spans="1:33" s="51" customFormat="1" ht="12" customHeight="1" x14ac:dyDescent="0.15">
      <c r="A113" s="74"/>
      <c r="B113" s="34">
        <f t="shared" si="1"/>
        <v>107</v>
      </c>
      <c r="C113" s="127"/>
      <c r="D113" s="127"/>
      <c r="E113" s="60" t="s">
        <v>462</v>
      </c>
      <c r="F113" s="60" t="s">
        <v>477</v>
      </c>
      <c r="G113" s="60" t="s">
        <v>437</v>
      </c>
      <c r="H113" s="71" t="s">
        <v>137</v>
      </c>
      <c r="I113" s="71">
        <v>1</v>
      </c>
      <c r="J113" s="67" t="s">
        <v>230</v>
      </c>
      <c r="K113" s="71" t="s">
        <v>453</v>
      </c>
      <c r="L113" s="71"/>
      <c r="M113" s="71" t="s">
        <v>532</v>
      </c>
      <c r="N113" s="71" t="s">
        <v>382</v>
      </c>
      <c r="O113" s="71" t="s">
        <v>465</v>
      </c>
      <c r="P113" s="71" t="s">
        <v>369</v>
      </c>
      <c r="Q113" s="72" t="s">
        <v>456</v>
      </c>
      <c r="R113" s="72" t="s">
        <v>123</v>
      </c>
      <c r="S113" s="59" t="s">
        <v>123</v>
      </c>
      <c r="T113" s="59" t="s">
        <v>123</v>
      </c>
      <c r="U113" s="59" t="s">
        <v>123</v>
      </c>
      <c r="V113" s="59" t="s">
        <v>123</v>
      </c>
      <c r="W113" s="59" t="s">
        <v>123</v>
      </c>
      <c r="X113" s="59" t="s">
        <v>123</v>
      </c>
      <c r="Y113" s="59" t="s">
        <v>123</v>
      </c>
      <c r="Z113" s="59" t="s">
        <v>123</v>
      </c>
      <c r="AA113" s="59" t="s">
        <v>123</v>
      </c>
      <c r="AB113" s="59" t="s">
        <v>123</v>
      </c>
      <c r="AC113" s="59" t="s">
        <v>123</v>
      </c>
      <c r="AD113" s="59" t="s">
        <v>123</v>
      </c>
      <c r="AE113" s="59" t="s">
        <v>123</v>
      </c>
      <c r="AF113" s="59" t="s">
        <v>123</v>
      </c>
      <c r="AG113" s="59" t="s">
        <v>123</v>
      </c>
    </row>
    <row r="114" spans="1:33" s="51" customFormat="1" ht="12" customHeight="1" x14ac:dyDescent="0.15">
      <c r="A114" s="74"/>
      <c r="B114" s="34">
        <f t="shared" si="1"/>
        <v>108</v>
      </c>
      <c r="C114" s="127"/>
      <c r="D114" s="128"/>
      <c r="E114" s="60" t="s">
        <v>462</v>
      </c>
      <c r="F114" s="60" t="s">
        <v>478</v>
      </c>
      <c r="G114" s="60" t="s">
        <v>437</v>
      </c>
      <c r="H114" s="71" t="s">
        <v>137</v>
      </c>
      <c r="I114" s="71">
        <v>1</v>
      </c>
      <c r="J114" s="67" t="s">
        <v>230</v>
      </c>
      <c r="K114" s="71" t="s">
        <v>453</v>
      </c>
      <c r="L114" s="71"/>
      <c r="M114" s="71" t="s">
        <v>532</v>
      </c>
      <c r="N114" s="71" t="s">
        <v>382</v>
      </c>
      <c r="O114" s="71" t="s">
        <v>465</v>
      </c>
      <c r="P114" s="71" t="s">
        <v>369</v>
      </c>
      <c r="Q114" s="72" t="s">
        <v>456</v>
      </c>
      <c r="R114" s="72" t="s">
        <v>123</v>
      </c>
      <c r="S114" s="59" t="s">
        <v>123</v>
      </c>
      <c r="T114" s="59" t="s">
        <v>123</v>
      </c>
      <c r="U114" s="59" t="s">
        <v>123</v>
      </c>
      <c r="V114" s="59" t="s">
        <v>123</v>
      </c>
      <c r="W114" s="59" t="s">
        <v>123</v>
      </c>
      <c r="X114" s="59" t="s">
        <v>123</v>
      </c>
      <c r="Y114" s="59" t="s">
        <v>123</v>
      </c>
      <c r="Z114" s="59" t="s">
        <v>123</v>
      </c>
      <c r="AA114" s="59" t="s">
        <v>123</v>
      </c>
      <c r="AB114" s="59" t="s">
        <v>123</v>
      </c>
      <c r="AC114" s="59" t="s">
        <v>123</v>
      </c>
      <c r="AD114" s="59" t="s">
        <v>123</v>
      </c>
      <c r="AE114" s="59" t="s">
        <v>123</v>
      </c>
      <c r="AF114" s="59" t="s">
        <v>123</v>
      </c>
      <c r="AG114" s="59" t="s">
        <v>123</v>
      </c>
    </row>
    <row r="115" spans="1:33" s="63" customFormat="1" ht="12" customHeight="1" x14ac:dyDescent="0.2">
      <c r="A115" s="75"/>
      <c r="B115" s="34">
        <f t="shared" si="1"/>
        <v>109</v>
      </c>
      <c r="C115" s="127"/>
      <c r="D115" s="126" t="s">
        <v>479</v>
      </c>
      <c r="E115" s="65" t="s">
        <v>435</v>
      </c>
      <c r="F115" s="65" t="s">
        <v>480</v>
      </c>
      <c r="G115" s="52" t="s">
        <v>437</v>
      </c>
      <c r="H115" s="71" t="s">
        <v>137</v>
      </c>
      <c r="I115" s="71">
        <v>1</v>
      </c>
      <c r="J115" s="67" t="s">
        <v>230</v>
      </c>
      <c r="K115" s="71" t="s">
        <v>138</v>
      </c>
      <c r="L115" s="71"/>
      <c r="M115" s="71" t="s">
        <v>532</v>
      </c>
      <c r="N115" s="71" t="s">
        <v>382</v>
      </c>
      <c r="O115" s="71" t="s">
        <v>465</v>
      </c>
      <c r="P115" s="71" t="s">
        <v>369</v>
      </c>
      <c r="Q115" s="72" t="s">
        <v>193</v>
      </c>
      <c r="R115" s="72" t="s">
        <v>123</v>
      </c>
      <c r="S115" s="59" t="s">
        <v>123</v>
      </c>
      <c r="T115" s="59" t="s">
        <v>123</v>
      </c>
      <c r="U115" s="59" t="s">
        <v>123</v>
      </c>
      <c r="V115" s="59" t="s">
        <v>123</v>
      </c>
      <c r="W115" s="59" t="s">
        <v>123</v>
      </c>
      <c r="X115" s="59" t="s">
        <v>123</v>
      </c>
      <c r="Y115" s="59" t="s">
        <v>145</v>
      </c>
      <c r="Z115" s="59" t="s">
        <v>145</v>
      </c>
      <c r="AA115" s="59" t="s">
        <v>145</v>
      </c>
      <c r="AB115" s="59" t="s">
        <v>145</v>
      </c>
      <c r="AC115" s="59" t="s">
        <v>123</v>
      </c>
      <c r="AD115" s="59" t="s">
        <v>123</v>
      </c>
      <c r="AE115" s="59" t="s">
        <v>123</v>
      </c>
      <c r="AF115" s="59" t="s">
        <v>123</v>
      </c>
      <c r="AG115" s="59" t="s">
        <v>123</v>
      </c>
    </row>
    <row r="116" spans="1:33" s="63" customFormat="1" ht="12" customHeight="1" x14ac:dyDescent="0.2">
      <c r="A116" s="75"/>
      <c r="B116" s="34">
        <f t="shared" si="1"/>
        <v>110</v>
      </c>
      <c r="C116" s="127"/>
      <c r="D116" s="128"/>
      <c r="E116" s="65" t="s">
        <v>461</v>
      </c>
      <c r="F116" s="65" t="s">
        <v>480</v>
      </c>
      <c r="G116" s="52" t="s">
        <v>437</v>
      </c>
      <c r="H116" s="71" t="s">
        <v>137</v>
      </c>
      <c r="I116" s="71">
        <v>1</v>
      </c>
      <c r="J116" s="67" t="s">
        <v>230</v>
      </c>
      <c r="K116" s="71" t="s">
        <v>138</v>
      </c>
      <c r="L116" s="71"/>
      <c r="M116" s="71" t="s">
        <v>532</v>
      </c>
      <c r="N116" s="71" t="s">
        <v>382</v>
      </c>
      <c r="O116" s="71" t="s">
        <v>465</v>
      </c>
      <c r="P116" s="71" t="s">
        <v>369</v>
      </c>
      <c r="Q116" s="72" t="s">
        <v>193</v>
      </c>
      <c r="R116" s="72" t="s">
        <v>123</v>
      </c>
      <c r="S116" s="59" t="s">
        <v>123</v>
      </c>
      <c r="T116" s="59" t="s">
        <v>123</v>
      </c>
      <c r="U116" s="59" t="s">
        <v>123</v>
      </c>
      <c r="V116" s="59" t="s">
        <v>123</v>
      </c>
      <c r="W116" s="59" t="s">
        <v>123</v>
      </c>
      <c r="X116" s="59" t="s">
        <v>123</v>
      </c>
      <c r="Y116" s="59" t="s">
        <v>123</v>
      </c>
      <c r="Z116" s="59" t="s">
        <v>123</v>
      </c>
      <c r="AA116" s="59" t="s">
        <v>123</v>
      </c>
      <c r="AB116" s="59" t="s">
        <v>123</v>
      </c>
      <c r="AC116" s="59" t="s">
        <v>123</v>
      </c>
      <c r="AD116" s="59" t="s">
        <v>123</v>
      </c>
      <c r="AE116" s="59" t="s">
        <v>123</v>
      </c>
      <c r="AF116" s="59" t="s">
        <v>123</v>
      </c>
      <c r="AG116" s="59" t="s">
        <v>145</v>
      </c>
    </row>
    <row r="117" spans="1:33" s="51" customFormat="1" ht="12" customHeight="1" x14ac:dyDescent="0.15">
      <c r="A117" s="74"/>
      <c r="B117" s="34">
        <f t="shared" si="1"/>
        <v>111</v>
      </c>
      <c r="C117" s="127"/>
      <c r="D117" s="129" t="s">
        <v>481</v>
      </c>
      <c r="E117" s="65" t="s">
        <v>482</v>
      </c>
      <c r="F117" s="65" t="s">
        <v>483</v>
      </c>
      <c r="G117" s="52" t="s">
        <v>380</v>
      </c>
      <c r="H117" s="73" t="s">
        <v>381</v>
      </c>
      <c r="I117" s="73">
        <v>10</v>
      </c>
      <c r="J117" s="67" t="s">
        <v>230</v>
      </c>
      <c r="K117" s="71" t="s">
        <v>138</v>
      </c>
      <c r="L117" s="71"/>
      <c r="M117" s="71" t="s">
        <v>532</v>
      </c>
      <c r="N117" s="71" t="s">
        <v>382</v>
      </c>
      <c r="O117" s="71" t="s">
        <v>465</v>
      </c>
      <c r="P117" s="71" t="s">
        <v>369</v>
      </c>
      <c r="Q117" s="72" t="s">
        <v>193</v>
      </c>
      <c r="R117" s="72" t="s">
        <v>123</v>
      </c>
      <c r="S117" s="59" t="s">
        <v>123</v>
      </c>
      <c r="T117" s="59" t="s">
        <v>123</v>
      </c>
      <c r="U117" s="59" t="s">
        <v>123</v>
      </c>
      <c r="V117" s="59" t="s">
        <v>123</v>
      </c>
      <c r="W117" s="59" t="s">
        <v>123</v>
      </c>
      <c r="X117" s="59" t="s">
        <v>123</v>
      </c>
      <c r="Y117" s="59" t="s">
        <v>145</v>
      </c>
      <c r="Z117" s="59" t="s">
        <v>145</v>
      </c>
      <c r="AA117" s="59" t="s">
        <v>145</v>
      </c>
      <c r="AB117" s="59" t="s">
        <v>145</v>
      </c>
      <c r="AC117" s="59" t="s">
        <v>123</v>
      </c>
      <c r="AD117" s="59" t="s">
        <v>123</v>
      </c>
      <c r="AE117" s="59" t="s">
        <v>123</v>
      </c>
      <c r="AF117" s="59" t="s">
        <v>123</v>
      </c>
      <c r="AG117" s="59" t="s">
        <v>123</v>
      </c>
    </row>
    <row r="118" spans="1:33" s="51" customFormat="1" ht="12" customHeight="1" x14ac:dyDescent="0.15">
      <c r="A118" s="74"/>
      <c r="B118" s="34">
        <f t="shared" si="1"/>
        <v>112</v>
      </c>
      <c r="C118" s="127"/>
      <c r="D118" s="131"/>
      <c r="E118" s="65" t="s">
        <v>484</v>
      </c>
      <c r="F118" s="65" t="s">
        <v>483</v>
      </c>
      <c r="G118" s="52" t="s">
        <v>380</v>
      </c>
      <c r="H118" s="73" t="s">
        <v>381</v>
      </c>
      <c r="I118" s="73">
        <v>10</v>
      </c>
      <c r="J118" s="67" t="s">
        <v>230</v>
      </c>
      <c r="K118" s="71" t="s">
        <v>138</v>
      </c>
      <c r="L118" s="71"/>
      <c r="M118" s="71" t="s">
        <v>532</v>
      </c>
      <c r="N118" s="71" t="s">
        <v>382</v>
      </c>
      <c r="O118" s="71" t="s">
        <v>465</v>
      </c>
      <c r="P118" s="71" t="s">
        <v>369</v>
      </c>
      <c r="Q118" s="72" t="s">
        <v>193</v>
      </c>
      <c r="R118" s="72" t="s">
        <v>123</v>
      </c>
      <c r="S118" s="59" t="s">
        <v>123</v>
      </c>
      <c r="T118" s="59" t="s">
        <v>123</v>
      </c>
      <c r="U118" s="59" t="s">
        <v>123</v>
      </c>
      <c r="V118" s="59" t="s">
        <v>123</v>
      </c>
      <c r="W118" s="59" t="s">
        <v>123</v>
      </c>
      <c r="X118" s="59" t="s">
        <v>123</v>
      </c>
      <c r="Y118" s="59" t="s">
        <v>123</v>
      </c>
      <c r="Z118" s="59" t="s">
        <v>123</v>
      </c>
      <c r="AA118" s="59" t="s">
        <v>123</v>
      </c>
      <c r="AB118" s="59" t="s">
        <v>123</v>
      </c>
      <c r="AC118" s="59" t="s">
        <v>123</v>
      </c>
      <c r="AD118" s="59" t="s">
        <v>123</v>
      </c>
      <c r="AE118" s="59" t="s">
        <v>123</v>
      </c>
      <c r="AF118" s="59" t="s">
        <v>123</v>
      </c>
      <c r="AG118" s="59" t="s">
        <v>145</v>
      </c>
    </row>
    <row r="119" spans="1:33" s="51" customFormat="1" ht="12" customHeight="1" x14ac:dyDescent="0.15">
      <c r="A119" s="74"/>
      <c r="B119" s="34">
        <f t="shared" si="1"/>
        <v>113</v>
      </c>
      <c r="C119" s="127"/>
      <c r="D119" s="129" t="s">
        <v>485</v>
      </c>
      <c r="E119" s="65" t="s">
        <v>482</v>
      </c>
      <c r="F119" s="65" t="s">
        <v>486</v>
      </c>
      <c r="G119" s="52" t="s">
        <v>380</v>
      </c>
      <c r="H119" s="73" t="s">
        <v>381</v>
      </c>
      <c r="I119" s="73">
        <v>10</v>
      </c>
      <c r="J119" s="67" t="s">
        <v>230</v>
      </c>
      <c r="K119" s="71" t="s">
        <v>138</v>
      </c>
      <c r="L119" s="71"/>
      <c r="M119" s="71" t="s">
        <v>532</v>
      </c>
      <c r="N119" s="71" t="s">
        <v>382</v>
      </c>
      <c r="O119" s="71" t="s">
        <v>465</v>
      </c>
      <c r="P119" s="71" t="s">
        <v>369</v>
      </c>
      <c r="Q119" s="72" t="s">
        <v>193</v>
      </c>
      <c r="R119" s="72" t="s">
        <v>123</v>
      </c>
      <c r="S119" s="59" t="s">
        <v>123</v>
      </c>
      <c r="T119" s="59" t="s">
        <v>123</v>
      </c>
      <c r="U119" s="59" t="s">
        <v>123</v>
      </c>
      <c r="V119" s="59" t="s">
        <v>123</v>
      </c>
      <c r="W119" s="59" t="s">
        <v>123</v>
      </c>
      <c r="X119" s="59" t="s">
        <v>123</v>
      </c>
      <c r="Y119" s="59" t="s">
        <v>145</v>
      </c>
      <c r="Z119" s="59" t="s">
        <v>145</v>
      </c>
      <c r="AA119" s="59" t="s">
        <v>145</v>
      </c>
      <c r="AB119" s="59" t="s">
        <v>145</v>
      </c>
      <c r="AC119" s="59" t="s">
        <v>123</v>
      </c>
      <c r="AD119" s="59" t="s">
        <v>123</v>
      </c>
      <c r="AE119" s="59" t="s">
        <v>123</v>
      </c>
      <c r="AF119" s="59" t="s">
        <v>123</v>
      </c>
      <c r="AG119" s="59" t="s">
        <v>123</v>
      </c>
    </row>
    <row r="120" spans="1:33" s="51" customFormat="1" ht="12" customHeight="1" x14ac:dyDescent="0.15">
      <c r="A120" s="74"/>
      <c r="B120" s="34">
        <f t="shared" si="1"/>
        <v>114</v>
      </c>
      <c r="C120" s="127"/>
      <c r="D120" s="131"/>
      <c r="E120" s="65" t="s">
        <v>484</v>
      </c>
      <c r="F120" s="65" t="s">
        <v>486</v>
      </c>
      <c r="G120" s="52" t="s">
        <v>380</v>
      </c>
      <c r="H120" s="73" t="s">
        <v>381</v>
      </c>
      <c r="I120" s="73">
        <v>10</v>
      </c>
      <c r="J120" s="67" t="s">
        <v>230</v>
      </c>
      <c r="K120" s="71" t="s">
        <v>138</v>
      </c>
      <c r="L120" s="71"/>
      <c r="M120" s="71" t="s">
        <v>532</v>
      </c>
      <c r="N120" s="71" t="s">
        <v>382</v>
      </c>
      <c r="O120" s="71" t="s">
        <v>465</v>
      </c>
      <c r="P120" s="71" t="s">
        <v>369</v>
      </c>
      <c r="Q120" s="72" t="s">
        <v>193</v>
      </c>
      <c r="R120" s="72" t="s">
        <v>123</v>
      </c>
      <c r="S120" s="59" t="s">
        <v>123</v>
      </c>
      <c r="T120" s="59" t="s">
        <v>123</v>
      </c>
      <c r="U120" s="59" t="s">
        <v>123</v>
      </c>
      <c r="V120" s="59" t="s">
        <v>123</v>
      </c>
      <c r="W120" s="59" t="s">
        <v>123</v>
      </c>
      <c r="X120" s="59" t="s">
        <v>123</v>
      </c>
      <c r="Y120" s="59" t="s">
        <v>123</v>
      </c>
      <c r="Z120" s="59" t="s">
        <v>123</v>
      </c>
      <c r="AA120" s="59" t="s">
        <v>123</v>
      </c>
      <c r="AB120" s="59" t="s">
        <v>123</v>
      </c>
      <c r="AC120" s="59" t="s">
        <v>123</v>
      </c>
      <c r="AD120" s="59" t="s">
        <v>123</v>
      </c>
      <c r="AE120" s="59" t="s">
        <v>123</v>
      </c>
      <c r="AF120" s="59" t="s">
        <v>123</v>
      </c>
      <c r="AG120" s="59" t="s">
        <v>145</v>
      </c>
    </row>
    <row r="121" spans="1:33" s="51" customFormat="1" ht="12" customHeight="1" x14ac:dyDescent="0.15">
      <c r="A121" s="74"/>
      <c r="B121" s="34">
        <f t="shared" si="1"/>
        <v>115</v>
      </c>
      <c r="C121" s="127"/>
      <c r="D121" s="129" t="s">
        <v>487</v>
      </c>
      <c r="E121" s="65" t="s">
        <v>482</v>
      </c>
      <c r="F121" s="65" t="s">
        <v>488</v>
      </c>
      <c r="G121" s="52" t="s">
        <v>380</v>
      </c>
      <c r="H121" s="73" t="s">
        <v>381</v>
      </c>
      <c r="I121" s="73">
        <v>10</v>
      </c>
      <c r="J121" s="67" t="s">
        <v>230</v>
      </c>
      <c r="K121" s="71" t="s">
        <v>138</v>
      </c>
      <c r="L121" s="71"/>
      <c r="M121" s="71" t="s">
        <v>532</v>
      </c>
      <c r="N121" s="71" t="s">
        <v>382</v>
      </c>
      <c r="O121" s="71" t="s">
        <v>465</v>
      </c>
      <c r="P121" s="71" t="s">
        <v>369</v>
      </c>
      <c r="Q121" s="72" t="s">
        <v>193</v>
      </c>
      <c r="R121" s="72" t="s">
        <v>123</v>
      </c>
      <c r="S121" s="59" t="s">
        <v>123</v>
      </c>
      <c r="T121" s="59" t="s">
        <v>123</v>
      </c>
      <c r="U121" s="59" t="s">
        <v>123</v>
      </c>
      <c r="V121" s="59" t="s">
        <v>123</v>
      </c>
      <c r="W121" s="59" t="s">
        <v>123</v>
      </c>
      <c r="X121" s="59" t="s">
        <v>123</v>
      </c>
      <c r="Y121" s="59" t="s">
        <v>145</v>
      </c>
      <c r="Z121" s="59" t="s">
        <v>145</v>
      </c>
      <c r="AA121" s="59" t="s">
        <v>145</v>
      </c>
      <c r="AB121" s="59" t="s">
        <v>145</v>
      </c>
      <c r="AC121" s="59" t="s">
        <v>123</v>
      </c>
      <c r="AD121" s="59" t="s">
        <v>123</v>
      </c>
      <c r="AE121" s="59" t="s">
        <v>123</v>
      </c>
      <c r="AF121" s="59" t="s">
        <v>123</v>
      </c>
      <c r="AG121" s="59" t="s">
        <v>123</v>
      </c>
    </row>
    <row r="122" spans="1:33" s="51" customFormat="1" ht="12" customHeight="1" x14ac:dyDescent="0.15">
      <c r="A122" s="74"/>
      <c r="B122" s="34">
        <f t="shared" si="1"/>
        <v>116</v>
      </c>
      <c r="C122" s="127"/>
      <c r="D122" s="131"/>
      <c r="E122" s="65" t="s">
        <v>484</v>
      </c>
      <c r="F122" s="65" t="s">
        <v>488</v>
      </c>
      <c r="G122" s="52" t="s">
        <v>380</v>
      </c>
      <c r="H122" s="73" t="s">
        <v>381</v>
      </c>
      <c r="I122" s="73">
        <v>10</v>
      </c>
      <c r="J122" s="67" t="s">
        <v>230</v>
      </c>
      <c r="K122" s="71" t="s">
        <v>138</v>
      </c>
      <c r="L122" s="71"/>
      <c r="M122" s="71" t="s">
        <v>532</v>
      </c>
      <c r="N122" s="71" t="s">
        <v>382</v>
      </c>
      <c r="O122" s="71" t="s">
        <v>465</v>
      </c>
      <c r="P122" s="71" t="s">
        <v>369</v>
      </c>
      <c r="Q122" s="72" t="s">
        <v>193</v>
      </c>
      <c r="R122" s="72" t="s">
        <v>123</v>
      </c>
      <c r="S122" s="59" t="s">
        <v>123</v>
      </c>
      <c r="T122" s="59" t="s">
        <v>123</v>
      </c>
      <c r="U122" s="59" t="s">
        <v>123</v>
      </c>
      <c r="V122" s="59" t="s">
        <v>123</v>
      </c>
      <c r="W122" s="59" t="s">
        <v>123</v>
      </c>
      <c r="X122" s="59" t="s">
        <v>123</v>
      </c>
      <c r="Y122" s="59" t="s">
        <v>123</v>
      </c>
      <c r="Z122" s="59" t="s">
        <v>123</v>
      </c>
      <c r="AA122" s="59" t="s">
        <v>123</v>
      </c>
      <c r="AB122" s="59" t="s">
        <v>123</v>
      </c>
      <c r="AC122" s="59" t="s">
        <v>123</v>
      </c>
      <c r="AD122" s="59" t="s">
        <v>123</v>
      </c>
      <c r="AE122" s="59" t="s">
        <v>123</v>
      </c>
      <c r="AF122" s="59" t="s">
        <v>123</v>
      </c>
      <c r="AG122" s="59" t="s">
        <v>145</v>
      </c>
    </row>
    <row r="123" spans="1:33" s="51" customFormat="1" ht="12" customHeight="1" x14ac:dyDescent="0.15">
      <c r="A123" s="74"/>
      <c r="B123" s="34">
        <f t="shared" si="1"/>
        <v>117</v>
      </c>
      <c r="C123" s="127"/>
      <c r="D123" s="129" t="s">
        <v>489</v>
      </c>
      <c r="E123" s="65" t="s">
        <v>490</v>
      </c>
      <c r="F123" s="65" t="s">
        <v>491</v>
      </c>
      <c r="G123" s="52" t="s">
        <v>380</v>
      </c>
      <c r="H123" s="73" t="s">
        <v>381</v>
      </c>
      <c r="I123" s="73">
        <v>10</v>
      </c>
      <c r="J123" s="67" t="s">
        <v>230</v>
      </c>
      <c r="K123" s="71" t="s">
        <v>138</v>
      </c>
      <c r="L123" s="71"/>
      <c r="M123" s="71" t="s">
        <v>532</v>
      </c>
      <c r="N123" s="71" t="s">
        <v>382</v>
      </c>
      <c r="O123" s="71" t="s">
        <v>409</v>
      </c>
      <c r="P123" s="71" t="s">
        <v>369</v>
      </c>
      <c r="Q123" s="72" t="s">
        <v>193</v>
      </c>
      <c r="R123" s="72" t="s">
        <v>123</v>
      </c>
      <c r="S123" s="59" t="s">
        <v>123</v>
      </c>
      <c r="T123" s="59" t="s">
        <v>123</v>
      </c>
      <c r="U123" s="59" t="s">
        <v>123</v>
      </c>
      <c r="V123" s="59" t="s">
        <v>123</v>
      </c>
      <c r="W123" s="59" t="s">
        <v>123</v>
      </c>
      <c r="X123" s="59" t="s">
        <v>123</v>
      </c>
      <c r="Y123" s="59" t="s">
        <v>145</v>
      </c>
      <c r="Z123" s="59" t="s">
        <v>145</v>
      </c>
      <c r="AA123" s="59" t="s">
        <v>145</v>
      </c>
      <c r="AB123" s="59" t="s">
        <v>145</v>
      </c>
      <c r="AC123" s="59" t="s">
        <v>123</v>
      </c>
      <c r="AD123" s="59" t="s">
        <v>123</v>
      </c>
      <c r="AE123" s="59" t="s">
        <v>123</v>
      </c>
      <c r="AF123" s="59" t="s">
        <v>123</v>
      </c>
      <c r="AG123" s="59" t="s">
        <v>123</v>
      </c>
    </row>
    <row r="124" spans="1:33" s="51" customFormat="1" ht="12" customHeight="1" x14ac:dyDescent="0.15">
      <c r="A124" s="74"/>
      <c r="B124" s="34">
        <f t="shared" si="1"/>
        <v>118</v>
      </c>
      <c r="C124" s="127"/>
      <c r="D124" s="131"/>
      <c r="E124" s="65" t="s">
        <v>492</v>
      </c>
      <c r="F124" s="65" t="s">
        <v>491</v>
      </c>
      <c r="G124" s="52" t="s">
        <v>380</v>
      </c>
      <c r="H124" s="73" t="s">
        <v>381</v>
      </c>
      <c r="I124" s="73">
        <v>10</v>
      </c>
      <c r="J124" s="67" t="s">
        <v>230</v>
      </c>
      <c r="K124" s="71" t="s">
        <v>138</v>
      </c>
      <c r="L124" s="71"/>
      <c r="M124" s="71" t="s">
        <v>532</v>
      </c>
      <c r="N124" s="71" t="s">
        <v>382</v>
      </c>
      <c r="O124" s="71" t="s">
        <v>409</v>
      </c>
      <c r="P124" s="71" t="s">
        <v>369</v>
      </c>
      <c r="Q124" s="72" t="s">
        <v>193</v>
      </c>
      <c r="R124" s="72" t="s">
        <v>123</v>
      </c>
      <c r="S124" s="59" t="s">
        <v>123</v>
      </c>
      <c r="T124" s="59" t="s">
        <v>123</v>
      </c>
      <c r="U124" s="59" t="s">
        <v>123</v>
      </c>
      <c r="V124" s="59" t="s">
        <v>123</v>
      </c>
      <c r="W124" s="59" t="s">
        <v>123</v>
      </c>
      <c r="X124" s="59" t="s">
        <v>123</v>
      </c>
      <c r="Y124" s="59" t="s">
        <v>123</v>
      </c>
      <c r="Z124" s="59" t="s">
        <v>123</v>
      </c>
      <c r="AA124" s="59" t="s">
        <v>123</v>
      </c>
      <c r="AB124" s="59" t="s">
        <v>123</v>
      </c>
      <c r="AC124" s="59" t="s">
        <v>123</v>
      </c>
      <c r="AD124" s="59" t="s">
        <v>123</v>
      </c>
      <c r="AE124" s="59" t="s">
        <v>123</v>
      </c>
      <c r="AF124" s="59" t="s">
        <v>123</v>
      </c>
      <c r="AG124" s="59" t="s">
        <v>145</v>
      </c>
    </row>
    <row r="125" spans="1:33" s="51" customFormat="1" ht="12" customHeight="1" x14ac:dyDescent="0.15">
      <c r="A125" s="74"/>
      <c r="B125" s="34">
        <f t="shared" si="1"/>
        <v>119</v>
      </c>
      <c r="C125" s="127"/>
      <c r="D125" s="129" t="s">
        <v>493</v>
      </c>
      <c r="E125" s="65" t="s">
        <v>490</v>
      </c>
      <c r="F125" s="65" t="s">
        <v>494</v>
      </c>
      <c r="G125" s="52" t="s">
        <v>380</v>
      </c>
      <c r="H125" s="73" t="s">
        <v>381</v>
      </c>
      <c r="I125" s="73">
        <v>10</v>
      </c>
      <c r="J125" s="67" t="s">
        <v>230</v>
      </c>
      <c r="K125" s="71" t="s">
        <v>138</v>
      </c>
      <c r="L125" s="71"/>
      <c r="M125" s="71" t="s">
        <v>532</v>
      </c>
      <c r="N125" s="71" t="s">
        <v>382</v>
      </c>
      <c r="O125" s="71" t="s">
        <v>409</v>
      </c>
      <c r="P125" s="71" t="s">
        <v>369</v>
      </c>
      <c r="Q125" s="72" t="s">
        <v>193</v>
      </c>
      <c r="R125" s="72" t="s">
        <v>123</v>
      </c>
      <c r="S125" s="59" t="s">
        <v>123</v>
      </c>
      <c r="T125" s="59" t="s">
        <v>123</v>
      </c>
      <c r="U125" s="59" t="s">
        <v>123</v>
      </c>
      <c r="V125" s="59" t="s">
        <v>123</v>
      </c>
      <c r="W125" s="59" t="s">
        <v>123</v>
      </c>
      <c r="X125" s="59" t="s">
        <v>123</v>
      </c>
      <c r="Y125" s="59" t="s">
        <v>145</v>
      </c>
      <c r="Z125" s="59" t="s">
        <v>145</v>
      </c>
      <c r="AA125" s="59" t="s">
        <v>145</v>
      </c>
      <c r="AB125" s="59" t="s">
        <v>145</v>
      </c>
      <c r="AC125" s="59" t="s">
        <v>123</v>
      </c>
      <c r="AD125" s="59" t="s">
        <v>123</v>
      </c>
      <c r="AE125" s="59" t="s">
        <v>123</v>
      </c>
      <c r="AF125" s="59" t="s">
        <v>123</v>
      </c>
      <c r="AG125" s="59" t="s">
        <v>123</v>
      </c>
    </row>
    <row r="126" spans="1:33" s="51" customFormat="1" ht="12" customHeight="1" x14ac:dyDescent="0.15">
      <c r="A126" s="74"/>
      <c r="B126" s="34">
        <f t="shared" si="1"/>
        <v>120</v>
      </c>
      <c r="C126" s="127"/>
      <c r="D126" s="131"/>
      <c r="E126" s="65" t="s">
        <v>492</v>
      </c>
      <c r="F126" s="65" t="s">
        <v>494</v>
      </c>
      <c r="G126" s="52" t="s">
        <v>380</v>
      </c>
      <c r="H126" s="73" t="s">
        <v>381</v>
      </c>
      <c r="I126" s="73">
        <v>10</v>
      </c>
      <c r="J126" s="67" t="s">
        <v>230</v>
      </c>
      <c r="K126" s="71" t="s">
        <v>138</v>
      </c>
      <c r="L126" s="71"/>
      <c r="M126" s="71" t="s">
        <v>532</v>
      </c>
      <c r="N126" s="71" t="s">
        <v>382</v>
      </c>
      <c r="O126" s="71" t="s">
        <v>409</v>
      </c>
      <c r="P126" s="71" t="s">
        <v>369</v>
      </c>
      <c r="Q126" s="72" t="s">
        <v>193</v>
      </c>
      <c r="R126" s="72" t="s">
        <v>123</v>
      </c>
      <c r="S126" s="59" t="s">
        <v>123</v>
      </c>
      <c r="T126" s="59" t="s">
        <v>123</v>
      </c>
      <c r="U126" s="59" t="s">
        <v>123</v>
      </c>
      <c r="V126" s="59" t="s">
        <v>123</v>
      </c>
      <c r="W126" s="59" t="s">
        <v>123</v>
      </c>
      <c r="X126" s="59" t="s">
        <v>123</v>
      </c>
      <c r="Y126" s="59" t="s">
        <v>123</v>
      </c>
      <c r="Z126" s="59" t="s">
        <v>123</v>
      </c>
      <c r="AA126" s="59" t="s">
        <v>123</v>
      </c>
      <c r="AB126" s="59" t="s">
        <v>123</v>
      </c>
      <c r="AC126" s="59" t="s">
        <v>123</v>
      </c>
      <c r="AD126" s="59" t="s">
        <v>123</v>
      </c>
      <c r="AE126" s="59" t="s">
        <v>123</v>
      </c>
      <c r="AF126" s="59" t="s">
        <v>123</v>
      </c>
      <c r="AG126" s="59" t="s">
        <v>145</v>
      </c>
    </row>
    <row r="127" spans="1:33" s="51" customFormat="1" ht="24" x14ac:dyDescent="0.15">
      <c r="A127" s="74"/>
      <c r="B127" s="34">
        <f t="shared" si="1"/>
        <v>121</v>
      </c>
      <c r="C127" s="127"/>
      <c r="D127" s="129" t="s">
        <v>495</v>
      </c>
      <c r="E127" s="65" t="s">
        <v>490</v>
      </c>
      <c r="F127" s="65" t="s">
        <v>496</v>
      </c>
      <c r="G127" s="52" t="s">
        <v>380</v>
      </c>
      <c r="H127" s="73" t="s">
        <v>381</v>
      </c>
      <c r="I127" s="73">
        <v>10</v>
      </c>
      <c r="J127" s="67" t="s">
        <v>230</v>
      </c>
      <c r="K127" s="71" t="s">
        <v>138</v>
      </c>
      <c r="L127" s="71"/>
      <c r="M127" s="71" t="s">
        <v>532</v>
      </c>
      <c r="N127" s="71" t="s">
        <v>382</v>
      </c>
      <c r="O127" s="71" t="s">
        <v>409</v>
      </c>
      <c r="P127" s="71" t="s">
        <v>369</v>
      </c>
      <c r="Q127" s="72" t="s">
        <v>193</v>
      </c>
      <c r="R127" s="72" t="s">
        <v>123</v>
      </c>
      <c r="S127" s="59" t="s">
        <v>123</v>
      </c>
      <c r="T127" s="59" t="s">
        <v>123</v>
      </c>
      <c r="U127" s="59" t="s">
        <v>123</v>
      </c>
      <c r="V127" s="59" t="s">
        <v>123</v>
      </c>
      <c r="W127" s="59" t="s">
        <v>123</v>
      </c>
      <c r="X127" s="59" t="s">
        <v>123</v>
      </c>
      <c r="Y127" s="59" t="s">
        <v>145</v>
      </c>
      <c r="Z127" s="59" t="s">
        <v>145</v>
      </c>
      <c r="AA127" s="59" t="s">
        <v>145</v>
      </c>
      <c r="AB127" s="59" t="s">
        <v>145</v>
      </c>
      <c r="AC127" s="59" t="s">
        <v>123</v>
      </c>
      <c r="AD127" s="59" t="s">
        <v>123</v>
      </c>
      <c r="AE127" s="59" t="s">
        <v>123</v>
      </c>
      <c r="AF127" s="59" t="s">
        <v>123</v>
      </c>
      <c r="AG127" s="59" t="s">
        <v>123</v>
      </c>
    </row>
    <row r="128" spans="1:33" s="51" customFormat="1" ht="24" x14ac:dyDescent="0.15">
      <c r="A128" s="74"/>
      <c r="B128" s="34">
        <f t="shared" si="1"/>
        <v>122</v>
      </c>
      <c r="C128" s="127"/>
      <c r="D128" s="131"/>
      <c r="E128" s="65" t="s">
        <v>492</v>
      </c>
      <c r="F128" s="65" t="s">
        <v>496</v>
      </c>
      <c r="G128" s="52" t="s">
        <v>380</v>
      </c>
      <c r="H128" s="73" t="s">
        <v>381</v>
      </c>
      <c r="I128" s="73">
        <v>10</v>
      </c>
      <c r="J128" s="67" t="s">
        <v>230</v>
      </c>
      <c r="K128" s="71" t="s">
        <v>138</v>
      </c>
      <c r="L128" s="71"/>
      <c r="M128" s="71" t="s">
        <v>532</v>
      </c>
      <c r="N128" s="71" t="s">
        <v>382</v>
      </c>
      <c r="O128" s="71" t="s">
        <v>409</v>
      </c>
      <c r="P128" s="71" t="s">
        <v>369</v>
      </c>
      <c r="Q128" s="72" t="s">
        <v>193</v>
      </c>
      <c r="R128" s="72" t="s">
        <v>123</v>
      </c>
      <c r="S128" s="59" t="s">
        <v>123</v>
      </c>
      <c r="T128" s="59" t="s">
        <v>123</v>
      </c>
      <c r="U128" s="59" t="s">
        <v>123</v>
      </c>
      <c r="V128" s="59" t="s">
        <v>123</v>
      </c>
      <c r="W128" s="59" t="s">
        <v>123</v>
      </c>
      <c r="X128" s="59" t="s">
        <v>123</v>
      </c>
      <c r="Y128" s="59" t="s">
        <v>123</v>
      </c>
      <c r="Z128" s="59" t="s">
        <v>123</v>
      </c>
      <c r="AA128" s="59" t="s">
        <v>123</v>
      </c>
      <c r="AB128" s="59" t="s">
        <v>123</v>
      </c>
      <c r="AC128" s="59" t="s">
        <v>123</v>
      </c>
      <c r="AD128" s="59" t="s">
        <v>123</v>
      </c>
      <c r="AE128" s="59" t="s">
        <v>123</v>
      </c>
      <c r="AF128" s="59" t="s">
        <v>123</v>
      </c>
      <c r="AG128" s="59" t="s">
        <v>145</v>
      </c>
    </row>
    <row r="129" spans="1:33" s="51" customFormat="1" ht="12" customHeight="1" x14ac:dyDescent="0.15">
      <c r="A129" s="74"/>
      <c r="B129" s="34">
        <f t="shared" si="1"/>
        <v>123</v>
      </c>
      <c r="C129" s="127"/>
      <c r="D129" s="126" t="s">
        <v>497</v>
      </c>
      <c r="E129" s="65" t="s">
        <v>435</v>
      </c>
      <c r="F129" s="65" t="s">
        <v>498</v>
      </c>
      <c r="G129" s="52" t="s">
        <v>437</v>
      </c>
      <c r="H129" s="71" t="s">
        <v>137</v>
      </c>
      <c r="I129" s="71">
        <v>1</v>
      </c>
      <c r="J129" s="67" t="s">
        <v>230</v>
      </c>
      <c r="K129" s="71" t="s">
        <v>138</v>
      </c>
      <c r="L129" s="71"/>
      <c r="M129" s="71" t="s">
        <v>532</v>
      </c>
      <c r="N129" s="71" t="s">
        <v>382</v>
      </c>
      <c r="O129" s="71" t="s">
        <v>465</v>
      </c>
      <c r="P129" s="71" t="s">
        <v>369</v>
      </c>
      <c r="Q129" s="72" t="s">
        <v>193</v>
      </c>
      <c r="R129" s="72" t="s">
        <v>123</v>
      </c>
      <c r="S129" s="59" t="s">
        <v>123</v>
      </c>
      <c r="T129" s="59" t="s">
        <v>123</v>
      </c>
      <c r="U129" s="59" t="s">
        <v>123</v>
      </c>
      <c r="V129" s="59" t="s">
        <v>123</v>
      </c>
      <c r="W129" s="59" t="s">
        <v>123</v>
      </c>
      <c r="X129" s="59" t="s">
        <v>123</v>
      </c>
      <c r="Y129" s="59" t="s">
        <v>123</v>
      </c>
      <c r="Z129" s="59" t="s">
        <v>123</v>
      </c>
      <c r="AA129" s="59" t="s">
        <v>123</v>
      </c>
      <c r="AB129" s="59" t="s">
        <v>123</v>
      </c>
      <c r="AC129" s="59" t="s">
        <v>145</v>
      </c>
      <c r="AD129" s="59" t="s">
        <v>145</v>
      </c>
      <c r="AE129" s="59" t="s">
        <v>123</v>
      </c>
      <c r="AF129" s="59" t="s">
        <v>123</v>
      </c>
      <c r="AG129" s="59" t="s">
        <v>123</v>
      </c>
    </row>
    <row r="130" spans="1:33" s="51" customFormat="1" ht="12" customHeight="1" x14ac:dyDescent="0.15">
      <c r="A130" s="74"/>
      <c r="B130" s="34">
        <f t="shared" si="1"/>
        <v>124</v>
      </c>
      <c r="C130" s="127"/>
      <c r="D130" s="127"/>
      <c r="E130" s="65" t="s">
        <v>435</v>
      </c>
      <c r="F130" s="65" t="s">
        <v>499</v>
      </c>
      <c r="G130" s="52" t="s">
        <v>437</v>
      </c>
      <c r="H130" s="71" t="s">
        <v>137</v>
      </c>
      <c r="I130" s="71">
        <v>1</v>
      </c>
      <c r="J130" s="67" t="s">
        <v>230</v>
      </c>
      <c r="K130" s="71" t="s">
        <v>138</v>
      </c>
      <c r="L130" s="71"/>
      <c r="M130" s="71" t="s">
        <v>532</v>
      </c>
      <c r="N130" s="71" t="s">
        <v>382</v>
      </c>
      <c r="O130" s="71" t="s">
        <v>465</v>
      </c>
      <c r="P130" s="71" t="s">
        <v>369</v>
      </c>
      <c r="Q130" s="72" t="s">
        <v>193</v>
      </c>
      <c r="R130" s="72" t="s">
        <v>123</v>
      </c>
      <c r="S130" s="59" t="s">
        <v>123</v>
      </c>
      <c r="T130" s="59" t="s">
        <v>123</v>
      </c>
      <c r="U130" s="59" t="s">
        <v>123</v>
      </c>
      <c r="V130" s="59" t="s">
        <v>123</v>
      </c>
      <c r="W130" s="59" t="s">
        <v>123</v>
      </c>
      <c r="X130" s="59" t="s">
        <v>123</v>
      </c>
      <c r="Y130" s="59" t="s">
        <v>123</v>
      </c>
      <c r="Z130" s="59" t="s">
        <v>123</v>
      </c>
      <c r="AA130" s="59" t="s">
        <v>123</v>
      </c>
      <c r="AB130" s="59" t="s">
        <v>123</v>
      </c>
      <c r="AC130" s="59" t="s">
        <v>145</v>
      </c>
      <c r="AD130" s="59" t="s">
        <v>145</v>
      </c>
      <c r="AE130" s="59" t="s">
        <v>123</v>
      </c>
      <c r="AF130" s="59" t="s">
        <v>123</v>
      </c>
      <c r="AG130" s="59" t="s">
        <v>123</v>
      </c>
    </row>
    <row r="131" spans="1:33" s="51" customFormat="1" ht="12" customHeight="1" x14ac:dyDescent="0.15">
      <c r="A131" s="74"/>
      <c r="B131" s="34">
        <f t="shared" si="1"/>
        <v>125</v>
      </c>
      <c r="C131" s="127"/>
      <c r="D131" s="127"/>
      <c r="E131" s="65" t="s">
        <v>435</v>
      </c>
      <c r="F131" s="65" t="s">
        <v>500</v>
      </c>
      <c r="G131" s="52" t="s">
        <v>437</v>
      </c>
      <c r="H131" s="71" t="s">
        <v>137</v>
      </c>
      <c r="I131" s="71">
        <v>1</v>
      </c>
      <c r="J131" s="67" t="s">
        <v>230</v>
      </c>
      <c r="K131" s="71" t="s">
        <v>138</v>
      </c>
      <c r="L131" s="71"/>
      <c r="M131" s="71" t="s">
        <v>532</v>
      </c>
      <c r="N131" s="71" t="s">
        <v>382</v>
      </c>
      <c r="O131" s="71" t="s">
        <v>465</v>
      </c>
      <c r="P131" s="71" t="s">
        <v>369</v>
      </c>
      <c r="Q131" s="72" t="s">
        <v>193</v>
      </c>
      <c r="R131" s="72" t="s">
        <v>123</v>
      </c>
      <c r="S131" s="59" t="s">
        <v>123</v>
      </c>
      <c r="T131" s="59" t="s">
        <v>123</v>
      </c>
      <c r="U131" s="59" t="s">
        <v>123</v>
      </c>
      <c r="V131" s="59" t="s">
        <v>123</v>
      </c>
      <c r="W131" s="59" t="s">
        <v>123</v>
      </c>
      <c r="X131" s="59" t="s">
        <v>123</v>
      </c>
      <c r="Y131" s="59" t="s">
        <v>123</v>
      </c>
      <c r="Z131" s="59" t="s">
        <v>123</v>
      </c>
      <c r="AA131" s="59" t="s">
        <v>123</v>
      </c>
      <c r="AB131" s="59" t="s">
        <v>123</v>
      </c>
      <c r="AC131" s="59" t="s">
        <v>145</v>
      </c>
      <c r="AD131" s="59" t="s">
        <v>145</v>
      </c>
      <c r="AE131" s="59" t="s">
        <v>123</v>
      </c>
      <c r="AF131" s="59" t="s">
        <v>123</v>
      </c>
      <c r="AG131" s="59" t="s">
        <v>123</v>
      </c>
    </row>
    <row r="132" spans="1:33" s="51" customFormat="1" ht="12" customHeight="1" x14ac:dyDescent="0.15">
      <c r="A132" s="74"/>
      <c r="B132" s="34">
        <f t="shared" si="1"/>
        <v>126</v>
      </c>
      <c r="C132" s="127"/>
      <c r="D132" s="127"/>
      <c r="E132" s="65" t="s">
        <v>435</v>
      </c>
      <c r="F132" s="65" t="s">
        <v>501</v>
      </c>
      <c r="G132" s="52" t="s">
        <v>437</v>
      </c>
      <c r="H132" s="71" t="s">
        <v>137</v>
      </c>
      <c r="I132" s="71">
        <v>1</v>
      </c>
      <c r="J132" s="67" t="s">
        <v>230</v>
      </c>
      <c r="K132" s="71" t="s">
        <v>138</v>
      </c>
      <c r="L132" s="71"/>
      <c r="M132" s="71" t="s">
        <v>532</v>
      </c>
      <c r="N132" s="71" t="s">
        <v>382</v>
      </c>
      <c r="O132" s="71" t="s">
        <v>465</v>
      </c>
      <c r="P132" s="71" t="s">
        <v>369</v>
      </c>
      <c r="Q132" s="72" t="s">
        <v>193</v>
      </c>
      <c r="R132" s="72" t="s">
        <v>123</v>
      </c>
      <c r="S132" s="59" t="s">
        <v>123</v>
      </c>
      <c r="T132" s="59" t="s">
        <v>123</v>
      </c>
      <c r="U132" s="59" t="s">
        <v>123</v>
      </c>
      <c r="V132" s="59" t="s">
        <v>123</v>
      </c>
      <c r="W132" s="59" t="s">
        <v>123</v>
      </c>
      <c r="X132" s="59" t="s">
        <v>123</v>
      </c>
      <c r="Y132" s="59" t="s">
        <v>123</v>
      </c>
      <c r="Z132" s="59" t="s">
        <v>123</v>
      </c>
      <c r="AA132" s="59" t="s">
        <v>123</v>
      </c>
      <c r="AB132" s="59" t="s">
        <v>123</v>
      </c>
      <c r="AC132" s="59" t="s">
        <v>145</v>
      </c>
      <c r="AD132" s="59" t="s">
        <v>145</v>
      </c>
      <c r="AE132" s="59" t="s">
        <v>123</v>
      </c>
      <c r="AF132" s="59" t="s">
        <v>123</v>
      </c>
      <c r="AG132" s="59" t="s">
        <v>123</v>
      </c>
    </row>
    <row r="133" spans="1:33" s="51" customFormat="1" ht="12" customHeight="1" x14ac:dyDescent="0.15">
      <c r="A133" s="74"/>
      <c r="B133" s="34">
        <f t="shared" si="1"/>
        <v>127</v>
      </c>
      <c r="C133" s="127"/>
      <c r="D133" s="127"/>
      <c r="E133" s="65" t="s">
        <v>435</v>
      </c>
      <c r="F133" s="65" t="s">
        <v>502</v>
      </c>
      <c r="G133" s="52" t="s">
        <v>437</v>
      </c>
      <c r="H133" s="71" t="s">
        <v>137</v>
      </c>
      <c r="I133" s="71">
        <v>1</v>
      </c>
      <c r="J133" s="67" t="s">
        <v>230</v>
      </c>
      <c r="K133" s="71" t="s">
        <v>138</v>
      </c>
      <c r="L133" s="71"/>
      <c r="M133" s="71" t="s">
        <v>532</v>
      </c>
      <c r="N133" s="71" t="s">
        <v>382</v>
      </c>
      <c r="O133" s="71" t="s">
        <v>465</v>
      </c>
      <c r="P133" s="71" t="s">
        <v>369</v>
      </c>
      <c r="Q133" s="72" t="s">
        <v>193</v>
      </c>
      <c r="R133" s="72" t="s">
        <v>123</v>
      </c>
      <c r="S133" s="59" t="s">
        <v>123</v>
      </c>
      <c r="T133" s="59" t="s">
        <v>123</v>
      </c>
      <c r="U133" s="59" t="s">
        <v>123</v>
      </c>
      <c r="V133" s="59" t="s">
        <v>123</v>
      </c>
      <c r="W133" s="59" t="s">
        <v>123</v>
      </c>
      <c r="X133" s="59" t="s">
        <v>123</v>
      </c>
      <c r="Y133" s="59" t="s">
        <v>123</v>
      </c>
      <c r="Z133" s="59" t="s">
        <v>123</v>
      </c>
      <c r="AA133" s="59" t="s">
        <v>123</v>
      </c>
      <c r="AB133" s="59" t="s">
        <v>123</v>
      </c>
      <c r="AC133" s="59" t="s">
        <v>145</v>
      </c>
      <c r="AD133" s="59" t="s">
        <v>145</v>
      </c>
      <c r="AE133" s="59" t="s">
        <v>123</v>
      </c>
      <c r="AF133" s="59" t="s">
        <v>123</v>
      </c>
      <c r="AG133" s="59" t="s">
        <v>123</v>
      </c>
    </row>
    <row r="134" spans="1:33" s="51" customFormat="1" ht="12" customHeight="1" x14ac:dyDescent="0.15">
      <c r="A134" s="74"/>
      <c r="B134" s="34">
        <f t="shared" si="1"/>
        <v>128</v>
      </c>
      <c r="C134" s="127"/>
      <c r="D134" s="127"/>
      <c r="E134" s="65" t="s">
        <v>435</v>
      </c>
      <c r="F134" s="65" t="s">
        <v>503</v>
      </c>
      <c r="G134" s="52" t="s">
        <v>437</v>
      </c>
      <c r="H134" s="71" t="s">
        <v>137</v>
      </c>
      <c r="I134" s="71">
        <v>1</v>
      </c>
      <c r="J134" s="67" t="s">
        <v>230</v>
      </c>
      <c r="K134" s="71" t="s">
        <v>138</v>
      </c>
      <c r="L134" s="71"/>
      <c r="M134" s="71" t="s">
        <v>532</v>
      </c>
      <c r="N134" s="71" t="s">
        <v>382</v>
      </c>
      <c r="O134" s="71" t="s">
        <v>465</v>
      </c>
      <c r="P134" s="71" t="s">
        <v>369</v>
      </c>
      <c r="Q134" s="72" t="s">
        <v>193</v>
      </c>
      <c r="R134" s="72" t="s">
        <v>123</v>
      </c>
      <c r="S134" s="59" t="s">
        <v>123</v>
      </c>
      <c r="T134" s="59" t="s">
        <v>123</v>
      </c>
      <c r="U134" s="59" t="s">
        <v>123</v>
      </c>
      <c r="V134" s="59" t="s">
        <v>123</v>
      </c>
      <c r="W134" s="59" t="s">
        <v>123</v>
      </c>
      <c r="X134" s="59" t="s">
        <v>123</v>
      </c>
      <c r="Y134" s="59" t="s">
        <v>123</v>
      </c>
      <c r="Z134" s="59" t="s">
        <v>123</v>
      </c>
      <c r="AA134" s="59" t="s">
        <v>123</v>
      </c>
      <c r="AB134" s="59" t="s">
        <v>123</v>
      </c>
      <c r="AC134" s="59" t="s">
        <v>145</v>
      </c>
      <c r="AD134" s="59" t="s">
        <v>145</v>
      </c>
      <c r="AE134" s="59" t="s">
        <v>123</v>
      </c>
      <c r="AF134" s="59" t="s">
        <v>123</v>
      </c>
      <c r="AG134" s="59" t="s">
        <v>123</v>
      </c>
    </row>
    <row r="135" spans="1:33" s="51" customFormat="1" ht="12" customHeight="1" x14ac:dyDescent="0.15">
      <c r="A135" s="74"/>
      <c r="B135" s="34">
        <f t="shared" si="1"/>
        <v>129</v>
      </c>
      <c r="C135" s="127"/>
      <c r="D135" s="127"/>
      <c r="E135" s="65" t="s">
        <v>435</v>
      </c>
      <c r="F135" s="65" t="s">
        <v>504</v>
      </c>
      <c r="G135" s="52" t="s">
        <v>437</v>
      </c>
      <c r="H135" s="71" t="s">
        <v>137</v>
      </c>
      <c r="I135" s="71">
        <v>1</v>
      </c>
      <c r="J135" s="67" t="s">
        <v>230</v>
      </c>
      <c r="K135" s="71" t="s">
        <v>138</v>
      </c>
      <c r="L135" s="71"/>
      <c r="M135" s="71" t="s">
        <v>532</v>
      </c>
      <c r="N135" s="71" t="s">
        <v>382</v>
      </c>
      <c r="O135" s="71" t="s">
        <v>465</v>
      </c>
      <c r="P135" s="71" t="s">
        <v>369</v>
      </c>
      <c r="Q135" s="72" t="s">
        <v>193</v>
      </c>
      <c r="R135" s="72" t="s">
        <v>123</v>
      </c>
      <c r="S135" s="59" t="s">
        <v>123</v>
      </c>
      <c r="T135" s="59" t="s">
        <v>123</v>
      </c>
      <c r="U135" s="59" t="s">
        <v>123</v>
      </c>
      <c r="V135" s="59" t="s">
        <v>123</v>
      </c>
      <c r="W135" s="59" t="s">
        <v>123</v>
      </c>
      <c r="X135" s="59" t="s">
        <v>123</v>
      </c>
      <c r="Y135" s="59" t="s">
        <v>123</v>
      </c>
      <c r="Z135" s="59" t="s">
        <v>123</v>
      </c>
      <c r="AA135" s="59" t="s">
        <v>123</v>
      </c>
      <c r="AB135" s="59" t="s">
        <v>123</v>
      </c>
      <c r="AC135" s="59" t="s">
        <v>145</v>
      </c>
      <c r="AD135" s="59" t="s">
        <v>145</v>
      </c>
      <c r="AE135" s="59" t="s">
        <v>123</v>
      </c>
      <c r="AF135" s="59" t="s">
        <v>123</v>
      </c>
      <c r="AG135" s="59" t="s">
        <v>123</v>
      </c>
    </row>
    <row r="136" spans="1:33" s="51" customFormat="1" ht="12" customHeight="1" x14ac:dyDescent="0.15">
      <c r="A136" s="74"/>
      <c r="B136" s="34">
        <f t="shared" si="1"/>
        <v>130</v>
      </c>
      <c r="C136" s="127"/>
      <c r="D136" s="127"/>
      <c r="E136" s="65" t="s">
        <v>435</v>
      </c>
      <c r="F136" s="65" t="s">
        <v>505</v>
      </c>
      <c r="G136" s="52" t="s">
        <v>437</v>
      </c>
      <c r="H136" s="71" t="s">
        <v>137</v>
      </c>
      <c r="I136" s="71">
        <v>1</v>
      </c>
      <c r="J136" s="67" t="s">
        <v>230</v>
      </c>
      <c r="K136" s="71" t="s">
        <v>138</v>
      </c>
      <c r="L136" s="71"/>
      <c r="M136" s="71" t="s">
        <v>532</v>
      </c>
      <c r="N136" s="71" t="s">
        <v>382</v>
      </c>
      <c r="O136" s="71" t="s">
        <v>465</v>
      </c>
      <c r="P136" s="71" t="s">
        <v>369</v>
      </c>
      <c r="Q136" s="72" t="s">
        <v>193</v>
      </c>
      <c r="R136" s="72" t="s">
        <v>123</v>
      </c>
      <c r="S136" s="59" t="s">
        <v>123</v>
      </c>
      <c r="T136" s="59" t="s">
        <v>123</v>
      </c>
      <c r="U136" s="59" t="s">
        <v>123</v>
      </c>
      <c r="V136" s="59" t="s">
        <v>123</v>
      </c>
      <c r="W136" s="59" t="s">
        <v>123</v>
      </c>
      <c r="X136" s="59" t="s">
        <v>123</v>
      </c>
      <c r="Y136" s="59" t="s">
        <v>123</v>
      </c>
      <c r="Z136" s="59" t="s">
        <v>123</v>
      </c>
      <c r="AA136" s="59" t="s">
        <v>123</v>
      </c>
      <c r="AB136" s="59" t="s">
        <v>123</v>
      </c>
      <c r="AC136" s="59" t="s">
        <v>145</v>
      </c>
      <c r="AD136" s="59" t="s">
        <v>145</v>
      </c>
      <c r="AE136" s="59" t="s">
        <v>123</v>
      </c>
      <c r="AF136" s="59" t="s">
        <v>123</v>
      </c>
      <c r="AG136" s="59" t="s">
        <v>123</v>
      </c>
    </row>
    <row r="137" spans="1:33" s="51" customFormat="1" ht="12" customHeight="1" x14ac:dyDescent="0.15">
      <c r="A137" s="74"/>
      <c r="B137" s="34">
        <f t="shared" si="1"/>
        <v>131</v>
      </c>
      <c r="C137" s="127"/>
      <c r="D137" s="127"/>
      <c r="E137" s="65" t="s">
        <v>435</v>
      </c>
      <c r="F137" s="65" t="s">
        <v>506</v>
      </c>
      <c r="G137" s="52" t="s">
        <v>437</v>
      </c>
      <c r="H137" s="71" t="s">
        <v>137</v>
      </c>
      <c r="I137" s="71">
        <v>1</v>
      </c>
      <c r="J137" s="67" t="s">
        <v>230</v>
      </c>
      <c r="K137" s="71" t="s">
        <v>138</v>
      </c>
      <c r="L137" s="71"/>
      <c r="M137" s="71" t="s">
        <v>532</v>
      </c>
      <c r="N137" s="71" t="s">
        <v>382</v>
      </c>
      <c r="O137" s="71" t="s">
        <v>465</v>
      </c>
      <c r="P137" s="71" t="s">
        <v>369</v>
      </c>
      <c r="Q137" s="72" t="s">
        <v>193</v>
      </c>
      <c r="R137" s="72" t="s">
        <v>123</v>
      </c>
      <c r="S137" s="59" t="s">
        <v>123</v>
      </c>
      <c r="T137" s="59" t="s">
        <v>123</v>
      </c>
      <c r="U137" s="59" t="s">
        <v>123</v>
      </c>
      <c r="V137" s="59" t="s">
        <v>123</v>
      </c>
      <c r="W137" s="59" t="s">
        <v>123</v>
      </c>
      <c r="X137" s="59" t="s">
        <v>123</v>
      </c>
      <c r="Y137" s="59" t="s">
        <v>123</v>
      </c>
      <c r="Z137" s="59" t="s">
        <v>123</v>
      </c>
      <c r="AA137" s="59" t="s">
        <v>123</v>
      </c>
      <c r="AB137" s="59" t="s">
        <v>123</v>
      </c>
      <c r="AC137" s="59" t="s">
        <v>145</v>
      </c>
      <c r="AD137" s="59" t="s">
        <v>124</v>
      </c>
      <c r="AE137" s="59" t="s">
        <v>123</v>
      </c>
      <c r="AF137" s="59" t="s">
        <v>123</v>
      </c>
      <c r="AG137" s="59" t="s">
        <v>123</v>
      </c>
    </row>
    <row r="138" spans="1:33" s="51" customFormat="1" ht="12" customHeight="1" x14ac:dyDescent="0.15">
      <c r="A138" s="74"/>
      <c r="B138" s="34">
        <f t="shared" si="1"/>
        <v>132</v>
      </c>
      <c r="C138" s="127"/>
      <c r="D138" s="127"/>
      <c r="E138" s="60" t="s">
        <v>450</v>
      </c>
      <c r="F138" s="60" t="s">
        <v>507</v>
      </c>
      <c r="G138" s="60" t="s">
        <v>437</v>
      </c>
      <c r="H138" s="71" t="s">
        <v>137</v>
      </c>
      <c r="I138" s="71">
        <v>1</v>
      </c>
      <c r="J138" s="67" t="s">
        <v>230</v>
      </c>
      <c r="K138" s="71" t="s">
        <v>453</v>
      </c>
      <c r="L138" s="71"/>
      <c r="M138" s="71" t="s">
        <v>532</v>
      </c>
      <c r="N138" s="71" t="s">
        <v>382</v>
      </c>
      <c r="O138" s="71" t="s">
        <v>465</v>
      </c>
      <c r="P138" s="71" t="s">
        <v>369</v>
      </c>
      <c r="Q138" s="72" t="s">
        <v>456</v>
      </c>
      <c r="R138" s="72" t="s">
        <v>123</v>
      </c>
      <c r="S138" s="59" t="s">
        <v>123</v>
      </c>
      <c r="T138" s="59" t="s">
        <v>123</v>
      </c>
      <c r="U138" s="59" t="s">
        <v>123</v>
      </c>
      <c r="V138" s="59" t="s">
        <v>123</v>
      </c>
      <c r="W138" s="59" t="s">
        <v>123</v>
      </c>
      <c r="X138" s="59" t="s">
        <v>123</v>
      </c>
      <c r="Y138" s="59" t="s">
        <v>123</v>
      </c>
      <c r="Z138" s="59" t="s">
        <v>123</v>
      </c>
      <c r="AA138" s="59" t="s">
        <v>123</v>
      </c>
      <c r="AB138" s="59" t="s">
        <v>123</v>
      </c>
      <c r="AC138" s="62" t="s">
        <v>455</v>
      </c>
      <c r="AD138" s="62" t="s">
        <v>123</v>
      </c>
      <c r="AE138" s="59" t="s">
        <v>123</v>
      </c>
      <c r="AF138" s="59" t="s">
        <v>123</v>
      </c>
      <c r="AG138" s="59" t="s">
        <v>123</v>
      </c>
    </row>
    <row r="139" spans="1:33" s="51" customFormat="1" ht="12" customHeight="1" x14ac:dyDescent="0.15">
      <c r="A139" s="74"/>
      <c r="B139" s="34">
        <f t="shared" si="1"/>
        <v>133</v>
      </c>
      <c r="C139" s="127"/>
      <c r="D139" s="127"/>
      <c r="E139" s="65" t="s">
        <v>435</v>
      </c>
      <c r="F139" s="65" t="s">
        <v>508</v>
      </c>
      <c r="G139" s="52" t="s">
        <v>437</v>
      </c>
      <c r="H139" s="71" t="s">
        <v>137</v>
      </c>
      <c r="I139" s="71">
        <v>1</v>
      </c>
      <c r="J139" s="67" t="s">
        <v>230</v>
      </c>
      <c r="K139" s="71" t="s">
        <v>138</v>
      </c>
      <c r="L139" s="71"/>
      <c r="M139" s="71" t="s">
        <v>532</v>
      </c>
      <c r="N139" s="71" t="s">
        <v>382</v>
      </c>
      <c r="O139" s="71" t="s">
        <v>465</v>
      </c>
      <c r="P139" s="71" t="s">
        <v>369</v>
      </c>
      <c r="Q139" s="72" t="s">
        <v>193</v>
      </c>
      <c r="R139" s="72" t="s">
        <v>123</v>
      </c>
      <c r="S139" s="59" t="s">
        <v>123</v>
      </c>
      <c r="T139" s="59" t="s">
        <v>123</v>
      </c>
      <c r="U139" s="59" t="s">
        <v>123</v>
      </c>
      <c r="V139" s="59" t="s">
        <v>123</v>
      </c>
      <c r="W139" s="59" t="s">
        <v>123</v>
      </c>
      <c r="X139" s="59" t="s">
        <v>123</v>
      </c>
      <c r="Y139" s="59" t="s">
        <v>123</v>
      </c>
      <c r="Z139" s="59" t="s">
        <v>123</v>
      </c>
      <c r="AA139" s="59" t="s">
        <v>123</v>
      </c>
      <c r="AB139" s="59" t="s">
        <v>123</v>
      </c>
      <c r="AC139" s="59" t="s">
        <v>145</v>
      </c>
      <c r="AD139" s="59" t="s">
        <v>145</v>
      </c>
      <c r="AE139" s="59" t="s">
        <v>123</v>
      </c>
      <c r="AF139" s="59" t="s">
        <v>123</v>
      </c>
      <c r="AG139" s="59" t="s">
        <v>123</v>
      </c>
    </row>
    <row r="140" spans="1:33" s="51" customFormat="1" ht="12" customHeight="1" x14ac:dyDescent="0.15">
      <c r="A140" s="74"/>
      <c r="B140" s="34">
        <f t="shared" si="1"/>
        <v>134</v>
      </c>
      <c r="C140" s="127"/>
      <c r="D140" s="127"/>
      <c r="E140" s="65" t="s">
        <v>435</v>
      </c>
      <c r="F140" s="65" t="s">
        <v>509</v>
      </c>
      <c r="G140" s="52" t="s">
        <v>437</v>
      </c>
      <c r="H140" s="71" t="s">
        <v>137</v>
      </c>
      <c r="I140" s="71">
        <v>1</v>
      </c>
      <c r="J140" s="67" t="s">
        <v>230</v>
      </c>
      <c r="K140" s="71" t="s">
        <v>138</v>
      </c>
      <c r="L140" s="71"/>
      <c r="M140" s="71" t="s">
        <v>532</v>
      </c>
      <c r="N140" s="71" t="s">
        <v>382</v>
      </c>
      <c r="O140" s="71" t="s">
        <v>465</v>
      </c>
      <c r="P140" s="71" t="s">
        <v>369</v>
      </c>
      <c r="Q140" s="72" t="s">
        <v>193</v>
      </c>
      <c r="R140" s="72" t="s">
        <v>123</v>
      </c>
      <c r="S140" s="59" t="s">
        <v>123</v>
      </c>
      <c r="T140" s="59" t="s">
        <v>123</v>
      </c>
      <c r="U140" s="59" t="s">
        <v>123</v>
      </c>
      <c r="V140" s="59" t="s">
        <v>123</v>
      </c>
      <c r="W140" s="59" t="s">
        <v>123</v>
      </c>
      <c r="X140" s="59" t="s">
        <v>123</v>
      </c>
      <c r="Y140" s="59" t="s">
        <v>123</v>
      </c>
      <c r="Z140" s="59" t="s">
        <v>123</v>
      </c>
      <c r="AA140" s="59" t="s">
        <v>123</v>
      </c>
      <c r="AB140" s="59" t="s">
        <v>123</v>
      </c>
      <c r="AC140" s="59" t="s">
        <v>145</v>
      </c>
      <c r="AD140" s="59" t="s">
        <v>145</v>
      </c>
      <c r="AE140" s="59" t="s">
        <v>123</v>
      </c>
      <c r="AF140" s="59" t="s">
        <v>123</v>
      </c>
      <c r="AG140" s="59" t="s">
        <v>123</v>
      </c>
    </row>
    <row r="141" spans="1:33" s="51" customFormat="1" ht="12" customHeight="1" x14ac:dyDescent="0.15">
      <c r="A141" s="74"/>
      <c r="B141" s="34">
        <f t="shared" si="1"/>
        <v>135</v>
      </c>
      <c r="C141" s="127"/>
      <c r="D141" s="127"/>
      <c r="E141" s="65" t="s">
        <v>461</v>
      </c>
      <c r="F141" s="65" t="s">
        <v>498</v>
      </c>
      <c r="G141" s="52" t="s">
        <v>437</v>
      </c>
      <c r="H141" s="71" t="s">
        <v>137</v>
      </c>
      <c r="I141" s="71">
        <v>1</v>
      </c>
      <c r="J141" s="67" t="s">
        <v>230</v>
      </c>
      <c r="K141" s="71" t="s">
        <v>138</v>
      </c>
      <c r="L141" s="71"/>
      <c r="M141" s="71" t="s">
        <v>532</v>
      </c>
      <c r="N141" s="71" t="s">
        <v>382</v>
      </c>
      <c r="O141" s="71" t="s">
        <v>465</v>
      </c>
      <c r="P141" s="71" t="s">
        <v>369</v>
      </c>
      <c r="Q141" s="72" t="s">
        <v>193</v>
      </c>
      <c r="R141" s="72" t="s">
        <v>123</v>
      </c>
      <c r="S141" s="59" t="s">
        <v>123</v>
      </c>
      <c r="T141" s="59" t="s">
        <v>123</v>
      </c>
      <c r="U141" s="59" t="s">
        <v>123</v>
      </c>
      <c r="V141" s="59" t="s">
        <v>123</v>
      </c>
      <c r="W141" s="59" t="s">
        <v>123</v>
      </c>
      <c r="X141" s="59" t="s">
        <v>123</v>
      </c>
      <c r="Y141" s="59" t="s">
        <v>123</v>
      </c>
      <c r="Z141" s="59" t="s">
        <v>123</v>
      </c>
      <c r="AA141" s="59" t="s">
        <v>123</v>
      </c>
      <c r="AB141" s="59" t="s">
        <v>123</v>
      </c>
      <c r="AC141" s="59" t="s">
        <v>145</v>
      </c>
      <c r="AD141" s="59" t="s">
        <v>145</v>
      </c>
      <c r="AE141" s="59" t="s">
        <v>123</v>
      </c>
      <c r="AF141" s="59" t="s">
        <v>123</v>
      </c>
      <c r="AG141" s="59" t="s">
        <v>123</v>
      </c>
    </row>
    <row r="142" spans="1:33" s="51" customFormat="1" ht="12" customHeight="1" x14ac:dyDescent="0.15">
      <c r="A142" s="74"/>
      <c r="B142" s="34">
        <f t="shared" si="1"/>
        <v>136</v>
      </c>
      <c r="C142" s="127"/>
      <c r="D142" s="127"/>
      <c r="E142" s="65" t="s">
        <v>461</v>
      </c>
      <c r="F142" s="65" t="s">
        <v>499</v>
      </c>
      <c r="G142" s="52" t="s">
        <v>437</v>
      </c>
      <c r="H142" s="71" t="s">
        <v>137</v>
      </c>
      <c r="I142" s="71">
        <v>1</v>
      </c>
      <c r="J142" s="67" t="s">
        <v>230</v>
      </c>
      <c r="K142" s="71" t="s">
        <v>138</v>
      </c>
      <c r="L142" s="71"/>
      <c r="M142" s="71" t="s">
        <v>532</v>
      </c>
      <c r="N142" s="71" t="s">
        <v>382</v>
      </c>
      <c r="O142" s="71" t="s">
        <v>465</v>
      </c>
      <c r="P142" s="71" t="s">
        <v>369</v>
      </c>
      <c r="Q142" s="72" t="s">
        <v>193</v>
      </c>
      <c r="R142" s="72" t="s">
        <v>123</v>
      </c>
      <c r="S142" s="59" t="s">
        <v>123</v>
      </c>
      <c r="T142" s="59" t="s">
        <v>123</v>
      </c>
      <c r="U142" s="59" t="s">
        <v>123</v>
      </c>
      <c r="V142" s="59" t="s">
        <v>123</v>
      </c>
      <c r="W142" s="59" t="s">
        <v>123</v>
      </c>
      <c r="X142" s="59" t="s">
        <v>123</v>
      </c>
      <c r="Y142" s="59" t="s">
        <v>123</v>
      </c>
      <c r="Z142" s="59" t="s">
        <v>123</v>
      </c>
      <c r="AA142" s="59" t="s">
        <v>123</v>
      </c>
      <c r="AB142" s="59" t="s">
        <v>123</v>
      </c>
      <c r="AC142" s="59" t="s">
        <v>145</v>
      </c>
      <c r="AD142" s="59" t="s">
        <v>145</v>
      </c>
      <c r="AE142" s="59" t="s">
        <v>123</v>
      </c>
      <c r="AF142" s="59" t="s">
        <v>123</v>
      </c>
      <c r="AG142" s="59" t="s">
        <v>123</v>
      </c>
    </row>
    <row r="143" spans="1:33" s="51" customFormat="1" ht="12" customHeight="1" x14ac:dyDescent="0.15">
      <c r="A143" s="74"/>
      <c r="B143" s="34">
        <f t="shared" si="1"/>
        <v>137</v>
      </c>
      <c r="C143" s="127"/>
      <c r="D143" s="127"/>
      <c r="E143" s="65" t="s">
        <v>461</v>
      </c>
      <c r="F143" s="65" t="s">
        <v>500</v>
      </c>
      <c r="G143" s="52" t="s">
        <v>437</v>
      </c>
      <c r="H143" s="71" t="s">
        <v>137</v>
      </c>
      <c r="I143" s="71">
        <v>1</v>
      </c>
      <c r="J143" s="67" t="s">
        <v>230</v>
      </c>
      <c r="K143" s="71" t="s">
        <v>138</v>
      </c>
      <c r="L143" s="71"/>
      <c r="M143" s="71" t="s">
        <v>532</v>
      </c>
      <c r="N143" s="71" t="s">
        <v>382</v>
      </c>
      <c r="O143" s="71" t="s">
        <v>465</v>
      </c>
      <c r="P143" s="71" t="s">
        <v>369</v>
      </c>
      <c r="Q143" s="72" t="s">
        <v>193</v>
      </c>
      <c r="R143" s="72" t="s">
        <v>123</v>
      </c>
      <c r="S143" s="59" t="s">
        <v>123</v>
      </c>
      <c r="T143" s="59" t="s">
        <v>123</v>
      </c>
      <c r="U143" s="59" t="s">
        <v>123</v>
      </c>
      <c r="V143" s="59" t="s">
        <v>123</v>
      </c>
      <c r="W143" s="59" t="s">
        <v>123</v>
      </c>
      <c r="X143" s="59" t="s">
        <v>123</v>
      </c>
      <c r="Y143" s="59" t="s">
        <v>123</v>
      </c>
      <c r="Z143" s="59" t="s">
        <v>123</v>
      </c>
      <c r="AA143" s="59" t="s">
        <v>123</v>
      </c>
      <c r="AB143" s="59" t="s">
        <v>123</v>
      </c>
      <c r="AC143" s="59" t="s">
        <v>145</v>
      </c>
      <c r="AD143" s="59" t="s">
        <v>145</v>
      </c>
      <c r="AE143" s="59" t="s">
        <v>123</v>
      </c>
      <c r="AF143" s="59" t="s">
        <v>123</v>
      </c>
      <c r="AG143" s="59" t="s">
        <v>123</v>
      </c>
    </row>
    <row r="144" spans="1:33" s="51" customFormat="1" ht="12" customHeight="1" x14ac:dyDescent="0.15">
      <c r="A144" s="74"/>
      <c r="B144" s="34">
        <f t="shared" si="1"/>
        <v>138</v>
      </c>
      <c r="C144" s="127"/>
      <c r="D144" s="127"/>
      <c r="E144" s="65" t="s">
        <v>461</v>
      </c>
      <c r="F144" s="65" t="s">
        <v>501</v>
      </c>
      <c r="G144" s="52" t="s">
        <v>437</v>
      </c>
      <c r="H144" s="71" t="s">
        <v>137</v>
      </c>
      <c r="I144" s="71">
        <v>1</v>
      </c>
      <c r="J144" s="67" t="s">
        <v>230</v>
      </c>
      <c r="K144" s="71" t="s">
        <v>138</v>
      </c>
      <c r="L144" s="71"/>
      <c r="M144" s="71" t="s">
        <v>532</v>
      </c>
      <c r="N144" s="71" t="s">
        <v>382</v>
      </c>
      <c r="O144" s="71" t="s">
        <v>465</v>
      </c>
      <c r="P144" s="71" t="s">
        <v>369</v>
      </c>
      <c r="Q144" s="72" t="s">
        <v>193</v>
      </c>
      <c r="R144" s="72" t="s">
        <v>123</v>
      </c>
      <c r="S144" s="59" t="s">
        <v>123</v>
      </c>
      <c r="T144" s="59" t="s">
        <v>123</v>
      </c>
      <c r="U144" s="59" t="s">
        <v>123</v>
      </c>
      <c r="V144" s="59" t="s">
        <v>123</v>
      </c>
      <c r="W144" s="59" t="s">
        <v>123</v>
      </c>
      <c r="X144" s="59" t="s">
        <v>123</v>
      </c>
      <c r="Y144" s="59" t="s">
        <v>123</v>
      </c>
      <c r="Z144" s="59" t="s">
        <v>123</v>
      </c>
      <c r="AA144" s="59" t="s">
        <v>123</v>
      </c>
      <c r="AB144" s="59" t="s">
        <v>123</v>
      </c>
      <c r="AC144" s="59" t="s">
        <v>145</v>
      </c>
      <c r="AD144" s="59" t="s">
        <v>145</v>
      </c>
      <c r="AE144" s="59" t="s">
        <v>123</v>
      </c>
      <c r="AF144" s="59" t="s">
        <v>123</v>
      </c>
      <c r="AG144" s="59" t="s">
        <v>123</v>
      </c>
    </row>
    <row r="145" spans="1:33" s="51" customFormat="1" ht="12" customHeight="1" x14ac:dyDescent="0.15">
      <c r="A145" s="74"/>
      <c r="B145" s="34">
        <f t="shared" ref="B145:B152" si="2">B144+1</f>
        <v>139</v>
      </c>
      <c r="C145" s="127"/>
      <c r="D145" s="127"/>
      <c r="E145" s="65" t="s">
        <v>461</v>
      </c>
      <c r="F145" s="65" t="s">
        <v>502</v>
      </c>
      <c r="G145" s="52" t="s">
        <v>437</v>
      </c>
      <c r="H145" s="71" t="s">
        <v>137</v>
      </c>
      <c r="I145" s="71">
        <v>1</v>
      </c>
      <c r="J145" s="67" t="s">
        <v>230</v>
      </c>
      <c r="K145" s="71" t="s">
        <v>138</v>
      </c>
      <c r="L145" s="71"/>
      <c r="M145" s="71" t="s">
        <v>532</v>
      </c>
      <c r="N145" s="71" t="s">
        <v>382</v>
      </c>
      <c r="O145" s="71" t="s">
        <v>465</v>
      </c>
      <c r="P145" s="71" t="s">
        <v>369</v>
      </c>
      <c r="Q145" s="72" t="s">
        <v>193</v>
      </c>
      <c r="R145" s="72" t="s">
        <v>123</v>
      </c>
      <c r="S145" s="59" t="s">
        <v>123</v>
      </c>
      <c r="T145" s="59" t="s">
        <v>123</v>
      </c>
      <c r="U145" s="59" t="s">
        <v>123</v>
      </c>
      <c r="V145" s="59" t="s">
        <v>123</v>
      </c>
      <c r="W145" s="59" t="s">
        <v>123</v>
      </c>
      <c r="X145" s="59" t="s">
        <v>123</v>
      </c>
      <c r="Y145" s="59" t="s">
        <v>123</v>
      </c>
      <c r="Z145" s="59" t="s">
        <v>123</v>
      </c>
      <c r="AA145" s="59" t="s">
        <v>123</v>
      </c>
      <c r="AB145" s="59" t="s">
        <v>123</v>
      </c>
      <c r="AC145" s="59" t="s">
        <v>145</v>
      </c>
      <c r="AD145" s="59" t="s">
        <v>145</v>
      </c>
      <c r="AE145" s="59" t="s">
        <v>123</v>
      </c>
      <c r="AF145" s="59" t="s">
        <v>123</v>
      </c>
      <c r="AG145" s="59" t="s">
        <v>123</v>
      </c>
    </row>
    <row r="146" spans="1:33" s="51" customFormat="1" ht="12" customHeight="1" x14ac:dyDescent="0.15">
      <c r="A146" s="74"/>
      <c r="B146" s="34">
        <f t="shared" si="2"/>
        <v>140</v>
      </c>
      <c r="C146" s="127"/>
      <c r="D146" s="127"/>
      <c r="E146" s="65" t="s">
        <v>461</v>
      </c>
      <c r="F146" s="65" t="s">
        <v>503</v>
      </c>
      <c r="G146" s="52" t="s">
        <v>437</v>
      </c>
      <c r="H146" s="71" t="s">
        <v>137</v>
      </c>
      <c r="I146" s="71">
        <v>1</v>
      </c>
      <c r="J146" s="67" t="s">
        <v>230</v>
      </c>
      <c r="K146" s="71" t="s">
        <v>138</v>
      </c>
      <c r="L146" s="71"/>
      <c r="M146" s="71" t="s">
        <v>532</v>
      </c>
      <c r="N146" s="71" t="s">
        <v>382</v>
      </c>
      <c r="O146" s="71" t="s">
        <v>465</v>
      </c>
      <c r="P146" s="71" t="s">
        <v>369</v>
      </c>
      <c r="Q146" s="72" t="s">
        <v>193</v>
      </c>
      <c r="R146" s="72" t="s">
        <v>123</v>
      </c>
      <c r="S146" s="59" t="s">
        <v>123</v>
      </c>
      <c r="T146" s="59" t="s">
        <v>123</v>
      </c>
      <c r="U146" s="59" t="s">
        <v>123</v>
      </c>
      <c r="V146" s="59" t="s">
        <v>123</v>
      </c>
      <c r="W146" s="59" t="s">
        <v>123</v>
      </c>
      <c r="X146" s="59" t="s">
        <v>123</v>
      </c>
      <c r="Y146" s="59" t="s">
        <v>123</v>
      </c>
      <c r="Z146" s="59" t="s">
        <v>123</v>
      </c>
      <c r="AA146" s="59" t="s">
        <v>123</v>
      </c>
      <c r="AB146" s="59" t="s">
        <v>123</v>
      </c>
      <c r="AC146" s="59" t="s">
        <v>145</v>
      </c>
      <c r="AD146" s="59" t="s">
        <v>145</v>
      </c>
      <c r="AE146" s="59" t="s">
        <v>123</v>
      </c>
      <c r="AF146" s="59" t="s">
        <v>123</v>
      </c>
      <c r="AG146" s="59" t="s">
        <v>123</v>
      </c>
    </row>
    <row r="147" spans="1:33" s="51" customFormat="1" ht="12" customHeight="1" x14ac:dyDescent="0.15">
      <c r="A147" s="74"/>
      <c r="B147" s="34">
        <f t="shared" si="2"/>
        <v>141</v>
      </c>
      <c r="C147" s="127"/>
      <c r="D147" s="127"/>
      <c r="E147" s="65" t="s">
        <v>461</v>
      </c>
      <c r="F147" s="65" t="s">
        <v>504</v>
      </c>
      <c r="G147" s="52" t="s">
        <v>437</v>
      </c>
      <c r="H147" s="71" t="s">
        <v>137</v>
      </c>
      <c r="I147" s="71">
        <v>1</v>
      </c>
      <c r="J147" s="67" t="s">
        <v>230</v>
      </c>
      <c r="K147" s="71" t="s">
        <v>138</v>
      </c>
      <c r="L147" s="71"/>
      <c r="M147" s="71" t="s">
        <v>532</v>
      </c>
      <c r="N147" s="71" t="s">
        <v>382</v>
      </c>
      <c r="O147" s="71" t="s">
        <v>465</v>
      </c>
      <c r="P147" s="71" t="s">
        <v>369</v>
      </c>
      <c r="Q147" s="72" t="s">
        <v>193</v>
      </c>
      <c r="R147" s="72" t="s">
        <v>123</v>
      </c>
      <c r="S147" s="59" t="s">
        <v>123</v>
      </c>
      <c r="T147" s="59" t="s">
        <v>123</v>
      </c>
      <c r="U147" s="59" t="s">
        <v>123</v>
      </c>
      <c r="V147" s="59" t="s">
        <v>123</v>
      </c>
      <c r="W147" s="59" t="s">
        <v>123</v>
      </c>
      <c r="X147" s="59" t="s">
        <v>123</v>
      </c>
      <c r="Y147" s="59" t="s">
        <v>123</v>
      </c>
      <c r="Z147" s="59" t="s">
        <v>123</v>
      </c>
      <c r="AA147" s="59" t="s">
        <v>123</v>
      </c>
      <c r="AB147" s="59" t="s">
        <v>123</v>
      </c>
      <c r="AC147" s="59" t="s">
        <v>145</v>
      </c>
      <c r="AD147" s="59" t="s">
        <v>145</v>
      </c>
      <c r="AE147" s="59" t="s">
        <v>123</v>
      </c>
      <c r="AF147" s="59" t="s">
        <v>123</v>
      </c>
      <c r="AG147" s="59" t="s">
        <v>123</v>
      </c>
    </row>
    <row r="148" spans="1:33" s="51" customFormat="1" ht="12" customHeight="1" x14ac:dyDescent="0.15">
      <c r="A148" s="74"/>
      <c r="B148" s="34">
        <f t="shared" si="2"/>
        <v>142</v>
      </c>
      <c r="C148" s="127"/>
      <c r="D148" s="127"/>
      <c r="E148" s="65" t="s">
        <v>461</v>
      </c>
      <c r="F148" s="65" t="s">
        <v>505</v>
      </c>
      <c r="G148" s="52" t="s">
        <v>437</v>
      </c>
      <c r="H148" s="71" t="s">
        <v>137</v>
      </c>
      <c r="I148" s="71">
        <v>1</v>
      </c>
      <c r="J148" s="67" t="s">
        <v>230</v>
      </c>
      <c r="K148" s="71" t="s">
        <v>138</v>
      </c>
      <c r="L148" s="71"/>
      <c r="M148" s="71" t="s">
        <v>532</v>
      </c>
      <c r="N148" s="71" t="s">
        <v>382</v>
      </c>
      <c r="O148" s="71" t="s">
        <v>465</v>
      </c>
      <c r="P148" s="71" t="s">
        <v>369</v>
      </c>
      <c r="Q148" s="72" t="s">
        <v>193</v>
      </c>
      <c r="R148" s="72" t="s">
        <v>123</v>
      </c>
      <c r="S148" s="59" t="s">
        <v>123</v>
      </c>
      <c r="T148" s="59" t="s">
        <v>123</v>
      </c>
      <c r="U148" s="59" t="s">
        <v>123</v>
      </c>
      <c r="V148" s="59" t="s">
        <v>123</v>
      </c>
      <c r="W148" s="59" t="s">
        <v>123</v>
      </c>
      <c r="X148" s="59" t="s">
        <v>123</v>
      </c>
      <c r="Y148" s="59" t="s">
        <v>123</v>
      </c>
      <c r="Z148" s="59" t="s">
        <v>123</v>
      </c>
      <c r="AA148" s="59" t="s">
        <v>123</v>
      </c>
      <c r="AB148" s="59" t="s">
        <v>123</v>
      </c>
      <c r="AC148" s="59" t="s">
        <v>145</v>
      </c>
      <c r="AD148" s="59" t="s">
        <v>145</v>
      </c>
      <c r="AE148" s="59" t="s">
        <v>123</v>
      </c>
      <c r="AF148" s="59" t="s">
        <v>123</v>
      </c>
      <c r="AG148" s="59" t="s">
        <v>123</v>
      </c>
    </row>
    <row r="149" spans="1:33" s="51" customFormat="1" ht="12" customHeight="1" x14ac:dyDescent="0.15">
      <c r="A149" s="74"/>
      <c r="B149" s="34">
        <f t="shared" si="2"/>
        <v>143</v>
      </c>
      <c r="C149" s="127"/>
      <c r="D149" s="127"/>
      <c r="E149" s="65" t="s">
        <v>461</v>
      </c>
      <c r="F149" s="65" t="s">
        <v>506</v>
      </c>
      <c r="G149" s="52" t="s">
        <v>437</v>
      </c>
      <c r="H149" s="71" t="s">
        <v>137</v>
      </c>
      <c r="I149" s="71">
        <v>1</v>
      </c>
      <c r="J149" s="67" t="s">
        <v>230</v>
      </c>
      <c r="K149" s="71" t="s">
        <v>138</v>
      </c>
      <c r="L149" s="71"/>
      <c r="M149" s="71" t="s">
        <v>532</v>
      </c>
      <c r="N149" s="71" t="s">
        <v>382</v>
      </c>
      <c r="O149" s="71" t="s">
        <v>465</v>
      </c>
      <c r="P149" s="71" t="s">
        <v>369</v>
      </c>
      <c r="Q149" s="72" t="s">
        <v>193</v>
      </c>
      <c r="R149" s="72" t="s">
        <v>123</v>
      </c>
      <c r="S149" s="59" t="s">
        <v>123</v>
      </c>
      <c r="T149" s="59" t="s">
        <v>123</v>
      </c>
      <c r="U149" s="59" t="s">
        <v>123</v>
      </c>
      <c r="V149" s="59" t="s">
        <v>123</v>
      </c>
      <c r="W149" s="59" t="s">
        <v>123</v>
      </c>
      <c r="X149" s="59" t="s">
        <v>123</v>
      </c>
      <c r="Y149" s="59" t="s">
        <v>123</v>
      </c>
      <c r="Z149" s="59" t="s">
        <v>123</v>
      </c>
      <c r="AA149" s="59" t="s">
        <v>123</v>
      </c>
      <c r="AB149" s="59" t="s">
        <v>123</v>
      </c>
      <c r="AC149" s="59" t="s">
        <v>145</v>
      </c>
      <c r="AD149" s="59" t="s">
        <v>124</v>
      </c>
      <c r="AE149" s="59" t="s">
        <v>123</v>
      </c>
      <c r="AF149" s="59" t="s">
        <v>123</v>
      </c>
      <c r="AG149" s="59" t="s">
        <v>123</v>
      </c>
    </row>
    <row r="150" spans="1:33" s="51" customFormat="1" ht="12" customHeight="1" x14ac:dyDescent="0.15">
      <c r="A150" s="74"/>
      <c r="B150" s="34">
        <f t="shared" si="2"/>
        <v>144</v>
      </c>
      <c r="C150" s="127"/>
      <c r="D150" s="127"/>
      <c r="E150" s="60" t="s">
        <v>462</v>
      </c>
      <c r="F150" s="60" t="s">
        <v>507</v>
      </c>
      <c r="G150" s="60" t="s">
        <v>437</v>
      </c>
      <c r="H150" s="71" t="s">
        <v>137</v>
      </c>
      <c r="I150" s="71">
        <v>1</v>
      </c>
      <c r="J150" s="67" t="s">
        <v>230</v>
      </c>
      <c r="K150" s="71" t="s">
        <v>453</v>
      </c>
      <c r="L150" s="71"/>
      <c r="M150" s="71" t="s">
        <v>532</v>
      </c>
      <c r="N150" s="71" t="s">
        <v>382</v>
      </c>
      <c r="O150" s="71" t="s">
        <v>465</v>
      </c>
      <c r="P150" s="71" t="s">
        <v>369</v>
      </c>
      <c r="Q150" s="72" t="s">
        <v>456</v>
      </c>
      <c r="R150" s="72" t="s">
        <v>123</v>
      </c>
      <c r="S150" s="59" t="s">
        <v>123</v>
      </c>
      <c r="T150" s="59" t="s">
        <v>123</v>
      </c>
      <c r="U150" s="59" t="s">
        <v>123</v>
      </c>
      <c r="V150" s="59" t="s">
        <v>123</v>
      </c>
      <c r="W150" s="59" t="s">
        <v>123</v>
      </c>
      <c r="X150" s="59" t="s">
        <v>123</v>
      </c>
      <c r="Y150" s="59" t="s">
        <v>123</v>
      </c>
      <c r="Z150" s="59" t="s">
        <v>123</v>
      </c>
      <c r="AA150" s="59" t="s">
        <v>123</v>
      </c>
      <c r="AB150" s="59" t="s">
        <v>123</v>
      </c>
      <c r="AC150" s="62" t="s">
        <v>455</v>
      </c>
      <c r="AD150" s="62" t="s">
        <v>123</v>
      </c>
      <c r="AE150" s="59" t="s">
        <v>123</v>
      </c>
      <c r="AF150" s="59" t="s">
        <v>123</v>
      </c>
      <c r="AG150" s="59" t="s">
        <v>123</v>
      </c>
    </row>
    <row r="151" spans="1:33" s="51" customFormat="1" ht="12" customHeight="1" x14ac:dyDescent="0.15">
      <c r="A151" s="74"/>
      <c r="B151" s="34">
        <f t="shared" si="2"/>
        <v>145</v>
      </c>
      <c r="C151" s="127"/>
      <c r="D151" s="127"/>
      <c r="E151" s="65" t="s">
        <v>461</v>
      </c>
      <c r="F151" s="65" t="s">
        <v>508</v>
      </c>
      <c r="G151" s="52" t="s">
        <v>437</v>
      </c>
      <c r="H151" s="71" t="s">
        <v>137</v>
      </c>
      <c r="I151" s="71">
        <v>1</v>
      </c>
      <c r="J151" s="67" t="s">
        <v>230</v>
      </c>
      <c r="K151" s="71" t="s">
        <v>138</v>
      </c>
      <c r="L151" s="71"/>
      <c r="M151" s="71" t="s">
        <v>532</v>
      </c>
      <c r="N151" s="71" t="s">
        <v>382</v>
      </c>
      <c r="O151" s="71" t="s">
        <v>465</v>
      </c>
      <c r="P151" s="71" t="s">
        <v>369</v>
      </c>
      <c r="Q151" s="72" t="s">
        <v>193</v>
      </c>
      <c r="R151" s="72" t="s">
        <v>123</v>
      </c>
      <c r="S151" s="59" t="s">
        <v>123</v>
      </c>
      <c r="T151" s="59" t="s">
        <v>123</v>
      </c>
      <c r="U151" s="59" t="s">
        <v>123</v>
      </c>
      <c r="V151" s="59" t="s">
        <v>123</v>
      </c>
      <c r="W151" s="59" t="s">
        <v>123</v>
      </c>
      <c r="X151" s="59" t="s">
        <v>123</v>
      </c>
      <c r="Y151" s="59" t="s">
        <v>123</v>
      </c>
      <c r="Z151" s="59" t="s">
        <v>123</v>
      </c>
      <c r="AA151" s="59" t="s">
        <v>123</v>
      </c>
      <c r="AB151" s="59" t="s">
        <v>123</v>
      </c>
      <c r="AC151" s="59" t="s">
        <v>145</v>
      </c>
      <c r="AD151" s="59" t="s">
        <v>145</v>
      </c>
      <c r="AE151" s="59" t="s">
        <v>123</v>
      </c>
      <c r="AF151" s="59" t="s">
        <v>123</v>
      </c>
      <c r="AG151" s="59" t="s">
        <v>123</v>
      </c>
    </row>
    <row r="152" spans="1:33" s="51" customFormat="1" ht="12" customHeight="1" x14ac:dyDescent="0.15">
      <c r="A152" s="74"/>
      <c r="B152" s="34">
        <f t="shared" si="2"/>
        <v>146</v>
      </c>
      <c r="C152" s="128"/>
      <c r="D152" s="128"/>
      <c r="E152" s="65" t="s">
        <v>461</v>
      </c>
      <c r="F152" s="65" t="s">
        <v>509</v>
      </c>
      <c r="G152" s="52" t="s">
        <v>437</v>
      </c>
      <c r="H152" s="71" t="s">
        <v>137</v>
      </c>
      <c r="I152" s="71">
        <v>1</v>
      </c>
      <c r="J152" s="67" t="s">
        <v>230</v>
      </c>
      <c r="K152" s="71" t="s">
        <v>138</v>
      </c>
      <c r="L152" s="71"/>
      <c r="M152" s="71" t="s">
        <v>532</v>
      </c>
      <c r="N152" s="71" t="s">
        <v>382</v>
      </c>
      <c r="O152" s="71" t="s">
        <v>465</v>
      </c>
      <c r="P152" s="71" t="s">
        <v>369</v>
      </c>
      <c r="Q152" s="72" t="s">
        <v>193</v>
      </c>
      <c r="R152" s="72" t="s">
        <v>123</v>
      </c>
      <c r="S152" s="59" t="s">
        <v>123</v>
      </c>
      <c r="T152" s="59" t="s">
        <v>123</v>
      </c>
      <c r="U152" s="59" t="s">
        <v>123</v>
      </c>
      <c r="V152" s="59" t="s">
        <v>123</v>
      </c>
      <c r="W152" s="59" t="s">
        <v>123</v>
      </c>
      <c r="X152" s="59" t="s">
        <v>123</v>
      </c>
      <c r="Y152" s="59" t="s">
        <v>123</v>
      </c>
      <c r="Z152" s="59" t="s">
        <v>123</v>
      </c>
      <c r="AA152" s="59" t="s">
        <v>123</v>
      </c>
      <c r="AB152" s="59" t="s">
        <v>123</v>
      </c>
      <c r="AC152" s="59" t="s">
        <v>145</v>
      </c>
      <c r="AD152" s="59" t="s">
        <v>145</v>
      </c>
      <c r="AE152" s="59" t="s">
        <v>123</v>
      </c>
      <c r="AF152" s="59" t="s">
        <v>123</v>
      </c>
      <c r="AG152" s="59" t="s">
        <v>123</v>
      </c>
    </row>
    <row r="153" spans="1:33" ht="12" customHeight="1" x14ac:dyDescent="0.15">
      <c r="A153" s="40"/>
    </row>
  </sheetData>
  <protectedRanges>
    <protectedRange sqref="J18:J152 J7:L15" name="範囲1_3"/>
    <protectedRange sqref="H7:H15" name="範囲1_2_2"/>
    <protectedRange sqref="F54:F56 F71:F73 D53:E152 I18:I152 D18:F52 K18:K152" name="範囲1_3_1"/>
    <protectedRange sqref="G18:H152 G13:G17" name="範囲1_2_2_1"/>
    <protectedRange sqref="F53 F70" name="範囲1_4"/>
  </protectedRanges>
  <mergeCells count="44">
    <mergeCell ref="AF4:AG4"/>
    <mergeCell ref="AC5:AD5"/>
    <mergeCell ref="K4:K6"/>
    <mergeCell ref="M4:M6"/>
    <mergeCell ref="N4:N6"/>
    <mergeCell ref="S4:AE4"/>
    <mergeCell ref="S5:T5"/>
    <mergeCell ref="U5:X5"/>
    <mergeCell ref="Y5:AB5"/>
    <mergeCell ref="P4:P6"/>
    <mergeCell ref="O4:O6"/>
    <mergeCell ref="L4:L6"/>
    <mergeCell ref="I4:I6"/>
    <mergeCell ref="J4:J6"/>
    <mergeCell ref="Q4:R5"/>
    <mergeCell ref="G4:G6"/>
    <mergeCell ref="H4:H6"/>
    <mergeCell ref="H11:H12"/>
    <mergeCell ref="B4:B6"/>
    <mergeCell ref="G11:G12"/>
    <mergeCell ref="E11:E12"/>
    <mergeCell ref="F11:F12"/>
    <mergeCell ref="C4:C6"/>
    <mergeCell ref="D4:D6"/>
    <mergeCell ref="E4:E6"/>
    <mergeCell ref="F4:F6"/>
    <mergeCell ref="C7:C9"/>
    <mergeCell ref="C11:C12"/>
    <mergeCell ref="D11:D12"/>
    <mergeCell ref="C18:C152"/>
    <mergeCell ref="D18:D37"/>
    <mergeCell ref="D38:D43"/>
    <mergeCell ref="D45:D49"/>
    <mergeCell ref="D50:D52"/>
    <mergeCell ref="D53:D86"/>
    <mergeCell ref="D87:D114"/>
    <mergeCell ref="D115:D116"/>
    <mergeCell ref="D117:D118"/>
    <mergeCell ref="D119:D120"/>
    <mergeCell ref="D121:D122"/>
    <mergeCell ref="D123:D124"/>
    <mergeCell ref="D125:D126"/>
    <mergeCell ref="D127:D128"/>
    <mergeCell ref="D129:D152"/>
  </mergeCells>
  <phoneticPr fontId="4"/>
  <conditionalFormatting sqref="H7 H9:H10">
    <cfRule type="expression" dxfId="45" priority="163" stopIfTrue="1">
      <formula>$U7="無"</formula>
    </cfRule>
    <cfRule type="cellIs" dxfId="44" priority="164" stopIfTrue="1" operator="equal">
      <formula>"その他(記入)"</formula>
    </cfRule>
  </conditionalFormatting>
  <conditionalFormatting sqref="H11">
    <cfRule type="expression" dxfId="43" priority="113" stopIfTrue="1">
      <formula>$U11="無"</formula>
    </cfRule>
    <cfRule type="cellIs" dxfId="42" priority="114" stopIfTrue="1" operator="equal">
      <formula>"その他(記入)"</formula>
    </cfRule>
  </conditionalFormatting>
  <conditionalFormatting sqref="H8">
    <cfRule type="expression" dxfId="41" priority="69" stopIfTrue="1">
      <formula>$U8="無"</formula>
    </cfRule>
    <cfRule type="cellIs" dxfId="40" priority="70" stopIfTrue="1" operator="equal">
      <formula>"その他(記入)"</formula>
    </cfRule>
  </conditionalFormatting>
  <conditionalFormatting sqref="H13">
    <cfRule type="expression" dxfId="39" priority="53" stopIfTrue="1">
      <formula>$U13="無"</formula>
    </cfRule>
    <cfRule type="cellIs" dxfId="38" priority="54" stopIfTrue="1" operator="equal">
      <formula>"その他(記入)"</formula>
    </cfRule>
  </conditionalFormatting>
  <conditionalFormatting sqref="H14">
    <cfRule type="expression" dxfId="37" priority="49" stopIfTrue="1">
      <formula>$U14="無"</formula>
    </cfRule>
    <cfRule type="cellIs" dxfId="36" priority="50" stopIfTrue="1" operator="equal">
      <formula>"その他(記入)"</formula>
    </cfRule>
  </conditionalFormatting>
  <conditionalFormatting sqref="G53:H69 G87:H100 G115:H115 G117:H117 G119:H119 G121:H121 G123:H123 G125:H125 G127:H127 G129:H140 G18:H50">
    <cfRule type="expression" dxfId="35" priority="47" stopIfTrue="1">
      <formula>$S18="無"</formula>
    </cfRule>
    <cfRule type="cellIs" dxfId="34" priority="48" stopIfTrue="1" operator="equal">
      <formula>"その他(記入)"</formula>
    </cfRule>
  </conditionalFormatting>
  <conditionalFormatting sqref="G51:H52">
    <cfRule type="expression" dxfId="33" priority="45" stopIfTrue="1">
      <formula>$S51="無"</formula>
    </cfRule>
    <cfRule type="cellIs" dxfId="32" priority="46" stopIfTrue="1" operator="equal">
      <formula>"その他(記入)"</formula>
    </cfRule>
  </conditionalFormatting>
  <conditionalFormatting sqref="G70:H86">
    <cfRule type="expression" dxfId="31" priority="43" stopIfTrue="1">
      <formula>$S70="無"</formula>
    </cfRule>
    <cfRule type="cellIs" dxfId="30" priority="44" stopIfTrue="1" operator="equal">
      <formula>"その他(記入)"</formula>
    </cfRule>
  </conditionalFormatting>
  <conditionalFormatting sqref="G101:H114">
    <cfRule type="expression" dxfId="29" priority="41" stopIfTrue="1">
      <formula>$S101="無"</formula>
    </cfRule>
    <cfRule type="cellIs" dxfId="28" priority="42" stopIfTrue="1" operator="equal">
      <formula>"その他(記入)"</formula>
    </cfRule>
  </conditionalFormatting>
  <conditionalFormatting sqref="G116:H116">
    <cfRule type="expression" dxfId="27" priority="39" stopIfTrue="1">
      <formula>$S116="無"</formula>
    </cfRule>
    <cfRule type="cellIs" dxfId="26" priority="40" stopIfTrue="1" operator="equal">
      <formula>"その他(記入)"</formula>
    </cfRule>
  </conditionalFormatting>
  <conditionalFormatting sqref="G141:H152">
    <cfRule type="expression" dxfId="25" priority="37" stopIfTrue="1">
      <formula>$S141="無"</formula>
    </cfRule>
    <cfRule type="cellIs" dxfId="24" priority="38" stopIfTrue="1" operator="equal">
      <formula>"その他(記入)"</formula>
    </cfRule>
  </conditionalFormatting>
  <conditionalFormatting sqref="G118:H118">
    <cfRule type="expression" dxfId="23" priority="35" stopIfTrue="1">
      <formula>$S118="無"</formula>
    </cfRule>
    <cfRule type="cellIs" dxfId="22" priority="36" stopIfTrue="1" operator="equal">
      <formula>"その他(記入)"</formula>
    </cfRule>
  </conditionalFormatting>
  <conditionalFormatting sqref="G120:H120">
    <cfRule type="expression" dxfId="21" priority="33" stopIfTrue="1">
      <formula>$S120="無"</formula>
    </cfRule>
    <cfRule type="cellIs" dxfId="20" priority="34" stopIfTrue="1" operator="equal">
      <formula>"その他(記入)"</formula>
    </cfRule>
  </conditionalFormatting>
  <conditionalFormatting sqref="G122:H122">
    <cfRule type="expression" dxfId="19" priority="31" stopIfTrue="1">
      <formula>$S122="無"</formula>
    </cfRule>
    <cfRule type="cellIs" dxfId="18" priority="32" stopIfTrue="1" operator="equal">
      <formula>"その他(記入)"</formula>
    </cfRule>
  </conditionalFormatting>
  <conditionalFormatting sqref="G124:H124">
    <cfRule type="expression" dxfId="17" priority="29" stopIfTrue="1">
      <formula>$S124="無"</formula>
    </cfRule>
    <cfRule type="cellIs" dxfId="16" priority="30" stopIfTrue="1" operator="equal">
      <formula>"その他(記入)"</formula>
    </cfRule>
  </conditionalFormatting>
  <conditionalFormatting sqref="G126:H126">
    <cfRule type="expression" dxfId="15" priority="27" stopIfTrue="1">
      <formula>$S126="無"</formula>
    </cfRule>
    <cfRule type="cellIs" dxfId="14" priority="28" stopIfTrue="1" operator="equal">
      <formula>"その他(記入)"</formula>
    </cfRule>
  </conditionalFormatting>
  <conditionalFormatting sqref="G128:H128">
    <cfRule type="expression" dxfId="13" priority="25" stopIfTrue="1">
      <formula>$S128="無"</formula>
    </cfRule>
    <cfRule type="cellIs" dxfId="12" priority="26" stopIfTrue="1" operator="equal">
      <formula>"その他(記入)"</formula>
    </cfRule>
  </conditionalFormatting>
  <conditionalFormatting sqref="G13">
    <cfRule type="expression" dxfId="11" priority="17" stopIfTrue="1">
      <formula>$S13="無"</formula>
    </cfRule>
    <cfRule type="cellIs" dxfId="10" priority="18" stopIfTrue="1" operator="equal">
      <formula>"その他(記入)"</formula>
    </cfRule>
  </conditionalFormatting>
  <conditionalFormatting sqref="G14">
    <cfRule type="expression" dxfId="9" priority="15" stopIfTrue="1">
      <formula>$S14="無"</formula>
    </cfRule>
    <cfRule type="cellIs" dxfId="8" priority="16" stopIfTrue="1" operator="equal">
      <formula>"その他(記入)"</formula>
    </cfRule>
  </conditionalFormatting>
  <conditionalFormatting sqref="H15">
    <cfRule type="expression" dxfId="7" priority="9" stopIfTrue="1">
      <formula>$U15="無"</formula>
    </cfRule>
    <cfRule type="cellIs" dxfId="6" priority="10" stopIfTrue="1" operator="equal">
      <formula>"その他(記入)"</formula>
    </cfRule>
  </conditionalFormatting>
  <conditionalFormatting sqref="G15">
    <cfRule type="expression" dxfId="5" priority="5" stopIfTrue="1">
      <formula>$S15="無"</formula>
    </cfRule>
    <cfRule type="cellIs" dxfId="4" priority="6" stopIfTrue="1" operator="equal">
      <formula>"その他(記入)"</formula>
    </cfRule>
  </conditionalFormatting>
  <conditionalFormatting sqref="G16">
    <cfRule type="expression" dxfId="3" priority="3" stopIfTrue="1">
      <formula>$S16="無"</formula>
    </cfRule>
    <cfRule type="cellIs" dxfId="2" priority="4" stopIfTrue="1" operator="equal">
      <formula>"その他(記入)"</formula>
    </cfRule>
  </conditionalFormatting>
  <conditionalFormatting sqref="G17">
    <cfRule type="expression" dxfId="1" priority="1" stopIfTrue="1">
      <formula>$S17="無"</formula>
    </cfRule>
    <cfRule type="cellIs" dxfId="0" priority="2" stopIfTrue="1" operator="equal">
      <formula>"その他(記入)"</formula>
    </cfRule>
  </conditionalFormatting>
  <dataValidations count="1">
    <dataValidation allowBlank="1" showInputMessage="1" sqref="H7:H11 WVO18:WVP152 G18:H152 JC18:JD152 SY18:SZ152 ACU18:ACV152 AMQ18:AMR152 AWM18:AWN152 BGI18:BGJ152 BQE18:BQF152 CAA18:CAB152 CJW18:CJX152 CTS18:CTT152 DDO18:DDP152 DNK18:DNL152 DXG18:DXH152 EHC18:EHD152 EQY18:EQZ152 FAU18:FAV152 FKQ18:FKR152 FUM18:FUN152 GEI18:GEJ152 GOE18:GOF152 GYA18:GYB152 HHW18:HHX152 HRS18:HRT152 IBO18:IBP152 ILK18:ILL152 IVG18:IVH152 JFC18:JFD152 JOY18:JOZ152 JYU18:JYV152 KIQ18:KIR152 KSM18:KSN152 LCI18:LCJ152 LME18:LMF152 LWA18:LWB152 MFW18:MFX152 MPS18:MPT152 MZO18:MZP152 NJK18:NJL152 NTG18:NTH152 ODC18:ODD152 OMY18:OMZ152 OWU18:OWV152 PGQ18:PGR152 PQM18:PQN152 QAI18:QAJ152 QKE18:QKF152 QUA18:QUB152 RDW18:RDX152 RNS18:RNT152 RXO18:RXP152 SHK18:SHL152 SRG18:SRH152 TBC18:TBD152 TKY18:TKZ152 TUU18:TUV152 UEQ18:UER152 UOM18:UON152 UYI18:UYJ152 VIE18:VIF152 VSA18:VSB152 WBW18:WBX152 WLS18:WLT152 G13:H15 G16:G17"/>
  </dataValidations>
  <pageMargins left="0.70866141732283472" right="0.70866141732283472" top="0.74803149606299213" bottom="0.74803149606299213" header="0.31496062992125984" footer="0.31496062992125984"/>
  <pageSetup paperSize="8" scale="63" fitToHeight="0" orientation="landscape" r:id="rId1"/>
  <headerFooter>
    <oddFooter>&amp;L&amp;9Copyright c 2013 The Japan Research Institute, Limited.</oddFooter>
  </headerFooter>
  <ignoredErrors>
    <ignoredError sqref="B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5</vt:i4>
      </vt:variant>
    </vt:vector>
  </HeadingPairs>
  <TitlesOfParts>
    <vt:vector size="7" baseType="lpstr">
      <vt:lpstr>08 バックアップ</vt:lpstr>
      <vt:lpstr>バックアップ対象一覧</vt:lpstr>
      <vt:lpstr>バックアップ対象一覧!_FilterDatabase</vt:lpstr>
      <vt:lpstr>'08 バックアップ'!Print_Area</vt:lpstr>
      <vt:lpstr>バックアップ対象一覧!Print_Area</vt:lpstr>
      <vt:lpstr>'08 バックアップ'!Print_Titles</vt:lpstr>
      <vt:lpstr>バックアップ対象一覧!Print_Titles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戸屋 成貴#-MSYS</cp:lastModifiedBy>
  <cp:lastPrinted>2019-04-04T08:46:49Z</cp:lastPrinted>
  <dcterms:created xsi:type="dcterms:W3CDTF">2009-03-21T09:29:46Z</dcterms:created>
  <dcterms:modified xsi:type="dcterms:W3CDTF">2019-11-29T07:33:05Z</dcterms:modified>
</cp:coreProperties>
</file>