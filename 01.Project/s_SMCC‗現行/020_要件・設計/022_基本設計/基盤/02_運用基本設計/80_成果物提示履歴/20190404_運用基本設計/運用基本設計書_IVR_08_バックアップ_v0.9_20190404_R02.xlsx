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328"/>
  <workbookPr codeName="ThisWorkbook" defaultThemeVersion="124226"/>
  <mc:AlternateContent xmlns:mc="http://schemas.openxmlformats.org/markup-compatibility/2006">
    <mc:Choice Requires="x15">
      <x15ac:absPath xmlns:x15ac="http://schemas.microsoft.com/office/spreadsheetml/2010/11/ac" url="\\stg-fs01\project\SMFG更改2020\300_基本設計\02_IVR更改\10_基本設計書\基盤\02_運用基本設計\01_SMCC\"/>
    </mc:Choice>
  </mc:AlternateContent>
  <xr:revisionPtr revIDLastSave="0" documentId="13_ncr:1_{397204E9-A8FF-4F5E-9500-2796AE1C5D8E}" xr6:coauthVersionLast="41" xr6:coauthVersionMax="41" xr10:uidLastSave="{00000000-0000-0000-0000-000000000000}"/>
  <bookViews>
    <workbookView xWindow="360" yWindow="960" windowWidth="22380" windowHeight="14175" tabRatio="834" xr2:uid="{00000000-000D-0000-FFFF-FFFF00000000}"/>
  </bookViews>
  <sheets>
    <sheet name="08 バックアップ" sheetId="1" r:id="rId1"/>
    <sheet name="バックアップ対象一覧" sheetId="2" r:id="rId2"/>
  </sheets>
  <definedNames>
    <definedName name="_xlnm._FilterDatabase" localSheetId="1">バックアップ対象一覧!$A$4:$AG$12</definedName>
    <definedName name="_xlnm.Print_Area" localSheetId="0">'08 バックアップ'!$A:$CE</definedName>
    <definedName name="_xlnm.Print_Area" localSheetId="1">バックアップ対象一覧!$A$1:$AG$152</definedName>
    <definedName name="_xlnm.Print_Titles" localSheetId="0">'08 バックアップ'!$1:$7</definedName>
    <definedName name="_xlnm.Print_Titles" localSheetId="1">バックアップ対象一覧!$1:$6</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B16" i="2" l="1"/>
  <c r="B18" i="2" l="1"/>
  <c r="B19" i="2" s="1"/>
  <c r="B20" i="2" s="1"/>
  <c r="B21" i="2" s="1"/>
  <c r="B22" i="2" s="1"/>
  <c r="B23" i="2" s="1"/>
  <c r="B24" i="2" s="1"/>
  <c r="B25" i="2" s="1"/>
  <c r="B26" i="2" s="1"/>
  <c r="B27" i="2" s="1"/>
  <c r="B28" i="2" s="1"/>
  <c r="B29" i="2" s="1"/>
  <c r="B30" i="2" s="1"/>
  <c r="B31" i="2" s="1"/>
  <c r="B32" i="2" s="1"/>
  <c r="B33" i="2" s="1"/>
  <c r="B34" i="2" s="1"/>
  <c r="B35" i="2" s="1"/>
  <c r="B36" i="2" s="1"/>
  <c r="B37" i="2" s="1"/>
  <c r="B38" i="2" s="1"/>
  <c r="B39" i="2" s="1"/>
  <c r="B40" i="2" s="1"/>
  <c r="B41" i="2" s="1"/>
  <c r="B42" i="2" s="1"/>
  <c r="B43" i="2" s="1"/>
  <c r="B44" i="2" s="1"/>
  <c r="B45" i="2" s="1"/>
  <c r="B46" i="2" s="1"/>
  <c r="B47" i="2" s="1"/>
  <c r="B48" i="2" s="1"/>
  <c r="B49" i="2" s="1"/>
  <c r="B50" i="2" s="1"/>
  <c r="B51" i="2" s="1"/>
  <c r="B52" i="2" s="1"/>
  <c r="B53" i="2" s="1"/>
  <c r="B54" i="2" s="1"/>
  <c r="B55" i="2" s="1"/>
  <c r="B56" i="2" s="1"/>
  <c r="B57" i="2" s="1"/>
  <c r="B58" i="2" s="1"/>
  <c r="B59" i="2" s="1"/>
  <c r="B60" i="2" s="1"/>
  <c r="B61" i="2" s="1"/>
  <c r="B62" i="2" s="1"/>
  <c r="B63" i="2" s="1"/>
  <c r="B64" i="2" s="1"/>
  <c r="B65" i="2" s="1"/>
  <c r="B66" i="2" s="1"/>
  <c r="B67" i="2" s="1"/>
  <c r="B68" i="2" s="1"/>
  <c r="B69" i="2" s="1"/>
  <c r="B70" i="2" s="1"/>
  <c r="B71" i="2" s="1"/>
  <c r="B72" i="2" s="1"/>
  <c r="B73" i="2" s="1"/>
  <c r="B74" i="2" s="1"/>
  <c r="B75" i="2" s="1"/>
  <c r="B76" i="2" s="1"/>
  <c r="B77" i="2" s="1"/>
  <c r="B78" i="2" s="1"/>
  <c r="B79" i="2" s="1"/>
  <c r="B80" i="2" s="1"/>
  <c r="B81" i="2" s="1"/>
  <c r="B82" i="2" s="1"/>
  <c r="B83" i="2" s="1"/>
  <c r="B84" i="2" s="1"/>
  <c r="B85" i="2" s="1"/>
  <c r="B86" i="2" s="1"/>
  <c r="B87" i="2" s="1"/>
  <c r="B88" i="2" s="1"/>
  <c r="B89" i="2" s="1"/>
  <c r="B90" i="2" s="1"/>
  <c r="B91" i="2" s="1"/>
  <c r="B92" i="2" s="1"/>
  <c r="B93" i="2" s="1"/>
  <c r="B94" i="2" s="1"/>
  <c r="B95" i="2" s="1"/>
  <c r="B96" i="2" s="1"/>
  <c r="B97" i="2" s="1"/>
  <c r="B98" i="2" s="1"/>
  <c r="B99" i="2" s="1"/>
  <c r="B100" i="2" s="1"/>
  <c r="B101" i="2" s="1"/>
  <c r="B102" i="2" s="1"/>
  <c r="B103" i="2" s="1"/>
  <c r="B104" i="2" s="1"/>
  <c r="B105" i="2" s="1"/>
  <c r="B106" i="2" s="1"/>
  <c r="B107" i="2" s="1"/>
  <c r="B108" i="2" s="1"/>
  <c r="B109" i="2" s="1"/>
  <c r="B110" i="2" s="1"/>
  <c r="B111" i="2" s="1"/>
  <c r="B112" i="2" s="1"/>
  <c r="B113" i="2" s="1"/>
  <c r="B114" i="2" s="1"/>
  <c r="B115" i="2" s="1"/>
  <c r="B116" i="2" s="1"/>
  <c r="B117" i="2" s="1"/>
  <c r="B118" i="2" s="1"/>
  <c r="B119" i="2" s="1"/>
  <c r="B120" i="2" s="1"/>
  <c r="B121" i="2" s="1"/>
  <c r="B122" i="2" s="1"/>
  <c r="B123" i="2" s="1"/>
  <c r="B124" i="2" s="1"/>
  <c r="B125" i="2" s="1"/>
  <c r="B126" i="2" s="1"/>
  <c r="B127" i="2" s="1"/>
  <c r="B128" i="2" s="1"/>
  <c r="B129" i="2" s="1"/>
  <c r="B130" i="2" s="1"/>
  <c r="B131" i="2" s="1"/>
  <c r="B132" i="2" s="1"/>
  <c r="B133" i="2" s="1"/>
  <c r="B134" i="2" s="1"/>
  <c r="B135" i="2" s="1"/>
  <c r="B136" i="2" s="1"/>
  <c r="B137" i="2" s="1"/>
  <c r="B138" i="2" s="1"/>
  <c r="B139" i="2" s="1"/>
  <c r="B140" i="2" s="1"/>
  <c r="B141" i="2" s="1"/>
  <c r="B142" i="2" s="1"/>
  <c r="B143" i="2" s="1"/>
  <c r="B144" i="2" s="1"/>
  <c r="B145" i="2" s="1"/>
  <c r="B146" i="2" s="1"/>
  <c r="B147" i="2" s="1"/>
  <c r="B148" i="2" s="1"/>
  <c r="B149" i="2" s="1"/>
  <c r="B150" i="2" s="1"/>
  <c r="B151" i="2" s="1"/>
  <c r="B152" i="2" s="1"/>
  <c r="I10" i="2"/>
  <c r="I8" i="2" l="1"/>
  <c r="I9" i="2"/>
  <c r="I7" i="2"/>
</calcChain>
</file>

<file path=xl/sharedStrings.xml><?xml version="1.0" encoding="utf-8"?>
<sst xmlns="http://schemas.openxmlformats.org/spreadsheetml/2006/main" count="4485" uniqueCount="543">
  <si>
    <t>契約番号</t>
    <rPh sb="0" eb="2">
      <t>ケイヤク</t>
    </rPh>
    <rPh sb="2" eb="4">
      <t>バンゴウ</t>
    </rPh>
    <phoneticPr fontId="4"/>
  </si>
  <si>
    <t>システム名</t>
    <rPh sb="4" eb="5">
      <t>メイ</t>
    </rPh>
    <phoneticPr fontId="4"/>
  </si>
  <si>
    <t>承認者</t>
    <rPh sb="0" eb="2">
      <t>ショウニン</t>
    </rPh>
    <rPh sb="2" eb="3">
      <t>シャ</t>
    </rPh>
    <phoneticPr fontId="4"/>
  </si>
  <si>
    <t>作成者</t>
    <rPh sb="0" eb="2">
      <t>サクセイ</t>
    </rPh>
    <rPh sb="2" eb="3">
      <t>シャ</t>
    </rPh>
    <phoneticPr fontId="4"/>
  </si>
  <si>
    <t>プロジェクト名</t>
    <rPh sb="6" eb="7">
      <t>メイ</t>
    </rPh>
    <phoneticPr fontId="4"/>
  </si>
  <si>
    <t>サブシステム名</t>
    <rPh sb="6" eb="7">
      <t>メイ</t>
    </rPh>
    <phoneticPr fontId="4"/>
  </si>
  <si>
    <t>作成日</t>
    <rPh sb="0" eb="2">
      <t>サクセイ</t>
    </rPh>
    <rPh sb="2" eb="3">
      <t>ビ</t>
    </rPh>
    <phoneticPr fontId="4"/>
  </si>
  <si>
    <t>改定日</t>
    <rPh sb="0" eb="3">
      <t>カイテイビ</t>
    </rPh>
    <phoneticPr fontId="4"/>
  </si>
  <si>
    <t>版数</t>
    <rPh sb="0" eb="2">
      <t>ハンスウ</t>
    </rPh>
    <phoneticPr fontId="4"/>
  </si>
  <si>
    <t>承認日</t>
    <rPh sb="0" eb="2">
      <t>ショウニン</t>
    </rPh>
    <rPh sb="2" eb="3">
      <t>ビ</t>
    </rPh>
    <phoneticPr fontId="4"/>
  </si>
  <si>
    <t>バックアップ先</t>
    <rPh sb="6" eb="7">
      <t>サキ</t>
    </rPh>
    <phoneticPr fontId="4"/>
  </si>
  <si>
    <t>バックアップ方式</t>
    <rPh sb="6" eb="8">
      <t>ホウシキ</t>
    </rPh>
    <phoneticPr fontId="4"/>
  </si>
  <si>
    <t>バックアップ取得タイミング</t>
    <rPh sb="6" eb="8">
      <t>シュトク</t>
    </rPh>
    <phoneticPr fontId="4"/>
  </si>
  <si>
    <t>バックアップ処理実行方法</t>
    <rPh sb="6" eb="8">
      <t>ショリ</t>
    </rPh>
    <rPh sb="8" eb="10">
      <t>ジッコウ</t>
    </rPh>
    <rPh sb="10" eb="12">
      <t>ホウホウ</t>
    </rPh>
    <phoneticPr fontId="4"/>
  </si>
  <si>
    <t>データ種類／データ内容</t>
    <rPh sb="3" eb="5">
      <t>シュルイ</t>
    </rPh>
    <rPh sb="9" eb="11">
      <t>ナイヨウ</t>
    </rPh>
    <phoneticPr fontId="4"/>
  </si>
  <si>
    <t>必要媒体組数　※1</t>
    <rPh sb="0" eb="2">
      <t>ヒツヨウ</t>
    </rPh>
    <rPh sb="2" eb="4">
      <t>バイタイ</t>
    </rPh>
    <rPh sb="4" eb="5">
      <t>クミ</t>
    </rPh>
    <rPh sb="5" eb="6">
      <t>スウ</t>
    </rPh>
    <phoneticPr fontId="4"/>
  </si>
  <si>
    <t>媒体種別　※1</t>
    <rPh sb="0" eb="2">
      <t>バイタイ</t>
    </rPh>
    <rPh sb="2" eb="4">
      <t>シュベツ</t>
    </rPh>
    <phoneticPr fontId="4"/>
  </si>
  <si>
    <t>区分</t>
    <rPh sb="0" eb="2">
      <t>クブン</t>
    </rPh>
    <phoneticPr fontId="4"/>
  </si>
  <si>
    <t>内容</t>
    <rPh sb="0" eb="2">
      <t>ナイヨウ</t>
    </rPh>
    <phoneticPr fontId="4"/>
  </si>
  <si>
    <t>システムバックアップ</t>
    <phoneticPr fontId="4"/>
  </si>
  <si>
    <t>データバックアップ</t>
    <phoneticPr fontId="4"/>
  </si>
  <si>
    <t>8-2. バックアップ</t>
    <phoneticPr fontId="4"/>
  </si>
  <si>
    <t>8-2-1. 目的</t>
    <rPh sb="7" eb="9">
      <t>モクテキ</t>
    </rPh>
    <phoneticPr fontId="4"/>
  </si>
  <si>
    <t>8-2-2. バックアップ区分</t>
    <rPh sb="13" eb="15">
      <t>クブン</t>
    </rPh>
    <phoneticPr fontId="4"/>
  </si>
  <si>
    <t>バックアップ方針</t>
    <phoneticPr fontId="4"/>
  </si>
  <si>
    <t>詳細</t>
    <rPh sb="0" eb="2">
      <t>ショウサイ</t>
    </rPh>
    <phoneticPr fontId="4"/>
  </si>
  <si>
    <t>8-2-4. バックアップ方式、対象一覧</t>
    <rPh sb="13" eb="15">
      <t>ホウシキ</t>
    </rPh>
    <rPh sb="16" eb="18">
      <t>タイショウ</t>
    </rPh>
    <rPh sb="18" eb="20">
      <t>イチラン</t>
    </rPh>
    <phoneticPr fontId="4"/>
  </si>
  <si>
    <t>No.</t>
    <phoneticPr fontId="4"/>
  </si>
  <si>
    <t>システムデータを含む、全ドライブ保管データをバックアップします。</t>
    <rPh sb="8" eb="9">
      <t>フク</t>
    </rPh>
    <rPh sb="11" eb="12">
      <t>ゼン</t>
    </rPh>
    <rPh sb="16" eb="18">
      <t>ホカン</t>
    </rPh>
    <phoneticPr fontId="4"/>
  </si>
  <si>
    <t>8. バックアップ</t>
    <phoneticPr fontId="4"/>
  </si>
  <si>
    <t>1</t>
    <phoneticPr fontId="4"/>
  </si>
  <si>
    <t>2</t>
  </si>
  <si>
    <t>3</t>
  </si>
  <si>
    <t>4</t>
  </si>
  <si>
    <t>5</t>
  </si>
  <si>
    <t>6</t>
  </si>
  <si>
    <t>7</t>
  </si>
  <si>
    <t>8</t>
  </si>
  <si>
    <t>9</t>
  </si>
  <si>
    <t>10</t>
  </si>
  <si>
    <t>11</t>
  </si>
  <si>
    <t>12</t>
  </si>
  <si>
    <t>13</t>
  </si>
  <si>
    <t>14</t>
  </si>
  <si>
    <t>15</t>
  </si>
  <si>
    <t>16</t>
  </si>
  <si>
    <t>17</t>
  </si>
  <si>
    <t>18</t>
  </si>
  <si>
    <t>19</t>
  </si>
  <si>
    <t>20</t>
  </si>
  <si>
    <t>21</t>
  </si>
  <si>
    <t>22</t>
  </si>
  <si>
    <t>23</t>
  </si>
  <si>
    <t>24</t>
  </si>
  <si>
    <t>25</t>
  </si>
  <si>
    <t>27</t>
  </si>
  <si>
    <t>28</t>
  </si>
  <si>
    <t>29</t>
  </si>
  <si>
    <t>30</t>
  </si>
  <si>
    <t>31</t>
  </si>
  <si>
    <t>32</t>
  </si>
  <si>
    <t>33</t>
  </si>
  <si>
    <t>34</t>
  </si>
  <si>
    <t>35</t>
  </si>
  <si>
    <t>36</t>
  </si>
  <si>
    <t>37</t>
  </si>
  <si>
    <t>38</t>
  </si>
  <si>
    <t>39</t>
  </si>
  <si>
    <t>41</t>
  </si>
  <si>
    <t>42</t>
  </si>
  <si>
    <t>43</t>
  </si>
  <si>
    <t>44</t>
  </si>
  <si>
    <t>45</t>
  </si>
  <si>
    <t>46</t>
  </si>
  <si>
    <t>47</t>
  </si>
  <si>
    <t>48</t>
  </si>
  <si>
    <t>49</t>
  </si>
  <si>
    <t>50</t>
  </si>
  <si>
    <t>51</t>
  </si>
  <si>
    <t>52</t>
  </si>
  <si>
    <t>53</t>
  </si>
  <si>
    <t>54</t>
  </si>
  <si>
    <t>55</t>
  </si>
  <si>
    <t>56</t>
  </si>
  <si>
    <t>58</t>
  </si>
  <si>
    <t>59</t>
  </si>
  <si>
    <t>60</t>
  </si>
  <si>
    <t>62</t>
  </si>
  <si>
    <t>64</t>
  </si>
  <si>
    <t>66</t>
  </si>
  <si>
    <t>67</t>
  </si>
  <si>
    <t>69</t>
  </si>
  <si>
    <t>96</t>
  </si>
  <si>
    <t>97</t>
  </si>
  <si>
    <t>98</t>
  </si>
  <si>
    <t>99</t>
  </si>
  <si>
    <t>100</t>
  </si>
  <si>
    <t>101</t>
  </si>
  <si>
    <t>102</t>
  </si>
  <si>
    <t>103</t>
  </si>
  <si>
    <t>104</t>
  </si>
  <si>
    <t>105</t>
  </si>
  <si>
    <t>106</t>
  </si>
  <si>
    <t>107</t>
  </si>
  <si>
    <t>108</t>
  </si>
  <si>
    <t>111</t>
  </si>
  <si>
    <t>118</t>
  </si>
  <si>
    <t>119</t>
  </si>
  <si>
    <t>120</t>
  </si>
  <si>
    <t>121</t>
  </si>
  <si>
    <t>122</t>
  </si>
  <si>
    <t>123</t>
  </si>
  <si>
    <t>124</t>
  </si>
  <si>
    <t>125</t>
  </si>
  <si>
    <t>126</t>
  </si>
  <si>
    <t>127</t>
  </si>
  <si>
    <t>128</t>
  </si>
  <si>
    <t>129</t>
  </si>
  <si>
    <t>説明</t>
    <rPh sb="0" eb="2">
      <t>セツメイ</t>
    </rPh>
    <phoneticPr fontId="4"/>
  </si>
  <si>
    <t>システム障害時に１～数時間程度で復旧が必要なシステムに関する対応方針を記載します。
システム設置センター被災時についてはスコープ外とします。</t>
    <phoneticPr fontId="4"/>
  </si>
  <si>
    <t>アプリケーションデータ、業務DBデータ、運用・管理データをバックアップします。</t>
    <rPh sb="12" eb="14">
      <t>ギョウム</t>
    </rPh>
    <rPh sb="20" eb="22">
      <t>ウンヨウ</t>
    </rPh>
    <rPh sb="23" eb="25">
      <t>カンリ</t>
    </rPh>
    <phoneticPr fontId="4"/>
  </si>
  <si>
    <t>*</t>
    <phoneticPr fontId="4"/>
  </si>
  <si>
    <t>WAS</t>
    <phoneticPr fontId="4"/>
  </si>
  <si>
    <t>-</t>
  </si>
  <si>
    <t>-</t>
    <phoneticPr fontId="4"/>
  </si>
  <si>
    <t>日次（月曜～土曜）差分バックアップ/週次（日曜）フルバックアップ</t>
    <rPh sb="0" eb="2">
      <t>ニチジ</t>
    </rPh>
    <rPh sb="3" eb="5">
      <t>ゲツヨウ</t>
    </rPh>
    <rPh sb="6" eb="8">
      <t>ドヨウ</t>
    </rPh>
    <rPh sb="9" eb="11">
      <t>サブン</t>
    </rPh>
    <rPh sb="18" eb="19">
      <t>シュウ</t>
    </rPh>
    <rPh sb="19" eb="20">
      <t>ジ</t>
    </rPh>
    <rPh sb="21" eb="23">
      <t>ニチヨウ</t>
    </rPh>
    <phoneticPr fontId="4"/>
  </si>
  <si>
    <t>2世代</t>
    <rPh sb="1" eb="3">
      <t>セダイ</t>
    </rPh>
    <phoneticPr fontId="4"/>
  </si>
  <si>
    <t>システム構成変更時</t>
    <rPh sb="4" eb="6">
      <t>コウセイ</t>
    </rPh>
    <rPh sb="6" eb="8">
      <t>ヘンコウ</t>
    </rPh>
    <rPh sb="8" eb="9">
      <t>ジ</t>
    </rPh>
    <phoneticPr fontId="4"/>
  </si>
  <si>
    <t>手動</t>
    <rPh sb="0" eb="2">
      <t>シュドウ</t>
    </rPh>
    <phoneticPr fontId="4"/>
  </si>
  <si>
    <t>随時</t>
    <rPh sb="0" eb="2">
      <t>ズイジ</t>
    </rPh>
    <phoneticPr fontId="4"/>
  </si>
  <si>
    <t>媒体種別</t>
    <rPh sb="0" eb="2">
      <t>バイタイ</t>
    </rPh>
    <rPh sb="2" eb="4">
      <t>シュベツ</t>
    </rPh>
    <phoneticPr fontId="4"/>
  </si>
  <si>
    <t>必要媒体組数</t>
    <rPh sb="0" eb="2">
      <t>ヒツヨウ</t>
    </rPh>
    <rPh sb="2" eb="4">
      <t>バイタイ</t>
    </rPh>
    <rPh sb="4" eb="5">
      <t>クミ</t>
    </rPh>
    <rPh sb="5" eb="6">
      <t>スウ</t>
    </rPh>
    <phoneticPr fontId="4"/>
  </si>
  <si>
    <t>8-2-3. バックアップ方針</t>
    <rPh sb="13" eb="15">
      <t>ホウシン</t>
    </rPh>
    <phoneticPr fontId="4"/>
  </si>
  <si>
    <t>バックアップ元ディレクトリ</t>
    <rPh sb="6" eb="7">
      <t>モト</t>
    </rPh>
    <phoneticPr fontId="4"/>
  </si>
  <si>
    <t>バックアップ元ファイル</t>
    <rPh sb="6" eb="7">
      <t>モト</t>
    </rPh>
    <phoneticPr fontId="4"/>
  </si>
  <si>
    <t>バックアップ対象</t>
    <rPh sb="6" eb="8">
      <t>タイショウ</t>
    </rPh>
    <phoneticPr fontId="4"/>
  </si>
  <si>
    <t>ファイル生成形式</t>
    <rPh sb="4" eb="6">
      <t>セイセイ</t>
    </rPh>
    <rPh sb="6" eb="8">
      <t>ケイシキ</t>
    </rPh>
    <phoneticPr fontId="4"/>
  </si>
  <si>
    <t>実施しない</t>
    <rPh sb="0" eb="2">
      <t>ジッシ</t>
    </rPh>
    <phoneticPr fontId="4"/>
  </si>
  <si>
    <t>フル</t>
    <phoneticPr fontId="4"/>
  </si>
  <si>
    <t>バックアップ対象一覧</t>
    <rPh sb="6" eb="8">
      <t>タイショウ</t>
    </rPh>
    <rPh sb="8" eb="10">
      <t>イチラン</t>
    </rPh>
    <phoneticPr fontId="4"/>
  </si>
  <si>
    <t>ファイル生成はなし</t>
    <rPh sb="4" eb="6">
      <t>セイセイ</t>
    </rPh>
    <phoneticPr fontId="4"/>
  </si>
  <si>
    <t>備考</t>
    <rPh sb="0" eb="2">
      <t>ビコウ</t>
    </rPh>
    <phoneticPr fontId="4"/>
  </si>
  <si>
    <t>本番</t>
    <rPh sb="0" eb="2">
      <t>ホンバン</t>
    </rPh>
    <phoneticPr fontId="4"/>
  </si>
  <si>
    <t>研修</t>
    <rPh sb="0" eb="2">
      <t>ケンシュウ</t>
    </rPh>
    <phoneticPr fontId="4"/>
  </si>
  <si>
    <t>MPP</t>
    <phoneticPr fontId="4"/>
  </si>
  <si>
    <t>○</t>
    <phoneticPr fontId="4"/>
  </si>
  <si>
    <t>(2) バックアップ必要なデータを確保できる環境および運用体制を整備します。</t>
    <phoneticPr fontId="4"/>
  </si>
  <si>
    <t>RMAN</t>
    <phoneticPr fontId="4"/>
  </si>
  <si>
    <t>保管期間・世代数</t>
    <phoneticPr fontId="4"/>
  </si>
  <si>
    <t>日次/フル</t>
    <rPh sb="0" eb="2">
      <t>ニチジ</t>
    </rPh>
    <phoneticPr fontId="4"/>
  </si>
  <si>
    <t>バックアップスケジュール</t>
    <phoneticPr fontId="4"/>
  </si>
  <si>
    <t>月</t>
    <rPh sb="0" eb="1">
      <t>ゲツ</t>
    </rPh>
    <phoneticPr fontId="4"/>
  </si>
  <si>
    <t>火</t>
  </si>
  <si>
    <t>水</t>
  </si>
  <si>
    <t>木</t>
  </si>
  <si>
    <t>金</t>
  </si>
  <si>
    <t>土</t>
  </si>
  <si>
    <t>日</t>
  </si>
  <si>
    <t>〇</t>
    <phoneticPr fontId="4"/>
  </si>
  <si>
    <t>バックアップ方針概要</t>
    <rPh sb="6" eb="8">
      <t>ホウシン</t>
    </rPh>
    <rPh sb="8" eb="10">
      <t>ガイヨウ</t>
    </rPh>
    <phoneticPr fontId="4"/>
  </si>
  <si>
    <t>61</t>
  </si>
  <si>
    <t>70</t>
  </si>
  <si>
    <t>71</t>
  </si>
  <si>
    <t>72</t>
  </si>
  <si>
    <t>73</t>
  </si>
  <si>
    <t>74</t>
  </si>
  <si>
    <t>75</t>
  </si>
  <si>
    <t>76</t>
  </si>
  <si>
    <t>77</t>
  </si>
  <si>
    <t>109</t>
  </si>
  <si>
    <t>110</t>
  </si>
  <si>
    <t>112</t>
  </si>
  <si>
    <t>113</t>
  </si>
  <si>
    <t>114</t>
  </si>
  <si>
    <t>115</t>
  </si>
  <si>
    <t>116</t>
  </si>
  <si>
    <t>117</t>
  </si>
  <si>
    <t>140</t>
  </si>
  <si>
    <t>141</t>
  </si>
  <si>
    <t>142</t>
  </si>
  <si>
    <t>143</t>
  </si>
  <si>
    <t>144</t>
  </si>
  <si>
    <t>145</t>
  </si>
  <si>
    <t>146</t>
  </si>
  <si>
    <t>147</t>
  </si>
  <si>
    <t>170</t>
  </si>
  <si>
    <t>171</t>
  </si>
  <si>
    <t>172</t>
  </si>
  <si>
    <t>データ内容</t>
    <rPh sb="3" eb="5">
      <t>ナイヨウ</t>
    </rPh>
    <phoneticPr fontId="4"/>
  </si>
  <si>
    <t>生成形式</t>
    <rPh sb="0" eb="2">
      <t>セイセイ</t>
    </rPh>
    <rPh sb="2" eb="4">
      <t>ケイシキ</t>
    </rPh>
    <phoneticPr fontId="4"/>
  </si>
  <si>
    <t>新規生成/随時</t>
    <rPh sb="0" eb="2">
      <t>シンキ</t>
    </rPh>
    <rPh sb="2" eb="4">
      <t>セイセイ</t>
    </rPh>
    <rPh sb="5" eb="7">
      <t>ズイジ</t>
    </rPh>
    <phoneticPr fontId="4"/>
  </si>
  <si>
    <t>定例</t>
    <rPh sb="0" eb="2">
      <t>テイレイ</t>
    </rPh>
    <phoneticPr fontId="4"/>
  </si>
  <si>
    <t>非定例</t>
    <rPh sb="0" eb="1">
      <t>ヒ</t>
    </rPh>
    <rPh sb="1" eb="3">
      <t>テイレイ</t>
    </rPh>
    <phoneticPr fontId="4"/>
  </si>
  <si>
    <t>×</t>
    <phoneticPr fontId="4"/>
  </si>
  <si>
    <t>随時実行されます。</t>
    <rPh sb="0" eb="2">
      <t>ズイジ</t>
    </rPh>
    <rPh sb="2" eb="4">
      <t>ジッコウ</t>
    </rPh>
    <phoneticPr fontId="4"/>
  </si>
  <si>
    <t>システムバックアップ</t>
    <phoneticPr fontId="4"/>
  </si>
  <si>
    <t>本システム</t>
    <rPh sb="0" eb="1">
      <t>ホン</t>
    </rPh>
    <phoneticPr fontId="4"/>
  </si>
  <si>
    <t>Oracle DB</t>
    <phoneticPr fontId="4"/>
  </si>
  <si>
    <t>差分</t>
    <rPh sb="0" eb="2">
      <t>サブン</t>
    </rPh>
    <phoneticPr fontId="4"/>
  </si>
  <si>
    <t>毎週日曜4:00</t>
    <rPh sb="0" eb="1">
      <t>マイ</t>
    </rPh>
    <rPh sb="1" eb="2">
      <t>シュウ</t>
    </rPh>
    <rPh sb="2" eb="3">
      <t>ヒ</t>
    </rPh>
    <phoneticPr fontId="4"/>
  </si>
  <si>
    <t>毎週月～土4:00</t>
    <rPh sb="0" eb="1">
      <t>マイ</t>
    </rPh>
    <rPh sb="1" eb="2">
      <t>シュウ</t>
    </rPh>
    <rPh sb="2" eb="3">
      <t>ツキ</t>
    </rPh>
    <rPh sb="4" eb="5">
      <t>ツチ</t>
    </rPh>
    <phoneticPr fontId="4"/>
  </si>
  <si>
    <t>○</t>
    <phoneticPr fontId="4"/>
  </si>
  <si>
    <t>68</t>
  </si>
  <si>
    <t>取得間隔/バックアップ方式</t>
    <rPh sb="0" eb="2">
      <t>シュトク</t>
    </rPh>
    <rPh sb="2" eb="4">
      <t>カンカク</t>
    </rPh>
    <rPh sb="11" eb="13">
      <t>ホウシキ</t>
    </rPh>
    <phoneticPr fontId="4"/>
  </si>
  <si>
    <t>業務ランク</t>
    <phoneticPr fontId="4"/>
  </si>
  <si>
    <t>運用標準</t>
    <rPh sb="0" eb="2">
      <t>ウンヨウ</t>
    </rPh>
    <rPh sb="2" eb="4">
      <t>ヒョウジュン</t>
    </rPh>
    <phoneticPr fontId="4"/>
  </si>
  <si>
    <t>A</t>
    <phoneticPr fontId="4"/>
  </si>
  <si>
    <t>・顧客の経営戦略に直結するシステム                  
・季節により継続的にシステムの使用状況の変動の可能性があるシステム</t>
    <phoneticPr fontId="4"/>
  </si>
  <si>
    <t>8-1. 方針概要</t>
    <rPh sb="5" eb="7">
      <t>ホウシン</t>
    </rPh>
    <rPh sb="7" eb="9">
      <t>ガイヨウ</t>
    </rPh>
    <phoneticPr fontId="4"/>
  </si>
  <si>
    <t>26</t>
  </si>
  <si>
    <t>65</t>
  </si>
  <si>
    <t>4:00 日　　　：フルバックアップ
4:00 月～土：差分バックアップ</t>
    <rPh sb="24" eb="25">
      <t>ゲツ</t>
    </rPh>
    <rPh sb="26" eb="27">
      <t>ド</t>
    </rPh>
    <rPh sb="28" eb="30">
      <t>サブン</t>
    </rPh>
    <phoneticPr fontId="4"/>
  </si>
  <si>
    <t>(1) システムの障害時に備え、適切なデータのバックアップを実行し、保管します。</t>
    <rPh sb="9" eb="11">
      <t>ショウガイ</t>
    </rPh>
    <rPh sb="11" eb="12">
      <t>ジ</t>
    </rPh>
    <rPh sb="13" eb="14">
      <t>ソナ</t>
    </rPh>
    <rPh sb="16" eb="18">
      <t>テキセツ</t>
    </rPh>
    <rPh sb="30" eb="32">
      <t>ジッコウ</t>
    </rPh>
    <rPh sb="34" eb="36">
      <t>ホカン</t>
    </rPh>
    <phoneticPr fontId="4"/>
  </si>
  <si>
    <t>バックアップの方針概要については、以下の通りとします。</t>
    <rPh sb="7" eb="9">
      <t>ホウシン</t>
    </rPh>
    <rPh sb="9" eb="11">
      <t>ガイヨウ</t>
    </rPh>
    <rPh sb="17" eb="19">
      <t>イカ</t>
    </rPh>
    <rPh sb="20" eb="21">
      <t>トオ</t>
    </rPh>
    <phoneticPr fontId="4"/>
  </si>
  <si>
    <t>2世代（月曜～日曜の日次・週次の1週間分のバックアップを2世代）</t>
    <rPh sb="1" eb="3">
      <t>セダイ</t>
    </rPh>
    <rPh sb="4" eb="6">
      <t>ゲツヨウ</t>
    </rPh>
    <rPh sb="7" eb="9">
      <t>ニチヨウ</t>
    </rPh>
    <rPh sb="10" eb="12">
      <t>ニチジ</t>
    </rPh>
    <rPh sb="13" eb="14">
      <t>シュウ</t>
    </rPh>
    <rPh sb="14" eb="15">
      <t>ジ</t>
    </rPh>
    <rPh sb="17" eb="20">
      <t>シュウカンブン</t>
    </rPh>
    <rPh sb="29" eb="31">
      <t>セダイ</t>
    </rPh>
    <phoneticPr fontId="4"/>
  </si>
  <si>
    <t>バックアップ
方式</t>
    <rPh sb="7" eb="9">
      <t>ホウシキ</t>
    </rPh>
    <phoneticPr fontId="4"/>
  </si>
  <si>
    <t>バックアップ
実行方法</t>
    <rPh sb="7" eb="9">
      <t>ジッコウ</t>
    </rPh>
    <rPh sb="9" eb="11">
      <t>ホウホウ</t>
    </rPh>
    <phoneticPr fontId="4"/>
  </si>
  <si>
    <t>バックアップ
タイミング</t>
    <phoneticPr fontId="4"/>
  </si>
  <si>
    <t>保管期間・
世代数</t>
    <rPh sb="0" eb="2">
      <t>ホカン</t>
    </rPh>
    <rPh sb="2" eb="4">
      <t>キカン</t>
    </rPh>
    <rPh sb="6" eb="8">
      <t>セダイ</t>
    </rPh>
    <rPh sb="8" eb="9">
      <t>スウ</t>
    </rPh>
    <phoneticPr fontId="4"/>
  </si>
  <si>
    <t>システムバックアップ／
OS・ミドルウェアの実行モジュールなど</t>
    <phoneticPr fontId="4"/>
  </si>
  <si>
    <t>(1) システムバックアップ（本システム）</t>
    <phoneticPr fontId="4"/>
  </si>
  <si>
    <t>-</t>
    <phoneticPr fontId="4"/>
  </si>
  <si>
    <t>保管期間・世代数</t>
    <phoneticPr fontId="4"/>
  </si>
  <si>
    <t>1.システムバックアップ</t>
    <phoneticPr fontId="4"/>
  </si>
  <si>
    <t>8-2-5. バックアップ作業場所</t>
  </si>
  <si>
    <t>158</t>
  </si>
  <si>
    <t xml:space="preserve">システム構成変更時に随時実行します。
</t>
    <rPh sb="4" eb="6">
      <t>コウセイ</t>
    </rPh>
    <rPh sb="6" eb="8">
      <t>ヘンコウ</t>
    </rPh>
    <rPh sb="8" eb="9">
      <t>ジ</t>
    </rPh>
    <rPh sb="10" eb="12">
      <t>ズイジ</t>
    </rPh>
    <rPh sb="12" eb="14">
      <t>ジッコウ</t>
    </rPh>
    <phoneticPr fontId="4"/>
  </si>
  <si>
    <t>影響範囲の大きさから、障害が発生しないようにする必要があります。</t>
    <rPh sb="24" eb="26">
      <t>ヒツヨウ</t>
    </rPh>
    <phoneticPr fontId="4"/>
  </si>
  <si>
    <t>コールセンターシステム</t>
    <phoneticPr fontId="4"/>
  </si>
  <si>
    <t>IVR</t>
    <phoneticPr fontId="4"/>
  </si>
  <si>
    <t>コンタクトセンター共通化</t>
    <phoneticPr fontId="4"/>
  </si>
  <si>
    <t>MSYS
木全</t>
    <rPh sb="5" eb="7">
      <t>キマタ</t>
    </rPh>
    <phoneticPr fontId="4"/>
  </si>
  <si>
    <t>統合バックアップ</t>
    <rPh sb="0" eb="2">
      <t>トウゴウ</t>
    </rPh>
    <phoneticPr fontId="4"/>
  </si>
  <si>
    <t>随時</t>
    <rPh sb="0" eb="2">
      <t>ズイジ</t>
    </rPh>
    <phoneticPr fontId="4"/>
  </si>
  <si>
    <t>OSのdumpコマンドによるバックアップ</t>
    <phoneticPr fontId="4"/>
  </si>
  <si>
    <t>システム構成変更時</t>
    <rPh sb="4" eb="6">
      <t>コウセイ</t>
    </rPh>
    <rPh sb="6" eb="8">
      <t>ヘンコウ</t>
    </rPh>
    <rPh sb="8" eb="9">
      <t>ジ</t>
    </rPh>
    <phoneticPr fontId="4"/>
  </si>
  <si>
    <t>手動</t>
    <rPh sb="0" eb="2">
      <t>シュドウ</t>
    </rPh>
    <phoneticPr fontId="4"/>
  </si>
  <si>
    <t>2世代</t>
    <rPh sb="1" eb="3">
      <t>セダイ</t>
    </rPh>
    <phoneticPr fontId="4"/>
  </si>
  <si>
    <t>運用管理</t>
    <rPh sb="0" eb="2">
      <t>ウンヨウ</t>
    </rPh>
    <rPh sb="2" eb="4">
      <t>カンリ</t>
    </rPh>
    <phoneticPr fontId="4"/>
  </si>
  <si>
    <t>統合バックアップ</t>
    <rPh sb="0" eb="2">
      <t>トウゴウ</t>
    </rPh>
    <phoneticPr fontId="4"/>
  </si>
  <si>
    <t>Avaya Linux</t>
    <phoneticPr fontId="4"/>
  </si>
  <si>
    <t>RHEL</t>
    <phoneticPr fontId="4"/>
  </si>
  <si>
    <t>Windows</t>
    <phoneticPr fontId="4"/>
  </si>
  <si>
    <t>EPM</t>
    <phoneticPr fontId="4"/>
  </si>
  <si>
    <t>DB</t>
    <phoneticPr fontId="4"/>
  </si>
  <si>
    <t>UNGIVR01EPM01</t>
    <phoneticPr fontId="4"/>
  </si>
  <si>
    <t>UNGIVR02EPM01</t>
    <phoneticPr fontId="4"/>
  </si>
  <si>
    <t>UNGIVR01MPP01</t>
  </si>
  <si>
    <t>UNGIVR01MPP02</t>
  </si>
  <si>
    <t>UNGIVR02MPP01</t>
  </si>
  <si>
    <t>UNGIVR02MPP02</t>
  </si>
  <si>
    <t>UNGIVR01WAS01</t>
  </si>
  <si>
    <t>UNGIVR01WAS02</t>
  </si>
  <si>
    <t>UNGIVR02WAS01</t>
  </si>
  <si>
    <t>UNGIVR02WAS02</t>
  </si>
  <si>
    <t>UNGIVR97RDB01</t>
  </si>
  <si>
    <t>UNGIVR97RDB02</t>
  </si>
  <si>
    <t>UNGIVR97OPM01</t>
  </si>
  <si>
    <t>UNGIVR98AEP01</t>
  </si>
  <si>
    <t>UNGIVR98WAS01</t>
  </si>
  <si>
    <t>*</t>
    <phoneticPr fontId="4"/>
  </si>
  <si>
    <r>
      <t>詳細は「バックアップ対象一覧」シートを参照　※項番1</t>
    </r>
    <r>
      <rPr>
        <sz val="10"/>
        <color rgb="FFFF0000"/>
        <rFont val="ＭＳ Ｐゴシック"/>
        <family val="3"/>
        <charset val="128"/>
      </rPr>
      <t>、2</t>
    </r>
    <r>
      <rPr>
        <sz val="10"/>
        <rFont val="ＭＳ Ｐゴシック"/>
        <family val="3"/>
        <charset val="128"/>
      </rPr>
      <t>を参照</t>
    </r>
    <phoneticPr fontId="4"/>
  </si>
  <si>
    <t>録音ファイル</t>
    <rPh sb="0" eb="2">
      <t>ロクオン</t>
    </rPh>
    <phoneticPr fontId="4"/>
  </si>
  <si>
    <t>/share/oradata/kis01/app/ki/script</t>
    <phoneticPr fontId="4"/>
  </si>
  <si>
    <t>新規生成/日次</t>
    <phoneticPr fontId="4"/>
  </si>
  <si>
    <t>4:00</t>
    <phoneticPr fontId="4"/>
  </si>
  <si>
    <t>業務データ</t>
    <rPh sb="0" eb="2">
      <t>ギョウム</t>
    </rPh>
    <phoneticPr fontId="4"/>
  </si>
  <si>
    <t>JP1/AJS3</t>
    <phoneticPr fontId="4"/>
  </si>
  <si>
    <t>月：10240
火：20480
水：30720
木：40960
金：51200
土：61440</t>
    <rPh sb="0" eb="1">
      <t>ゲツ</t>
    </rPh>
    <rPh sb="8" eb="9">
      <t>ヒ</t>
    </rPh>
    <rPh sb="16" eb="17">
      <t>スイ</t>
    </rPh>
    <rPh sb="24" eb="25">
      <t>モク</t>
    </rPh>
    <rPh sb="32" eb="33">
      <t>キン</t>
    </rPh>
    <rPh sb="40" eb="41">
      <t>ド</t>
    </rPh>
    <phoneticPr fontId="4"/>
  </si>
  <si>
    <t>日：225280</t>
    <rPh sb="0" eb="1">
      <t>ニチ</t>
    </rPh>
    <phoneticPr fontId="4"/>
  </si>
  <si>
    <t>MSYS
八代</t>
    <rPh sb="5" eb="7">
      <t>ヤシロ</t>
    </rPh>
    <phoneticPr fontId="4"/>
  </si>
  <si>
    <t>シングルユーザモードに移行し、OSのdumpコマンドを利用して、各パーティションのバックアップを、Backup/Syslogサーバに接続された統合バックアップの領域に取得します。
運用管理サーバは、Windows Server バックアップを利用して取得します。</t>
    <rPh sb="90" eb="92">
      <t>ウンヨウ</t>
    </rPh>
    <rPh sb="92" eb="94">
      <t>カンリ</t>
    </rPh>
    <rPh sb="125" eb="127">
      <t>シュトク</t>
    </rPh>
    <phoneticPr fontId="4"/>
  </si>
  <si>
    <t xml:space="preserve">RMAN（Recovery Manager）を使用して、DBサーバのOracleデータベースのバックアップを、Backup/Syslogサーバに接続された統合バックアップの領域に取得します。日次で差分バックアップ、週次でフルバックアップを取得します。
</t>
    <rPh sb="95" eb="97">
      <t>ニチジ</t>
    </rPh>
    <rPh sb="98" eb="100">
      <t>サブン</t>
    </rPh>
    <rPh sb="107" eb="108">
      <t>シュウ</t>
    </rPh>
    <rPh sb="108" eb="109">
      <t>ツギ</t>
    </rPh>
    <rPh sb="119" eb="121">
      <t>シュトク</t>
    </rPh>
    <phoneticPr fontId="4"/>
  </si>
  <si>
    <t>運用管理サーバ</t>
    <rPh sb="0" eb="2">
      <t>ウンヨウ</t>
    </rPh>
    <rPh sb="2" eb="4">
      <t>カンリ</t>
    </rPh>
    <phoneticPr fontId="4"/>
  </si>
  <si>
    <t>-</t>
    <phoneticPr fontId="4"/>
  </si>
  <si>
    <t>OSのWindows Server バックアップによるバックアップ</t>
    <phoneticPr fontId="4"/>
  </si>
  <si>
    <t>Arcserveによるバックアップ</t>
    <phoneticPr fontId="4"/>
  </si>
  <si>
    <r>
      <rPr>
        <b/>
        <u/>
        <sz val="14"/>
        <rFont val="ＭＳ Ｐゴシック"/>
        <family val="3"/>
        <charset val="128"/>
      </rPr>
      <t>運用基本設計書</t>
    </r>
    <r>
      <rPr>
        <b/>
        <sz val="14"/>
        <rFont val="ＭＳ Ｐゴシック"/>
        <family val="3"/>
        <charset val="128"/>
      </rPr>
      <t>　バックアップ</t>
    </r>
    <rPh sb="0" eb="2">
      <t>ウンヨウ</t>
    </rPh>
    <rPh sb="4" eb="6">
      <t>セッケイ</t>
    </rPh>
    <rPh sb="6" eb="7">
      <t>ショ</t>
    </rPh>
    <phoneticPr fontId="4"/>
  </si>
  <si>
    <t>データバックアップ／
業務データ</t>
    <phoneticPr fontId="4"/>
  </si>
  <si>
    <t>JP1/AJS3にてスケジューリングし、日次でバックアップを取得します。</t>
    <rPh sb="20" eb="22">
      <t>ニチジ</t>
    </rPh>
    <rPh sb="30" eb="32">
      <t>シュトク</t>
    </rPh>
    <phoneticPr fontId="4"/>
  </si>
  <si>
    <t>データバックアップ／
DBデータ</t>
    <phoneticPr fontId="4"/>
  </si>
  <si>
    <t>JP1/AJS3にてスケジューリングし、週次でフルバックアップ、日次で差分バックアップを取得します。</t>
    <rPh sb="20" eb="21">
      <t>シュウ</t>
    </rPh>
    <rPh sb="21" eb="22">
      <t>ジ</t>
    </rPh>
    <rPh sb="35" eb="37">
      <t>サブン</t>
    </rPh>
    <phoneticPr fontId="4"/>
  </si>
  <si>
    <t>詳細は「バックアップ対象一覧」シートを参照　※項番3を参照</t>
    <phoneticPr fontId="4"/>
  </si>
  <si>
    <t>(2) データバックアップ／業務データ</t>
    <rPh sb="14" eb="16">
      <t>ギョウム</t>
    </rPh>
    <phoneticPr fontId="4"/>
  </si>
  <si>
    <t>JP1/AJS3でのスケジューリング</t>
    <phoneticPr fontId="4"/>
  </si>
  <si>
    <t>詳細は「バックアップ対象一覧」シートを参照　※項番4を参照</t>
    <phoneticPr fontId="4"/>
  </si>
  <si>
    <t>(3) データバックアップ／DBデータ</t>
    <phoneticPr fontId="4"/>
  </si>
  <si>
    <t>JP1/AJS3でのスケジューリング</t>
    <phoneticPr fontId="4"/>
  </si>
  <si>
    <t>詳細は「バックアップ対象一覧」シートを参照　※項番5～6を参照</t>
    <phoneticPr fontId="4"/>
  </si>
  <si>
    <t>3.データバックアップ／DBデータ</t>
    <phoneticPr fontId="4"/>
  </si>
  <si>
    <t>DBデータ</t>
    <phoneticPr fontId="4"/>
  </si>
  <si>
    <t>EPM/MPP</t>
    <phoneticPr fontId="4"/>
  </si>
  <si>
    <t>80</t>
  </si>
  <si>
    <t>81</t>
  </si>
  <si>
    <t>82</t>
  </si>
  <si>
    <t>83</t>
  </si>
  <si>
    <t>84</t>
  </si>
  <si>
    <t>85</t>
  </si>
  <si>
    <t>86</t>
  </si>
  <si>
    <t>87</t>
  </si>
  <si>
    <t>88</t>
  </si>
  <si>
    <t>89</t>
  </si>
  <si>
    <t>90</t>
  </si>
  <si>
    <t>91</t>
  </si>
  <si>
    <t>92</t>
  </si>
  <si>
    <t>93</t>
  </si>
  <si>
    <t>94</t>
  </si>
  <si>
    <t>95</t>
  </si>
  <si>
    <t>148</t>
  </si>
  <si>
    <t>149</t>
  </si>
  <si>
    <t>150</t>
  </si>
  <si>
    <t>153</t>
  </si>
  <si>
    <t>154</t>
  </si>
  <si>
    <t>155</t>
  </si>
  <si>
    <t>156</t>
  </si>
  <si>
    <t>157</t>
  </si>
  <si>
    <t>159</t>
  </si>
  <si>
    <t>160</t>
  </si>
  <si>
    <t>161</t>
  </si>
  <si>
    <t>162</t>
  </si>
  <si>
    <t>163</t>
  </si>
  <si>
    <t>164</t>
  </si>
  <si>
    <t>165</t>
  </si>
  <si>
    <t>166</t>
  </si>
  <si>
    <t>167</t>
  </si>
  <si>
    <t>168</t>
  </si>
  <si>
    <t>169</t>
  </si>
  <si>
    <r>
      <t>2.データバックアップ／</t>
    </r>
    <r>
      <rPr>
        <sz val="10"/>
        <rFont val="ＭＳ Ｐゴシック"/>
        <family val="3"/>
        <charset val="128"/>
      </rPr>
      <t>業務データ</t>
    </r>
    <rPh sb="12" eb="14">
      <t>ギョウム</t>
    </rPh>
    <phoneticPr fontId="4"/>
  </si>
  <si>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</si>
  <si>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</si>
  <si>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</si>
  <si>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</si>
  <si>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</si>
  <si>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</si>
  <si>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</si>
  <si>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</si>
  <si>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</si>
  <si>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</si>
  <si>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</si>
  <si>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</si>
  <si>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</si>
  <si>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</si>
  <si>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</si>
  <si>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</si>
  <si>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</si>
  <si>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</si>
  <si>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</si>
  <si>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</si>
  <si>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</si>
  <si>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</si>
  <si>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</si>
  <si>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No</t>
    <phoneticPr fontId="4"/>
  </si>
  <si>
    <t>バックアップ
サイズ
（MB）</t>
    <phoneticPr fontId="4"/>
  </si>
  <si>
    <t>バックアップツール</t>
    <phoneticPr fontId="4"/>
  </si>
  <si>
    <t>dumpコマンド</t>
    <phoneticPr fontId="4"/>
  </si>
  <si>
    <t>ローテーション
タイミング</t>
    <phoneticPr fontId="4"/>
  </si>
  <si>
    <t>WindowsServerバックアップ</t>
    <phoneticPr fontId="4"/>
  </si>
  <si>
    <t>①運用ツール
②Arcserve</t>
    <rPh sb="1" eb="3">
      <t>ウンヨウ</t>
    </rPh>
    <phoneticPr fontId="4"/>
  </si>
  <si>
    <t>RMAN</t>
    <phoneticPr fontId="4"/>
  </si>
  <si>
    <t>JP1/AJS3</t>
    <phoneticPr fontId="4"/>
  </si>
  <si>
    <t xml:space="preserve">/dev/sda1
/dev/os_vg01/root_lv01
/dev/os_vg01/opt_lv01
/dev/os_vg01/var_lv01
/dev/os_vg01/var_crash_lv01
</t>
    <phoneticPr fontId="4"/>
  </si>
  <si>
    <t>0:00</t>
    <phoneticPr fontId="4"/>
  </si>
  <si>
    <t>0:00に取得</t>
    <rPh sb="5" eb="7">
      <t>シュトク</t>
    </rPh>
    <phoneticPr fontId="4"/>
  </si>
  <si>
    <t>運用ツールを使用して、対象サーバに保管している業務データを特定ディレクトリに収集し、ArcserveでBackup/Syslogサーバに接続された統合バックアップの領域に取得します。
日次でDBサーバの録音テンポラリファイルを取得します。</t>
    <rPh sb="11" eb="13">
      <t>タイショウ</t>
    </rPh>
    <rPh sb="23" eb="25">
      <t>ギョウム</t>
    </rPh>
    <rPh sb="92" eb="94">
      <t>ニチジ</t>
    </rPh>
    <rPh sb="113" eb="115">
      <t>シュトク</t>
    </rPh>
    <phoneticPr fontId="4"/>
  </si>
  <si>
    <t>データバックアップ／
APログ</t>
    <phoneticPr fontId="4"/>
  </si>
  <si>
    <t>VPMSサービスログ
Tomcatサービスログ
PostgreSQLサービスログ
MPPサービスログ
cticonnectorログ
バッチ実行ログ
SQLPlus実行ログ
SQLLoader実行ログ</t>
    <phoneticPr fontId="4"/>
  </si>
  <si>
    <t>音声フローErrorログ
音声フローInfoログ
音声フローDebugログ
管理画面Errorログ
管理画面Infoログ
管理画面Debugログ
ストアドファンクション実行ログ
RSCログ</t>
    <phoneticPr fontId="4"/>
  </si>
  <si>
    <t>月次、週次、日次（ログによって変わる）/フル</t>
    <rPh sb="0" eb="2">
      <t>ゲツジ</t>
    </rPh>
    <rPh sb="3" eb="4">
      <t>シュウ</t>
    </rPh>
    <rPh sb="4" eb="5">
      <t>ジ</t>
    </rPh>
    <rPh sb="6" eb="8">
      <t>ニチジ</t>
    </rPh>
    <rPh sb="15" eb="16">
      <t>カ</t>
    </rPh>
    <phoneticPr fontId="4"/>
  </si>
  <si>
    <t>ファイルコピー</t>
    <phoneticPr fontId="4"/>
  </si>
  <si>
    <t>1:00のログローテーション終了後（バッチログのローテーションは16:30に実施するが、バックアップ取得タイミングは左記と同じ）</t>
    <rPh sb="14" eb="17">
      <t>シュウリョウゴ</t>
    </rPh>
    <rPh sb="38" eb="40">
      <t>ジッシ</t>
    </rPh>
    <rPh sb="50" eb="52">
      <t>シュトク</t>
    </rPh>
    <rPh sb="58" eb="60">
      <t>サキ</t>
    </rPh>
    <rPh sb="61" eb="62">
      <t>オナ</t>
    </rPh>
    <phoneticPr fontId="4"/>
  </si>
  <si>
    <t>JP1/AJS2でのスケジューリング</t>
    <phoneticPr fontId="4"/>
  </si>
  <si>
    <t>18カ月</t>
    <rPh sb="3" eb="4">
      <t>ゲツ</t>
    </rPh>
    <phoneticPr fontId="4"/>
  </si>
  <si>
    <t>1:00のログローテーション終了後に取得</t>
    <rPh sb="14" eb="17">
      <t>シュウリョウゴ</t>
    </rPh>
    <rPh sb="18" eb="20">
      <t>シュトク</t>
    </rPh>
    <phoneticPr fontId="4"/>
  </si>
  <si>
    <t>APログ</t>
    <phoneticPr fontId="4"/>
  </si>
  <si>
    <t>ログ</t>
    <phoneticPr fontId="4"/>
  </si>
  <si>
    <t>詳細設計にて検討後、記載</t>
    <rPh sb="0" eb="2">
      <t>ショウサイ</t>
    </rPh>
    <rPh sb="2" eb="4">
      <t>セッケイ</t>
    </rPh>
    <rPh sb="6" eb="8">
      <t>ケントウ</t>
    </rPh>
    <rPh sb="8" eb="9">
      <t>ゴ</t>
    </rPh>
    <rPh sb="10" eb="12">
      <t>キサイ</t>
    </rPh>
    <phoneticPr fontId="4"/>
  </si>
  <si>
    <t>(5) データバックアップ／APログ</t>
    <phoneticPr fontId="4"/>
  </si>
  <si>
    <t>(4) データバックアップ／システムログ</t>
    <phoneticPr fontId="4"/>
  </si>
  <si>
    <t>システムログ</t>
    <phoneticPr fontId="4"/>
  </si>
  <si>
    <t>Linux系</t>
    <rPh sb="5" eb="6">
      <t>ケイ</t>
    </rPh>
    <phoneticPr fontId="4"/>
  </si>
  <si>
    <t>/opt/Avaya/VoicePortal/VPMS/logs/</t>
    <phoneticPr fontId="4"/>
  </si>
  <si>
    <t>avaya.vpms.log.n(nは1～5の連番）</t>
  </si>
  <si>
    <t>イベント発生時に追記</t>
    <rPh sb="4" eb="6">
      <t>ハッセイ</t>
    </rPh>
    <rPh sb="6" eb="7">
      <t>ジ</t>
    </rPh>
    <rPh sb="8" eb="10">
      <t>ツイキ</t>
    </rPh>
    <phoneticPr fontId="4"/>
  </si>
  <si>
    <t>ファイルサイズ10MB超過時</t>
    <rPh sb="11" eb="13">
      <t>チョウカ</t>
    </rPh>
    <rPh sb="13" eb="14">
      <t>ジ</t>
    </rPh>
    <phoneticPr fontId="4"/>
  </si>
  <si>
    <t>日次1:00</t>
    <rPh sb="0" eb="2">
      <t>ニチジ</t>
    </rPh>
    <phoneticPr fontId="4"/>
  </si>
  <si>
    <t>１ファイル</t>
    <phoneticPr fontId="4"/>
  </si>
  <si>
    <t>/opt/Avaya/VoicePortal/VPMS/logs/</t>
  </si>
  <si>
    <t>avaya.audit.log.n(nは1～5の連番）</t>
  </si>
  <si>
    <t>avaya.appintfws.log.n(nは1～10の連番）</t>
  </si>
  <si>
    <t>ファイルサイズ50MB超過時</t>
    <rPh sb="11" eb="13">
      <t>チョウカ</t>
    </rPh>
    <rPh sb="13" eb="14">
      <t>ジ</t>
    </rPh>
    <phoneticPr fontId="4"/>
  </si>
  <si>
    <t>avaya.applogger.log.n(nは1～5の連番）</t>
    <phoneticPr fontId="4"/>
  </si>
  <si>
    <t>avaya.vplistener.log.n(nは1～5の連番）</t>
  </si>
  <si>
    <t>avaya.vpmanagews.log.n(nは1～5の連番）</t>
    <phoneticPr fontId="4"/>
  </si>
  <si>
    <t>avaya.snmpagent.log.n(nは1～5の連番）</t>
  </si>
  <si>
    <t>avaya.upgradews.log.n(nは1～5の連番）</t>
  </si>
  <si>
    <t>avaya.backupmgr.log.n(nは1～5の連番）</t>
  </si>
  <si>
    <t>avaya.tracemgr.log.n(nは1～5の連番）</t>
  </si>
  <si>
    <t>axis.webservice.log.n(nは1～5の連番）</t>
  </si>
  <si>
    <t>axis2.webservice.log.n(nは1～5の連番）</t>
  </si>
  <si>
    <t>avaya.coreservices.log.n(nは1～5の連番）</t>
  </si>
  <si>
    <t>avaya.appintfservice.log.n(nは1～5の連番）</t>
  </si>
  <si>
    <t>ファイルサイズ100KB超過時</t>
    <rPh sb="12" eb="14">
      <t>チョウカ</t>
    </rPh>
    <rPh sb="14" eb="15">
      <t>ジ</t>
    </rPh>
    <phoneticPr fontId="4"/>
  </si>
  <si>
    <t>avaya.hostlogserver.log.n(nは1～2の連番）</t>
  </si>
  <si>
    <t>avaya.networklogretrieverserver.log.n(nは1～3の連番）</t>
  </si>
  <si>
    <t>avaya.networklogserver.log.n(nは1～2の連番）</t>
  </si>
  <si>
    <t>avaya.service.vpms.log</t>
    <phoneticPr fontId="4"/>
  </si>
  <si>
    <t>weblmserver.log</t>
  </si>
  <si>
    <t>Tomcatサービスログ</t>
  </si>
  <si>
    <t>/opt/Tomcat/tomcat/logs/</t>
    <phoneticPr fontId="4"/>
  </si>
  <si>
    <t>admin*.log（*:yyyy-mm-dd（例:admin.2011-08-26.log））</t>
    <rPh sb="24" eb="25">
      <t>レイ</t>
    </rPh>
    <phoneticPr fontId="4"/>
  </si>
  <si>
    <t>日次0:00</t>
    <rPh sb="0" eb="2">
      <t>ニチジ</t>
    </rPh>
    <phoneticPr fontId="4"/>
  </si>
  <si>
    <t>新規生成/日次</t>
    <rPh sb="0" eb="2">
      <t>シンキ</t>
    </rPh>
    <rPh sb="2" eb="4">
      <t>セイセイ</t>
    </rPh>
    <rPh sb="5" eb="7">
      <t>ニチジ</t>
    </rPh>
    <phoneticPr fontId="4"/>
  </si>
  <si>
    <t>/opt/Tomcat/tomcat/logs/</t>
  </si>
  <si>
    <t>catalina*.log（*:yyyy-mm-dd（例:catalina.2011-08-21.log））</t>
  </si>
  <si>
    <t>catalina.out</t>
  </si>
  <si>
    <t>localhost*.log（*:yyyy-mm-dd（例:localhost.2011-08-21.log））</t>
  </si>
  <si>
    <t>manager*.log（*:yyyy-mm-dd（例:manager.2011-08-26.log））</t>
  </si>
  <si>
    <t>PostgreSQLサービスログ</t>
  </si>
  <si>
    <t>/var/lib/pgsql/data/pg_log/</t>
    <phoneticPr fontId="4"/>
  </si>
  <si>
    <t>postgres*.log（*:yyyy-mm-dd_hhmmss（例:postgresql-2011-08-30_014554.log））</t>
  </si>
  <si>
    <t>MPPサービスログ</t>
  </si>
  <si>
    <t>/opt/Avaya/VoicePortal/MPP/logs/process/Administration/</t>
  </si>
  <si>
    <t>mppmaint.log</t>
    <phoneticPr fontId="4"/>
  </si>
  <si>
    <t>/opt/Avaya/VoicePortal/MPP/logs/process/CXI/</t>
    <phoneticPr fontId="4"/>
  </si>
  <si>
    <t>CCXML-Global*.log（*:n（例:CCXML-Global-8.log））</t>
  </si>
  <si>
    <t>/opt/Avaya/VoicePortal/MPP/logs/process/SessMgr/</t>
  </si>
  <si>
    <t>Session*.log（*:XXX（例:SessionSlot-016.log））</t>
  </si>
  <si>
    <t>/opt/Avaya/VoicePortal/MPP/logs/process/VB/</t>
    <phoneticPr fontId="4"/>
  </si>
  <si>
    <t>global*.log（*:n（例:global9.log））</t>
    <phoneticPr fontId="4"/>
  </si>
  <si>
    <t>/opt/Avaya/VoicePortal/MPP/logs/process/VB/</t>
  </si>
  <si>
    <t>Session*.log（*:XXX（例:SessionSlot-014.log））</t>
  </si>
  <si>
    <t>cticonnectorログ</t>
    <phoneticPr fontId="4"/>
  </si>
  <si>
    <t>/opt/weblogic/user_projects/domains/KIUTAP01/servers
/KIUTAP01_ManagedServer01/stage/cticonnector/cticonnector/data/log/</t>
    <phoneticPr fontId="4"/>
  </si>
  <si>
    <t>trace.log.*（*:yyyy-mm-dd（例:trace.log.2011-09-29））</t>
    <phoneticPr fontId="4"/>
  </si>
  <si>
    <t>/opt/weblogic/user_projects/domains/KIUHAP01/servers
/KIUHAP01_ManagedServer01/stage/cticonnector/cticonnector/data/log/</t>
    <phoneticPr fontId="4"/>
  </si>
  <si>
    <t>/opt/weblogic/user_projects/domains/KIUKAP01/servers
/KIUKAP01_ManagedServer01/stage/cticonnector/cticonnector/data/log/</t>
    <phoneticPr fontId="4"/>
  </si>
  <si>
    <t>バッチ実行ログ</t>
    <rPh sb="3" eb="5">
      <t>ジッコウ</t>
    </rPh>
    <phoneticPr fontId="2"/>
  </si>
  <si>
    <t>/var/app/ki/script/log/</t>
    <phoneticPr fontId="4"/>
  </si>
  <si>
    <t>BDS101.log</t>
    <phoneticPr fontId="4"/>
  </si>
  <si>
    <t>バッチ実行時</t>
    <rPh sb="3" eb="5">
      <t>ジッコウ</t>
    </rPh>
    <rPh sb="5" eb="6">
      <t>ジ</t>
    </rPh>
    <phoneticPr fontId="4"/>
  </si>
  <si>
    <t>日次16:30</t>
    <rPh sb="0" eb="2">
      <t>ニチジ</t>
    </rPh>
    <phoneticPr fontId="4"/>
  </si>
  <si>
    <t>BDS102.log</t>
    <phoneticPr fontId="4"/>
  </si>
  <si>
    <t>COM101.log</t>
    <phoneticPr fontId="4"/>
  </si>
  <si>
    <t>COM103.log</t>
    <phoneticPr fontId="4"/>
  </si>
  <si>
    <t>HSR101.log</t>
    <phoneticPr fontId="4"/>
  </si>
  <si>
    <t>HSR102.log</t>
    <phoneticPr fontId="4"/>
  </si>
  <si>
    <t>HSR103.log</t>
    <phoneticPr fontId="4"/>
  </si>
  <si>
    <t>HSR104.log</t>
    <phoneticPr fontId="4"/>
  </si>
  <si>
    <t>HSR105.log</t>
    <phoneticPr fontId="4"/>
  </si>
  <si>
    <t>LDI101.log</t>
    <phoneticPr fontId="4"/>
  </si>
  <si>
    <t>LDI102.log</t>
    <phoneticPr fontId="4"/>
  </si>
  <si>
    <t>LDI103.log</t>
    <phoneticPr fontId="4"/>
  </si>
  <si>
    <t>/var/app/ki/script/log/</t>
  </si>
  <si>
    <t>CRC101.log</t>
  </si>
  <si>
    <t>日次00:00</t>
    <rPh sb="0" eb="2">
      <t>ニチジ</t>
    </rPh>
    <phoneticPr fontId="4"/>
  </si>
  <si>
    <t>フル</t>
  </si>
  <si>
    <t>１ファイル</t>
  </si>
  <si>
    <t>○</t>
  </si>
  <si>
    <t>×</t>
  </si>
  <si>
    <t>CRC102.log</t>
  </si>
  <si>
    <t>CRC103.log</t>
  </si>
  <si>
    <t>CRC104.log</t>
  </si>
  <si>
    <t>CRC105.log</t>
  </si>
  <si>
    <t>/var/app/ki02/script/log/</t>
    <phoneticPr fontId="4"/>
  </si>
  <si>
    <t>/var/app/ki02/script/log/</t>
  </si>
  <si>
    <t>SQLPlus実行ログ</t>
    <rPh sb="7" eb="9">
      <t>ジッコウ</t>
    </rPh>
    <phoneticPr fontId="2"/>
  </si>
  <si>
    <t>BDS101_SQL1_*.log (*:yyyymmddhhmiss(例:BDS101_SQL1_20120131235059.log))</t>
    <rPh sb="36" eb="37">
      <t>レイ</t>
    </rPh>
    <phoneticPr fontId="4"/>
  </si>
  <si>
    <t>新規作成/随時</t>
    <rPh sb="0" eb="2">
      <t>シンキ</t>
    </rPh>
    <rPh sb="2" eb="4">
      <t>サクセイ</t>
    </rPh>
    <rPh sb="5" eb="7">
      <t>ズイジ</t>
    </rPh>
    <phoneticPr fontId="4"/>
  </si>
  <si>
    <t>BDS101_SQL2_*.log (*:yyyymmddhhmiss(例:BDS101_SQL2_20120131235059.log))</t>
    <phoneticPr fontId="4"/>
  </si>
  <si>
    <t>BDS101_SQL3_*.log (*:yyyymmddhhmiss(例:BDS101_SQL3_20120131235059.log))</t>
    <phoneticPr fontId="4"/>
  </si>
  <si>
    <t>BDS102_SQL1_*.log (*:yyyymmddhhmiss(例:BDS102_SQL1_20120131235059.log))</t>
    <phoneticPr fontId="4"/>
  </si>
  <si>
    <t>BDS102_SQL2_*.log (*:yyyymmddhhmiss(例:BDS102_SQL2_20120131235059.log))</t>
    <phoneticPr fontId="4"/>
  </si>
  <si>
    <t>BDS102_SQL3_*.log (*:yyyymmddhhmiss(例:BDS102_SQL3_20120131235059.log))</t>
    <phoneticPr fontId="4"/>
  </si>
  <si>
    <t>COM101_SQL_*.log (*:yyyymmddhhmiss(例:COM101_SQL_20120131235059.log))</t>
    <phoneticPr fontId="4"/>
  </si>
  <si>
    <t>HSR101_SQL_*.log (*:yyyymmddhhmiss(例:HSR101_SQL_20120131235059.log))</t>
    <phoneticPr fontId="4"/>
  </si>
  <si>
    <t>HSR102_SQL_*.log (*:yyyymmddhhmiss(例:HSR102_SQL_20120131235059.log))</t>
    <phoneticPr fontId="4"/>
  </si>
  <si>
    <t>HSR104_SQL_*.log (*:yyyymmddhhmiss(例:HSR104_SQL_20120131235059.log))</t>
    <phoneticPr fontId="4"/>
  </si>
  <si>
    <t>LDI103_SQL_*.log (*:yyyymmddhhmiss(例:LDI103_SQL_20120131235059.log))</t>
    <phoneticPr fontId="4"/>
  </si>
  <si>
    <t>CRC101_SQL_*.log (*:yyyymmddhhmiss(例:CRC101_SQL_20120131235059.log))</t>
  </si>
  <si>
    <t>CRC102_SQL_*.log (*:yyyymmddhhmiss(例:CRC102_SQL_20120131235059.log))</t>
  </si>
  <si>
    <t>CRC104_SQL_*.log (*:yyyymmddhhmiss(例:CRC104_SQL_20120131235059.log))</t>
  </si>
  <si>
    <t>SQLLoader実行ログ</t>
    <rPh sb="9" eb="11">
      <t>ジッコウ</t>
    </rPh>
    <phoneticPr fontId="2"/>
  </si>
  <si>
    <t>LOAD_D_OPERATION_LOG_IN_*_*.log (*_*:項番(数値)_yyyymmddhhmiss
(例:LOAD_D_OPERATION_LOG_IN_1_20120131235059.log))</t>
    <phoneticPr fontId="4"/>
  </si>
  <si>
    <t>音声フローErrorログ</t>
    <rPh sb="0" eb="2">
      <t>オンセイ</t>
    </rPh>
    <phoneticPr fontId="2"/>
  </si>
  <si>
    <t>/var/app/ki/flow/log/</t>
    <phoneticPr fontId="4"/>
  </si>
  <si>
    <t>error.log.n(nは1～50の連番）</t>
    <phoneticPr fontId="4"/>
  </si>
  <si>
    <t>/var/app/ki02/flow/log/</t>
    <phoneticPr fontId="4"/>
  </si>
  <si>
    <t>音声フローInfoログ</t>
    <rPh sb="0" eb="2">
      <t>オンセイ</t>
    </rPh>
    <phoneticPr fontId="2"/>
  </si>
  <si>
    <t>info.log.n(nは1～50の連番）</t>
    <phoneticPr fontId="4"/>
  </si>
  <si>
    <t>音声フローDebugログ</t>
    <rPh sb="0" eb="2">
      <t>オンセイ</t>
    </rPh>
    <phoneticPr fontId="2"/>
  </si>
  <si>
    <t>debug.log.n(nは1～50の連番）</t>
    <phoneticPr fontId="4"/>
  </si>
  <si>
    <t>管理画面Errorログ</t>
    <rPh sb="0" eb="2">
      <t>カンリ</t>
    </rPh>
    <rPh sb="2" eb="4">
      <t>ガメン</t>
    </rPh>
    <phoneticPr fontId="2"/>
  </si>
  <si>
    <t>/var/app/ki/mng-web/log/</t>
    <phoneticPr fontId="4"/>
  </si>
  <si>
    <t>error.log.*（*:yyyy-mm-dd（例:error.log.2011-09-29））</t>
    <phoneticPr fontId="4"/>
  </si>
  <si>
    <t>/var/app/ki02/mng-web/log/</t>
    <phoneticPr fontId="4"/>
  </si>
  <si>
    <t>管理画面Infoログ</t>
    <rPh sb="0" eb="2">
      <t>カンリ</t>
    </rPh>
    <rPh sb="2" eb="4">
      <t>ガメン</t>
    </rPh>
    <phoneticPr fontId="2"/>
  </si>
  <si>
    <t>info.log.*（*:yyyy-mm-dd（例:info.log.2011-09-29））</t>
    <phoneticPr fontId="4"/>
  </si>
  <si>
    <t>管理画面Debugログ</t>
    <rPh sb="0" eb="2">
      <t>カンリ</t>
    </rPh>
    <rPh sb="2" eb="4">
      <t>ガメン</t>
    </rPh>
    <phoneticPr fontId="2"/>
  </si>
  <si>
    <t>debug.log.*（*:yyyy-mm-dd（例:debug.log.2011-09-29））</t>
    <phoneticPr fontId="4"/>
  </si>
  <si>
    <t>ストアドファンクション実行ログ</t>
    <rPh sb="11" eb="13">
      <t>ジッコウ</t>
    </rPh>
    <phoneticPr fontId="2"/>
  </si>
  <si>
    <t>BDS101_D_ANALYZE_MNG_*.log (*:yyyymmddhhmiss(例:BDS101_D_ANALYZE_MNG_20120131235059.log.log))</t>
    <phoneticPr fontId="4"/>
  </si>
  <si>
    <t>BDS101_D_MENU_COUNT_DAY_*.log (*:yyyymmddhhmiss(例:BDS101_D_MENU_COUNT_DAY_20120131235059.log))</t>
    <phoneticPr fontId="4"/>
  </si>
  <si>
    <t>BDS102_D_ANALYZE_MNG_*.log (*:yyyymmddhhmiss(例:BDS102_D_ANALYZE_MNG_20120131235059.log))</t>
    <phoneticPr fontId="4"/>
  </si>
  <si>
    <t>BDS102_D_PORT_COUNT_SEC_*.log (*:yyyymmddhhmiss(例:BDS102_D_PORT_COUNT_SEC_20120131235059.log))</t>
    <phoneticPr fontId="4"/>
  </si>
  <si>
    <t>BDS102_D_DOC_RECEIPT_*.log (*:yyyymmddhhmiss(例:BDS102_D_DOC_RECEIPT_20120131235059.log))</t>
    <phoneticPr fontId="4"/>
  </si>
  <si>
    <t>BDS102_D_MAILORD_RECEIPT_*.log (*:yyyymmddhhmiss(例:BDS102_D_MAILORD_RECEIPT_20120131235059.log))</t>
    <phoneticPr fontId="4"/>
  </si>
  <si>
    <t>BDS102_D_OPERATION_LOG_*.log (*:yyyymmddhhmiss(例:BDS102_D_OPERATION_LOG_20120131235059.log))</t>
    <phoneticPr fontId="4"/>
  </si>
  <si>
    <t>BDS102_D_CAMP_RECEIPT_*.log (*:yyyymmddhhmiss(例:BDS102_D_CAMP_RECEIPT_20120131235059.log))</t>
    <phoneticPr fontId="4"/>
  </si>
  <si>
    <t>PRC_EDIT_SIRYO_DATA_*.log (*:yyyymmddhhmiss(例:PRC_EDIT_SIRYO_DATA_20120131235059.log))</t>
    <phoneticPr fontId="4"/>
  </si>
  <si>
    <t>PRC_EDIT_CAMPAIGN_DATA_*.log (*:yyyymmddhhmiss(例:PRC_EDIT_CAMPAIGN_DATA_20120131235059.log))</t>
  </si>
  <si>
    <t>PRC_MAX_PORT_*.log (*:yyyymmddhhmiss(例:PRC_MAX_PORT_20120131235059.log))</t>
    <phoneticPr fontId="4"/>
  </si>
  <si>
    <t>PRC_DELETE_COM_*.log (*:yyyymmddhhmiss(例:PRC_DELETE_COM_20120131235059.log))</t>
    <phoneticPr fontId="4"/>
  </si>
  <si>
    <t>5.データバックアップ／APログ</t>
    <phoneticPr fontId="4"/>
  </si>
  <si>
    <t>4.データバックアップ／システムログ</t>
    <phoneticPr fontId="4"/>
  </si>
  <si>
    <t>バックアップジョブ失敗時のリランはMSYS開発部署にて判断を行い対応します。</t>
    <phoneticPr fontId="4"/>
  </si>
  <si>
    <t>/
/root2
/var</t>
    <phoneticPr fontId="4"/>
  </si>
  <si>
    <t>本システムのシステムバックアップは、MSYS開発部署にて実施します。</t>
    <rPh sb="0" eb="1">
      <t>ホン</t>
    </rPh>
    <rPh sb="22" eb="24">
      <t>カイハツ</t>
    </rPh>
    <rPh sb="24" eb="26">
      <t>ブショ</t>
    </rPh>
    <rPh sb="28" eb="30">
      <t>ジッシ</t>
    </rPh>
    <phoneticPr fontId="4"/>
  </si>
  <si>
    <t>OSのシステムログ（Windowsの場合、イベントログ）を収集します。
システム稼働情報ログについては、WebSAM Agent導入機器はWebSAMのリソース監視にて収集。WebSAM Agent未導入機器は運用ツールにて収集。</t>
    <rPh sb="18" eb="20">
      <t>バアイ</t>
    </rPh>
    <rPh sb="29" eb="31">
      <t>シュウシュウ</t>
    </rPh>
    <rPh sb="64" eb="66">
      <t>ドウニュウ</t>
    </rPh>
    <rPh sb="66" eb="68">
      <t>キキ</t>
    </rPh>
    <rPh sb="80" eb="82">
      <t>カンシ</t>
    </rPh>
    <rPh sb="84" eb="86">
      <t>シュウシュウ</t>
    </rPh>
    <rPh sb="99" eb="100">
      <t>ミ</t>
    </rPh>
    <rPh sb="105" eb="107">
      <t>ウンヨウ</t>
    </rPh>
    <rPh sb="112" eb="114">
      <t>シュウシュウ</t>
    </rPh>
    <phoneticPr fontId="4"/>
  </si>
  <si>
    <t>JP1/AJS3にてスケジューリングし、バックアップを取得します。</t>
    <phoneticPr fontId="4"/>
  </si>
  <si>
    <t>データバックアップ／
システムログ・システム稼働情報ログ</t>
    <phoneticPr fontId="4"/>
  </si>
  <si>
    <t>システムログ、およびWebSAM未導入機器のシステム稼働情報ログは、JP1/AJS3にてスケジューリングし、バックアップを取得します。
WebSAM導入機器のシステム稼働情報ログは、WebSAM Managerにて収集</t>
    <rPh sb="16" eb="19">
      <t>ミドウニュウ</t>
    </rPh>
    <rPh sb="19" eb="21">
      <t>キキ</t>
    </rPh>
    <rPh sb="26" eb="28">
      <t>カドウ</t>
    </rPh>
    <rPh sb="28" eb="30">
      <t>ジョウホウ</t>
    </rPh>
    <rPh sb="61" eb="63">
      <t>シュトク</t>
    </rPh>
    <rPh sb="107" eb="109">
      <t>シュウシュウ</t>
    </rPh>
    <phoneticPr fontId="4"/>
  </si>
  <si>
    <t>〇</t>
    <phoneticPr fontId="4"/>
  </si>
  <si>
    <t>システム稼働情報ログ</t>
    <phoneticPr fontId="4"/>
  </si>
  <si>
    <t>WebSAM Agent導入機器</t>
    <rPh sb="12" eb="14">
      <t>ドウニュウ</t>
    </rPh>
    <rPh sb="14" eb="16">
      <t>キキ</t>
    </rPh>
    <phoneticPr fontId="4"/>
  </si>
  <si>
    <t>WebSAM Agent未導入機器</t>
    <rPh sb="12" eb="13">
      <t>ミ</t>
    </rPh>
    <rPh sb="13" eb="15">
      <t>ドウニュウ</t>
    </rPh>
    <rPh sb="15" eb="17">
      <t>キキ</t>
    </rPh>
    <phoneticPr fontId="4"/>
  </si>
  <si>
    <t>messages</t>
  </si>
  <si>
    <t>/var/log/</t>
    <phoneticPr fontId="4"/>
  </si>
  <si>
    <t>-</t>
    <phoneticPr fontId="4"/>
  </si>
  <si>
    <t>イベントログ</t>
    <phoneticPr fontId="4"/>
  </si>
  <si>
    <t>avaya.hostlogretrieverserver.log.n(nは1～3の連番）</t>
    <phoneticPr fontId="4"/>
  </si>
  <si>
    <t>host-manager*.log（*:yyyy-mm-dd（例:host-manager.2011-08-26.log））</t>
    <phoneticPr fontId="4"/>
  </si>
  <si>
    <t>日付</t>
    <rPh sb="0" eb="2">
      <t>ヒヅケ</t>
    </rPh>
    <phoneticPr fontId="4"/>
  </si>
  <si>
    <t>定期的に追記</t>
    <rPh sb="0" eb="3">
      <t>テイキテキ</t>
    </rPh>
    <rPh sb="4" eb="6">
      <t>ツイキ</t>
    </rPh>
    <phoneticPr fontId="4"/>
  </si>
  <si>
    <t>WebSAM Managerに保存</t>
    <rPh sb="15" eb="17">
      <t>ホゾン</t>
    </rPh>
    <phoneticPr fontId="4"/>
  </si>
  <si>
    <t>JP1/AJS3</t>
  </si>
  <si>
    <t>EPMサービスログ</t>
    <phoneticPr fontId="4"/>
  </si>
  <si>
    <t>No12以降のAPログについては、詳細設計にて検討後、修正</t>
    <rPh sb="4" eb="6">
      <t>イコウ</t>
    </rPh>
    <rPh sb="17" eb="19">
      <t>ショウサイ</t>
    </rPh>
    <rPh sb="19" eb="21">
      <t>セッケイ</t>
    </rPh>
    <rPh sb="23" eb="25">
      <t>ケントウ</t>
    </rPh>
    <rPh sb="25" eb="26">
      <t>ゴ</t>
    </rPh>
    <rPh sb="27" eb="29">
      <t>シュウセイ</t>
    </rPh>
    <phoneticPr fontId="4"/>
  </si>
  <si>
    <t>詳細は「バックアップ対象一覧」シートを参照　※項番11を参照</t>
    <rPh sb="0" eb="2">
      <t>ショウサイ</t>
    </rPh>
    <rPh sb="10" eb="12">
      <t>タイショウ</t>
    </rPh>
    <rPh sb="12" eb="14">
      <t>イチラン</t>
    </rPh>
    <rPh sb="19" eb="21">
      <t>サンショウ</t>
    </rPh>
    <phoneticPr fontId="4"/>
  </si>
  <si>
    <t>詳細は「バックアップ対象一覧」シートを参照　※項番7～10を参照</t>
    <rPh sb="0" eb="2">
      <t>ショウサイ</t>
    </rPh>
    <rPh sb="10" eb="12">
      <t>タイショウ</t>
    </rPh>
    <rPh sb="12" eb="14">
      <t>イチラン</t>
    </rPh>
    <rPh sb="19" eb="21">
      <t>サンショウ</t>
    </rPh>
    <rPh sb="23" eb="24">
      <t>ウナジ</t>
    </rPh>
    <rPh sb="24" eb="25">
      <t>バン</t>
    </rPh>
    <rPh sb="30" eb="32">
      <t>サンショウ</t>
    </rPh>
    <phoneticPr fontId="4"/>
  </si>
  <si>
    <t>運用ツール</t>
    <phoneticPr fontId="4"/>
  </si>
  <si>
    <t xml:space="preserve">ベア メタル回復
システム状態
システムで予約済み
C:
D:
</t>
    <rPh sb="6" eb="8">
      <t>カイフク</t>
    </rPh>
    <rPh sb="13" eb="15">
      <t>ジョウタイ</t>
    </rPh>
    <rPh sb="21" eb="23">
      <t>ヨヤク</t>
    </rPh>
    <rPh sb="23" eb="24">
      <t>ズ</t>
    </rPh>
    <phoneticPr fontId="4"/>
  </si>
  <si>
    <t>①JP1/AJS3
②Arcserve</t>
    <phoneticPr fontId="4"/>
  </si>
  <si>
    <t>①日次0:00
②日次0:30</t>
    <rPh sb="1" eb="3">
      <t>ニチジ</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</si>
</sst>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
    <numFmt numFmtId="177" formatCode="h:mm;@"/>
    <numFmt numFmtId="178" formatCode="yyyy/m/d;@"/>
  </numFmts>
  <fonts count="13" x14ac:knownFonts="1">
    <font>
      <sz val="11"/>
      <name val="ＭＳ Ｐゴシック"/>
      <family val="3"/>
      <charset val="128"/>
    </font>
    <font>
      <sz val="11"/>
      <name val="ＭＳ Ｐゴシック"/>
      <family val="3"/>
      <charset val="128"/>
    </font>
    <font>
      <b/>
      <sz val="14"/>
      <name val="ＭＳ Ｐゴシック"/>
      <family val="3"/>
      <charset val="128"/>
    </font>
    <font>
      <b/>
      <u/>
      <sz val="14"/>
      <name val="ＭＳ Ｐゴシック"/>
      <family val="3"/>
      <charset val="128"/>
    </font>
    <font>
      <sz val="6"/>
      <name val="ＭＳ Ｐゴシック"/>
      <family val="3"/>
      <charset val="128"/>
    </font>
    <font>
      <sz val="10"/>
      <name val="ＭＳ Ｐゴシック"/>
      <family val="3"/>
      <charset val="128"/>
    </font>
    <font>
      <sz val="9"/>
      <name val="ＭＳ Ｐゴシック"/>
      <family val="3"/>
      <charset val="128"/>
    </font>
    <font>
      <sz val="10"/>
      <color theme="0"/>
      <name val="ＭＳ Ｐゴシック"/>
      <family val="3"/>
      <charset val="128"/>
    </font>
    <font>
      <sz val="10"/>
      <color rgb="FFFF0000"/>
      <name val="ＭＳ Ｐゴシック"/>
      <family val="3"/>
      <charset val="128"/>
    </font>
    <font>
      <sz val="11"/>
      <color theme="1"/>
      <name val="ＭＳ Ｐゴシック"/>
      <family val="3"/>
      <charset val="128"/>
      <scheme val="minor"/>
    </font>
    <font>
      <sz val="10"/>
      <color rgb="FF0070C0"/>
      <name val="ＭＳ Ｐゴシック"/>
      <family val="3"/>
      <charset val="128"/>
    </font>
    <font>
      <strike/>
      <sz val="10"/>
      <name val="ＭＳ Ｐゴシック"/>
      <family val="3"/>
      <charset val="128"/>
    </font>
    <font>
      <sz val="10"/>
      <color theme="1"/>
      <name val="ＭＳ Ｐゴシック"/>
      <family val="3"/>
      <charset val="128"/>
    </font>
  </fonts>
  <fills count="8">
    <fill>
      <patternFill patternType="none"/>
    </fill>
    <fill>
      <patternFill patternType="gray125"/>
    </fill>
    <fill>
      <patternFill patternType="solid">
        <fgColor rgb="FF0000FF"/>
        <bgColor indexed="64"/>
      </patternFill>
    </fill>
    <fill>
      <patternFill patternType="solid">
        <fgColor theme="0"/>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rgb="FFFFC000"/>
        <bgColor indexed="64"/>
      </patternFill>
    </fill>
  </fills>
  <borders count="24">
    <border>
      <left/>
      <right/>
      <top/>
      <bottom/>
      <diagonal/>
    </border>
    <border>
      <left style="medium">
        <color indexed="64"/>
      </left>
      <right/>
      <top/>
      <bottom/>
      <diagonal/>
    </border>
    <border>
      <left/>
      <right style="medium">
        <color indexed="64"/>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4">
    <xf numFmtId="0" fontId="0" fillId="0" borderId="0"/>
    <xf numFmtId="0" fontId="1" fillId="0" borderId="0"/>
    <xf numFmtId="0" fontId="1" fillId="0" borderId="0"/>
    <xf numFmtId="0" fontId="9" fillId="0" borderId="0">
      <alignment vertical="center"/>
    </xf>
  </cellStyleXfs>
  <cellXfs count="147">
    <xf numFmtId="0" fontId="0" fillId="0" borderId="0" xfId="0"/>
    <xf numFmtId="0" fontId="5" fillId="0" borderId="0" xfId="0" applyNumberFormat="1" applyFont="1" applyFill="1" applyBorder="1" applyAlignment="1"/>
    <xf numFmtId="0" fontId="5" fillId="0" borderId="0" xfId="0" applyNumberFormat="1" applyFont="1" applyFill="1" applyAlignment="1"/>
    <xf numFmtId="0" fontId="5" fillId="0" borderId="1" xfId="0" applyNumberFormat="1" applyFont="1" applyFill="1" applyBorder="1" applyAlignment="1"/>
    <xf numFmtId="0" fontId="5" fillId="0" borderId="2" xfId="0" applyNumberFormat="1" applyFont="1" applyFill="1" applyBorder="1" applyAlignment="1"/>
    <xf numFmtId="0" fontId="5" fillId="0" borderId="0" xfId="0" applyNumberFormat="1" applyFont="1" applyFill="1" applyBorder="1" applyAlignment="1">
      <alignment horizontal="left"/>
    </xf>
    <xf numFmtId="0" fontId="6" fillId="0" borderId="2" xfId="0" applyNumberFormat="1" applyFont="1" applyFill="1" applyBorder="1" applyAlignment="1"/>
    <xf numFmtId="0" fontId="5" fillId="0" borderId="3" xfId="0" applyNumberFormat="1" applyFont="1" applyFill="1" applyBorder="1" applyAlignment="1">
      <alignment horizontal="left"/>
    </xf>
    <xf numFmtId="0" fontId="5" fillId="0" borderId="0" xfId="0" applyNumberFormat="1" applyFont="1"/>
    <xf numFmtId="0" fontId="5" fillId="0" borderId="0" xfId="0" applyNumberFormat="1" applyFont="1" applyBorder="1"/>
    <xf numFmtId="0" fontId="5" fillId="0" borderId="5" xfId="0" applyNumberFormat="1" applyFont="1" applyBorder="1"/>
    <xf numFmtId="0" fontId="1" fillId="0" borderId="5" xfId="0" applyNumberFormat="1" applyFont="1" applyBorder="1" applyAlignment="1">
      <alignment horizontal="left"/>
    </xf>
    <xf numFmtId="0" fontId="5" fillId="0" borderId="6" xfId="0" applyNumberFormat="1" applyFont="1" applyFill="1" applyBorder="1" applyAlignment="1"/>
    <xf numFmtId="0" fontId="5" fillId="0" borderId="7" xfId="0" applyNumberFormat="1" applyFont="1" applyFill="1" applyBorder="1" applyAlignment="1"/>
    <xf numFmtId="0" fontId="5" fillId="0" borderId="8" xfId="0" applyNumberFormat="1" applyFont="1" applyFill="1" applyBorder="1" applyAlignment="1"/>
    <xf numFmtId="0" fontId="5" fillId="0" borderId="0" xfId="0" quotePrefix="1" applyNumberFormat="1" applyFont="1" applyFill="1" applyAlignment="1"/>
    <xf numFmtId="0" fontId="5" fillId="0" borderId="9" xfId="0" applyNumberFormat="1" applyFont="1" applyFill="1" applyBorder="1" applyAlignment="1"/>
    <xf numFmtId="0" fontId="5" fillId="0" borderId="5" xfId="0" applyNumberFormat="1" applyFont="1" applyFill="1" applyBorder="1" applyAlignment="1"/>
    <xf numFmtId="0" fontId="5" fillId="0" borderId="5" xfId="0" applyNumberFormat="1" applyFont="1" applyFill="1" applyBorder="1" applyAlignment="1">
      <alignment horizontal="left" vertical="top"/>
    </xf>
    <xf numFmtId="0" fontId="5" fillId="0" borderId="10" xfId="0" applyNumberFormat="1" applyFont="1" applyFill="1" applyBorder="1" applyAlignment="1"/>
    <xf numFmtId="0" fontId="5" fillId="0" borderId="0" xfId="0" applyNumberFormat="1" applyFont="1" applyFill="1" applyBorder="1" applyAlignment="1">
      <alignment horizontal="left" vertical="top"/>
    </xf>
    <xf numFmtId="0" fontId="5" fillId="0" borderId="0" xfId="0" applyNumberFormat="1" applyFont="1" applyFill="1" applyBorder="1" applyAlignment="1">
      <alignment horizontal="center" vertical="top"/>
    </xf>
    <xf numFmtId="0" fontId="3" fillId="0" borderId="0" xfId="0" applyNumberFormat="1" applyFont="1"/>
    <xf numFmtId="0" fontId="5" fillId="3" borderId="12" xfId="0" applyNumberFormat="1" applyFont="1" applyFill="1" applyBorder="1" applyAlignment="1">
      <alignment horizontal="left" vertical="top"/>
    </xf>
    <xf numFmtId="0" fontId="5" fillId="3" borderId="13" xfId="0" applyNumberFormat="1" applyFont="1" applyFill="1" applyBorder="1" applyAlignment="1">
      <alignment horizontal="left" vertical="top"/>
    </xf>
    <xf numFmtId="0" fontId="5" fillId="3" borderId="11" xfId="0" applyNumberFormat="1" applyFont="1" applyFill="1" applyBorder="1" applyAlignment="1">
      <alignment horizontal="left" vertical="top"/>
    </xf>
    <xf numFmtId="177" fontId="5" fillId="3" borderId="12" xfId="0" applyNumberFormat="1" applyFont="1" applyFill="1" applyBorder="1" applyAlignment="1">
      <alignment horizontal="left" vertical="top"/>
    </xf>
    <xf numFmtId="177" fontId="5" fillId="3" borderId="13" xfId="0" applyNumberFormat="1" applyFont="1" applyFill="1" applyBorder="1" applyAlignment="1">
      <alignment horizontal="left" vertical="top"/>
    </xf>
    <xf numFmtId="177" fontId="5" fillId="3" borderId="11" xfId="0" quotePrefix="1" applyNumberFormat="1" applyFont="1" applyFill="1" applyBorder="1" applyAlignment="1">
      <alignment horizontal="left" vertical="top"/>
    </xf>
    <xf numFmtId="20" fontId="5" fillId="3" borderId="11" xfId="0" quotePrefix="1" applyNumberFormat="1" applyFont="1" applyFill="1" applyBorder="1" applyAlignment="1">
      <alignment horizontal="left" vertical="top"/>
    </xf>
    <xf numFmtId="0" fontId="10" fillId="0" borderId="0" xfId="0" applyNumberFormat="1" applyFont="1" applyFill="1" applyBorder="1" applyAlignment="1"/>
    <xf numFmtId="0" fontId="10" fillId="0" borderId="0" xfId="0" applyNumberFormat="1" applyFont="1" applyFill="1" applyBorder="1" applyAlignment="1">
      <alignment horizontal="left" vertical="top"/>
    </xf>
    <xf numFmtId="0" fontId="8" fillId="0" borderId="1" xfId="0" applyNumberFormat="1" applyFont="1" applyFill="1" applyBorder="1" applyAlignment="1"/>
    <xf numFmtId="0" fontId="8" fillId="0" borderId="0" xfId="0" applyNumberFormat="1" applyFont="1" applyFill="1" applyAlignment="1"/>
    <xf numFmtId="0" fontId="12" fillId="0" borderId="4" xfId="0" quotePrefix="1" applyNumberFormat="1" applyFont="1" applyBorder="1" applyAlignment="1">
      <alignment horizontal="left" vertical="top"/>
    </xf>
    <xf numFmtId="0" fontId="12" fillId="0" borderId="4" xfId="0" applyNumberFormat="1" applyFont="1" applyBorder="1" applyAlignment="1">
      <alignment horizontal="left" vertical="top"/>
    </xf>
    <xf numFmtId="0" fontId="12" fillId="0" borderId="4" xfId="0" applyNumberFormat="1" applyFont="1" applyFill="1" applyBorder="1" applyAlignment="1">
      <alignment horizontal="left" vertical="top"/>
    </xf>
    <xf numFmtId="0" fontId="12" fillId="0" borderId="4" xfId="0" applyNumberFormat="1" applyFont="1" applyBorder="1" applyAlignment="1">
      <alignment horizontal="left" vertical="top" wrapText="1"/>
    </xf>
    <xf numFmtId="0" fontId="12" fillId="0" borderId="4" xfId="0" applyNumberFormat="1" applyFont="1" applyBorder="1" applyAlignment="1">
      <alignment horizontal="center" vertical="top"/>
    </xf>
    <xf numFmtId="0" fontId="12" fillId="0" borderId="4" xfId="0" applyNumberFormat="1" applyFont="1" applyFill="1" applyBorder="1" applyAlignment="1">
      <alignment horizontal="center" vertical="top"/>
    </xf>
    <xf numFmtId="0" fontId="5" fillId="0" borderId="0" xfId="0" applyNumberFormat="1" applyFont="1" applyFill="1"/>
    <xf numFmtId="0" fontId="8" fillId="0" borderId="0" xfId="0" applyNumberFormat="1" applyFont="1" applyFill="1" applyBorder="1" applyAlignment="1"/>
    <xf numFmtId="0" fontId="5" fillId="4" borderId="4" xfId="0" applyNumberFormat="1" applyFont="1" applyFill="1" applyBorder="1" applyAlignment="1">
      <alignment horizontal="center" vertical="center" wrapText="1"/>
    </xf>
    <xf numFmtId="0" fontId="12" fillId="5" borderId="4" xfId="0" applyNumberFormat="1" applyFont="1" applyFill="1" applyBorder="1" applyAlignment="1">
      <alignment horizontal="center" vertical="center" textRotation="180" wrapText="1"/>
    </xf>
    <xf numFmtId="0" fontId="12" fillId="6" borderId="4" xfId="0" applyNumberFormat="1" applyFont="1" applyFill="1" applyBorder="1" applyAlignment="1">
      <alignment horizontal="center" vertical="center" textRotation="180" wrapText="1"/>
    </xf>
    <xf numFmtId="0" fontId="12" fillId="0" borderId="4" xfId="0" applyNumberFormat="1" applyFont="1" applyFill="1" applyBorder="1" applyAlignment="1">
      <alignment horizontal="left" vertical="top"/>
    </xf>
    <xf numFmtId="0" fontId="12" fillId="0" borderId="4" xfId="0" applyNumberFormat="1" applyFont="1" applyBorder="1" applyAlignment="1">
      <alignment horizontal="left" vertical="top"/>
    </xf>
    <xf numFmtId="0" fontId="12" fillId="0" borderId="4" xfId="0" applyNumberFormat="1" applyFont="1" applyFill="1" applyBorder="1" applyAlignment="1">
      <alignment horizontal="left" vertical="top"/>
    </xf>
    <xf numFmtId="0" fontId="12" fillId="0" borderId="4" xfId="0" applyNumberFormat="1" applyFont="1" applyBorder="1" applyAlignment="1">
      <alignment horizontal="left" vertical="top"/>
    </xf>
    <xf numFmtId="0" fontId="5" fillId="7" borderId="1" xfId="0" applyNumberFormat="1" applyFont="1" applyFill="1" applyBorder="1" applyAlignment="1"/>
    <xf numFmtId="0" fontId="5" fillId="0" borderId="1" xfId="0" applyFont="1" applyBorder="1"/>
    <xf numFmtId="0" fontId="5" fillId="0" borderId="0" xfId="0" applyFont="1"/>
    <xf numFmtId="0" fontId="5" fillId="0" borderId="4" xfId="0" applyFont="1" applyBorder="1" applyAlignment="1">
      <alignment horizontal="left" vertical="top" wrapText="1"/>
    </xf>
    <xf numFmtId="0" fontId="5" fillId="0" borderId="2" xfId="0" applyFont="1" applyBorder="1"/>
    <xf numFmtId="0" fontId="5" fillId="0" borderId="0" xfId="0" quotePrefix="1" applyFont="1"/>
    <xf numFmtId="0" fontId="5" fillId="7" borderId="1" xfId="0" applyFont="1" applyFill="1" applyBorder="1"/>
    <xf numFmtId="0" fontId="5" fillId="0" borderId="0" xfId="0" applyFont="1" applyAlignment="1">
      <alignment horizontal="left" vertical="top"/>
    </xf>
    <xf numFmtId="0" fontId="5" fillId="0" borderId="0" xfId="0" applyFont="1" applyAlignment="1">
      <alignment horizontal="center" vertical="top"/>
    </xf>
    <xf numFmtId="0" fontId="5" fillId="0" borderId="4" xfId="0" applyFont="1" applyBorder="1" applyAlignment="1">
      <alignment horizontal="left" vertical="top"/>
    </xf>
    <xf numFmtId="0" fontId="5" fillId="0" borderId="4" xfId="0" applyFont="1" applyBorder="1" applyAlignment="1">
      <alignment horizontal="center" vertical="top"/>
    </xf>
    <xf numFmtId="0" fontId="8" fillId="0" borderId="4" xfId="0" applyFont="1" applyBorder="1" applyAlignment="1">
      <alignment horizontal="left" vertical="top" wrapText="1"/>
    </xf>
    <xf numFmtId="0" fontId="8" fillId="0" borderId="4" xfId="0" applyFont="1" applyBorder="1" applyAlignment="1">
      <alignment horizontal="left" vertical="top"/>
    </xf>
    <xf numFmtId="0" fontId="8" fillId="0" borderId="4" xfId="0" applyFont="1" applyBorder="1" applyAlignment="1">
      <alignment horizontal="center" vertical="top"/>
    </xf>
    <xf numFmtId="0" fontId="5" fillId="0" borderId="0" xfId="0" applyFont="1" applyAlignment="1">
      <alignment horizontal="left" vertical="center"/>
    </xf>
    <xf numFmtId="0" fontId="5" fillId="7" borderId="0" xfId="0" applyNumberFormat="1" applyFont="1" applyFill="1"/>
    <xf numFmtId="0" fontId="5" fillId="0" borderId="4" xfId="0" applyFont="1" applyBorder="1" applyAlignment="1">
      <alignment horizontal="left" vertical="top" wrapText="1"/>
    </xf>
    <xf numFmtId="0" fontId="5" fillId="0" borderId="4" xfId="0" applyFont="1" applyBorder="1" applyAlignment="1">
      <alignment horizontal="left" vertical="top"/>
    </xf>
    <xf numFmtId="0" fontId="12" fillId="0" borderId="4" xfId="0" applyNumberFormat="1" applyFont="1" applyFill="1" applyBorder="1" applyAlignment="1">
      <alignment horizontal="left" vertical="top"/>
    </xf>
    <xf numFmtId="0" fontId="12" fillId="0" borderId="4" xfId="0" applyNumberFormat="1" applyFont="1" applyBorder="1" applyAlignment="1">
      <alignment horizontal="left" vertical="top"/>
    </xf>
    <xf numFmtId="0" fontId="12" fillId="0" borderId="0" xfId="0" applyNumberFormat="1" applyFont="1" applyFill="1" applyBorder="1" applyAlignment="1"/>
    <xf numFmtId="0" fontId="12" fillId="0" borderId="0" xfId="0" applyNumberFormat="1" applyFont="1" applyFill="1" applyBorder="1" applyAlignment="1">
      <alignment horizontal="left" vertical="top"/>
    </xf>
    <xf numFmtId="0" fontId="7" fillId="2" borderId="11" xfId="0" applyFont="1" applyFill="1" applyBorder="1" applyAlignment="1">
      <alignment horizontal="left" vertical="top" wrapText="1"/>
    </xf>
    <xf numFmtId="0" fontId="7" fillId="2" borderId="12" xfId="0" applyFont="1" applyFill="1" applyBorder="1" applyAlignment="1">
      <alignment horizontal="left" vertical="top" wrapText="1"/>
    </xf>
    <xf numFmtId="0" fontId="7" fillId="2" borderId="13" xfId="0" applyFont="1" applyFill="1" applyBorder="1" applyAlignment="1">
      <alignment horizontal="left" vertical="top" wrapText="1"/>
    </xf>
    <xf numFmtId="0" fontId="5" fillId="0" borderId="11" xfId="0" applyFont="1" applyBorder="1" applyAlignment="1">
      <alignment horizontal="left" vertical="top" wrapText="1"/>
    </xf>
    <xf numFmtId="0" fontId="5" fillId="0" borderId="12" xfId="0" applyFont="1" applyBorder="1" applyAlignment="1">
      <alignment horizontal="left" vertical="top" wrapText="1"/>
    </xf>
    <xf numFmtId="0" fontId="5" fillId="0" borderId="13" xfId="0" applyFont="1" applyBorder="1" applyAlignment="1">
      <alignment horizontal="left" vertical="top" wrapText="1"/>
    </xf>
    <xf numFmtId="0" fontId="5" fillId="0" borderId="4" xfId="0" applyFont="1" applyBorder="1" applyAlignment="1">
      <alignment horizontal="left" vertical="top" wrapText="1"/>
    </xf>
    <xf numFmtId="0" fontId="5" fillId="0" borderId="4" xfId="0" applyFont="1" applyBorder="1" applyAlignment="1">
      <alignment horizontal="center" vertical="top" wrapText="1"/>
    </xf>
    <xf numFmtId="0" fontId="0" fillId="0" borderId="4" xfId="0" applyBorder="1" applyAlignment="1">
      <alignment vertical="top"/>
    </xf>
    <xf numFmtId="0" fontId="7" fillId="2" borderId="4" xfId="0" applyNumberFormat="1" applyFont="1" applyFill="1" applyBorder="1" applyAlignment="1">
      <alignment horizontal="center" vertical="center" wrapText="1"/>
    </xf>
    <xf numFmtId="0" fontId="5" fillId="0" borderId="4" xfId="0" applyNumberFormat="1" applyFont="1" applyFill="1" applyBorder="1" applyAlignment="1">
      <alignment horizontal="left" vertical="top" wrapText="1"/>
    </xf>
    <xf numFmtId="0" fontId="5" fillId="0" borderId="4" xfId="0" applyNumberFormat="1" applyFont="1" applyFill="1" applyBorder="1" applyAlignment="1">
      <alignment horizontal="center" vertical="top" wrapText="1"/>
    </xf>
    <xf numFmtId="0" fontId="7" fillId="2" borderId="11" xfId="0" applyNumberFormat="1" applyFont="1" applyFill="1" applyBorder="1" applyAlignment="1">
      <alignment horizontal="left" vertical="top" wrapText="1"/>
    </xf>
    <xf numFmtId="0" fontId="7" fillId="2" borderId="12" xfId="0" applyNumberFormat="1" applyFont="1" applyFill="1" applyBorder="1" applyAlignment="1">
      <alignment horizontal="left" vertical="top" wrapText="1"/>
    </xf>
    <xf numFmtId="0" fontId="7" fillId="2" borderId="13" xfId="0" applyNumberFormat="1" applyFont="1" applyFill="1" applyBorder="1" applyAlignment="1">
      <alignment horizontal="left" vertical="top" wrapText="1"/>
    </xf>
    <xf numFmtId="0" fontId="7" fillId="2" borderId="4" xfId="0" applyNumberFormat="1" applyFont="1" applyFill="1" applyBorder="1" applyAlignment="1">
      <alignment horizontal="left" vertical="top" wrapText="1"/>
    </xf>
    <xf numFmtId="0" fontId="2" fillId="0" borderId="0" xfId="0" applyNumberFormat="1" applyFont="1" applyAlignment="1">
      <alignment horizontal="center"/>
    </xf>
    <xf numFmtId="0" fontId="5" fillId="0" borderId="4" xfId="0" applyNumberFormat="1" applyFont="1" applyBorder="1" applyAlignment="1">
      <alignment horizontal="center" vertical="center"/>
    </xf>
    <xf numFmtId="0" fontId="5" fillId="0" borderId="4" xfId="3" applyNumberFormat="1" applyFont="1" applyBorder="1" applyAlignment="1">
      <alignment horizontal="center" vertical="center" wrapText="1"/>
    </xf>
    <xf numFmtId="0" fontId="5" fillId="0" borderId="4" xfId="3" applyNumberFormat="1" applyFont="1" applyFill="1" applyBorder="1" applyAlignment="1">
      <alignment horizontal="center" vertical="center" wrapText="1"/>
    </xf>
    <xf numFmtId="0" fontId="5" fillId="0" borderId="4" xfId="0" applyNumberFormat="1" applyFont="1" applyBorder="1" applyAlignment="1">
      <alignment horizontal="center" vertical="center" textRotation="255"/>
    </xf>
    <xf numFmtId="0" fontId="5" fillId="0" borderId="14" xfId="1" applyFont="1" applyFill="1" applyBorder="1" applyAlignment="1">
      <alignment horizontal="center" vertical="center" wrapText="1"/>
    </xf>
    <xf numFmtId="0" fontId="5" fillId="0" borderId="15" xfId="1" applyFont="1" applyFill="1" applyBorder="1" applyAlignment="1">
      <alignment horizontal="center" vertical="center"/>
    </xf>
    <xf numFmtId="0" fontId="5" fillId="0" borderId="16" xfId="1" applyFont="1" applyFill="1" applyBorder="1" applyAlignment="1">
      <alignment horizontal="center" vertical="center"/>
    </xf>
    <xf numFmtId="0" fontId="5" fillId="0" borderId="17" xfId="1" applyFont="1" applyFill="1" applyBorder="1" applyAlignment="1">
      <alignment horizontal="center" vertical="center"/>
    </xf>
    <xf numFmtId="0" fontId="5" fillId="0" borderId="0" xfId="1" applyFont="1" applyFill="1" applyBorder="1" applyAlignment="1">
      <alignment horizontal="center" vertical="center"/>
    </xf>
    <xf numFmtId="0" fontId="5" fillId="0" borderId="3" xfId="1" applyFont="1" applyFill="1" applyBorder="1" applyAlignment="1">
      <alignment horizontal="center" vertical="center"/>
    </xf>
    <xf numFmtId="0" fontId="5" fillId="0" borderId="18" xfId="1" applyFont="1" applyFill="1" applyBorder="1" applyAlignment="1">
      <alignment horizontal="center" vertical="center"/>
    </xf>
    <xf numFmtId="0" fontId="5" fillId="0" borderId="19" xfId="1" applyFont="1" applyFill="1" applyBorder="1" applyAlignment="1">
      <alignment horizontal="center" vertical="center"/>
    </xf>
    <xf numFmtId="0" fontId="5" fillId="0" borderId="20" xfId="1" applyFont="1" applyFill="1" applyBorder="1" applyAlignment="1">
      <alignment horizontal="center" vertical="center"/>
    </xf>
    <xf numFmtId="176" fontId="5" fillId="0" borderId="4" xfId="0" applyNumberFormat="1" applyFont="1" applyBorder="1" applyAlignment="1">
      <alignment horizontal="center" vertical="center"/>
    </xf>
    <xf numFmtId="14" fontId="5" fillId="0" borderId="11" xfId="1" applyNumberFormat="1" applyFont="1" applyBorder="1" applyAlignment="1">
      <alignment horizontal="center" vertical="center"/>
    </xf>
    <xf numFmtId="0" fontId="5" fillId="0" borderId="12" xfId="1" applyFont="1" applyBorder="1" applyAlignment="1">
      <alignment horizontal="center" vertical="center"/>
    </xf>
    <xf numFmtId="0" fontId="5" fillId="0" borderId="13" xfId="1" applyFont="1" applyBorder="1" applyAlignment="1">
      <alignment horizontal="center" vertical="center"/>
    </xf>
    <xf numFmtId="178" fontId="5" fillId="0" borderId="11" xfId="2" applyNumberFormat="1" applyFont="1" applyBorder="1" applyAlignment="1">
      <alignment horizontal="center" vertical="center"/>
    </xf>
    <xf numFmtId="178" fontId="5" fillId="0" borderId="12" xfId="2" applyNumberFormat="1" applyFont="1" applyBorder="1" applyAlignment="1">
      <alignment horizontal="center" vertical="center"/>
    </xf>
    <xf numFmtId="178" fontId="5" fillId="0" borderId="13" xfId="2" applyNumberFormat="1" applyFont="1" applyBorder="1" applyAlignment="1">
      <alignment horizontal="center" vertical="center"/>
    </xf>
    <xf numFmtId="14" fontId="5" fillId="0" borderId="11" xfId="3" applyNumberFormat="1" applyFont="1" applyBorder="1" applyAlignment="1">
      <alignment horizontal="center" vertical="center" wrapText="1"/>
    </xf>
    <xf numFmtId="14" fontId="5" fillId="0" borderId="12" xfId="3" applyNumberFormat="1" applyFont="1" applyBorder="1" applyAlignment="1">
      <alignment horizontal="center" vertical="center" wrapText="1"/>
    </xf>
    <xf numFmtId="14" fontId="5" fillId="0" borderId="13" xfId="3" applyNumberFormat="1" applyFont="1" applyBorder="1" applyAlignment="1">
      <alignment horizontal="center" vertical="center" wrapText="1"/>
    </xf>
    <xf numFmtId="0" fontId="11" fillId="0" borderId="4" xfId="0" applyNumberFormat="1" applyFont="1" applyFill="1" applyBorder="1" applyAlignment="1">
      <alignment horizontal="left" vertical="top" wrapText="1"/>
    </xf>
    <xf numFmtId="0" fontId="5" fillId="0" borderId="14" xfId="0" applyNumberFormat="1" applyFont="1" applyFill="1" applyBorder="1" applyAlignment="1">
      <alignment horizontal="left" vertical="top" wrapText="1"/>
    </xf>
    <xf numFmtId="0" fontId="5" fillId="0" borderId="15" xfId="0" applyNumberFormat="1" applyFont="1" applyFill="1" applyBorder="1" applyAlignment="1">
      <alignment horizontal="left" vertical="top" wrapText="1"/>
    </xf>
    <xf numFmtId="0" fontId="5" fillId="0" borderId="16" xfId="0" applyNumberFormat="1" applyFont="1" applyFill="1" applyBorder="1" applyAlignment="1">
      <alignment horizontal="left" vertical="top" wrapText="1"/>
    </xf>
    <xf numFmtId="0" fontId="5" fillId="0" borderId="17" xfId="0" applyNumberFormat="1" applyFont="1" applyFill="1" applyBorder="1" applyAlignment="1">
      <alignment horizontal="left" vertical="top" wrapText="1"/>
    </xf>
    <xf numFmtId="0" fontId="5" fillId="0" borderId="0" xfId="0" applyNumberFormat="1" applyFont="1" applyFill="1" applyBorder="1" applyAlignment="1">
      <alignment horizontal="left" vertical="top" wrapText="1"/>
    </xf>
    <xf numFmtId="0" fontId="5" fillId="0" borderId="3" xfId="0" applyNumberFormat="1" applyFont="1" applyFill="1" applyBorder="1" applyAlignment="1">
      <alignment horizontal="left" vertical="top" wrapText="1"/>
    </xf>
    <xf numFmtId="0" fontId="5" fillId="0" borderId="18" xfId="0" applyNumberFormat="1" applyFont="1" applyFill="1" applyBorder="1" applyAlignment="1">
      <alignment horizontal="left" vertical="top" wrapText="1"/>
    </xf>
    <xf numFmtId="0" fontId="5" fillId="0" borderId="19" xfId="0" applyNumberFormat="1" applyFont="1" applyFill="1" applyBorder="1" applyAlignment="1">
      <alignment horizontal="left" vertical="top" wrapText="1"/>
    </xf>
    <xf numFmtId="0" fontId="5" fillId="0" borderId="20" xfId="0" applyNumberFormat="1" applyFont="1" applyFill="1" applyBorder="1" applyAlignment="1">
      <alignment horizontal="left" vertical="top" wrapText="1"/>
    </xf>
    <xf numFmtId="0" fontId="5" fillId="0" borderId="4" xfId="0" applyFont="1" applyFill="1" applyBorder="1" applyAlignment="1">
      <alignment horizontal="left" vertical="top" wrapText="1"/>
    </xf>
    <xf numFmtId="0" fontId="5" fillId="6" borderId="4" xfId="0" applyNumberFormat="1" applyFont="1" applyFill="1" applyBorder="1" applyAlignment="1">
      <alignment horizontal="center" vertical="center" wrapText="1"/>
    </xf>
    <xf numFmtId="0" fontId="12" fillId="5" borderId="4" xfId="0" applyNumberFormat="1" applyFont="1" applyFill="1" applyBorder="1" applyAlignment="1">
      <alignment horizontal="center" vertical="center" textRotation="180" wrapText="1"/>
    </xf>
    <xf numFmtId="0" fontId="5" fillId="4" borderId="4" xfId="0" applyNumberFormat="1" applyFont="1" applyFill="1" applyBorder="1" applyAlignment="1">
      <alignment horizontal="center" vertical="center" wrapText="1"/>
    </xf>
    <xf numFmtId="0" fontId="5" fillId="5" borderId="4" xfId="0" applyNumberFormat="1" applyFont="1" applyFill="1" applyBorder="1" applyAlignment="1">
      <alignment horizontal="center" vertical="center" wrapText="1"/>
    </xf>
    <xf numFmtId="0" fontId="12" fillId="5" borderId="11" xfId="0" applyNumberFormat="1" applyFont="1" applyFill="1" applyBorder="1" applyAlignment="1">
      <alignment horizontal="center" vertical="center" textRotation="180" wrapText="1"/>
    </xf>
    <xf numFmtId="0" fontId="12" fillId="5" borderId="13" xfId="0" applyNumberFormat="1" applyFont="1" applyFill="1" applyBorder="1" applyAlignment="1">
      <alignment horizontal="center" vertical="center" textRotation="180" wrapText="1"/>
    </xf>
    <xf numFmtId="0" fontId="12" fillId="5" borderId="12" xfId="0" applyNumberFormat="1" applyFont="1" applyFill="1" applyBorder="1" applyAlignment="1">
      <alignment horizontal="center" vertical="center" textRotation="180" wrapText="1"/>
    </xf>
    <xf numFmtId="0" fontId="12" fillId="0" borderId="4" xfId="0" applyNumberFormat="1" applyFont="1" applyFill="1" applyBorder="1" applyAlignment="1">
      <alignment horizontal="left" vertical="top"/>
    </xf>
    <xf numFmtId="0" fontId="12" fillId="0" borderId="4" xfId="0" applyNumberFormat="1" applyFont="1" applyBorder="1" applyAlignment="1">
      <alignment horizontal="left" vertical="top"/>
    </xf>
    <xf numFmtId="0" fontId="5" fillId="0" borderId="21" xfId="0" applyFont="1" applyBorder="1" applyAlignment="1">
      <alignment horizontal="left" vertical="top"/>
    </xf>
    <xf numFmtId="0" fontId="5" fillId="0" borderId="22" xfId="0" applyFont="1" applyBorder="1" applyAlignment="1">
      <alignment horizontal="left" vertical="top"/>
    </xf>
    <xf numFmtId="0" fontId="5" fillId="0" borderId="23" xfId="0" applyFont="1" applyBorder="1" applyAlignment="1">
      <alignment horizontal="left" vertical="top"/>
    </xf>
    <xf numFmtId="0" fontId="5" fillId="0" borderId="21" xfId="0" applyFont="1" applyBorder="1" applyAlignment="1">
      <alignment horizontal="left" vertical="top" wrapText="1"/>
    </xf>
    <xf numFmtId="0" fontId="5" fillId="0" borderId="23" xfId="0" applyFont="1" applyBorder="1" applyAlignment="1">
      <alignment horizontal="left" vertical="top" wrapText="1"/>
    </xf>
    <xf numFmtId="0" fontId="5" fillId="0" borderId="22" xfId="0" applyFont="1" applyBorder="1" applyAlignment="1">
      <alignment horizontal="left" vertical="top" wrapText="1"/>
    </xf>
    <xf numFmtId="0" fontId="12" fillId="0" borderId="4" xfId="0" applyFont="1" applyBorder="1" applyAlignment="1">
      <alignment horizontal="left" vertical="top"/>
    </xf>
    <xf numFmtId="0" fontId="12" fillId="0" borderId="4" xfId="0" applyFont="1" applyBorder="1" applyAlignment="1">
      <alignment horizontal="center" vertical="top"/>
    </xf>
    <xf numFmtId="0" fontId="12" fillId="0" borderId="4" xfId="0" applyFont="1" applyBorder="1" applyAlignment="1">
      <alignment horizontal="left" vertical="top" wrapText="1"/>
    </xf>
    <xf numFmtId="0" fontId="12" fillId="4" borderId="21" xfId="0" applyNumberFormat="1" applyFont="1" applyFill="1" applyBorder="1" applyAlignment="1">
      <alignment horizontal="center" vertical="center" wrapText="1"/>
    </xf>
    <xf numFmtId="0" fontId="12" fillId="4" borderId="22" xfId="0" applyNumberFormat="1" applyFont="1" applyFill="1" applyBorder="1" applyAlignment="1">
      <alignment horizontal="center" vertical="center" wrapText="1"/>
    </xf>
    <xf numFmtId="0" fontId="12" fillId="4" borderId="23" xfId="0" applyNumberFormat="1" applyFont="1" applyFill="1" applyBorder="1" applyAlignment="1">
      <alignment horizontal="center" vertical="center" wrapText="1"/>
    </xf>
    <xf numFmtId="0" fontId="5" fillId="7" borderId="0" xfId="0" applyFont="1" applyFill="1"/>
    <xf numFmtId="0" fontId="5" fillId="7" borderId="0" xfId="0" applyFont="1" applyFill="1" applyAlignment="1">
      <alignment horizontal="left" vertical="center"/>
    </xf>
    <xf numFmtId="0" fontId="12" fillId="0" borderId="4" xfId="0" applyNumberFormat="1" applyFont="1" applyFill="1" applyBorder="1" applyAlignment="1">
      <alignment vertical="top" wrapText="1"/>
    </xf>
    <xf numFmtId="0" fontId="12" fillId="0" borderId="4" xfId="0" applyNumberFormat="1" applyFont="1" applyFill="1" applyBorder="1" applyAlignment="1">
      <alignment vertical="top"/>
    </xf>
  </cellXfs>
  <cellStyles count="4">
    <cellStyle name="標準" xfId="0" builtinId="0"/>
    <cellStyle name="標準 2" xfId="3" xr:uid="{00000000-0005-0000-0000-000001000000}"/>
    <cellStyle name="標準_25.システム化の目的と前提条件" xfId="1" xr:uid="{00000000-0005-0000-0000-000002000000}"/>
    <cellStyle name="標準_25.システム化の目的と前提条件 2" xfId="2" xr:uid="{00000000-0005-0000-0000-000003000000}"/>
  </cellStyles>
  <dxfs count="60">
    <dxf>
      <fill>
        <patternFill>
          <bgColor indexed="10"/>
        </patternFill>
      </fill>
    </dxf>
    <dxf>
      <fill>
        <patternFill>
          <bgColor indexed="22"/>
        </patternFill>
      </fill>
    </dxf>
    <dxf>
      <fill>
        <patternFill>
          <bgColor indexed="10"/>
        </patternFill>
      </fill>
    </dxf>
    <dxf>
      <fill>
        <patternFill>
          <bgColor indexed="22"/>
        </patternFill>
      </fill>
    </dxf>
    <dxf>
      <fill>
        <patternFill>
          <bgColor indexed="10"/>
        </patternFill>
      </fill>
    </dxf>
    <dxf>
      <fill>
        <patternFill>
          <bgColor indexed="22"/>
        </patternFill>
      </fill>
    </dxf>
    <dxf>
      <fill>
        <patternFill>
          <bgColor indexed="10"/>
        </patternFill>
      </fill>
    </dxf>
    <dxf>
      <fill>
        <patternFill>
          <bgColor indexed="22"/>
        </patternFill>
      </fill>
    </dxf>
    <dxf>
      <fill>
        <patternFill>
          <bgColor indexed="10"/>
        </patternFill>
      </fill>
    </dxf>
    <dxf>
      <fill>
        <patternFill>
          <bgColor indexed="22"/>
        </patternFill>
      </fill>
    </dxf>
    <dxf>
      <fill>
        <patternFill>
          <bgColor indexed="10"/>
        </patternFill>
      </fill>
    </dxf>
    <dxf>
      <fill>
        <patternFill>
          <bgColor indexed="22"/>
        </patternFill>
      </fill>
    </dxf>
    <dxf>
      <fill>
        <patternFill>
          <bgColor indexed="10"/>
        </patternFill>
      </fill>
    </dxf>
    <dxf>
      <fill>
        <patternFill>
          <bgColor indexed="22"/>
        </patternFill>
      </fill>
    </dxf>
    <dxf>
      <fill>
        <patternFill>
          <bgColor indexed="10"/>
        </patternFill>
      </fill>
    </dxf>
    <dxf>
      <fill>
        <patternFill>
          <bgColor indexed="22"/>
        </patternFill>
      </fill>
    </dxf>
    <dxf>
      <fill>
        <patternFill>
          <bgColor indexed="10"/>
        </patternFill>
      </fill>
    </dxf>
    <dxf>
      <fill>
        <patternFill>
          <bgColor indexed="22"/>
        </patternFill>
      </fill>
    </dxf>
    <dxf>
      <fill>
        <patternFill>
          <bgColor indexed="10"/>
        </patternFill>
      </fill>
    </dxf>
    <dxf>
      <fill>
        <patternFill>
          <bgColor indexed="22"/>
        </patternFill>
      </fill>
    </dxf>
    <dxf>
      <fill>
        <patternFill>
          <bgColor indexed="10"/>
        </patternFill>
      </fill>
    </dxf>
    <dxf>
      <fill>
        <patternFill>
          <bgColor indexed="22"/>
        </patternFill>
      </fill>
    </dxf>
    <dxf>
      <fill>
        <patternFill>
          <bgColor indexed="10"/>
        </patternFill>
      </fill>
    </dxf>
    <dxf>
      <fill>
        <patternFill>
          <bgColor indexed="22"/>
        </patternFill>
      </fill>
    </dxf>
    <dxf>
      <fill>
        <patternFill>
          <bgColor indexed="10"/>
        </patternFill>
      </fill>
    </dxf>
    <dxf>
      <fill>
        <patternFill>
          <bgColor indexed="22"/>
        </patternFill>
      </fill>
    </dxf>
    <dxf>
      <fill>
        <patternFill>
          <bgColor indexed="10"/>
        </patternFill>
      </fill>
    </dxf>
    <dxf>
      <fill>
        <patternFill>
          <bgColor indexed="22"/>
        </patternFill>
      </fill>
    </dxf>
    <dxf>
      <fill>
        <patternFill>
          <bgColor indexed="10"/>
        </patternFill>
      </fill>
    </dxf>
    <dxf>
      <fill>
        <patternFill>
          <bgColor indexed="22"/>
        </patternFill>
      </fill>
    </dxf>
    <dxf>
      <fill>
        <patternFill>
          <bgColor indexed="10"/>
        </patternFill>
      </fill>
    </dxf>
    <dxf>
      <fill>
        <patternFill>
          <bgColor indexed="22"/>
        </patternFill>
      </fill>
    </dxf>
    <dxf>
      <fill>
        <patternFill>
          <bgColor indexed="10"/>
        </patternFill>
      </fill>
    </dxf>
    <dxf>
      <fill>
        <patternFill>
          <bgColor indexed="22"/>
        </patternFill>
      </fill>
    </dxf>
    <dxf>
      <fill>
        <patternFill>
          <bgColor indexed="10"/>
        </patternFill>
      </fill>
    </dxf>
    <dxf>
      <fill>
        <patternFill>
          <bgColor indexed="22"/>
        </patternFill>
      </fill>
    </dxf>
    <dxf>
      <fill>
        <patternFill>
          <bgColor indexed="10"/>
        </patternFill>
      </fill>
    </dxf>
    <dxf>
      <fill>
        <patternFill>
          <bgColor indexed="22"/>
        </patternFill>
      </fill>
    </dxf>
    <dxf>
      <fill>
        <patternFill>
          <bgColor indexed="10"/>
        </patternFill>
      </fill>
    </dxf>
    <dxf>
      <fill>
        <patternFill>
          <bgColor indexed="22"/>
        </patternFill>
      </fill>
    </dxf>
    <dxf>
      <fill>
        <patternFill>
          <bgColor indexed="10"/>
        </patternFill>
      </fill>
    </dxf>
    <dxf>
      <fill>
        <patternFill>
          <bgColor indexed="22"/>
        </patternFill>
      </fill>
    </dxf>
    <dxf>
      <fill>
        <patternFill>
          <bgColor indexed="10"/>
        </patternFill>
      </fill>
    </dxf>
    <dxf>
      <fill>
        <patternFill>
          <bgColor indexed="22"/>
        </patternFill>
      </fill>
    </dxf>
    <dxf>
      <fill>
        <patternFill>
          <bgColor indexed="10"/>
        </patternFill>
      </fill>
    </dxf>
    <dxf>
      <fill>
        <patternFill>
          <bgColor indexed="22"/>
        </patternFill>
      </fill>
    </dxf>
    <dxf>
      <fill>
        <patternFill>
          <bgColor indexed="10"/>
        </patternFill>
      </fill>
    </dxf>
    <dxf>
      <fill>
        <patternFill>
          <bgColor indexed="22"/>
        </patternFill>
      </fill>
    </dxf>
    <dxf>
      <fill>
        <patternFill>
          <bgColor indexed="10"/>
        </patternFill>
      </fill>
    </dxf>
    <dxf>
      <fill>
        <patternFill>
          <bgColor indexed="22"/>
        </patternFill>
      </fill>
    </dxf>
    <dxf>
      <fill>
        <patternFill>
          <bgColor indexed="10"/>
        </patternFill>
      </fill>
    </dxf>
    <dxf>
      <fill>
        <patternFill>
          <bgColor indexed="22"/>
        </patternFill>
      </fill>
    </dxf>
    <dxf>
      <fill>
        <patternFill>
          <bgColor indexed="10"/>
        </patternFill>
      </fill>
    </dxf>
    <dxf>
      <fill>
        <patternFill>
          <bgColor indexed="22"/>
        </patternFill>
      </fill>
    </dxf>
    <dxf>
      <fill>
        <patternFill>
          <bgColor indexed="10"/>
        </patternFill>
      </fill>
    </dxf>
    <dxf>
      <fill>
        <patternFill>
          <bgColor indexed="22"/>
        </patternFill>
      </fill>
    </dxf>
    <dxf>
      <fill>
        <patternFill>
          <bgColor indexed="10"/>
        </patternFill>
      </fill>
    </dxf>
    <dxf>
      <fill>
        <patternFill>
          <bgColor indexed="22"/>
        </patternFill>
      </fill>
    </dxf>
    <dxf>
      <fill>
        <patternFill>
          <bgColor indexed="10"/>
        </patternFill>
      </fill>
    </dxf>
    <dxf>
      <fill>
        <patternFill>
          <bgColor indexed="22"/>
        </patternFill>
      </fill>
    </dxf>
  </dxfs>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autoPageBreaks="0"/>
  </sheetPr>
  <dimension ref="A1:GA214"/>
  <sheetViews>
    <sheetView tabSelected="1" view="pageBreakPreview" zoomScaleNormal="85" zoomScaleSheetLayoutView="100" workbookViewId="0">
      <selection activeCell="U22" sqref="U22"/>
    </sheetView>
  </sheetViews>
  <sheetFormatPr defaultColWidth="1.625" defaultRowHeight="12" customHeight="1" x14ac:dyDescent="0.15"/>
  <cols>
    <col min="1" max="43" width="1.625" style="2" customWidth="1"/>
    <col min="44" max="61" width="1.625" style="2"/>
    <col min="62" max="73" width="1.625" style="2" customWidth="1"/>
    <col min="74" max="83" width="1.625" style="2"/>
    <col min="84" max="84" width="1.625" style="2" customWidth="1"/>
    <col min="85" max="16384" width="1.625" style="2"/>
  </cols>
  <sheetData>
    <row r="1" spans="1:183" ht="18" customHeight="1" x14ac:dyDescent="0.2">
      <c r="A1" s="87" t="s">
        <v>277</v>
      </c>
      <c r="B1" s="87"/>
      <c r="C1" s="87"/>
      <c r="D1" s="87"/>
      <c r="E1" s="87"/>
      <c r="F1" s="87"/>
      <c r="G1" s="87"/>
      <c r="H1" s="87"/>
      <c r="I1" s="87"/>
      <c r="J1" s="87"/>
      <c r="K1" s="87"/>
      <c r="L1" s="87"/>
      <c r="M1" s="87"/>
      <c r="N1" s="87"/>
      <c r="O1" s="87"/>
      <c r="P1" s="87"/>
      <c r="Q1" s="87"/>
      <c r="R1" s="87"/>
      <c r="S1" s="87"/>
      <c r="T1" s="87"/>
      <c r="U1" s="87"/>
      <c r="V1" s="87"/>
      <c r="W1" s="87"/>
      <c r="X1" s="87"/>
      <c r="Y1" s="87"/>
      <c r="Z1" s="87"/>
      <c r="AA1" s="87"/>
      <c r="AB1" s="87"/>
      <c r="AC1" s="87"/>
      <c r="AD1" s="87"/>
      <c r="AE1" s="87"/>
      <c r="AF1" s="87"/>
      <c r="AG1" s="87"/>
      <c r="AH1" s="87"/>
      <c r="AI1" s="87"/>
      <c r="AJ1" s="87"/>
      <c r="AK1" s="87"/>
      <c r="AL1" s="87"/>
      <c r="AM1" s="87"/>
      <c r="AN1" s="87"/>
      <c r="AO1" s="87"/>
      <c r="AP1" s="87"/>
      <c r="AQ1" s="87"/>
      <c r="AR1" s="87"/>
      <c r="AS1" s="87"/>
      <c r="AT1" s="87"/>
      <c r="AU1" s="87"/>
      <c r="AV1" s="87"/>
      <c r="AW1" s="87"/>
      <c r="AX1" s="87"/>
      <c r="AY1" s="87"/>
      <c r="AZ1" s="87"/>
      <c r="BA1" s="87"/>
      <c r="BB1" s="87"/>
      <c r="BC1" s="87"/>
      <c r="BD1" s="87"/>
      <c r="BE1" s="87"/>
      <c r="BF1" s="87"/>
      <c r="BG1" s="87"/>
      <c r="BH1" s="87"/>
      <c r="BI1" s="87"/>
      <c r="BJ1" s="87"/>
      <c r="BK1" s="87"/>
      <c r="BL1" s="87"/>
      <c r="BM1" s="87"/>
      <c r="BN1" s="87"/>
      <c r="BO1" s="87"/>
      <c r="BP1" s="87"/>
      <c r="BQ1" s="87"/>
      <c r="BR1" s="87"/>
      <c r="BS1" s="87"/>
      <c r="BT1" s="87"/>
      <c r="BU1" s="87"/>
      <c r="BV1" s="87"/>
      <c r="BW1" s="87"/>
      <c r="BX1" s="87"/>
      <c r="BY1" s="87"/>
      <c r="BZ1" s="87"/>
      <c r="CA1" s="87"/>
      <c r="CB1" s="87"/>
      <c r="CC1" s="87"/>
      <c r="CD1" s="87"/>
      <c r="CE1" s="87"/>
    </row>
    <row r="2" spans="1:183" ht="4.5" customHeight="1" x14ac:dyDescent="0.15">
      <c r="A2" s="8"/>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9"/>
      <c r="BK2" s="9"/>
      <c r="BL2" s="9"/>
      <c r="BM2" s="9"/>
      <c r="BN2" s="9"/>
      <c r="BO2" s="9"/>
      <c r="BP2" s="9"/>
      <c r="BQ2" s="8"/>
      <c r="BR2" s="8"/>
      <c r="BS2" s="8"/>
      <c r="BT2" s="8"/>
      <c r="BU2" s="8"/>
      <c r="BV2" s="8"/>
      <c r="BW2" s="8"/>
      <c r="BX2" s="8"/>
      <c r="BY2" s="8"/>
      <c r="BZ2" s="8"/>
      <c r="CA2" s="8"/>
      <c r="CB2" s="8"/>
      <c r="CC2" s="8"/>
      <c r="CD2" s="8"/>
      <c r="CE2" s="8"/>
    </row>
    <row r="3" spans="1:183" ht="13.5" customHeight="1" x14ac:dyDescent="0.15">
      <c r="A3" s="88" t="s">
        <v>0</v>
      </c>
      <c r="B3" s="88"/>
      <c r="C3" s="88"/>
      <c r="D3" s="88"/>
      <c r="E3" s="88"/>
      <c r="F3" s="88"/>
      <c r="G3" s="88"/>
      <c r="H3" s="88"/>
      <c r="I3" s="88"/>
      <c r="J3" s="88"/>
      <c r="K3" s="88"/>
      <c r="L3" s="88"/>
      <c r="M3" s="88"/>
      <c r="N3" s="88"/>
      <c r="O3" s="88"/>
      <c r="P3" s="88"/>
      <c r="Q3" s="88"/>
      <c r="R3" s="88"/>
      <c r="S3" s="88"/>
      <c r="T3" s="88"/>
      <c r="U3" s="88"/>
      <c r="V3" s="88"/>
      <c r="W3" s="88"/>
      <c r="X3" s="88"/>
      <c r="Y3" s="88"/>
      <c r="Z3" s="88"/>
      <c r="AA3" s="88"/>
      <c r="AB3" s="88"/>
      <c r="AC3" s="88"/>
      <c r="AD3" s="88" t="s">
        <v>1</v>
      </c>
      <c r="AE3" s="88"/>
      <c r="AF3" s="88"/>
      <c r="AG3" s="88"/>
      <c r="AH3" s="88"/>
      <c r="AI3" s="88"/>
      <c r="AJ3" s="88"/>
      <c r="AK3" s="88"/>
      <c r="AL3" s="88"/>
      <c r="AM3" s="89" t="s">
        <v>228</v>
      </c>
      <c r="AN3" s="89"/>
      <c r="AO3" s="89"/>
      <c r="AP3" s="89"/>
      <c r="AQ3" s="89"/>
      <c r="AR3" s="89"/>
      <c r="AS3" s="89"/>
      <c r="AT3" s="89"/>
      <c r="AU3" s="89"/>
      <c r="AV3" s="89"/>
      <c r="AW3" s="89"/>
      <c r="AX3" s="89"/>
      <c r="AY3" s="89"/>
      <c r="AZ3" s="89"/>
      <c r="BA3" s="89"/>
      <c r="BB3" s="89"/>
      <c r="BC3" s="89"/>
      <c r="BD3" s="89"/>
      <c r="BE3" s="89"/>
      <c r="BF3" s="89"/>
      <c r="BG3" s="89"/>
      <c r="BH3" s="89"/>
      <c r="BI3" s="89"/>
      <c r="BJ3" s="89"/>
      <c r="BK3" s="89"/>
      <c r="BL3" s="89"/>
      <c r="BM3" s="89"/>
      <c r="BN3" s="89"/>
      <c r="BO3" s="89"/>
      <c r="BP3" s="89"/>
      <c r="BQ3" s="89"/>
      <c r="BR3" s="91" t="s">
        <v>2</v>
      </c>
      <c r="BS3" s="91"/>
      <c r="BT3" s="92" t="s">
        <v>270</v>
      </c>
      <c r="BU3" s="93"/>
      <c r="BV3" s="93"/>
      <c r="BW3" s="93"/>
      <c r="BX3" s="94"/>
      <c r="BY3" s="91" t="s">
        <v>3</v>
      </c>
      <c r="BZ3" s="91"/>
      <c r="CA3" s="90" t="s">
        <v>231</v>
      </c>
      <c r="CB3" s="90"/>
      <c r="CC3" s="90"/>
      <c r="CD3" s="90"/>
      <c r="CE3" s="90"/>
    </row>
    <row r="4" spans="1:183" ht="13.5" customHeight="1" x14ac:dyDescent="0.15">
      <c r="A4" s="88" t="s">
        <v>4</v>
      </c>
      <c r="B4" s="88"/>
      <c r="C4" s="88"/>
      <c r="D4" s="88"/>
      <c r="E4" s="88"/>
      <c r="F4" s="88"/>
      <c r="G4" s="88"/>
      <c r="H4" s="88"/>
      <c r="I4" s="89" t="s">
        <v>230</v>
      </c>
      <c r="J4" s="89"/>
      <c r="K4" s="89"/>
      <c r="L4" s="89"/>
      <c r="M4" s="89"/>
      <c r="N4" s="89"/>
      <c r="O4" s="89"/>
      <c r="P4" s="89"/>
      <c r="Q4" s="89"/>
      <c r="R4" s="89"/>
      <c r="S4" s="89"/>
      <c r="T4" s="89"/>
      <c r="U4" s="89"/>
      <c r="V4" s="89"/>
      <c r="W4" s="89"/>
      <c r="X4" s="89"/>
      <c r="Y4" s="89"/>
      <c r="Z4" s="89"/>
      <c r="AA4" s="89"/>
      <c r="AB4" s="89"/>
      <c r="AC4" s="89"/>
      <c r="AD4" s="88" t="s">
        <v>5</v>
      </c>
      <c r="AE4" s="88"/>
      <c r="AF4" s="88"/>
      <c r="AG4" s="88"/>
      <c r="AH4" s="88"/>
      <c r="AI4" s="88"/>
      <c r="AJ4" s="88"/>
      <c r="AK4" s="88"/>
      <c r="AL4" s="88"/>
      <c r="AM4" s="89" t="s">
        <v>229</v>
      </c>
      <c r="AN4" s="89"/>
      <c r="AO4" s="89"/>
      <c r="AP4" s="89"/>
      <c r="AQ4" s="89"/>
      <c r="AR4" s="89"/>
      <c r="AS4" s="89"/>
      <c r="AT4" s="89"/>
      <c r="AU4" s="89"/>
      <c r="AV4" s="89"/>
      <c r="AW4" s="89"/>
      <c r="AX4" s="89"/>
      <c r="AY4" s="89"/>
      <c r="AZ4" s="89"/>
      <c r="BA4" s="89"/>
      <c r="BB4" s="89"/>
      <c r="BC4" s="89"/>
      <c r="BD4" s="89"/>
      <c r="BE4" s="89"/>
      <c r="BF4" s="89"/>
      <c r="BG4" s="89"/>
      <c r="BH4" s="89"/>
      <c r="BI4" s="89"/>
      <c r="BJ4" s="89"/>
      <c r="BK4" s="89"/>
      <c r="BL4" s="89"/>
      <c r="BM4" s="89"/>
      <c r="BN4" s="89"/>
      <c r="BO4" s="89"/>
      <c r="BP4" s="89"/>
      <c r="BQ4" s="89"/>
      <c r="BR4" s="91"/>
      <c r="BS4" s="91"/>
      <c r="BT4" s="95"/>
      <c r="BU4" s="96"/>
      <c r="BV4" s="96"/>
      <c r="BW4" s="96"/>
      <c r="BX4" s="97"/>
      <c r="BY4" s="91"/>
      <c r="BZ4" s="91"/>
      <c r="CA4" s="90"/>
      <c r="CB4" s="90"/>
      <c r="CC4" s="90"/>
      <c r="CD4" s="90"/>
      <c r="CE4" s="90"/>
    </row>
    <row r="5" spans="1:183" ht="13.5" customHeight="1" x14ac:dyDescent="0.15">
      <c r="A5" s="88"/>
      <c r="B5" s="88"/>
      <c r="C5" s="88"/>
      <c r="D5" s="88"/>
      <c r="E5" s="88"/>
      <c r="F5" s="88"/>
      <c r="G5" s="88"/>
      <c r="H5" s="88"/>
      <c r="I5" s="89"/>
      <c r="J5" s="89"/>
      <c r="K5" s="89"/>
      <c r="L5" s="89"/>
      <c r="M5" s="89"/>
      <c r="N5" s="89"/>
      <c r="O5" s="89"/>
      <c r="P5" s="89"/>
      <c r="Q5" s="89"/>
      <c r="R5" s="89"/>
      <c r="S5" s="89"/>
      <c r="T5" s="89"/>
      <c r="U5" s="89"/>
      <c r="V5" s="89"/>
      <c r="W5" s="89"/>
      <c r="X5" s="89"/>
      <c r="Y5" s="89"/>
      <c r="Z5" s="89"/>
      <c r="AA5" s="89"/>
      <c r="AB5" s="89"/>
      <c r="AC5" s="89"/>
      <c r="AD5" s="88" t="s">
        <v>6</v>
      </c>
      <c r="AE5" s="88"/>
      <c r="AF5" s="88"/>
      <c r="AG5" s="88"/>
      <c r="AH5" s="108">
        <v>43488</v>
      </c>
      <c r="AI5" s="109"/>
      <c r="AJ5" s="109"/>
      <c r="AK5" s="109"/>
      <c r="AL5" s="109"/>
      <c r="AM5" s="109"/>
      <c r="AN5" s="110"/>
      <c r="AO5" s="88" t="s">
        <v>7</v>
      </c>
      <c r="AP5" s="88"/>
      <c r="AQ5" s="88"/>
      <c r="AR5" s="88"/>
      <c r="AS5" s="102"/>
      <c r="AT5" s="103"/>
      <c r="AU5" s="103"/>
      <c r="AV5" s="103"/>
      <c r="AW5" s="103"/>
      <c r="AX5" s="103"/>
      <c r="AY5" s="104"/>
      <c r="AZ5" s="88" t="s">
        <v>9</v>
      </c>
      <c r="BA5" s="88"/>
      <c r="BB5" s="88"/>
      <c r="BC5" s="88"/>
      <c r="BD5" s="105"/>
      <c r="BE5" s="106"/>
      <c r="BF5" s="106"/>
      <c r="BG5" s="106"/>
      <c r="BH5" s="106"/>
      <c r="BI5" s="106"/>
      <c r="BJ5" s="107"/>
      <c r="BK5" s="88" t="s">
        <v>8</v>
      </c>
      <c r="BL5" s="88"/>
      <c r="BM5" s="88"/>
      <c r="BN5" s="101"/>
      <c r="BO5" s="101"/>
      <c r="BP5" s="101"/>
      <c r="BQ5" s="101"/>
      <c r="BR5" s="91"/>
      <c r="BS5" s="91"/>
      <c r="BT5" s="98"/>
      <c r="BU5" s="99"/>
      <c r="BV5" s="99"/>
      <c r="BW5" s="99"/>
      <c r="BX5" s="100"/>
      <c r="BY5" s="91"/>
      <c r="BZ5" s="91"/>
      <c r="CA5" s="90"/>
      <c r="CB5" s="90"/>
      <c r="CC5" s="90"/>
      <c r="CD5" s="90"/>
      <c r="CE5" s="90"/>
    </row>
    <row r="6" spans="1:183" ht="5.0999999999999996" customHeight="1" x14ac:dyDescent="0.15">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9"/>
      <c r="BK6" s="9"/>
      <c r="BL6" s="9"/>
      <c r="BM6" s="9"/>
      <c r="BN6" s="9"/>
      <c r="BO6" s="9"/>
      <c r="BP6" s="9"/>
      <c r="BQ6" s="9"/>
      <c r="BR6" s="9"/>
      <c r="BS6" s="9"/>
      <c r="BT6" s="9"/>
      <c r="BU6" s="9"/>
      <c r="BV6" s="9"/>
      <c r="BW6" s="9"/>
      <c r="BX6" s="9"/>
      <c r="BY6" s="9"/>
      <c r="BZ6" s="9"/>
      <c r="CA6" s="9"/>
      <c r="CB6" s="9"/>
      <c r="CC6" s="9"/>
      <c r="CD6" s="9"/>
      <c r="CE6" s="8"/>
    </row>
    <row r="7" spans="1:183" ht="12" customHeight="1" thickBot="1" x14ac:dyDescent="0.2">
      <c r="A7" s="10"/>
      <c r="B7" s="10"/>
      <c r="C7" s="10"/>
      <c r="D7" s="10"/>
      <c r="E7" s="10"/>
      <c r="F7" s="10"/>
      <c r="G7" s="10"/>
      <c r="H7" s="10"/>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1"/>
    </row>
    <row r="8" spans="1:183" ht="12" customHeight="1" x14ac:dyDescent="0.15">
      <c r="A8" s="12"/>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c r="AS8" s="13"/>
      <c r="AT8" s="13"/>
      <c r="AU8" s="13"/>
      <c r="AV8" s="13"/>
      <c r="AW8" s="13"/>
      <c r="AX8" s="13"/>
      <c r="AY8" s="13"/>
      <c r="AZ8" s="13"/>
      <c r="BA8" s="13"/>
      <c r="BB8" s="13"/>
      <c r="BC8" s="13"/>
      <c r="BD8" s="13"/>
      <c r="BE8" s="13"/>
      <c r="BF8" s="13"/>
      <c r="BG8" s="13"/>
      <c r="BH8" s="13"/>
      <c r="BI8" s="13"/>
      <c r="BJ8" s="13"/>
      <c r="BK8" s="13"/>
      <c r="BL8" s="13"/>
      <c r="BM8" s="13"/>
      <c r="BN8" s="13"/>
      <c r="BO8" s="13"/>
      <c r="BP8" s="13"/>
      <c r="BQ8" s="13"/>
      <c r="BR8" s="13"/>
      <c r="BS8" s="13"/>
      <c r="BT8" s="13"/>
      <c r="BU8" s="13"/>
      <c r="BV8" s="13"/>
      <c r="BW8" s="13"/>
      <c r="BX8" s="13"/>
      <c r="BY8" s="13"/>
      <c r="BZ8" s="13"/>
      <c r="CA8" s="13"/>
      <c r="CB8" s="13"/>
      <c r="CC8" s="13"/>
      <c r="CD8" s="13"/>
      <c r="CE8" s="14"/>
      <c r="CF8" s="15" t="s">
        <v>30</v>
      </c>
    </row>
    <row r="9" spans="1:183" ht="12" customHeight="1" x14ac:dyDescent="0.15">
      <c r="A9" s="3"/>
      <c r="B9" s="1" t="s">
        <v>29</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4"/>
      <c r="CF9" s="15" t="s">
        <v>31</v>
      </c>
    </row>
    <row r="10" spans="1:183" ht="12" customHeight="1" x14ac:dyDescent="0.15">
      <c r="A10" s="3"/>
      <c r="B10" s="1"/>
      <c r="C10" s="1" t="s">
        <v>208</v>
      </c>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4"/>
      <c r="CF10" s="15" t="s">
        <v>32</v>
      </c>
    </row>
    <row r="11" spans="1:183" ht="12" customHeight="1" x14ac:dyDescent="0.15">
      <c r="A11" s="3"/>
      <c r="B11" s="1"/>
      <c r="C11" s="1"/>
      <c r="D11" s="1" t="s">
        <v>213</v>
      </c>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4"/>
      <c r="CF11" s="15" t="s">
        <v>33</v>
      </c>
      <c r="CG11" s="1"/>
      <c r="CH11" s="1"/>
      <c r="CI11" s="1"/>
    </row>
    <row r="12" spans="1:183" ht="12" customHeight="1" x14ac:dyDescent="0.15">
      <c r="A12" s="3"/>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4"/>
      <c r="CF12" s="15" t="s">
        <v>34</v>
      </c>
      <c r="CG12" s="1"/>
      <c r="CH12" s="1"/>
      <c r="CI12" s="1"/>
      <c r="CJ12" s="33"/>
    </row>
    <row r="13" spans="1:183" ht="12" customHeight="1" x14ac:dyDescent="0.15">
      <c r="A13" s="3"/>
      <c r="B13" s="1"/>
      <c r="C13" s="7"/>
      <c r="D13" s="80" t="s">
        <v>204</v>
      </c>
      <c r="E13" s="80"/>
      <c r="F13" s="80"/>
      <c r="G13" s="80"/>
      <c r="H13" s="80"/>
      <c r="I13" s="80"/>
      <c r="J13" s="80" t="s">
        <v>118</v>
      </c>
      <c r="K13" s="80"/>
      <c r="L13" s="80"/>
      <c r="M13" s="80"/>
      <c r="N13" s="80"/>
      <c r="O13" s="80"/>
      <c r="P13" s="80"/>
      <c r="Q13" s="80"/>
      <c r="R13" s="80"/>
      <c r="S13" s="80"/>
      <c r="T13" s="80"/>
      <c r="U13" s="80"/>
      <c r="V13" s="80"/>
      <c r="W13" s="80"/>
      <c r="X13" s="80"/>
      <c r="Y13" s="80"/>
      <c r="Z13" s="80"/>
      <c r="AA13" s="80"/>
      <c r="AB13" s="80"/>
      <c r="AC13" s="80" t="s">
        <v>205</v>
      </c>
      <c r="AD13" s="80"/>
      <c r="AE13" s="80"/>
      <c r="AF13" s="80"/>
      <c r="AG13" s="80"/>
      <c r="AH13" s="80"/>
      <c r="AI13" s="80"/>
      <c r="AJ13" s="80"/>
      <c r="AK13" s="80"/>
      <c r="AL13" s="80"/>
      <c r="AM13" s="80"/>
      <c r="AN13" s="80"/>
      <c r="AO13" s="80"/>
      <c r="AP13" s="80"/>
      <c r="AQ13" s="80"/>
      <c r="AR13" s="80"/>
      <c r="AS13" s="80"/>
      <c r="AT13" s="80"/>
      <c r="AU13" s="80"/>
      <c r="AV13" s="80"/>
      <c r="AW13" s="80"/>
      <c r="AX13" s="80"/>
      <c r="AY13" s="80"/>
      <c r="AZ13" s="80"/>
      <c r="BA13" s="80"/>
      <c r="BB13" s="80"/>
      <c r="BC13" s="80"/>
      <c r="BD13" s="80"/>
      <c r="BE13" s="80"/>
      <c r="BF13" s="80" t="s">
        <v>159</v>
      </c>
      <c r="BG13" s="80"/>
      <c r="BH13" s="80"/>
      <c r="BI13" s="80"/>
      <c r="BJ13" s="80"/>
      <c r="BK13" s="80"/>
      <c r="BL13" s="80"/>
      <c r="BM13" s="80"/>
      <c r="BN13" s="80"/>
      <c r="BO13" s="80"/>
      <c r="BP13" s="80"/>
      <c r="BQ13" s="80"/>
      <c r="BR13" s="80"/>
      <c r="BS13" s="80"/>
      <c r="BT13" s="80"/>
      <c r="BU13" s="80"/>
      <c r="BV13" s="80"/>
      <c r="BW13" s="80"/>
      <c r="BX13" s="80"/>
      <c r="BY13" s="80"/>
      <c r="BZ13" s="80"/>
      <c r="CA13" s="80"/>
      <c r="CB13" s="80"/>
      <c r="CC13" s="80"/>
      <c r="CD13" s="80"/>
      <c r="CE13" s="6"/>
      <c r="CF13" s="15" t="s">
        <v>35</v>
      </c>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c r="EU13" s="1"/>
      <c r="EV13" s="1"/>
      <c r="EW13" s="1"/>
      <c r="EX13" s="1"/>
      <c r="EY13" s="1"/>
      <c r="EZ13" s="1"/>
      <c r="FA13" s="1"/>
      <c r="FB13" s="1"/>
      <c r="FC13" s="1"/>
      <c r="FD13" s="1"/>
      <c r="FE13" s="1"/>
      <c r="FF13" s="1"/>
      <c r="FG13" s="1"/>
      <c r="FH13" s="1"/>
      <c r="FI13" s="1"/>
      <c r="FJ13" s="1"/>
      <c r="FK13" s="1"/>
      <c r="FL13" s="1"/>
      <c r="FM13" s="1"/>
      <c r="FN13" s="1"/>
      <c r="FO13" s="1"/>
      <c r="FP13" s="1"/>
      <c r="FQ13" s="1"/>
      <c r="FR13" s="1"/>
      <c r="FS13" s="1"/>
      <c r="FT13" s="1"/>
      <c r="FU13" s="1"/>
      <c r="FV13" s="1"/>
      <c r="FW13" s="1"/>
      <c r="FX13" s="1"/>
      <c r="FY13" s="1"/>
      <c r="FZ13" s="1"/>
      <c r="GA13" s="1"/>
    </row>
    <row r="14" spans="1:183" ht="12" customHeight="1" x14ac:dyDescent="0.15">
      <c r="A14" s="3"/>
      <c r="B14" s="1"/>
      <c r="C14" s="7"/>
      <c r="D14" s="82" t="s">
        <v>206</v>
      </c>
      <c r="E14" s="82"/>
      <c r="F14" s="82"/>
      <c r="G14" s="82"/>
      <c r="H14" s="82"/>
      <c r="I14" s="82"/>
      <c r="J14" s="81" t="s">
        <v>207</v>
      </c>
      <c r="K14" s="81"/>
      <c r="L14" s="81"/>
      <c r="M14" s="81"/>
      <c r="N14" s="81"/>
      <c r="O14" s="81"/>
      <c r="P14" s="81"/>
      <c r="Q14" s="81"/>
      <c r="R14" s="81"/>
      <c r="S14" s="81"/>
      <c r="T14" s="81"/>
      <c r="U14" s="81"/>
      <c r="V14" s="81"/>
      <c r="W14" s="81"/>
      <c r="X14" s="81"/>
      <c r="Y14" s="81"/>
      <c r="Z14" s="81"/>
      <c r="AA14" s="81"/>
      <c r="AB14" s="81"/>
      <c r="AC14" s="81" t="s">
        <v>227</v>
      </c>
      <c r="AD14" s="81"/>
      <c r="AE14" s="81"/>
      <c r="AF14" s="81"/>
      <c r="AG14" s="81"/>
      <c r="AH14" s="81"/>
      <c r="AI14" s="81"/>
      <c r="AJ14" s="81"/>
      <c r="AK14" s="81"/>
      <c r="AL14" s="81"/>
      <c r="AM14" s="81"/>
      <c r="AN14" s="81"/>
      <c r="AO14" s="81"/>
      <c r="AP14" s="81"/>
      <c r="AQ14" s="81"/>
      <c r="AR14" s="81"/>
      <c r="AS14" s="81"/>
      <c r="AT14" s="81"/>
      <c r="AU14" s="81"/>
      <c r="AV14" s="81"/>
      <c r="AW14" s="81"/>
      <c r="AX14" s="81"/>
      <c r="AY14" s="81"/>
      <c r="AZ14" s="81"/>
      <c r="BA14" s="81"/>
      <c r="BB14" s="81"/>
      <c r="BC14" s="81"/>
      <c r="BD14" s="81"/>
      <c r="BE14" s="81"/>
      <c r="BF14" s="81" t="s">
        <v>119</v>
      </c>
      <c r="BG14" s="81"/>
      <c r="BH14" s="81"/>
      <c r="BI14" s="81"/>
      <c r="BJ14" s="81"/>
      <c r="BK14" s="81"/>
      <c r="BL14" s="81"/>
      <c r="BM14" s="81"/>
      <c r="BN14" s="81"/>
      <c r="BO14" s="81"/>
      <c r="BP14" s="81"/>
      <c r="BQ14" s="81"/>
      <c r="BR14" s="81"/>
      <c r="BS14" s="81"/>
      <c r="BT14" s="81"/>
      <c r="BU14" s="81"/>
      <c r="BV14" s="81"/>
      <c r="BW14" s="81"/>
      <c r="BX14" s="81"/>
      <c r="BY14" s="81"/>
      <c r="BZ14" s="81"/>
      <c r="CA14" s="81"/>
      <c r="CB14" s="81"/>
      <c r="CC14" s="81"/>
      <c r="CD14" s="81"/>
      <c r="CE14" s="6"/>
      <c r="CF14" s="15" t="s">
        <v>36</v>
      </c>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c r="ET14" s="1"/>
      <c r="EU14" s="1"/>
      <c r="EV14" s="1"/>
      <c r="EW14" s="1"/>
      <c r="EX14" s="1"/>
      <c r="EY14" s="1"/>
      <c r="EZ14" s="1"/>
      <c r="FA14" s="1"/>
      <c r="FB14" s="1"/>
      <c r="FC14" s="1"/>
      <c r="FD14" s="1"/>
      <c r="FE14" s="1"/>
      <c r="FF14" s="1"/>
      <c r="FG14" s="1"/>
      <c r="FH14" s="1"/>
      <c r="FI14" s="1"/>
      <c r="FJ14" s="1"/>
      <c r="FK14" s="1"/>
      <c r="FL14" s="1"/>
      <c r="FM14" s="1"/>
      <c r="FN14" s="1"/>
      <c r="FO14" s="1"/>
      <c r="FP14" s="1"/>
      <c r="FQ14" s="1"/>
      <c r="FR14" s="1"/>
      <c r="FS14" s="1"/>
      <c r="FT14" s="1"/>
      <c r="FU14" s="1"/>
      <c r="FV14" s="1"/>
      <c r="FW14" s="1"/>
      <c r="FX14" s="1"/>
      <c r="FY14" s="1"/>
      <c r="FZ14" s="1"/>
      <c r="GA14" s="1"/>
    </row>
    <row r="15" spans="1:183" ht="12" customHeight="1" x14ac:dyDescent="0.15">
      <c r="A15" s="3"/>
      <c r="B15" s="1"/>
      <c r="C15" s="7"/>
      <c r="D15" s="82"/>
      <c r="E15" s="82"/>
      <c r="F15" s="82"/>
      <c r="G15" s="82"/>
      <c r="H15" s="82"/>
      <c r="I15" s="82"/>
      <c r="J15" s="81"/>
      <c r="K15" s="81"/>
      <c r="L15" s="81"/>
      <c r="M15" s="81"/>
      <c r="N15" s="81"/>
      <c r="O15" s="81"/>
      <c r="P15" s="81"/>
      <c r="Q15" s="81"/>
      <c r="R15" s="81"/>
      <c r="S15" s="81"/>
      <c r="T15" s="81"/>
      <c r="U15" s="81"/>
      <c r="V15" s="81"/>
      <c r="W15" s="81"/>
      <c r="X15" s="81"/>
      <c r="Y15" s="81"/>
      <c r="Z15" s="81"/>
      <c r="AA15" s="81"/>
      <c r="AB15" s="81"/>
      <c r="AC15" s="81"/>
      <c r="AD15" s="81"/>
      <c r="AE15" s="81"/>
      <c r="AF15" s="81"/>
      <c r="AG15" s="81"/>
      <c r="AH15" s="81"/>
      <c r="AI15" s="81"/>
      <c r="AJ15" s="81"/>
      <c r="AK15" s="81"/>
      <c r="AL15" s="81"/>
      <c r="AM15" s="81"/>
      <c r="AN15" s="81"/>
      <c r="AO15" s="81"/>
      <c r="AP15" s="81"/>
      <c r="AQ15" s="81"/>
      <c r="AR15" s="81"/>
      <c r="AS15" s="81"/>
      <c r="AT15" s="81"/>
      <c r="AU15" s="81"/>
      <c r="AV15" s="81"/>
      <c r="AW15" s="81"/>
      <c r="AX15" s="81"/>
      <c r="AY15" s="81"/>
      <c r="AZ15" s="81"/>
      <c r="BA15" s="81"/>
      <c r="BB15" s="81"/>
      <c r="BC15" s="81"/>
      <c r="BD15" s="81"/>
      <c r="BE15" s="81"/>
      <c r="BF15" s="81"/>
      <c r="BG15" s="81"/>
      <c r="BH15" s="81"/>
      <c r="BI15" s="81"/>
      <c r="BJ15" s="81"/>
      <c r="BK15" s="81"/>
      <c r="BL15" s="81"/>
      <c r="BM15" s="81"/>
      <c r="BN15" s="81"/>
      <c r="BO15" s="81"/>
      <c r="BP15" s="81"/>
      <c r="BQ15" s="81"/>
      <c r="BR15" s="81"/>
      <c r="BS15" s="81"/>
      <c r="BT15" s="81"/>
      <c r="BU15" s="81"/>
      <c r="BV15" s="81"/>
      <c r="BW15" s="81"/>
      <c r="BX15" s="81"/>
      <c r="BY15" s="81"/>
      <c r="BZ15" s="81"/>
      <c r="CA15" s="81"/>
      <c r="CB15" s="81"/>
      <c r="CC15" s="81"/>
      <c r="CD15" s="81"/>
      <c r="CE15" s="6"/>
      <c r="CF15" s="15" t="s">
        <v>37</v>
      </c>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c r="FX15" s="1"/>
      <c r="FY15" s="1"/>
      <c r="FZ15" s="1"/>
      <c r="GA15" s="1"/>
    </row>
    <row r="16" spans="1:183" ht="12" customHeight="1" x14ac:dyDescent="0.15">
      <c r="A16" s="3"/>
      <c r="B16" s="1"/>
      <c r="C16" s="7"/>
      <c r="D16" s="82"/>
      <c r="E16" s="82"/>
      <c r="F16" s="82"/>
      <c r="G16" s="82"/>
      <c r="H16" s="82"/>
      <c r="I16" s="82"/>
      <c r="J16" s="81"/>
      <c r="K16" s="81"/>
      <c r="L16" s="81"/>
      <c r="M16" s="81"/>
      <c r="N16" s="81"/>
      <c r="O16" s="81"/>
      <c r="P16" s="81"/>
      <c r="Q16" s="81"/>
      <c r="R16" s="81"/>
      <c r="S16" s="81"/>
      <c r="T16" s="81"/>
      <c r="U16" s="81"/>
      <c r="V16" s="81"/>
      <c r="W16" s="81"/>
      <c r="X16" s="81"/>
      <c r="Y16" s="81"/>
      <c r="Z16" s="81"/>
      <c r="AA16" s="81"/>
      <c r="AB16" s="81"/>
      <c r="AC16" s="81"/>
      <c r="AD16" s="81"/>
      <c r="AE16" s="81"/>
      <c r="AF16" s="81"/>
      <c r="AG16" s="81"/>
      <c r="AH16" s="81"/>
      <c r="AI16" s="81"/>
      <c r="AJ16" s="81"/>
      <c r="AK16" s="81"/>
      <c r="AL16" s="81"/>
      <c r="AM16" s="81"/>
      <c r="AN16" s="81"/>
      <c r="AO16" s="81"/>
      <c r="AP16" s="81"/>
      <c r="AQ16" s="81"/>
      <c r="AR16" s="81"/>
      <c r="AS16" s="81"/>
      <c r="AT16" s="81"/>
      <c r="AU16" s="81"/>
      <c r="AV16" s="81"/>
      <c r="AW16" s="81"/>
      <c r="AX16" s="81"/>
      <c r="AY16" s="81"/>
      <c r="AZ16" s="81"/>
      <c r="BA16" s="81"/>
      <c r="BB16" s="81"/>
      <c r="BC16" s="81"/>
      <c r="BD16" s="81"/>
      <c r="BE16" s="81"/>
      <c r="BF16" s="81"/>
      <c r="BG16" s="81"/>
      <c r="BH16" s="81"/>
      <c r="BI16" s="81"/>
      <c r="BJ16" s="81"/>
      <c r="BK16" s="81"/>
      <c r="BL16" s="81"/>
      <c r="BM16" s="81"/>
      <c r="BN16" s="81"/>
      <c r="BO16" s="81"/>
      <c r="BP16" s="81"/>
      <c r="BQ16" s="81"/>
      <c r="BR16" s="81"/>
      <c r="BS16" s="81"/>
      <c r="BT16" s="81"/>
      <c r="BU16" s="81"/>
      <c r="BV16" s="81"/>
      <c r="BW16" s="81"/>
      <c r="BX16" s="81"/>
      <c r="BY16" s="81"/>
      <c r="BZ16" s="81"/>
      <c r="CA16" s="81"/>
      <c r="CB16" s="81"/>
      <c r="CC16" s="81"/>
      <c r="CD16" s="81"/>
      <c r="CE16" s="6"/>
      <c r="CF16" s="15" t="s">
        <v>38</v>
      </c>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row>
    <row r="17" spans="1:183" ht="12" customHeight="1" x14ac:dyDescent="0.15">
      <c r="A17" s="3"/>
      <c r="B17" s="1"/>
      <c r="C17" s="7"/>
      <c r="D17" s="82"/>
      <c r="E17" s="82"/>
      <c r="F17" s="82"/>
      <c r="G17" s="82"/>
      <c r="H17" s="82"/>
      <c r="I17" s="82"/>
      <c r="J17" s="81"/>
      <c r="K17" s="81"/>
      <c r="L17" s="81"/>
      <c r="M17" s="81"/>
      <c r="N17" s="81"/>
      <c r="O17" s="81"/>
      <c r="P17" s="81"/>
      <c r="Q17" s="81"/>
      <c r="R17" s="81"/>
      <c r="S17" s="81"/>
      <c r="T17" s="81"/>
      <c r="U17" s="81"/>
      <c r="V17" s="81"/>
      <c r="W17" s="81"/>
      <c r="X17" s="81"/>
      <c r="Y17" s="81"/>
      <c r="Z17" s="81"/>
      <c r="AA17" s="81"/>
      <c r="AB17" s="81"/>
      <c r="AC17" s="81"/>
      <c r="AD17" s="81"/>
      <c r="AE17" s="81"/>
      <c r="AF17" s="81"/>
      <c r="AG17" s="81"/>
      <c r="AH17" s="81"/>
      <c r="AI17" s="81"/>
      <c r="AJ17" s="81"/>
      <c r="AK17" s="81"/>
      <c r="AL17" s="81"/>
      <c r="AM17" s="81"/>
      <c r="AN17" s="81"/>
      <c r="AO17" s="81"/>
      <c r="AP17" s="81"/>
      <c r="AQ17" s="81"/>
      <c r="AR17" s="81"/>
      <c r="AS17" s="81"/>
      <c r="AT17" s="81"/>
      <c r="AU17" s="81"/>
      <c r="AV17" s="81"/>
      <c r="AW17" s="81"/>
      <c r="AX17" s="81"/>
      <c r="AY17" s="81"/>
      <c r="AZ17" s="81"/>
      <c r="BA17" s="81"/>
      <c r="BB17" s="81"/>
      <c r="BC17" s="81"/>
      <c r="BD17" s="81"/>
      <c r="BE17" s="81"/>
      <c r="BF17" s="81"/>
      <c r="BG17" s="81"/>
      <c r="BH17" s="81"/>
      <c r="BI17" s="81"/>
      <c r="BJ17" s="81"/>
      <c r="BK17" s="81"/>
      <c r="BL17" s="81"/>
      <c r="BM17" s="81"/>
      <c r="BN17" s="81"/>
      <c r="BO17" s="81"/>
      <c r="BP17" s="81"/>
      <c r="BQ17" s="81"/>
      <c r="BR17" s="81"/>
      <c r="BS17" s="81"/>
      <c r="BT17" s="81"/>
      <c r="BU17" s="81"/>
      <c r="BV17" s="81"/>
      <c r="BW17" s="81"/>
      <c r="BX17" s="81"/>
      <c r="BY17" s="81"/>
      <c r="BZ17" s="81"/>
      <c r="CA17" s="81"/>
      <c r="CB17" s="81"/>
      <c r="CC17" s="81"/>
      <c r="CD17" s="81"/>
      <c r="CE17" s="6"/>
      <c r="CF17" s="15" t="s">
        <v>39</v>
      </c>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c r="FX17" s="1"/>
      <c r="FY17" s="1"/>
      <c r="FZ17" s="1"/>
      <c r="GA17" s="1"/>
    </row>
    <row r="18" spans="1:183" ht="12" customHeight="1" x14ac:dyDescent="0.15">
      <c r="A18" s="3"/>
      <c r="B18" s="1"/>
      <c r="C18" s="7"/>
      <c r="D18" s="82"/>
      <c r="E18" s="82"/>
      <c r="F18" s="82"/>
      <c r="G18" s="82"/>
      <c r="H18" s="82"/>
      <c r="I18" s="82"/>
      <c r="J18" s="81"/>
      <c r="K18" s="81"/>
      <c r="L18" s="81"/>
      <c r="M18" s="81"/>
      <c r="N18" s="81"/>
      <c r="O18" s="81"/>
      <c r="P18" s="81"/>
      <c r="Q18" s="81"/>
      <c r="R18" s="81"/>
      <c r="S18" s="81"/>
      <c r="T18" s="81"/>
      <c r="U18" s="81"/>
      <c r="V18" s="81"/>
      <c r="W18" s="81"/>
      <c r="X18" s="81"/>
      <c r="Y18" s="81"/>
      <c r="Z18" s="81"/>
      <c r="AA18" s="81"/>
      <c r="AB18" s="81"/>
      <c r="AC18" s="81"/>
      <c r="AD18" s="81"/>
      <c r="AE18" s="81"/>
      <c r="AF18" s="81"/>
      <c r="AG18" s="81"/>
      <c r="AH18" s="81"/>
      <c r="AI18" s="81"/>
      <c r="AJ18" s="81"/>
      <c r="AK18" s="81"/>
      <c r="AL18" s="81"/>
      <c r="AM18" s="81"/>
      <c r="AN18" s="81"/>
      <c r="AO18" s="81"/>
      <c r="AP18" s="81"/>
      <c r="AQ18" s="81"/>
      <c r="AR18" s="81"/>
      <c r="AS18" s="81"/>
      <c r="AT18" s="81"/>
      <c r="AU18" s="81"/>
      <c r="AV18" s="81"/>
      <c r="AW18" s="81"/>
      <c r="AX18" s="81"/>
      <c r="AY18" s="81"/>
      <c r="AZ18" s="81"/>
      <c r="BA18" s="81"/>
      <c r="BB18" s="81"/>
      <c r="BC18" s="81"/>
      <c r="BD18" s="81"/>
      <c r="BE18" s="81"/>
      <c r="BF18" s="81"/>
      <c r="BG18" s="81"/>
      <c r="BH18" s="81"/>
      <c r="BI18" s="81"/>
      <c r="BJ18" s="81"/>
      <c r="BK18" s="81"/>
      <c r="BL18" s="81"/>
      <c r="BM18" s="81"/>
      <c r="BN18" s="81"/>
      <c r="BO18" s="81"/>
      <c r="BP18" s="81"/>
      <c r="BQ18" s="81"/>
      <c r="BR18" s="81"/>
      <c r="BS18" s="81"/>
      <c r="BT18" s="81"/>
      <c r="BU18" s="81"/>
      <c r="BV18" s="81"/>
      <c r="BW18" s="81"/>
      <c r="BX18" s="81"/>
      <c r="BY18" s="81"/>
      <c r="BZ18" s="81"/>
      <c r="CA18" s="81"/>
      <c r="CB18" s="81"/>
      <c r="CC18" s="81"/>
      <c r="CD18" s="81"/>
      <c r="CE18" s="6"/>
      <c r="CF18" s="15" t="s">
        <v>40</v>
      </c>
      <c r="CG18" s="1"/>
      <c r="CH18" s="1"/>
      <c r="CI18" s="1"/>
      <c r="CJ18" s="1"/>
      <c r="CK18" s="1"/>
      <c r="CL18" s="1"/>
      <c r="CM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c r="EJ18" s="1"/>
      <c r="EK18" s="1"/>
      <c r="EL18" s="1"/>
      <c r="EM18" s="1"/>
      <c r="EN18" s="1"/>
      <c r="EO18" s="1"/>
      <c r="EP18" s="1"/>
      <c r="EQ18" s="1"/>
      <c r="ER18" s="1"/>
      <c r="ES18" s="1"/>
      <c r="ET18" s="1"/>
      <c r="EU18" s="1"/>
      <c r="EV18" s="1"/>
      <c r="EW18" s="1"/>
      <c r="EX18" s="1"/>
      <c r="EY18" s="1"/>
      <c r="EZ18" s="1"/>
      <c r="FA18" s="1"/>
      <c r="FB18" s="1"/>
      <c r="FC18" s="1"/>
      <c r="FD18" s="1"/>
      <c r="FE18" s="1"/>
      <c r="FF18" s="1"/>
      <c r="FG18" s="1"/>
      <c r="FH18" s="1"/>
      <c r="FI18" s="1"/>
      <c r="FJ18" s="1"/>
      <c r="FK18" s="1"/>
      <c r="FL18" s="1"/>
      <c r="FM18" s="1"/>
      <c r="FN18" s="1"/>
      <c r="FO18" s="1"/>
      <c r="FP18" s="1"/>
      <c r="FQ18" s="1"/>
      <c r="FR18" s="1"/>
      <c r="FS18" s="1"/>
      <c r="FT18" s="1"/>
      <c r="FU18" s="1"/>
      <c r="FV18" s="1"/>
      <c r="FW18" s="1"/>
      <c r="FX18" s="1"/>
      <c r="FY18" s="1"/>
      <c r="FZ18" s="1"/>
      <c r="GA18" s="1"/>
    </row>
    <row r="19" spans="1:183" ht="12" customHeight="1" x14ac:dyDescent="0.15">
      <c r="A19" s="3"/>
      <c r="B19" s="1"/>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5"/>
      <c r="BM19" s="5"/>
      <c r="BN19" s="5"/>
      <c r="BO19" s="5"/>
      <c r="BP19" s="5"/>
      <c r="BQ19" s="5"/>
      <c r="BR19" s="5"/>
      <c r="BS19" s="5"/>
      <c r="BT19" s="5"/>
      <c r="BU19" s="5"/>
      <c r="BV19" s="5"/>
      <c r="BW19" s="5"/>
      <c r="BX19" s="5"/>
      <c r="BY19" s="5"/>
      <c r="BZ19" s="5"/>
      <c r="CA19" s="5"/>
      <c r="CB19" s="5"/>
      <c r="CC19" s="5"/>
      <c r="CD19" s="5"/>
      <c r="CE19" s="6"/>
      <c r="CF19" s="15" t="s">
        <v>41</v>
      </c>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row>
    <row r="20" spans="1:183" ht="12" customHeight="1" x14ac:dyDescent="0.15">
      <c r="A20" s="3"/>
      <c r="B20" s="1"/>
      <c r="C20" s="5"/>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6"/>
      <c r="CF20" s="15" t="s">
        <v>42</v>
      </c>
      <c r="CG20" s="1"/>
      <c r="CH20" s="1"/>
      <c r="CI20" s="1"/>
      <c r="CJ20" s="4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c r="FR20" s="1"/>
      <c r="FS20" s="1"/>
      <c r="FT20" s="1"/>
      <c r="FU20" s="1"/>
      <c r="FV20" s="1"/>
      <c r="FW20" s="1"/>
      <c r="FX20" s="1"/>
      <c r="FY20" s="1"/>
      <c r="FZ20" s="1"/>
      <c r="GA20" s="1"/>
    </row>
    <row r="21" spans="1:183" ht="12" customHeight="1" x14ac:dyDescent="0.15">
      <c r="A21" s="3"/>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6"/>
      <c r="CF21" s="15" t="s">
        <v>43</v>
      </c>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c r="EI21" s="1"/>
      <c r="EJ21" s="1"/>
      <c r="EK21" s="1"/>
      <c r="EL21" s="1"/>
      <c r="EM21" s="1"/>
      <c r="EN21" s="1"/>
      <c r="EO21" s="1"/>
      <c r="EP21" s="1"/>
      <c r="EQ21" s="1"/>
      <c r="ER21" s="1"/>
      <c r="ES21" s="1"/>
      <c r="ET21" s="1"/>
      <c r="EU21" s="1"/>
      <c r="EV21" s="1"/>
      <c r="EW21" s="1"/>
      <c r="EX21" s="1"/>
      <c r="EY21" s="1"/>
      <c r="EZ21" s="1"/>
      <c r="FA21" s="1"/>
      <c r="FB21" s="1"/>
      <c r="FC21" s="1"/>
      <c r="FD21" s="1"/>
      <c r="FE21" s="1"/>
      <c r="FF21" s="1"/>
      <c r="FG21" s="1"/>
      <c r="FH21" s="1"/>
      <c r="FI21" s="1"/>
      <c r="FJ21" s="1"/>
      <c r="FK21" s="1"/>
      <c r="FL21" s="1"/>
      <c r="FM21" s="1"/>
      <c r="FN21" s="1"/>
      <c r="FO21" s="1"/>
      <c r="FP21" s="1"/>
      <c r="FQ21" s="1"/>
      <c r="FR21" s="1"/>
      <c r="FS21" s="1"/>
      <c r="FT21" s="1"/>
      <c r="FU21" s="1"/>
      <c r="FV21" s="1"/>
      <c r="FW21" s="1"/>
      <c r="FX21" s="1"/>
      <c r="FY21" s="1"/>
      <c r="FZ21" s="1"/>
      <c r="GA21" s="1"/>
    </row>
    <row r="22" spans="1:183" ht="12" customHeight="1" x14ac:dyDescent="0.15">
      <c r="A22" s="3"/>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6"/>
      <c r="CF22" s="15" t="s">
        <v>44</v>
      </c>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row>
    <row r="23" spans="1:183" ht="12" customHeight="1" x14ac:dyDescent="0.15">
      <c r="A23" s="3"/>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6"/>
      <c r="CF23" s="15" t="s">
        <v>45</v>
      </c>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c r="FW23" s="1"/>
      <c r="FX23" s="1"/>
      <c r="FY23" s="1"/>
      <c r="FZ23" s="1"/>
      <c r="GA23" s="1"/>
    </row>
    <row r="24" spans="1:183" ht="12" customHeight="1" x14ac:dyDescent="0.15">
      <c r="A24" s="3"/>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6"/>
      <c r="CF24" s="15" t="s">
        <v>46</v>
      </c>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row>
    <row r="25" spans="1:183" ht="12" customHeight="1" x14ac:dyDescent="0.15">
      <c r="A25" s="3"/>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6"/>
      <c r="CF25" s="15" t="s">
        <v>47</v>
      </c>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row>
    <row r="26" spans="1:183" ht="12" customHeight="1" x14ac:dyDescent="0.15">
      <c r="A26" s="3"/>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6"/>
      <c r="CF26" s="15" t="s">
        <v>48</v>
      </c>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c r="FT26" s="1"/>
      <c r="FU26" s="1"/>
      <c r="FV26" s="1"/>
      <c r="FW26" s="1"/>
      <c r="FX26" s="1"/>
      <c r="FY26" s="1"/>
      <c r="FZ26" s="1"/>
      <c r="GA26" s="1"/>
    </row>
    <row r="27" spans="1:183" ht="12" customHeight="1" x14ac:dyDescent="0.15">
      <c r="A27" s="3"/>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4"/>
      <c r="CF27" s="15" t="s">
        <v>49</v>
      </c>
    </row>
    <row r="28" spans="1:183" ht="12" customHeight="1" x14ac:dyDescent="0.15">
      <c r="A28" s="3"/>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4"/>
      <c r="CF28" s="15" t="s">
        <v>50</v>
      </c>
    </row>
    <row r="29" spans="1:183" ht="12" customHeight="1" x14ac:dyDescent="0.15">
      <c r="A29" s="3"/>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4"/>
      <c r="CF29" s="15" t="s">
        <v>51</v>
      </c>
    </row>
    <row r="30" spans="1:183" ht="12" customHeight="1" x14ac:dyDescent="0.15">
      <c r="A30" s="3"/>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4"/>
      <c r="CF30" s="15" t="s">
        <v>52</v>
      </c>
    </row>
    <row r="31" spans="1:183" ht="12" customHeight="1" x14ac:dyDescent="0.15">
      <c r="A31" s="3"/>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4"/>
      <c r="CF31" s="15" t="s">
        <v>53</v>
      </c>
    </row>
    <row r="32" spans="1:183" ht="12" customHeight="1" x14ac:dyDescent="0.15">
      <c r="A32" s="3"/>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4"/>
      <c r="CF32" s="15" t="s">
        <v>54</v>
      </c>
    </row>
    <row r="33" spans="1:91" ht="12" customHeight="1" x14ac:dyDescent="0.15">
      <c r="A33" s="3"/>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4"/>
      <c r="CF33" s="15" t="s">
        <v>209</v>
      </c>
    </row>
    <row r="34" spans="1:91" ht="12" customHeight="1" x14ac:dyDescent="0.15">
      <c r="A34" s="3"/>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4"/>
      <c r="CF34" s="15" t="s">
        <v>55</v>
      </c>
    </row>
    <row r="35" spans="1:91" ht="12" customHeight="1" x14ac:dyDescent="0.15">
      <c r="A35" s="3"/>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4"/>
      <c r="CF35" s="15" t="s">
        <v>56</v>
      </c>
    </row>
    <row r="36" spans="1:91" ht="12" customHeight="1" x14ac:dyDescent="0.15">
      <c r="A36" s="3"/>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4"/>
      <c r="CF36" s="15" t="s">
        <v>57</v>
      </c>
    </row>
    <row r="37" spans="1:91" ht="12" customHeight="1" x14ac:dyDescent="0.15">
      <c r="A37" s="3"/>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4"/>
      <c r="CF37" s="15" t="s">
        <v>58</v>
      </c>
    </row>
    <row r="38" spans="1:91" ht="12" customHeight="1" x14ac:dyDescent="0.15">
      <c r="A38" s="3"/>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4"/>
      <c r="CF38" s="15" t="s">
        <v>59</v>
      </c>
    </row>
    <row r="39" spans="1:91" ht="12" customHeight="1" x14ac:dyDescent="0.15">
      <c r="A39" s="3"/>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4"/>
      <c r="CF39" s="15" t="s">
        <v>60</v>
      </c>
    </row>
    <row r="40" spans="1:91" ht="12" customHeight="1" x14ac:dyDescent="0.15">
      <c r="A40" s="3"/>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4"/>
      <c r="CF40" s="15" t="s">
        <v>61</v>
      </c>
    </row>
    <row r="41" spans="1:91" ht="12" customHeight="1" x14ac:dyDescent="0.15">
      <c r="A41" s="3"/>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4"/>
      <c r="CF41" s="15" t="s">
        <v>62</v>
      </c>
    </row>
    <row r="42" spans="1:91" ht="12" customHeight="1" x14ac:dyDescent="0.15">
      <c r="A42" s="3"/>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4"/>
      <c r="CF42" s="15" t="s">
        <v>63</v>
      </c>
    </row>
    <row r="43" spans="1:91" ht="12" customHeight="1" x14ac:dyDescent="0.15">
      <c r="A43" s="3"/>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4"/>
      <c r="CF43" s="15" t="s">
        <v>64</v>
      </c>
    </row>
    <row r="44" spans="1:91" ht="12" customHeight="1" x14ac:dyDescent="0.15">
      <c r="A44" s="3"/>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4"/>
      <c r="CF44" s="15" t="s">
        <v>65</v>
      </c>
    </row>
    <row r="45" spans="1:91" ht="12" customHeight="1" x14ac:dyDescent="0.15">
      <c r="A45" s="3"/>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4"/>
      <c r="CF45" s="15" t="s">
        <v>66</v>
      </c>
    </row>
    <row r="46" spans="1:91" ht="12" customHeight="1" thickBot="1" x14ac:dyDescent="0.2">
      <c r="A46" s="16"/>
      <c r="B46" s="17"/>
      <c r="C46" s="17"/>
      <c r="D46" s="17"/>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8"/>
      <c r="BQ46" s="18"/>
      <c r="BR46" s="18"/>
      <c r="BS46" s="18"/>
      <c r="BT46" s="18"/>
      <c r="BU46" s="18"/>
      <c r="BV46" s="18"/>
      <c r="BW46" s="18"/>
      <c r="BX46" s="18"/>
      <c r="BY46" s="18"/>
      <c r="BZ46" s="18"/>
      <c r="CA46" s="18"/>
      <c r="CB46" s="18"/>
      <c r="CC46" s="18"/>
      <c r="CD46" s="18"/>
      <c r="CE46" s="19"/>
      <c r="CF46" s="15" t="s">
        <v>67</v>
      </c>
    </row>
    <row r="47" spans="1:91" ht="12" customHeight="1" x14ac:dyDescent="0.15">
      <c r="A47" s="3"/>
      <c r="B47" s="1"/>
      <c r="C47" s="1" t="s">
        <v>21</v>
      </c>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4"/>
      <c r="CF47" s="15" t="s">
        <v>68</v>
      </c>
    </row>
    <row r="48" spans="1:91" ht="12" customHeight="1" x14ac:dyDescent="0.15">
      <c r="A48" s="3"/>
      <c r="B48" s="1"/>
      <c r="C48" s="1"/>
      <c r="D48" s="1" t="s">
        <v>22</v>
      </c>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4"/>
      <c r="CF48" s="15" t="s">
        <v>69</v>
      </c>
      <c r="CM48" s="1"/>
    </row>
    <row r="49" spans="1:91" ht="12" customHeight="1" x14ac:dyDescent="0.15">
      <c r="A49" s="3"/>
      <c r="B49" s="1"/>
      <c r="C49" s="1"/>
      <c r="D49" s="1"/>
      <c r="E49" s="1" t="s">
        <v>212</v>
      </c>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4"/>
      <c r="CF49" s="15" t="s">
        <v>70</v>
      </c>
      <c r="CM49" s="1"/>
    </row>
    <row r="50" spans="1:91" ht="12" customHeight="1" x14ac:dyDescent="0.15">
      <c r="A50" s="3"/>
      <c r="B50" s="1"/>
      <c r="C50" s="1"/>
      <c r="D50" s="1"/>
      <c r="E50" s="1" t="s">
        <v>146</v>
      </c>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4"/>
      <c r="CF50" s="15" t="s">
        <v>71</v>
      </c>
    </row>
    <row r="51" spans="1:91" ht="12" customHeight="1" x14ac:dyDescent="0.15">
      <c r="A51" s="3"/>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4"/>
      <c r="CF51" s="15" t="s">
        <v>72</v>
      </c>
    </row>
    <row r="52" spans="1:91" ht="12" customHeight="1" x14ac:dyDescent="0.15">
      <c r="A52" s="3"/>
      <c r="B52" s="1"/>
      <c r="C52" s="1"/>
      <c r="D52" s="1" t="s">
        <v>23</v>
      </c>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4"/>
      <c r="CF52" s="15" t="s">
        <v>73</v>
      </c>
    </row>
    <row r="53" spans="1:91" ht="12" customHeight="1" x14ac:dyDescent="0.15">
      <c r="A53" s="3"/>
      <c r="B53" s="1"/>
      <c r="C53" s="1"/>
      <c r="D53" s="1"/>
      <c r="E53" s="80" t="s">
        <v>17</v>
      </c>
      <c r="F53" s="80"/>
      <c r="G53" s="80"/>
      <c r="H53" s="80"/>
      <c r="I53" s="80"/>
      <c r="J53" s="80"/>
      <c r="K53" s="80"/>
      <c r="L53" s="80"/>
      <c r="M53" s="80"/>
      <c r="N53" s="80"/>
      <c r="O53" s="80"/>
      <c r="P53" s="80"/>
      <c r="Q53" s="80"/>
      <c r="R53" s="80" t="s">
        <v>18</v>
      </c>
      <c r="S53" s="80"/>
      <c r="T53" s="80"/>
      <c r="U53" s="80"/>
      <c r="V53" s="80"/>
      <c r="W53" s="80"/>
      <c r="X53" s="80"/>
      <c r="Y53" s="80"/>
      <c r="Z53" s="80"/>
      <c r="AA53" s="80"/>
      <c r="AB53" s="80"/>
      <c r="AC53" s="80"/>
      <c r="AD53" s="80"/>
      <c r="AE53" s="80"/>
      <c r="AF53" s="80"/>
      <c r="AG53" s="80"/>
      <c r="AH53" s="80"/>
      <c r="AI53" s="80"/>
      <c r="AJ53" s="80"/>
      <c r="AK53" s="80"/>
      <c r="AL53" s="80"/>
      <c r="AM53" s="80"/>
      <c r="AN53" s="80"/>
      <c r="AO53" s="80"/>
      <c r="AP53" s="80"/>
      <c r="AQ53" s="80"/>
      <c r="AR53" s="80"/>
      <c r="AS53" s="80"/>
      <c r="AT53" s="80"/>
      <c r="AU53" s="80"/>
      <c r="AV53" s="80"/>
      <c r="AW53" s="80"/>
      <c r="AX53" s="80"/>
      <c r="AY53" s="80"/>
      <c r="AZ53" s="80"/>
      <c r="BA53" s="80"/>
      <c r="BB53" s="80"/>
      <c r="BC53" s="80"/>
      <c r="BD53" s="80"/>
      <c r="BE53" s="80"/>
      <c r="BF53" s="80"/>
      <c r="BG53" s="80"/>
      <c r="BH53" s="80"/>
      <c r="BI53" s="80"/>
      <c r="BJ53" s="80"/>
      <c r="BK53" s="80"/>
      <c r="BL53" s="80"/>
      <c r="BM53" s="80"/>
      <c r="BN53" s="80"/>
      <c r="BO53" s="80"/>
      <c r="BP53" s="80"/>
      <c r="BQ53" s="80"/>
      <c r="BR53" s="80"/>
      <c r="BS53" s="80"/>
      <c r="BT53" s="1"/>
      <c r="BU53" s="1"/>
      <c r="BV53" s="1"/>
      <c r="BW53" s="1"/>
      <c r="BX53" s="1"/>
      <c r="BY53" s="1"/>
      <c r="BZ53" s="1"/>
      <c r="CA53" s="1"/>
      <c r="CB53" s="1"/>
      <c r="CC53" s="1"/>
      <c r="CD53" s="1"/>
      <c r="CE53" s="4"/>
      <c r="CF53" s="15" t="s">
        <v>74</v>
      </c>
    </row>
    <row r="54" spans="1:91" ht="12" customHeight="1" x14ac:dyDescent="0.15">
      <c r="A54" s="3"/>
      <c r="B54" s="1"/>
      <c r="C54" s="1"/>
      <c r="D54" s="1"/>
      <c r="E54" s="81" t="s">
        <v>19</v>
      </c>
      <c r="F54" s="81"/>
      <c r="G54" s="81"/>
      <c r="H54" s="81"/>
      <c r="I54" s="81"/>
      <c r="J54" s="81"/>
      <c r="K54" s="81"/>
      <c r="L54" s="81"/>
      <c r="M54" s="81"/>
      <c r="N54" s="81"/>
      <c r="O54" s="81"/>
      <c r="P54" s="81"/>
      <c r="Q54" s="81"/>
      <c r="R54" s="81" t="s">
        <v>28</v>
      </c>
      <c r="S54" s="81"/>
      <c r="T54" s="81"/>
      <c r="U54" s="81"/>
      <c r="V54" s="81"/>
      <c r="W54" s="81"/>
      <c r="X54" s="81"/>
      <c r="Y54" s="81"/>
      <c r="Z54" s="81"/>
      <c r="AA54" s="81"/>
      <c r="AB54" s="81"/>
      <c r="AC54" s="81"/>
      <c r="AD54" s="81"/>
      <c r="AE54" s="81"/>
      <c r="AF54" s="81"/>
      <c r="AG54" s="81"/>
      <c r="AH54" s="81"/>
      <c r="AI54" s="81"/>
      <c r="AJ54" s="81"/>
      <c r="AK54" s="81"/>
      <c r="AL54" s="81"/>
      <c r="AM54" s="81"/>
      <c r="AN54" s="81"/>
      <c r="AO54" s="81"/>
      <c r="AP54" s="81"/>
      <c r="AQ54" s="81"/>
      <c r="AR54" s="81"/>
      <c r="AS54" s="81"/>
      <c r="AT54" s="81"/>
      <c r="AU54" s="81"/>
      <c r="AV54" s="81"/>
      <c r="AW54" s="81"/>
      <c r="AX54" s="81"/>
      <c r="AY54" s="81"/>
      <c r="AZ54" s="81"/>
      <c r="BA54" s="81"/>
      <c r="BB54" s="81"/>
      <c r="BC54" s="81"/>
      <c r="BD54" s="81"/>
      <c r="BE54" s="81"/>
      <c r="BF54" s="81"/>
      <c r="BG54" s="81"/>
      <c r="BH54" s="81"/>
      <c r="BI54" s="81"/>
      <c r="BJ54" s="81"/>
      <c r="BK54" s="81"/>
      <c r="BL54" s="81"/>
      <c r="BM54" s="81"/>
      <c r="BN54" s="81"/>
      <c r="BO54" s="81"/>
      <c r="BP54" s="81"/>
      <c r="BQ54" s="81"/>
      <c r="BR54" s="81"/>
      <c r="BS54" s="81"/>
      <c r="BT54" s="1"/>
      <c r="BU54" s="1"/>
      <c r="BV54" s="1"/>
      <c r="BW54" s="1"/>
      <c r="BX54" s="1"/>
      <c r="BY54" s="1"/>
      <c r="BZ54" s="1"/>
      <c r="CA54" s="1"/>
      <c r="CB54" s="1"/>
      <c r="CC54" s="1"/>
      <c r="CD54" s="1"/>
      <c r="CE54" s="4"/>
      <c r="CF54" s="15" t="s">
        <v>75</v>
      </c>
    </row>
    <row r="55" spans="1:91" ht="12" customHeight="1" x14ac:dyDescent="0.15">
      <c r="A55" s="3"/>
      <c r="B55" s="1"/>
      <c r="C55" s="1"/>
      <c r="D55" s="1"/>
      <c r="E55" s="81" t="s">
        <v>20</v>
      </c>
      <c r="F55" s="81"/>
      <c r="G55" s="81"/>
      <c r="H55" s="81"/>
      <c r="I55" s="81"/>
      <c r="J55" s="81"/>
      <c r="K55" s="81"/>
      <c r="L55" s="81"/>
      <c r="M55" s="81"/>
      <c r="N55" s="81"/>
      <c r="O55" s="81"/>
      <c r="P55" s="81"/>
      <c r="Q55" s="81"/>
      <c r="R55" s="81" t="s">
        <v>120</v>
      </c>
      <c r="S55" s="81"/>
      <c r="T55" s="81"/>
      <c r="U55" s="81"/>
      <c r="V55" s="81"/>
      <c r="W55" s="81"/>
      <c r="X55" s="81"/>
      <c r="Y55" s="81"/>
      <c r="Z55" s="81"/>
      <c r="AA55" s="81"/>
      <c r="AB55" s="81"/>
      <c r="AC55" s="81"/>
      <c r="AD55" s="81"/>
      <c r="AE55" s="81"/>
      <c r="AF55" s="81"/>
      <c r="AG55" s="81"/>
      <c r="AH55" s="81"/>
      <c r="AI55" s="81"/>
      <c r="AJ55" s="81"/>
      <c r="AK55" s="81"/>
      <c r="AL55" s="81"/>
      <c r="AM55" s="81"/>
      <c r="AN55" s="81"/>
      <c r="AO55" s="81"/>
      <c r="AP55" s="81"/>
      <c r="AQ55" s="81"/>
      <c r="AR55" s="81"/>
      <c r="AS55" s="81"/>
      <c r="AT55" s="81"/>
      <c r="AU55" s="81"/>
      <c r="AV55" s="81"/>
      <c r="AW55" s="81"/>
      <c r="AX55" s="81"/>
      <c r="AY55" s="81"/>
      <c r="AZ55" s="81"/>
      <c r="BA55" s="81"/>
      <c r="BB55" s="81"/>
      <c r="BC55" s="81"/>
      <c r="BD55" s="81"/>
      <c r="BE55" s="81"/>
      <c r="BF55" s="81"/>
      <c r="BG55" s="81"/>
      <c r="BH55" s="81"/>
      <c r="BI55" s="81"/>
      <c r="BJ55" s="81"/>
      <c r="BK55" s="81"/>
      <c r="BL55" s="81"/>
      <c r="BM55" s="81"/>
      <c r="BN55" s="81"/>
      <c r="BO55" s="81"/>
      <c r="BP55" s="81"/>
      <c r="BQ55" s="81"/>
      <c r="BR55" s="81"/>
      <c r="BS55" s="81"/>
      <c r="BT55" s="1"/>
      <c r="BU55" s="1"/>
      <c r="BV55" s="1"/>
      <c r="BW55" s="1"/>
      <c r="BX55" s="1"/>
      <c r="BY55" s="1"/>
      <c r="BZ55" s="1"/>
      <c r="CA55" s="1"/>
      <c r="CB55" s="1"/>
      <c r="CC55" s="1"/>
      <c r="CD55" s="1"/>
      <c r="CE55" s="4"/>
      <c r="CF55" s="15" t="s">
        <v>76</v>
      </c>
    </row>
    <row r="56" spans="1:91" ht="12" customHeight="1" x14ac:dyDescent="0.15">
      <c r="A56" s="3"/>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4"/>
      <c r="CF56" s="15" t="s">
        <v>77</v>
      </c>
    </row>
    <row r="57" spans="1:91" ht="12" customHeight="1" x14ac:dyDescent="0.15">
      <c r="A57" s="3"/>
      <c r="B57" s="1"/>
      <c r="C57" s="1"/>
      <c r="D57" s="1" t="s">
        <v>132</v>
      </c>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4"/>
      <c r="CF57" s="15" t="s">
        <v>78</v>
      </c>
    </row>
    <row r="58" spans="1:91" ht="12" customHeight="1" x14ac:dyDescent="0.15">
      <c r="A58" s="3"/>
      <c r="B58" s="1"/>
      <c r="C58" s="1"/>
      <c r="D58" s="1"/>
      <c r="E58" s="80" t="s">
        <v>27</v>
      </c>
      <c r="F58" s="80"/>
      <c r="G58" s="80" t="s">
        <v>14</v>
      </c>
      <c r="H58" s="80"/>
      <c r="I58" s="80"/>
      <c r="J58" s="80"/>
      <c r="K58" s="80"/>
      <c r="L58" s="80"/>
      <c r="M58" s="80"/>
      <c r="N58" s="80"/>
      <c r="O58" s="80"/>
      <c r="P58" s="80"/>
      <c r="Q58" s="80"/>
      <c r="R58" s="80"/>
      <c r="S58" s="80"/>
      <c r="T58" s="80"/>
      <c r="U58" s="80" t="s">
        <v>25</v>
      </c>
      <c r="V58" s="80"/>
      <c r="W58" s="80"/>
      <c r="X58" s="80"/>
      <c r="Y58" s="80"/>
      <c r="Z58" s="80"/>
      <c r="AA58" s="80"/>
      <c r="AB58" s="80"/>
      <c r="AC58" s="80"/>
      <c r="AD58" s="80"/>
      <c r="AE58" s="80"/>
      <c r="AF58" s="80"/>
      <c r="AG58" s="80"/>
      <c r="AH58" s="80"/>
      <c r="AI58" s="80"/>
      <c r="AJ58" s="80"/>
      <c r="AK58" s="80"/>
      <c r="AL58" s="80"/>
      <c r="AM58" s="80"/>
      <c r="AN58" s="80"/>
      <c r="AO58" s="80"/>
      <c r="AP58" s="80"/>
      <c r="AQ58" s="80"/>
      <c r="AR58" s="80"/>
      <c r="AS58" s="80"/>
      <c r="AT58" s="80"/>
      <c r="AU58" s="80"/>
      <c r="AV58" s="80"/>
      <c r="AW58" s="80"/>
      <c r="AX58" s="80"/>
      <c r="AY58" s="80"/>
      <c r="AZ58" s="80"/>
      <c r="BA58" s="80" t="s">
        <v>24</v>
      </c>
      <c r="BB58" s="80"/>
      <c r="BC58" s="80"/>
      <c r="BD58" s="80"/>
      <c r="BE58" s="80"/>
      <c r="BF58" s="80"/>
      <c r="BG58" s="80"/>
      <c r="BH58" s="80"/>
      <c r="BI58" s="80"/>
      <c r="BJ58" s="80"/>
      <c r="BK58" s="80"/>
      <c r="BL58" s="80"/>
      <c r="BM58" s="80"/>
      <c r="BN58" s="80"/>
      <c r="BO58" s="80"/>
      <c r="BP58" s="80"/>
      <c r="BQ58" s="80"/>
      <c r="BR58" s="80"/>
      <c r="BS58" s="80"/>
      <c r="BT58" s="80"/>
      <c r="BU58" s="80" t="s">
        <v>191</v>
      </c>
      <c r="BV58" s="80"/>
      <c r="BW58" s="80"/>
      <c r="BX58" s="80"/>
      <c r="BY58" s="80"/>
      <c r="BZ58" s="80" t="s">
        <v>192</v>
      </c>
      <c r="CA58" s="80"/>
      <c r="CB58" s="80"/>
      <c r="CC58" s="80"/>
      <c r="CD58" s="80"/>
      <c r="CE58" s="4"/>
      <c r="CF58" s="15" t="s">
        <v>79</v>
      </c>
    </row>
    <row r="59" spans="1:91" ht="12" customHeight="1" x14ac:dyDescent="0.15">
      <c r="A59" s="3"/>
      <c r="B59" s="1"/>
      <c r="C59" s="1"/>
      <c r="D59" s="1"/>
      <c r="E59" s="81">
        <v>1</v>
      </c>
      <c r="F59" s="81"/>
      <c r="G59" s="81" t="s">
        <v>219</v>
      </c>
      <c r="H59" s="81"/>
      <c r="I59" s="81"/>
      <c r="J59" s="81"/>
      <c r="K59" s="81"/>
      <c r="L59" s="81"/>
      <c r="M59" s="81"/>
      <c r="N59" s="81"/>
      <c r="O59" s="81"/>
      <c r="P59" s="81"/>
      <c r="Q59" s="81"/>
      <c r="R59" s="81"/>
      <c r="S59" s="81"/>
      <c r="T59" s="81"/>
      <c r="U59" s="81" t="s">
        <v>271</v>
      </c>
      <c r="V59" s="81"/>
      <c r="W59" s="81"/>
      <c r="X59" s="81"/>
      <c r="Y59" s="81"/>
      <c r="Z59" s="81"/>
      <c r="AA59" s="81"/>
      <c r="AB59" s="81"/>
      <c r="AC59" s="81"/>
      <c r="AD59" s="81"/>
      <c r="AE59" s="81"/>
      <c r="AF59" s="81"/>
      <c r="AG59" s="81"/>
      <c r="AH59" s="81"/>
      <c r="AI59" s="81"/>
      <c r="AJ59" s="81"/>
      <c r="AK59" s="81"/>
      <c r="AL59" s="81"/>
      <c r="AM59" s="81"/>
      <c r="AN59" s="81"/>
      <c r="AO59" s="81"/>
      <c r="AP59" s="81"/>
      <c r="AQ59" s="81"/>
      <c r="AR59" s="81"/>
      <c r="AS59" s="81"/>
      <c r="AT59" s="81"/>
      <c r="AU59" s="81"/>
      <c r="AV59" s="81"/>
      <c r="AW59" s="81"/>
      <c r="AX59" s="81"/>
      <c r="AY59" s="81"/>
      <c r="AZ59" s="81"/>
      <c r="BA59" s="81" t="s">
        <v>226</v>
      </c>
      <c r="BB59" s="81"/>
      <c r="BC59" s="81"/>
      <c r="BD59" s="81"/>
      <c r="BE59" s="81"/>
      <c r="BF59" s="81"/>
      <c r="BG59" s="81"/>
      <c r="BH59" s="81"/>
      <c r="BI59" s="81"/>
      <c r="BJ59" s="81"/>
      <c r="BK59" s="81"/>
      <c r="BL59" s="81"/>
      <c r="BM59" s="81"/>
      <c r="BN59" s="81"/>
      <c r="BO59" s="81"/>
      <c r="BP59" s="81"/>
      <c r="BQ59" s="81"/>
      <c r="BR59" s="81"/>
      <c r="BS59" s="81"/>
      <c r="BT59" s="81"/>
      <c r="BU59" s="82" t="s">
        <v>124</v>
      </c>
      <c r="BV59" s="82"/>
      <c r="BW59" s="82"/>
      <c r="BX59" s="82"/>
      <c r="BY59" s="82"/>
      <c r="BZ59" s="82" t="s">
        <v>145</v>
      </c>
      <c r="CA59" s="82"/>
      <c r="CB59" s="82"/>
      <c r="CC59" s="82"/>
      <c r="CD59" s="82"/>
      <c r="CE59" s="4"/>
      <c r="CF59" s="15" t="s">
        <v>80</v>
      </c>
    </row>
    <row r="60" spans="1:91" ht="12" customHeight="1" x14ac:dyDescent="0.15">
      <c r="A60" s="3"/>
      <c r="B60" s="1"/>
      <c r="C60" s="1"/>
      <c r="D60" s="1"/>
      <c r="E60" s="81"/>
      <c r="F60" s="81"/>
      <c r="G60" s="81"/>
      <c r="H60" s="81"/>
      <c r="I60" s="81"/>
      <c r="J60" s="81"/>
      <c r="K60" s="81"/>
      <c r="L60" s="81"/>
      <c r="M60" s="81"/>
      <c r="N60" s="81"/>
      <c r="O60" s="81"/>
      <c r="P60" s="81"/>
      <c r="Q60" s="81"/>
      <c r="R60" s="81"/>
      <c r="S60" s="81"/>
      <c r="T60" s="81"/>
      <c r="U60" s="81"/>
      <c r="V60" s="81"/>
      <c r="W60" s="81"/>
      <c r="X60" s="81"/>
      <c r="Y60" s="81"/>
      <c r="Z60" s="81"/>
      <c r="AA60" s="81"/>
      <c r="AB60" s="81"/>
      <c r="AC60" s="81"/>
      <c r="AD60" s="81"/>
      <c r="AE60" s="81"/>
      <c r="AF60" s="81"/>
      <c r="AG60" s="81"/>
      <c r="AH60" s="81"/>
      <c r="AI60" s="81"/>
      <c r="AJ60" s="81"/>
      <c r="AK60" s="81"/>
      <c r="AL60" s="81"/>
      <c r="AM60" s="81"/>
      <c r="AN60" s="81"/>
      <c r="AO60" s="81"/>
      <c r="AP60" s="81"/>
      <c r="AQ60" s="81"/>
      <c r="AR60" s="81"/>
      <c r="AS60" s="81"/>
      <c r="AT60" s="81"/>
      <c r="AU60" s="81"/>
      <c r="AV60" s="81"/>
      <c r="AW60" s="81"/>
      <c r="AX60" s="81"/>
      <c r="AY60" s="81"/>
      <c r="AZ60" s="81"/>
      <c r="BA60" s="81"/>
      <c r="BB60" s="81"/>
      <c r="BC60" s="81"/>
      <c r="BD60" s="81"/>
      <c r="BE60" s="81"/>
      <c r="BF60" s="81"/>
      <c r="BG60" s="81"/>
      <c r="BH60" s="81"/>
      <c r="BI60" s="81"/>
      <c r="BJ60" s="81"/>
      <c r="BK60" s="81"/>
      <c r="BL60" s="81"/>
      <c r="BM60" s="81"/>
      <c r="BN60" s="81"/>
      <c r="BO60" s="81"/>
      <c r="BP60" s="81"/>
      <c r="BQ60" s="81"/>
      <c r="BR60" s="81"/>
      <c r="BS60" s="81"/>
      <c r="BT60" s="81"/>
      <c r="BU60" s="82"/>
      <c r="BV60" s="82"/>
      <c r="BW60" s="82"/>
      <c r="BX60" s="82"/>
      <c r="BY60" s="82"/>
      <c r="BZ60" s="82"/>
      <c r="CA60" s="82"/>
      <c r="CB60" s="82"/>
      <c r="CC60" s="82"/>
      <c r="CD60" s="82"/>
      <c r="CE60" s="4"/>
      <c r="CF60" s="15" t="s">
        <v>81</v>
      </c>
    </row>
    <row r="61" spans="1:91" ht="12" customHeight="1" x14ac:dyDescent="0.15">
      <c r="A61" s="3"/>
      <c r="B61" s="1"/>
      <c r="C61" s="1"/>
      <c r="D61" s="1"/>
      <c r="E61" s="81"/>
      <c r="F61" s="81"/>
      <c r="G61" s="81"/>
      <c r="H61" s="81"/>
      <c r="I61" s="81"/>
      <c r="J61" s="81"/>
      <c r="K61" s="81"/>
      <c r="L61" s="81"/>
      <c r="M61" s="81"/>
      <c r="N61" s="81"/>
      <c r="O61" s="81"/>
      <c r="P61" s="81"/>
      <c r="Q61" s="81"/>
      <c r="R61" s="81"/>
      <c r="S61" s="81"/>
      <c r="T61" s="81"/>
      <c r="U61" s="81"/>
      <c r="V61" s="81"/>
      <c r="W61" s="81"/>
      <c r="X61" s="81"/>
      <c r="Y61" s="81"/>
      <c r="Z61" s="81"/>
      <c r="AA61" s="81"/>
      <c r="AB61" s="81"/>
      <c r="AC61" s="81"/>
      <c r="AD61" s="81"/>
      <c r="AE61" s="81"/>
      <c r="AF61" s="81"/>
      <c r="AG61" s="81"/>
      <c r="AH61" s="81"/>
      <c r="AI61" s="81"/>
      <c r="AJ61" s="81"/>
      <c r="AK61" s="81"/>
      <c r="AL61" s="81"/>
      <c r="AM61" s="81"/>
      <c r="AN61" s="81"/>
      <c r="AO61" s="81"/>
      <c r="AP61" s="81"/>
      <c r="AQ61" s="81"/>
      <c r="AR61" s="81"/>
      <c r="AS61" s="81"/>
      <c r="AT61" s="81"/>
      <c r="AU61" s="81"/>
      <c r="AV61" s="81"/>
      <c r="AW61" s="81"/>
      <c r="AX61" s="81"/>
      <c r="AY61" s="81"/>
      <c r="AZ61" s="81"/>
      <c r="BA61" s="81"/>
      <c r="BB61" s="81"/>
      <c r="BC61" s="81"/>
      <c r="BD61" s="81"/>
      <c r="BE61" s="81"/>
      <c r="BF61" s="81"/>
      <c r="BG61" s="81"/>
      <c r="BH61" s="81"/>
      <c r="BI61" s="81"/>
      <c r="BJ61" s="81"/>
      <c r="BK61" s="81"/>
      <c r="BL61" s="81"/>
      <c r="BM61" s="81"/>
      <c r="BN61" s="81"/>
      <c r="BO61" s="81"/>
      <c r="BP61" s="81"/>
      <c r="BQ61" s="81"/>
      <c r="BR61" s="81"/>
      <c r="BS61" s="81"/>
      <c r="BT61" s="81"/>
      <c r="BU61" s="82"/>
      <c r="BV61" s="82"/>
      <c r="BW61" s="82"/>
      <c r="BX61" s="82"/>
      <c r="BY61" s="82"/>
      <c r="BZ61" s="82"/>
      <c r="CA61" s="82"/>
      <c r="CB61" s="82"/>
      <c r="CC61" s="82"/>
      <c r="CD61" s="82"/>
      <c r="CE61" s="4"/>
      <c r="CF61" s="15" t="s">
        <v>82</v>
      </c>
    </row>
    <row r="62" spans="1:91" ht="12" customHeight="1" x14ac:dyDescent="0.15">
      <c r="A62" s="3"/>
      <c r="B62" s="1"/>
      <c r="C62" s="1"/>
      <c r="D62" s="1"/>
      <c r="E62" s="81"/>
      <c r="F62" s="81"/>
      <c r="G62" s="81"/>
      <c r="H62" s="81"/>
      <c r="I62" s="81"/>
      <c r="J62" s="81"/>
      <c r="K62" s="81"/>
      <c r="L62" s="81"/>
      <c r="M62" s="81"/>
      <c r="N62" s="81"/>
      <c r="O62" s="81"/>
      <c r="P62" s="81"/>
      <c r="Q62" s="81"/>
      <c r="R62" s="81"/>
      <c r="S62" s="81"/>
      <c r="T62" s="81"/>
      <c r="U62" s="81"/>
      <c r="V62" s="81"/>
      <c r="W62" s="81"/>
      <c r="X62" s="81"/>
      <c r="Y62" s="81"/>
      <c r="Z62" s="81"/>
      <c r="AA62" s="81"/>
      <c r="AB62" s="81"/>
      <c r="AC62" s="81"/>
      <c r="AD62" s="81"/>
      <c r="AE62" s="81"/>
      <c r="AF62" s="81"/>
      <c r="AG62" s="81"/>
      <c r="AH62" s="81"/>
      <c r="AI62" s="81"/>
      <c r="AJ62" s="81"/>
      <c r="AK62" s="81"/>
      <c r="AL62" s="81"/>
      <c r="AM62" s="81"/>
      <c r="AN62" s="81"/>
      <c r="AO62" s="81"/>
      <c r="AP62" s="81"/>
      <c r="AQ62" s="81"/>
      <c r="AR62" s="81"/>
      <c r="AS62" s="81"/>
      <c r="AT62" s="81"/>
      <c r="AU62" s="81"/>
      <c r="AV62" s="81"/>
      <c r="AW62" s="81"/>
      <c r="AX62" s="81"/>
      <c r="AY62" s="81"/>
      <c r="AZ62" s="81"/>
      <c r="BA62" s="81"/>
      <c r="BB62" s="81"/>
      <c r="BC62" s="81"/>
      <c r="BD62" s="81"/>
      <c r="BE62" s="81"/>
      <c r="BF62" s="81"/>
      <c r="BG62" s="81"/>
      <c r="BH62" s="81"/>
      <c r="BI62" s="81"/>
      <c r="BJ62" s="81"/>
      <c r="BK62" s="81"/>
      <c r="BL62" s="81"/>
      <c r="BM62" s="81"/>
      <c r="BN62" s="81"/>
      <c r="BO62" s="81"/>
      <c r="BP62" s="81"/>
      <c r="BQ62" s="81"/>
      <c r="BR62" s="81"/>
      <c r="BS62" s="81"/>
      <c r="BT62" s="81"/>
      <c r="BU62" s="82"/>
      <c r="BV62" s="82"/>
      <c r="BW62" s="82"/>
      <c r="BX62" s="82"/>
      <c r="BY62" s="82"/>
      <c r="BZ62" s="82"/>
      <c r="CA62" s="82"/>
      <c r="CB62" s="82"/>
      <c r="CC62" s="82"/>
      <c r="CD62" s="82"/>
      <c r="CE62" s="4"/>
      <c r="CF62" s="15" t="s">
        <v>83</v>
      </c>
    </row>
    <row r="63" spans="1:91" ht="12" customHeight="1" x14ac:dyDescent="0.15">
      <c r="A63" s="3"/>
      <c r="B63" s="1"/>
      <c r="C63" s="1"/>
      <c r="D63" s="1"/>
      <c r="E63" s="81"/>
      <c r="F63" s="81"/>
      <c r="G63" s="81"/>
      <c r="H63" s="81"/>
      <c r="I63" s="81"/>
      <c r="J63" s="81"/>
      <c r="K63" s="81"/>
      <c r="L63" s="81"/>
      <c r="M63" s="81"/>
      <c r="N63" s="81"/>
      <c r="O63" s="81"/>
      <c r="P63" s="81"/>
      <c r="Q63" s="81"/>
      <c r="R63" s="81"/>
      <c r="S63" s="81"/>
      <c r="T63" s="81"/>
      <c r="U63" s="81"/>
      <c r="V63" s="81"/>
      <c r="W63" s="81"/>
      <c r="X63" s="81"/>
      <c r="Y63" s="81"/>
      <c r="Z63" s="81"/>
      <c r="AA63" s="81"/>
      <c r="AB63" s="81"/>
      <c r="AC63" s="81"/>
      <c r="AD63" s="81"/>
      <c r="AE63" s="81"/>
      <c r="AF63" s="81"/>
      <c r="AG63" s="81"/>
      <c r="AH63" s="81"/>
      <c r="AI63" s="81"/>
      <c r="AJ63" s="81"/>
      <c r="AK63" s="81"/>
      <c r="AL63" s="81"/>
      <c r="AM63" s="81"/>
      <c r="AN63" s="81"/>
      <c r="AO63" s="81"/>
      <c r="AP63" s="81"/>
      <c r="AQ63" s="81"/>
      <c r="AR63" s="81"/>
      <c r="AS63" s="81"/>
      <c r="AT63" s="81"/>
      <c r="AU63" s="81"/>
      <c r="AV63" s="81"/>
      <c r="AW63" s="81"/>
      <c r="AX63" s="81"/>
      <c r="AY63" s="81"/>
      <c r="AZ63" s="81"/>
      <c r="BA63" s="81"/>
      <c r="BB63" s="81"/>
      <c r="BC63" s="81"/>
      <c r="BD63" s="81"/>
      <c r="BE63" s="81"/>
      <c r="BF63" s="81"/>
      <c r="BG63" s="81"/>
      <c r="BH63" s="81"/>
      <c r="BI63" s="81"/>
      <c r="BJ63" s="81"/>
      <c r="BK63" s="81"/>
      <c r="BL63" s="81"/>
      <c r="BM63" s="81"/>
      <c r="BN63" s="81"/>
      <c r="BO63" s="81"/>
      <c r="BP63" s="81"/>
      <c r="BQ63" s="81"/>
      <c r="BR63" s="81"/>
      <c r="BS63" s="81"/>
      <c r="BT63" s="81"/>
      <c r="BU63" s="82"/>
      <c r="BV63" s="82"/>
      <c r="BW63" s="82"/>
      <c r="BX63" s="82"/>
      <c r="BY63" s="82"/>
      <c r="BZ63" s="82"/>
      <c r="CA63" s="82"/>
      <c r="CB63" s="82"/>
      <c r="CC63" s="82"/>
      <c r="CD63" s="82"/>
      <c r="CE63" s="4"/>
      <c r="CF63" s="15" t="s">
        <v>84</v>
      </c>
    </row>
    <row r="64" spans="1:91" ht="12" customHeight="1" x14ac:dyDescent="0.15">
      <c r="A64" s="3"/>
      <c r="B64" s="1"/>
      <c r="C64" s="1"/>
      <c r="D64" s="1"/>
      <c r="E64" s="81">
        <v>2</v>
      </c>
      <c r="F64" s="81"/>
      <c r="G64" s="81" t="s">
        <v>278</v>
      </c>
      <c r="H64" s="81"/>
      <c r="I64" s="81"/>
      <c r="J64" s="81"/>
      <c r="K64" s="81"/>
      <c r="L64" s="81"/>
      <c r="M64" s="81"/>
      <c r="N64" s="81"/>
      <c r="O64" s="81"/>
      <c r="P64" s="81"/>
      <c r="Q64" s="81"/>
      <c r="R64" s="81"/>
      <c r="S64" s="81"/>
      <c r="T64" s="81"/>
      <c r="U64" s="112" t="s">
        <v>363</v>
      </c>
      <c r="V64" s="113"/>
      <c r="W64" s="113"/>
      <c r="X64" s="113"/>
      <c r="Y64" s="113"/>
      <c r="Z64" s="113"/>
      <c r="AA64" s="113"/>
      <c r="AB64" s="113"/>
      <c r="AC64" s="113"/>
      <c r="AD64" s="113"/>
      <c r="AE64" s="113"/>
      <c r="AF64" s="113"/>
      <c r="AG64" s="113"/>
      <c r="AH64" s="113"/>
      <c r="AI64" s="113"/>
      <c r="AJ64" s="113"/>
      <c r="AK64" s="113"/>
      <c r="AL64" s="113"/>
      <c r="AM64" s="113"/>
      <c r="AN64" s="113"/>
      <c r="AO64" s="113"/>
      <c r="AP64" s="113"/>
      <c r="AQ64" s="113"/>
      <c r="AR64" s="113"/>
      <c r="AS64" s="113"/>
      <c r="AT64" s="113"/>
      <c r="AU64" s="113"/>
      <c r="AV64" s="113"/>
      <c r="AW64" s="113"/>
      <c r="AX64" s="113"/>
      <c r="AY64" s="113"/>
      <c r="AZ64" s="114"/>
      <c r="BA64" s="81" t="s">
        <v>279</v>
      </c>
      <c r="BB64" s="81"/>
      <c r="BC64" s="81"/>
      <c r="BD64" s="81"/>
      <c r="BE64" s="81"/>
      <c r="BF64" s="81"/>
      <c r="BG64" s="81"/>
      <c r="BH64" s="81"/>
      <c r="BI64" s="81"/>
      <c r="BJ64" s="81"/>
      <c r="BK64" s="81"/>
      <c r="BL64" s="81"/>
      <c r="BM64" s="81"/>
      <c r="BN64" s="81"/>
      <c r="BO64" s="81"/>
      <c r="BP64" s="81"/>
      <c r="BQ64" s="81"/>
      <c r="BR64" s="81"/>
      <c r="BS64" s="81"/>
      <c r="BT64" s="81"/>
      <c r="BU64" s="82" t="s">
        <v>145</v>
      </c>
      <c r="BV64" s="82"/>
      <c r="BW64" s="82"/>
      <c r="BX64" s="82"/>
      <c r="BY64" s="82"/>
      <c r="BZ64" s="82" t="s">
        <v>124</v>
      </c>
      <c r="CA64" s="82"/>
      <c r="CB64" s="82"/>
      <c r="CC64" s="82"/>
      <c r="CD64" s="82"/>
      <c r="CE64" s="4"/>
      <c r="CF64" s="15" t="s">
        <v>85</v>
      </c>
    </row>
    <row r="65" spans="1:84" ht="12" customHeight="1" x14ac:dyDescent="0.15">
      <c r="A65" s="3"/>
      <c r="B65" s="1"/>
      <c r="C65" s="1"/>
      <c r="D65" s="1"/>
      <c r="E65" s="81"/>
      <c r="F65" s="81"/>
      <c r="G65" s="81"/>
      <c r="H65" s="81"/>
      <c r="I65" s="81"/>
      <c r="J65" s="81"/>
      <c r="K65" s="81"/>
      <c r="L65" s="81"/>
      <c r="M65" s="81"/>
      <c r="N65" s="81"/>
      <c r="O65" s="81"/>
      <c r="P65" s="81"/>
      <c r="Q65" s="81"/>
      <c r="R65" s="81"/>
      <c r="S65" s="81"/>
      <c r="T65" s="81"/>
      <c r="U65" s="115"/>
      <c r="V65" s="116"/>
      <c r="W65" s="116"/>
      <c r="X65" s="116"/>
      <c r="Y65" s="116"/>
      <c r="Z65" s="116"/>
      <c r="AA65" s="116"/>
      <c r="AB65" s="116"/>
      <c r="AC65" s="116"/>
      <c r="AD65" s="116"/>
      <c r="AE65" s="116"/>
      <c r="AF65" s="116"/>
      <c r="AG65" s="116"/>
      <c r="AH65" s="116"/>
      <c r="AI65" s="116"/>
      <c r="AJ65" s="116"/>
      <c r="AK65" s="116"/>
      <c r="AL65" s="116"/>
      <c r="AM65" s="116"/>
      <c r="AN65" s="116"/>
      <c r="AO65" s="116"/>
      <c r="AP65" s="116"/>
      <c r="AQ65" s="116"/>
      <c r="AR65" s="116"/>
      <c r="AS65" s="116"/>
      <c r="AT65" s="116"/>
      <c r="AU65" s="116"/>
      <c r="AV65" s="116"/>
      <c r="AW65" s="116"/>
      <c r="AX65" s="116"/>
      <c r="AY65" s="116"/>
      <c r="AZ65" s="117"/>
      <c r="BA65" s="81"/>
      <c r="BB65" s="81"/>
      <c r="BC65" s="81"/>
      <c r="BD65" s="81"/>
      <c r="BE65" s="81"/>
      <c r="BF65" s="81"/>
      <c r="BG65" s="81"/>
      <c r="BH65" s="81"/>
      <c r="BI65" s="81"/>
      <c r="BJ65" s="81"/>
      <c r="BK65" s="81"/>
      <c r="BL65" s="81"/>
      <c r="BM65" s="81"/>
      <c r="BN65" s="81"/>
      <c r="BO65" s="81"/>
      <c r="BP65" s="81"/>
      <c r="BQ65" s="81"/>
      <c r="BR65" s="81"/>
      <c r="BS65" s="81"/>
      <c r="BT65" s="81"/>
      <c r="BU65" s="82"/>
      <c r="BV65" s="82"/>
      <c r="BW65" s="82"/>
      <c r="BX65" s="82"/>
      <c r="BY65" s="82"/>
      <c r="BZ65" s="82"/>
      <c r="CA65" s="82"/>
      <c r="CB65" s="82"/>
      <c r="CC65" s="82"/>
      <c r="CD65" s="82"/>
      <c r="CE65" s="4"/>
      <c r="CF65" s="15" t="s">
        <v>86</v>
      </c>
    </row>
    <row r="66" spans="1:84" ht="12" customHeight="1" x14ac:dyDescent="0.15">
      <c r="A66" s="3"/>
      <c r="B66" s="1"/>
      <c r="C66" s="1"/>
      <c r="D66" s="1"/>
      <c r="E66" s="81"/>
      <c r="F66" s="81"/>
      <c r="G66" s="81"/>
      <c r="H66" s="81"/>
      <c r="I66" s="81"/>
      <c r="J66" s="81"/>
      <c r="K66" s="81"/>
      <c r="L66" s="81"/>
      <c r="M66" s="81"/>
      <c r="N66" s="81"/>
      <c r="O66" s="81"/>
      <c r="P66" s="81"/>
      <c r="Q66" s="81"/>
      <c r="R66" s="81"/>
      <c r="S66" s="81"/>
      <c r="T66" s="81"/>
      <c r="U66" s="115"/>
      <c r="V66" s="116"/>
      <c r="W66" s="116"/>
      <c r="X66" s="116"/>
      <c r="Y66" s="116"/>
      <c r="Z66" s="116"/>
      <c r="AA66" s="116"/>
      <c r="AB66" s="116"/>
      <c r="AC66" s="116"/>
      <c r="AD66" s="116"/>
      <c r="AE66" s="116"/>
      <c r="AF66" s="116"/>
      <c r="AG66" s="116"/>
      <c r="AH66" s="116"/>
      <c r="AI66" s="116"/>
      <c r="AJ66" s="116"/>
      <c r="AK66" s="116"/>
      <c r="AL66" s="116"/>
      <c r="AM66" s="116"/>
      <c r="AN66" s="116"/>
      <c r="AO66" s="116"/>
      <c r="AP66" s="116"/>
      <c r="AQ66" s="116"/>
      <c r="AR66" s="116"/>
      <c r="AS66" s="116"/>
      <c r="AT66" s="116"/>
      <c r="AU66" s="116"/>
      <c r="AV66" s="116"/>
      <c r="AW66" s="116"/>
      <c r="AX66" s="116"/>
      <c r="AY66" s="116"/>
      <c r="AZ66" s="117"/>
      <c r="BA66" s="81"/>
      <c r="BB66" s="81"/>
      <c r="BC66" s="81"/>
      <c r="BD66" s="81"/>
      <c r="BE66" s="81"/>
      <c r="BF66" s="81"/>
      <c r="BG66" s="81"/>
      <c r="BH66" s="81"/>
      <c r="BI66" s="81"/>
      <c r="BJ66" s="81"/>
      <c r="BK66" s="81"/>
      <c r="BL66" s="81"/>
      <c r="BM66" s="81"/>
      <c r="BN66" s="81"/>
      <c r="BO66" s="81"/>
      <c r="BP66" s="81"/>
      <c r="BQ66" s="81"/>
      <c r="BR66" s="81"/>
      <c r="BS66" s="81"/>
      <c r="BT66" s="81"/>
      <c r="BU66" s="82"/>
      <c r="BV66" s="82"/>
      <c r="BW66" s="82"/>
      <c r="BX66" s="82"/>
      <c r="BY66" s="82"/>
      <c r="BZ66" s="82"/>
      <c r="CA66" s="82"/>
      <c r="CB66" s="82"/>
      <c r="CC66" s="82"/>
      <c r="CD66" s="82"/>
      <c r="CE66" s="4"/>
      <c r="CF66" s="15" t="s">
        <v>160</v>
      </c>
    </row>
    <row r="67" spans="1:84" ht="12" customHeight="1" x14ac:dyDescent="0.15">
      <c r="A67" s="49"/>
      <c r="B67" s="1"/>
      <c r="C67" s="1"/>
      <c r="D67" s="1"/>
      <c r="E67" s="81"/>
      <c r="F67" s="81"/>
      <c r="G67" s="81"/>
      <c r="H67" s="81"/>
      <c r="I67" s="81"/>
      <c r="J67" s="81"/>
      <c r="K67" s="81"/>
      <c r="L67" s="81"/>
      <c r="M67" s="81"/>
      <c r="N67" s="81"/>
      <c r="O67" s="81"/>
      <c r="P67" s="81"/>
      <c r="Q67" s="81"/>
      <c r="R67" s="81"/>
      <c r="S67" s="81"/>
      <c r="T67" s="81"/>
      <c r="U67" s="115"/>
      <c r="V67" s="116"/>
      <c r="W67" s="116"/>
      <c r="X67" s="116"/>
      <c r="Y67" s="116"/>
      <c r="Z67" s="116"/>
      <c r="AA67" s="116"/>
      <c r="AB67" s="116"/>
      <c r="AC67" s="116"/>
      <c r="AD67" s="116"/>
      <c r="AE67" s="116"/>
      <c r="AF67" s="116"/>
      <c r="AG67" s="116"/>
      <c r="AH67" s="116"/>
      <c r="AI67" s="116"/>
      <c r="AJ67" s="116"/>
      <c r="AK67" s="116"/>
      <c r="AL67" s="116"/>
      <c r="AM67" s="116"/>
      <c r="AN67" s="116"/>
      <c r="AO67" s="116"/>
      <c r="AP67" s="116"/>
      <c r="AQ67" s="116"/>
      <c r="AR67" s="116"/>
      <c r="AS67" s="116"/>
      <c r="AT67" s="116"/>
      <c r="AU67" s="116"/>
      <c r="AV67" s="116"/>
      <c r="AW67" s="116"/>
      <c r="AX67" s="116"/>
      <c r="AY67" s="116"/>
      <c r="AZ67" s="117"/>
      <c r="BA67" s="81"/>
      <c r="BB67" s="81"/>
      <c r="BC67" s="81"/>
      <c r="BD67" s="81"/>
      <c r="BE67" s="81"/>
      <c r="BF67" s="81"/>
      <c r="BG67" s="81"/>
      <c r="BH67" s="81"/>
      <c r="BI67" s="81"/>
      <c r="BJ67" s="81"/>
      <c r="BK67" s="81"/>
      <c r="BL67" s="81"/>
      <c r="BM67" s="81"/>
      <c r="BN67" s="81"/>
      <c r="BO67" s="81"/>
      <c r="BP67" s="81"/>
      <c r="BQ67" s="81"/>
      <c r="BR67" s="81"/>
      <c r="BS67" s="81"/>
      <c r="BT67" s="81"/>
      <c r="BU67" s="82"/>
      <c r="BV67" s="82"/>
      <c r="BW67" s="82"/>
      <c r="BX67" s="82"/>
      <c r="BY67" s="82"/>
      <c r="BZ67" s="82"/>
      <c r="CA67" s="82"/>
      <c r="CB67" s="82"/>
      <c r="CC67" s="82"/>
      <c r="CD67" s="82"/>
      <c r="CE67" s="4"/>
      <c r="CF67" s="15" t="s">
        <v>87</v>
      </c>
    </row>
    <row r="68" spans="1:84" ht="12" customHeight="1" x14ac:dyDescent="0.15">
      <c r="A68" s="3"/>
      <c r="B68" s="1"/>
      <c r="C68" s="1"/>
      <c r="D68" s="1"/>
      <c r="E68" s="81"/>
      <c r="F68" s="81"/>
      <c r="G68" s="81"/>
      <c r="H68" s="81"/>
      <c r="I68" s="81"/>
      <c r="J68" s="81"/>
      <c r="K68" s="81"/>
      <c r="L68" s="81"/>
      <c r="M68" s="81"/>
      <c r="N68" s="81"/>
      <c r="O68" s="81"/>
      <c r="P68" s="81"/>
      <c r="Q68" s="81"/>
      <c r="R68" s="81"/>
      <c r="S68" s="81"/>
      <c r="T68" s="81"/>
      <c r="U68" s="118"/>
      <c r="V68" s="119"/>
      <c r="W68" s="119"/>
      <c r="X68" s="119"/>
      <c r="Y68" s="119"/>
      <c r="Z68" s="119"/>
      <c r="AA68" s="119"/>
      <c r="AB68" s="119"/>
      <c r="AC68" s="119"/>
      <c r="AD68" s="119"/>
      <c r="AE68" s="119"/>
      <c r="AF68" s="119"/>
      <c r="AG68" s="119"/>
      <c r="AH68" s="119"/>
      <c r="AI68" s="119"/>
      <c r="AJ68" s="119"/>
      <c r="AK68" s="119"/>
      <c r="AL68" s="119"/>
      <c r="AM68" s="119"/>
      <c r="AN68" s="119"/>
      <c r="AO68" s="119"/>
      <c r="AP68" s="119"/>
      <c r="AQ68" s="119"/>
      <c r="AR68" s="119"/>
      <c r="AS68" s="119"/>
      <c r="AT68" s="119"/>
      <c r="AU68" s="119"/>
      <c r="AV68" s="119"/>
      <c r="AW68" s="119"/>
      <c r="AX68" s="119"/>
      <c r="AY68" s="119"/>
      <c r="AZ68" s="120"/>
      <c r="BA68" s="81"/>
      <c r="BB68" s="81"/>
      <c r="BC68" s="81"/>
      <c r="BD68" s="81"/>
      <c r="BE68" s="81"/>
      <c r="BF68" s="81"/>
      <c r="BG68" s="81"/>
      <c r="BH68" s="81"/>
      <c r="BI68" s="81"/>
      <c r="BJ68" s="81"/>
      <c r="BK68" s="81"/>
      <c r="BL68" s="81"/>
      <c r="BM68" s="81"/>
      <c r="BN68" s="81"/>
      <c r="BO68" s="81"/>
      <c r="BP68" s="81"/>
      <c r="BQ68" s="81"/>
      <c r="BR68" s="81"/>
      <c r="BS68" s="81"/>
      <c r="BT68" s="81"/>
      <c r="BU68" s="82"/>
      <c r="BV68" s="82"/>
      <c r="BW68" s="82"/>
      <c r="BX68" s="82"/>
      <c r="BY68" s="82"/>
      <c r="BZ68" s="82"/>
      <c r="CA68" s="82"/>
      <c r="CB68" s="82"/>
      <c r="CC68" s="82"/>
      <c r="CD68" s="82"/>
      <c r="CE68" s="4"/>
      <c r="CF68" s="15" t="s">
        <v>88</v>
      </c>
    </row>
    <row r="69" spans="1:84" ht="12" customHeight="1" x14ac:dyDescent="0.15">
      <c r="A69" s="3"/>
      <c r="B69" s="1"/>
      <c r="C69" s="1"/>
      <c r="D69" s="1"/>
      <c r="E69" s="81">
        <v>3</v>
      </c>
      <c r="F69" s="81"/>
      <c r="G69" s="81" t="s">
        <v>280</v>
      </c>
      <c r="H69" s="81"/>
      <c r="I69" s="81"/>
      <c r="J69" s="81"/>
      <c r="K69" s="81"/>
      <c r="L69" s="81"/>
      <c r="M69" s="81"/>
      <c r="N69" s="81"/>
      <c r="O69" s="81"/>
      <c r="P69" s="81"/>
      <c r="Q69" s="81"/>
      <c r="R69" s="81"/>
      <c r="S69" s="81"/>
      <c r="T69" s="81"/>
      <c r="U69" s="81" t="s">
        <v>272</v>
      </c>
      <c r="V69" s="81"/>
      <c r="W69" s="81"/>
      <c r="X69" s="81"/>
      <c r="Y69" s="81"/>
      <c r="Z69" s="81"/>
      <c r="AA69" s="81"/>
      <c r="AB69" s="81"/>
      <c r="AC69" s="81"/>
      <c r="AD69" s="81"/>
      <c r="AE69" s="81"/>
      <c r="AF69" s="81"/>
      <c r="AG69" s="81"/>
      <c r="AH69" s="81"/>
      <c r="AI69" s="81"/>
      <c r="AJ69" s="81"/>
      <c r="AK69" s="81"/>
      <c r="AL69" s="81"/>
      <c r="AM69" s="81"/>
      <c r="AN69" s="81"/>
      <c r="AO69" s="81"/>
      <c r="AP69" s="81"/>
      <c r="AQ69" s="81"/>
      <c r="AR69" s="81"/>
      <c r="AS69" s="81"/>
      <c r="AT69" s="81"/>
      <c r="AU69" s="81"/>
      <c r="AV69" s="81"/>
      <c r="AW69" s="81"/>
      <c r="AX69" s="81"/>
      <c r="AY69" s="81"/>
      <c r="AZ69" s="81"/>
      <c r="BA69" s="81" t="s">
        <v>281</v>
      </c>
      <c r="BB69" s="81"/>
      <c r="BC69" s="81"/>
      <c r="BD69" s="81"/>
      <c r="BE69" s="81"/>
      <c r="BF69" s="81"/>
      <c r="BG69" s="81"/>
      <c r="BH69" s="81"/>
      <c r="BI69" s="81"/>
      <c r="BJ69" s="81"/>
      <c r="BK69" s="81"/>
      <c r="BL69" s="81"/>
      <c r="BM69" s="81"/>
      <c r="BN69" s="81"/>
      <c r="BO69" s="81"/>
      <c r="BP69" s="81"/>
      <c r="BQ69" s="81"/>
      <c r="BR69" s="81"/>
      <c r="BS69" s="81"/>
      <c r="BT69" s="81"/>
      <c r="BU69" s="82" t="s">
        <v>201</v>
      </c>
      <c r="BV69" s="82"/>
      <c r="BW69" s="82"/>
      <c r="BX69" s="82"/>
      <c r="BY69" s="82"/>
      <c r="BZ69" s="82" t="s">
        <v>124</v>
      </c>
      <c r="CA69" s="82"/>
      <c r="CB69" s="82"/>
      <c r="CC69" s="82"/>
      <c r="CD69" s="82"/>
      <c r="CE69" s="4"/>
      <c r="CF69" s="15" t="s">
        <v>210</v>
      </c>
    </row>
    <row r="70" spans="1:84" ht="12" customHeight="1" x14ac:dyDescent="0.15">
      <c r="A70" s="3"/>
      <c r="B70" s="1"/>
      <c r="C70" s="1"/>
      <c r="D70" s="1"/>
      <c r="E70" s="81"/>
      <c r="F70" s="81"/>
      <c r="G70" s="81"/>
      <c r="H70" s="81"/>
      <c r="I70" s="81"/>
      <c r="J70" s="81"/>
      <c r="K70" s="81"/>
      <c r="L70" s="81"/>
      <c r="M70" s="81"/>
      <c r="N70" s="81"/>
      <c r="O70" s="81"/>
      <c r="P70" s="81"/>
      <c r="Q70" s="81"/>
      <c r="R70" s="81"/>
      <c r="S70" s="81"/>
      <c r="T70" s="81"/>
      <c r="U70" s="111"/>
      <c r="V70" s="81"/>
      <c r="W70" s="81"/>
      <c r="X70" s="81"/>
      <c r="Y70" s="81"/>
      <c r="Z70" s="81"/>
      <c r="AA70" s="81"/>
      <c r="AB70" s="81"/>
      <c r="AC70" s="81"/>
      <c r="AD70" s="81"/>
      <c r="AE70" s="81"/>
      <c r="AF70" s="81"/>
      <c r="AG70" s="81"/>
      <c r="AH70" s="81"/>
      <c r="AI70" s="81"/>
      <c r="AJ70" s="81"/>
      <c r="AK70" s="81"/>
      <c r="AL70" s="81"/>
      <c r="AM70" s="81"/>
      <c r="AN70" s="81"/>
      <c r="AO70" s="81"/>
      <c r="AP70" s="81"/>
      <c r="AQ70" s="81"/>
      <c r="AR70" s="81"/>
      <c r="AS70" s="81"/>
      <c r="AT70" s="81"/>
      <c r="AU70" s="81"/>
      <c r="AV70" s="81"/>
      <c r="AW70" s="81"/>
      <c r="AX70" s="81"/>
      <c r="AY70" s="81"/>
      <c r="AZ70" s="81"/>
      <c r="BA70" s="81"/>
      <c r="BB70" s="81"/>
      <c r="BC70" s="81"/>
      <c r="BD70" s="81"/>
      <c r="BE70" s="81"/>
      <c r="BF70" s="81"/>
      <c r="BG70" s="81"/>
      <c r="BH70" s="81"/>
      <c r="BI70" s="81"/>
      <c r="BJ70" s="81"/>
      <c r="BK70" s="81"/>
      <c r="BL70" s="81"/>
      <c r="BM70" s="81"/>
      <c r="BN70" s="81"/>
      <c r="BO70" s="81"/>
      <c r="BP70" s="81"/>
      <c r="BQ70" s="81"/>
      <c r="BR70" s="81"/>
      <c r="BS70" s="81"/>
      <c r="BT70" s="81"/>
      <c r="BU70" s="82"/>
      <c r="BV70" s="82"/>
      <c r="BW70" s="82"/>
      <c r="BX70" s="82"/>
      <c r="BY70" s="82"/>
      <c r="BZ70" s="82"/>
      <c r="CA70" s="82"/>
      <c r="CB70" s="82"/>
      <c r="CC70" s="82"/>
      <c r="CD70" s="82"/>
      <c r="CE70" s="4"/>
      <c r="CF70" s="15" t="s">
        <v>89</v>
      </c>
    </row>
    <row r="71" spans="1:84" ht="12" customHeight="1" x14ac:dyDescent="0.15">
      <c r="A71" s="3"/>
      <c r="B71" s="1"/>
      <c r="C71" s="1"/>
      <c r="D71" s="1"/>
      <c r="E71" s="81"/>
      <c r="F71" s="81"/>
      <c r="G71" s="81"/>
      <c r="H71" s="81"/>
      <c r="I71" s="81"/>
      <c r="J71" s="81"/>
      <c r="K71" s="81"/>
      <c r="L71" s="81"/>
      <c r="M71" s="81"/>
      <c r="N71" s="81"/>
      <c r="O71" s="81"/>
      <c r="P71" s="81"/>
      <c r="Q71" s="81"/>
      <c r="R71" s="81"/>
      <c r="S71" s="81"/>
      <c r="T71" s="81"/>
      <c r="U71" s="111"/>
      <c r="V71" s="81"/>
      <c r="W71" s="81"/>
      <c r="X71" s="81"/>
      <c r="Y71" s="81"/>
      <c r="Z71" s="81"/>
      <c r="AA71" s="81"/>
      <c r="AB71" s="81"/>
      <c r="AC71" s="81"/>
      <c r="AD71" s="81"/>
      <c r="AE71" s="81"/>
      <c r="AF71" s="81"/>
      <c r="AG71" s="81"/>
      <c r="AH71" s="81"/>
      <c r="AI71" s="81"/>
      <c r="AJ71" s="81"/>
      <c r="AK71" s="81"/>
      <c r="AL71" s="81"/>
      <c r="AM71" s="81"/>
      <c r="AN71" s="81"/>
      <c r="AO71" s="81"/>
      <c r="AP71" s="81"/>
      <c r="AQ71" s="81"/>
      <c r="AR71" s="81"/>
      <c r="AS71" s="81"/>
      <c r="AT71" s="81"/>
      <c r="AU71" s="81"/>
      <c r="AV71" s="81"/>
      <c r="AW71" s="81"/>
      <c r="AX71" s="81"/>
      <c r="AY71" s="81"/>
      <c r="AZ71" s="81"/>
      <c r="BA71" s="81"/>
      <c r="BB71" s="81"/>
      <c r="BC71" s="81"/>
      <c r="BD71" s="81"/>
      <c r="BE71" s="81"/>
      <c r="BF71" s="81"/>
      <c r="BG71" s="81"/>
      <c r="BH71" s="81"/>
      <c r="BI71" s="81"/>
      <c r="BJ71" s="81"/>
      <c r="BK71" s="81"/>
      <c r="BL71" s="81"/>
      <c r="BM71" s="81"/>
      <c r="BN71" s="81"/>
      <c r="BO71" s="81"/>
      <c r="BP71" s="81"/>
      <c r="BQ71" s="81"/>
      <c r="BR71" s="81"/>
      <c r="BS71" s="81"/>
      <c r="BT71" s="81"/>
      <c r="BU71" s="82"/>
      <c r="BV71" s="82"/>
      <c r="BW71" s="82"/>
      <c r="BX71" s="82"/>
      <c r="BY71" s="82"/>
      <c r="BZ71" s="82"/>
      <c r="CA71" s="82"/>
      <c r="CB71" s="82"/>
      <c r="CC71" s="82"/>
      <c r="CD71" s="82"/>
      <c r="CE71" s="4"/>
      <c r="CF71" s="15" t="s">
        <v>90</v>
      </c>
    </row>
    <row r="72" spans="1:84" ht="12" customHeight="1" x14ac:dyDescent="0.15">
      <c r="A72" s="3"/>
      <c r="B72" s="1"/>
      <c r="C72" s="1"/>
      <c r="D72" s="1"/>
      <c r="E72" s="81"/>
      <c r="F72" s="81"/>
      <c r="G72" s="81"/>
      <c r="H72" s="81"/>
      <c r="I72" s="81"/>
      <c r="J72" s="81"/>
      <c r="K72" s="81"/>
      <c r="L72" s="81"/>
      <c r="M72" s="81"/>
      <c r="N72" s="81"/>
      <c r="O72" s="81"/>
      <c r="P72" s="81"/>
      <c r="Q72" s="81"/>
      <c r="R72" s="81"/>
      <c r="S72" s="81"/>
      <c r="T72" s="81"/>
      <c r="U72" s="111"/>
      <c r="V72" s="81"/>
      <c r="W72" s="81"/>
      <c r="X72" s="81"/>
      <c r="Y72" s="81"/>
      <c r="Z72" s="81"/>
      <c r="AA72" s="81"/>
      <c r="AB72" s="81"/>
      <c r="AC72" s="81"/>
      <c r="AD72" s="81"/>
      <c r="AE72" s="81"/>
      <c r="AF72" s="81"/>
      <c r="AG72" s="81"/>
      <c r="AH72" s="81"/>
      <c r="AI72" s="81"/>
      <c r="AJ72" s="81"/>
      <c r="AK72" s="81"/>
      <c r="AL72" s="81"/>
      <c r="AM72" s="81"/>
      <c r="AN72" s="81"/>
      <c r="AO72" s="81"/>
      <c r="AP72" s="81"/>
      <c r="AQ72" s="81"/>
      <c r="AR72" s="81"/>
      <c r="AS72" s="81"/>
      <c r="AT72" s="81"/>
      <c r="AU72" s="81"/>
      <c r="AV72" s="81"/>
      <c r="AW72" s="81"/>
      <c r="AX72" s="81"/>
      <c r="AY72" s="81"/>
      <c r="AZ72" s="81"/>
      <c r="BA72" s="81"/>
      <c r="BB72" s="81"/>
      <c r="BC72" s="81"/>
      <c r="BD72" s="81"/>
      <c r="BE72" s="81"/>
      <c r="BF72" s="81"/>
      <c r="BG72" s="81"/>
      <c r="BH72" s="81"/>
      <c r="BI72" s="81"/>
      <c r="BJ72" s="81"/>
      <c r="BK72" s="81"/>
      <c r="BL72" s="81"/>
      <c r="BM72" s="81"/>
      <c r="BN72" s="81"/>
      <c r="BO72" s="81"/>
      <c r="BP72" s="81"/>
      <c r="BQ72" s="81"/>
      <c r="BR72" s="81"/>
      <c r="BS72" s="81"/>
      <c r="BT72" s="81"/>
      <c r="BU72" s="82"/>
      <c r="BV72" s="82"/>
      <c r="BW72" s="82"/>
      <c r="BX72" s="82"/>
      <c r="BY72" s="82"/>
      <c r="BZ72" s="82"/>
      <c r="CA72" s="82"/>
      <c r="CB72" s="82"/>
      <c r="CC72" s="82"/>
      <c r="CD72" s="82"/>
      <c r="CE72" s="4"/>
      <c r="CF72" s="15" t="s">
        <v>202</v>
      </c>
    </row>
    <row r="73" spans="1:84" ht="12" customHeight="1" x14ac:dyDescent="0.15">
      <c r="A73" s="3"/>
      <c r="B73" s="1"/>
      <c r="C73" s="1"/>
      <c r="D73" s="1"/>
      <c r="E73" s="81"/>
      <c r="F73" s="81"/>
      <c r="G73" s="81"/>
      <c r="H73" s="81"/>
      <c r="I73" s="81"/>
      <c r="J73" s="81"/>
      <c r="K73" s="81"/>
      <c r="L73" s="81"/>
      <c r="M73" s="81"/>
      <c r="N73" s="81"/>
      <c r="O73" s="81"/>
      <c r="P73" s="81"/>
      <c r="Q73" s="81"/>
      <c r="R73" s="81"/>
      <c r="S73" s="81"/>
      <c r="T73" s="81"/>
      <c r="U73" s="81"/>
      <c r="V73" s="81"/>
      <c r="W73" s="81"/>
      <c r="X73" s="81"/>
      <c r="Y73" s="81"/>
      <c r="Z73" s="81"/>
      <c r="AA73" s="81"/>
      <c r="AB73" s="81"/>
      <c r="AC73" s="81"/>
      <c r="AD73" s="81"/>
      <c r="AE73" s="81"/>
      <c r="AF73" s="81"/>
      <c r="AG73" s="81"/>
      <c r="AH73" s="81"/>
      <c r="AI73" s="81"/>
      <c r="AJ73" s="81"/>
      <c r="AK73" s="81"/>
      <c r="AL73" s="81"/>
      <c r="AM73" s="81"/>
      <c r="AN73" s="81"/>
      <c r="AO73" s="81"/>
      <c r="AP73" s="81"/>
      <c r="AQ73" s="81"/>
      <c r="AR73" s="81"/>
      <c r="AS73" s="81"/>
      <c r="AT73" s="81"/>
      <c r="AU73" s="81"/>
      <c r="AV73" s="81"/>
      <c r="AW73" s="81"/>
      <c r="AX73" s="81"/>
      <c r="AY73" s="81"/>
      <c r="AZ73" s="81"/>
      <c r="BA73" s="81"/>
      <c r="BB73" s="81"/>
      <c r="BC73" s="81"/>
      <c r="BD73" s="81"/>
      <c r="BE73" s="81"/>
      <c r="BF73" s="81"/>
      <c r="BG73" s="81"/>
      <c r="BH73" s="81"/>
      <c r="BI73" s="81"/>
      <c r="BJ73" s="81"/>
      <c r="BK73" s="81"/>
      <c r="BL73" s="81"/>
      <c r="BM73" s="81"/>
      <c r="BN73" s="81"/>
      <c r="BO73" s="81"/>
      <c r="BP73" s="81"/>
      <c r="BQ73" s="81"/>
      <c r="BR73" s="81"/>
      <c r="BS73" s="81"/>
      <c r="BT73" s="81"/>
      <c r="BU73" s="82"/>
      <c r="BV73" s="82"/>
      <c r="BW73" s="82"/>
      <c r="BX73" s="82"/>
      <c r="BY73" s="82"/>
      <c r="BZ73" s="82"/>
      <c r="CA73" s="82"/>
      <c r="CB73" s="82"/>
      <c r="CC73" s="82"/>
      <c r="CD73" s="82"/>
      <c r="CE73" s="4"/>
      <c r="CF73" s="15" t="s">
        <v>161</v>
      </c>
    </row>
    <row r="74" spans="1:84" s="51" customFormat="1" ht="12" customHeight="1" x14ac:dyDescent="0.15">
      <c r="A74" s="55"/>
      <c r="E74" s="77">
        <v>4</v>
      </c>
      <c r="F74" s="77"/>
      <c r="G74" s="77" t="s">
        <v>519</v>
      </c>
      <c r="H74" s="77"/>
      <c r="I74" s="77"/>
      <c r="J74" s="77"/>
      <c r="K74" s="77"/>
      <c r="L74" s="77"/>
      <c r="M74" s="77"/>
      <c r="N74" s="77"/>
      <c r="O74" s="77"/>
      <c r="P74" s="77"/>
      <c r="Q74" s="77"/>
      <c r="R74" s="77"/>
      <c r="S74" s="77"/>
      <c r="T74" s="77"/>
      <c r="U74" s="121" t="s">
        <v>517</v>
      </c>
      <c r="V74" s="121"/>
      <c r="W74" s="121"/>
      <c r="X74" s="121"/>
      <c r="Y74" s="121"/>
      <c r="Z74" s="121"/>
      <c r="AA74" s="121"/>
      <c r="AB74" s="121"/>
      <c r="AC74" s="121"/>
      <c r="AD74" s="121"/>
      <c r="AE74" s="121"/>
      <c r="AF74" s="121"/>
      <c r="AG74" s="121"/>
      <c r="AH74" s="121"/>
      <c r="AI74" s="121"/>
      <c r="AJ74" s="121"/>
      <c r="AK74" s="121"/>
      <c r="AL74" s="121"/>
      <c r="AM74" s="121"/>
      <c r="AN74" s="121"/>
      <c r="AO74" s="121"/>
      <c r="AP74" s="121"/>
      <c r="AQ74" s="121"/>
      <c r="AR74" s="121"/>
      <c r="AS74" s="121"/>
      <c r="AT74" s="121"/>
      <c r="AU74" s="121"/>
      <c r="AV74" s="121"/>
      <c r="AW74" s="121"/>
      <c r="AX74" s="121"/>
      <c r="AY74" s="121"/>
      <c r="AZ74" s="121"/>
      <c r="BA74" s="77" t="s">
        <v>520</v>
      </c>
      <c r="BB74" s="77"/>
      <c r="BC74" s="77"/>
      <c r="BD74" s="77"/>
      <c r="BE74" s="77"/>
      <c r="BF74" s="77"/>
      <c r="BG74" s="77"/>
      <c r="BH74" s="77"/>
      <c r="BI74" s="77"/>
      <c r="BJ74" s="77"/>
      <c r="BK74" s="77"/>
      <c r="BL74" s="77"/>
      <c r="BM74" s="77"/>
      <c r="BN74" s="77"/>
      <c r="BO74" s="77"/>
      <c r="BP74" s="77"/>
      <c r="BQ74" s="77"/>
      <c r="BR74" s="77"/>
      <c r="BS74" s="77"/>
      <c r="BT74" s="77"/>
      <c r="BU74" s="78" t="s">
        <v>145</v>
      </c>
      <c r="BV74" s="78"/>
      <c r="BW74" s="78"/>
      <c r="BX74" s="78"/>
      <c r="BY74" s="78"/>
      <c r="BZ74" s="78" t="s">
        <v>124</v>
      </c>
      <c r="CA74" s="78"/>
      <c r="CB74" s="78"/>
      <c r="CC74" s="78"/>
      <c r="CD74" s="78"/>
      <c r="CE74" s="53"/>
      <c r="CF74" s="54" t="s">
        <v>210</v>
      </c>
    </row>
    <row r="75" spans="1:84" s="51" customFormat="1" ht="12" customHeight="1" x14ac:dyDescent="0.15">
      <c r="A75" s="55"/>
      <c r="E75" s="77"/>
      <c r="F75" s="77"/>
      <c r="G75" s="77"/>
      <c r="H75" s="77"/>
      <c r="I75" s="77"/>
      <c r="J75" s="77"/>
      <c r="K75" s="77"/>
      <c r="L75" s="77"/>
      <c r="M75" s="77"/>
      <c r="N75" s="77"/>
      <c r="O75" s="77"/>
      <c r="P75" s="77"/>
      <c r="Q75" s="77"/>
      <c r="R75" s="77"/>
      <c r="S75" s="77"/>
      <c r="T75" s="77"/>
      <c r="U75" s="121"/>
      <c r="V75" s="121"/>
      <c r="W75" s="121"/>
      <c r="X75" s="121"/>
      <c r="Y75" s="121"/>
      <c r="Z75" s="121"/>
      <c r="AA75" s="121"/>
      <c r="AB75" s="121"/>
      <c r="AC75" s="121"/>
      <c r="AD75" s="121"/>
      <c r="AE75" s="121"/>
      <c r="AF75" s="121"/>
      <c r="AG75" s="121"/>
      <c r="AH75" s="121"/>
      <c r="AI75" s="121"/>
      <c r="AJ75" s="121"/>
      <c r="AK75" s="121"/>
      <c r="AL75" s="121"/>
      <c r="AM75" s="121"/>
      <c r="AN75" s="121"/>
      <c r="AO75" s="121"/>
      <c r="AP75" s="121"/>
      <c r="AQ75" s="121"/>
      <c r="AR75" s="121"/>
      <c r="AS75" s="121"/>
      <c r="AT75" s="121"/>
      <c r="AU75" s="121"/>
      <c r="AV75" s="121"/>
      <c r="AW75" s="121"/>
      <c r="AX75" s="121"/>
      <c r="AY75" s="121"/>
      <c r="AZ75" s="121"/>
      <c r="BA75" s="77"/>
      <c r="BB75" s="77"/>
      <c r="BC75" s="77"/>
      <c r="BD75" s="77"/>
      <c r="BE75" s="77"/>
      <c r="BF75" s="77"/>
      <c r="BG75" s="77"/>
      <c r="BH75" s="77"/>
      <c r="BI75" s="77"/>
      <c r="BJ75" s="77"/>
      <c r="BK75" s="77"/>
      <c r="BL75" s="77"/>
      <c r="BM75" s="77"/>
      <c r="BN75" s="77"/>
      <c r="BO75" s="77"/>
      <c r="BP75" s="77"/>
      <c r="BQ75" s="77"/>
      <c r="BR75" s="77"/>
      <c r="BS75" s="77"/>
      <c r="BT75" s="77"/>
      <c r="BU75" s="78"/>
      <c r="BV75" s="78"/>
      <c r="BW75" s="78"/>
      <c r="BX75" s="78"/>
      <c r="BY75" s="78"/>
      <c r="BZ75" s="78"/>
      <c r="CA75" s="78"/>
      <c r="CB75" s="78"/>
      <c r="CC75" s="78"/>
      <c r="CD75" s="78"/>
      <c r="CE75" s="53"/>
      <c r="CF75" s="54" t="s">
        <v>89</v>
      </c>
    </row>
    <row r="76" spans="1:84" s="51" customFormat="1" ht="12" customHeight="1" x14ac:dyDescent="0.15">
      <c r="A76" s="55"/>
      <c r="E76" s="77"/>
      <c r="F76" s="77"/>
      <c r="G76" s="77"/>
      <c r="H76" s="77"/>
      <c r="I76" s="77"/>
      <c r="J76" s="77"/>
      <c r="K76" s="77"/>
      <c r="L76" s="77"/>
      <c r="M76" s="77"/>
      <c r="N76" s="77"/>
      <c r="O76" s="77"/>
      <c r="P76" s="77"/>
      <c r="Q76" s="77"/>
      <c r="R76" s="77"/>
      <c r="S76" s="77"/>
      <c r="T76" s="77"/>
      <c r="U76" s="121"/>
      <c r="V76" s="121"/>
      <c r="W76" s="121"/>
      <c r="X76" s="121"/>
      <c r="Y76" s="121"/>
      <c r="Z76" s="121"/>
      <c r="AA76" s="121"/>
      <c r="AB76" s="121"/>
      <c r="AC76" s="121"/>
      <c r="AD76" s="121"/>
      <c r="AE76" s="121"/>
      <c r="AF76" s="121"/>
      <c r="AG76" s="121"/>
      <c r="AH76" s="121"/>
      <c r="AI76" s="121"/>
      <c r="AJ76" s="121"/>
      <c r="AK76" s="121"/>
      <c r="AL76" s="121"/>
      <c r="AM76" s="121"/>
      <c r="AN76" s="121"/>
      <c r="AO76" s="121"/>
      <c r="AP76" s="121"/>
      <c r="AQ76" s="121"/>
      <c r="AR76" s="121"/>
      <c r="AS76" s="121"/>
      <c r="AT76" s="121"/>
      <c r="AU76" s="121"/>
      <c r="AV76" s="121"/>
      <c r="AW76" s="121"/>
      <c r="AX76" s="121"/>
      <c r="AY76" s="121"/>
      <c r="AZ76" s="121"/>
      <c r="BA76" s="77"/>
      <c r="BB76" s="77"/>
      <c r="BC76" s="77"/>
      <c r="BD76" s="77"/>
      <c r="BE76" s="77"/>
      <c r="BF76" s="77"/>
      <c r="BG76" s="77"/>
      <c r="BH76" s="77"/>
      <c r="BI76" s="77"/>
      <c r="BJ76" s="77"/>
      <c r="BK76" s="77"/>
      <c r="BL76" s="77"/>
      <c r="BM76" s="77"/>
      <c r="BN76" s="77"/>
      <c r="BO76" s="77"/>
      <c r="BP76" s="77"/>
      <c r="BQ76" s="77"/>
      <c r="BR76" s="77"/>
      <c r="BS76" s="77"/>
      <c r="BT76" s="77"/>
      <c r="BU76" s="78"/>
      <c r="BV76" s="78"/>
      <c r="BW76" s="78"/>
      <c r="BX76" s="78"/>
      <c r="BY76" s="78"/>
      <c r="BZ76" s="78"/>
      <c r="CA76" s="78"/>
      <c r="CB76" s="78"/>
      <c r="CC76" s="78"/>
      <c r="CD76" s="78"/>
      <c r="CE76" s="53"/>
      <c r="CF76" s="54" t="s">
        <v>90</v>
      </c>
    </row>
    <row r="77" spans="1:84" s="51" customFormat="1" ht="12" customHeight="1" x14ac:dyDescent="0.15">
      <c r="A77" s="55"/>
      <c r="E77" s="77"/>
      <c r="F77" s="77"/>
      <c r="G77" s="77"/>
      <c r="H77" s="77"/>
      <c r="I77" s="77"/>
      <c r="J77" s="77"/>
      <c r="K77" s="77"/>
      <c r="L77" s="77"/>
      <c r="M77" s="77"/>
      <c r="N77" s="77"/>
      <c r="O77" s="77"/>
      <c r="P77" s="77"/>
      <c r="Q77" s="77"/>
      <c r="R77" s="77"/>
      <c r="S77" s="77"/>
      <c r="T77" s="77"/>
      <c r="U77" s="121"/>
      <c r="V77" s="121"/>
      <c r="W77" s="121"/>
      <c r="X77" s="121"/>
      <c r="Y77" s="121"/>
      <c r="Z77" s="121"/>
      <c r="AA77" s="121"/>
      <c r="AB77" s="121"/>
      <c r="AC77" s="121"/>
      <c r="AD77" s="121"/>
      <c r="AE77" s="121"/>
      <c r="AF77" s="121"/>
      <c r="AG77" s="121"/>
      <c r="AH77" s="121"/>
      <c r="AI77" s="121"/>
      <c r="AJ77" s="121"/>
      <c r="AK77" s="121"/>
      <c r="AL77" s="121"/>
      <c r="AM77" s="121"/>
      <c r="AN77" s="121"/>
      <c r="AO77" s="121"/>
      <c r="AP77" s="121"/>
      <c r="AQ77" s="121"/>
      <c r="AR77" s="121"/>
      <c r="AS77" s="121"/>
      <c r="AT77" s="121"/>
      <c r="AU77" s="121"/>
      <c r="AV77" s="121"/>
      <c r="AW77" s="121"/>
      <c r="AX77" s="121"/>
      <c r="AY77" s="121"/>
      <c r="AZ77" s="121"/>
      <c r="BA77" s="77"/>
      <c r="BB77" s="77"/>
      <c r="BC77" s="77"/>
      <c r="BD77" s="77"/>
      <c r="BE77" s="77"/>
      <c r="BF77" s="77"/>
      <c r="BG77" s="77"/>
      <c r="BH77" s="77"/>
      <c r="BI77" s="77"/>
      <c r="BJ77" s="77"/>
      <c r="BK77" s="77"/>
      <c r="BL77" s="77"/>
      <c r="BM77" s="77"/>
      <c r="BN77" s="77"/>
      <c r="BO77" s="77"/>
      <c r="BP77" s="77"/>
      <c r="BQ77" s="77"/>
      <c r="BR77" s="77"/>
      <c r="BS77" s="77"/>
      <c r="BT77" s="77"/>
      <c r="BU77" s="78"/>
      <c r="BV77" s="78"/>
      <c r="BW77" s="78"/>
      <c r="BX77" s="78"/>
      <c r="BY77" s="78"/>
      <c r="BZ77" s="78"/>
      <c r="CA77" s="78"/>
      <c r="CB77" s="78"/>
      <c r="CC77" s="78"/>
      <c r="CD77" s="78"/>
      <c r="CE77" s="53"/>
      <c r="CF77" s="54" t="s">
        <v>90</v>
      </c>
    </row>
    <row r="78" spans="1:84" s="51" customFormat="1" ht="12" customHeight="1" x14ac:dyDescent="0.15">
      <c r="A78" s="55"/>
      <c r="E78" s="77"/>
      <c r="F78" s="77"/>
      <c r="G78" s="77"/>
      <c r="H78" s="77"/>
      <c r="I78" s="77"/>
      <c r="J78" s="77"/>
      <c r="K78" s="77"/>
      <c r="L78" s="77"/>
      <c r="M78" s="77"/>
      <c r="N78" s="77"/>
      <c r="O78" s="77"/>
      <c r="P78" s="77"/>
      <c r="Q78" s="77"/>
      <c r="R78" s="77"/>
      <c r="S78" s="77"/>
      <c r="T78" s="77"/>
      <c r="U78" s="121"/>
      <c r="V78" s="121"/>
      <c r="W78" s="121"/>
      <c r="X78" s="121"/>
      <c r="Y78" s="121"/>
      <c r="Z78" s="121"/>
      <c r="AA78" s="121"/>
      <c r="AB78" s="121"/>
      <c r="AC78" s="121"/>
      <c r="AD78" s="121"/>
      <c r="AE78" s="121"/>
      <c r="AF78" s="121"/>
      <c r="AG78" s="121"/>
      <c r="AH78" s="121"/>
      <c r="AI78" s="121"/>
      <c r="AJ78" s="121"/>
      <c r="AK78" s="121"/>
      <c r="AL78" s="121"/>
      <c r="AM78" s="121"/>
      <c r="AN78" s="121"/>
      <c r="AO78" s="121"/>
      <c r="AP78" s="121"/>
      <c r="AQ78" s="121"/>
      <c r="AR78" s="121"/>
      <c r="AS78" s="121"/>
      <c r="AT78" s="121"/>
      <c r="AU78" s="121"/>
      <c r="AV78" s="121"/>
      <c r="AW78" s="121"/>
      <c r="AX78" s="121"/>
      <c r="AY78" s="121"/>
      <c r="AZ78" s="121"/>
      <c r="BA78" s="77"/>
      <c r="BB78" s="77"/>
      <c r="BC78" s="77"/>
      <c r="BD78" s="77"/>
      <c r="BE78" s="77"/>
      <c r="BF78" s="77"/>
      <c r="BG78" s="77"/>
      <c r="BH78" s="77"/>
      <c r="BI78" s="77"/>
      <c r="BJ78" s="77"/>
      <c r="BK78" s="77"/>
      <c r="BL78" s="77"/>
      <c r="BM78" s="77"/>
      <c r="BN78" s="77"/>
      <c r="BO78" s="77"/>
      <c r="BP78" s="77"/>
      <c r="BQ78" s="77"/>
      <c r="BR78" s="77"/>
      <c r="BS78" s="77"/>
      <c r="BT78" s="77"/>
      <c r="BU78" s="78"/>
      <c r="BV78" s="78"/>
      <c r="BW78" s="78"/>
      <c r="BX78" s="78"/>
      <c r="BY78" s="78"/>
      <c r="BZ78" s="78"/>
      <c r="CA78" s="78"/>
      <c r="CB78" s="78"/>
      <c r="CC78" s="78"/>
      <c r="CD78" s="78"/>
      <c r="CE78" s="53"/>
      <c r="CF78" s="54" t="s">
        <v>90</v>
      </c>
    </row>
    <row r="79" spans="1:84" s="51" customFormat="1" ht="12" customHeight="1" x14ac:dyDescent="0.15">
      <c r="A79" s="55"/>
      <c r="E79" s="77"/>
      <c r="F79" s="77"/>
      <c r="G79" s="77"/>
      <c r="H79" s="77"/>
      <c r="I79" s="77"/>
      <c r="J79" s="77"/>
      <c r="K79" s="77"/>
      <c r="L79" s="77"/>
      <c r="M79" s="77"/>
      <c r="N79" s="77"/>
      <c r="O79" s="77"/>
      <c r="P79" s="77"/>
      <c r="Q79" s="77"/>
      <c r="R79" s="77"/>
      <c r="S79" s="77"/>
      <c r="T79" s="77"/>
      <c r="U79" s="121"/>
      <c r="V79" s="121"/>
      <c r="W79" s="121"/>
      <c r="X79" s="121"/>
      <c r="Y79" s="121"/>
      <c r="Z79" s="121"/>
      <c r="AA79" s="121"/>
      <c r="AB79" s="121"/>
      <c r="AC79" s="121"/>
      <c r="AD79" s="121"/>
      <c r="AE79" s="121"/>
      <c r="AF79" s="121"/>
      <c r="AG79" s="121"/>
      <c r="AH79" s="121"/>
      <c r="AI79" s="121"/>
      <c r="AJ79" s="121"/>
      <c r="AK79" s="121"/>
      <c r="AL79" s="121"/>
      <c r="AM79" s="121"/>
      <c r="AN79" s="121"/>
      <c r="AO79" s="121"/>
      <c r="AP79" s="121"/>
      <c r="AQ79" s="121"/>
      <c r="AR79" s="121"/>
      <c r="AS79" s="121"/>
      <c r="AT79" s="121"/>
      <c r="AU79" s="121"/>
      <c r="AV79" s="121"/>
      <c r="AW79" s="121"/>
      <c r="AX79" s="121"/>
      <c r="AY79" s="121"/>
      <c r="AZ79" s="121"/>
      <c r="BA79" s="77"/>
      <c r="BB79" s="77"/>
      <c r="BC79" s="77"/>
      <c r="BD79" s="77"/>
      <c r="BE79" s="77"/>
      <c r="BF79" s="77"/>
      <c r="BG79" s="77"/>
      <c r="BH79" s="77"/>
      <c r="BI79" s="77"/>
      <c r="BJ79" s="77"/>
      <c r="BK79" s="77"/>
      <c r="BL79" s="77"/>
      <c r="BM79" s="77"/>
      <c r="BN79" s="77"/>
      <c r="BO79" s="77"/>
      <c r="BP79" s="77"/>
      <c r="BQ79" s="77"/>
      <c r="BR79" s="77"/>
      <c r="BS79" s="77"/>
      <c r="BT79" s="77"/>
      <c r="BU79" s="78"/>
      <c r="BV79" s="78"/>
      <c r="BW79" s="78"/>
      <c r="BX79" s="78"/>
      <c r="BY79" s="78"/>
      <c r="BZ79" s="78"/>
      <c r="CA79" s="78"/>
      <c r="CB79" s="78"/>
      <c r="CC79" s="78"/>
      <c r="CD79" s="78"/>
      <c r="CE79" s="53"/>
      <c r="CF79" s="54" t="s">
        <v>202</v>
      </c>
    </row>
    <row r="80" spans="1:84" s="51" customFormat="1" ht="12" customHeight="1" x14ac:dyDescent="0.15">
      <c r="A80" s="55"/>
      <c r="E80" s="77">
        <v>5</v>
      </c>
      <c r="F80" s="77"/>
      <c r="G80" s="77" t="s">
        <v>364</v>
      </c>
      <c r="H80" s="77"/>
      <c r="I80" s="77"/>
      <c r="J80" s="77"/>
      <c r="K80" s="77"/>
      <c r="L80" s="77"/>
      <c r="M80" s="77"/>
      <c r="N80" s="77"/>
      <c r="O80" s="77"/>
      <c r="P80" s="77"/>
      <c r="Q80" s="77"/>
      <c r="R80" s="77"/>
      <c r="S80" s="77"/>
      <c r="T80" s="77"/>
      <c r="U80" s="77" t="s">
        <v>365</v>
      </c>
      <c r="V80" s="77"/>
      <c r="W80" s="77"/>
      <c r="X80" s="77"/>
      <c r="Y80" s="77"/>
      <c r="Z80" s="77"/>
      <c r="AA80" s="77"/>
      <c r="AB80" s="77"/>
      <c r="AC80" s="77"/>
      <c r="AD80" s="77"/>
      <c r="AE80" s="77"/>
      <c r="AF80" s="77"/>
      <c r="AG80" s="77"/>
      <c r="AH80" s="77"/>
      <c r="AI80" s="77"/>
      <c r="AJ80" s="77"/>
      <c r="AK80" s="77" t="s">
        <v>366</v>
      </c>
      <c r="AL80" s="77"/>
      <c r="AM80" s="77"/>
      <c r="AN80" s="77"/>
      <c r="AO80" s="77"/>
      <c r="AP80" s="77"/>
      <c r="AQ80" s="77"/>
      <c r="AR80" s="77"/>
      <c r="AS80" s="77"/>
      <c r="AT80" s="77"/>
      <c r="AU80" s="77"/>
      <c r="AV80" s="77"/>
      <c r="AW80" s="77"/>
      <c r="AX80" s="77"/>
      <c r="AY80" s="77"/>
      <c r="AZ80" s="77"/>
      <c r="BA80" s="77" t="s">
        <v>518</v>
      </c>
      <c r="BB80" s="77"/>
      <c r="BC80" s="77"/>
      <c r="BD80" s="77"/>
      <c r="BE80" s="77"/>
      <c r="BF80" s="77"/>
      <c r="BG80" s="77"/>
      <c r="BH80" s="77"/>
      <c r="BI80" s="77"/>
      <c r="BJ80" s="77"/>
      <c r="BK80" s="77"/>
      <c r="BL80" s="77"/>
      <c r="BM80" s="77"/>
      <c r="BN80" s="77"/>
      <c r="BO80" s="77"/>
      <c r="BP80" s="77"/>
      <c r="BQ80" s="77"/>
      <c r="BR80" s="77"/>
      <c r="BS80" s="77"/>
      <c r="BT80" s="77"/>
      <c r="BU80" s="78" t="s">
        <v>145</v>
      </c>
      <c r="BV80" s="78"/>
      <c r="BW80" s="78"/>
      <c r="BX80" s="78"/>
      <c r="BY80" s="78"/>
      <c r="BZ80" s="78" t="s">
        <v>124</v>
      </c>
      <c r="CA80" s="78"/>
      <c r="CB80" s="78"/>
      <c r="CC80" s="78"/>
      <c r="CD80" s="78"/>
      <c r="CE80" s="53"/>
      <c r="CF80" s="54" t="s">
        <v>91</v>
      </c>
    </row>
    <row r="81" spans="1:84" s="51" customFormat="1" ht="12" customHeight="1" x14ac:dyDescent="0.15">
      <c r="A81" s="55"/>
      <c r="E81" s="77"/>
      <c r="F81" s="77"/>
      <c r="G81" s="77"/>
      <c r="H81" s="77"/>
      <c r="I81" s="77"/>
      <c r="J81" s="77"/>
      <c r="K81" s="77"/>
      <c r="L81" s="77"/>
      <c r="M81" s="77"/>
      <c r="N81" s="77"/>
      <c r="O81" s="77"/>
      <c r="P81" s="77"/>
      <c r="Q81" s="77"/>
      <c r="R81" s="77"/>
      <c r="S81" s="77"/>
      <c r="T81" s="77"/>
      <c r="U81" s="77"/>
      <c r="V81" s="77"/>
      <c r="W81" s="77"/>
      <c r="X81" s="77"/>
      <c r="Y81" s="77"/>
      <c r="Z81" s="77"/>
      <c r="AA81" s="77"/>
      <c r="AB81" s="77"/>
      <c r="AC81" s="77"/>
      <c r="AD81" s="77"/>
      <c r="AE81" s="77"/>
      <c r="AF81" s="77"/>
      <c r="AG81" s="77"/>
      <c r="AH81" s="77"/>
      <c r="AI81" s="77"/>
      <c r="AJ81" s="77"/>
      <c r="AK81" s="77"/>
      <c r="AL81" s="77"/>
      <c r="AM81" s="77"/>
      <c r="AN81" s="77"/>
      <c r="AO81" s="77"/>
      <c r="AP81" s="77"/>
      <c r="AQ81" s="77"/>
      <c r="AR81" s="77"/>
      <c r="AS81" s="77"/>
      <c r="AT81" s="77"/>
      <c r="AU81" s="77"/>
      <c r="AV81" s="77"/>
      <c r="AW81" s="77"/>
      <c r="AX81" s="77"/>
      <c r="AY81" s="77"/>
      <c r="AZ81" s="77"/>
      <c r="BA81" s="77"/>
      <c r="BB81" s="77"/>
      <c r="BC81" s="77"/>
      <c r="BD81" s="77"/>
      <c r="BE81" s="77"/>
      <c r="BF81" s="77"/>
      <c r="BG81" s="77"/>
      <c r="BH81" s="77"/>
      <c r="BI81" s="77"/>
      <c r="BJ81" s="77"/>
      <c r="BK81" s="77"/>
      <c r="BL81" s="77"/>
      <c r="BM81" s="77"/>
      <c r="BN81" s="77"/>
      <c r="BO81" s="77"/>
      <c r="BP81" s="77"/>
      <c r="BQ81" s="77"/>
      <c r="BR81" s="77"/>
      <c r="BS81" s="77"/>
      <c r="BT81" s="77"/>
      <c r="BU81" s="78"/>
      <c r="BV81" s="78"/>
      <c r="BW81" s="78"/>
      <c r="BX81" s="78"/>
      <c r="BY81" s="78"/>
      <c r="BZ81" s="78"/>
      <c r="CA81" s="78"/>
      <c r="CB81" s="78"/>
      <c r="CC81" s="78"/>
      <c r="CD81" s="78"/>
      <c r="CE81" s="53"/>
      <c r="CF81" s="54" t="s">
        <v>161</v>
      </c>
    </row>
    <row r="82" spans="1:84" s="51" customFormat="1" ht="12" customHeight="1" x14ac:dyDescent="0.15">
      <c r="A82" s="55"/>
      <c r="E82" s="77"/>
      <c r="F82" s="77"/>
      <c r="G82" s="77"/>
      <c r="H82" s="77"/>
      <c r="I82" s="77"/>
      <c r="J82" s="77"/>
      <c r="K82" s="77"/>
      <c r="L82" s="77"/>
      <c r="M82" s="77"/>
      <c r="N82" s="77"/>
      <c r="O82" s="77"/>
      <c r="P82" s="77"/>
      <c r="Q82" s="77"/>
      <c r="R82" s="77"/>
      <c r="S82" s="77"/>
      <c r="T82" s="77"/>
      <c r="U82" s="77"/>
      <c r="V82" s="77"/>
      <c r="W82" s="77"/>
      <c r="X82" s="77"/>
      <c r="Y82" s="77"/>
      <c r="Z82" s="77"/>
      <c r="AA82" s="77"/>
      <c r="AB82" s="77"/>
      <c r="AC82" s="77"/>
      <c r="AD82" s="77"/>
      <c r="AE82" s="77"/>
      <c r="AF82" s="77"/>
      <c r="AG82" s="77"/>
      <c r="AH82" s="77"/>
      <c r="AI82" s="77"/>
      <c r="AJ82" s="77"/>
      <c r="AK82" s="77"/>
      <c r="AL82" s="77"/>
      <c r="AM82" s="77"/>
      <c r="AN82" s="77"/>
      <c r="AO82" s="77"/>
      <c r="AP82" s="77"/>
      <c r="AQ82" s="77"/>
      <c r="AR82" s="77"/>
      <c r="AS82" s="77"/>
      <c r="AT82" s="77"/>
      <c r="AU82" s="77"/>
      <c r="AV82" s="77"/>
      <c r="AW82" s="77"/>
      <c r="AX82" s="77"/>
      <c r="AY82" s="77"/>
      <c r="AZ82" s="77"/>
      <c r="BA82" s="77"/>
      <c r="BB82" s="77"/>
      <c r="BC82" s="77"/>
      <c r="BD82" s="77"/>
      <c r="BE82" s="77"/>
      <c r="BF82" s="77"/>
      <c r="BG82" s="77"/>
      <c r="BH82" s="77"/>
      <c r="BI82" s="77"/>
      <c r="BJ82" s="77"/>
      <c r="BK82" s="77"/>
      <c r="BL82" s="77"/>
      <c r="BM82" s="77"/>
      <c r="BN82" s="77"/>
      <c r="BO82" s="77"/>
      <c r="BP82" s="77"/>
      <c r="BQ82" s="77"/>
      <c r="BR82" s="77"/>
      <c r="BS82" s="77"/>
      <c r="BT82" s="77"/>
      <c r="BU82" s="78"/>
      <c r="BV82" s="78"/>
      <c r="BW82" s="78"/>
      <c r="BX82" s="78"/>
      <c r="BY82" s="78"/>
      <c r="BZ82" s="78"/>
      <c r="CA82" s="78"/>
      <c r="CB82" s="78"/>
      <c r="CC82" s="78"/>
      <c r="CD82" s="78"/>
      <c r="CE82" s="53"/>
      <c r="CF82" s="54" t="s">
        <v>162</v>
      </c>
    </row>
    <row r="83" spans="1:84" s="51" customFormat="1" ht="12" customHeight="1" x14ac:dyDescent="0.15">
      <c r="A83" s="55"/>
      <c r="E83" s="77"/>
      <c r="F83" s="77"/>
      <c r="G83" s="77"/>
      <c r="H83" s="77"/>
      <c r="I83" s="77"/>
      <c r="J83" s="77"/>
      <c r="K83" s="77"/>
      <c r="L83" s="77"/>
      <c r="M83" s="77"/>
      <c r="N83" s="77"/>
      <c r="O83" s="77"/>
      <c r="P83" s="77"/>
      <c r="Q83" s="77"/>
      <c r="R83" s="77"/>
      <c r="S83" s="77"/>
      <c r="T83" s="77"/>
      <c r="U83" s="77"/>
      <c r="V83" s="77"/>
      <c r="W83" s="77"/>
      <c r="X83" s="77"/>
      <c r="Y83" s="77"/>
      <c r="Z83" s="77"/>
      <c r="AA83" s="77"/>
      <c r="AB83" s="77"/>
      <c r="AC83" s="77"/>
      <c r="AD83" s="77"/>
      <c r="AE83" s="77"/>
      <c r="AF83" s="77"/>
      <c r="AG83" s="77"/>
      <c r="AH83" s="77"/>
      <c r="AI83" s="77"/>
      <c r="AJ83" s="77"/>
      <c r="AK83" s="77"/>
      <c r="AL83" s="77"/>
      <c r="AM83" s="77"/>
      <c r="AN83" s="77"/>
      <c r="AO83" s="77"/>
      <c r="AP83" s="77"/>
      <c r="AQ83" s="77"/>
      <c r="AR83" s="77"/>
      <c r="AS83" s="77"/>
      <c r="AT83" s="77"/>
      <c r="AU83" s="77"/>
      <c r="AV83" s="77"/>
      <c r="AW83" s="77"/>
      <c r="AX83" s="77"/>
      <c r="AY83" s="77"/>
      <c r="AZ83" s="77"/>
      <c r="BA83" s="77"/>
      <c r="BB83" s="77"/>
      <c r="BC83" s="77"/>
      <c r="BD83" s="77"/>
      <c r="BE83" s="77"/>
      <c r="BF83" s="77"/>
      <c r="BG83" s="77"/>
      <c r="BH83" s="77"/>
      <c r="BI83" s="77"/>
      <c r="BJ83" s="77"/>
      <c r="BK83" s="77"/>
      <c r="BL83" s="77"/>
      <c r="BM83" s="77"/>
      <c r="BN83" s="77"/>
      <c r="BO83" s="77"/>
      <c r="BP83" s="77"/>
      <c r="BQ83" s="77"/>
      <c r="BR83" s="77"/>
      <c r="BS83" s="77"/>
      <c r="BT83" s="77"/>
      <c r="BU83" s="78"/>
      <c r="BV83" s="78"/>
      <c r="BW83" s="78"/>
      <c r="BX83" s="78"/>
      <c r="BY83" s="78"/>
      <c r="BZ83" s="78"/>
      <c r="CA83" s="78"/>
      <c r="CB83" s="78"/>
      <c r="CC83" s="78"/>
      <c r="CD83" s="78"/>
      <c r="CE83" s="53"/>
      <c r="CF83" s="54" t="s">
        <v>163</v>
      </c>
    </row>
    <row r="84" spans="1:84" s="51" customFormat="1" ht="12" customHeight="1" x14ac:dyDescent="0.15">
      <c r="A84" s="55"/>
      <c r="E84" s="77"/>
      <c r="F84" s="77"/>
      <c r="G84" s="77"/>
      <c r="H84" s="77"/>
      <c r="I84" s="77"/>
      <c r="J84" s="77"/>
      <c r="K84" s="77"/>
      <c r="L84" s="77"/>
      <c r="M84" s="77"/>
      <c r="N84" s="77"/>
      <c r="O84" s="77"/>
      <c r="P84" s="77"/>
      <c r="Q84" s="77"/>
      <c r="R84" s="77"/>
      <c r="S84" s="77"/>
      <c r="T84" s="77"/>
      <c r="U84" s="77"/>
      <c r="V84" s="77"/>
      <c r="W84" s="77"/>
      <c r="X84" s="77"/>
      <c r="Y84" s="77"/>
      <c r="Z84" s="77"/>
      <c r="AA84" s="77"/>
      <c r="AB84" s="77"/>
      <c r="AC84" s="77"/>
      <c r="AD84" s="77"/>
      <c r="AE84" s="77"/>
      <c r="AF84" s="77"/>
      <c r="AG84" s="77"/>
      <c r="AH84" s="77"/>
      <c r="AI84" s="77"/>
      <c r="AJ84" s="77"/>
      <c r="AK84" s="77"/>
      <c r="AL84" s="77"/>
      <c r="AM84" s="77"/>
      <c r="AN84" s="77"/>
      <c r="AO84" s="77"/>
      <c r="AP84" s="77"/>
      <c r="AQ84" s="77"/>
      <c r="AR84" s="77"/>
      <c r="AS84" s="77"/>
      <c r="AT84" s="77"/>
      <c r="AU84" s="77"/>
      <c r="AV84" s="77"/>
      <c r="AW84" s="77"/>
      <c r="AX84" s="77"/>
      <c r="AY84" s="77"/>
      <c r="AZ84" s="77"/>
      <c r="BA84" s="77"/>
      <c r="BB84" s="77"/>
      <c r="BC84" s="77"/>
      <c r="BD84" s="77"/>
      <c r="BE84" s="77"/>
      <c r="BF84" s="77"/>
      <c r="BG84" s="77"/>
      <c r="BH84" s="77"/>
      <c r="BI84" s="77"/>
      <c r="BJ84" s="77"/>
      <c r="BK84" s="77"/>
      <c r="BL84" s="77"/>
      <c r="BM84" s="77"/>
      <c r="BN84" s="77"/>
      <c r="BO84" s="77"/>
      <c r="BP84" s="77"/>
      <c r="BQ84" s="77"/>
      <c r="BR84" s="77"/>
      <c r="BS84" s="77"/>
      <c r="BT84" s="77"/>
      <c r="BU84" s="78"/>
      <c r="BV84" s="78"/>
      <c r="BW84" s="78"/>
      <c r="BX84" s="78"/>
      <c r="BY84" s="78"/>
      <c r="BZ84" s="78"/>
      <c r="CA84" s="78"/>
      <c r="CB84" s="78"/>
      <c r="CC84" s="78"/>
      <c r="CD84" s="78"/>
      <c r="CE84" s="53"/>
      <c r="CF84" s="54" t="s">
        <v>164</v>
      </c>
    </row>
    <row r="85" spans="1:84" s="51" customFormat="1" ht="12" customHeight="1" x14ac:dyDescent="0.15">
      <c r="A85" s="55"/>
      <c r="E85" s="77"/>
      <c r="F85" s="77"/>
      <c r="G85" s="77"/>
      <c r="H85" s="77"/>
      <c r="I85" s="77"/>
      <c r="J85" s="77"/>
      <c r="K85" s="77"/>
      <c r="L85" s="77"/>
      <c r="M85" s="77"/>
      <c r="N85" s="77"/>
      <c r="O85" s="77"/>
      <c r="P85" s="77"/>
      <c r="Q85" s="77"/>
      <c r="R85" s="77"/>
      <c r="S85" s="77"/>
      <c r="T85" s="77"/>
      <c r="U85" s="77"/>
      <c r="V85" s="77"/>
      <c r="W85" s="77"/>
      <c r="X85" s="77"/>
      <c r="Y85" s="77"/>
      <c r="Z85" s="77"/>
      <c r="AA85" s="77"/>
      <c r="AB85" s="77"/>
      <c r="AC85" s="77"/>
      <c r="AD85" s="77"/>
      <c r="AE85" s="77"/>
      <c r="AF85" s="77"/>
      <c r="AG85" s="77"/>
      <c r="AH85" s="77"/>
      <c r="AI85" s="77"/>
      <c r="AJ85" s="77"/>
      <c r="AK85" s="77"/>
      <c r="AL85" s="77"/>
      <c r="AM85" s="77"/>
      <c r="AN85" s="77"/>
      <c r="AO85" s="77"/>
      <c r="AP85" s="77"/>
      <c r="AQ85" s="77"/>
      <c r="AR85" s="77"/>
      <c r="AS85" s="77"/>
      <c r="AT85" s="77"/>
      <c r="AU85" s="77"/>
      <c r="AV85" s="77"/>
      <c r="AW85" s="77"/>
      <c r="AX85" s="77"/>
      <c r="AY85" s="77"/>
      <c r="AZ85" s="77"/>
      <c r="BA85" s="77"/>
      <c r="BB85" s="77"/>
      <c r="BC85" s="77"/>
      <c r="BD85" s="77"/>
      <c r="BE85" s="77"/>
      <c r="BF85" s="77"/>
      <c r="BG85" s="77"/>
      <c r="BH85" s="77"/>
      <c r="BI85" s="77"/>
      <c r="BJ85" s="77"/>
      <c r="BK85" s="77"/>
      <c r="BL85" s="77"/>
      <c r="BM85" s="77"/>
      <c r="BN85" s="77"/>
      <c r="BO85" s="77"/>
      <c r="BP85" s="77"/>
      <c r="BQ85" s="77"/>
      <c r="BR85" s="77"/>
      <c r="BS85" s="77"/>
      <c r="BT85" s="77"/>
      <c r="BU85" s="78"/>
      <c r="BV85" s="78"/>
      <c r="BW85" s="78"/>
      <c r="BX85" s="78"/>
      <c r="BY85" s="78"/>
      <c r="BZ85" s="78"/>
      <c r="CA85" s="78"/>
      <c r="CB85" s="78"/>
      <c r="CC85" s="78"/>
      <c r="CD85" s="78"/>
      <c r="CE85" s="53"/>
      <c r="CF85" s="54" t="s">
        <v>165</v>
      </c>
    </row>
    <row r="86" spans="1:84" s="51" customFormat="1" ht="12" customHeight="1" x14ac:dyDescent="0.15">
      <c r="A86" s="55"/>
      <c r="E86" s="77"/>
      <c r="F86" s="77"/>
      <c r="G86" s="77"/>
      <c r="H86" s="77"/>
      <c r="I86" s="77"/>
      <c r="J86" s="77"/>
      <c r="K86" s="77"/>
      <c r="L86" s="77"/>
      <c r="M86" s="77"/>
      <c r="N86" s="77"/>
      <c r="O86" s="77"/>
      <c r="P86" s="77"/>
      <c r="Q86" s="77"/>
      <c r="R86" s="77"/>
      <c r="S86" s="77"/>
      <c r="T86" s="77"/>
      <c r="U86" s="77"/>
      <c r="V86" s="77"/>
      <c r="W86" s="77"/>
      <c r="X86" s="77"/>
      <c r="Y86" s="77"/>
      <c r="Z86" s="77"/>
      <c r="AA86" s="77"/>
      <c r="AB86" s="77"/>
      <c r="AC86" s="77"/>
      <c r="AD86" s="77"/>
      <c r="AE86" s="77"/>
      <c r="AF86" s="77"/>
      <c r="AG86" s="77"/>
      <c r="AH86" s="77"/>
      <c r="AI86" s="77"/>
      <c r="AJ86" s="77"/>
      <c r="AK86" s="77"/>
      <c r="AL86" s="77"/>
      <c r="AM86" s="77"/>
      <c r="AN86" s="77"/>
      <c r="AO86" s="77"/>
      <c r="AP86" s="77"/>
      <c r="AQ86" s="77"/>
      <c r="AR86" s="77"/>
      <c r="AS86" s="77"/>
      <c r="AT86" s="77"/>
      <c r="AU86" s="77"/>
      <c r="AV86" s="77"/>
      <c r="AW86" s="77"/>
      <c r="AX86" s="77"/>
      <c r="AY86" s="77"/>
      <c r="AZ86" s="77"/>
      <c r="BA86" s="77"/>
      <c r="BB86" s="77"/>
      <c r="BC86" s="77"/>
      <c r="BD86" s="77"/>
      <c r="BE86" s="77"/>
      <c r="BF86" s="77"/>
      <c r="BG86" s="77"/>
      <c r="BH86" s="77"/>
      <c r="BI86" s="77"/>
      <c r="BJ86" s="77"/>
      <c r="BK86" s="77"/>
      <c r="BL86" s="77"/>
      <c r="BM86" s="77"/>
      <c r="BN86" s="77"/>
      <c r="BO86" s="77"/>
      <c r="BP86" s="77"/>
      <c r="BQ86" s="77"/>
      <c r="BR86" s="77"/>
      <c r="BS86" s="77"/>
      <c r="BT86" s="77"/>
      <c r="BU86" s="78"/>
      <c r="BV86" s="78"/>
      <c r="BW86" s="78"/>
      <c r="BX86" s="78"/>
      <c r="BY86" s="78"/>
      <c r="BZ86" s="78"/>
      <c r="CA86" s="78"/>
      <c r="CB86" s="78"/>
      <c r="CC86" s="78"/>
      <c r="CD86" s="78"/>
      <c r="CE86" s="53"/>
      <c r="CF86" s="54" t="s">
        <v>166</v>
      </c>
    </row>
    <row r="87" spans="1:84" s="51" customFormat="1" ht="12" customHeight="1" x14ac:dyDescent="0.15">
      <c r="A87" s="55"/>
      <c r="E87" s="77"/>
      <c r="F87" s="77"/>
      <c r="G87" s="77"/>
      <c r="H87" s="77"/>
      <c r="I87" s="77"/>
      <c r="J87" s="77"/>
      <c r="K87" s="77"/>
      <c r="L87" s="77"/>
      <c r="M87" s="77"/>
      <c r="N87" s="77"/>
      <c r="O87" s="77"/>
      <c r="P87" s="77"/>
      <c r="Q87" s="77"/>
      <c r="R87" s="77"/>
      <c r="S87" s="77"/>
      <c r="T87" s="77"/>
      <c r="U87" s="77"/>
      <c r="V87" s="77"/>
      <c r="W87" s="77"/>
      <c r="X87" s="77"/>
      <c r="Y87" s="77"/>
      <c r="Z87" s="77"/>
      <c r="AA87" s="77"/>
      <c r="AB87" s="77"/>
      <c r="AC87" s="77"/>
      <c r="AD87" s="77"/>
      <c r="AE87" s="77"/>
      <c r="AF87" s="77"/>
      <c r="AG87" s="77"/>
      <c r="AH87" s="77"/>
      <c r="AI87" s="77"/>
      <c r="AJ87" s="77"/>
      <c r="AK87" s="77"/>
      <c r="AL87" s="77"/>
      <c r="AM87" s="77"/>
      <c r="AN87" s="77"/>
      <c r="AO87" s="77"/>
      <c r="AP87" s="77"/>
      <c r="AQ87" s="77"/>
      <c r="AR87" s="77"/>
      <c r="AS87" s="77"/>
      <c r="AT87" s="77"/>
      <c r="AU87" s="77"/>
      <c r="AV87" s="77"/>
      <c r="AW87" s="77"/>
      <c r="AX87" s="77"/>
      <c r="AY87" s="77"/>
      <c r="AZ87" s="77"/>
      <c r="BA87" s="77"/>
      <c r="BB87" s="77"/>
      <c r="BC87" s="77"/>
      <c r="BD87" s="77"/>
      <c r="BE87" s="77"/>
      <c r="BF87" s="77"/>
      <c r="BG87" s="77"/>
      <c r="BH87" s="77"/>
      <c r="BI87" s="77"/>
      <c r="BJ87" s="77"/>
      <c r="BK87" s="77"/>
      <c r="BL87" s="77"/>
      <c r="BM87" s="77"/>
      <c r="BN87" s="77"/>
      <c r="BO87" s="77"/>
      <c r="BP87" s="77"/>
      <c r="BQ87" s="77"/>
      <c r="BR87" s="77"/>
      <c r="BS87" s="77"/>
      <c r="BT87" s="77"/>
      <c r="BU87" s="78"/>
      <c r="BV87" s="78"/>
      <c r="BW87" s="78"/>
      <c r="BX87" s="78"/>
      <c r="BY87" s="78"/>
      <c r="BZ87" s="78"/>
      <c r="CA87" s="78"/>
      <c r="CB87" s="78"/>
      <c r="CC87" s="78"/>
      <c r="CD87" s="78"/>
      <c r="CE87" s="53"/>
      <c r="CF87" s="54" t="s">
        <v>167</v>
      </c>
    </row>
    <row r="88" spans="1:84" s="51" customFormat="1" ht="12" customHeight="1" x14ac:dyDescent="0.15">
      <c r="A88" s="55"/>
      <c r="E88" s="77"/>
      <c r="F88" s="77"/>
      <c r="G88" s="77"/>
      <c r="H88" s="77"/>
      <c r="I88" s="77"/>
      <c r="J88" s="77"/>
      <c r="K88" s="77"/>
      <c r="L88" s="77"/>
      <c r="M88" s="77"/>
      <c r="N88" s="77"/>
      <c r="O88" s="77"/>
      <c r="P88" s="77"/>
      <c r="Q88" s="77"/>
      <c r="R88" s="77"/>
      <c r="S88" s="77"/>
      <c r="T88" s="77"/>
      <c r="U88" s="77"/>
      <c r="V88" s="77"/>
      <c r="W88" s="77"/>
      <c r="X88" s="77"/>
      <c r="Y88" s="77"/>
      <c r="Z88" s="77"/>
      <c r="AA88" s="77"/>
      <c r="AB88" s="77"/>
      <c r="AC88" s="77"/>
      <c r="AD88" s="77"/>
      <c r="AE88" s="77"/>
      <c r="AF88" s="77"/>
      <c r="AG88" s="77"/>
      <c r="AH88" s="77"/>
      <c r="AI88" s="77"/>
      <c r="AJ88" s="77"/>
      <c r="AK88" s="77"/>
      <c r="AL88" s="77"/>
      <c r="AM88" s="77"/>
      <c r="AN88" s="77"/>
      <c r="AO88" s="77"/>
      <c r="AP88" s="77"/>
      <c r="AQ88" s="77"/>
      <c r="AR88" s="77"/>
      <c r="AS88" s="77"/>
      <c r="AT88" s="77"/>
      <c r="AU88" s="77"/>
      <c r="AV88" s="77"/>
      <c r="AW88" s="77"/>
      <c r="AX88" s="77"/>
      <c r="AY88" s="77"/>
      <c r="AZ88" s="77"/>
      <c r="BA88" s="77"/>
      <c r="BB88" s="77"/>
      <c r="BC88" s="77"/>
      <c r="BD88" s="77"/>
      <c r="BE88" s="77"/>
      <c r="BF88" s="77"/>
      <c r="BG88" s="77"/>
      <c r="BH88" s="77"/>
      <c r="BI88" s="77"/>
      <c r="BJ88" s="77"/>
      <c r="BK88" s="77"/>
      <c r="BL88" s="77"/>
      <c r="BM88" s="77"/>
      <c r="BN88" s="77"/>
      <c r="BO88" s="77"/>
      <c r="BP88" s="77"/>
      <c r="BQ88" s="77"/>
      <c r="BR88" s="77"/>
      <c r="BS88" s="77"/>
      <c r="BT88" s="77"/>
      <c r="BU88" s="78"/>
      <c r="BV88" s="78"/>
      <c r="BW88" s="78"/>
      <c r="BX88" s="78"/>
      <c r="BY88" s="78"/>
      <c r="BZ88" s="78"/>
      <c r="CA88" s="78"/>
      <c r="CB88" s="78"/>
      <c r="CC88" s="78"/>
      <c r="CD88" s="78"/>
      <c r="CE88" s="53"/>
      <c r="CF88" s="54" t="s">
        <v>168</v>
      </c>
    </row>
    <row r="89" spans="1:84" ht="12" customHeight="1" thickBot="1" x14ac:dyDescent="0.2">
      <c r="A89" s="16"/>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c r="AD89" s="17"/>
      <c r="AE89" s="17"/>
      <c r="AF89" s="17"/>
      <c r="AG89" s="17"/>
      <c r="AH89" s="17"/>
      <c r="AI89" s="17"/>
      <c r="AJ89" s="17"/>
      <c r="AK89" s="17"/>
      <c r="AL89" s="17"/>
      <c r="AM89" s="17"/>
      <c r="AN89" s="17"/>
      <c r="AO89" s="17"/>
      <c r="AP89" s="17"/>
      <c r="AQ89" s="17"/>
      <c r="AR89" s="17"/>
      <c r="AS89" s="17"/>
      <c r="AT89" s="17"/>
      <c r="AU89" s="17"/>
      <c r="AV89" s="17"/>
      <c r="AW89" s="17"/>
      <c r="AX89" s="17"/>
      <c r="AY89" s="17"/>
      <c r="AZ89" s="17"/>
      <c r="BA89" s="17"/>
      <c r="BB89" s="17"/>
      <c r="BC89" s="17"/>
      <c r="BD89" s="17"/>
      <c r="BE89" s="17"/>
      <c r="BF89" s="17"/>
      <c r="BG89" s="17"/>
      <c r="BH89" s="17"/>
      <c r="BI89" s="17"/>
      <c r="BJ89" s="17"/>
      <c r="BK89" s="17"/>
      <c r="BL89" s="17"/>
      <c r="BM89" s="17"/>
      <c r="BN89" s="17"/>
      <c r="BO89" s="17"/>
      <c r="BP89" s="17"/>
      <c r="BQ89" s="17"/>
      <c r="BR89" s="17"/>
      <c r="BS89" s="17"/>
      <c r="BT89" s="17"/>
      <c r="BU89" s="17"/>
      <c r="BV89" s="17"/>
      <c r="BW89" s="17"/>
      <c r="BX89" s="17"/>
      <c r="BY89" s="17"/>
      <c r="BZ89" s="17"/>
      <c r="CA89" s="17"/>
      <c r="CB89" s="17"/>
      <c r="CC89" s="17"/>
      <c r="CD89" s="17"/>
      <c r="CE89" s="19"/>
      <c r="CF89" s="15" t="s">
        <v>292</v>
      </c>
    </row>
    <row r="90" spans="1:84" ht="12" customHeight="1" x14ac:dyDescent="0.15">
      <c r="A90" s="3"/>
      <c r="B90" s="1"/>
      <c r="C90" s="1"/>
      <c r="D90" s="1" t="s">
        <v>26</v>
      </c>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4"/>
      <c r="CF90" s="15" t="s">
        <v>292</v>
      </c>
    </row>
    <row r="91" spans="1:84" ht="12" customHeight="1" x14ac:dyDescent="0.15">
      <c r="A91" s="3"/>
      <c r="B91" s="1"/>
      <c r="C91" s="1"/>
      <c r="D91" s="1"/>
      <c r="E91" s="1" t="s">
        <v>220</v>
      </c>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4"/>
      <c r="CF91" s="15" t="s">
        <v>293</v>
      </c>
    </row>
    <row r="92" spans="1:84" ht="12" customHeight="1" x14ac:dyDescent="0.15">
      <c r="A92" s="3"/>
      <c r="B92" s="1"/>
      <c r="C92" s="1"/>
      <c r="D92" s="1"/>
      <c r="E92" s="1"/>
      <c r="F92" s="1" t="s">
        <v>196</v>
      </c>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4"/>
      <c r="CF92" s="15" t="s">
        <v>294</v>
      </c>
    </row>
    <row r="93" spans="1:84" ht="12" customHeight="1" x14ac:dyDescent="0.15">
      <c r="A93" s="3"/>
      <c r="B93" s="1"/>
      <c r="C93" s="1"/>
      <c r="D93" s="1"/>
      <c r="E93" s="1"/>
      <c r="F93" s="86" t="s">
        <v>10</v>
      </c>
      <c r="G93" s="86"/>
      <c r="H93" s="86"/>
      <c r="I93" s="86"/>
      <c r="J93" s="86"/>
      <c r="K93" s="86"/>
      <c r="L93" s="86"/>
      <c r="M93" s="86"/>
      <c r="N93" s="86"/>
      <c r="O93" s="86"/>
      <c r="P93" s="86"/>
      <c r="Q93" s="86"/>
      <c r="R93" s="86"/>
      <c r="S93" s="86"/>
      <c r="T93" s="25" t="s">
        <v>232</v>
      </c>
      <c r="U93" s="23"/>
      <c r="V93" s="23"/>
      <c r="W93" s="23"/>
      <c r="X93" s="23"/>
      <c r="Y93" s="23"/>
      <c r="Z93" s="23"/>
      <c r="AA93" s="23"/>
      <c r="AB93" s="23"/>
      <c r="AC93" s="23"/>
      <c r="AD93" s="23"/>
      <c r="AE93" s="23"/>
      <c r="AF93" s="23"/>
      <c r="AG93" s="23"/>
      <c r="AH93" s="23"/>
      <c r="AI93" s="23"/>
      <c r="AJ93" s="23"/>
      <c r="AK93" s="23"/>
      <c r="AL93" s="23"/>
      <c r="AM93" s="23"/>
      <c r="AN93" s="23"/>
      <c r="AO93" s="23"/>
      <c r="AP93" s="23"/>
      <c r="AQ93" s="23"/>
      <c r="AR93" s="23"/>
      <c r="AS93" s="23"/>
      <c r="AT93" s="23"/>
      <c r="AU93" s="23"/>
      <c r="AV93" s="23"/>
      <c r="AW93" s="23"/>
      <c r="AX93" s="23"/>
      <c r="AY93" s="23"/>
      <c r="AZ93" s="23"/>
      <c r="BA93" s="23"/>
      <c r="BB93" s="23"/>
      <c r="BC93" s="23"/>
      <c r="BD93" s="23"/>
      <c r="BE93" s="23"/>
      <c r="BF93" s="23"/>
      <c r="BG93" s="23"/>
      <c r="BH93" s="23"/>
      <c r="BI93" s="23"/>
      <c r="BJ93" s="23"/>
      <c r="BK93" s="23"/>
      <c r="BL93" s="23"/>
      <c r="BM93" s="23"/>
      <c r="BN93" s="23"/>
      <c r="BO93" s="23"/>
      <c r="BP93" s="23"/>
      <c r="BQ93" s="23"/>
      <c r="BR93" s="23"/>
      <c r="BS93" s="23"/>
      <c r="BT93" s="23"/>
      <c r="BU93" s="23"/>
      <c r="BV93" s="23"/>
      <c r="BW93" s="23"/>
      <c r="BX93" s="23"/>
      <c r="BY93" s="23"/>
      <c r="BZ93" s="23"/>
      <c r="CA93" s="23"/>
      <c r="CB93" s="23"/>
      <c r="CC93" s="23"/>
      <c r="CD93" s="24"/>
      <c r="CE93" s="4"/>
      <c r="CF93" s="15" t="s">
        <v>295</v>
      </c>
    </row>
    <row r="94" spans="1:84" ht="12" customHeight="1" x14ac:dyDescent="0.15">
      <c r="A94" s="3"/>
      <c r="B94" s="1"/>
      <c r="C94" s="1"/>
      <c r="D94" s="1"/>
      <c r="E94" s="1"/>
      <c r="F94" s="86" t="s">
        <v>130</v>
      </c>
      <c r="G94" s="86"/>
      <c r="H94" s="86"/>
      <c r="I94" s="86"/>
      <c r="J94" s="86"/>
      <c r="K94" s="86"/>
      <c r="L94" s="86"/>
      <c r="M94" s="86"/>
      <c r="N94" s="86"/>
      <c r="O94" s="86"/>
      <c r="P94" s="86"/>
      <c r="Q94" s="86"/>
      <c r="R94" s="86"/>
      <c r="S94" s="86"/>
      <c r="T94" s="25" t="s">
        <v>123</v>
      </c>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c r="BD94" s="23"/>
      <c r="BE94" s="23"/>
      <c r="BF94" s="23"/>
      <c r="BG94" s="23"/>
      <c r="BH94" s="23"/>
      <c r="BI94" s="23"/>
      <c r="BJ94" s="23"/>
      <c r="BK94" s="23"/>
      <c r="BL94" s="23"/>
      <c r="BM94" s="23"/>
      <c r="BN94" s="23"/>
      <c r="BO94" s="23"/>
      <c r="BP94" s="23"/>
      <c r="BQ94" s="23"/>
      <c r="BR94" s="23"/>
      <c r="BS94" s="23"/>
      <c r="BT94" s="23"/>
      <c r="BU94" s="23"/>
      <c r="BV94" s="23"/>
      <c r="BW94" s="23"/>
      <c r="BX94" s="23"/>
      <c r="BY94" s="23"/>
      <c r="BZ94" s="23"/>
      <c r="CA94" s="23"/>
      <c r="CB94" s="23"/>
      <c r="CC94" s="23"/>
      <c r="CD94" s="24"/>
      <c r="CE94" s="4"/>
      <c r="CF94" s="15" t="s">
        <v>296</v>
      </c>
    </row>
    <row r="95" spans="1:84" ht="12" customHeight="1" x14ac:dyDescent="0.15">
      <c r="A95" s="3"/>
      <c r="B95" s="1"/>
      <c r="C95" s="1"/>
      <c r="D95" s="1"/>
      <c r="E95" s="1"/>
      <c r="F95" s="86" t="s">
        <v>131</v>
      </c>
      <c r="G95" s="86"/>
      <c r="H95" s="86"/>
      <c r="I95" s="86"/>
      <c r="J95" s="86"/>
      <c r="K95" s="86"/>
      <c r="L95" s="86"/>
      <c r="M95" s="86"/>
      <c r="N95" s="86"/>
      <c r="O95" s="86"/>
      <c r="P95" s="86"/>
      <c r="Q95" s="86"/>
      <c r="R95" s="86"/>
      <c r="S95" s="86"/>
      <c r="T95" s="25" t="s">
        <v>123</v>
      </c>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c r="AS95" s="23"/>
      <c r="AT95" s="23"/>
      <c r="AU95" s="23"/>
      <c r="AV95" s="23"/>
      <c r="AW95" s="23"/>
      <c r="AX95" s="23"/>
      <c r="AY95" s="23"/>
      <c r="AZ95" s="23"/>
      <c r="BA95" s="23"/>
      <c r="BB95" s="23"/>
      <c r="BC95" s="23"/>
      <c r="BD95" s="23"/>
      <c r="BE95" s="23"/>
      <c r="BF95" s="23"/>
      <c r="BG95" s="23"/>
      <c r="BH95" s="23"/>
      <c r="BI95" s="23"/>
      <c r="BJ95" s="23"/>
      <c r="BK95" s="23"/>
      <c r="BL95" s="23"/>
      <c r="BM95" s="23"/>
      <c r="BN95" s="23"/>
      <c r="BO95" s="23"/>
      <c r="BP95" s="23"/>
      <c r="BQ95" s="23"/>
      <c r="BR95" s="23"/>
      <c r="BS95" s="23"/>
      <c r="BT95" s="23"/>
      <c r="BU95" s="23"/>
      <c r="BV95" s="23"/>
      <c r="BW95" s="23"/>
      <c r="BX95" s="23"/>
      <c r="BY95" s="23"/>
      <c r="BZ95" s="23"/>
      <c r="CA95" s="23"/>
      <c r="CB95" s="23"/>
      <c r="CC95" s="23"/>
      <c r="CD95" s="24"/>
      <c r="CE95" s="4"/>
      <c r="CF95" s="15" t="s">
        <v>297</v>
      </c>
    </row>
    <row r="96" spans="1:84" ht="12" customHeight="1" x14ac:dyDescent="0.15">
      <c r="A96" s="3"/>
      <c r="B96" s="1"/>
      <c r="C96" s="1"/>
      <c r="D96" s="1"/>
      <c r="E96" s="1"/>
      <c r="F96" s="86" t="s">
        <v>203</v>
      </c>
      <c r="G96" s="86"/>
      <c r="H96" s="86"/>
      <c r="I96" s="86"/>
      <c r="J96" s="86"/>
      <c r="K96" s="86"/>
      <c r="L96" s="86"/>
      <c r="M96" s="86"/>
      <c r="N96" s="86"/>
      <c r="O96" s="86"/>
      <c r="P96" s="86"/>
      <c r="Q96" s="86"/>
      <c r="R96" s="86"/>
      <c r="S96" s="86"/>
      <c r="T96" s="25" t="s">
        <v>233</v>
      </c>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c r="AS96" s="23"/>
      <c r="AT96" s="23"/>
      <c r="AU96" s="23"/>
      <c r="AV96" s="23"/>
      <c r="AW96" s="23"/>
      <c r="AX96" s="23"/>
      <c r="AY96" s="23"/>
      <c r="AZ96" s="23"/>
      <c r="BA96" s="23"/>
      <c r="BB96" s="23"/>
      <c r="BC96" s="23"/>
      <c r="BD96" s="23"/>
      <c r="BE96" s="23"/>
      <c r="BF96" s="23"/>
      <c r="BG96" s="23"/>
      <c r="BH96" s="23"/>
      <c r="BI96" s="23"/>
      <c r="BJ96" s="23"/>
      <c r="BK96" s="23"/>
      <c r="BL96" s="23"/>
      <c r="BM96" s="23"/>
      <c r="BN96" s="23"/>
      <c r="BO96" s="23"/>
      <c r="BP96" s="23"/>
      <c r="BQ96" s="23"/>
      <c r="BR96" s="23"/>
      <c r="BS96" s="23"/>
      <c r="BT96" s="23"/>
      <c r="BU96" s="23"/>
      <c r="BV96" s="23"/>
      <c r="BW96" s="23"/>
      <c r="BX96" s="23"/>
      <c r="BY96" s="23"/>
      <c r="BZ96" s="23"/>
      <c r="CA96" s="23"/>
      <c r="CB96" s="23"/>
      <c r="CC96" s="23"/>
      <c r="CD96" s="24"/>
      <c r="CE96" s="4"/>
      <c r="CF96" s="15" t="s">
        <v>298</v>
      </c>
    </row>
    <row r="97" spans="1:84" ht="12" customHeight="1" x14ac:dyDescent="0.15">
      <c r="A97" s="3"/>
      <c r="B97" s="1"/>
      <c r="C97" s="1"/>
      <c r="D97" s="1"/>
      <c r="E97" s="1"/>
      <c r="F97" s="86" t="s">
        <v>11</v>
      </c>
      <c r="G97" s="86"/>
      <c r="H97" s="86"/>
      <c r="I97" s="86"/>
      <c r="J97" s="86"/>
      <c r="K97" s="86"/>
      <c r="L97" s="86"/>
      <c r="M97" s="86"/>
      <c r="N97" s="86"/>
      <c r="O97" s="86"/>
      <c r="P97" s="86"/>
      <c r="Q97" s="86"/>
      <c r="R97" s="86"/>
      <c r="S97" s="86"/>
      <c r="T97" s="25" t="s">
        <v>234</v>
      </c>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c r="AS97" s="23"/>
      <c r="AT97" s="23"/>
      <c r="AU97" s="23"/>
      <c r="AV97" s="23"/>
      <c r="AW97" s="23"/>
      <c r="AX97" s="23"/>
      <c r="AY97" s="23"/>
      <c r="AZ97" s="23"/>
      <c r="BA97" s="23"/>
      <c r="BB97" s="23"/>
      <c r="BC97" s="23"/>
      <c r="BD97" s="23"/>
      <c r="BE97" s="23"/>
      <c r="BF97" s="23"/>
      <c r="BG97" s="23"/>
      <c r="BH97" s="23"/>
      <c r="BI97" s="23"/>
      <c r="BJ97" s="23"/>
      <c r="BK97" s="23"/>
      <c r="BL97" s="23"/>
      <c r="BM97" s="23"/>
      <c r="BN97" s="23"/>
      <c r="BO97" s="23"/>
      <c r="BP97" s="23"/>
      <c r="BQ97" s="23"/>
      <c r="BR97" s="23"/>
      <c r="BS97" s="23"/>
      <c r="BT97" s="23"/>
      <c r="BU97" s="23"/>
      <c r="BV97" s="23"/>
      <c r="BW97" s="23"/>
      <c r="BX97" s="23"/>
      <c r="BY97" s="23"/>
      <c r="BZ97" s="23"/>
      <c r="CA97" s="23"/>
      <c r="CB97" s="23"/>
      <c r="CC97" s="23"/>
      <c r="CD97" s="24"/>
      <c r="CE97" s="4"/>
      <c r="CF97" s="15" t="s">
        <v>299</v>
      </c>
    </row>
    <row r="98" spans="1:84" ht="12" customHeight="1" x14ac:dyDescent="0.15">
      <c r="A98" s="3"/>
      <c r="B98" s="1"/>
      <c r="C98" s="1"/>
      <c r="D98" s="1"/>
      <c r="E98" s="1"/>
      <c r="F98" s="86" t="s">
        <v>12</v>
      </c>
      <c r="G98" s="86"/>
      <c r="H98" s="86"/>
      <c r="I98" s="86"/>
      <c r="J98" s="86"/>
      <c r="K98" s="86"/>
      <c r="L98" s="86"/>
      <c r="M98" s="86"/>
      <c r="N98" s="86"/>
      <c r="O98" s="86"/>
      <c r="P98" s="86"/>
      <c r="Q98" s="86"/>
      <c r="R98" s="86"/>
      <c r="S98" s="86"/>
      <c r="T98" s="25" t="s">
        <v>235</v>
      </c>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c r="AS98" s="23"/>
      <c r="AT98" s="23"/>
      <c r="AU98" s="23"/>
      <c r="AV98" s="23"/>
      <c r="AW98" s="23"/>
      <c r="AX98" s="23"/>
      <c r="AY98" s="23"/>
      <c r="AZ98" s="23"/>
      <c r="BA98" s="23"/>
      <c r="BB98" s="23"/>
      <c r="BC98" s="23"/>
      <c r="BD98" s="23"/>
      <c r="BE98" s="23"/>
      <c r="BF98" s="23"/>
      <c r="BG98" s="23"/>
      <c r="BH98" s="23"/>
      <c r="BI98" s="23"/>
      <c r="BJ98" s="23"/>
      <c r="BK98" s="23"/>
      <c r="BL98" s="23"/>
      <c r="BM98" s="23"/>
      <c r="BN98" s="23"/>
      <c r="BO98" s="23"/>
      <c r="BP98" s="23"/>
      <c r="BQ98" s="23"/>
      <c r="BR98" s="23"/>
      <c r="BS98" s="23"/>
      <c r="BT98" s="23"/>
      <c r="BU98" s="23"/>
      <c r="BV98" s="23"/>
      <c r="BW98" s="23"/>
      <c r="BX98" s="23"/>
      <c r="BY98" s="23"/>
      <c r="BZ98" s="23"/>
      <c r="CA98" s="23"/>
      <c r="CB98" s="23"/>
      <c r="CC98" s="23"/>
      <c r="CD98" s="24"/>
      <c r="CE98" s="4"/>
      <c r="CF98" s="15" t="s">
        <v>300</v>
      </c>
    </row>
    <row r="99" spans="1:84" ht="12" customHeight="1" x14ac:dyDescent="0.15">
      <c r="A99" s="3"/>
      <c r="B99" s="1"/>
      <c r="C99" s="1"/>
      <c r="D99" s="1"/>
      <c r="E99" s="1"/>
      <c r="F99" s="86" t="s">
        <v>13</v>
      </c>
      <c r="G99" s="86"/>
      <c r="H99" s="86"/>
      <c r="I99" s="86"/>
      <c r="J99" s="86"/>
      <c r="K99" s="86"/>
      <c r="L99" s="86"/>
      <c r="M99" s="86"/>
      <c r="N99" s="86"/>
      <c r="O99" s="86"/>
      <c r="P99" s="86"/>
      <c r="Q99" s="86"/>
      <c r="R99" s="86"/>
      <c r="S99" s="86"/>
      <c r="T99" s="25" t="s">
        <v>236</v>
      </c>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c r="AS99" s="23"/>
      <c r="AT99" s="23"/>
      <c r="AU99" s="23"/>
      <c r="AV99" s="23"/>
      <c r="AW99" s="23"/>
      <c r="AX99" s="23"/>
      <c r="AY99" s="23"/>
      <c r="AZ99" s="23"/>
      <c r="BA99" s="23"/>
      <c r="BB99" s="23"/>
      <c r="BC99" s="23"/>
      <c r="BD99" s="23"/>
      <c r="BE99" s="23"/>
      <c r="BF99" s="23"/>
      <c r="BG99" s="23"/>
      <c r="BH99" s="23"/>
      <c r="BI99" s="23"/>
      <c r="BJ99" s="23"/>
      <c r="BK99" s="23"/>
      <c r="BL99" s="23"/>
      <c r="BM99" s="23"/>
      <c r="BN99" s="23"/>
      <c r="BO99" s="23"/>
      <c r="BP99" s="23"/>
      <c r="BQ99" s="23"/>
      <c r="BR99" s="23"/>
      <c r="BS99" s="23"/>
      <c r="BT99" s="23"/>
      <c r="BU99" s="23"/>
      <c r="BV99" s="23"/>
      <c r="BW99" s="23"/>
      <c r="BX99" s="23"/>
      <c r="BY99" s="23"/>
      <c r="BZ99" s="23"/>
      <c r="CA99" s="23"/>
      <c r="CB99" s="23"/>
      <c r="CC99" s="23"/>
      <c r="CD99" s="24"/>
      <c r="CE99" s="4"/>
      <c r="CF99" s="15" t="s">
        <v>301</v>
      </c>
    </row>
    <row r="100" spans="1:84" ht="12" customHeight="1" x14ac:dyDescent="0.15">
      <c r="A100" s="3"/>
      <c r="B100" s="1"/>
      <c r="C100" s="1"/>
      <c r="D100" s="1"/>
      <c r="E100" s="1"/>
      <c r="F100" s="86" t="s">
        <v>148</v>
      </c>
      <c r="G100" s="86"/>
      <c r="H100" s="86"/>
      <c r="I100" s="86"/>
      <c r="J100" s="86"/>
      <c r="K100" s="86"/>
      <c r="L100" s="86"/>
      <c r="M100" s="86"/>
      <c r="N100" s="86"/>
      <c r="O100" s="86"/>
      <c r="P100" s="86"/>
      <c r="Q100" s="86"/>
      <c r="R100" s="86"/>
      <c r="S100" s="86"/>
      <c r="T100" s="25" t="s">
        <v>237</v>
      </c>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c r="AS100" s="23"/>
      <c r="AT100" s="23"/>
      <c r="AU100" s="23"/>
      <c r="AV100" s="23"/>
      <c r="AW100" s="23"/>
      <c r="AX100" s="23"/>
      <c r="AY100" s="23"/>
      <c r="AZ100" s="23"/>
      <c r="BA100" s="23"/>
      <c r="BB100" s="23"/>
      <c r="BC100" s="23"/>
      <c r="BD100" s="23"/>
      <c r="BE100" s="23"/>
      <c r="BF100" s="23"/>
      <c r="BG100" s="23"/>
      <c r="BH100" s="23"/>
      <c r="BI100" s="23"/>
      <c r="BJ100" s="23"/>
      <c r="BK100" s="23"/>
      <c r="BL100" s="23"/>
      <c r="BM100" s="23"/>
      <c r="BN100" s="23"/>
      <c r="BO100" s="23"/>
      <c r="BP100" s="23"/>
      <c r="BQ100" s="23"/>
      <c r="BR100" s="23"/>
      <c r="BS100" s="23"/>
      <c r="BT100" s="23"/>
      <c r="BU100" s="23"/>
      <c r="BV100" s="23"/>
      <c r="BW100" s="23"/>
      <c r="BX100" s="23"/>
      <c r="BY100" s="23"/>
      <c r="BZ100" s="23"/>
      <c r="CA100" s="23"/>
      <c r="CB100" s="23"/>
      <c r="CC100" s="23"/>
      <c r="CD100" s="24"/>
      <c r="CE100" s="4"/>
      <c r="CF100" s="15" t="s">
        <v>302</v>
      </c>
    </row>
    <row r="101" spans="1:84" ht="12" customHeight="1" x14ac:dyDescent="0.15">
      <c r="A101" s="3"/>
      <c r="B101" s="1"/>
      <c r="C101" s="1"/>
      <c r="D101" s="1"/>
      <c r="E101" s="1"/>
      <c r="F101" s="86" t="s">
        <v>141</v>
      </c>
      <c r="G101" s="86"/>
      <c r="H101" s="86"/>
      <c r="I101" s="86"/>
      <c r="J101" s="86"/>
      <c r="K101" s="86"/>
      <c r="L101" s="86"/>
      <c r="M101" s="86"/>
      <c r="N101" s="86"/>
      <c r="O101" s="86"/>
      <c r="P101" s="86"/>
      <c r="Q101" s="86"/>
      <c r="R101" s="86"/>
      <c r="S101" s="86"/>
      <c r="T101" s="25" t="s">
        <v>261</v>
      </c>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23"/>
      <c r="AR101" s="23"/>
      <c r="AS101" s="23"/>
      <c r="AT101" s="23"/>
      <c r="AU101" s="23"/>
      <c r="AV101" s="23"/>
      <c r="AW101" s="23"/>
      <c r="AX101" s="23"/>
      <c r="AY101" s="23"/>
      <c r="AZ101" s="23"/>
      <c r="BA101" s="23"/>
      <c r="BB101" s="23"/>
      <c r="BC101" s="23"/>
      <c r="BD101" s="23"/>
      <c r="BE101" s="23"/>
      <c r="BF101" s="23"/>
      <c r="BG101" s="23"/>
      <c r="BH101" s="23"/>
      <c r="BI101" s="23"/>
      <c r="BJ101" s="23"/>
      <c r="BK101" s="23"/>
      <c r="BL101" s="23"/>
      <c r="BM101" s="23"/>
      <c r="BN101" s="23"/>
      <c r="BO101" s="23"/>
      <c r="BP101" s="23"/>
      <c r="BQ101" s="23"/>
      <c r="BR101" s="23"/>
      <c r="BS101" s="23"/>
      <c r="BT101" s="23"/>
      <c r="BU101" s="23"/>
      <c r="BV101" s="23"/>
      <c r="BW101" s="23"/>
      <c r="BX101" s="23"/>
      <c r="BY101" s="23"/>
      <c r="BZ101" s="23"/>
      <c r="CA101" s="23"/>
      <c r="CB101" s="23"/>
      <c r="CC101" s="23"/>
      <c r="CD101" s="24"/>
      <c r="CE101" s="4"/>
      <c r="CF101" s="15" t="s">
        <v>303</v>
      </c>
    </row>
    <row r="102" spans="1:84" ht="12" customHeight="1" x14ac:dyDescent="0.15">
      <c r="A102" s="3"/>
      <c r="B102" s="1"/>
      <c r="C102" s="1"/>
      <c r="D102" s="1"/>
      <c r="E102" s="20"/>
      <c r="F102" s="20"/>
      <c r="G102" s="20"/>
      <c r="H102" s="20"/>
      <c r="I102" s="20"/>
      <c r="J102" s="20"/>
      <c r="K102" s="20"/>
      <c r="L102" s="20"/>
      <c r="M102" s="20"/>
      <c r="N102" s="20"/>
      <c r="O102" s="20"/>
      <c r="P102" s="20"/>
      <c r="Q102" s="20"/>
      <c r="R102" s="20"/>
      <c r="S102" s="20"/>
      <c r="T102" s="21"/>
      <c r="U102" s="21"/>
      <c r="V102" s="21"/>
      <c r="W102" s="21"/>
      <c r="X102" s="21"/>
      <c r="Y102" s="21"/>
      <c r="Z102" s="21"/>
      <c r="AA102" s="21"/>
      <c r="AB102" s="21"/>
      <c r="AC102" s="21"/>
      <c r="AD102" s="21"/>
      <c r="AE102" s="21"/>
      <c r="AF102" s="21"/>
      <c r="AG102" s="21"/>
      <c r="AH102" s="21"/>
      <c r="AI102" s="21"/>
      <c r="AJ102" s="21"/>
      <c r="AK102" s="21"/>
      <c r="AL102" s="21"/>
      <c r="AM102" s="21"/>
      <c r="AN102" s="21"/>
      <c r="AO102" s="21"/>
      <c r="AP102" s="21"/>
      <c r="AQ102" s="21"/>
      <c r="AR102" s="21"/>
      <c r="AS102" s="21"/>
      <c r="AT102" s="21"/>
      <c r="AU102" s="21"/>
      <c r="AV102" s="21"/>
      <c r="AW102" s="21"/>
      <c r="AX102" s="21"/>
      <c r="AY102" s="21"/>
      <c r="AZ102" s="21"/>
      <c r="BA102" s="21"/>
      <c r="BB102" s="21"/>
      <c r="BC102" s="21"/>
      <c r="BD102" s="21"/>
      <c r="BE102" s="21"/>
      <c r="BF102" s="21"/>
      <c r="BG102" s="21"/>
      <c r="BH102" s="21"/>
      <c r="BI102" s="21"/>
      <c r="BJ102" s="21"/>
      <c r="BK102" s="21"/>
      <c r="BL102" s="21"/>
      <c r="BM102" s="21"/>
      <c r="BN102" s="21"/>
      <c r="BO102" s="21"/>
      <c r="BP102" s="21"/>
      <c r="BQ102" s="21"/>
      <c r="BR102" s="21"/>
      <c r="BS102" s="21"/>
      <c r="BT102" s="21"/>
      <c r="BU102" s="21"/>
      <c r="BV102" s="21"/>
      <c r="BW102" s="21"/>
      <c r="BX102" s="21"/>
      <c r="BY102" s="21"/>
      <c r="BZ102" s="21"/>
      <c r="CA102" s="21"/>
      <c r="CB102" s="21"/>
      <c r="CC102" s="21"/>
      <c r="CD102" s="21"/>
      <c r="CE102" s="4"/>
      <c r="CF102" s="15" t="s">
        <v>304</v>
      </c>
    </row>
    <row r="103" spans="1:84" ht="12" customHeight="1" x14ac:dyDescent="0.15">
      <c r="A103" s="3"/>
      <c r="B103" s="1"/>
      <c r="C103" s="1"/>
      <c r="D103" s="1"/>
      <c r="E103" s="20"/>
      <c r="F103" s="20" t="s">
        <v>273</v>
      </c>
      <c r="G103" s="20"/>
      <c r="H103" s="20"/>
      <c r="I103" s="20"/>
      <c r="J103" s="20"/>
      <c r="K103" s="20"/>
      <c r="L103" s="20"/>
      <c r="M103" s="20"/>
      <c r="N103" s="20"/>
      <c r="O103" s="20"/>
      <c r="P103" s="20"/>
      <c r="Q103" s="20"/>
      <c r="R103" s="20"/>
      <c r="S103" s="20"/>
      <c r="T103" s="21"/>
      <c r="U103" s="21"/>
      <c r="V103" s="21"/>
      <c r="W103" s="21"/>
      <c r="X103" s="21"/>
      <c r="Y103" s="21"/>
      <c r="Z103" s="21"/>
      <c r="AA103" s="21"/>
      <c r="AB103" s="21"/>
      <c r="AC103" s="21"/>
      <c r="AD103" s="21"/>
      <c r="AE103" s="21"/>
      <c r="AF103" s="21"/>
      <c r="AG103" s="21"/>
      <c r="AH103" s="21"/>
      <c r="AI103" s="21"/>
      <c r="AJ103" s="21"/>
      <c r="AK103" s="21"/>
      <c r="AL103" s="21"/>
      <c r="AM103" s="21"/>
      <c r="AN103" s="21"/>
      <c r="AO103" s="21"/>
      <c r="AP103" s="21"/>
      <c r="AQ103" s="21"/>
      <c r="AR103" s="21"/>
      <c r="AS103" s="21"/>
      <c r="AT103" s="21"/>
      <c r="AU103" s="21"/>
      <c r="AV103" s="21"/>
      <c r="AW103" s="21"/>
      <c r="AX103" s="21"/>
      <c r="AY103" s="21"/>
      <c r="AZ103" s="21"/>
      <c r="BA103" s="21"/>
      <c r="BB103" s="21"/>
      <c r="BC103" s="21"/>
      <c r="BD103" s="21"/>
      <c r="BE103" s="21"/>
      <c r="BF103" s="21"/>
      <c r="BG103" s="21"/>
      <c r="BH103" s="21"/>
      <c r="BI103" s="21"/>
      <c r="BJ103" s="21"/>
      <c r="BK103" s="21"/>
      <c r="BL103" s="21"/>
      <c r="BM103" s="21"/>
      <c r="BN103" s="21"/>
      <c r="BO103" s="21"/>
      <c r="BP103" s="21"/>
      <c r="BQ103" s="21"/>
      <c r="BR103" s="21"/>
      <c r="BS103" s="21"/>
      <c r="BT103" s="21"/>
      <c r="BU103" s="21"/>
      <c r="BV103" s="21"/>
      <c r="BW103" s="21"/>
      <c r="BX103" s="21"/>
      <c r="BY103" s="21"/>
      <c r="BZ103" s="21"/>
      <c r="CA103" s="21"/>
      <c r="CB103" s="21"/>
      <c r="CC103" s="21"/>
      <c r="CD103" s="21"/>
      <c r="CE103" s="4"/>
      <c r="CF103" s="15" t="s">
        <v>305</v>
      </c>
    </row>
    <row r="104" spans="1:84" ht="12" customHeight="1" x14ac:dyDescent="0.15">
      <c r="A104" s="3"/>
      <c r="B104" s="1"/>
      <c r="C104" s="1"/>
      <c r="D104" s="1"/>
      <c r="E104" s="1"/>
      <c r="F104" s="86" t="s">
        <v>10</v>
      </c>
      <c r="G104" s="86"/>
      <c r="H104" s="86"/>
      <c r="I104" s="86"/>
      <c r="J104" s="86"/>
      <c r="K104" s="86"/>
      <c r="L104" s="86"/>
      <c r="M104" s="86"/>
      <c r="N104" s="86"/>
      <c r="O104" s="86"/>
      <c r="P104" s="86"/>
      <c r="Q104" s="86"/>
      <c r="R104" s="86"/>
      <c r="S104" s="86"/>
      <c r="T104" s="25" t="s">
        <v>232</v>
      </c>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c r="AV104" s="23"/>
      <c r="AW104" s="23"/>
      <c r="AX104" s="23"/>
      <c r="AY104" s="23"/>
      <c r="AZ104" s="23"/>
      <c r="BA104" s="23"/>
      <c r="BB104" s="23"/>
      <c r="BC104" s="23"/>
      <c r="BD104" s="23"/>
      <c r="BE104" s="23"/>
      <c r="BF104" s="23"/>
      <c r="BG104" s="23"/>
      <c r="BH104" s="23"/>
      <c r="BI104" s="23"/>
      <c r="BJ104" s="23"/>
      <c r="BK104" s="23"/>
      <c r="BL104" s="23"/>
      <c r="BM104" s="23"/>
      <c r="BN104" s="23"/>
      <c r="BO104" s="23"/>
      <c r="BP104" s="23"/>
      <c r="BQ104" s="23"/>
      <c r="BR104" s="23"/>
      <c r="BS104" s="23"/>
      <c r="BT104" s="23"/>
      <c r="BU104" s="23"/>
      <c r="BV104" s="23"/>
      <c r="BW104" s="23"/>
      <c r="BX104" s="23"/>
      <c r="BY104" s="23"/>
      <c r="BZ104" s="23"/>
      <c r="CA104" s="23"/>
      <c r="CB104" s="23"/>
      <c r="CC104" s="23"/>
      <c r="CD104" s="24"/>
      <c r="CE104" s="4"/>
      <c r="CF104" s="15" t="s">
        <v>306</v>
      </c>
    </row>
    <row r="105" spans="1:84" ht="12" customHeight="1" x14ac:dyDescent="0.15">
      <c r="A105" s="3"/>
      <c r="B105" s="1"/>
      <c r="C105" s="1"/>
      <c r="D105" s="1"/>
      <c r="E105" s="1"/>
      <c r="F105" s="86" t="s">
        <v>130</v>
      </c>
      <c r="G105" s="86"/>
      <c r="H105" s="86"/>
      <c r="I105" s="86"/>
      <c r="J105" s="86"/>
      <c r="K105" s="86"/>
      <c r="L105" s="86"/>
      <c r="M105" s="86"/>
      <c r="N105" s="86"/>
      <c r="O105" s="86"/>
      <c r="P105" s="86"/>
      <c r="Q105" s="86"/>
      <c r="R105" s="86"/>
      <c r="S105" s="86"/>
      <c r="T105" s="25" t="s">
        <v>221</v>
      </c>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c r="AS105" s="23"/>
      <c r="AT105" s="23"/>
      <c r="AU105" s="23"/>
      <c r="AV105" s="23"/>
      <c r="AW105" s="23"/>
      <c r="AX105" s="23"/>
      <c r="AY105" s="23"/>
      <c r="AZ105" s="23"/>
      <c r="BA105" s="23"/>
      <c r="BB105" s="23"/>
      <c r="BC105" s="23"/>
      <c r="BD105" s="23"/>
      <c r="BE105" s="23"/>
      <c r="BF105" s="23"/>
      <c r="BG105" s="23"/>
      <c r="BH105" s="23"/>
      <c r="BI105" s="23"/>
      <c r="BJ105" s="23"/>
      <c r="BK105" s="23"/>
      <c r="BL105" s="23"/>
      <c r="BM105" s="23"/>
      <c r="BN105" s="23"/>
      <c r="BO105" s="23"/>
      <c r="BP105" s="23"/>
      <c r="BQ105" s="23"/>
      <c r="BR105" s="23"/>
      <c r="BS105" s="23"/>
      <c r="BT105" s="23"/>
      <c r="BU105" s="23"/>
      <c r="BV105" s="23"/>
      <c r="BW105" s="23"/>
      <c r="BX105" s="23"/>
      <c r="BY105" s="23"/>
      <c r="BZ105" s="23"/>
      <c r="CA105" s="23"/>
      <c r="CB105" s="23"/>
      <c r="CC105" s="23"/>
      <c r="CD105" s="24"/>
      <c r="CE105" s="4"/>
      <c r="CF105" s="15" t="s">
        <v>307</v>
      </c>
    </row>
    <row r="106" spans="1:84" ht="12" customHeight="1" x14ac:dyDescent="0.15">
      <c r="A106" s="3"/>
      <c r="B106" s="1"/>
      <c r="C106" s="1"/>
      <c r="D106" s="1"/>
      <c r="E106" s="1"/>
      <c r="F106" s="86" t="s">
        <v>131</v>
      </c>
      <c r="G106" s="86"/>
      <c r="H106" s="86"/>
      <c r="I106" s="86"/>
      <c r="J106" s="86"/>
      <c r="K106" s="86"/>
      <c r="L106" s="86"/>
      <c r="M106" s="86"/>
      <c r="N106" s="86"/>
      <c r="O106" s="86"/>
      <c r="P106" s="86"/>
      <c r="Q106" s="86"/>
      <c r="R106" s="86"/>
      <c r="S106" s="86"/>
      <c r="T106" s="25" t="s">
        <v>274</v>
      </c>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c r="AS106" s="23"/>
      <c r="AT106" s="23"/>
      <c r="AU106" s="23"/>
      <c r="AV106" s="23"/>
      <c r="AW106" s="23"/>
      <c r="AX106" s="23"/>
      <c r="AY106" s="23"/>
      <c r="AZ106" s="23"/>
      <c r="BA106" s="23"/>
      <c r="BB106" s="23"/>
      <c r="BC106" s="23"/>
      <c r="BD106" s="23"/>
      <c r="BE106" s="23"/>
      <c r="BF106" s="23"/>
      <c r="BG106" s="23"/>
      <c r="BH106" s="23"/>
      <c r="BI106" s="23"/>
      <c r="BJ106" s="23"/>
      <c r="BK106" s="23"/>
      <c r="BL106" s="23"/>
      <c r="BM106" s="23"/>
      <c r="BN106" s="23"/>
      <c r="BO106" s="23"/>
      <c r="BP106" s="23"/>
      <c r="BQ106" s="23"/>
      <c r="BR106" s="23"/>
      <c r="BS106" s="23"/>
      <c r="BT106" s="23"/>
      <c r="BU106" s="23"/>
      <c r="BV106" s="23"/>
      <c r="BW106" s="23"/>
      <c r="BX106" s="23"/>
      <c r="BY106" s="23"/>
      <c r="BZ106" s="23"/>
      <c r="CA106" s="23"/>
      <c r="CB106" s="23"/>
      <c r="CC106" s="23"/>
      <c r="CD106" s="24"/>
      <c r="CE106" s="4"/>
      <c r="CF106" s="15" t="s">
        <v>92</v>
      </c>
    </row>
    <row r="107" spans="1:84" ht="12" customHeight="1" x14ac:dyDescent="0.15">
      <c r="A107" s="3"/>
      <c r="B107" s="1"/>
      <c r="C107" s="1"/>
      <c r="D107" s="1"/>
      <c r="E107" s="1"/>
      <c r="F107" s="86" t="s">
        <v>203</v>
      </c>
      <c r="G107" s="86"/>
      <c r="H107" s="86"/>
      <c r="I107" s="86"/>
      <c r="J107" s="86"/>
      <c r="K107" s="86"/>
      <c r="L107" s="86"/>
      <c r="M107" s="86"/>
      <c r="N107" s="86"/>
      <c r="O107" s="86"/>
      <c r="P107" s="86"/>
      <c r="Q107" s="86"/>
      <c r="R107" s="86"/>
      <c r="S107" s="86"/>
      <c r="T107" s="25" t="s">
        <v>129</v>
      </c>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c r="AV107" s="23"/>
      <c r="AW107" s="23"/>
      <c r="AX107" s="23"/>
      <c r="AY107" s="23"/>
      <c r="AZ107" s="23"/>
      <c r="BA107" s="23"/>
      <c r="BB107" s="23"/>
      <c r="BC107" s="23"/>
      <c r="BD107" s="23"/>
      <c r="BE107" s="23"/>
      <c r="BF107" s="23"/>
      <c r="BG107" s="23"/>
      <c r="BH107" s="23"/>
      <c r="BI107" s="23"/>
      <c r="BJ107" s="23"/>
      <c r="BK107" s="23"/>
      <c r="BL107" s="23"/>
      <c r="BM107" s="23"/>
      <c r="BN107" s="23"/>
      <c r="BO107" s="23"/>
      <c r="BP107" s="23"/>
      <c r="BQ107" s="23"/>
      <c r="BR107" s="23"/>
      <c r="BS107" s="23"/>
      <c r="BT107" s="23"/>
      <c r="BU107" s="23"/>
      <c r="BV107" s="23"/>
      <c r="BW107" s="23"/>
      <c r="BX107" s="23"/>
      <c r="BY107" s="23"/>
      <c r="BZ107" s="23"/>
      <c r="CA107" s="23"/>
      <c r="CB107" s="23"/>
      <c r="CC107" s="23"/>
      <c r="CD107" s="24"/>
      <c r="CE107" s="4"/>
      <c r="CF107" s="15" t="s">
        <v>93</v>
      </c>
    </row>
    <row r="108" spans="1:84" ht="12" customHeight="1" x14ac:dyDescent="0.15">
      <c r="A108" s="3"/>
      <c r="B108" s="1"/>
      <c r="C108" s="1"/>
      <c r="D108" s="1"/>
      <c r="E108" s="1"/>
      <c r="F108" s="86" t="s">
        <v>11</v>
      </c>
      <c r="G108" s="86"/>
      <c r="H108" s="86"/>
      <c r="I108" s="86"/>
      <c r="J108" s="86"/>
      <c r="K108" s="86"/>
      <c r="L108" s="86"/>
      <c r="M108" s="86"/>
      <c r="N108" s="86"/>
      <c r="O108" s="86"/>
      <c r="P108" s="86"/>
      <c r="Q108" s="86"/>
      <c r="R108" s="86"/>
      <c r="S108" s="86"/>
      <c r="T108" s="25" t="s">
        <v>275</v>
      </c>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c r="AT108" s="23"/>
      <c r="AU108" s="23"/>
      <c r="AV108" s="23"/>
      <c r="AW108" s="23"/>
      <c r="AX108" s="23"/>
      <c r="AY108" s="23"/>
      <c r="AZ108" s="23"/>
      <c r="BA108" s="23"/>
      <c r="BB108" s="23"/>
      <c r="BC108" s="23"/>
      <c r="BD108" s="23"/>
      <c r="BE108" s="23"/>
      <c r="BF108" s="23"/>
      <c r="BG108" s="23"/>
      <c r="BH108" s="23"/>
      <c r="BI108" s="23"/>
      <c r="BJ108" s="23"/>
      <c r="BK108" s="23"/>
      <c r="BL108" s="23"/>
      <c r="BM108" s="23"/>
      <c r="BN108" s="23"/>
      <c r="BO108" s="23"/>
      <c r="BP108" s="23"/>
      <c r="BQ108" s="23"/>
      <c r="BR108" s="23"/>
      <c r="BS108" s="23"/>
      <c r="BT108" s="23"/>
      <c r="BU108" s="23"/>
      <c r="BV108" s="23"/>
      <c r="BW108" s="23"/>
      <c r="BX108" s="23"/>
      <c r="BY108" s="23"/>
      <c r="BZ108" s="23"/>
      <c r="CA108" s="23"/>
      <c r="CB108" s="23"/>
      <c r="CC108" s="23"/>
      <c r="CD108" s="24"/>
      <c r="CE108" s="4"/>
      <c r="CF108" s="15" t="s">
        <v>94</v>
      </c>
    </row>
    <row r="109" spans="1:84" ht="12" customHeight="1" x14ac:dyDescent="0.15">
      <c r="A109" s="3"/>
      <c r="B109" s="1"/>
      <c r="C109" s="1"/>
      <c r="D109" s="1"/>
      <c r="E109" s="1"/>
      <c r="F109" s="86" t="s">
        <v>12</v>
      </c>
      <c r="G109" s="86"/>
      <c r="H109" s="86"/>
      <c r="I109" s="86"/>
      <c r="J109" s="86"/>
      <c r="K109" s="86"/>
      <c r="L109" s="86"/>
      <c r="M109" s="86"/>
      <c r="N109" s="86"/>
      <c r="O109" s="86"/>
      <c r="P109" s="86"/>
      <c r="Q109" s="86"/>
      <c r="R109" s="86"/>
      <c r="S109" s="86"/>
      <c r="T109" s="25" t="s">
        <v>127</v>
      </c>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3"/>
      <c r="AV109" s="23"/>
      <c r="AW109" s="23"/>
      <c r="AX109" s="23"/>
      <c r="AY109" s="23"/>
      <c r="AZ109" s="23"/>
      <c r="BA109" s="23"/>
      <c r="BB109" s="23"/>
      <c r="BC109" s="23"/>
      <c r="BD109" s="23"/>
      <c r="BE109" s="23"/>
      <c r="BF109" s="23"/>
      <c r="BG109" s="23"/>
      <c r="BH109" s="23"/>
      <c r="BI109" s="23"/>
      <c r="BJ109" s="23"/>
      <c r="BK109" s="23"/>
      <c r="BL109" s="23"/>
      <c r="BM109" s="23"/>
      <c r="BN109" s="23"/>
      <c r="BO109" s="23"/>
      <c r="BP109" s="23"/>
      <c r="BQ109" s="23"/>
      <c r="BR109" s="23"/>
      <c r="BS109" s="23"/>
      <c r="BT109" s="23"/>
      <c r="BU109" s="23"/>
      <c r="BV109" s="23"/>
      <c r="BW109" s="23"/>
      <c r="BX109" s="23"/>
      <c r="BY109" s="23"/>
      <c r="BZ109" s="23"/>
      <c r="CA109" s="23"/>
      <c r="CB109" s="23"/>
      <c r="CC109" s="23"/>
      <c r="CD109" s="24"/>
      <c r="CE109" s="4"/>
      <c r="CF109" s="15" t="s">
        <v>95</v>
      </c>
    </row>
    <row r="110" spans="1:84" ht="12" customHeight="1" x14ac:dyDescent="0.15">
      <c r="A110" s="3"/>
      <c r="B110" s="1"/>
      <c r="C110" s="1"/>
      <c r="D110" s="1"/>
      <c r="E110" s="1"/>
      <c r="F110" s="86" t="s">
        <v>13</v>
      </c>
      <c r="G110" s="86"/>
      <c r="H110" s="86"/>
      <c r="I110" s="86"/>
      <c r="J110" s="86"/>
      <c r="K110" s="86"/>
      <c r="L110" s="86"/>
      <c r="M110" s="86"/>
      <c r="N110" s="86"/>
      <c r="O110" s="86"/>
      <c r="P110" s="86"/>
      <c r="Q110" s="86"/>
      <c r="R110" s="86"/>
      <c r="S110" s="86"/>
      <c r="T110" s="25" t="s">
        <v>128</v>
      </c>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c r="AS110" s="23"/>
      <c r="AT110" s="23"/>
      <c r="AU110" s="23"/>
      <c r="AV110" s="23"/>
      <c r="AW110" s="23"/>
      <c r="AX110" s="23"/>
      <c r="AY110" s="23"/>
      <c r="AZ110" s="23"/>
      <c r="BA110" s="23"/>
      <c r="BB110" s="23"/>
      <c r="BC110" s="23"/>
      <c r="BD110" s="23"/>
      <c r="BE110" s="23"/>
      <c r="BF110" s="23"/>
      <c r="BG110" s="23"/>
      <c r="BH110" s="23"/>
      <c r="BI110" s="23"/>
      <c r="BJ110" s="23"/>
      <c r="BK110" s="23"/>
      <c r="BL110" s="23"/>
      <c r="BM110" s="23"/>
      <c r="BN110" s="23"/>
      <c r="BO110" s="23"/>
      <c r="BP110" s="23"/>
      <c r="BQ110" s="23"/>
      <c r="BR110" s="23"/>
      <c r="BS110" s="23"/>
      <c r="BT110" s="23"/>
      <c r="BU110" s="23"/>
      <c r="BV110" s="23"/>
      <c r="BW110" s="23"/>
      <c r="BX110" s="23"/>
      <c r="BY110" s="23"/>
      <c r="BZ110" s="23"/>
      <c r="CA110" s="23"/>
      <c r="CB110" s="23"/>
      <c r="CC110" s="23"/>
      <c r="CD110" s="24"/>
      <c r="CE110" s="4"/>
      <c r="CF110" s="15" t="s">
        <v>96</v>
      </c>
    </row>
    <row r="111" spans="1:84" ht="12" customHeight="1" x14ac:dyDescent="0.15">
      <c r="A111" s="3"/>
      <c r="B111" s="1"/>
      <c r="C111" s="1"/>
      <c r="D111" s="1"/>
      <c r="E111" s="1"/>
      <c r="F111" s="86" t="s">
        <v>148</v>
      </c>
      <c r="G111" s="86"/>
      <c r="H111" s="86"/>
      <c r="I111" s="86"/>
      <c r="J111" s="86"/>
      <c r="K111" s="86"/>
      <c r="L111" s="86"/>
      <c r="M111" s="86"/>
      <c r="N111" s="86"/>
      <c r="O111" s="86"/>
      <c r="P111" s="86"/>
      <c r="Q111" s="86"/>
      <c r="R111" s="86"/>
      <c r="S111" s="86"/>
      <c r="T111" s="25" t="s">
        <v>126</v>
      </c>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S111" s="23"/>
      <c r="AT111" s="23"/>
      <c r="AU111" s="23"/>
      <c r="AV111" s="23"/>
      <c r="AW111" s="23"/>
      <c r="AX111" s="23"/>
      <c r="AY111" s="23"/>
      <c r="AZ111" s="23"/>
      <c r="BA111" s="23"/>
      <c r="BB111" s="23"/>
      <c r="BC111" s="23"/>
      <c r="BD111" s="23"/>
      <c r="BE111" s="23"/>
      <c r="BF111" s="23"/>
      <c r="BG111" s="23"/>
      <c r="BH111" s="23"/>
      <c r="BI111" s="23"/>
      <c r="BJ111" s="23"/>
      <c r="BK111" s="23"/>
      <c r="BL111" s="23"/>
      <c r="BM111" s="23"/>
      <c r="BN111" s="23"/>
      <c r="BO111" s="23"/>
      <c r="BP111" s="23"/>
      <c r="BQ111" s="23"/>
      <c r="BR111" s="23"/>
      <c r="BS111" s="23"/>
      <c r="BT111" s="23"/>
      <c r="BU111" s="23"/>
      <c r="BV111" s="23"/>
      <c r="BW111" s="23"/>
      <c r="BX111" s="23"/>
      <c r="BY111" s="23"/>
      <c r="BZ111" s="23"/>
      <c r="CA111" s="23"/>
      <c r="CB111" s="23"/>
      <c r="CC111" s="23"/>
      <c r="CD111" s="24"/>
      <c r="CE111" s="4"/>
      <c r="CF111" s="15" t="s">
        <v>97</v>
      </c>
    </row>
    <row r="112" spans="1:84" ht="12" customHeight="1" x14ac:dyDescent="0.15">
      <c r="A112" s="3"/>
      <c r="B112" s="1"/>
      <c r="C112" s="1"/>
      <c r="D112" s="1"/>
      <c r="E112" s="1"/>
      <c r="F112" s="86" t="s">
        <v>141</v>
      </c>
      <c r="G112" s="86"/>
      <c r="H112" s="86"/>
      <c r="I112" s="86"/>
      <c r="J112" s="86"/>
      <c r="K112" s="86"/>
      <c r="L112" s="86"/>
      <c r="M112" s="86"/>
      <c r="N112" s="86"/>
      <c r="O112" s="86"/>
      <c r="P112" s="86"/>
      <c r="Q112" s="86"/>
      <c r="R112" s="86"/>
      <c r="S112" s="86"/>
      <c r="T112" s="25" t="s">
        <v>282</v>
      </c>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c r="AS112" s="23"/>
      <c r="AT112" s="23"/>
      <c r="AU112" s="23"/>
      <c r="AV112" s="23"/>
      <c r="AW112" s="23"/>
      <c r="AX112" s="23"/>
      <c r="AY112" s="23"/>
      <c r="AZ112" s="23"/>
      <c r="BA112" s="23"/>
      <c r="BB112" s="23"/>
      <c r="BC112" s="23"/>
      <c r="BD112" s="23"/>
      <c r="BE112" s="23"/>
      <c r="BF112" s="23"/>
      <c r="BG112" s="23"/>
      <c r="BH112" s="23"/>
      <c r="BI112" s="23"/>
      <c r="BJ112" s="23"/>
      <c r="BK112" s="23"/>
      <c r="BL112" s="23"/>
      <c r="BM112" s="23"/>
      <c r="BN112" s="23"/>
      <c r="BO112" s="23"/>
      <c r="BP112" s="23"/>
      <c r="BQ112" s="23"/>
      <c r="BR112" s="23"/>
      <c r="BS112" s="23"/>
      <c r="BT112" s="23"/>
      <c r="BU112" s="23"/>
      <c r="BV112" s="23"/>
      <c r="BW112" s="23"/>
      <c r="BX112" s="23"/>
      <c r="BY112" s="23"/>
      <c r="BZ112" s="23"/>
      <c r="CA112" s="23"/>
      <c r="CB112" s="23"/>
      <c r="CC112" s="23"/>
      <c r="CD112" s="24"/>
      <c r="CE112" s="4"/>
      <c r="CF112" s="15" t="s">
        <v>98</v>
      </c>
    </row>
    <row r="113" spans="1:84" ht="12" customHeight="1" x14ac:dyDescent="0.15">
      <c r="A113" s="3"/>
      <c r="B113" s="1"/>
      <c r="C113" s="1"/>
      <c r="D113" s="1"/>
      <c r="E113" s="20"/>
      <c r="F113" s="20"/>
      <c r="G113" s="20"/>
      <c r="H113" s="20"/>
      <c r="I113" s="20"/>
      <c r="J113" s="20"/>
      <c r="K113" s="20"/>
      <c r="L113" s="20"/>
      <c r="M113" s="20"/>
      <c r="N113" s="20"/>
      <c r="O113" s="20"/>
      <c r="P113" s="20"/>
      <c r="Q113" s="20"/>
      <c r="R113" s="20"/>
      <c r="S113" s="20"/>
      <c r="T113" s="21"/>
      <c r="U113" s="21"/>
      <c r="V113" s="21"/>
      <c r="W113" s="21"/>
      <c r="X113" s="21"/>
      <c r="Y113" s="21"/>
      <c r="Z113" s="21"/>
      <c r="AA113" s="21"/>
      <c r="AB113" s="21"/>
      <c r="AC113" s="21"/>
      <c r="AD113" s="21"/>
      <c r="AE113" s="21"/>
      <c r="AF113" s="21"/>
      <c r="AG113" s="21"/>
      <c r="AH113" s="21"/>
      <c r="AI113" s="21"/>
      <c r="AJ113" s="21"/>
      <c r="AK113" s="21"/>
      <c r="AL113" s="21"/>
      <c r="AM113" s="21"/>
      <c r="AN113" s="21"/>
      <c r="AO113" s="21"/>
      <c r="AP113" s="21"/>
      <c r="AQ113" s="21"/>
      <c r="AR113" s="21"/>
      <c r="AS113" s="21"/>
      <c r="AT113" s="21"/>
      <c r="AU113" s="21"/>
      <c r="AV113" s="21"/>
      <c r="AW113" s="21"/>
      <c r="AX113" s="21"/>
      <c r="AY113" s="21"/>
      <c r="AZ113" s="21"/>
      <c r="BA113" s="21"/>
      <c r="BB113" s="21"/>
      <c r="BC113" s="21"/>
      <c r="BD113" s="21"/>
      <c r="BE113" s="21"/>
      <c r="BF113" s="21"/>
      <c r="BG113" s="21"/>
      <c r="BH113" s="21"/>
      <c r="BI113" s="21"/>
      <c r="BJ113" s="21"/>
      <c r="BK113" s="21"/>
      <c r="BL113" s="21"/>
      <c r="BM113" s="21"/>
      <c r="BN113" s="21"/>
      <c r="BO113" s="21"/>
      <c r="BP113" s="21"/>
      <c r="BQ113" s="21"/>
      <c r="BR113" s="21"/>
      <c r="BS113" s="21"/>
      <c r="BT113" s="21"/>
      <c r="BU113" s="21"/>
      <c r="BV113" s="21"/>
      <c r="BW113" s="21"/>
      <c r="BX113" s="21"/>
      <c r="BY113" s="21"/>
      <c r="BZ113" s="21"/>
      <c r="CA113" s="21"/>
      <c r="CB113" s="21"/>
      <c r="CC113" s="21"/>
      <c r="CD113" s="21"/>
      <c r="CE113" s="4"/>
      <c r="CF113" s="15" t="s">
        <v>99</v>
      </c>
    </row>
    <row r="114" spans="1:84" ht="12" customHeight="1" x14ac:dyDescent="0.15">
      <c r="A114" s="3"/>
      <c r="B114" s="1"/>
      <c r="C114" s="1"/>
      <c r="D114" s="1"/>
      <c r="E114" s="20" t="s">
        <v>283</v>
      </c>
      <c r="F114" s="20"/>
      <c r="G114" s="20"/>
      <c r="H114" s="20"/>
      <c r="I114" s="20"/>
      <c r="J114" s="20"/>
      <c r="K114" s="20"/>
      <c r="L114" s="20"/>
      <c r="M114" s="20"/>
      <c r="N114" s="20"/>
      <c r="O114" s="20"/>
      <c r="P114" s="20"/>
      <c r="Q114" s="20"/>
      <c r="R114" s="20"/>
      <c r="S114" s="20"/>
      <c r="T114" s="21"/>
      <c r="U114" s="21"/>
      <c r="V114" s="21"/>
      <c r="W114" s="21"/>
      <c r="X114" s="21"/>
      <c r="Y114" s="21"/>
      <c r="Z114" s="21"/>
      <c r="AA114" s="21"/>
      <c r="AB114" s="21"/>
      <c r="AC114" s="21"/>
      <c r="AD114" s="21"/>
      <c r="AE114" s="21"/>
      <c r="AF114" s="21"/>
      <c r="AG114" s="21"/>
      <c r="AH114" s="21"/>
      <c r="AI114" s="21"/>
      <c r="AJ114" s="21"/>
      <c r="AK114" s="21"/>
      <c r="AL114" s="21"/>
      <c r="AM114" s="21"/>
      <c r="AN114" s="21"/>
      <c r="AO114" s="21"/>
      <c r="AP114" s="21"/>
      <c r="AQ114" s="21"/>
      <c r="AR114" s="21"/>
      <c r="AS114" s="21"/>
      <c r="AT114" s="21"/>
      <c r="AU114" s="21"/>
      <c r="AV114" s="21"/>
      <c r="AW114" s="21"/>
      <c r="AX114" s="21"/>
      <c r="AY114" s="21"/>
      <c r="AZ114" s="21"/>
      <c r="BA114" s="21"/>
      <c r="BB114" s="21"/>
      <c r="BC114" s="21"/>
      <c r="BD114" s="21"/>
      <c r="BE114" s="21"/>
      <c r="BF114" s="21"/>
      <c r="BG114" s="21"/>
      <c r="BH114" s="21"/>
      <c r="BI114" s="21"/>
      <c r="BJ114" s="21"/>
      <c r="BK114" s="21"/>
      <c r="BL114" s="21"/>
      <c r="BM114" s="21"/>
      <c r="BN114" s="21"/>
      <c r="BO114" s="21"/>
      <c r="BP114" s="21"/>
      <c r="BQ114" s="21"/>
      <c r="BR114" s="21"/>
      <c r="BS114" s="21"/>
      <c r="BT114" s="21"/>
      <c r="BU114" s="21"/>
      <c r="BV114" s="21"/>
      <c r="BW114" s="21"/>
      <c r="BX114" s="21"/>
      <c r="BY114" s="21"/>
      <c r="BZ114" s="21"/>
      <c r="CA114" s="21"/>
      <c r="CB114" s="21"/>
      <c r="CC114" s="21"/>
      <c r="CD114" s="21"/>
      <c r="CE114" s="4"/>
      <c r="CF114" s="15" t="s">
        <v>100</v>
      </c>
    </row>
    <row r="115" spans="1:84" ht="12" customHeight="1" x14ac:dyDescent="0.15">
      <c r="A115" s="3"/>
      <c r="B115" s="1"/>
      <c r="C115" s="1"/>
      <c r="D115" s="1"/>
      <c r="E115" s="1"/>
      <c r="F115" s="83" t="s">
        <v>10</v>
      </c>
      <c r="G115" s="84"/>
      <c r="H115" s="84"/>
      <c r="I115" s="84"/>
      <c r="J115" s="84"/>
      <c r="K115" s="84"/>
      <c r="L115" s="84"/>
      <c r="M115" s="84"/>
      <c r="N115" s="84"/>
      <c r="O115" s="84"/>
      <c r="P115" s="84"/>
      <c r="Q115" s="84"/>
      <c r="R115" s="84"/>
      <c r="S115" s="85"/>
      <c r="T115" s="25" t="s">
        <v>232</v>
      </c>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c r="AS115" s="23"/>
      <c r="AT115" s="23"/>
      <c r="AU115" s="23"/>
      <c r="AV115" s="23"/>
      <c r="AW115" s="23"/>
      <c r="AX115" s="23"/>
      <c r="AY115" s="23"/>
      <c r="AZ115" s="23"/>
      <c r="BA115" s="23"/>
      <c r="BB115" s="23"/>
      <c r="BC115" s="23"/>
      <c r="BD115" s="23"/>
      <c r="BE115" s="23"/>
      <c r="BF115" s="23"/>
      <c r="BG115" s="23"/>
      <c r="BH115" s="23"/>
      <c r="BI115" s="23"/>
      <c r="BJ115" s="23"/>
      <c r="BK115" s="23"/>
      <c r="BL115" s="23"/>
      <c r="BM115" s="23"/>
      <c r="BN115" s="23"/>
      <c r="BO115" s="23"/>
      <c r="BP115" s="23"/>
      <c r="BQ115" s="23"/>
      <c r="BR115" s="23"/>
      <c r="BS115" s="23"/>
      <c r="BT115" s="23"/>
      <c r="BU115" s="23"/>
      <c r="BV115" s="23"/>
      <c r="BW115" s="23"/>
      <c r="BX115" s="23"/>
      <c r="BY115" s="23"/>
      <c r="BZ115" s="23"/>
      <c r="CA115" s="23"/>
      <c r="CB115" s="23"/>
      <c r="CC115" s="23"/>
      <c r="CD115" s="24"/>
      <c r="CE115" s="4"/>
      <c r="CF115" s="15" t="s">
        <v>101</v>
      </c>
    </row>
    <row r="116" spans="1:84" ht="12" customHeight="1" x14ac:dyDescent="0.15">
      <c r="A116" s="3"/>
      <c r="B116" s="1"/>
      <c r="C116" s="1"/>
      <c r="D116" s="1"/>
      <c r="E116" s="1"/>
      <c r="F116" s="83" t="s">
        <v>130</v>
      </c>
      <c r="G116" s="84"/>
      <c r="H116" s="84"/>
      <c r="I116" s="84"/>
      <c r="J116" s="84"/>
      <c r="K116" s="84"/>
      <c r="L116" s="84"/>
      <c r="M116" s="84"/>
      <c r="N116" s="84"/>
      <c r="O116" s="84"/>
      <c r="P116" s="84"/>
      <c r="Q116" s="84"/>
      <c r="R116" s="84"/>
      <c r="S116" s="85"/>
      <c r="T116" s="25" t="s">
        <v>221</v>
      </c>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c r="AS116" s="23"/>
      <c r="AT116" s="23"/>
      <c r="AU116" s="23"/>
      <c r="AV116" s="23"/>
      <c r="AW116" s="23"/>
      <c r="AX116" s="23"/>
      <c r="AY116" s="23"/>
      <c r="AZ116" s="23"/>
      <c r="BA116" s="23"/>
      <c r="BB116" s="23"/>
      <c r="BC116" s="23"/>
      <c r="BD116" s="23"/>
      <c r="BE116" s="23"/>
      <c r="BF116" s="23"/>
      <c r="BG116" s="23"/>
      <c r="BH116" s="23"/>
      <c r="BI116" s="23"/>
      <c r="BJ116" s="23"/>
      <c r="BK116" s="23"/>
      <c r="BL116" s="23"/>
      <c r="BM116" s="23"/>
      <c r="BN116" s="23"/>
      <c r="BO116" s="23"/>
      <c r="BP116" s="23"/>
      <c r="BQ116" s="23"/>
      <c r="BR116" s="23"/>
      <c r="BS116" s="23"/>
      <c r="BT116" s="23"/>
      <c r="BU116" s="23"/>
      <c r="BV116" s="23"/>
      <c r="BW116" s="23"/>
      <c r="BX116" s="23"/>
      <c r="BY116" s="23"/>
      <c r="BZ116" s="23"/>
      <c r="CA116" s="23"/>
      <c r="CB116" s="23"/>
      <c r="CC116" s="23"/>
      <c r="CD116" s="24"/>
      <c r="CE116" s="4"/>
      <c r="CF116" s="15" t="s">
        <v>102</v>
      </c>
    </row>
    <row r="117" spans="1:84" ht="13.5" customHeight="1" x14ac:dyDescent="0.15">
      <c r="A117" s="3"/>
      <c r="B117" s="1"/>
      <c r="C117" s="1"/>
      <c r="D117" s="1"/>
      <c r="E117" s="1"/>
      <c r="F117" s="83" t="s">
        <v>131</v>
      </c>
      <c r="G117" s="84"/>
      <c r="H117" s="84"/>
      <c r="I117" s="84"/>
      <c r="J117" s="84"/>
      <c r="K117" s="84"/>
      <c r="L117" s="84"/>
      <c r="M117" s="84"/>
      <c r="N117" s="84"/>
      <c r="O117" s="84"/>
      <c r="P117" s="84"/>
      <c r="Q117" s="84"/>
      <c r="R117" s="84"/>
      <c r="S117" s="85"/>
      <c r="T117" s="25" t="s">
        <v>221</v>
      </c>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c r="AQ117" s="23"/>
      <c r="AR117" s="23"/>
      <c r="AS117" s="23"/>
      <c r="AT117" s="23"/>
      <c r="AU117" s="23"/>
      <c r="AV117" s="23"/>
      <c r="AW117" s="23"/>
      <c r="AX117" s="23"/>
      <c r="AY117" s="23"/>
      <c r="AZ117" s="23"/>
      <c r="BA117" s="23"/>
      <c r="BB117" s="23"/>
      <c r="BC117" s="23"/>
      <c r="BD117" s="23"/>
      <c r="BE117" s="23"/>
      <c r="BF117" s="23"/>
      <c r="BG117" s="23"/>
      <c r="BH117" s="23"/>
      <c r="BI117" s="23"/>
      <c r="BJ117" s="23"/>
      <c r="BK117" s="23"/>
      <c r="BL117" s="23"/>
      <c r="BM117" s="23"/>
      <c r="BN117" s="23"/>
      <c r="BO117" s="23"/>
      <c r="BP117" s="23"/>
      <c r="BQ117" s="23"/>
      <c r="BR117" s="23"/>
      <c r="BS117" s="23"/>
      <c r="BT117" s="23"/>
      <c r="BU117" s="23"/>
      <c r="BV117" s="23"/>
      <c r="BW117" s="23"/>
      <c r="BX117" s="23"/>
      <c r="BY117" s="23"/>
      <c r="BZ117" s="23"/>
      <c r="CA117" s="23"/>
      <c r="CB117" s="23"/>
      <c r="CC117" s="23"/>
      <c r="CD117" s="24"/>
      <c r="CE117" s="4"/>
      <c r="CF117" s="15" t="s">
        <v>103</v>
      </c>
    </row>
    <row r="118" spans="1:84" ht="12" customHeight="1" x14ac:dyDescent="0.15">
      <c r="A118" s="3"/>
      <c r="B118" s="1"/>
      <c r="C118" s="1"/>
      <c r="D118" s="1"/>
      <c r="E118" s="1"/>
      <c r="F118" s="83" t="s">
        <v>203</v>
      </c>
      <c r="G118" s="84"/>
      <c r="H118" s="84"/>
      <c r="I118" s="84"/>
      <c r="J118" s="84"/>
      <c r="K118" s="84"/>
      <c r="L118" s="84"/>
      <c r="M118" s="84"/>
      <c r="N118" s="84"/>
      <c r="O118" s="84"/>
      <c r="P118" s="84"/>
      <c r="Q118" s="84"/>
      <c r="R118" s="84"/>
      <c r="S118" s="85"/>
      <c r="T118" s="25" t="s">
        <v>149</v>
      </c>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c r="AS118" s="23"/>
      <c r="AT118" s="23"/>
      <c r="AU118" s="23"/>
      <c r="AV118" s="23"/>
      <c r="AW118" s="23"/>
      <c r="AX118" s="23"/>
      <c r="AY118" s="23"/>
      <c r="AZ118" s="23"/>
      <c r="BA118" s="23"/>
      <c r="BB118" s="23"/>
      <c r="BC118" s="23"/>
      <c r="BD118" s="23"/>
      <c r="BE118" s="23"/>
      <c r="BF118" s="23"/>
      <c r="BG118" s="23"/>
      <c r="BH118" s="23"/>
      <c r="BI118" s="23"/>
      <c r="BJ118" s="23"/>
      <c r="BK118" s="23"/>
      <c r="BL118" s="23"/>
      <c r="BM118" s="23"/>
      <c r="BN118" s="23"/>
      <c r="BO118" s="23"/>
      <c r="BP118" s="23"/>
      <c r="BQ118" s="23"/>
      <c r="BR118" s="23"/>
      <c r="BS118" s="23"/>
      <c r="BT118" s="23"/>
      <c r="BU118" s="23"/>
      <c r="BV118" s="23"/>
      <c r="BW118" s="23"/>
      <c r="BX118" s="23"/>
      <c r="BY118" s="23"/>
      <c r="BZ118" s="23"/>
      <c r="CA118" s="23"/>
      <c r="CB118" s="23"/>
      <c r="CC118" s="23"/>
      <c r="CD118" s="24"/>
      <c r="CE118" s="4"/>
      <c r="CF118" s="15" t="s">
        <v>104</v>
      </c>
    </row>
    <row r="119" spans="1:84" ht="12" customHeight="1" x14ac:dyDescent="0.15">
      <c r="A119" s="32"/>
      <c r="B119" s="1"/>
      <c r="C119" s="1"/>
      <c r="D119" s="1"/>
      <c r="E119" s="1"/>
      <c r="F119" s="83" t="s">
        <v>11</v>
      </c>
      <c r="G119" s="84"/>
      <c r="H119" s="84"/>
      <c r="I119" s="84"/>
      <c r="J119" s="84"/>
      <c r="K119" s="84"/>
      <c r="L119" s="84"/>
      <c r="M119" s="84"/>
      <c r="N119" s="84"/>
      <c r="O119" s="84"/>
      <c r="P119" s="84"/>
      <c r="Q119" s="84"/>
      <c r="R119" s="84"/>
      <c r="S119" s="85"/>
      <c r="T119" s="25" t="s">
        <v>276</v>
      </c>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c r="AS119" s="23"/>
      <c r="AT119" s="23"/>
      <c r="AU119" s="23"/>
      <c r="AV119" s="23"/>
      <c r="AW119" s="23"/>
      <c r="AX119" s="23"/>
      <c r="AY119" s="23"/>
      <c r="AZ119" s="23"/>
      <c r="BA119" s="23"/>
      <c r="BB119" s="23"/>
      <c r="BC119" s="23"/>
      <c r="BD119" s="23"/>
      <c r="BE119" s="23"/>
      <c r="BF119" s="23"/>
      <c r="BG119" s="23"/>
      <c r="BH119" s="23"/>
      <c r="BI119" s="23"/>
      <c r="BJ119" s="23"/>
      <c r="BK119" s="23"/>
      <c r="BL119" s="23"/>
      <c r="BM119" s="23"/>
      <c r="BN119" s="23"/>
      <c r="BO119" s="23"/>
      <c r="BP119" s="23"/>
      <c r="BQ119" s="23"/>
      <c r="BR119" s="23"/>
      <c r="BS119" s="23"/>
      <c r="BT119" s="23"/>
      <c r="BU119" s="23"/>
      <c r="BV119" s="23"/>
      <c r="BW119" s="23"/>
      <c r="BX119" s="23"/>
      <c r="BY119" s="23"/>
      <c r="BZ119" s="23"/>
      <c r="CA119" s="23"/>
      <c r="CB119" s="23"/>
      <c r="CC119" s="23"/>
      <c r="CD119" s="24"/>
      <c r="CE119" s="4"/>
      <c r="CF119" s="15" t="s">
        <v>169</v>
      </c>
    </row>
    <row r="120" spans="1:84" ht="12" customHeight="1" x14ac:dyDescent="0.15">
      <c r="A120" s="32"/>
      <c r="B120" s="1"/>
      <c r="C120" s="1"/>
      <c r="D120" s="1"/>
      <c r="E120" s="1"/>
      <c r="F120" s="83" t="s">
        <v>12</v>
      </c>
      <c r="G120" s="84"/>
      <c r="H120" s="84"/>
      <c r="I120" s="84"/>
      <c r="J120" s="84"/>
      <c r="K120" s="84"/>
      <c r="L120" s="84"/>
      <c r="M120" s="84"/>
      <c r="N120" s="84"/>
      <c r="O120" s="84"/>
      <c r="P120" s="84"/>
      <c r="Q120" s="84"/>
      <c r="R120" s="84"/>
      <c r="S120" s="85"/>
      <c r="T120" s="29" t="s">
        <v>361</v>
      </c>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c r="AQ120" s="23"/>
      <c r="AR120" s="23"/>
      <c r="AS120" s="23"/>
      <c r="AT120" s="23"/>
      <c r="AU120" s="23"/>
      <c r="AV120" s="23"/>
      <c r="AW120" s="23"/>
      <c r="AX120" s="23"/>
      <c r="AY120" s="23"/>
      <c r="AZ120" s="23"/>
      <c r="BA120" s="23"/>
      <c r="BB120" s="23"/>
      <c r="BC120" s="23"/>
      <c r="BD120" s="23"/>
      <c r="BE120" s="23"/>
      <c r="BF120" s="23"/>
      <c r="BG120" s="23"/>
      <c r="BH120" s="23"/>
      <c r="BI120" s="23"/>
      <c r="BJ120" s="23"/>
      <c r="BK120" s="23"/>
      <c r="BL120" s="23"/>
      <c r="BM120" s="23"/>
      <c r="BN120" s="23"/>
      <c r="BO120" s="23"/>
      <c r="BP120" s="23"/>
      <c r="BQ120" s="23"/>
      <c r="BR120" s="23"/>
      <c r="BS120" s="23"/>
      <c r="BT120" s="23"/>
      <c r="BU120" s="23"/>
      <c r="BV120" s="23"/>
      <c r="BW120" s="23"/>
      <c r="BX120" s="23"/>
      <c r="BY120" s="23"/>
      <c r="BZ120" s="23"/>
      <c r="CA120" s="23"/>
      <c r="CB120" s="23"/>
      <c r="CC120" s="23"/>
      <c r="CD120" s="24"/>
      <c r="CE120" s="4"/>
      <c r="CF120" s="15" t="s">
        <v>170</v>
      </c>
    </row>
    <row r="121" spans="1:84" ht="12" customHeight="1" x14ac:dyDescent="0.15">
      <c r="A121" s="32"/>
      <c r="B121" s="1"/>
      <c r="C121" s="1"/>
      <c r="D121" s="1"/>
      <c r="E121" s="1"/>
      <c r="F121" s="83" t="s">
        <v>13</v>
      </c>
      <c r="G121" s="84"/>
      <c r="H121" s="84"/>
      <c r="I121" s="84"/>
      <c r="J121" s="84"/>
      <c r="K121" s="84"/>
      <c r="L121" s="84"/>
      <c r="M121" s="84"/>
      <c r="N121" s="84"/>
      <c r="O121" s="84"/>
      <c r="P121" s="84"/>
      <c r="Q121" s="84"/>
      <c r="R121" s="84"/>
      <c r="S121" s="85"/>
      <c r="T121" s="25" t="s">
        <v>284</v>
      </c>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3"/>
      <c r="AR121" s="23"/>
      <c r="AS121" s="23"/>
      <c r="AT121" s="23"/>
      <c r="AU121" s="23"/>
      <c r="AV121" s="23"/>
      <c r="AW121" s="23"/>
      <c r="AX121" s="23"/>
      <c r="AY121" s="23"/>
      <c r="AZ121" s="23"/>
      <c r="BA121" s="23"/>
      <c r="BB121" s="23"/>
      <c r="BC121" s="23"/>
      <c r="BD121" s="23"/>
      <c r="BE121" s="23"/>
      <c r="BF121" s="23"/>
      <c r="BG121" s="23"/>
      <c r="BH121" s="23"/>
      <c r="BI121" s="23"/>
      <c r="BJ121" s="23"/>
      <c r="BK121" s="23"/>
      <c r="BL121" s="23"/>
      <c r="BM121" s="23"/>
      <c r="BN121" s="23"/>
      <c r="BO121" s="23"/>
      <c r="BP121" s="23"/>
      <c r="BQ121" s="23"/>
      <c r="BR121" s="23"/>
      <c r="BS121" s="23"/>
      <c r="BT121" s="23"/>
      <c r="BU121" s="23"/>
      <c r="BV121" s="23"/>
      <c r="BW121" s="23"/>
      <c r="BX121" s="23"/>
      <c r="BY121" s="23"/>
      <c r="BZ121" s="23"/>
      <c r="CA121" s="23"/>
      <c r="CB121" s="23"/>
      <c r="CC121" s="23"/>
      <c r="CD121" s="24"/>
      <c r="CE121" s="4"/>
      <c r="CF121" s="15" t="s">
        <v>105</v>
      </c>
    </row>
    <row r="122" spans="1:84" ht="12" customHeight="1" x14ac:dyDescent="0.15">
      <c r="A122" s="3"/>
      <c r="B122" s="1"/>
      <c r="C122" s="1"/>
      <c r="D122" s="1"/>
      <c r="E122" s="1"/>
      <c r="F122" s="83" t="s">
        <v>222</v>
      </c>
      <c r="G122" s="84"/>
      <c r="H122" s="84"/>
      <c r="I122" s="84"/>
      <c r="J122" s="84"/>
      <c r="K122" s="84"/>
      <c r="L122" s="84"/>
      <c r="M122" s="84"/>
      <c r="N122" s="84"/>
      <c r="O122" s="84"/>
      <c r="P122" s="84"/>
      <c r="Q122" s="84"/>
      <c r="R122" s="84"/>
      <c r="S122" s="85"/>
      <c r="T122" s="25" t="s">
        <v>126</v>
      </c>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c r="AQ122" s="23"/>
      <c r="AR122" s="23"/>
      <c r="AS122" s="23"/>
      <c r="AT122" s="23"/>
      <c r="AU122" s="23"/>
      <c r="AV122" s="23"/>
      <c r="AW122" s="23"/>
      <c r="AX122" s="23"/>
      <c r="AY122" s="23"/>
      <c r="AZ122" s="23"/>
      <c r="BA122" s="23"/>
      <c r="BB122" s="23"/>
      <c r="BC122" s="23"/>
      <c r="BD122" s="23"/>
      <c r="BE122" s="23"/>
      <c r="BF122" s="23"/>
      <c r="BG122" s="23"/>
      <c r="BH122" s="23"/>
      <c r="BI122" s="23"/>
      <c r="BJ122" s="23"/>
      <c r="BK122" s="23"/>
      <c r="BL122" s="23"/>
      <c r="BM122" s="23"/>
      <c r="BN122" s="23"/>
      <c r="BO122" s="23"/>
      <c r="BP122" s="23"/>
      <c r="BQ122" s="23"/>
      <c r="BR122" s="23"/>
      <c r="BS122" s="23"/>
      <c r="BT122" s="23"/>
      <c r="BU122" s="23"/>
      <c r="BV122" s="23"/>
      <c r="BW122" s="23"/>
      <c r="BX122" s="23"/>
      <c r="BY122" s="23"/>
      <c r="BZ122" s="23"/>
      <c r="CA122" s="23"/>
      <c r="CB122" s="23"/>
      <c r="CC122" s="23"/>
      <c r="CD122" s="24"/>
      <c r="CE122" s="4"/>
      <c r="CF122" s="15" t="s">
        <v>171</v>
      </c>
    </row>
    <row r="123" spans="1:84" ht="12" customHeight="1" x14ac:dyDescent="0.15">
      <c r="A123" s="3"/>
      <c r="B123" s="1"/>
      <c r="C123" s="1"/>
      <c r="D123" s="1"/>
      <c r="E123" s="1"/>
      <c r="F123" s="83" t="s">
        <v>141</v>
      </c>
      <c r="G123" s="84"/>
      <c r="H123" s="84"/>
      <c r="I123" s="84"/>
      <c r="J123" s="84"/>
      <c r="K123" s="84"/>
      <c r="L123" s="84"/>
      <c r="M123" s="84"/>
      <c r="N123" s="84"/>
      <c r="O123" s="84"/>
      <c r="P123" s="84"/>
      <c r="Q123" s="84"/>
      <c r="R123" s="84"/>
      <c r="S123" s="85"/>
      <c r="T123" s="25" t="s">
        <v>285</v>
      </c>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c r="AQ123" s="23"/>
      <c r="AR123" s="23"/>
      <c r="AS123" s="23"/>
      <c r="AT123" s="23"/>
      <c r="AU123" s="23"/>
      <c r="AV123" s="23"/>
      <c r="AW123" s="23"/>
      <c r="AX123" s="23"/>
      <c r="AY123" s="23"/>
      <c r="AZ123" s="23"/>
      <c r="BA123" s="23"/>
      <c r="BB123" s="23"/>
      <c r="BC123" s="23"/>
      <c r="BD123" s="23"/>
      <c r="BE123" s="23"/>
      <c r="BF123" s="23"/>
      <c r="BG123" s="23"/>
      <c r="BH123" s="23"/>
      <c r="BI123" s="23"/>
      <c r="BJ123" s="23"/>
      <c r="BK123" s="23"/>
      <c r="BL123" s="23"/>
      <c r="BM123" s="23"/>
      <c r="BN123" s="23"/>
      <c r="BO123" s="23"/>
      <c r="BP123" s="23"/>
      <c r="BQ123" s="23"/>
      <c r="BR123" s="23"/>
      <c r="BS123" s="23"/>
      <c r="BT123" s="23"/>
      <c r="BU123" s="23"/>
      <c r="BV123" s="23"/>
      <c r="BW123" s="23"/>
      <c r="BX123" s="23"/>
      <c r="BY123" s="23"/>
      <c r="BZ123" s="23"/>
      <c r="CA123" s="23"/>
      <c r="CB123" s="23"/>
      <c r="CC123" s="23"/>
      <c r="CD123" s="24"/>
      <c r="CE123" s="4"/>
      <c r="CF123" s="15" t="s">
        <v>172</v>
      </c>
    </row>
    <row r="124" spans="1:84" ht="12" customHeight="1" x14ac:dyDescent="0.15">
      <c r="A124" s="3"/>
      <c r="B124" s="1"/>
      <c r="C124" s="1"/>
      <c r="D124" s="1"/>
      <c r="E124" s="20"/>
      <c r="F124" s="20"/>
      <c r="G124" s="20"/>
      <c r="H124" s="20"/>
      <c r="I124" s="20"/>
      <c r="J124" s="20"/>
      <c r="K124" s="20"/>
      <c r="L124" s="20"/>
      <c r="M124" s="20"/>
      <c r="N124" s="20"/>
      <c r="O124" s="20"/>
      <c r="P124" s="20"/>
      <c r="Q124" s="20"/>
      <c r="R124" s="20"/>
      <c r="S124" s="20"/>
      <c r="T124" s="21"/>
      <c r="U124" s="21"/>
      <c r="V124" s="21"/>
      <c r="W124" s="21"/>
      <c r="X124" s="21"/>
      <c r="Y124" s="21"/>
      <c r="Z124" s="21"/>
      <c r="AA124" s="21"/>
      <c r="AB124" s="21"/>
      <c r="AC124" s="21"/>
      <c r="AD124" s="21"/>
      <c r="AE124" s="21"/>
      <c r="AF124" s="21"/>
      <c r="AG124" s="21"/>
      <c r="AH124" s="21"/>
      <c r="AI124" s="21"/>
      <c r="AJ124" s="21"/>
      <c r="AK124" s="21"/>
      <c r="AL124" s="21"/>
      <c r="AM124" s="21"/>
      <c r="AN124" s="21"/>
      <c r="AO124" s="21"/>
      <c r="AP124" s="21"/>
      <c r="AQ124" s="21"/>
      <c r="AR124" s="21"/>
      <c r="AS124" s="21"/>
      <c r="AT124" s="21"/>
      <c r="AU124" s="21"/>
      <c r="AV124" s="21"/>
      <c r="AW124" s="21"/>
      <c r="AX124" s="21"/>
      <c r="AY124" s="21"/>
      <c r="AZ124" s="21"/>
      <c r="BA124" s="21"/>
      <c r="BB124" s="21"/>
      <c r="BC124" s="21"/>
      <c r="BD124" s="21"/>
      <c r="BE124" s="21"/>
      <c r="BF124" s="21"/>
      <c r="BG124" s="21"/>
      <c r="BH124" s="21"/>
      <c r="BI124" s="21"/>
      <c r="BJ124" s="21"/>
      <c r="BK124" s="21"/>
      <c r="BL124" s="21"/>
      <c r="BM124" s="21"/>
      <c r="BN124" s="21"/>
      <c r="BO124" s="21"/>
      <c r="BP124" s="21"/>
      <c r="BQ124" s="21"/>
      <c r="BR124" s="21"/>
      <c r="BS124" s="21"/>
      <c r="BT124" s="21"/>
      <c r="BU124" s="21"/>
      <c r="BV124" s="21"/>
      <c r="BW124" s="21"/>
      <c r="BX124" s="21"/>
      <c r="BY124" s="21"/>
      <c r="BZ124" s="21"/>
      <c r="CA124" s="21"/>
      <c r="CB124" s="21"/>
      <c r="CC124" s="21"/>
      <c r="CD124" s="21"/>
      <c r="CE124" s="4"/>
      <c r="CF124" s="15" t="s">
        <v>173</v>
      </c>
    </row>
    <row r="125" spans="1:84" ht="12" customHeight="1" x14ac:dyDescent="0.15">
      <c r="A125" s="3"/>
      <c r="B125" s="1"/>
      <c r="C125" s="1"/>
      <c r="D125" s="1"/>
      <c r="E125" s="20"/>
      <c r="F125" s="20"/>
      <c r="G125" s="20"/>
      <c r="H125" s="20"/>
      <c r="I125" s="20"/>
      <c r="J125" s="20"/>
      <c r="K125" s="20"/>
      <c r="L125" s="20"/>
      <c r="M125" s="20"/>
      <c r="N125" s="20"/>
      <c r="O125" s="20"/>
      <c r="P125" s="20"/>
      <c r="Q125" s="20"/>
      <c r="R125" s="20"/>
      <c r="S125" s="20"/>
      <c r="T125" s="21"/>
      <c r="U125" s="21"/>
      <c r="V125" s="21"/>
      <c r="W125" s="21"/>
      <c r="X125" s="21"/>
      <c r="Y125" s="21"/>
      <c r="Z125" s="21"/>
      <c r="AA125" s="21"/>
      <c r="AB125" s="21"/>
      <c r="AC125" s="21"/>
      <c r="AD125" s="21"/>
      <c r="AE125" s="21"/>
      <c r="AF125" s="21"/>
      <c r="AG125" s="21"/>
      <c r="AH125" s="21"/>
      <c r="AI125" s="21"/>
      <c r="AJ125" s="21"/>
      <c r="AK125" s="21"/>
      <c r="AL125" s="21"/>
      <c r="AM125" s="21"/>
      <c r="AN125" s="21"/>
      <c r="AO125" s="21"/>
      <c r="AP125" s="21"/>
      <c r="AQ125" s="21"/>
      <c r="AR125" s="21"/>
      <c r="AS125" s="21"/>
      <c r="AT125" s="21"/>
      <c r="AU125" s="21"/>
      <c r="AV125" s="21"/>
      <c r="AW125" s="21"/>
      <c r="AX125" s="21"/>
      <c r="AY125" s="21"/>
      <c r="AZ125" s="21"/>
      <c r="BA125" s="21"/>
      <c r="BB125" s="21"/>
      <c r="BC125" s="21"/>
      <c r="BD125" s="21"/>
      <c r="BE125" s="21"/>
      <c r="BF125" s="21"/>
      <c r="BG125" s="21"/>
      <c r="BH125" s="21"/>
      <c r="BI125" s="21"/>
      <c r="BJ125" s="21"/>
      <c r="BK125" s="21"/>
      <c r="BL125" s="21"/>
      <c r="BM125" s="21"/>
      <c r="BN125" s="21"/>
      <c r="BO125" s="21"/>
      <c r="BP125" s="21"/>
      <c r="BQ125" s="21"/>
      <c r="BR125" s="21"/>
      <c r="BS125" s="21"/>
      <c r="BT125" s="21"/>
      <c r="BU125" s="21"/>
      <c r="BV125" s="21"/>
      <c r="BW125" s="21"/>
      <c r="BX125" s="21"/>
      <c r="BY125" s="21"/>
      <c r="BZ125" s="21"/>
      <c r="CA125" s="21"/>
      <c r="CB125" s="21"/>
      <c r="CC125" s="21"/>
      <c r="CD125" s="21"/>
      <c r="CE125" s="4"/>
      <c r="CF125" s="15" t="s">
        <v>174</v>
      </c>
    </row>
    <row r="126" spans="1:84" ht="12" customHeight="1" x14ac:dyDescent="0.15">
      <c r="A126" s="3"/>
      <c r="B126" s="1"/>
      <c r="C126" s="1"/>
      <c r="D126" s="1"/>
      <c r="E126" s="20"/>
      <c r="F126" s="20"/>
      <c r="G126" s="20"/>
      <c r="H126" s="20"/>
      <c r="I126" s="20"/>
      <c r="J126" s="20"/>
      <c r="K126" s="20"/>
      <c r="L126" s="20"/>
      <c r="M126" s="20"/>
      <c r="N126" s="20"/>
      <c r="O126" s="20"/>
      <c r="P126" s="20"/>
      <c r="Q126" s="20"/>
      <c r="R126" s="20"/>
      <c r="S126" s="20"/>
      <c r="T126" s="21"/>
      <c r="U126" s="21"/>
      <c r="V126" s="21"/>
      <c r="W126" s="21"/>
      <c r="X126" s="21"/>
      <c r="Y126" s="21"/>
      <c r="Z126" s="21"/>
      <c r="AA126" s="21"/>
      <c r="AB126" s="21"/>
      <c r="AC126" s="21"/>
      <c r="AD126" s="21"/>
      <c r="AE126" s="21"/>
      <c r="AF126" s="21"/>
      <c r="AG126" s="21"/>
      <c r="AH126" s="21"/>
      <c r="AI126" s="21"/>
      <c r="AJ126" s="21"/>
      <c r="AK126" s="21"/>
      <c r="AL126" s="21"/>
      <c r="AM126" s="21"/>
      <c r="AN126" s="21"/>
      <c r="AO126" s="21"/>
      <c r="AP126" s="21"/>
      <c r="AQ126" s="21"/>
      <c r="AR126" s="21"/>
      <c r="AS126" s="21"/>
      <c r="AT126" s="21"/>
      <c r="AU126" s="21"/>
      <c r="AV126" s="21"/>
      <c r="AW126" s="21"/>
      <c r="AX126" s="21"/>
      <c r="AY126" s="21"/>
      <c r="AZ126" s="21"/>
      <c r="BA126" s="21"/>
      <c r="BB126" s="21"/>
      <c r="BC126" s="21"/>
      <c r="BD126" s="21"/>
      <c r="BE126" s="21"/>
      <c r="BF126" s="21"/>
      <c r="BG126" s="21"/>
      <c r="BH126" s="21"/>
      <c r="BI126" s="21"/>
      <c r="BJ126" s="21"/>
      <c r="BK126" s="21"/>
      <c r="BL126" s="21"/>
      <c r="BM126" s="21"/>
      <c r="BN126" s="21"/>
      <c r="BO126" s="21"/>
      <c r="BP126" s="21"/>
      <c r="BQ126" s="21"/>
      <c r="BR126" s="21"/>
      <c r="BS126" s="21"/>
      <c r="BT126" s="21"/>
      <c r="BU126" s="21"/>
      <c r="BV126" s="21"/>
      <c r="BW126" s="21"/>
      <c r="BX126" s="21"/>
      <c r="BY126" s="21"/>
      <c r="BZ126" s="21"/>
      <c r="CA126" s="21"/>
      <c r="CB126" s="21"/>
      <c r="CC126" s="21"/>
      <c r="CD126" s="21"/>
      <c r="CE126" s="4"/>
      <c r="CF126" s="15" t="s">
        <v>175</v>
      </c>
    </row>
    <row r="127" spans="1:84" ht="12" customHeight="1" thickBot="1" x14ac:dyDescent="0.2">
      <c r="A127" s="16"/>
      <c r="B127" s="17"/>
      <c r="C127" s="17"/>
      <c r="D127" s="17"/>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c r="BI127" s="18"/>
      <c r="BJ127" s="18"/>
      <c r="BK127" s="18"/>
      <c r="BL127" s="18"/>
      <c r="BM127" s="18"/>
      <c r="BN127" s="18"/>
      <c r="BO127" s="18"/>
      <c r="BP127" s="18"/>
      <c r="BQ127" s="18"/>
      <c r="BR127" s="18"/>
      <c r="BS127" s="18"/>
      <c r="BT127" s="18"/>
      <c r="BU127" s="18"/>
      <c r="BV127" s="18"/>
      <c r="BW127" s="18"/>
      <c r="BX127" s="18"/>
      <c r="BY127" s="18"/>
      <c r="BZ127" s="18"/>
      <c r="CA127" s="18"/>
      <c r="CB127" s="18"/>
      <c r="CC127" s="18"/>
      <c r="CD127" s="18"/>
      <c r="CE127" s="19"/>
      <c r="CF127" s="15" t="s">
        <v>176</v>
      </c>
    </row>
    <row r="128" spans="1:84" ht="12" customHeight="1" x14ac:dyDescent="0.15">
      <c r="A128" s="12"/>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13"/>
      <c r="AG128" s="13"/>
      <c r="AH128" s="13"/>
      <c r="AI128" s="13"/>
      <c r="AJ128" s="13"/>
      <c r="AK128" s="13"/>
      <c r="AL128" s="13"/>
      <c r="AM128" s="13"/>
      <c r="AN128" s="13"/>
      <c r="AO128" s="13"/>
      <c r="AP128" s="13"/>
      <c r="AQ128" s="13"/>
      <c r="AR128" s="13"/>
      <c r="AS128" s="13"/>
      <c r="AT128" s="13"/>
      <c r="AU128" s="13"/>
      <c r="AV128" s="13"/>
      <c r="AW128" s="13"/>
      <c r="AX128" s="13"/>
      <c r="AY128" s="13"/>
      <c r="AZ128" s="13"/>
      <c r="BA128" s="13"/>
      <c r="BB128" s="13"/>
      <c r="BC128" s="13"/>
      <c r="BD128" s="13"/>
      <c r="BE128" s="13"/>
      <c r="BF128" s="13"/>
      <c r="BG128" s="13"/>
      <c r="BH128" s="13"/>
      <c r="BI128" s="13"/>
      <c r="BJ128" s="13"/>
      <c r="BK128" s="13"/>
      <c r="BL128" s="13"/>
      <c r="BM128" s="13"/>
      <c r="BN128" s="13"/>
      <c r="BO128" s="13"/>
      <c r="BP128" s="13"/>
      <c r="BQ128" s="13"/>
      <c r="BR128" s="13"/>
      <c r="BS128" s="13"/>
      <c r="BT128" s="13"/>
      <c r="BU128" s="13"/>
      <c r="BV128" s="13"/>
      <c r="BW128" s="13"/>
      <c r="BX128" s="13"/>
      <c r="BY128" s="13"/>
      <c r="BZ128" s="13"/>
      <c r="CA128" s="13"/>
      <c r="CB128" s="13"/>
      <c r="CC128" s="13"/>
      <c r="CD128" s="13"/>
      <c r="CE128" s="14"/>
      <c r="CF128" s="15" t="s">
        <v>106</v>
      </c>
    </row>
    <row r="129" spans="1:84" ht="12" customHeight="1" x14ac:dyDescent="0.15">
      <c r="A129" s="3"/>
      <c r="B129" s="1"/>
      <c r="C129" s="1"/>
      <c r="D129" s="1"/>
      <c r="E129" s="20" t="s">
        <v>286</v>
      </c>
      <c r="F129" s="20"/>
      <c r="G129" s="20"/>
      <c r="H129" s="20"/>
      <c r="I129" s="20"/>
      <c r="J129" s="20"/>
      <c r="K129" s="20"/>
      <c r="L129" s="20"/>
      <c r="M129" s="20"/>
      <c r="N129" s="20"/>
      <c r="O129" s="20"/>
      <c r="P129" s="20"/>
      <c r="Q129" s="20"/>
      <c r="R129" s="20"/>
      <c r="S129" s="20"/>
      <c r="T129" s="21"/>
      <c r="U129" s="21"/>
      <c r="V129" s="21"/>
      <c r="W129" s="21"/>
      <c r="X129" s="21"/>
      <c r="Y129" s="21"/>
      <c r="Z129" s="21"/>
      <c r="AA129" s="21"/>
      <c r="AB129" s="21"/>
      <c r="AC129" s="21"/>
      <c r="AD129" s="21"/>
      <c r="AE129" s="21"/>
      <c r="AF129" s="21"/>
      <c r="AG129" s="21"/>
      <c r="AH129" s="21"/>
      <c r="AI129" s="21"/>
      <c r="AJ129" s="21"/>
      <c r="AK129" s="21"/>
      <c r="AL129" s="21"/>
      <c r="AM129" s="21"/>
      <c r="AN129" s="21"/>
      <c r="AO129" s="21"/>
      <c r="AP129" s="21"/>
      <c r="AQ129" s="21"/>
      <c r="AR129" s="21"/>
      <c r="AS129" s="21"/>
      <c r="AT129" s="21"/>
      <c r="AU129" s="21"/>
      <c r="AV129" s="21"/>
      <c r="AW129" s="21"/>
      <c r="AX129" s="21"/>
      <c r="AY129" s="21"/>
      <c r="AZ129" s="21"/>
      <c r="BA129" s="21"/>
      <c r="BB129" s="21"/>
      <c r="BC129" s="21"/>
      <c r="BD129" s="21"/>
      <c r="BE129" s="21"/>
      <c r="BF129" s="21"/>
      <c r="BG129" s="21"/>
      <c r="BH129" s="21"/>
      <c r="BI129" s="21"/>
      <c r="BJ129" s="21"/>
      <c r="BK129" s="21"/>
      <c r="BL129" s="21"/>
      <c r="BM129" s="21"/>
      <c r="BN129" s="21"/>
      <c r="BO129" s="21"/>
      <c r="BP129" s="21"/>
      <c r="BQ129" s="21"/>
      <c r="BR129" s="21"/>
      <c r="BS129" s="21"/>
      <c r="BT129" s="21"/>
      <c r="BU129" s="21"/>
      <c r="BV129" s="21"/>
      <c r="BW129" s="21"/>
      <c r="BX129" s="21"/>
      <c r="BY129" s="21"/>
      <c r="BZ129" s="21"/>
      <c r="CA129" s="21"/>
      <c r="CB129" s="21"/>
      <c r="CC129" s="21"/>
      <c r="CD129" s="21"/>
      <c r="CE129" s="4"/>
      <c r="CF129" s="15" t="s">
        <v>107</v>
      </c>
    </row>
    <row r="130" spans="1:84" ht="12" customHeight="1" x14ac:dyDescent="0.15">
      <c r="A130" s="3"/>
      <c r="B130" s="1"/>
      <c r="C130" s="1"/>
      <c r="D130" s="1"/>
      <c r="E130" s="1"/>
      <c r="F130" s="83" t="s">
        <v>10</v>
      </c>
      <c r="G130" s="84"/>
      <c r="H130" s="84"/>
      <c r="I130" s="84"/>
      <c r="J130" s="84"/>
      <c r="K130" s="84"/>
      <c r="L130" s="84"/>
      <c r="M130" s="84"/>
      <c r="N130" s="84"/>
      <c r="O130" s="84"/>
      <c r="P130" s="84"/>
      <c r="Q130" s="84"/>
      <c r="R130" s="84"/>
      <c r="S130" s="85"/>
      <c r="T130" s="25" t="s">
        <v>232</v>
      </c>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c r="AQ130" s="23"/>
      <c r="AR130" s="23"/>
      <c r="AS130" s="23"/>
      <c r="AT130" s="23"/>
      <c r="AU130" s="23"/>
      <c r="AV130" s="23"/>
      <c r="AW130" s="23"/>
      <c r="AX130" s="23"/>
      <c r="AY130" s="23"/>
      <c r="AZ130" s="23"/>
      <c r="BA130" s="23"/>
      <c r="BB130" s="23"/>
      <c r="BC130" s="23"/>
      <c r="BD130" s="23"/>
      <c r="BE130" s="23"/>
      <c r="BF130" s="23"/>
      <c r="BG130" s="23"/>
      <c r="BH130" s="23"/>
      <c r="BI130" s="23"/>
      <c r="BJ130" s="23"/>
      <c r="BK130" s="23"/>
      <c r="BL130" s="23"/>
      <c r="BM130" s="23"/>
      <c r="BN130" s="23"/>
      <c r="BO130" s="23"/>
      <c r="BP130" s="23"/>
      <c r="BQ130" s="23"/>
      <c r="BR130" s="23"/>
      <c r="BS130" s="23"/>
      <c r="BT130" s="23"/>
      <c r="BU130" s="23"/>
      <c r="BV130" s="23"/>
      <c r="BW130" s="23"/>
      <c r="BX130" s="23"/>
      <c r="BY130" s="23"/>
      <c r="BZ130" s="23"/>
      <c r="CA130" s="23"/>
      <c r="CB130" s="23"/>
      <c r="CC130" s="23"/>
      <c r="CD130" s="24"/>
      <c r="CE130" s="4"/>
      <c r="CF130" s="15" t="s">
        <v>108</v>
      </c>
    </row>
    <row r="131" spans="1:84" ht="12" customHeight="1" x14ac:dyDescent="0.15">
      <c r="A131" s="3"/>
      <c r="B131" s="1"/>
      <c r="C131" s="1"/>
      <c r="D131" s="1"/>
      <c r="E131" s="1"/>
      <c r="F131" s="83" t="s">
        <v>16</v>
      </c>
      <c r="G131" s="84"/>
      <c r="H131" s="84"/>
      <c r="I131" s="84"/>
      <c r="J131" s="84"/>
      <c r="K131" s="84"/>
      <c r="L131" s="84"/>
      <c r="M131" s="84"/>
      <c r="N131" s="84"/>
      <c r="O131" s="84"/>
      <c r="P131" s="84"/>
      <c r="Q131" s="84"/>
      <c r="R131" s="84"/>
      <c r="S131" s="85"/>
      <c r="T131" s="25" t="s">
        <v>124</v>
      </c>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c r="AQ131" s="23"/>
      <c r="AR131" s="23"/>
      <c r="AS131" s="23"/>
      <c r="AT131" s="23"/>
      <c r="AU131" s="23"/>
      <c r="AV131" s="23"/>
      <c r="AW131" s="23"/>
      <c r="AX131" s="23"/>
      <c r="AY131" s="23"/>
      <c r="AZ131" s="23"/>
      <c r="BA131" s="23"/>
      <c r="BB131" s="23"/>
      <c r="BC131" s="23"/>
      <c r="BD131" s="23"/>
      <c r="BE131" s="23"/>
      <c r="BF131" s="23"/>
      <c r="BG131" s="23"/>
      <c r="BH131" s="23"/>
      <c r="BI131" s="23"/>
      <c r="BJ131" s="23"/>
      <c r="BK131" s="23"/>
      <c r="BL131" s="23"/>
      <c r="BM131" s="23"/>
      <c r="BN131" s="23"/>
      <c r="BO131" s="23"/>
      <c r="BP131" s="23"/>
      <c r="BQ131" s="23"/>
      <c r="BR131" s="23"/>
      <c r="BS131" s="23"/>
      <c r="BT131" s="23"/>
      <c r="BU131" s="23"/>
      <c r="BV131" s="23"/>
      <c r="BW131" s="23"/>
      <c r="BX131" s="23"/>
      <c r="BY131" s="23"/>
      <c r="BZ131" s="23"/>
      <c r="CA131" s="23"/>
      <c r="CB131" s="23"/>
      <c r="CC131" s="23"/>
      <c r="CD131" s="24"/>
      <c r="CE131" s="4"/>
      <c r="CF131" s="15" t="s">
        <v>109</v>
      </c>
    </row>
    <row r="132" spans="1:84" ht="12" customHeight="1" x14ac:dyDescent="0.15">
      <c r="A132" s="3"/>
      <c r="B132" s="1"/>
      <c r="C132" s="1"/>
      <c r="D132" s="1"/>
      <c r="E132" s="1"/>
      <c r="F132" s="83" t="s">
        <v>15</v>
      </c>
      <c r="G132" s="84"/>
      <c r="H132" s="84"/>
      <c r="I132" s="84"/>
      <c r="J132" s="84"/>
      <c r="K132" s="84"/>
      <c r="L132" s="84"/>
      <c r="M132" s="84"/>
      <c r="N132" s="84"/>
      <c r="O132" s="84"/>
      <c r="P132" s="84"/>
      <c r="Q132" s="84"/>
      <c r="R132" s="84"/>
      <c r="S132" s="85"/>
      <c r="T132" s="25" t="s">
        <v>124</v>
      </c>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c r="AQ132" s="23"/>
      <c r="AR132" s="23"/>
      <c r="AS132" s="23"/>
      <c r="AT132" s="23"/>
      <c r="AU132" s="23"/>
      <c r="AV132" s="23"/>
      <c r="AW132" s="23"/>
      <c r="AX132" s="23"/>
      <c r="AY132" s="23"/>
      <c r="AZ132" s="23"/>
      <c r="BA132" s="23"/>
      <c r="BB132" s="23"/>
      <c r="BC132" s="23"/>
      <c r="BD132" s="23"/>
      <c r="BE132" s="23"/>
      <c r="BF132" s="23"/>
      <c r="BG132" s="23"/>
      <c r="BH132" s="23"/>
      <c r="BI132" s="23"/>
      <c r="BJ132" s="23"/>
      <c r="BK132" s="23"/>
      <c r="BL132" s="23"/>
      <c r="BM132" s="23"/>
      <c r="BN132" s="23"/>
      <c r="BO132" s="23"/>
      <c r="BP132" s="23"/>
      <c r="BQ132" s="23"/>
      <c r="BR132" s="23"/>
      <c r="BS132" s="23"/>
      <c r="BT132" s="23"/>
      <c r="BU132" s="23"/>
      <c r="BV132" s="23"/>
      <c r="BW132" s="23"/>
      <c r="BX132" s="23"/>
      <c r="BY132" s="23"/>
      <c r="BZ132" s="23"/>
      <c r="CA132" s="23"/>
      <c r="CB132" s="23"/>
      <c r="CC132" s="23"/>
      <c r="CD132" s="24"/>
      <c r="CE132" s="4"/>
      <c r="CF132" s="15" t="s">
        <v>110</v>
      </c>
    </row>
    <row r="133" spans="1:84" ht="12" customHeight="1" x14ac:dyDescent="0.15">
      <c r="A133" s="3"/>
      <c r="B133" s="1"/>
      <c r="C133" s="1"/>
      <c r="D133" s="1"/>
      <c r="E133" s="1"/>
      <c r="F133" s="83" t="s">
        <v>203</v>
      </c>
      <c r="G133" s="84"/>
      <c r="H133" s="84"/>
      <c r="I133" s="84"/>
      <c r="J133" s="84"/>
      <c r="K133" s="84"/>
      <c r="L133" s="84"/>
      <c r="M133" s="84"/>
      <c r="N133" s="84"/>
      <c r="O133" s="84"/>
      <c r="P133" s="84"/>
      <c r="Q133" s="84"/>
      <c r="R133" s="84"/>
      <c r="S133" s="85"/>
      <c r="T133" s="25" t="s">
        <v>125</v>
      </c>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c r="AQ133" s="23"/>
      <c r="AR133" s="23"/>
      <c r="AS133" s="23"/>
      <c r="AT133" s="23"/>
      <c r="AU133" s="23"/>
      <c r="AV133" s="23"/>
      <c r="AW133" s="23"/>
      <c r="AX133" s="23"/>
      <c r="AY133" s="23"/>
      <c r="AZ133" s="23"/>
      <c r="BA133" s="23"/>
      <c r="BB133" s="23"/>
      <c r="BC133" s="23"/>
      <c r="BD133" s="23"/>
      <c r="BE133" s="23"/>
      <c r="BF133" s="23"/>
      <c r="BG133" s="23"/>
      <c r="BH133" s="23"/>
      <c r="BI133" s="23"/>
      <c r="BJ133" s="23"/>
      <c r="BK133" s="23"/>
      <c r="BL133" s="23"/>
      <c r="BM133" s="23"/>
      <c r="BN133" s="23"/>
      <c r="BO133" s="23"/>
      <c r="BP133" s="23"/>
      <c r="BQ133" s="23"/>
      <c r="BR133" s="23"/>
      <c r="BS133" s="23"/>
      <c r="BT133" s="23"/>
      <c r="BU133" s="23"/>
      <c r="BV133" s="23"/>
      <c r="BW133" s="23"/>
      <c r="BX133" s="23"/>
      <c r="BY133" s="23"/>
      <c r="BZ133" s="23"/>
      <c r="CA133" s="23"/>
      <c r="CB133" s="23"/>
      <c r="CC133" s="23"/>
      <c r="CD133" s="24"/>
      <c r="CE133" s="4"/>
      <c r="CF133" s="15" t="s">
        <v>111</v>
      </c>
    </row>
    <row r="134" spans="1:84" ht="12" customHeight="1" x14ac:dyDescent="0.15">
      <c r="A134" s="3"/>
      <c r="B134" s="1"/>
      <c r="C134" s="1"/>
      <c r="D134" s="1"/>
      <c r="E134" s="1"/>
      <c r="F134" s="83" t="s">
        <v>11</v>
      </c>
      <c r="G134" s="84"/>
      <c r="H134" s="84"/>
      <c r="I134" s="84"/>
      <c r="J134" s="84"/>
      <c r="K134" s="84"/>
      <c r="L134" s="84"/>
      <c r="M134" s="84"/>
      <c r="N134" s="84"/>
      <c r="O134" s="84"/>
      <c r="P134" s="84"/>
      <c r="Q134" s="84"/>
      <c r="R134" s="84"/>
      <c r="S134" s="85"/>
      <c r="T134" s="25" t="s">
        <v>147</v>
      </c>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c r="AQ134" s="23"/>
      <c r="AR134" s="23"/>
      <c r="AS134" s="23"/>
      <c r="AT134" s="23"/>
      <c r="AU134" s="23"/>
      <c r="AV134" s="23"/>
      <c r="AW134" s="23"/>
      <c r="AX134" s="23"/>
      <c r="AY134" s="23"/>
      <c r="AZ134" s="23"/>
      <c r="BA134" s="23"/>
      <c r="BB134" s="23"/>
      <c r="BC134" s="23"/>
      <c r="BD134" s="23"/>
      <c r="BE134" s="23"/>
      <c r="BF134" s="23"/>
      <c r="BG134" s="23"/>
      <c r="BH134" s="23"/>
      <c r="BI134" s="23"/>
      <c r="BJ134" s="23"/>
      <c r="BK134" s="23"/>
      <c r="BL134" s="23"/>
      <c r="BM134" s="23"/>
      <c r="BN134" s="23"/>
      <c r="BO134" s="23"/>
      <c r="BP134" s="23"/>
      <c r="BQ134" s="23"/>
      <c r="BR134" s="23"/>
      <c r="BS134" s="23"/>
      <c r="BT134" s="23"/>
      <c r="BU134" s="23"/>
      <c r="BV134" s="23"/>
      <c r="BW134" s="23"/>
      <c r="BX134" s="23"/>
      <c r="BY134" s="23"/>
      <c r="BZ134" s="23"/>
      <c r="CA134" s="23"/>
      <c r="CB134" s="23"/>
      <c r="CC134" s="23"/>
      <c r="CD134" s="24"/>
      <c r="CE134" s="4"/>
      <c r="CF134" s="15" t="s">
        <v>112</v>
      </c>
    </row>
    <row r="135" spans="1:84" ht="12" customHeight="1" x14ac:dyDescent="0.15">
      <c r="A135" s="3"/>
      <c r="B135" s="1"/>
      <c r="C135" s="1"/>
      <c r="D135" s="1"/>
      <c r="E135" s="1"/>
      <c r="F135" s="83" t="s">
        <v>12</v>
      </c>
      <c r="G135" s="84"/>
      <c r="H135" s="84"/>
      <c r="I135" s="84"/>
      <c r="J135" s="84"/>
      <c r="K135" s="84"/>
      <c r="L135" s="84"/>
      <c r="M135" s="84"/>
      <c r="N135" s="84"/>
      <c r="O135" s="84"/>
      <c r="P135" s="84"/>
      <c r="Q135" s="84"/>
      <c r="R135" s="84"/>
      <c r="S135" s="85"/>
      <c r="T135" s="28" t="s">
        <v>265</v>
      </c>
      <c r="U135" s="26"/>
      <c r="V135" s="26"/>
      <c r="W135" s="26"/>
      <c r="X135" s="26"/>
      <c r="Y135" s="26"/>
      <c r="Z135" s="26"/>
      <c r="AA135" s="26"/>
      <c r="AB135" s="26"/>
      <c r="AC135" s="26"/>
      <c r="AD135" s="26"/>
      <c r="AE135" s="26"/>
      <c r="AF135" s="26"/>
      <c r="AG135" s="26"/>
      <c r="AH135" s="26"/>
      <c r="AI135" s="26"/>
      <c r="AJ135" s="26"/>
      <c r="AK135" s="26"/>
      <c r="AL135" s="26"/>
      <c r="AM135" s="26"/>
      <c r="AN135" s="26"/>
      <c r="AO135" s="26"/>
      <c r="AP135" s="26"/>
      <c r="AQ135" s="26"/>
      <c r="AR135" s="26"/>
      <c r="AS135" s="26"/>
      <c r="AT135" s="26"/>
      <c r="AU135" s="26"/>
      <c r="AV135" s="26"/>
      <c r="AW135" s="26"/>
      <c r="AX135" s="26"/>
      <c r="AY135" s="26"/>
      <c r="AZ135" s="26"/>
      <c r="BA135" s="26"/>
      <c r="BB135" s="26"/>
      <c r="BC135" s="26"/>
      <c r="BD135" s="26"/>
      <c r="BE135" s="26"/>
      <c r="BF135" s="26"/>
      <c r="BG135" s="26"/>
      <c r="BH135" s="26"/>
      <c r="BI135" s="26"/>
      <c r="BJ135" s="26"/>
      <c r="BK135" s="26"/>
      <c r="BL135" s="26"/>
      <c r="BM135" s="26"/>
      <c r="BN135" s="26"/>
      <c r="BO135" s="26"/>
      <c r="BP135" s="26"/>
      <c r="BQ135" s="26"/>
      <c r="BR135" s="26"/>
      <c r="BS135" s="26"/>
      <c r="BT135" s="26"/>
      <c r="BU135" s="26"/>
      <c r="BV135" s="26"/>
      <c r="BW135" s="26"/>
      <c r="BX135" s="26"/>
      <c r="BY135" s="26"/>
      <c r="BZ135" s="26"/>
      <c r="CA135" s="26"/>
      <c r="CB135" s="26"/>
      <c r="CC135" s="26"/>
      <c r="CD135" s="27"/>
      <c r="CE135" s="4"/>
      <c r="CF135" s="15" t="s">
        <v>113</v>
      </c>
    </row>
    <row r="136" spans="1:84" ht="12" customHeight="1" x14ac:dyDescent="0.15">
      <c r="A136" s="3"/>
      <c r="B136" s="1"/>
      <c r="C136" s="1"/>
      <c r="D136" s="1"/>
      <c r="E136" s="1"/>
      <c r="F136" s="83" t="s">
        <v>13</v>
      </c>
      <c r="G136" s="84"/>
      <c r="H136" s="84"/>
      <c r="I136" s="84"/>
      <c r="J136" s="84"/>
      <c r="K136" s="84"/>
      <c r="L136" s="84"/>
      <c r="M136" s="84"/>
      <c r="N136" s="84"/>
      <c r="O136" s="84"/>
      <c r="P136" s="84"/>
      <c r="Q136" s="84"/>
      <c r="R136" s="84"/>
      <c r="S136" s="85"/>
      <c r="T136" s="25" t="s">
        <v>287</v>
      </c>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c r="AQ136" s="23"/>
      <c r="AR136" s="23"/>
      <c r="AS136" s="23"/>
      <c r="AT136" s="23"/>
      <c r="AU136" s="23"/>
      <c r="AV136" s="23"/>
      <c r="AW136" s="23"/>
      <c r="AX136" s="23"/>
      <c r="AY136" s="23"/>
      <c r="AZ136" s="23"/>
      <c r="BA136" s="23"/>
      <c r="BB136" s="23"/>
      <c r="BC136" s="23"/>
      <c r="BD136" s="23"/>
      <c r="BE136" s="23"/>
      <c r="BF136" s="23"/>
      <c r="BG136" s="23"/>
      <c r="BH136" s="23"/>
      <c r="BI136" s="23"/>
      <c r="BJ136" s="23"/>
      <c r="BK136" s="23"/>
      <c r="BL136" s="23"/>
      <c r="BM136" s="23"/>
      <c r="BN136" s="23"/>
      <c r="BO136" s="23"/>
      <c r="BP136" s="23"/>
      <c r="BQ136" s="23"/>
      <c r="BR136" s="23"/>
      <c r="BS136" s="23"/>
      <c r="BT136" s="23"/>
      <c r="BU136" s="23"/>
      <c r="BV136" s="23"/>
      <c r="BW136" s="23"/>
      <c r="BX136" s="23"/>
      <c r="BY136" s="23"/>
      <c r="BZ136" s="23"/>
      <c r="CA136" s="23"/>
      <c r="CB136" s="23"/>
      <c r="CC136" s="23"/>
      <c r="CD136" s="24"/>
      <c r="CE136" s="4"/>
      <c r="CF136" s="15" t="s">
        <v>114</v>
      </c>
    </row>
    <row r="137" spans="1:84" ht="12" customHeight="1" x14ac:dyDescent="0.15">
      <c r="A137" s="3"/>
      <c r="B137" s="1"/>
      <c r="C137" s="1"/>
      <c r="D137" s="1"/>
      <c r="E137" s="1"/>
      <c r="F137" s="83" t="s">
        <v>222</v>
      </c>
      <c r="G137" s="84"/>
      <c r="H137" s="84"/>
      <c r="I137" s="84"/>
      <c r="J137" s="84"/>
      <c r="K137" s="84"/>
      <c r="L137" s="84"/>
      <c r="M137" s="84"/>
      <c r="N137" s="84"/>
      <c r="O137" s="84"/>
      <c r="P137" s="84"/>
      <c r="Q137" s="84"/>
      <c r="R137" s="84"/>
      <c r="S137" s="85"/>
      <c r="T137" s="25" t="s">
        <v>214</v>
      </c>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c r="AQ137" s="23"/>
      <c r="AR137" s="23"/>
      <c r="AS137" s="23"/>
      <c r="AT137" s="23"/>
      <c r="AU137" s="23"/>
      <c r="AV137" s="23"/>
      <c r="AW137" s="23"/>
      <c r="AX137" s="23"/>
      <c r="AY137" s="23"/>
      <c r="AZ137" s="23"/>
      <c r="BA137" s="23"/>
      <c r="BB137" s="23"/>
      <c r="BC137" s="23"/>
      <c r="BD137" s="23"/>
      <c r="BE137" s="23"/>
      <c r="BF137" s="23"/>
      <c r="BG137" s="23"/>
      <c r="BH137" s="23"/>
      <c r="BI137" s="23"/>
      <c r="BJ137" s="23"/>
      <c r="BK137" s="23"/>
      <c r="BL137" s="23"/>
      <c r="BM137" s="23"/>
      <c r="BN137" s="23"/>
      <c r="BO137" s="23"/>
      <c r="BP137" s="23"/>
      <c r="BQ137" s="23"/>
      <c r="BR137" s="23"/>
      <c r="BS137" s="23"/>
      <c r="BT137" s="23"/>
      <c r="BU137" s="23"/>
      <c r="BV137" s="23"/>
      <c r="BW137" s="23"/>
      <c r="BX137" s="23"/>
      <c r="BY137" s="23"/>
      <c r="BZ137" s="23"/>
      <c r="CA137" s="23"/>
      <c r="CB137" s="23"/>
      <c r="CC137" s="23"/>
      <c r="CD137" s="24"/>
      <c r="CE137" s="4"/>
      <c r="CF137" s="15" t="s">
        <v>115</v>
      </c>
    </row>
    <row r="138" spans="1:84" ht="12" customHeight="1" x14ac:dyDescent="0.15">
      <c r="A138" s="3"/>
      <c r="B138" s="1"/>
      <c r="C138" s="1"/>
      <c r="D138" s="1"/>
      <c r="E138" s="1"/>
      <c r="F138" s="83" t="s">
        <v>141</v>
      </c>
      <c r="G138" s="84"/>
      <c r="H138" s="84"/>
      <c r="I138" s="84"/>
      <c r="J138" s="84"/>
      <c r="K138" s="84"/>
      <c r="L138" s="84"/>
      <c r="M138" s="84"/>
      <c r="N138" s="84"/>
      <c r="O138" s="84"/>
      <c r="P138" s="84"/>
      <c r="Q138" s="84"/>
      <c r="R138" s="84"/>
      <c r="S138" s="85"/>
      <c r="T138" s="25" t="s">
        <v>288</v>
      </c>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c r="AQ138" s="23"/>
      <c r="AR138" s="23"/>
      <c r="AS138" s="23"/>
      <c r="AT138" s="23"/>
      <c r="AU138" s="23"/>
      <c r="AV138" s="23"/>
      <c r="AW138" s="23"/>
      <c r="AX138" s="23"/>
      <c r="AY138" s="23"/>
      <c r="AZ138" s="23"/>
      <c r="BA138" s="23"/>
      <c r="BB138" s="23"/>
      <c r="BC138" s="23"/>
      <c r="BD138" s="23"/>
      <c r="BE138" s="23"/>
      <c r="BF138" s="23"/>
      <c r="BG138" s="23"/>
      <c r="BH138" s="23"/>
      <c r="BI138" s="23"/>
      <c r="BJ138" s="23"/>
      <c r="BK138" s="23"/>
      <c r="BL138" s="23"/>
      <c r="BM138" s="23"/>
      <c r="BN138" s="23"/>
      <c r="BO138" s="23"/>
      <c r="BP138" s="23"/>
      <c r="BQ138" s="23"/>
      <c r="BR138" s="23"/>
      <c r="BS138" s="23"/>
      <c r="BT138" s="23"/>
      <c r="BU138" s="23"/>
      <c r="BV138" s="23"/>
      <c r="BW138" s="23"/>
      <c r="BX138" s="23"/>
      <c r="BY138" s="23"/>
      <c r="BZ138" s="23"/>
      <c r="CA138" s="23"/>
      <c r="CB138" s="23"/>
      <c r="CC138" s="23"/>
      <c r="CD138" s="24"/>
      <c r="CE138" s="4"/>
      <c r="CF138" s="15" t="s">
        <v>116</v>
      </c>
    </row>
    <row r="139" spans="1:84" s="51" customFormat="1" ht="12" customHeight="1" x14ac:dyDescent="0.15">
      <c r="A139" s="50"/>
      <c r="E139" s="56"/>
      <c r="F139" s="56"/>
      <c r="G139" s="56"/>
      <c r="H139" s="56"/>
      <c r="I139" s="56"/>
      <c r="J139" s="56"/>
      <c r="K139" s="56"/>
      <c r="L139" s="56"/>
      <c r="M139" s="56"/>
      <c r="N139" s="56"/>
      <c r="O139" s="56"/>
      <c r="P139" s="56"/>
      <c r="Q139" s="56"/>
      <c r="R139" s="56"/>
      <c r="S139" s="56"/>
      <c r="T139" s="57"/>
      <c r="U139" s="57"/>
      <c r="V139" s="57"/>
      <c r="W139" s="57"/>
      <c r="X139" s="57"/>
      <c r="Y139" s="57"/>
      <c r="Z139" s="57"/>
      <c r="AA139" s="57"/>
      <c r="AB139" s="57"/>
      <c r="AC139" s="57"/>
      <c r="AD139" s="57"/>
      <c r="AE139" s="57"/>
      <c r="AF139" s="57"/>
      <c r="AG139" s="57"/>
      <c r="AH139" s="57"/>
      <c r="AI139" s="57"/>
      <c r="AJ139" s="57"/>
      <c r="AK139" s="57"/>
      <c r="AL139" s="57"/>
      <c r="AM139" s="57"/>
      <c r="AN139" s="57"/>
      <c r="AO139" s="57"/>
      <c r="AP139" s="57"/>
      <c r="AQ139" s="57"/>
      <c r="AR139" s="57"/>
      <c r="AS139" s="57"/>
      <c r="AT139" s="57"/>
      <c r="AU139" s="57"/>
      <c r="AV139" s="57"/>
      <c r="AW139" s="57"/>
      <c r="AX139" s="57"/>
      <c r="AY139" s="57"/>
      <c r="AZ139" s="57"/>
      <c r="BA139" s="57"/>
      <c r="BB139" s="57"/>
      <c r="BC139" s="57"/>
      <c r="BD139" s="57"/>
      <c r="BE139" s="57"/>
      <c r="BF139" s="57"/>
      <c r="BG139" s="57"/>
      <c r="BH139" s="57"/>
      <c r="BI139" s="57"/>
      <c r="BJ139" s="57"/>
      <c r="BK139" s="57"/>
      <c r="BL139" s="57"/>
      <c r="BM139" s="57"/>
      <c r="BN139" s="57"/>
      <c r="BO139" s="57"/>
      <c r="BP139" s="57"/>
      <c r="BQ139" s="57"/>
      <c r="BR139" s="57"/>
      <c r="BS139" s="57"/>
      <c r="BT139" s="57"/>
      <c r="BU139" s="57"/>
      <c r="BV139" s="57"/>
      <c r="BW139" s="57"/>
      <c r="BX139" s="57"/>
      <c r="BY139" s="57"/>
      <c r="BZ139" s="57"/>
      <c r="CA139" s="57"/>
      <c r="CB139" s="57"/>
      <c r="CC139" s="57"/>
      <c r="CD139" s="57"/>
      <c r="CE139" s="53"/>
      <c r="CF139" s="54" t="s">
        <v>177</v>
      </c>
    </row>
    <row r="140" spans="1:84" s="51" customFormat="1" ht="12" customHeight="1" x14ac:dyDescent="0.15">
      <c r="A140" s="55"/>
      <c r="E140" s="56" t="s">
        <v>377</v>
      </c>
      <c r="F140" s="56"/>
      <c r="G140" s="56"/>
      <c r="H140" s="56"/>
      <c r="I140" s="56"/>
      <c r="J140" s="56"/>
      <c r="K140" s="56"/>
      <c r="L140" s="56"/>
      <c r="M140" s="56"/>
      <c r="N140" s="56"/>
      <c r="O140" s="56"/>
      <c r="P140" s="56"/>
      <c r="Q140" s="56"/>
      <c r="R140" s="56"/>
      <c r="S140" s="56"/>
      <c r="T140" s="57"/>
      <c r="U140" s="57"/>
      <c r="V140" s="57"/>
      <c r="W140" s="57"/>
      <c r="X140" s="57"/>
      <c r="Y140" s="57"/>
      <c r="Z140" s="57"/>
      <c r="AA140" s="57"/>
      <c r="AB140" s="57"/>
      <c r="AC140" s="57"/>
      <c r="AD140" s="57"/>
      <c r="AE140" s="57"/>
      <c r="AF140" s="57"/>
      <c r="AG140" s="57"/>
      <c r="AH140" s="57"/>
      <c r="AI140" s="57"/>
      <c r="AJ140" s="57"/>
      <c r="AK140" s="57"/>
      <c r="AL140" s="57"/>
      <c r="AM140" s="57"/>
      <c r="AN140" s="57"/>
      <c r="AO140" s="57"/>
      <c r="AP140" s="57"/>
      <c r="AQ140" s="57"/>
      <c r="AR140" s="57"/>
      <c r="AS140" s="57"/>
      <c r="AT140" s="57"/>
      <c r="AU140" s="57"/>
      <c r="AV140" s="57"/>
      <c r="AW140" s="57"/>
      <c r="AX140" s="57"/>
      <c r="AY140" s="57"/>
      <c r="AZ140" s="57"/>
      <c r="BA140" s="57"/>
      <c r="BB140" s="57"/>
      <c r="BC140" s="57"/>
      <c r="BD140" s="57"/>
      <c r="BE140" s="57"/>
      <c r="BF140" s="57"/>
      <c r="BG140" s="57"/>
      <c r="BH140" s="57"/>
      <c r="BI140" s="57"/>
      <c r="BJ140" s="57"/>
      <c r="BK140" s="57"/>
      <c r="BL140" s="57"/>
      <c r="BM140" s="57"/>
      <c r="BN140" s="57"/>
      <c r="BO140" s="57"/>
      <c r="BP140" s="57"/>
      <c r="BQ140" s="57"/>
      <c r="BR140" s="57"/>
      <c r="BS140" s="57"/>
      <c r="BT140" s="57"/>
      <c r="BU140" s="57"/>
      <c r="BV140" s="57"/>
      <c r="BW140" s="57"/>
      <c r="BX140" s="57"/>
      <c r="BY140" s="57"/>
      <c r="BZ140" s="57"/>
      <c r="CA140" s="57"/>
      <c r="CB140" s="57"/>
      <c r="CC140" s="57"/>
      <c r="CD140" s="57"/>
      <c r="CE140" s="53"/>
      <c r="CF140" s="54" t="s">
        <v>178</v>
      </c>
    </row>
    <row r="141" spans="1:84" s="51" customFormat="1" ht="12" customHeight="1" x14ac:dyDescent="0.15">
      <c r="A141" s="55"/>
      <c r="F141" s="71" t="s">
        <v>10</v>
      </c>
      <c r="G141" s="72"/>
      <c r="H141" s="72"/>
      <c r="I141" s="72"/>
      <c r="J141" s="72"/>
      <c r="K141" s="72"/>
      <c r="L141" s="72"/>
      <c r="M141" s="72"/>
      <c r="N141" s="72"/>
      <c r="O141" s="72"/>
      <c r="P141" s="72"/>
      <c r="Q141" s="72"/>
      <c r="R141" s="72"/>
      <c r="S141" s="73"/>
      <c r="T141" s="74" t="s">
        <v>232</v>
      </c>
      <c r="U141" s="75"/>
      <c r="V141" s="75"/>
      <c r="W141" s="75"/>
      <c r="X141" s="75"/>
      <c r="Y141" s="75"/>
      <c r="Z141" s="75"/>
      <c r="AA141" s="75"/>
      <c r="AB141" s="75"/>
      <c r="AC141" s="75"/>
      <c r="AD141" s="75"/>
      <c r="AE141" s="75"/>
      <c r="AF141" s="75"/>
      <c r="AG141" s="75"/>
      <c r="AH141" s="75"/>
      <c r="AI141" s="75"/>
      <c r="AJ141" s="75"/>
      <c r="AK141" s="75"/>
      <c r="AL141" s="75"/>
      <c r="AM141" s="75"/>
      <c r="AN141" s="75"/>
      <c r="AO141" s="75"/>
      <c r="AP141" s="75"/>
      <c r="AQ141" s="75"/>
      <c r="AR141" s="75"/>
      <c r="AS141" s="75"/>
      <c r="AT141" s="75"/>
      <c r="AU141" s="75"/>
      <c r="AV141" s="75"/>
      <c r="AW141" s="75"/>
      <c r="AX141" s="75"/>
      <c r="AY141" s="75"/>
      <c r="AZ141" s="75"/>
      <c r="BA141" s="75"/>
      <c r="BB141" s="75"/>
      <c r="BC141" s="75"/>
      <c r="BD141" s="75"/>
      <c r="BE141" s="75"/>
      <c r="BF141" s="75"/>
      <c r="BG141" s="75"/>
      <c r="BH141" s="75"/>
      <c r="BI141" s="75"/>
      <c r="BJ141" s="75"/>
      <c r="BK141" s="75"/>
      <c r="BL141" s="75"/>
      <c r="BM141" s="75"/>
      <c r="BN141" s="75"/>
      <c r="BO141" s="75"/>
      <c r="BP141" s="75"/>
      <c r="BQ141" s="75"/>
      <c r="BR141" s="75"/>
      <c r="BS141" s="75"/>
      <c r="BT141" s="75"/>
      <c r="BU141" s="75"/>
      <c r="BV141" s="75"/>
      <c r="BW141" s="75"/>
      <c r="BX141" s="75"/>
      <c r="BY141" s="75"/>
      <c r="BZ141" s="75"/>
      <c r="CA141" s="75"/>
      <c r="CB141" s="75"/>
      <c r="CC141" s="75"/>
      <c r="CD141" s="76"/>
      <c r="CE141" s="53"/>
      <c r="CF141" s="54" t="s">
        <v>179</v>
      </c>
    </row>
    <row r="142" spans="1:84" s="51" customFormat="1" ht="12" customHeight="1" x14ac:dyDescent="0.15">
      <c r="A142" s="55"/>
      <c r="F142" s="71" t="s">
        <v>16</v>
      </c>
      <c r="G142" s="72"/>
      <c r="H142" s="72"/>
      <c r="I142" s="72"/>
      <c r="J142" s="72"/>
      <c r="K142" s="72"/>
      <c r="L142" s="72"/>
      <c r="M142" s="72"/>
      <c r="N142" s="72"/>
      <c r="O142" s="72"/>
      <c r="P142" s="72"/>
      <c r="Q142" s="72"/>
      <c r="R142" s="72"/>
      <c r="S142" s="73"/>
      <c r="T142" s="74" t="s">
        <v>124</v>
      </c>
      <c r="U142" s="75"/>
      <c r="V142" s="75"/>
      <c r="W142" s="75"/>
      <c r="X142" s="75"/>
      <c r="Y142" s="75"/>
      <c r="Z142" s="75"/>
      <c r="AA142" s="75"/>
      <c r="AB142" s="75"/>
      <c r="AC142" s="75"/>
      <c r="AD142" s="75"/>
      <c r="AE142" s="75"/>
      <c r="AF142" s="75"/>
      <c r="AG142" s="75"/>
      <c r="AH142" s="75"/>
      <c r="AI142" s="75"/>
      <c r="AJ142" s="75"/>
      <c r="AK142" s="75"/>
      <c r="AL142" s="75"/>
      <c r="AM142" s="75"/>
      <c r="AN142" s="75"/>
      <c r="AO142" s="75"/>
      <c r="AP142" s="75"/>
      <c r="AQ142" s="75"/>
      <c r="AR142" s="75"/>
      <c r="AS142" s="75"/>
      <c r="AT142" s="75"/>
      <c r="AU142" s="75"/>
      <c r="AV142" s="75"/>
      <c r="AW142" s="75"/>
      <c r="AX142" s="75"/>
      <c r="AY142" s="75"/>
      <c r="AZ142" s="75"/>
      <c r="BA142" s="75"/>
      <c r="BB142" s="75"/>
      <c r="BC142" s="75"/>
      <c r="BD142" s="75"/>
      <c r="BE142" s="75"/>
      <c r="BF142" s="75"/>
      <c r="BG142" s="75"/>
      <c r="BH142" s="75"/>
      <c r="BI142" s="75"/>
      <c r="BJ142" s="75"/>
      <c r="BK142" s="75"/>
      <c r="BL142" s="75"/>
      <c r="BM142" s="75"/>
      <c r="BN142" s="75"/>
      <c r="BO142" s="75"/>
      <c r="BP142" s="75"/>
      <c r="BQ142" s="75"/>
      <c r="BR142" s="75"/>
      <c r="BS142" s="75"/>
      <c r="BT142" s="75"/>
      <c r="BU142" s="75"/>
      <c r="BV142" s="75"/>
      <c r="BW142" s="75"/>
      <c r="BX142" s="75"/>
      <c r="BY142" s="75"/>
      <c r="BZ142" s="75"/>
      <c r="CA142" s="75"/>
      <c r="CB142" s="75"/>
      <c r="CC142" s="75"/>
      <c r="CD142" s="76"/>
      <c r="CE142" s="53"/>
      <c r="CF142" s="54" t="s">
        <v>180</v>
      </c>
    </row>
    <row r="143" spans="1:84" s="51" customFormat="1" ht="12" customHeight="1" x14ac:dyDescent="0.15">
      <c r="A143" s="55"/>
      <c r="F143" s="71" t="s">
        <v>15</v>
      </c>
      <c r="G143" s="72"/>
      <c r="H143" s="72"/>
      <c r="I143" s="72"/>
      <c r="J143" s="72"/>
      <c r="K143" s="72"/>
      <c r="L143" s="72"/>
      <c r="M143" s="72"/>
      <c r="N143" s="72"/>
      <c r="O143" s="72"/>
      <c r="P143" s="72"/>
      <c r="Q143" s="72"/>
      <c r="R143" s="72"/>
      <c r="S143" s="73"/>
      <c r="T143" s="74" t="s">
        <v>124</v>
      </c>
      <c r="U143" s="75"/>
      <c r="V143" s="75"/>
      <c r="W143" s="75"/>
      <c r="X143" s="75"/>
      <c r="Y143" s="75"/>
      <c r="Z143" s="75"/>
      <c r="AA143" s="75"/>
      <c r="AB143" s="75"/>
      <c r="AC143" s="75"/>
      <c r="AD143" s="75"/>
      <c r="AE143" s="75"/>
      <c r="AF143" s="75"/>
      <c r="AG143" s="75"/>
      <c r="AH143" s="75"/>
      <c r="AI143" s="75"/>
      <c r="AJ143" s="75"/>
      <c r="AK143" s="75"/>
      <c r="AL143" s="75"/>
      <c r="AM143" s="75"/>
      <c r="AN143" s="75"/>
      <c r="AO143" s="75"/>
      <c r="AP143" s="75"/>
      <c r="AQ143" s="75"/>
      <c r="AR143" s="75"/>
      <c r="AS143" s="75"/>
      <c r="AT143" s="75"/>
      <c r="AU143" s="75"/>
      <c r="AV143" s="75"/>
      <c r="AW143" s="75"/>
      <c r="AX143" s="75"/>
      <c r="AY143" s="75"/>
      <c r="AZ143" s="75"/>
      <c r="BA143" s="75"/>
      <c r="BB143" s="75"/>
      <c r="BC143" s="75"/>
      <c r="BD143" s="75"/>
      <c r="BE143" s="75"/>
      <c r="BF143" s="75"/>
      <c r="BG143" s="75"/>
      <c r="BH143" s="75"/>
      <c r="BI143" s="75"/>
      <c r="BJ143" s="75"/>
      <c r="BK143" s="75"/>
      <c r="BL143" s="75"/>
      <c r="BM143" s="75"/>
      <c r="BN143" s="75"/>
      <c r="BO143" s="75"/>
      <c r="BP143" s="75"/>
      <c r="BQ143" s="75"/>
      <c r="BR143" s="75"/>
      <c r="BS143" s="75"/>
      <c r="BT143" s="75"/>
      <c r="BU143" s="75"/>
      <c r="BV143" s="75"/>
      <c r="BW143" s="75"/>
      <c r="BX143" s="75"/>
      <c r="BY143" s="75"/>
      <c r="BZ143" s="75"/>
      <c r="CA143" s="75"/>
      <c r="CB143" s="75"/>
      <c r="CC143" s="75"/>
      <c r="CD143" s="76"/>
      <c r="CE143" s="53"/>
      <c r="CF143" s="54" t="s">
        <v>181</v>
      </c>
    </row>
    <row r="144" spans="1:84" s="51" customFormat="1" ht="12" customHeight="1" x14ac:dyDescent="0.15">
      <c r="A144" s="55"/>
      <c r="F144" s="71" t="s">
        <v>203</v>
      </c>
      <c r="G144" s="72"/>
      <c r="H144" s="72"/>
      <c r="I144" s="72"/>
      <c r="J144" s="72"/>
      <c r="K144" s="72"/>
      <c r="L144" s="72"/>
      <c r="M144" s="72"/>
      <c r="N144" s="72"/>
      <c r="O144" s="72"/>
      <c r="P144" s="72"/>
      <c r="Q144" s="72"/>
      <c r="R144" s="72"/>
      <c r="S144" s="73"/>
      <c r="T144" s="74" t="s">
        <v>367</v>
      </c>
      <c r="U144" s="75"/>
      <c r="V144" s="75"/>
      <c r="W144" s="75"/>
      <c r="X144" s="75"/>
      <c r="Y144" s="75"/>
      <c r="Z144" s="75"/>
      <c r="AA144" s="75"/>
      <c r="AB144" s="75"/>
      <c r="AC144" s="75"/>
      <c r="AD144" s="75"/>
      <c r="AE144" s="75"/>
      <c r="AF144" s="75"/>
      <c r="AG144" s="75"/>
      <c r="AH144" s="75"/>
      <c r="AI144" s="75"/>
      <c r="AJ144" s="75"/>
      <c r="AK144" s="75"/>
      <c r="AL144" s="75"/>
      <c r="AM144" s="75"/>
      <c r="AN144" s="75"/>
      <c r="AO144" s="75"/>
      <c r="AP144" s="75"/>
      <c r="AQ144" s="75"/>
      <c r="AR144" s="75"/>
      <c r="AS144" s="75"/>
      <c r="AT144" s="75"/>
      <c r="AU144" s="75"/>
      <c r="AV144" s="75"/>
      <c r="AW144" s="75"/>
      <c r="AX144" s="75"/>
      <c r="AY144" s="75"/>
      <c r="AZ144" s="75"/>
      <c r="BA144" s="75"/>
      <c r="BB144" s="75"/>
      <c r="BC144" s="75"/>
      <c r="BD144" s="75"/>
      <c r="BE144" s="75"/>
      <c r="BF144" s="75"/>
      <c r="BG144" s="75"/>
      <c r="BH144" s="75"/>
      <c r="BI144" s="75"/>
      <c r="BJ144" s="75"/>
      <c r="BK144" s="75"/>
      <c r="BL144" s="75"/>
      <c r="BM144" s="75"/>
      <c r="BN144" s="75"/>
      <c r="BO144" s="75"/>
      <c r="BP144" s="75"/>
      <c r="BQ144" s="75"/>
      <c r="BR144" s="75"/>
      <c r="BS144" s="75"/>
      <c r="BT144" s="75"/>
      <c r="BU144" s="75"/>
      <c r="BV144" s="75"/>
      <c r="BW144" s="75"/>
      <c r="BX144" s="75"/>
      <c r="BY144" s="75"/>
      <c r="BZ144" s="75"/>
      <c r="CA144" s="75"/>
      <c r="CB144" s="75"/>
      <c r="CC144" s="75"/>
      <c r="CD144" s="76"/>
      <c r="CE144" s="53"/>
      <c r="CF144" s="54" t="s">
        <v>182</v>
      </c>
    </row>
    <row r="145" spans="1:84" s="51" customFormat="1" ht="12" customHeight="1" x14ac:dyDescent="0.15">
      <c r="A145" s="55"/>
      <c r="F145" s="71" t="s">
        <v>11</v>
      </c>
      <c r="G145" s="72"/>
      <c r="H145" s="72"/>
      <c r="I145" s="72"/>
      <c r="J145" s="72"/>
      <c r="K145" s="72"/>
      <c r="L145" s="72"/>
      <c r="M145" s="72"/>
      <c r="N145" s="72"/>
      <c r="O145" s="72"/>
      <c r="P145" s="72"/>
      <c r="Q145" s="72"/>
      <c r="R145" s="72"/>
      <c r="S145" s="73"/>
      <c r="T145" s="74" t="s">
        <v>368</v>
      </c>
      <c r="U145" s="75"/>
      <c r="V145" s="75"/>
      <c r="W145" s="75"/>
      <c r="X145" s="75"/>
      <c r="Y145" s="75"/>
      <c r="Z145" s="75"/>
      <c r="AA145" s="75"/>
      <c r="AB145" s="75"/>
      <c r="AC145" s="75"/>
      <c r="AD145" s="75"/>
      <c r="AE145" s="75"/>
      <c r="AF145" s="75"/>
      <c r="AG145" s="75"/>
      <c r="AH145" s="75"/>
      <c r="AI145" s="75"/>
      <c r="AJ145" s="75"/>
      <c r="AK145" s="75"/>
      <c r="AL145" s="75"/>
      <c r="AM145" s="75"/>
      <c r="AN145" s="75"/>
      <c r="AO145" s="75"/>
      <c r="AP145" s="75"/>
      <c r="AQ145" s="75"/>
      <c r="AR145" s="75"/>
      <c r="AS145" s="75"/>
      <c r="AT145" s="75"/>
      <c r="AU145" s="75"/>
      <c r="AV145" s="75"/>
      <c r="AW145" s="75"/>
      <c r="AX145" s="75"/>
      <c r="AY145" s="75"/>
      <c r="AZ145" s="75"/>
      <c r="BA145" s="75"/>
      <c r="BB145" s="75"/>
      <c r="BC145" s="75"/>
      <c r="BD145" s="75"/>
      <c r="BE145" s="75"/>
      <c r="BF145" s="75"/>
      <c r="BG145" s="75"/>
      <c r="BH145" s="75"/>
      <c r="BI145" s="75"/>
      <c r="BJ145" s="75"/>
      <c r="BK145" s="75"/>
      <c r="BL145" s="75"/>
      <c r="BM145" s="75"/>
      <c r="BN145" s="75"/>
      <c r="BO145" s="75"/>
      <c r="BP145" s="75"/>
      <c r="BQ145" s="75"/>
      <c r="BR145" s="75"/>
      <c r="BS145" s="75"/>
      <c r="BT145" s="75"/>
      <c r="BU145" s="75"/>
      <c r="BV145" s="75"/>
      <c r="BW145" s="75"/>
      <c r="BX145" s="75"/>
      <c r="BY145" s="75"/>
      <c r="BZ145" s="75"/>
      <c r="CA145" s="75"/>
      <c r="CB145" s="75"/>
      <c r="CC145" s="75"/>
      <c r="CD145" s="76"/>
      <c r="CE145" s="53"/>
      <c r="CF145" s="54" t="s">
        <v>183</v>
      </c>
    </row>
    <row r="146" spans="1:84" s="51" customFormat="1" ht="12" customHeight="1" x14ac:dyDescent="0.15">
      <c r="A146" s="55"/>
      <c r="F146" s="71" t="s">
        <v>12</v>
      </c>
      <c r="G146" s="72"/>
      <c r="H146" s="72"/>
      <c r="I146" s="72"/>
      <c r="J146" s="72"/>
      <c r="K146" s="72"/>
      <c r="L146" s="72"/>
      <c r="M146" s="72"/>
      <c r="N146" s="72"/>
      <c r="O146" s="72"/>
      <c r="P146" s="72"/>
      <c r="Q146" s="72"/>
      <c r="R146" s="72"/>
      <c r="S146" s="73"/>
      <c r="T146" s="74" t="s">
        <v>369</v>
      </c>
      <c r="U146" s="75"/>
      <c r="V146" s="75"/>
      <c r="W146" s="75"/>
      <c r="X146" s="75"/>
      <c r="Y146" s="75"/>
      <c r="Z146" s="75"/>
      <c r="AA146" s="75"/>
      <c r="AB146" s="75"/>
      <c r="AC146" s="75"/>
      <c r="AD146" s="75"/>
      <c r="AE146" s="75"/>
      <c r="AF146" s="75"/>
      <c r="AG146" s="75"/>
      <c r="AH146" s="75"/>
      <c r="AI146" s="75"/>
      <c r="AJ146" s="75"/>
      <c r="AK146" s="75"/>
      <c r="AL146" s="75"/>
      <c r="AM146" s="75"/>
      <c r="AN146" s="75"/>
      <c r="AO146" s="75"/>
      <c r="AP146" s="75"/>
      <c r="AQ146" s="75"/>
      <c r="AR146" s="75"/>
      <c r="AS146" s="75"/>
      <c r="AT146" s="75"/>
      <c r="AU146" s="75"/>
      <c r="AV146" s="75"/>
      <c r="AW146" s="75"/>
      <c r="AX146" s="75"/>
      <c r="AY146" s="75"/>
      <c r="AZ146" s="75"/>
      <c r="BA146" s="75"/>
      <c r="BB146" s="75"/>
      <c r="BC146" s="75"/>
      <c r="BD146" s="75"/>
      <c r="BE146" s="75"/>
      <c r="BF146" s="75"/>
      <c r="BG146" s="75"/>
      <c r="BH146" s="75"/>
      <c r="BI146" s="75"/>
      <c r="BJ146" s="75"/>
      <c r="BK146" s="75"/>
      <c r="BL146" s="75"/>
      <c r="BM146" s="75"/>
      <c r="BN146" s="75"/>
      <c r="BO146" s="75"/>
      <c r="BP146" s="75"/>
      <c r="BQ146" s="75"/>
      <c r="BR146" s="75"/>
      <c r="BS146" s="75"/>
      <c r="BT146" s="75"/>
      <c r="BU146" s="75"/>
      <c r="BV146" s="75"/>
      <c r="BW146" s="75"/>
      <c r="BX146" s="75"/>
      <c r="BY146" s="75"/>
      <c r="BZ146" s="75"/>
      <c r="CA146" s="75"/>
      <c r="CB146" s="75"/>
      <c r="CC146" s="75"/>
      <c r="CD146" s="76"/>
      <c r="CE146" s="53"/>
      <c r="CF146" s="54" t="s">
        <v>184</v>
      </c>
    </row>
    <row r="147" spans="1:84" s="51" customFormat="1" ht="12" customHeight="1" x14ac:dyDescent="0.15">
      <c r="A147" s="55"/>
      <c r="F147" s="71" t="s">
        <v>13</v>
      </c>
      <c r="G147" s="72"/>
      <c r="H147" s="72"/>
      <c r="I147" s="72"/>
      <c r="J147" s="72"/>
      <c r="K147" s="72"/>
      <c r="L147" s="72"/>
      <c r="M147" s="72"/>
      <c r="N147" s="72"/>
      <c r="O147" s="72"/>
      <c r="P147" s="72"/>
      <c r="Q147" s="72"/>
      <c r="R147" s="72"/>
      <c r="S147" s="73"/>
      <c r="T147" s="74" t="s">
        <v>370</v>
      </c>
      <c r="U147" s="75"/>
      <c r="V147" s="75"/>
      <c r="W147" s="75"/>
      <c r="X147" s="75"/>
      <c r="Y147" s="75"/>
      <c r="Z147" s="75"/>
      <c r="AA147" s="75"/>
      <c r="AB147" s="75"/>
      <c r="AC147" s="75"/>
      <c r="AD147" s="75"/>
      <c r="AE147" s="75"/>
      <c r="AF147" s="75"/>
      <c r="AG147" s="75"/>
      <c r="AH147" s="75"/>
      <c r="AI147" s="75"/>
      <c r="AJ147" s="75"/>
      <c r="AK147" s="75"/>
      <c r="AL147" s="75"/>
      <c r="AM147" s="75"/>
      <c r="AN147" s="75"/>
      <c r="AO147" s="75"/>
      <c r="AP147" s="75"/>
      <c r="AQ147" s="75"/>
      <c r="AR147" s="75"/>
      <c r="AS147" s="75"/>
      <c r="AT147" s="75"/>
      <c r="AU147" s="75"/>
      <c r="AV147" s="75"/>
      <c r="AW147" s="75"/>
      <c r="AX147" s="75"/>
      <c r="AY147" s="75"/>
      <c r="AZ147" s="75"/>
      <c r="BA147" s="75"/>
      <c r="BB147" s="75"/>
      <c r="BC147" s="75"/>
      <c r="BD147" s="75"/>
      <c r="BE147" s="75"/>
      <c r="BF147" s="75"/>
      <c r="BG147" s="75"/>
      <c r="BH147" s="75"/>
      <c r="BI147" s="75"/>
      <c r="BJ147" s="75"/>
      <c r="BK147" s="75"/>
      <c r="BL147" s="75"/>
      <c r="BM147" s="75"/>
      <c r="BN147" s="75"/>
      <c r="BO147" s="75"/>
      <c r="BP147" s="75"/>
      <c r="BQ147" s="75"/>
      <c r="BR147" s="75"/>
      <c r="BS147" s="75"/>
      <c r="BT147" s="75"/>
      <c r="BU147" s="75"/>
      <c r="BV147" s="75"/>
      <c r="BW147" s="75"/>
      <c r="BX147" s="75"/>
      <c r="BY147" s="75"/>
      <c r="BZ147" s="75"/>
      <c r="CA147" s="75"/>
      <c r="CB147" s="75"/>
      <c r="CC147" s="75"/>
      <c r="CD147" s="76"/>
      <c r="CE147" s="53"/>
      <c r="CF147" s="54" t="s">
        <v>308</v>
      </c>
    </row>
    <row r="148" spans="1:84" s="51" customFormat="1" ht="12" customHeight="1" x14ac:dyDescent="0.15">
      <c r="A148" s="55"/>
      <c r="F148" s="71" t="s">
        <v>148</v>
      </c>
      <c r="G148" s="72"/>
      <c r="H148" s="72"/>
      <c r="I148" s="72"/>
      <c r="J148" s="72"/>
      <c r="K148" s="72"/>
      <c r="L148" s="72"/>
      <c r="M148" s="72"/>
      <c r="N148" s="72"/>
      <c r="O148" s="72"/>
      <c r="P148" s="72"/>
      <c r="Q148" s="72"/>
      <c r="R148" s="72"/>
      <c r="S148" s="73"/>
      <c r="T148" s="74" t="s">
        <v>371</v>
      </c>
      <c r="U148" s="75"/>
      <c r="V148" s="75"/>
      <c r="W148" s="75"/>
      <c r="X148" s="75"/>
      <c r="Y148" s="75"/>
      <c r="Z148" s="75"/>
      <c r="AA148" s="75"/>
      <c r="AB148" s="75"/>
      <c r="AC148" s="75"/>
      <c r="AD148" s="75"/>
      <c r="AE148" s="75"/>
      <c r="AF148" s="75"/>
      <c r="AG148" s="75"/>
      <c r="AH148" s="75"/>
      <c r="AI148" s="75"/>
      <c r="AJ148" s="75"/>
      <c r="AK148" s="75"/>
      <c r="AL148" s="75"/>
      <c r="AM148" s="75"/>
      <c r="AN148" s="75"/>
      <c r="AO148" s="75"/>
      <c r="AP148" s="75"/>
      <c r="AQ148" s="75"/>
      <c r="AR148" s="75"/>
      <c r="AS148" s="75"/>
      <c r="AT148" s="75"/>
      <c r="AU148" s="75"/>
      <c r="AV148" s="75"/>
      <c r="AW148" s="75"/>
      <c r="AX148" s="75"/>
      <c r="AY148" s="75"/>
      <c r="AZ148" s="75"/>
      <c r="BA148" s="75"/>
      <c r="BB148" s="75"/>
      <c r="BC148" s="75"/>
      <c r="BD148" s="75"/>
      <c r="BE148" s="75"/>
      <c r="BF148" s="75"/>
      <c r="BG148" s="75"/>
      <c r="BH148" s="75"/>
      <c r="BI148" s="75"/>
      <c r="BJ148" s="75"/>
      <c r="BK148" s="75"/>
      <c r="BL148" s="75"/>
      <c r="BM148" s="75"/>
      <c r="BN148" s="75"/>
      <c r="BO148" s="75"/>
      <c r="BP148" s="75"/>
      <c r="BQ148" s="75"/>
      <c r="BR148" s="75"/>
      <c r="BS148" s="75"/>
      <c r="BT148" s="75"/>
      <c r="BU148" s="75"/>
      <c r="BV148" s="75"/>
      <c r="BW148" s="75"/>
      <c r="BX148" s="75"/>
      <c r="BY148" s="75"/>
      <c r="BZ148" s="75"/>
      <c r="CA148" s="75"/>
      <c r="CB148" s="75"/>
      <c r="CC148" s="75"/>
      <c r="CD148" s="76"/>
      <c r="CE148" s="53"/>
      <c r="CF148" s="54" t="s">
        <v>309</v>
      </c>
    </row>
    <row r="149" spans="1:84" s="51" customFormat="1" ht="12" customHeight="1" x14ac:dyDescent="0.15">
      <c r="A149" s="55"/>
      <c r="F149" s="71" t="s">
        <v>141</v>
      </c>
      <c r="G149" s="72"/>
      <c r="H149" s="72"/>
      <c r="I149" s="72"/>
      <c r="J149" s="72"/>
      <c r="K149" s="72"/>
      <c r="L149" s="72"/>
      <c r="M149" s="72"/>
      <c r="N149" s="72"/>
      <c r="O149" s="72"/>
      <c r="P149" s="72"/>
      <c r="Q149" s="72"/>
      <c r="R149" s="72"/>
      <c r="S149" s="73"/>
      <c r="T149" s="74" t="s">
        <v>538</v>
      </c>
      <c r="U149" s="75"/>
      <c r="V149" s="75"/>
      <c r="W149" s="75"/>
      <c r="X149" s="75"/>
      <c r="Y149" s="75"/>
      <c r="Z149" s="75"/>
      <c r="AA149" s="75"/>
      <c r="AB149" s="75"/>
      <c r="AC149" s="75"/>
      <c r="AD149" s="75"/>
      <c r="AE149" s="75"/>
      <c r="AF149" s="75"/>
      <c r="AG149" s="75"/>
      <c r="AH149" s="75"/>
      <c r="AI149" s="75"/>
      <c r="AJ149" s="75"/>
      <c r="AK149" s="75"/>
      <c r="AL149" s="75"/>
      <c r="AM149" s="75"/>
      <c r="AN149" s="75"/>
      <c r="AO149" s="75"/>
      <c r="AP149" s="75"/>
      <c r="AQ149" s="75"/>
      <c r="AR149" s="75"/>
      <c r="AS149" s="75"/>
      <c r="AT149" s="75"/>
      <c r="AU149" s="75"/>
      <c r="AV149" s="75"/>
      <c r="AW149" s="75"/>
      <c r="AX149" s="75"/>
      <c r="AY149" s="75"/>
      <c r="AZ149" s="75"/>
      <c r="BA149" s="75"/>
      <c r="BB149" s="75"/>
      <c r="BC149" s="75"/>
      <c r="BD149" s="75"/>
      <c r="BE149" s="75"/>
      <c r="BF149" s="75"/>
      <c r="BG149" s="75"/>
      <c r="BH149" s="75"/>
      <c r="BI149" s="75"/>
      <c r="BJ149" s="75"/>
      <c r="BK149" s="75"/>
      <c r="BL149" s="75"/>
      <c r="BM149" s="75"/>
      <c r="BN149" s="75"/>
      <c r="BO149" s="75"/>
      <c r="BP149" s="75"/>
      <c r="BQ149" s="75"/>
      <c r="BR149" s="75"/>
      <c r="BS149" s="75"/>
      <c r="BT149" s="75"/>
      <c r="BU149" s="75"/>
      <c r="BV149" s="75"/>
      <c r="BW149" s="75"/>
      <c r="BX149" s="75"/>
      <c r="BY149" s="75"/>
      <c r="BZ149" s="75"/>
      <c r="CA149" s="75"/>
      <c r="CB149" s="75"/>
      <c r="CC149" s="75"/>
      <c r="CD149" s="76"/>
      <c r="CE149" s="53"/>
      <c r="CF149" s="54" t="s">
        <v>310</v>
      </c>
    </row>
    <row r="150" spans="1:84" ht="12" customHeight="1" x14ac:dyDescent="0.15">
      <c r="A150" s="49"/>
      <c r="B150" s="1"/>
      <c r="C150" s="1"/>
      <c r="D150" s="1"/>
      <c r="E150" s="20"/>
      <c r="F150" s="20"/>
      <c r="G150" s="20"/>
      <c r="H150" s="20"/>
      <c r="I150" s="20"/>
      <c r="J150" s="20"/>
      <c r="K150" s="20"/>
      <c r="L150" s="20"/>
      <c r="M150" s="20"/>
      <c r="N150" s="20"/>
      <c r="O150" s="20"/>
      <c r="P150" s="20"/>
      <c r="Q150" s="20"/>
      <c r="R150" s="20"/>
      <c r="S150" s="20"/>
      <c r="T150" s="21"/>
      <c r="U150" s="21"/>
      <c r="V150" s="21"/>
      <c r="W150" s="21"/>
      <c r="X150" s="21"/>
      <c r="Y150" s="21"/>
      <c r="Z150" s="21"/>
      <c r="AA150" s="21"/>
      <c r="AB150" s="21"/>
      <c r="AC150" s="21"/>
      <c r="AD150" s="21"/>
      <c r="AE150" s="21"/>
      <c r="AF150" s="21"/>
      <c r="AG150" s="21"/>
      <c r="AH150" s="21"/>
      <c r="AI150" s="21"/>
      <c r="AJ150" s="21"/>
      <c r="AK150" s="21"/>
      <c r="AL150" s="21"/>
      <c r="AM150" s="21"/>
      <c r="AN150" s="21"/>
      <c r="AO150" s="21"/>
      <c r="AP150" s="21"/>
      <c r="AQ150" s="21"/>
      <c r="AR150" s="21"/>
      <c r="AS150" s="21"/>
      <c r="AT150" s="21"/>
      <c r="AU150" s="21"/>
      <c r="AV150" s="21"/>
      <c r="AW150" s="21"/>
      <c r="AX150" s="21"/>
      <c r="AY150" s="21"/>
      <c r="AZ150" s="21"/>
      <c r="BA150" s="21"/>
      <c r="BB150" s="21"/>
      <c r="BC150" s="21"/>
      <c r="BD150" s="21"/>
      <c r="BE150" s="21"/>
      <c r="BF150" s="21"/>
      <c r="BG150" s="21"/>
      <c r="BH150" s="21"/>
      <c r="BI150" s="21"/>
      <c r="BJ150" s="21"/>
      <c r="BK150" s="21"/>
      <c r="BL150" s="21"/>
      <c r="BM150" s="21"/>
      <c r="BN150" s="21"/>
      <c r="BO150" s="21"/>
      <c r="BP150" s="21"/>
      <c r="BQ150" s="21"/>
      <c r="BR150" s="21"/>
      <c r="BS150" s="21"/>
      <c r="BT150" s="21"/>
      <c r="BU150" s="21"/>
      <c r="BV150" s="21"/>
      <c r="BW150" s="21"/>
      <c r="BX150" s="21"/>
      <c r="BY150" s="21"/>
      <c r="BZ150" s="21"/>
      <c r="CA150" s="21"/>
      <c r="CB150" s="21"/>
      <c r="CC150" s="21"/>
      <c r="CD150" s="21"/>
      <c r="CE150" s="4"/>
      <c r="CF150" s="15" t="s">
        <v>117</v>
      </c>
    </row>
    <row r="151" spans="1:84" s="51" customFormat="1" ht="12" customHeight="1" x14ac:dyDescent="0.15">
      <c r="A151" s="55"/>
      <c r="E151" s="56" t="s">
        <v>376</v>
      </c>
      <c r="F151" s="56"/>
      <c r="G151" s="56"/>
      <c r="H151" s="56"/>
      <c r="I151" s="56"/>
      <c r="J151" s="56"/>
      <c r="K151" s="56"/>
      <c r="L151" s="56"/>
      <c r="M151" s="56"/>
      <c r="N151" s="56"/>
      <c r="O151" s="56"/>
      <c r="P151" s="56"/>
      <c r="Q151" s="56"/>
      <c r="R151" s="56"/>
      <c r="S151" s="56"/>
      <c r="T151" s="57"/>
      <c r="U151" s="57"/>
      <c r="V151" s="57"/>
      <c r="W151" s="57"/>
      <c r="X151" s="57"/>
      <c r="Y151" s="57"/>
      <c r="Z151" s="57"/>
      <c r="AA151" s="57"/>
      <c r="AB151" s="57"/>
      <c r="AC151" s="57"/>
      <c r="AD151" s="57"/>
      <c r="AE151" s="57"/>
      <c r="AF151" s="57"/>
      <c r="AG151" s="57"/>
      <c r="AH151" s="57"/>
      <c r="AI151" s="57"/>
      <c r="AJ151" s="57"/>
      <c r="AK151" s="57"/>
      <c r="AL151" s="57"/>
      <c r="AM151" s="57"/>
      <c r="AN151" s="57"/>
      <c r="AO151" s="57"/>
      <c r="AP151" s="57"/>
      <c r="AQ151" s="57"/>
      <c r="AR151" s="57"/>
      <c r="AS151" s="57"/>
      <c r="AT151" s="57"/>
      <c r="AU151" s="57"/>
      <c r="AV151" s="57"/>
      <c r="AW151" s="57"/>
      <c r="AX151" s="57"/>
      <c r="AY151" s="57"/>
      <c r="AZ151" s="57"/>
      <c r="BA151" s="57"/>
      <c r="BB151" s="57"/>
      <c r="BC151" s="57"/>
      <c r="BD151" s="57"/>
      <c r="BE151" s="57"/>
      <c r="BF151" s="57"/>
      <c r="BG151" s="57"/>
      <c r="BH151" s="57"/>
      <c r="BI151" s="57"/>
      <c r="BJ151" s="57"/>
      <c r="BK151" s="57"/>
      <c r="BL151" s="57"/>
      <c r="BM151" s="57"/>
      <c r="BN151" s="57"/>
      <c r="BO151" s="57"/>
      <c r="BP151" s="57"/>
      <c r="BQ151" s="57"/>
      <c r="BR151" s="57"/>
      <c r="BS151" s="57"/>
      <c r="BT151" s="57"/>
      <c r="BU151" s="57"/>
      <c r="BV151" s="57"/>
      <c r="BW151" s="57"/>
      <c r="BX151" s="57"/>
      <c r="BY151" s="57"/>
      <c r="BZ151" s="57"/>
      <c r="CA151" s="57"/>
      <c r="CB151" s="57"/>
      <c r="CC151" s="57"/>
      <c r="CD151" s="57"/>
      <c r="CE151" s="53"/>
      <c r="CF151" s="54" t="s">
        <v>178</v>
      </c>
    </row>
    <row r="152" spans="1:84" s="51" customFormat="1" ht="12" customHeight="1" x14ac:dyDescent="0.15">
      <c r="A152" s="55"/>
      <c r="F152" s="71" t="s">
        <v>10</v>
      </c>
      <c r="G152" s="72"/>
      <c r="H152" s="72"/>
      <c r="I152" s="72"/>
      <c r="J152" s="72"/>
      <c r="K152" s="72"/>
      <c r="L152" s="72"/>
      <c r="M152" s="72"/>
      <c r="N152" s="72"/>
      <c r="O152" s="72"/>
      <c r="P152" s="72"/>
      <c r="Q152" s="72"/>
      <c r="R152" s="72"/>
      <c r="S152" s="73"/>
      <c r="T152" s="74" t="s">
        <v>232</v>
      </c>
      <c r="U152" s="75"/>
      <c r="V152" s="75"/>
      <c r="W152" s="75"/>
      <c r="X152" s="75"/>
      <c r="Y152" s="75"/>
      <c r="Z152" s="75"/>
      <c r="AA152" s="75"/>
      <c r="AB152" s="75"/>
      <c r="AC152" s="75"/>
      <c r="AD152" s="75"/>
      <c r="AE152" s="75"/>
      <c r="AF152" s="75"/>
      <c r="AG152" s="75"/>
      <c r="AH152" s="75"/>
      <c r="AI152" s="75"/>
      <c r="AJ152" s="75"/>
      <c r="AK152" s="75"/>
      <c r="AL152" s="75"/>
      <c r="AM152" s="75"/>
      <c r="AN152" s="75"/>
      <c r="AO152" s="75"/>
      <c r="AP152" s="75"/>
      <c r="AQ152" s="75"/>
      <c r="AR152" s="75"/>
      <c r="AS152" s="75"/>
      <c r="AT152" s="75"/>
      <c r="AU152" s="75"/>
      <c r="AV152" s="75"/>
      <c r="AW152" s="75"/>
      <c r="AX152" s="75"/>
      <c r="AY152" s="75"/>
      <c r="AZ152" s="75"/>
      <c r="BA152" s="75"/>
      <c r="BB152" s="75"/>
      <c r="BC152" s="75"/>
      <c r="BD152" s="75"/>
      <c r="BE152" s="75"/>
      <c r="BF152" s="75"/>
      <c r="BG152" s="75"/>
      <c r="BH152" s="75"/>
      <c r="BI152" s="75"/>
      <c r="BJ152" s="75"/>
      <c r="BK152" s="75"/>
      <c r="BL152" s="75"/>
      <c r="BM152" s="75"/>
      <c r="BN152" s="75"/>
      <c r="BO152" s="75"/>
      <c r="BP152" s="75"/>
      <c r="BQ152" s="75"/>
      <c r="BR152" s="75"/>
      <c r="BS152" s="75"/>
      <c r="BT152" s="75"/>
      <c r="BU152" s="75"/>
      <c r="BV152" s="75"/>
      <c r="BW152" s="75"/>
      <c r="BX152" s="75"/>
      <c r="BY152" s="75"/>
      <c r="BZ152" s="75"/>
      <c r="CA152" s="75"/>
      <c r="CB152" s="75"/>
      <c r="CC152" s="75"/>
      <c r="CD152" s="76"/>
      <c r="CE152" s="53"/>
      <c r="CF152" s="54" t="s">
        <v>179</v>
      </c>
    </row>
    <row r="153" spans="1:84" s="51" customFormat="1" ht="12" customHeight="1" x14ac:dyDescent="0.15">
      <c r="A153" s="55"/>
      <c r="F153" s="71" t="s">
        <v>16</v>
      </c>
      <c r="G153" s="72"/>
      <c r="H153" s="72"/>
      <c r="I153" s="72"/>
      <c r="J153" s="72"/>
      <c r="K153" s="72"/>
      <c r="L153" s="72"/>
      <c r="M153" s="72"/>
      <c r="N153" s="72"/>
      <c r="O153" s="72"/>
      <c r="P153" s="72"/>
      <c r="Q153" s="72"/>
      <c r="R153" s="72"/>
      <c r="S153" s="73"/>
      <c r="T153" s="74" t="s">
        <v>124</v>
      </c>
      <c r="U153" s="75"/>
      <c r="V153" s="75"/>
      <c r="W153" s="75"/>
      <c r="X153" s="75"/>
      <c r="Y153" s="75"/>
      <c r="Z153" s="75"/>
      <c r="AA153" s="75"/>
      <c r="AB153" s="75"/>
      <c r="AC153" s="75"/>
      <c r="AD153" s="75"/>
      <c r="AE153" s="75"/>
      <c r="AF153" s="75"/>
      <c r="AG153" s="75"/>
      <c r="AH153" s="75"/>
      <c r="AI153" s="75"/>
      <c r="AJ153" s="75"/>
      <c r="AK153" s="75"/>
      <c r="AL153" s="75"/>
      <c r="AM153" s="75"/>
      <c r="AN153" s="75"/>
      <c r="AO153" s="75"/>
      <c r="AP153" s="75"/>
      <c r="AQ153" s="75"/>
      <c r="AR153" s="75"/>
      <c r="AS153" s="75"/>
      <c r="AT153" s="75"/>
      <c r="AU153" s="75"/>
      <c r="AV153" s="75"/>
      <c r="AW153" s="75"/>
      <c r="AX153" s="75"/>
      <c r="AY153" s="75"/>
      <c r="AZ153" s="75"/>
      <c r="BA153" s="75"/>
      <c r="BB153" s="75"/>
      <c r="BC153" s="75"/>
      <c r="BD153" s="75"/>
      <c r="BE153" s="75"/>
      <c r="BF153" s="75"/>
      <c r="BG153" s="75"/>
      <c r="BH153" s="75"/>
      <c r="BI153" s="75"/>
      <c r="BJ153" s="75"/>
      <c r="BK153" s="75"/>
      <c r="BL153" s="75"/>
      <c r="BM153" s="75"/>
      <c r="BN153" s="75"/>
      <c r="BO153" s="75"/>
      <c r="BP153" s="75"/>
      <c r="BQ153" s="75"/>
      <c r="BR153" s="75"/>
      <c r="BS153" s="75"/>
      <c r="BT153" s="75"/>
      <c r="BU153" s="75"/>
      <c r="BV153" s="75"/>
      <c r="BW153" s="75"/>
      <c r="BX153" s="75"/>
      <c r="BY153" s="75"/>
      <c r="BZ153" s="75"/>
      <c r="CA153" s="75"/>
      <c r="CB153" s="75"/>
      <c r="CC153" s="75"/>
      <c r="CD153" s="76"/>
      <c r="CE153" s="53"/>
      <c r="CF153" s="54" t="s">
        <v>180</v>
      </c>
    </row>
    <row r="154" spans="1:84" s="51" customFormat="1" ht="12" customHeight="1" x14ac:dyDescent="0.15">
      <c r="A154" s="55"/>
      <c r="F154" s="71" t="s">
        <v>15</v>
      </c>
      <c r="G154" s="72"/>
      <c r="H154" s="72"/>
      <c r="I154" s="72"/>
      <c r="J154" s="72"/>
      <c r="K154" s="72"/>
      <c r="L154" s="72"/>
      <c r="M154" s="72"/>
      <c r="N154" s="72"/>
      <c r="O154" s="72"/>
      <c r="P154" s="72"/>
      <c r="Q154" s="72"/>
      <c r="R154" s="72"/>
      <c r="S154" s="73"/>
      <c r="T154" s="74" t="s">
        <v>124</v>
      </c>
      <c r="U154" s="75"/>
      <c r="V154" s="75"/>
      <c r="W154" s="75"/>
      <c r="X154" s="75"/>
      <c r="Y154" s="75"/>
      <c r="Z154" s="75"/>
      <c r="AA154" s="75"/>
      <c r="AB154" s="75"/>
      <c r="AC154" s="75"/>
      <c r="AD154" s="75"/>
      <c r="AE154" s="75"/>
      <c r="AF154" s="75"/>
      <c r="AG154" s="75"/>
      <c r="AH154" s="75"/>
      <c r="AI154" s="75"/>
      <c r="AJ154" s="75"/>
      <c r="AK154" s="75"/>
      <c r="AL154" s="75"/>
      <c r="AM154" s="75"/>
      <c r="AN154" s="75"/>
      <c r="AO154" s="75"/>
      <c r="AP154" s="75"/>
      <c r="AQ154" s="75"/>
      <c r="AR154" s="75"/>
      <c r="AS154" s="75"/>
      <c r="AT154" s="75"/>
      <c r="AU154" s="75"/>
      <c r="AV154" s="75"/>
      <c r="AW154" s="75"/>
      <c r="AX154" s="75"/>
      <c r="AY154" s="75"/>
      <c r="AZ154" s="75"/>
      <c r="BA154" s="75"/>
      <c r="BB154" s="75"/>
      <c r="BC154" s="75"/>
      <c r="BD154" s="75"/>
      <c r="BE154" s="75"/>
      <c r="BF154" s="75"/>
      <c r="BG154" s="75"/>
      <c r="BH154" s="75"/>
      <c r="BI154" s="75"/>
      <c r="BJ154" s="75"/>
      <c r="BK154" s="75"/>
      <c r="BL154" s="75"/>
      <c r="BM154" s="75"/>
      <c r="BN154" s="75"/>
      <c r="BO154" s="75"/>
      <c r="BP154" s="75"/>
      <c r="BQ154" s="75"/>
      <c r="BR154" s="75"/>
      <c r="BS154" s="75"/>
      <c r="BT154" s="75"/>
      <c r="BU154" s="75"/>
      <c r="BV154" s="75"/>
      <c r="BW154" s="75"/>
      <c r="BX154" s="75"/>
      <c r="BY154" s="75"/>
      <c r="BZ154" s="75"/>
      <c r="CA154" s="75"/>
      <c r="CB154" s="75"/>
      <c r="CC154" s="75"/>
      <c r="CD154" s="76"/>
      <c r="CE154" s="53"/>
      <c r="CF154" s="54" t="s">
        <v>181</v>
      </c>
    </row>
    <row r="155" spans="1:84" s="51" customFormat="1" ht="12" customHeight="1" x14ac:dyDescent="0.15">
      <c r="A155" s="55"/>
      <c r="F155" s="71" t="s">
        <v>203</v>
      </c>
      <c r="G155" s="72"/>
      <c r="H155" s="72"/>
      <c r="I155" s="72"/>
      <c r="J155" s="72"/>
      <c r="K155" s="72"/>
      <c r="L155" s="72"/>
      <c r="M155" s="72"/>
      <c r="N155" s="72"/>
      <c r="O155" s="72"/>
      <c r="P155" s="72"/>
      <c r="Q155" s="72"/>
      <c r="R155" s="72"/>
      <c r="S155" s="73"/>
      <c r="T155" s="74" t="s">
        <v>367</v>
      </c>
      <c r="U155" s="75"/>
      <c r="V155" s="75"/>
      <c r="W155" s="75"/>
      <c r="X155" s="75"/>
      <c r="Y155" s="75"/>
      <c r="Z155" s="75"/>
      <c r="AA155" s="75"/>
      <c r="AB155" s="75"/>
      <c r="AC155" s="75"/>
      <c r="AD155" s="75"/>
      <c r="AE155" s="75"/>
      <c r="AF155" s="75"/>
      <c r="AG155" s="75"/>
      <c r="AH155" s="75"/>
      <c r="AI155" s="75"/>
      <c r="AJ155" s="75"/>
      <c r="AK155" s="75"/>
      <c r="AL155" s="75"/>
      <c r="AM155" s="75"/>
      <c r="AN155" s="75"/>
      <c r="AO155" s="75"/>
      <c r="AP155" s="75"/>
      <c r="AQ155" s="75"/>
      <c r="AR155" s="75"/>
      <c r="AS155" s="75"/>
      <c r="AT155" s="75"/>
      <c r="AU155" s="75"/>
      <c r="AV155" s="75"/>
      <c r="AW155" s="75"/>
      <c r="AX155" s="75"/>
      <c r="AY155" s="75"/>
      <c r="AZ155" s="75"/>
      <c r="BA155" s="75"/>
      <c r="BB155" s="75"/>
      <c r="BC155" s="75"/>
      <c r="BD155" s="75"/>
      <c r="BE155" s="75"/>
      <c r="BF155" s="75"/>
      <c r="BG155" s="75"/>
      <c r="BH155" s="75"/>
      <c r="BI155" s="75"/>
      <c r="BJ155" s="75"/>
      <c r="BK155" s="75"/>
      <c r="BL155" s="75"/>
      <c r="BM155" s="75"/>
      <c r="BN155" s="75"/>
      <c r="BO155" s="75"/>
      <c r="BP155" s="75"/>
      <c r="BQ155" s="75"/>
      <c r="BR155" s="75"/>
      <c r="BS155" s="75"/>
      <c r="BT155" s="75"/>
      <c r="BU155" s="75"/>
      <c r="BV155" s="75"/>
      <c r="BW155" s="75"/>
      <c r="BX155" s="75"/>
      <c r="BY155" s="75"/>
      <c r="BZ155" s="75"/>
      <c r="CA155" s="75"/>
      <c r="CB155" s="75"/>
      <c r="CC155" s="75"/>
      <c r="CD155" s="76"/>
      <c r="CE155" s="53"/>
      <c r="CF155" s="54" t="s">
        <v>182</v>
      </c>
    </row>
    <row r="156" spans="1:84" s="51" customFormat="1" ht="12" customHeight="1" x14ac:dyDescent="0.15">
      <c r="A156" s="55"/>
      <c r="F156" s="71" t="s">
        <v>11</v>
      </c>
      <c r="G156" s="72"/>
      <c r="H156" s="72"/>
      <c r="I156" s="72"/>
      <c r="J156" s="72"/>
      <c r="K156" s="72"/>
      <c r="L156" s="72"/>
      <c r="M156" s="72"/>
      <c r="N156" s="72"/>
      <c r="O156" s="72"/>
      <c r="P156" s="72"/>
      <c r="Q156" s="72"/>
      <c r="R156" s="72"/>
      <c r="S156" s="73"/>
      <c r="T156" s="74" t="s">
        <v>368</v>
      </c>
      <c r="U156" s="75"/>
      <c r="V156" s="75"/>
      <c r="W156" s="75"/>
      <c r="X156" s="75"/>
      <c r="Y156" s="75"/>
      <c r="Z156" s="75"/>
      <c r="AA156" s="75"/>
      <c r="AB156" s="75"/>
      <c r="AC156" s="75"/>
      <c r="AD156" s="75"/>
      <c r="AE156" s="75"/>
      <c r="AF156" s="75"/>
      <c r="AG156" s="75"/>
      <c r="AH156" s="75"/>
      <c r="AI156" s="75"/>
      <c r="AJ156" s="75"/>
      <c r="AK156" s="75"/>
      <c r="AL156" s="75"/>
      <c r="AM156" s="75"/>
      <c r="AN156" s="75"/>
      <c r="AO156" s="75"/>
      <c r="AP156" s="75"/>
      <c r="AQ156" s="75"/>
      <c r="AR156" s="75"/>
      <c r="AS156" s="75"/>
      <c r="AT156" s="75"/>
      <c r="AU156" s="75"/>
      <c r="AV156" s="75"/>
      <c r="AW156" s="75"/>
      <c r="AX156" s="75"/>
      <c r="AY156" s="75"/>
      <c r="AZ156" s="75"/>
      <c r="BA156" s="75"/>
      <c r="BB156" s="75"/>
      <c r="BC156" s="75"/>
      <c r="BD156" s="75"/>
      <c r="BE156" s="75"/>
      <c r="BF156" s="75"/>
      <c r="BG156" s="75"/>
      <c r="BH156" s="75"/>
      <c r="BI156" s="75"/>
      <c r="BJ156" s="75"/>
      <c r="BK156" s="75"/>
      <c r="BL156" s="75"/>
      <c r="BM156" s="75"/>
      <c r="BN156" s="75"/>
      <c r="BO156" s="75"/>
      <c r="BP156" s="75"/>
      <c r="BQ156" s="75"/>
      <c r="BR156" s="75"/>
      <c r="BS156" s="75"/>
      <c r="BT156" s="75"/>
      <c r="BU156" s="75"/>
      <c r="BV156" s="75"/>
      <c r="BW156" s="75"/>
      <c r="BX156" s="75"/>
      <c r="BY156" s="75"/>
      <c r="BZ156" s="75"/>
      <c r="CA156" s="75"/>
      <c r="CB156" s="75"/>
      <c r="CC156" s="75"/>
      <c r="CD156" s="76"/>
      <c r="CE156" s="53"/>
      <c r="CF156" s="54" t="s">
        <v>183</v>
      </c>
    </row>
    <row r="157" spans="1:84" s="51" customFormat="1" ht="12" customHeight="1" x14ac:dyDescent="0.15">
      <c r="A157" s="55"/>
      <c r="F157" s="71" t="s">
        <v>12</v>
      </c>
      <c r="G157" s="72"/>
      <c r="H157" s="72"/>
      <c r="I157" s="72"/>
      <c r="J157" s="72"/>
      <c r="K157" s="72"/>
      <c r="L157" s="72"/>
      <c r="M157" s="72"/>
      <c r="N157" s="72"/>
      <c r="O157" s="72"/>
      <c r="P157" s="72"/>
      <c r="Q157" s="72"/>
      <c r="R157" s="72"/>
      <c r="S157" s="73"/>
      <c r="T157" s="74" t="s">
        <v>369</v>
      </c>
      <c r="U157" s="75"/>
      <c r="V157" s="75"/>
      <c r="W157" s="75"/>
      <c r="X157" s="75"/>
      <c r="Y157" s="75"/>
      <c r="Z157" s="75"/>
      <c r="AA157" s="75"/>
      <c r="AB157" s="75"/>
      <c r="AC157" s="75"/>
      <c r="AD157" s="75"/>
      <c r="AE157" s="75"/>
      <c r="AF157" s="75"/>
      <c r="AG157" s="75"/>
      <c r="AH157" s="75"/>
      <c r="AI157" s="75"/>
      <c r="AJ157" s="75"/>
      <c r="AK157" s="75"/>
      <c r="AL157" s="75"/>
      <c r="AM157" s="75"/>
      <c r="AN157" s="75"/>
      <c r="AO157" s="75"/>
      <c r="AP157" s="75"/>
      <c r="AQ157" s="75"/>
      <c r="AR157" s="75"/>
      <c r="AS157" s="75"/>
      <c r="AT157" s="75"/>
      <c r="AU157" s="75"/>
      <c r="AV157" s="75"/>
      <c r="AW157" s="75"/>
      <c r="AX157" s="75"/>
      <c r="AY157" s="75"/>
      <c r="AZ157" s="75"/>
      <c r="BA157" s="75"/>
      <c r="BB157" s="75"/>
      <c r="BC157" s="75"/>
      <c r="BD157" s="75"/>
      <c r="BE157" s="75"/>
      <c r="BF157" s="75"/>
      <c r="BG157" s="75"/>
      <c r="BH157" s="75"/>
      <c r="BI157" s="75"/>
      <c r="BJ157" s="75"/>
      <c r="BK157" s="75"/>
      <c r="BL157" s="75"/>
      <c r="BM157" s="75"/>
      <c r="BN157" s="75"/>
      <c r="BO157" s="75"/>
      <c r="BP157" s="75"/>
      <c r="BQ157" s="75"/>
      <c r="BR157" s="75"/>
      <c r="BS157" s="75"/>
      <c r="BT157" s="75"/>
      <c r="BU157" s="75"/>
      <c r="BV157" s="75"/>
      <c r="BW157" s="75"/>
      <c r="BX157" s="75"/>
      <c r="BY157" s="75"/>
      <c r="BZ157" s="75"/>
      <c r="CA157" s="75"/>
      <c r="CB157" s="75"/>
      <c r="CC157" s="75"/>
      <c r="CD157" s="76"/>
      <c r="CE157" s="53"/>
      <c r="CF157" s="54" t="s">
        <v>184</v>
      </c>
    </row>
    <row r="158" spans="1:84" s="51" customFormat="1" ht="12" customHeight="1" x14ac:dyDescent="0.15">
      <c r="A158" s="55"/>
      <c r="F158" s="71" t="s">
        <v>13</v>
      </c>
      <c r="G158" s="72"/>
      <c r="H158" s="72"/>
      <c r="I158" s="72"/>
      <c r="J158" s="72"/>
      <c r="K158" s="72"/>
      <c r="L158" s="72"/>
      <c r="M158" s="72"/>
      <c r="N158" s="72"/>
      <c r="O158" s="72"/>
      <c r="P158" s="72"/>
      <c r="Q158" s="72"/>
      <c r="R158" s="72"/>
      <c r="S158" s="73"/>
      <c r="T158" s="74" t="s">
        <v>370</v>
      </c>
      <c r="U158" s="75"/>
      <c r="V158" s="75"/>
      <c r="W158" s="75"/>
      <c r="X158" s="75"/>
      <c r="Y158" s="75"/>
      <c r="Z158" s="75"/>
      <c r="AA158" s="75"/>
      <c r="AB158" s="75"/>
      <c r="AC158" s="75"/>
      <c r="AD158" s="75"/>
      <c r="AE158" s="75"/>
      <c r="AF158" s="75"/>
      <c r="AG158" s="75"/>
      <c r="AH158" s="75"/>
      <c r="AI158" s="75"/>
      <c r="AJ158" s="75"/>
      <c r="AK158" s="75"/>
      <c r="AL158" s="75"/>
      <c r="AM158" s="75"/>
      <c r="AN158" s="75"/>
      <c r="AO158" s="75"/>
      <c r="AP158" s="75"/>
      <c r="AQ158" s="75"/>
      <c r="AR158" s="75"/>
      <c r="AS158" s="75"/>
      <c r="AT158" s="75"/>
      <c r="AU158" s="75"/>
      <c r="AV158" s="75"/>
      <c r="AW158" s="75"/>
      <c r="AX158" s="75"/>
      <c r="AY158" s="75"/>
      <c r="AZ158" s="75"/>
      <c r="BA158" s="75"/>
      <c r="BB158" s="75"/>
      <c r="BC158" s="75"/>
      <c r="BD158" s="75"/>
      <c r="BE158" s="75"/>
      <c r="BF158" s="75"/>
      <c r="BG158" s="75"/>
      <c r="BH158" s="75"/>
      <c r="BI158" s="75"/>
      <c r="BJ158" s="75"/>
      <c r="BK158" s="75"/>
      <c r="BL158" s="75"/>
      <c r="BM158" s="75"/>
      <c r="BN158" s="75"/>
      <c r="BO158" s="75"/>
      <c r="BP158" s="75"/>
      <c r="BQ158" s="75"/>
      <c r="BR158" s="75"/>
      <c r="BS158" s="75"/>
      <c r="BT158" s="75"/>
      <c r="BU158" s="75"/>
      <c r="BV158" s="75"/>
      <c r="BW158" s="75"/>
      <c r="BX158" s="75"/>
      <c r="BY158" s="75"/>
      <c r="BZ158" s="75"/>
      <c r="CA158" s="75"/>
      <c r="CB158" s="75"/>
      <c r="CC158" s="75"/>
      <c r="CD158" s="76"/>
      <c r="CE158" s="53"/>
      <c r="CF158" s="54" t="s">
        <v>308</v>
      </c>
    </row>
    <row r="159" spans="1:84" s="51" customFormat="1" ht="12" customHeight="1" x14ac:dyDescent="0.15">
      <c r="A159" s="55"/>
      <c r="F159" s="71" t="s">
        <v>148</v>
      </c>
      <c r="G159" s="72"/>
      <c r="H159" s="72"/>
      <c r="I159" s="72"/>
      <c r="J159" s="72"/>
      <c r="K159" s="72"/>
      <c r="L159" s="72"/>
      <c r="M159" s="72"/>
      <c r="N159" s="72"/>
      <c r="O159" s="72"/>
      <c r="P159" s="72"/>
      <c r="Q159" s="72"/>
      <c r="R159" s="72"/>
      <c r="S159" s="73"/>
      <c r="T159" s="74" t="s">
        <v>371</v>
      </c>
      <c r="U159" s="75"/>
      <c r="V159" s="75"/>
      <c r="W159" s="75"/>
      <c r="X159" s="75"/>
      <c r="Y159" s="75"/>
      <c r="Z159" s="75"/>
      <c r="AA159" s="75"/>
      <c r="AB159" s="75"/>
      <c r="AC159" s="75"/>
      <c r="AD159" s="75"/>
      <c r="AE159" s="75"/>
      <c r="AF159" s="75"/>
      <c r="AG159" s="75"/>
      <c r="AH159" s="75"/>
      <c r="AI159" s="75"/>
      <c r="AJ159" s="75"/>
      <c r="AK159" s="75"/>
      <c r="AL159" s="75"/>
      <c r="AM159" s="75"/>
      <c r="AN159" s="75"/>
      <c r="AO159" s="75"/>
      <c r="AP159" s="75"/>
      <c r="AQ159" s="75"/>
      <c r="AR159" s="75"/>
      <c r="AS159" s="75"/>
      <c r="AT159" s="75"/>
      <c r="AU159" s="75"/>
      <c r="AV159" s="75"/>
      <c r="AW159" s="75"/>
      <c r="AX159" s="75"/>
      <c r="AY159" s="75"/>
      <c r="AZ159" s="75"/>
      <c r="BA159" s="75"/>
      <c r="BB159" s="75"/>
      <c r="BC159" s="75"/>
      <c r="BD159" s="75"/>
      <c r="BE159" s="75"/>
      <c r="BF159" s="75"/>
      <c r="BG159" s="75"/>
      <c r="BH159" s="75"/>
      <c r="BI159" s="75"/>
      <c r="BJ159" s="75"/>
      <c r="BK159" s="75"/>
      <c r="BL159" s="75"/>
      <c r="BM159" s="75"/>
      <c r="BN159" s="75"/>
      <c r="BO159" s="75"/>
      <c r="BP159" s="75"/>
      <c r="BQ159" s="75"/>
      <c r="BR159" s="75"/>
      <c r="BS159" s="75"/>
      <c r="BT159" s="75"/>
      <c r="BU159" s="75"/>
      <c r="BV159" s="75"/>
      <c r="BW159" s="75"/>
      <c r="BX159" s="75"/>
      <c r="BY159" s="75"/>
      <c r="BZ159" s="75"/>
      <c r="CA159" s="75"/>
      <c r="CB159" s="75"/>
      <c r="CC159" s="75"/>
      <c r="CD159" s="76"/>
      <c r="CE159" s="53"/>
      <c r="CF159" s="54" t="s">
        <v>309</v>
      </c>
    </row>
    <row r="160" spans="1:84" s="51" customFormat="1" ht="12" customHeight="1" x14ac:dyDescent="0.15">
      <c r="A160" s="55"/>
      <c r="F160" s="71" t="s">
        <v>141</v>
      </c>
      <c r="G160" s="72"/>
      <c r="H160" s="72"/>
      <c r="I160" s="72"/>
      <c r="J160" s="72"/>
      <c r="K160" s="72"/>
      <c r="L160" s="72"/>
      <c r="M160" s="72"/>
      <c r="N160" s="72"/>
      <c r="O160" s="72"/>
      <c r="P160" s="72"/>
      <c r="Q160" s="72"/>
      <c r="R160" s="72"/>
      <c r="S160" s="73"/>
      <c r="T160" s="74" t="s">
        <v>537</v>
      </c>
      <c r="U160" s="75"/>
      <c r="V160" s="75"/>
      <c r="W160" s="75"/>
      <c r="X160" s="75"/>
      <c r="Y160" s="75"/>
      <c r="Z160" s="75"/>
      <c r="AA160" s="75"/>
      <c r="AB160" s="75"/>
      <c r="AC160" s="75"/>
      <c r="AD160" s="75"/>
      <c r="AE160" s="75"/>
      <c r="AF160" s="75"/>
      <c r="AG160" s="75"/>
      <c r="AH160" s="75"/>
      <c r="AI160" s="75"/>
      <c r="AJ160" s="75"/>
      <c r="AK160" s="75"/>
      <c r="AL160" s="75"/>
      <c r="AM160" s="75"/>
      <c r="AN160" s="75"/>
      <c r="AO160" s="75"/>
      <c r="AP160" s="75"/>
      <c r="AQ160" s="75"/>
      <c r="AR160" s="75"/>
      <c r="AS160" s="75"/>
      <c r="AT160" s="75"/>
      <c r="AU160" s="75"/>
      <c r="AV160" s="75"/>
      <c r="AW160" s="75"/>
      <c r="AX160" s="75"/>
      <c r="AY160" s="75"/>
      <c r="AZ160" s="75"/>
      <c r="BA160" s="75"/>
      <c r="BB160" s="75"/>
      <c r="BC160" s="75"/>
      <c r="BD160" s="75"/>
      <c r="BE160" s="75"/>
      <c r="BF160" s="75"/>
      <c r="BG160" s="75"/>
      <c r="BH160" s="75"/>
      <c r="BI160" s="75"/>
      <c r="BJ160" s="75"/>
      <c r="BK160" s="75"/>
      <c r="BL160" s="75"/>
      <c r="BM160" s="75"/>
      <c r="BN160" s="75"/>
      <c r="BO160" s="75"/>
      <c r="BP160" s="75"/>
      <c r="BQ160" s="75"/>
      <c r="BR160" s="75"/>
      <c r="BS160" s="75"/>
      <c r="BT160" s="75"/>
      <c r="BU160" s="75"/>
      <c r="BV160" s="75"/>
      <c r="BW160" s="75"/>
      <c r="BX160" s="75"/>
      <c r="BY160" s="75"/>
      <c r="BZ160" s="75"/>
      <c r="CA160" s="75"/>
      <c r="CB160" s="75"/>
      <c r="CC160" s="75"/>
      <c r="CD160" s="76"/>
      <c r="CE160" s="53"/>
      <c r="CF160" s="54" t="s">
        <v>310</v>
      </c>
    </row>
    <row r="161" spans="1:84" ht="12" customHeight="1" x14ac:dyDescent="0.15">
      <c r="A161" s="3"/>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4"/>
      <c r="CF161" s="15" t="s">
        <v>177</v>
      </c>
    </row>
    <row r="162" spans="1:84" ht="12" customHeight="1" x14ac:dyDescent="0.15">
      <c r="A162" s="3"/>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4"/>
      <c r="CF162" s="15" t="s">
        <v>178</v>
      </c>
    </row>
    <row r="163" spans="1:84" ht="12" customHeight="1" x14ac:dyDescent="0.15">
      <c r="A163" s="3"/>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4"/>
      <c r="CF163" s="15" t="s">
        <v>179</v>
      </c>
    </row>
    <row r="164" spans="1:84" ht="12" customHeight="1" x14ac:dyDescent="0.15">
      <c r="A164" s="3"/>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4"/>
      <c r="CF164" s="15" t="s">
        <v>180</v>
      </c>
    </row>
    <row r="165" spans="1:84" ht="12" customHeight="1" x14ac:dyDescent="0.15">
      <c r="A165" s="3"/>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4"/>
      <c r="CF165" s="15" t="s">
        <v>181</v>
      </c>
    </row>
    <row r="166" spans="1:84" ht="12" customHeight="1" x14ac:dyDescent="0.15">
      <c r="A166" s="3"/>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4"/>
      <c r="CF166" s="15" t="s">
        <v>182</v>
      </c>
    </row>
    <row r="167" spans="1:84" ht="12" customHeight="1" x14ac:dyDescent="0.15">
      <c r="A167" s="3"/>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4"/>
      <c r="CF167" s="15" t="s">
        <v>183</v>
      </c>
    </row>
    <row r="168" spans="1:84" ht="12" customHeight="1" x14ac:dyDescent="0.15">
      <c r="A168" s="3"/>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4"/>
      <c r="CF168" s="15" t="s">
        <v>184</v>
      </c>
    </row>
    <row r="169" spans="1:84" ht="12" customHeight="1" x14ac:dyDescent="0.15">
      <c r="A169" s="3"/>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4"/>
      <c r="CF169" s="15" t="s">
        <v>308</v>
      </c>
    </row>
    <row r="170" spans="1:84" ht="12" customHeight="1" x14ac:dyDescent="0.15">
      <c r="A170" s="3"/>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4"/>
      <c r="CF170" s="15" t="s">
        <v>311</v>
      </c>
    </row>
    <row r="171" spans="1:84" ht="12" customHeight="1" x14ac:dyDescent="0.15">
      <c r="A171" s="3"/>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4"/>
      <c r="CF171" s="15" t="s">
        <v>312</v>
      </c>
    </row>
    <row r="172" spans="1:84" ht="12" customHeight="1" x14ac:dyDescent="0.15">
      <c r="A172" s="3"/>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4"/>
      <c r="CF172" s="15" t="s">
        <v>313</v>
      </c>
    </row>
    <row r="173" spans="1:84" ht="12" customHeight="1" thickBot="1" x14ac:dyDescent="0.2">
      <c r="A173" s="16"/>
      <c r="B173" s="17"/>
      <c r="C173" s="17"/>
      <c r="D173" s="17"/>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c r="BI173" s="18"/>
      <c r="BJ173" s="18"/>
      <c r="BK173" s="18"/>
      <c r="BL173" s="18"/>
      <c r="BM173" s="18"/>
      <c r="BN173" s="18"/>
      <c r="BO173" s="18"/>
      <c r="BP173" s="18"/>
      <c r="BQ173" s="18"/>
      <c r="BR173" s="18"/>
      <c r="BS173" s="18"/>
      <c r="BT173" s="18"/>
      <c r="BU173" s="18"/>
      <c r="BV173" s="18"/>
      <c r="BW173" s="18"/>
      <c r="BX173" s="18"/>
      <c r="BY173" s="18"/>
      <c r="BZ173" s="18"/>
      <c r="CA173" s="18"/>
      <c r="CB173" s="18"/>
      <c r="CC173" s="18"/>
      <c r="CD173" s="18"/>
      <c r="CE173" s="19"/>
      <c r="CF173" s="15" t="s">
        <v>314</v>
      </c>
    </row>
    <row r="174" spans="1:84" ht="12" customHeight="1" x14ac:dyDescent="0.15">
      <c r="A174" s="12"/>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c r="AD174" s="13"/>
      <c r="AE174" s="13"/>
      <c r="AF174" s="13"/>
      <c r="AG174" s="13"/>
      <c r="AH174" s="13"/>
      <c r="AI174" s="13"/>
      <c r="AJ174" s="13"/>
      <c r="AK174" s="13"/>
      <c r="AL174" s="13"/>
      <c r="AM174" s="13"/>
      <c r="AN174" s="13"/>
      <c r="AO174" s="13"/>
      <c r="AP174" s="13"/>
      <c r="AQ174" s="13"/>
      <c r="AR174" s="13"/>
      <c r="AS174" s="13"/>
      <c r="AT174" s="13"/>
      <c r="AU174" s="13"/>
      <c r="AV174" s="13"/>
      <c r="AW174" s="13"/>
      <c r="AX174" s="13"/>
      <c r="AY174" s="13"/>
      <c r="AZ174" s="13"/>
      <c r="BA174" s="13"/>
      <c r="BB174" s="13"/>
      <c r="BC174" s="13"/>
      <c r="BD174" s="13"/>
      <c r="BE174" s="13"/>
      <c r="BF174" s="13"/>
      <c r="BG174" s="13"/>
      <c r="BH174" s="13"/>
      <c r="BI174" s="13"/>
      <c r="BJ174" s="13"/>
      <c r="BK174" s="13"/>
      <c r="BL174" s="13"/>
      <c r="BM174" s="13"/>
      <c r="BN174" s="13"/>
      <c r="BO174" s="13"/>
      <c r="BP174" s="13"/>
      <c r="BQ174" s="13"/>
      <c r="BR174" s="13"/>
      <c r="BS174" s="13"/>
      <c r="BT174" s="13"/>
      <c r="BU174" s="13"/>
      <c r="BV174" s="13"/>
      <c r="BW174" s="13"/>
      <c r="BX174" s="13"/>
      <c r="BY174" s="13"/>
      <c r="BZ174" s="13"/>
      <c r="CA174" s="13"/>
      <c r="CB174" s="13"/>
      <c r="CC174" s="13"/>
      <c r="CD174" s="13"/>
      <c r="CE174" s="14"/>
      <c r="CF174" s="15" t="s">
        <v>315</v>
      </c>
    </row>
    <row r="175" spans="1:84" ht="12" customHeight="1" x14ac:dyDescent="0.15">
      <c r="A175" s="3"/>
      <c r="B175" s="1"/>
      <c r="C175" s="1"/>
      <c r="D175" s="1"/>
      <c r="E175" s="80" t="s">
        <v>150</v>
      </c>
      <c r="F175" s="80"/>
      <c r="G175" s="80"/>
      <c r="H175" s="80"/>
      <c r="I175" s="80"/>
      <c r="J175" s="80"/>
      <c r="K175" s="80"/>
      <c r="L175" s="80"/>
      <c r="M175" s="80"/>
      <c r="N175" s="80"/>
      <c r="O175" s="80"/>
      <c r="P175" s="80"/>
      <c r="Q175" s="80"/>
      <c r="R175" s="80"/>
      <c r="S175" s="80"/>
      <c r="T175" s="80"/>
      <c r="U175" s="80"/>
      <c r="V175" s="80"/>
      <c r="W175" s="80"/>
      <c r="X175" s="80"/>
      <c r="Y175" s="80"/>
      <c r="Z175" s="80"/>
      <c r="AA175" s="80"/>
      <c r="AB175" s="80"/>
      <c r="AC175" s="80"/>
      <c r="AD175" s="80"/>
      <c r="AE175" s="80"/>
      <c r="AF175" s="80" t="s">
        <v>151</v>
      </c>
      <c r="AG175" s="80"/>
      <c r="AH175" s="80"/>
      <c r="AI175" s="80" t="s">
        <v>152</v>
      </c>
      <c r="AJ175" s="80"/>
      <c r="AK175" s="80"/>
      <c r="AL175" s="80" t="s">
        <v>153</v>
      </c>
      <c r="AM175" s="80"/>
      <c r="AN175" s="80"/>
      <c r="AO175" s="80" t="s">
        <v>154</v>
      </c>
      <c r="AP175" s="80"/>
      <c r="AQ175" s="80"/>
      <c r="AR175" s="80" t="s">
        <v>155</v>
      </c>
      <c r="AS175" s="80"/>
      <c r="AT175" s="80"/>
      <c r="AU175" s="80" t="s">
        <v>156</v>
      </c>
      <c r="AV175" s="80"/>
      <c r="AW175" s="80"/>
      <c r="AX175" s="80" t="s">
        <v>157</v>
      </c>
      <c r="AY175" s="80"/>
      <c r="AZ175" s="80"/>
      <c r="BA175" s="80" t="s">
        <v>141</v>
      </c>
      <c r="BB175" s="80"/>
      <c r="BC175" s="80"/>
      <c r="BD175" s="80"/>
      <c r="BE175" s="80"/>
      <c r="BF175" s="80"/>
      <c r="BG175" s="80"/>
      <c r="BH175" s="80"/>
      <c r="BI175" s="80"/>
      <c r="BJ175" s="80"/>
      <c r="BK175" s="80"/>
      <c r="BL175" s="80"/>
      <c r="BM175" s="80"/>
      <c r="BN175" s="80"/>
      <c r="BO175" s="80"/>
      <c r="BP175" s="80"/>
      <c r="BQ175" s="80"/>
      <c r="BR175" s="80"/>
      <c r="BS175" s="80"/>
      <c r="BT175" s="80"/>
      <c r="BU175" s="80"/>
      <c r="BV175" s="20"/>
      <c r="BW175" s="20"/>
      <c r="BX175" s="20"/>
      <c r="BY175" s="20"/>
      <c r="BZ175" s="20"/>
      <c r="CA175" s="20"/>
      <c r="CB175" s="20"/>
      <c r="CC175" s="20"/>
      <c r="CD175" s="20"/>
      <c r="CE175" s="4"/>
      <c r="CF175" s="15" t="s">
        <v>225</v>
      </c>
    </row>
    <row r="176" spans="1:84" ht="12" customHeight="1" x14ac:dyDescent="0.15">
      <c r="A176" s="3"/>
      <c r="B176" s="1"/>
      <c r="C176" s="1"/>
      <c r="D176" s="1"/>
      <c r="E176" s="81" t="s">
        <v>223</v>
      </c>
      <c r="F176" s="81"/>
      <c r="G176" s="81"/>
      <c r="H176" s="81"/>
      <c r="I176" s="81"/>
      <c r="J176" s="81"/>
      <c r="K176" s="81"/>
      <c r="L176" s="81"/>
      <c r="M176" s="81"/>
      <c r="N176" s="81"/>
      <c r="O176" s="81"/>
      <c r="P176" s="81"/>
      <c r="Q176" s="81"/>
      <c r="R176" s="81"/>
      <c r="S176" s="81"/>
      <c r="T176" s="81"/>
      <c r="U176" s="81"/>
      <c r="V176" s="81"/>
      <c r="W176" s="81"/>
      <c r="X176" s="81"/>
      <c r="Y176" s="81"/>
      <c r="Z176" s="81"/>
      <c r="AA176" s="81"/>
      <c r="AB176" s="81"/>
      <c r="AC176" s="81"/>
      <c r="AD176" s="81"/>
      <c r="AE176" s="81"/>
      <c r="AF176" s="82" t="s">
        <v>124</v>
      </c>
      <c r="AG176" s="82"/>
      <c r="AH176" s="82"/>
      <c r="AI176" s="82" t="s">
        <v>124</v>
      </c>
      <c r="AJ176" s="82"/>
      <c r="AK176" s="82"/>
      <c r="AL176" s="82" t="s">
        <v>124</v>
      </c>
      <c r="AM176" s="82"/>
      <c r="AN176" s="82"/>
      <c r="AO176" s="82" t="s">
        <v>124</v>
      </c>
      <c r="AP176" s="82"/>
      <c r="AQ176" s="82"/>
      <c r="AR176" s="82" t="s">
        <v>124</v>
      </c>
      <c r="AS176" s="82"/>
      <c r="AT176" s="82"/>
      <c r="AU176" s="82" t="s">
        <v>124</v>
      </c>
      <c r="AV176" s="82"/>
      <c r="AW176" s="82"/>
      <c r="AX176" s="82" t="s">
        <v>124</v>
      </c>
      <c r="AY176" s="82"/>
      <c r="AZ176" s="82"/>
      <c r="BA176" s="81" t="s">
        <v>194</v>
      </c>
      <c r="BB176" s="81"/>
      <c r="BC176" s="81"/>
      <c r="BD176" s="81"/>
      <c r="BE176" s="81"/>
      <c r="BF176" s="81"/>
      <c r="BG176" s="81"/>
      <c r="BH176" s="81"/>
      <c r="BI176" s="81"/>
      <c r="BJ176" s="81"/>
      <c r="BK176" s="81"/>
      <c r="BL176" s="81"/>
      <c r="BM176" s="81"/>
      <c r="BN176" s="81"/>
      <c r="BO176" s="81"/>
      <c r="BP176" s="81"/>
      <c r="BQ176" s="81"/>
      <c r="BR176" s="81"/>
      <c r="BS176" s="81"/>
      <c r="BT176" s="81"/>
      <c r="BU176" s="81"/>
      <c r="BV176" s="20"/>
      <c r="BW176" s="20"/>
      <c r="BX176" s="20"/>
      <c r="BY176" s="20"/>
      <c r="BZ176" s="20"/>
      <c r="CA176" s="20"/>
      <c r="CB176" s="20"/>
      <c r="CC176" s="20"/>
      <c r="CD176" s="20"/>
      <c r="CE176" s="4"/>
      <c r="CF176" s="15" t="s">
        <v>316</v>
      </c>
    </row>
    <row r="177" spans="1:88" ht="12" customHeight="1" x14ac:dyDescent="0.15">
      <c r="A177" s="3"/>
      <c r="B177" s="1"/>
      <c r="C177" s="1"/>
      <c r="D177" s="1"/>
      <c r="E177" s="81"/>
      <c r="F177" s="81"/>
      <c r="G177" s="81"/>
      <c r="H177" s="81"/>
      <c r="I177" s="81"/>
      <c r="J177" s="81"/>
      <c r="K177" s="81"/>
      <c r="L177" s="81"/>
      <c r="M177" s="81"/>
      <c r="N177" s="81"/>
      <c r="O177" s="81"/>
      <c r="P177" s="81"/>
      <c r="Q177" s="81"/>
      <c r="R177" s="81"/>
      <c r="S177" s="81"/>
      <c r="T177" s="81"/>
      <c r="U177" s="81"/>
      <c r="V177" s="81"/>
      <c r="W177" s="81"/>
      <c r="X177" s="81"/>
      <c r="Y177" s="81"/>
      <c r="Z177" s="81"/>
      <c r="AA177" s="81"/>
      <c r="AB177" s="81"/>
      <c r="AC177" s="81"/>
      <c r="AD177" s="81"/>
      <c r="AE177" s="81"/>
      <c r="AF177" s="82"/>
      <c r="AG177" s="82"/>
      <c r="AH177" s="82"/>
      <c r="AI177" s="82"/>
      <c r="AJ177" s="82"/>
      <c r="AK177" s="82"/>
      <c r="AL177" s="82"/>
      <c r="AM177" s="82"/>
      <c r="AN177" s="82"/>
      <c r="AO177" s="82"/>
      <c r="AP177" s="82"/>
      <c r="AQ177" s="82"/>
      <c r="AR177" s="82"/>
      <c r="AS177" s="82"/>
      <c r="AT177" s="82"/>
      <c r="AU177" s="82"/>
      <c r="AV177" s="82"/>
      <c r="AW177" s="82"/>
      <c r="AX177" s="82"/>
      <c r="AY177" s="82"/>
      <c r="AZ177" s="82"/>
      <c r="BA177" s="81"/>
      <c r="BB177" s="81"/>
      <c r="BC177" s="81"/>
      <c r="BD177" s="81"/>
      <c r="BE177" s="81"/>
      <c r="BF177" s="81"/>
      <c r="BG177" s="81"/>
      <c r="BH177" s="81"/>
      <c r="BI177" s="81"/>
      <c r="BJ177" s="81"/>
      <c r="BK177" s="81"/>
      <c r="BL177" s="81"/>
      <c r="BM177" s="81"/>
      <c r="BN177" s="81"/>
      <c r="BO177" s="81"/>
      <c r="BP177" s="81"/>
      <c r="BQ177" s="81"/>
      <c r="BR177" s="81"/>
      <c r="BS177" s="81"/>
      <c r="BT177" s="81"/>
      <c r="BU177" s="81"/>
      <c r="BV177" s="21"/>
      <c r="BW177" s="21"/>
      <c r="BX177" s="21"/>
      <c r="BY177" s="21"/>
      <c r="BZ177" s="21"/>
      <c r="CA177" s="21"/>
      <c r="CB177" s="21"/>
      <c r="CC177" s="21"/>
      <c r="CD177" s="21"/>
      <c r="CE177" s="4"/>
      <c r="CF177" s="15" t="s">
        <v>317</v>
      </c>
    </row>
    <row r="178" spans="1:88" ht="12" customHeight="1" x14ac:dyDescent="0.15">
      <c r="A178" s="3"/>
      <c r="B178" s="1"/>
      <c r="C178" s="1"/>
      <c r="D178" s="1"/>
      <c r="E178" s="81" t="s">
        <v>327</v>
      </c>
      <c r="F178" s="81"/>
      <c r="G178" s="81"/>
      <c r="H178" s="81"/>
      <c r="I178" s="81"/>
      <c r="J178" s="81"/>
      <c r="K178" s="81"/>
      <c r="L178" s="81"/>
      <c r="M178" s="81"/>
      <c r="N178" s="81"/>
      <c r="O178" s="81"/>
      <c r="P178" s="81"/>
      <c r="Q178" s="81"/>
      <c r="R178" s="81"/>
      <c r="S178" s="81"/>
      <c r="T178" s="81"/>
      <c r="U178" s="81"/>
      <c r="V178" s="81"/>
      <c r="W178" s="81"/>
      <c r="X178" s="81"/>
      <c r="Y178" s="81"/>
      <c r="Z178" s="81"/>
      <c r="AA178" s="81"/>
      <c r="AB178" s="81"/>
      <c r="AC178" s="81"/>
      <c r="AD178" s="81"/>
      <c r="AE178" s="81"/>
      <c r="AF178" s="82" t="s">
        <v>158</v>
      </c>
      <c r="AG178" s="82"/>
      <c r="AH178" s="82"/>
      <c r="AI178" s="82" t="s">
        <v>158</v>
      </c>
      <c r="AJ178" s="82"/>
      <c r="AK178" s="82"/>
      <c r="AL178" s="82" t="s">
        <v>158</v>
      </c>
      <c r="AM178" s="82"/>
      <c r="AN178" s="82"/>
      <c r="AO178" s="82" t="s">
        <v>158</v>
      </c>
      <c r="AP178" s="82"/>
      <c r="AQ178" s="82"/>
      <c r="AR178" s="82" t="s">
        <v>158</v>
      </c>
      <c r="AS178" s="82"/>
      <c r="AT178" s="82"/>
      <c r="AU178" s="82" t="s">
        <v>158</v>
      </c>
      <c r="AV178" s="82"/>
      <c r="AW178" s="82"/>
      <c r="AX178" s="82" t="s">
        <v>158</v>
      </c>
      <c r="AY178" s="82"/>
      <c r="AZ178" s="82"/>
      <c r="BA178" s="81" t="s">
        <v>362</v>
      </c>
      <c r="BB178" s="81"/>
      <c r="BC178" s="81"/>
      <c r="BD178" s="81"/>
      <c r="BE178" s="81"/>
      <c r="BF178" s="81"/>
      <c r="BG178" s="81"/>
      <c r="BH178" s="81"/>
      <c r="BI178" s="81"/>
      <c r="BJ178" s="81"/>
      <c r="BK178" s="81"/>
      <c r="BL178" s="81"/>
      <c r="BM178" s="81"/>
      <c r="BN178" s="81"/>
      <c r="BO178" s="81"/>
      <c r="BP178" s="81"/>
      <c r="BQ178" s="81"/>
      <c r="BR178" s="81"/>
      <c r="BS178" s="81"/>
      <c r="BT178" s="81"/>
      <c r="BU178" s="81"/>
      <c r="BV178" s="20"/>
      <c r="BW178" s="20"/>
      <c r="BX178" s="20"/>
      <c r="BY178" s="20"/>
      <c r="BZ178" s="20"/>
      <c r="CA178" s="20"/>
      <c r="CB178" s="20"/>
      <c r="CC178" s="20"/>
      <c r="CD178" s="20"/>
      <c r="CE178" s="4"/>
      <c r="CF178" s="15" t="s">
        <v>318</v>
      </c>
    </row>
    <row r="179" spans="1:88" ht="12" customHeight="1" x14ac:dyDescent="0.15">
      <c r="A179" s="3"/>
      <c r="B179" s="1"/>
      <c r="C179" s="1"/>
      <c r="D179" s="1"/>
      <c r="E179" s="81"/>
      <c r="F179" s="81"/>
      <c r="G179" s="81"/>
      <c r="H179" s="81"/>
      <c r="I179" s="81"/>
      <c r="J179" s="81"/>
      <c r="K179" s="81"/>
      <c r="L179" s="81"/>
      <c r="M179" s="81"/>
      <c r="N179" s="81"/>
      <c r="O179" s="81"/>
      <c r="P179" s="81"/>
      <c r="Q179" s="81"/>
      <c r="R179" s="81"/>
      <c r="S179" s="81"/>
      <c r="T179" s="81"/>
      <c r="U179" s="81"/>
      <c r="V179" s="81"/>
      <c r="W179" s="81"/>
      <c r="X179" s="81"/>
      <c r="Y179" s="81"/>
      <c r="Z179" s="81"/>
      <c r="AA179" s="81"/>
      <c r="AB179" s="81"/>
      <c r="AC179" s="81"/>
      <c r="AD179" s="81"/>
      <c r="AE179" s="81"/>
      <c r="AF179" s="82"/>
      <c r="AG179" s="82"/>
      <c r="AH179" s="82"/>
      <c r="AI179" s="82"/>
      <c r="AJ179" s="82"/>
      <c r="AK179" s="82"/>
      <c r="AL179" s="82"/>
      <c r="AM179" s="82"/>
      <c r="AN179" s="82"/>
      <c r="AO179" s="82"/>
      <c r="AP179" s="82"/>
      <c r="AQ179" s="82"/>
      <c r="AR179" s="82"/>
      <c r="AS179" s="82"/>
      <c r="AT179" s="82"/>
      <c r="AU179" s="82"/>
      <c r="AV179" s="82"/>
      <c r="AW179" s="82"/>
      <c r="AX179" s="82"/>
      <c r="AY179" s="82"/>
      <c r="AZ179" s="82"/>
      <c r="BA179" s="81"/>
      <c r="BB179" s="81"/>
      <c r="BC179" s="81"/>
      <c r="BD179" s="81"/>
      <c r="BE179" s="81"/>
      <c r="BF179" s="81"/>
      <c r="BG179" s="81"/>
      <c r="BH179" s="81"/>
      <c r="BI179" s="81"/>
      <c r="BJ179" s="81"/>
      <c r="BK179" s="81"/>
      <c r="BL179" s="81"/>
      <c r="BM179" s="81"/>
      <c r="BN179" s="81"/>
      <c r="BO179" s="81"/>
      <c r="BP179" s="81"/>
      <c r="BQ179" s="81"/>
      <c r="BR179" s="81"/>
      <c r="BS179" s="81"/>
      <c r="BT179" s="81"/>
      <c r="BU179" s="81"/>
      <c r="BV179" s="20"/>
      <c r="BW179" s="20"/>
      <c r="BX179" s="20"/>
      <c r="BY179" s="20"/>
      <c r="BZ179" s="20"/>
      <c r="CA179" s="20"/>
      <c r="CB179" s="20"/>
      <c r="CC179" s="20"/>
      <c r="CD179" s="20"/>
      <c r="CE179" s="4"/>
      <c r="CF179" s="15" t="s">
        <v>319</v>
      </c>
    </row>
    <row r="180" spans="1:88" ht="12" customHeight="1" x14ac:dyDescent="0.15">
      <c r="A180" s="3"/>
      <c r="B180" s="1"/>
      <c r="C180" s="1"/>
      <c r="D180" s="1"/>
      <c r="E180" s="81" t="s">
        <v>289</v>
      </c>
      <c r="F180" s="81"/>
      <c r="G180" s="81"/>
      <c r="H180" s="81"/>
      <c r="I180" s="81"/>
      <c r="J180" s="81"/>
      <c r="K180" s="81"/>
      <c r="L180" s="81"/>
      <c r="M180" s="81"/>
      <c r="N180" s="81"/>
      <c r="O180" s="81"/>
      <c r="P180" s="81"/>
      <c r="Q180" s="81"/>
      <c r="R180" s="81"/>
      <c r="S180" s="81"/>
      <c r="T180" s="81"/>
      <c r="U180" s="81"/>
      <c r="V180" s="81"/>
      <c r="W180" s="81"/>
      <c r="X180" s="81"/>
      <c r="Y180" s="81"/>
      <c r="Z180" s="81"/>
      <c r="AA180" s="81"/>
      <c r="AB180" s="81"/>
      <c r="AC180" s="81"/>
      <c r="AD180" s="81"/>
      <c r="AE180" s="81"/>
      <c r="AF180" s="82" t="s">
        <v>158</v>
      </c>
      <c r="AG180" s="82"/>
      <c r="AH180" s="82"/>
      <c r="AI180" s="82" t="s">
        <v>158</v>
      </c>
      <c r="AJ180" s="82"/>
      <c r="AK180" s="82"/>
      <c r="AL180" s="82" t="s">
        <v>158</v>
      </c>
      <c r="AM180" s="82"/>
      <c r="AN180" s="82"/>
      <c r="AO180" s="82" t="s">
        <v>158</v>
      </c>
      <c r="AP180" s="82"/>
      <c r="AQ180" s="82"/>
      <c r="AR180" s="82" t="s">
        <v>158</v>
      </c>
      <c r="AS180" s="82"/>
      <c r="AT180" s="82"/>
      <c r="AU180" s="82" t="s">
        <v>158</v>
      </c>
      <c r="AV180" s="82"/>
      <c r="AW180" s="82"/>
      <c r="AX180" s="82" t="s">
        <v>158</v>
      </c>
      <c r="AY180" s="82"/>
      <c r="AZ180" s="82"/>
      <c r="BA180" s="81" t="s">
        <v>211</v>
      </c>
      <c r="BB180" s="81"/>
      <c r="BC180" s="81"/>
      <c r="BD180" s="81"/>
      <c r="BE180" s="81"/>
      <c r="BF180" s="81"/>
      <c r="BG180" s="81"/>
      <c r="BH180" s="81"/>
      <c r="BI180" s="81"/>
      <c r="BJ180" s="81"/>
      <c r="BK180" s="81"/>
      <c r="BL180" s="81"/>
      <c r="BM180" s="81"/>
      <c r="BN180" s="81"/>
      <c r="BO180" s="81"/>
      <c r="BP180" s="81"/>
      <c r="BQ180" s="81"/>
      <c r="BR180" s="81"/>
      <c r="BS180" s="81"/>
      <c r="BT180" s="81"/>
      <c r="BU180" s="81"/>
      <c r="BV180" s="20"/>
      <c r="BW180" s="20"/>
      <c r="BX180" s="20"/>
      <c r="BY180" s="20"/>
      <c r="BZ180" s="20"/>
      <c r="CA180" s="20"/>
      <c r="CB180" s="20"/>
      <c r="CC180" s="20"/>
      <c r="CD180" s="20"/>
      <c r="CE180" s="4"/>
      <c r="CF180" s="15" t="s">
        <v>320</v>
      </c>
    </row>
    <row r="181" spans="1:88" ht="12" customHeight="1" x14ac:dyDescent="0.15">
      <c r="A181" s="3"/>
      <c r="B181" s="1"/>
      <c r="C181" s="1"/>
      <c r="D181" s="1"/>
      <c r="E181" s="81"/>
      <c r="F181" s="81"/>
      <c r="G181" s="81"/>
      <c r="H181" s="81"/>
      <c r="I181" s="81"/>
      <c r="J181" s="81"/>
      <c r="K181" s="81"/>
      <c r="L181" s="81"/>
      <c r="M181" s="81"/>
      <c r="N181" s="81"/>
      <c r="O181" s="81"/>
      <c r="P181" s="81"/>
      <c r="Q181" s="81"/>
      <c r="R181" s="81"/>
      <c r="S181" s="81"/>
      <c r="T181" s="81"/>
      <c r="U181" s="81"/>
      <c r="V181" s="81"/>
      <c r="W181" s="81"/>
      <c r="X181" s="81"/>
      <c r="Y181" s="81"/>
      <c r="Z181" s="81"/>
      <c r="AA181" s="81"/>
      <c r="AB181" s="81"/>
      <c r="AC181" s="81"/>
      <c r="AD181" s="81"/>
      <c r="AE181" s="81"/>
      <c r="AF181" s="82"/>
      <c r="AG181" s="82"/>
      <c r="AH181" s="82"/>
      <c r="AI181" s="82"/>
      <c r="AJ181" s="82"/>
      <c r="AK181" s="82"/>
      <c r="AL181" s="82"/>
      <c r="AM181" s="82"/>
      <c r="AN181" s="82"/>
      <c r="AO181" s="82"/>
      <c r="AP181" s="82"/>
      <c r="AQ181" s="82"/>
      <c r="AR181" s="82"/>
      <c r="AS181" s="82"/>
      <c r="AT181" s="82"/>
      <c r="AU181" s="82"/>
      <c r="AV181" s="82"/>
      <c r="AW181" s="82"/>
      <c r="AX181" s="82"/>
      <c r="AY181" s="82"/>
      <c r="AZ181" s="82"/>
      <c r="BA181" s="81"/>
      <c r="BB181" s="81"/>
      <c r="BC181" s="81"/>
      <c r="BD181" s="81"/>
      <c r="BE181" s="81"/>
      <c r="BF181" s="81"/>
      <c r="BG181" s="81"/>
      <c r="BH181" s="81"/>
      <c r="BI181" s="81"/>
      <c r="BJ181" s="81"/>
      <c r="BK181" s="81"/>
      <c r="BL181" s="81"/>
      <c r="BM181" s="81"/>
      <c r="BN181" s="81"/>
      <c r="BO181" s="81"/>
      <c r="BP181" s="81"/>
      <c r="BQ181" s="81"/>
      <c r="BR181" s="81"/>
      <c r="BS181" s="81"/>
      <c r="BT181" s="81"/>
      <c r="BU181" s="81"/>
      <c r="BV181" s="20"/>
      <c r="BW181" s="20"/>
      <c r="BX181" s="20"/>
      <c r="BY181" s="20"/>
      <c r="BZ181" s="20"/>
      <c r="CA181" s="20"/>
      <c r="CB181" s="20"/>
      <c r="CC181" s="20"/>
      <c r="CD181" s="20"/>
      <c r="CE181" s="4"/>
      <c r="CF181" s="15" t="s">
        <v>321</v>
      </c>
    </row>
    <row r="182" spans="1:88" ht="12" customHeight="1" x14ac:dyDescent="0.15">
      <c r="A182" s="50"/>
      <c r="B182" s="51"/>
      <c r="C182" s="51"/>
      <c r="D182" s="51"/>
      <c r="E182" s="77" t="s">
        <v>513</v>
      </c>
      <c r="F182" s="77"/>
      <c r="G182" s="77"/>
      <c r="H182" s="77"/>
      <c r="I182" s="77"/>
      <c r="J182" s="77"/>
      <c r="K182" s="77"/>
      <c r="L182" s="77"/>
      <c r="M182" s="77"/>
      <c r="N182" s="77"/>
      <c r="O182" s="77"/>
      <c r="P182" s="77"/>
      <c r="Q182" s="77"/>
      <c r="R182" s="77"/>
      <c r="S182" s="77"/>
      <c r="T182" s="77"/>
      <c r="U182" s="77"/>
      <c r="V182" s="77"/>
      <c r="W182" s="77"/>
      <c r="X182" s="77"/>
      <c r="Y182" s="77"/>
      <c r="Z182" s="77"/>
      <c r="AA182" s="77"/>
      <c r="AB182" s="77"/>
      <c r="AC182" s="77"/>
      <c r="AD182" s="77"/>
      <c r="AE182" s="77"/>
      <c r="AF182" s="78" t="s">
        <v>158</v>
      </c>
      <c r="AG182" s="78"/>
      <c r="AH182" s="78"/>
      <c r="AI182" s="78" t="s">
        <v>158</v>
      </c>
      <c r="AJ182" s="78"/>
      <c r="AK182" s="78"/>
      <c r="AL182" s="78" t="s">
        <v>158</v>
      </c>
      <c r="AM182" s="78"/>
      <c r="AN182" s="78"/>
      <c r="AO182" s="78" t="s">
        <v>158</v>
      </c>
      <c r="AP182" s="78"/>
      <c r="AQ182" s="78"/>
      <c r="AR182" s="78" t="s">
        <v>158</v>
      </c>
      <c r="AS182" s="78"/>
      <c r="AT182" s="78"/>
      <c r="AU182" s="78" t="s">
        <v>158</v>
      </c>
      <c r="AV182" s="78"/>
      <c r="AW182" s="78"/>
      <c r="AX182" s="78" t="s">
        <v>158</v>
      </c>
      <c r="AY182" s="78"/>
      <c r="AZ182" s="78"/>
      <c r="BA182" s="77" t="s">
        <v>372</v>
      </c>
      <c r="BB182" s="77"/>
      <c r="BC182" s="77"/>
      <c r="BD182" s="77"/>
      <c r="BE182" s="77"/>
      <c r="BF182" s="77"/>
      <c r="BG182" s="77"/>
      <c r="BH182" s="77"/>
      <c r="BI182" s="77"/>
      <c r="BJ182" s="77"/>
      <c r="BK182" s="77"/>
      <c r="BL182" s="77"/>
      <c r="BM182" s="77"/>
      <c r="BN182" s="77"/>
      <c r="BO182" s="77"/>
      <c r="BP182" s="77"/>
      <c r="BQ182" s="77"/>
      <c r="BR182" s="77"/>
      <c r="BS182" s="77"/>
      <c r="BT182" s="79"/>
      <c r="BU182" s="79"/>
      <c r="BV182" s="56"/>
      <c r="BW182" s="56"/>
      <c r="BX182" s="56"/>
      <c r="BY182" s="56"/>
      <c r="BZ182" s="56"/>
      <c r="CA182" s="56"/>
      <c r="CB182" s="56"/>
      <c r="CC182" s="56"/>
      <c r="CD182" s="56"/>
      <c r="CE182" s="53"/>
      <c r="CF182" s="15" t="s">
        <v>187</v>
      </c>
    </row>
    <row r="183" spans="1:88" ht="12" customHeight="1" x14ac:dyDescent="0.15">
      <c r="A183" s="50"/>
      <c r="B183" s="51"/>
      <c r="C183" s="51"/>
      <c r="D183" s="51"/>
      <c r="E183" s="77"/>
      <c r="F183" s="77"/>
      <c r="G183" s="77"/>
      <c r="H183" s="77"/>
      <c r="I183" s="77"/>
      <c r="J183" s="77"/>
      <c r="K183" s="77"/>
      <c r="L183" s="77"/>
      <c r="M183" s="77"/>
      <c r="N183" s="77"/>
      <c r="O183" s="77"/>
      <c r="P183" s="77"/>
      <c r="Q183" s="77"/>
      <c r="R183" s="77"/>
      <c r="S183" s="77"/>
      <c r="T183" s="77"/>
      <c r="U183" s="77"/>
      <c r="V183" s="77"/>
      <c r="W183" s="77"/>
      <c r="X183" s="77"/>
      <c r="Y183" s="77"/>
      <c r="Z183" s="77"/>
      <c r="AA183" s="77"/>
      <c r="AB183" s="77"/>
      <c r="AC183" s="77"/>
      <c r="AD183" s="77"/>
      <c r="AE183" s="77"/>
      <c r="AF183" s="78"/>
      <c r="AG183" s="78"/>
      <c r="AH183" s="78"/>
      <c r="AI183" s="78"/>
      <c r="AJ183" s="78"/>
      <c r="AK183" s="78"/>
      <c r="AL183" s="78"/>
      <c r="AM183" s="78"/>
      <c r="AN183" s="78"/>
      <c r="AO183" s="78"/>
      <c r="AP183" s="78"/>
      <c r="AQ183" s="78"/>
      <c r="AR183" s="78"/>
      <c r="AS183" s="78"/>
      <c r="AT183" s="78"/>
      <c r="AU183" s="78"/>
      <c r="AV183" s="78"/>
      <c r="AW183" s="78"/>
      <c r="AX183" s="78"/>
      <c r="AY183" s="78"/>
      <c r="AZ183" s="78"/>
      <c r="BA183" s="77"/>
      <c r="BB183" s="77"/>
      <c r="BC183" s="77"/>
      <c r="BD183" s="77"/>
      <c r="BE183" s="77"/>
      <c r="BF183" s="77"/>
      <c r="BG183" s="77"/>
      <c r="BH183" s="77"/>
      <c r="BI183" s="77"/>
      <c r="BJ183" s="77"/>
      <c r="BK183" s="77"/>
      <c r="BL183" s="77"/>
      <c r="BM183" s="77"/>
      <c r="BN183" s="77"/>
      <c r="BO183" s="77"/>
      <c r="BP183" s="77"/>
      <c r="BQ183" s="77"/>
      <c r="BR183" s="77"/>
      <c r="BS183" s="77"/>
      <c r="BT183" s="79"/>
      <c r="BU183" s="79"/>
      <c r="BV183" s="57"/>
      <c r="BW183" s="57"/>
      <c r="BX183" s="57"/>
      <c r="BY183" s="57"/>
      <c r="BZ183" s="57"/>
      <c r="CA183" s="57"/>
      <c r="CB183" s="57"/>
      <c r="CC183" s="57"/>
      <c r="CD183" s="57"/>
      <c r="CE183" s="53"/>
      <c r="CF183" s="15" t="s">
        <v>328</v>
      </c>
    </row>
    <row r="184" spans="1:88" ht="12" customHeight="1" x14ac:dyDescent="0.15">
      <c r="A184" s="50"/>
      <c r="B184" s="51"/>
      <c r="C184" s="51"/>
      <c r="D184" s="51"/>
      <c r="E184" s="77" t="s">
        <v>512</v>
      </c>
      <c r="F184" s="77"/>
      <c r="G184" s="77"/>
      <c r="H184" s="77"/>
      <c r="I184" s="77"/>
      <c r="J184" s="77"/>
      <c r="K184" s="77"/>
      <c r="L184" s="77"/>
      <c r="M184" s="77"/>
      <c r="N184" s="77"/>
      <c r="O184" s="77"/>
      <c r="P184" s="77"/>
      <c r="Q184" s="77"/>
      <c r="R184" s="77"/>
      <c r="S184" s="77"/>
      <c r="T184" s="77"/>
      <c r="U184" s="77"/>
      <c r="V184" s="77"/>
      <c r="W184" s="77"/>
      <c r="X184" s="77"/>
      <c r="Y184" s="77"/>
      <c r="Z184" s="77"/>
      <c r="AA184" s="77"/>
      <c r="AB184" s="77"/>
      <c r="AC184" s="77"/>
      <c r="AD184" s="77"/>
      <c r="AE184" s="77"/>
      <c r="AF184" s="78" t="s">
        <v>158</v>
      </c>
      <c r="AG184" s="78"/>
      <c r="AH184" s="78"/>
      <c r="AI184" s="78" t="s">
        <v>158</v>
      </c>
      <c r="AJ184" s="78"/>
      <c r="AK184" s="78"/>
      <c r="AL184" s="78" t="s">
        <v>158</v>
      </c>
      <c r="AM184" s="78"/>
      <c r="AN184" s="78"/>
      <c r="AO184" s="78" t="s">
        <v>158</v>
      </c>
      <c r="AP184" s="78"/>
      <c r="AQ184" s="78"/>
      <c r="AR184" s="78" t="s">
        <v>158</v>
      </c>
      <c r="AS184" s="78"/>
      <c r="AT184" s="78"/>
      <c r="AU184" s="78" t="s">
        <v>158</v>
      </c>
      <c r="AV184" s="78"/>
      <c r="AW184" s="78"/>
      <c r="AX184" s="78" t="s">
        <v>158</v>
      </c>
      <c r="AY184" s="78"/>
      <c r="AZ184" s="78"/>
      <c r="BA184" s="77" t="s">
        <v>372</v>
      </c>
      <c r="BB184" s="77"/>
      <c r="BC184" s="77"/>
      <c r="BD184" s="77"/>
      <c r="BE184" s="77"/>
      <c r="BF184" s="77"/>
      <c r="BG184" s="77"/>
      <c r="BH184" s="77"/>
      <c r="BI184" s="77"/>
      <c r="BJ184" s="77"/>
      <c r="BK184" s="77"/>
      <c r="BL184" s="77"/>
      <c r="BM184" s="77"/>
      <c r="BN184" s="77"/>
      <c r="BO184" s="77"/>
      <c r="BP184" s="77"/>
      <c r="BQ184" s="77"/>
      <c r="BR184" s="77"/>
      <c r="BS184" s="77"/>
      <c r="BT184" s="79"/>
      <c r="BU184" s="79"/>
      <c r="BV184" s="56"/>
      <c r="BW184" s="56"/>
      <c r="BX184" s="56"/>
      <c r="BY184" s="56"/>
      <c r="BZ184" s="56"/>
      <c r="CA184" s="56"/>
      <c r="CB184" s="56"/>
      <c r="CC184" s="56"/>
      <c r="CD184" s="56"/>
      <c r="CE184" s="53"/>
      <c r="CF184" s="15" t="s">
        <v>187</v>
      </c>
    </row>
    <row r="185" spans="1:88" ht="12" customHeight="1" x14ac:dyDescent="0.15">
      <c r="A185" s="50"/>
      <c r="B185" s="51"/>
      <c r="C185" s="51"/>
      <c r="D185" s="51"/>
      <c r="E185" s="77"/>
      <c r="F185" s="77"/>
      <c r="G185" s="77"/>
      <c r="H185" s="77"/>
      <c r="I185" s="77"/>
      <c r="J185" s="77"/>
      <c r="K185" s="77"/>
      <c r="L185" s="77"/>
      <c r="M185" s="77"/>
      <c r="N185" s="77"/>
      <c r="O185" s="77"/>
      <c r="P185" s="77"/>
      <c r="Q185" s="77"/>
      <c r="R185" s="77"/>
      <c r="S185" s="77"/>
      <c r="T185" s="77"/>
      <c r="U185" s="77"/>
      <c r="V185" s="77"/>
      <c r="W185" s="77"/>
      <c r="X185" s="77"/>
      <c r="Y185" s="77"/>
      <c r="Z185" s="77"/>
      <c r="AA185" s="77"/>
      <c r="AB185" s="77"/>
      <c r="AC185" s="77"/>
      <c r="AD185" s="77"/>
      <c r="AE185" s="77"/>
      <c r="AF185" s="78"/>
      <c r="AG185" s="78"/>
      <c r="AH185" s="78"/>
      <c r="AI185" s="78"/>
      <c r="AJ185" s="78"/>
      <c r="AK185" s="78"/>
      <c r="AL185" s="78"/>
      <c r="AM185" s="78"/>
      <c r="AN185" s="78"/>
      <c r="AO185" s="78"/>
      <c r="AP185" s="78"/>
      <c r="AQ185" s="78"/>
      <c r="AR185" s="78"/>
      <c r="AS185" s="78"/>
      <c r="AT185" s="78"/>
      <c r="AU185" s="78"/>
      <c r="AV185" s="78"/>
      <c r="AW185" s="78"/>
      <c r="AX185" s="78"/>
      <c r="AY185" s="78"/>
      <c r="AZ185" s="78"/>
      <c r="BA185" s="77"/>
      <c r="BB185" s="77"/>
      <c r="BC185" s="77"/>
      <c r="BD185" s="77"/>
      <c r="BE185" s="77"/>
      <c r="BF185" s="77"/>
      <c r="BG185" s="77"/>
      <c r="BH185" s="77"/>
      <c r="BI185" s="77"/>
      <c r="BJ185" s="77"/>
      <c r="BK185" s="77"/>
      <c r="BL185" s="77"/>
      <c r="BM185" s="77"/>
      <c r="BN185" s="77"/>
      <c r="BO185" s="77"/>
      <c r="BP185" s="77"/>
      <c r="BQ185" s="77"/>
      <c r="BR185" s="77"/>
      <c r="BS185" s="77"/>
      <c r="BT185" s="79"/>
      <c r="BU185" s="79"/>
      <c r="BV185" s="57"/>
      <c r="BW185" s="57"/>
      <c r="BX185" s="57"/>
      <c r="BY185" s="57"/>
      <c r="BZ185" s="57"/>
      <c r="CA185" s="57"/>
      <c r="CB185" s="57"/>
      <c r="CC185" s="57"/>
      <c r="CD185" s="57"/>
      <c r="CE185" s="53"/>
      <c r="CF185" s="15" t="s">
        <v>328</v>
      </c>
    </row>
    <row r="186" spans="1:88" ht="12" customHeight="1" x14ac:dyDescent="0.15">
      <c r="A186" s="3"/>
      <c r="B186" s="1"/>
      <c r="G186" s="20"/>
      <c r="H186" s="20"/>
      <c r="I186" s="20"/>
      <c r="J186" s="20"/>
      <c r="K186" s="20"/>
      <c r="L186" s="20"/>
      <c r="M186" s="20"/>
      <c r="N186" s="20"/>
      <c r="O186" s="20"/>
      <c r="P186" s="20"/>
      <c r="Q186" s="20"/>
      <c r="R186" s="20"/>
      <c r="S186" s="20"/>
      <c r="T186" s="21"/>
      <c r="U186" s="21"/>
      <c r="V186" s="21"/>
      <c r="W186" s="21"/>
      <c r="X186" s="21"/>
      <c r="Y186" s="21"/>
      <c r="Z186" s="21"/>
      <c r="AA186" s="21"/>
      <c r="AB186" s="21"/>
      <c r="AC186" s="21"/>
      <c r="AD186" s="21"/>
      <c r="AE186" s="21"/>
      <c r="AF186" s="21"/>
      <c r="AG186" s="21"/>
      <c r="AH186" s="21"/>
      <c r="AI186" s="21"/>
      <c r="AJ186" s="21"/>
      <c r="AK186" s="21"/>
      <c r="AL186" s="21"/>
      <c r="AM186" s="21"/>
      <c r="AN186" s="21"/>
      <c r="AO186" s="21"/>
      <c r="AP186" s="21"/>
      <c r="AQ186" s="21"/>
      <c r="AR186" s="21"/>
      <c r="AS186" s="21"/>
      <c r="AT186" s="21"/>
      <c r="AU186" s="21"/>
      <c r="AV186" s="21"/>
      <c r="AW186" s="21"/>
      <c r="AX186" s="21"/>
      <c r="AY186" s="21"/>
      <c r="AZ186" s="21"/>
      <c r="BA186" s="21"/>
      <c r="BB186" s="21"/>
      <c r="BC186" s="21"/>
      <c r="BD186" s="21"/>
      <c r="BE186" s="21"/>
      <c r="BF186" s="21"/>
      <c r="BG186" s="21"/>
      <c r="BH186" s="21"/>
      <c r="BI186" s="21"/>
      <c r="BJ186" s="21"/>
      <c r="BK186" s="21"/>
      <c r="BL186" s="21"/>
      <c r="BM186" s="21"/>
      <c r="BN186" s="21"/>
      <c r="BO186" s="21"/>
      <c r="BP186" s="21"/>
      <c r="BQ186" s="21"/>
      <c r="BR186" s="21"/>
      <c r="BS186" s="21"/>
      <c r="BT186" s="21"/>
      <c r="BU186" s="21"/>
      <c r="BV186" s="21"/>
      <c r="BW186" s="21"/>
      <c r="BX186" s="21"/>
      <c r="BY186" s="21"/>
      <c r="BZ186" s="21"/>
      <c r="CA186" s="21"/>
      <c r="CB186" s="21"/>
      <c r="CC186" s="21"/>
      <c r="CD186" s="21"/>
      <c r="CE186" s="4"/>
      <c r="CF186" s="15" t="s">
        <v>322</v>
      </c>
    </row>
    <row r="187" spans="1:88" ht="12" customHeight="1" x14ac:dyDescent="0.15">
      <c r="A187" s="3"/>
      <c r="B187" s="1"/>
      <c r="D187" s="2" t="s">
        <v>224</v>
      </c>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c r="AI187" s="20"/>
      <c r="AJ187" s="20"/>
      <c r="AK187" s="20"/>
      <c r="AL187" s="20"/>
      <c r="AM187" s="20"/>
      <c r="AN187" s="20"/>
      <c r="AO187" s="20"/>
      <c r="AP187" s="20"/>
      <c r="AQ187" s="20"/>
      <c r="AR187" s="20"/>
      <c r="AS187" s="20"/>
      <c r="AT187" s="20"/>
      <c r="AU187" s="20"/>
      <c r="AV187" s="20"/>
      <c r="AW187" s="20"/>
      <c r="AX187" s="20"/>
      <c r="AY187" s="20"/>
      <c r="AZ187" s="20"/>
      <c r="BA187" s="20"/>
      <c r="BB187" s="20"/>
      <c r="BC187" s="20"/>
      <c r="BD187" s="20"/>
      <c r="BE187" s="20"/>
      <c r="BF187" s="20"/>
      <c r="BG187" s="20"/>
      <c r="BH187" s="20"/>
      <c r="BI187" s="20"/>
      <c r="BJ187" s="20"/>
      <c r="BK187" s="20"/>
      <c r="BL187" s="20"/>
      <c r="BM187" s="20"/>
      <c r="BN187" s="20"/>
      <c r="BO187" s="20"/>
      <c r="BP187" s="20"/>
      <c r="BQ187" s="20"/>
      <c r="BR187" s="20"/>
      <c r="BS187" s="20"/>
      <c r="BT187" s="20"/>
      <c r="BU187" s="20"/>
      <c r="BV187" s="20"/>
      <c r="BW187" s="20"/>
      <c r="BX187" s="20"/>
      <c r="BY187" s="20"/>
      <c r="BZ187" s="20"/>
      <c r="CA187" s="20"/>
      <c r="CB187" s="20"/>
      <c r="CC187" s="20"/>
      <c r="CD187" s="20"/>
      <c r="CE187" s="4"/>
      <c r="CF187" s="15" t="s">
        <v>323</v>
      </c>
    </row>
    <row r="188" spans="1:88" ht="12" customHeight="1" x14ac:dyDescent="0.15">
      <c r="A188" s="3"/>
      <c r="B188" s="1"/>
      <c r="C188" s="1"/>
      <c r="D188" s="1"/>
      <c r="E188" s="69" t="s">
        <v>516</v>
      </c>
      <c r="F188" s="70"/>
      <c r="G188" s="70"/>
      <c r="H188" s="70"/>
      <c r="I188" s="70"/>
      <c r="J188" s="70"/>
      <c r="K188" s="70"/>
      <c r="L188" s="70"/>
      <c r="M188" s="70"/>
      <c r="N188" s="70"/>
      <c r="O188" s="70"/>
      <c r="P188" s="70"/>
      <c r="Q188" s="70"/>
      <c r="R188" s="70"/>
      <c r="S188" s="70"/>
      <c r="T188" s="70"/>
      <c r="U188" s="70"/>
      <c r="V188" s="70"/>
      <c r="W188" s="70"/>
      <c r="X188" s="70"/>
      <c r="Y188" s="70"/>
      <c r="Z188" s="70"/>
      <c r="AA188" s="70"/>
      <c r="AB188" s="70"/>
      <c r="AC188" s="70"/>
      <c r="AD188" s="70"/>
      <c r="AE188" s="70"/>
      <c r="AF188" s="70"/>
      <c r="AG188" s="70"/>
      <c r="AH188" s="70"/>
      <c r="AI188" s="70"/>
      <c r="AJ188" s="70"/>
      <c r="AK188" s="70"/>
      <c r="AL188" s="70"/>
      <c r="AM188" s="70"/>
      <c r="AN188" s="70"/>
      <c r="AO188" s="70"/>
      <c r="AP188" s="20"/>
      <c r="AQ188" s="20"/>
      <c r="AR188" s="20"/>
      <c r="AS188" s="20"/>
      <c r="AT188" s="20"/>
      <c r="AU188" s="20"/>
      <c r="AV188" s="20"/>
      <c r="AW188" s="20"/>
      <c r="AX188" s="20"/>
      <c r="AY188" s="20"/>
      <c r="AZ188" s="20"/>
      <c r="BA188" s="20"/>
      <c r="BB188" s="20"/>
      <c r="BC188" s="20"/>
      <c r="BD188" s="20"/>
      <c r="BE188" s="20"/>
      <c r="BF188" s="20"/>
      <c r="BG188" s="20"/>
      <c r="BH188" s="20"/>
      <c r="BI188" s="20"/>
      <c r="BJ188" s="20"/>
      <c r="BK188" s="20"/>
      <c r="BL188" s="20"/>
      <c r="BM188" s="20"/>
      <c r="BN188" s="20"/>
      <c r="BO188" s="20"/>
      <c r="BP188" s="20"/>
      <c r="BQ188" s="20"/>
      <c r="BR188" s="20"/>
      <c r="BS188" s="20"/>
      <c r="BT188" s="20"/>
      <c r="BU188" s="20"/>
      <c r="BV188" s="20"/>
      <c r="BW188" s="20"/>
      <c r="BX188" s="20"/>
      <c r="BY188" s="20"/>
      <c r="BZ188" s="20"/>
      <c r="CA188" s="20"/>
      <c r="CB188" s="20"/>
      <c r="CC188" s="20"/>
      <c r="CD188" s="20"/>
      <c r="CE188" s="4"/>
      <c r="CF188" s="15" t="s">
        <v>324</v>
      </c>
      <c r="CJ188" s="33"/>
    </row>
    <row r="189" spans="1:88" ht="12" customHeight="1" x14ac:dyDescent="0.15">
      <c r="A189" s="49"/>
      <c r="B189" s="1"/>
      <c r="C189" s="1"/>
      <c r="D189" s="1"/>
      <c r="E189" s="1" t="s">
        <v>514</v>
      </c>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c r="AH189" s="20"/>
      <c r="AI189" s="20"/>
      <c r="AJ189" s="20"/>
      <c r="AK189" s="20"/>
      <c r="AL189" s="20"/>
      <c r="AM189" s="20"/>
      <c r="AN189" s="20"/>
      <c r="AO189" s="20"/>
      <c r="AP189" s="20"/>
      <c r="AQ189" s="20"/>
      <c r="AR189" s="20"/>
      <c r="AS189" s="20"/>
      <c r="AT189" s="20"/>
      <c r="AU189" s="20"/>
      <c r="AV189" s="20"/>
      <c r="AW189" s="20"/>
      <c r="AX189" s="20"/>
      <c r="AY189" s="20"/>
      <c r="AZ189" s="20"/>
      <c r="BA189" s="20"/>
      <c r="BB189" s="20"/>
      <c r="BC189" s="20"/>
      <c r="BD189" s="20"/>
      <c r="BE189" s="20"/>
      <c r="BF189" s="20"/>
      <c r="BG189" s="20"/>
      <c r="BH189" s="20"/>
      <c r="BI189" s="20"/>
      <c r="BJ189" s="20"/>
      <c r="BK189" s="20"/>
      <c r="BL189" s="20"/>
      <c r="BM189" s="20"/>
      <c r="BN189" s="20"/>
      <c r="BO189" s="20"/>
      <c r="BP189" s="20"/>
      <c r="BQ189" s="20"/>
      <c r="BR189" s="20"/>
      <c r="BS189" s="20"/>
      <c r="BT189" s="20"/>
      <c r="BU189" s="20"/>
      <c r="BV189" s="20"/>
      <c r="BW189" s="20"/>
      <c r="BX189" s="20"/>
      <c r="BY189" s="20"/>
      <c r="BZ189" s="20"/>
      <c r="CA189" s="20"/>
      <c r="CB189" s="20"/>
      <c r="CC189" s="20"/>
      <c r="CD189" s="20"/>
      <c r="CE189" s="4"/>
      <c r="CF189" s="15" t="s">
        <v>325</v>
      </c>
    </row>
    <row r="190" spans="1:88" ht="12" customHeight="1" x14ac:dyDescent="0.15">
      <c r="A190" s="3"/>
      <c r="B190" s="1"/>
      <c r="C190" s="1"/>
      <c r="D190" s="1"/>
      <c r="E190" s="3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c r="AG190" s="20"/>
      <c r="AH190" s="20"/>
      <c r="AI190" s="20"/>
      <c r="AJ190" s="20"/>
      <c r="AK190" s="20"/>
      <c r="AL190" s="20"/>
      <c r="AM190" s="20"/>
      <c r="AN190" s="20"/>
      <c r="AO190" s="20"/>
      <c r="AP190" s="20"/>
      <c r="AQ190" s="20"/>
      <c r="AR190" s="20"/>
      <c r="AS190" s="20"/>
      <c r="AT190" s="20"/>
      <c r="AU190" s="20"/>
      <c r="AV190" s="20"/>
      <c r="AW190" s="20"/>
      <c r="AX190" s="20"/>
      <c r="AY190" s="20"/>
      <c r="AZ190" s="20"/>
      <c r="BA190" s="20"/>
      <c r="BB190" s="20"/>
      <c r="BC190" s="20"/>
      <c r="BD190" s="20"/>
      <c r="BE190" s="20"/>
      <c r="BF190" s="20"/>
      <c r="BG190" s="20"/>
      <c r="BH190" s="20"/>
      <c r="BI190" s="20"/>
      <c r="BJ190" s="20"/>
      <c r="BK190" s="20"/>
      <c r="BL190" s="20"/>
      <c r="BM190" s="20"/>
      <c r="BN190" s="20"/>
      <c r="BO190" s="20"/>
      <c r="BP190" s="20"/>
      <c r="BQ190" s="20"/>
      <c r="BR190" s="20"/>
      <c r="BS190" s="20"/>
      <c r="BT190" s="20"/>
      <c r="BU190" s="20"/>
      <c r="BV190" s="20"/>
      <c r="BW190" s="20"/>
      <c r="BX190" s="20"/>
      <c r="BY190" s="20"/>
      <c r="BZ190" s="20"/>
      <c r="CA190" s="20"/>
      <c r="CB190" s="20"/>
      <c r="CC190" s="20"/>
      <c r="CD190" s="20"/>
      <c r="CE190" s="4"/>
      <c r="CF190" s="15" t="s">
        <v>326</v>
      </c>
    </row>
    <row r="191" spans="1:88" ht="12" customHeight="1" x14ac:dyDescent="0.15">
      <c r="A191" s="3"/>
      <c r="B191" s="1"/>
      <c r="C191" s="1"/>
      <c r="D191" s="1"/>
      <c r="E191" s="31"/>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c r="AK191" s="20"/>
      <c r="AL191" s="20"/>
      <c r="AM191" s="20"/>
      <c r="AN191" s="20"/>
      <c r="AO191" s="20"/>
      <c r="AP191" s="20"/>
      <c r="AQ191" s="20"/>
      <c r="AR191" s="20"/>
      <c r="AS191" s="20"/>
      <c r="AT191" s="20"/>
      <c r="AU191" s="20"/>
      <c r="AV191" s="20"/>
      <c r="AW191" s="20"/>
      <c r="AX191" s="20"/>
      <c r="AY191" s="20"/>
      <c r="AZ191" s="20"/>
      <c r="BA191" s="20"/>
      <c r="BB191" s="20"/>
      <c r="BC191" s="20"/>
      <c r="BD191" s="20"/>
      <c r="BE191" s="20"/>
      <c r="BF191" s="20"/>
      <c r="BG191" s="20"/>
      <c r="BH191" s="20"/>
      <c r="BI191" s="20"/>
      <c r="BJ191" s="20"/>
      <c r="BK191" s="20"/>
      <c r="BL191" s="20"/>
      <c r="BM191" s="20"/>
      <c r="BN191" s="20"/>
      <c r="BO191" s="20"/>
      <c r="BP191" s="20"/>
      <c r="BQ191" s="20"/>
      <c r="BR191" s="20"/>
      <c r="BS191" s="20"/>
      <c r="BT191" s="20"/>
      <c r="BU191" s="20"/>
      <c r="BV191" s="20"/>
      <c r="BW191" s="20"/>
      <c r="BX191" s="20"/>
      <c r="BY191" s="20"/>
      <c r="BZ191" s="20"/>
      <c r="CA191" s="20"/>
      <c r="CB191" s="20"/>
      <c r="CC191" s="20"/>
      <c r="CD191" s="20"/>
      <c r="CE191" s="4"/>
      <c r="CF191" s="15" t="s">
        <v>185</v>
      </c>
    </row>
    <row r="192" spans="1:88" ht="12" customHeight="1" x14ac:dyDescent="0.15">
      <c r="A192" s="3"/>
      <c r="B192" s="1"/>
      <c r="C192" s="1"/>
      <c r="D192" s="1"/>
      <c r="BT192" s="21"/>
      <c r="BU192" s="21"/>
      <c r="BV192" s="21"/>
      <c r="BW192" s="21"/>
      <c r="BX192" s="21"/>
      <c r="BY192" s="21"/>
      <c r="BZ192" s="21"/>
      <c r="CA192" s="21"/>
      <c r="CB192" s="21"/>
      <c r="CC192" s="21"/>
      <c r="CD192" s="21"/>
      <c r="CE192" s="4"/>
      <c r="CF192" s="15" t="s">
        <v>186</v>
      </c>
    </row>
    <row r="193" spans="1:84" ht="12" customHeight="1" x14ac:dyDescent="0.15">
      <c r="A193" s="3"/>
      <c r="B193" s="1"/>
      <c r="C193" s="1"/>
      <c r="D193" s="1"/>
      <c r="BT193" s="21"/>
      <c r="BU193" s="21"/>
      <c r="BV193" s="21"/>
      <c r="BW193" s="21"/>
      <c r="BX193" s="21"/>
      <c r="BY193" s="21"/>
      <c r="BZ193" s="21"/>
      <c r="CA193" s="21"/>
      <c r="CB193" s="21"/>
      <c r="CC193" s="21"/>
      <c r="CD193" s="21"/>
      <c r="CE193" s="4"/>
      <c r="CF193" s="15" t="s">
        <v>329</v>
      </c>
    </row>
    <row r="194" spans="1:84" ht="12" customHeight="1" x14ac:dyDescent="0.15">
      <c r="A194" s="3"/>
      <c r="B194" s="1"/>
      <c r="C194" s="1"/>
      <c r="D194" s="1"/>
      <c r="BT194" s="21"/>
      <c r="BU194" s="21"/>
      <c r="BV194" s="21"/>
      <c r="BW194" s="21"/>
      <c r="BX194" s="21"/>
      <c r="BY194" s="21"/>
      <c r="BZ194" s="21"/>
      <c r="CA194" s="21"/>
      <c r="CB194" s="21"/>
      <c r="CC194" s="21"/>
      <c r="CD194" s="21"/>
      <c r="CE194" s="4"/>
      <c r="CF194" s="15" t="s">
        <v>330</v>
      </c>
    </row>
    <row r="195" spans="1:84" ht="12" customHeight="1" x14ac:dyDescent="0.15">
      <c r="A195" s="3"/>
      <c r="B195" s="1"/>
      <c r="C195" s="1"/>
      <c r="D195" s="1"/>
      <c r="BT195" s="21"/>
      <c r="BU195" s="21"/>
      <c r="BV195" s="21"/>
      <c r="BW195" s="21"/>
      <c r="BX195" s="21"/>
      <c r="BY195" s="21"/>
      <c r="BZ195" s="21"/>
      <c r="CA195" s="21"/>
      <c r="CB195" s="21"/>
      <c r="CC195" s="21"/>
      <c r="CD195" s="21"/>
      <c r="CE195" s="4"/>
      <c r="CF195" s="15" t="s">
        <v>331</v>
      </c>
    </row>
    <row r="196" spans="1:84" ht="12" customHeight="1" x14ac:dyDescent="0.15">
      <c r="A196" s="3"/>
      <c r="B196" s="1"/>
      <c r="C196" s="1"/>
      <c r="D196" s="1"/>
      <c r="BT196" s="21"/>
      <c r="BU196" s="21"/>
      <c r="BV196" s="21"/>
      <c r="BW196" s="21"/>
      <c r="BX196" s="21"/>
      <c r="BY196" s="21"/>
      <c r="BZ196" s="21"/>
      <c r="CA196" s="21"/>
      <c r="CB196" s="21"/>
      <c r="CC196" s="21"/>
      <c r="CD196" s="21"/>
      <c r="CE196" s="4"/>
      <c r="CF196" s="15" t="s">
        <v>332</v>
      </c>
    </row>
    <row r="197" spans="1:84" ht="12" customHeight="1" x14ac:dyDescent="0.15">
      <c r="A197" s="3"/>
      <c r="B197" s="1"/>
      <c r="C197" s="1"/>
      <c r="D197" s="1"/>
      <c r="BT197" s="21"/>
      <c r="BU197" s="21"/>
      <c r="BV197" s="21"/>
      <c r="BW197" s="21"/>
      <c r="BX197" s="21"/>
      <c r="BY197" s="21"/>
      <c r="BZ197" s="21"/>
      <c r="CA197" s="21"/>
      <c r="CB197" s="21"/>
      <c r="CC197" s="21"/>
      <c r="CD197" s="21"/>
      <c r="CE197" s="4"/>
      <c r="CF197" s="15" t="s">
        <v>333</v>
      </c>
    </row>
    <row r="198" spans="1:84" ht="12" customHeight="1" x14ac:dyDescent="0.15">
      <c r="A198" s="3"/>
      <c r="B198" s="1"/>
      <c r="C198" s="1"/>
      <c r="D198" s="1"/>
      <c r="BT198" s="21"/>
      <c r="BU198" s="21"/>
      <c r="BV198" s="21"/>
      <c r="BW198" s="21"/>
      <c r="BX198" s="21"/>
      <c r="BY198" s="21"/>
      <c r="BZ198" s="21"/>
      <c r="CA198" s="21"/>
      <c r="CB198" s="21"/>
      <c r="CC198" s="21"/>
      <c r="CD198" s="21"/>
      <c r="CE198" s="4"/>
      <c r="CF198" s="15" t="s">
        <v>334</v>
      </c>
    </row>
    <row r="199" spans="1:84" ht="12" customHeight="1" x14ac:dyDescent="0.15">
      <c r="A199" s="3"/>
      <c r="B199" s="1"/>
      <c r="C199" s="1"/>
      <c r="D199" s="1"/>
      <c r="BT199" s="21"/>
      <c r="BU199" s="21"/>
      <c r="BV199" s="21"/>
      <c r="BW199" s="21"/>
      <c r="BX199" s="21"/>
      <c r="BY199" s="21"/>
      <c r="BZ199" s="21"/>
      <c r="CA199" s="21"/>
      <c r="CB199" s="21"/>
      <c r="CC199" s="21"/>
      <c r="CD199" s="21"/>
      <c r="CE199" s="4"/>
      <c r="CF199" s="15" t="s">
        <v>335</v>
      </c>
    </row>
    <row r="200" spans="1:84" ht="12" customHeight="1" x14ac:dyDescent="0.15">
      <c r="A200" s="3"/>
      <c r="B200" s="1"/>
      <c r="C200" s="1"/>
      <c r="D200" s="1"/>
      <c r="BT200" s="21"/>
      <c r="BU200" s="21"/>
      <c r="BV200" s="21"/>
      <c r="BW200" s="21"/>
      <c r="BX200" s="21"/>
      <c r="BY200" s="21"/>
      <c r="BZ200" s="21"/>
      <c r="CA200" s="21"/>
      <c r="CB200" s="21"/>
      <c r="CC200" s="21"/>
      <c r="CD200" s="21"/>
      <c r="CE200" s="4"/>
      <c r="CF200" s="15" t="s">
        <v>336</v>
      </c>
    </row>
    <row r="201" spans="1:84" ht="12" customHeight="1" x14ac:dyDescent="0.15">
      <c r="A201" s="3"/>
      <c r="B201" s="1"/>
      <c r="C201" s="1"/>
      <c r="D201" s="1"/>
      <c r="BT201" s="20"/>
      <c r="BU201" s="20"/>
      <c r="BV201" s="20"/>
      <c r="BW201" s="20"/>
      <c r="BX201" s="20"/>
      <c r="BY201" s="20"/>
      <c r="BZ201" s="20"/>
      <c r="CA201" s="20"/>
      <c r="CB201" s="20"/>
      <c r="CC201" s="20"/>
      <c r="CD201" s="20"/>
      <c r="CE201" s="4"/>
      <c r="CF201" s="15" t="s">
        <v>337</v>
      </c>
    </row>
    <row r="202" spans="1:84" ht="12" customHeight="1" x14ac:dyDescent="0.15">
      <c r="A202" s="3"/>
      <c r="B202" s="1"/>
      <c r="C202" s="1"/>
      <c r="D202" s="1"/>
      <c r="BT202" s="20"/>
      <c r="BU202" s="20"/>
      <c r="BV202" s="20"/>
      <c r="BW202" s="20"/>
      <c r="BX202" s="20"/>
      <c r="BY202" s="20"/>
      <c r="BZ202" s="20"/>
      <c r="CA202" s="20"/>
      <c r="CB202" s="20"/>
      <c r="CC202" s="20"/>
      <c r="CD202" s="20"/>
      <c r="CE202" s="4"/>
      <c r="CF202" s="15" t="s">
        <v>338</v>
      </c>
    </row>
    <row r="203" spans="1:84" ht="12" customHeight="1" x14ac:dyDescent="0.15">
      <c r="A203" s="3"/>
      <c r="B203" s="1"/>
      <c r="C203" s="1"/>
      <c r="D203" s="1"/>
      <c r="BT203" s="20"/>
      <c r="BU203" s="20"/>
      <c r="BV203" s="20"/>
      <c r="BW203" s="20"/>
      <c r="BX203" s="20"/>
      <c r="BY203" s="20"/>
      <c r="BZ203" s="20"/>
      <c r="CA203" s="20"/>
      <c r="CB203" s="20"/>
      <c r="CC203" s="20"/>
      <c r="CD203" s="20"/>
      <c r="CE203" s="4"/>
      <c r="CF203" s="15" t="s">
        <v>339</v>
      </c>
    </row>
    <row r="204" spans="1:84" ht="12" customHeight="1" x14ac:dyDescent="0.15">
      <c r="A204" s="3"/>
      <c r="B204" s="1"/>
      <c r="C204" s="1"/>
      <c r="D204" s="1"/>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c r="AK204" s="20"/>
      <c r="AL204" s="20"/>
      <c r="AM204" s="20"/>
      <c r="AN204" s="20"/>
      <c r="AO204" s="20"/>
      <c r="AP204" s="20"/>
      <c r="AQ204" s="20"/>
      <c r="AR204" s="20"/>
      <c r="AS204" s="20"/>
      <c r="AT204" s="20"/>
      <c r="AU204" s="20"/>
      <c r="AV204" s="20"/>
      <c r="AW204" s="20"/>
      <c r="AX204" s="20"/>
      <c r="AY204" s="20"/>
      <c r="AZ204" s="20"/>
      <c r="BA204" s="20"/>
      <c r="BB204" s="20"/>
      <c r="BC204" s="20"/>
      <c r="BD204" s="20"/>
      <c r="BE204" s="20"/>
      <c r="BF204" s="20"/>
      <c r="BG204" s="20"/>
      <c r="BH204" s="20"/>
      <c r="BI204" s="20"/>
      <c r="BJ204" s="20"/>
      <c r="BK204" s="20"/>
      <c r="BL204" s="20"/>
      <c r="BM204" s="20"/>
      <c r="BN204" s="20"/>
      <c r="BO204" s="20"/>
      <c r="BP204" s="20"/>
      <c r="BQ204" s="20"/>
      <c r="BR204" s="20"/>
      <c r="BS204" s="20"/>
      <c r="BT204" s="20"/>
      <c r="BU204" s="20"/>
      <c r="BV204" s="20"/>
      <c r="BW204" s="20"/>
      <c r="BX204" s="20"/>
      <c r="BY204" s="20"/>
      <c r="BZ204" s="20"/>
      <c r="CA204" s="20"/>
      <c r="CB204" s="20"/>
      <c r="CC204" s="20"/>
      <c r="CD204" s="20"/>
      <c r="CE204" s="4"/>
      <c r="CF204" s="15" t="s">
        <v>340</v>
      </c>
    </row>
    <row r="205" spans="1:84" ht="12" customHeight="1" x14ac:dyDescent="0.15">
      <c r="A205" s="3"/>
      <c r="B205" s="1"/>
      <c r="C205" s="1"/>
      <c r="D205" s="1"/>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c r="AJ205" s="20"/>
      <c r="AK205" s="20"/>
      <c r="AL205" s="20"/>
      <c r="AM205" s="20"/>
      <c r="AN205" s="20"/>
      <c r="AO205" s="20"/>
      <c r="AP205" s="20"/>
      <c r="AQ205" s="20"/>
      <c r="AR205" s="20"/>
      <c r="AS205" s="20"/>
      <c r="AT205" s="20"/>
      <c r="AU205" s="20"/>
      <c r="AV205" s="20"/>
      <c r="AW205" s="20"/>
      <c r="AX205" s="20"/>
      <c r="AY205" s="20"/>
      <c r="AZ205" s="20"/>
      <c r="BA205" s="20"/>
      <c r="BB205" s="20"/>
      <c r="BC205" s="20"/>
      <c r="BD205" s="20"/>
      <c r="BE205" s="20"/>
      <c r="BF205" s="20"/>
      <c r="BG205" s="20"/>
      <c r="BH205" s="20"/>
      <c r="BI205" s="20"/>
      <c r="BJ205" s="20"/>
      <c r="BK205" s="20"/>
      <c r="BL205" s="20"/>
      <c r="BM205" s="20"/>
      <c r="BN205" s="20"/>
      <c r="BO205" s="20"/>
      <c r="BP205" s="20"/>
      <c r="BQ205" s="20"/>
      <c r="BR205" s="20"/>
      <c r="BS205" s="20"/>
      <c r="BT205" s="20"/>
      <c r="BU205" s="20"/>
      <c r="BV205" s="20"/>
      <c r="BW205" s="20"/>
      <c r="BX205" s="20"/>
      <c r="BY205" s="20"/>
      <c r="BZ205" s="20"/>
      <c r="CA205" s="20"/>
      <c r="CB205" s="20"/>
      <c r="CC205" s="20"/>
      <c r="CD205" s="20"/>
      <c r="CE205" s="4"/>
      <c r="CF205" s="15" t="s">
        <v>341</v>
      </c>
    </row>
    <row r="206" spans="1:84" ht="12" customHeight="1" x14ac:dyDescent="0.15">
      <c r="A206" s="3"/>
      <c r="B206" s="1"/>
      <c r="C206" s="1"/>
      <c r="D206" s="1"/>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c r="AK206" s="20"/>
      <c r="AL206" s="20"/>
      <c r="AM206" s="20"/>
      <c r="AN206" s="20"/>
      <c r="AO206" s="20"/>
      <c r="AP206" s="20"/>
      <c r="AQ206" s="20"/>
      <c r="AR206" s="20"/>
      <c r="AS206" s="20"/>
      <c r="AT206" s="20"/>
      <c r="AU206" s="20"/>
      <c r="AV206" s="20"/>
      <c r="AW206" s="20"/>
      <c r="AX206" s="20"/>
      <c r="AY206" s="20"/>
      <c r="AZ206" s="20"/>
      <c r="BA206" s="20"/>
      <c r="BB206" s="20"/>
      <c r="BC206" s="20"/>
      <c r="BD206" s="20"/>
      <c r="BE206" s="20"/>
      <c r="BF206" s="20"/>
      <c r="BG206" s="20"/>
      <c r="BH206" s="20"/>
      <c r="BI206" s="20"/>
      <c r="BJ206" s="20"/>
      <c r="BK206" s="20"/>
      <c r="BL206" s="20"/>
      <c r="BM206" s="20"/>
      <c r="BN206" s="20"/>
      <c r="BO206" s="20"/>
      <c r="BP206" s="20"/>
      <c r="BQ206" s="20"/>
      <c r="BR206" s="20"/>
      <c r="BS206" s="20"/>
      <c r="BT206" s="20"/>
      <c r="BU206" s="20"/>
      <c r="BV206" s="20"/>
      <c r="BW206" s="20"/>
      <c r="BX206" s="20"/>
      <c r="BY206" s="20"/>
      <c r="BZ206" s="20"/>
      <c r="CA206" s="20"/>
      <c r="CB206" s="20"/>
      <c r="CC206" s="20"/>
      <c r="CD206" s="20"/>
      <c r="CE206" s="4"/>
      <c r="CF206" s="15" t="s">
        <v>342</v>
      </c>
    </row>
    <row r="207" spans="1:84" ht="12" customHeight="1" x14ac:dyDescent="0.15">
      <c r="A207" s="3"/>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4"/>
      <c r="CF207" s="15" t="s">
        <v>343</v>
      </c>
    </row>
    <row r="208" spans="1:84" ht="12" customHeight="1" x14ac:dyDescent="0.15">
      <c r="A208" s="3"/>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4"/>
      <c r="CF208" s="15" t="s">
        <v>344</v>
      </c>
    </row>
    <row r="209" spans="1:84" ht="12" customHeight="1" x14ac:dyDescent="0.15">
      <c r="A209" s="3"/>
      <c r="B209" s="1"/>
      <c r="C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4"/>
      <c r="CF209" s="15" t="s">
        <v>345</v>
      </c>
    </row>
    <row r="210" spans="1:84" ht="12" customHeight="1" x14ac:dyDescent="0.15">
      <c r="A210" s="3"/>
      <c r="B210" s="1"/>
      <c r="C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4"/>
      <c r="CF210" s="15" t="s">
        <v>346</v>
      </c>
    </row>
    <row r="211" spans="1:84" ht="12" customHeight="1" x14ac:dyDescent="0.15">
      <c r="A211" s="3"/>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4"/>
      <c r="CF211" s="15" t="s">
        <v>347</v>
      </c>
    </row>
    <row r="212" spans="1:84" ht="12" customHeight="1" x14ac:dyDescent="0.15">
      <c r="A212" s="3"/>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4"/>
      <c r="CF212" s="15" t="s">
        <v>348</v>
      </c>
    </row>
    <row r="213" spans="1:84" ht="12" customHeight="1" x14ac:dyDescent="0.15">
      <c r="A213" s="3"/>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4"/>
      <c r="CF213" s="15" t="s">
        <v>349</v>
      </c>
    </row>
    <row r="214" spans="1:84" ht="12" customHeight="1" thickBot="1" x14ac:dyDescent="0.2">
      <c r="A214" s="16"/>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c r="AB214" s="17"/>
      <c r="AC214" s="17"/>
      <c r="AD214" s="17"/>
      <c r="AE214" s="17"/>
      <c r="AF214" s="17"/>
      <c r="AG214" s="17"/>
      <c r="AH214" s="17"/>
      <c r="AI214" s="17"/>
      <c r="AJ214" s="17"/>
      <c r="AK214" s="17"/>
      <c r="AL214" s="17"/>
      <c r="AM214" s="17"/>
      <c r="AN214" s="17"/>
      <c r="AO214" s="17"/>
      <c r="AP214" s="17"/>
      <c r="AQ214" s="17"/>
      <c r="AR214" s="17"/>
      <c r="AS214" s="17"/>
      <c r="AT214" s="17"/>
      <c r="AU214" s="17"/>
      <c r="AV214" s="17"/>
      <c r="AW214" s="17"/>
      <c r="AX214" s="17"/>
      <c r="AY214" s="17"/>
      <c r="AZ214" s="17"/>
      <c r="BA214" s="17"/>
      <c r="BB214" s="17"/>
      <c r="BC214" s="17"/>
      <c r="BD214" s="17"/>
      <c r="BE214" s="17"/>
      <c r="BF214" s="17"/>
      <c r="BG214" s="17"/>
      <c r="BH214" s="17"/>
      <c r="BI214" s="17"/>
      <c r="BJ214" s="17"/>
      <c r="BK214" s="17"/>
      <c r="BL214" s="17"/>
      <c r="BM214" s="17"/>
      <c r="BN214" s="17"/>
      <c r="BO214" s="17"/>
      <c r="BP214" s="17"/>
      <c r="BQ214" s="17"/>
      <c r="BR214" s="17"/>
      <c r="BS214" s="17"/>
      <c r="BT214" s="17"/>
      <c r="BU214" s="17"/>
      <c r="BV214" s="17"/>
      <c r="BW214" s="17"/>
      <c r="BX214" s="17"/>
      <c r="BY214" s="17"/>
      <c r="BZ214" s="17"/>
      <c r="CA214" s="17"/>
      <c r="CB214" s="17"/>
      <c r="CC214" s="17"/>
      <c r="CD214" s="17"/>
      <c r="CE214" s="19"/>
      <c r="CF214" s="15" t="s">
        <v>350</v>
      </c>
    </row>
  </sheetData>
  <mergeCells count="198">
    <mergeCell ref="E184:AE185"/>
    <mergeCell ref="AF184:AH185"/>
    <mergeCell ref="AI184:AK185"/>
    <mergeCell ref="AL184:AN185"/>
    <mergeCell ref="AO184:AQ185"/>
    <mergeCell ref="AR184:AT185"/>
    <mergeCell ref="AU184:AW185"/>
    <mergeCell ref="AX184:AZ185"/>
    <mergeCell ref="BA184:BU185"/>
    <mergeCell ref="E74:F79"/>
    <mergeCell ref="G74:T79"/>
    <mergeCell ref="U74:AZ79"/>
    <mergeCell ref="BA74:BT79"/>
    <mergeCell ref="BU74:BY79"/>
    <mergeCell ref="BZ74:CD79"/>
    <mergeCell ref="F141:S141"/>
    <mergeCell ref="T141:CD141"/>
    <mergeCell ref="F142:S142"/>
    <mergeCell ref="T142:CD142"/>
    <mergeCell ref="BU80:BY88"/>
    <mergeCell ref="BZ80:CD88"/>
    <mergeCell ref="E180:AE181"/>
    <mergeCell ref="E176:AE177"/>
    <mergeCell ref="AO176:AQ177"/>
    <mergeCell ref="E178:AE179"/>
    <mergeCell ref="AR176:AT177"/>
    <mergeCell ref="AR175:AT175"/>
    <mergeCell ref="AI175:AK175"/>
    <mergeCell ref="F98:S98"/>
    <mergeCell ref="F93:S93"/>
    <mergeCell ref="F94:S94"/>
    <mergeCell ref="F95:S95"/>
    <mergeCell ref="F96:S96"/>
    <mergeCell ref="F112:S112"/>
    <mergeCell ref="F138:S138"/>
    <mergeCell ref="F106:S106"/>
    <mergeCell ref="F109:S109"/>
    <mergeCell ref="F105:S105"/>
    <mergeCell ref="F111:S111"/>
    <mergeCell ref="F118:S118"/>
    <mergeCell ref="F115:S115"/>
    <mergeCell ref="F131:S131"/>
    <mergeCell ref="F116:S116"/>
    <mergeCell ref="F110:S110"/>
    <mergeCell ref="F119:S119"/>
    <mergeCell ref="BA64:BT68"/>
    <mergeCell ref="BA58:BT58"/>
    <mergeCell ref="U58:AZ58"/>
    <mergeCell ref="U69:AZ73"/>
    <mergeCell ref="U64:AZ68"/>
    <mergeCell ref="BA69:BT73"/>
    <mergeCell ref="G69:T73"/>
    <mergeCell ref="G64:T68"/>
    <mergeCell ref="BZ58:CD58"/>
    <mergeCell ref="BA59:BT63"/>
    <mergeCell ref="BU58:BY58"/>
    <mergeCell ref="BU64:BY68"/>
    <mergeCell ref="BU69:BY73"/>
    <mergeCell ref="BU59:BY63"/>
    <mergeCell ref="BZ64:CD68"/>
    <mergeCell ref="BZ69:CD73"/>
    <mergeCell ref="D14:I18"/>
    <mergeCell ref="J14:AB18"/>
    <mergeCell ref="AC14:BE18"/>
    <mergeCell ref="BF14:CD18"/>
    <mergeCell ref="E53:Q53"/>
    <mergeCell ref="E55:Q55"/>
    <mergeCell ref="R55:BS55"/>
    <mergeCell ref="E59:F63"/>
    <mergeCell ref="BZ59:CD63"/>
    <mergeCell ref="A1:CE1"/>
    <mergeCell ref="A3:H3"/>
    <mergeCell ref="I3:AC3"/>
    <mergeCell ref="AD3:AL3"/>
    <mergeCell ref="I4:AC5"/>
    <mergeCell ref="AD4:AL4"/>
    <mergeCell ref="CA3:CE5"/>
    <mergeCell ref="BY3:BZ5"/>
    <mergeCell ref="AD5:AG5"/>
    <mergeCell ref="AZ5:BC5"/>
    <mergeCell ref="BK5:BM5"/>
    <mergeCell ref="A4:H5"/>
    <mergeCell ref="BT3:BX5"/>
    <mergeCell ref="BN5:BQ5"/>
    <mergeCell ref="AS5:AY5"/>
    <mergeCell ref="BD5:BJ5"/>
    <mergeCell ref="AH5:AN5"/>
    <mergeCell ref="BR3:BS5"/>
    <mergeCell ref="AO5:AR5"/>
    <mergeCell ref="AM3:BQ3"/>
    <mergeCell ref="AM4:BQ4"/>
    <mergeCell ref="D13:I13"/>
    <mergeCell ref="J13:AB13"/>
    <mergeCell ref="AC13:BE13"/>
    <mergeCell ref="F97:S97"/>
    <mergeCell ref="F122:S122"/>
    <mergeCell ref="F104:S104"/>
    <mergeCell ref="F136:S136"/>
    <mergeCell ref="F137:S137"/>
    <mergeCell ref="E58:F58"/>
    <mergeCell ref="G58:T58"/>
    <mergeCell ref="R54:BS54"/>
    <mergeCell ref="G59:T63"/>
    <mergeCell ref="U59:AZ63"/>
    <mergeCell ref="E54:Q54"/>
    <mergeCell ref="E64:F68"/>
    <mergeCell ref="E69:F73"/>
    <mergeCell ref="F99:S99"/>
    <mergeCell ref="F100:S100"/>
    <mergeCell ref="F101:S101"/>
    <mergeCell ref="F107:S107"/>
    <mergeCell ref="F108:S108"/>
    <mergeCell ref="F123:S123"/>
    <mergeCell ref="F130:S130"/>
    <mergeCell ref="BF13:CD13"/>
    <mergeCell ref="AL180:AN181"/>
    <mergeCell ref="AF180:AH181"/>
    <mergeCell ref="AX175:AZ175"/>
    <mergeCell ref="AU176:AW177"/>
    <mergeCell ref="AX176:AZ177"/>
    <mergeCell ref="AU175:AW175"/>
    <mergeCell ref="AO175:AQ175"/>
    <mergeCell ref="AF176:AH177"/>
    <mergeCell ref="AF175:AH175"/>
    <mergeCell ref="BA180:BU181"/>
    <mergeCell ref="AL175:AN175"/>
    <mergeCell ref="R53:BS53"/>
    <mergeCell ref="F121:S121"/>
    <mergeCell ref="F133:S133"/>
    <mergeCell ref="F134:S134"/>
    <mergeCell ref="F120:S120"/>
    <mergeCell ref="F117:S117"/>
    <mergeCell ref="F135:S135"/>
    <mergeCell ref="F132:S132"/>
    <mergeCell ref="E175:AE175"/>
    <mergeCell ref="AI176:AK177"/>
    <mergeCell ref="AL176:AN177"/>
    <mergeCell ref="AF178:AH179"/>
    <mergeCell ref="AI178:AK179"/>
    <mergeCell ref="AU178:AW179"/>
    <mergeCell ref="AX178:AZ179"/>
    <mergeCell ref="AU180:AW181"/>
    <mergeCell ref="AX180:AZ181"/>
    <mergeCell ref="E80:F88"/>
    <mergeCell ref="G80:T88"/>
    <mergeCell ref="U80:AJ88"/>
    <mergeCell ref="AK80:AZ88"/>
    <mergeCell ref="BA80:BT88"/>
    <mergeCell ref="F152:S152"/>
    <mergeCell ref="T152:CD152"/>
    <mergeCell ref="F143:S143"/>
    <mergeCell ref="T143:CD143"/>
    <mergeCell ref="F144:S144"/>
    <mergeCell ref="T144:CD144"/>
    <mergeCell ref="F145:S145"/>
    <mergeCell ref="T145:CD145"/>
    <mergeCell ref="F146:S146"/>
    <mergeCell ref="T146:CD146"/>
    <mergeCell ref="F147:S147"/>
    <mergeCell ref="T147:CD147"/>
    <mergeCell ref="F148:S148"/>
    <mergeCell ref="T148:CD148"/>
    <mergeCell ref="F149:S149"/>
    <mergeCell ref="T149:CD149"/>
    <mergeCell ref="F153:S153"/>
    <mergeCell ref="T153:CD153"/>
    <mergeCell ref="F154:S154"/>
    <mergeCell ref="T154:CD154"/>
    <mergeCell ref="F155:S155"/>
    <mergeCell ref="T155:CD155"/>
    <mergeCell ref="F156:S156"/>
    <mergeCell ref="T156:CD156"/>
    <mergeCell ref="F157:S157"/>
    <mergeCell ref="T157:CD157"/>
    <mergeCell ref="F158:S158"/>
    <mergeCell ref="T158:CD158"/>
    <mergeCell ref="F159:S159"/>
    <mergeCell ref="T159:CD159"/>
    <mergeCell ref="F160:S160"/>
    <mergeCell ref="T160:CD160"/>
    <mergeCell ref="E182:AE183"/>
    <mergeCell ref="AF182:AH183"/>
    <mergeCell ref="AI182:AK183"/>
    <mergeCell ref="AL182:AN183"/>
    <mergeCell ref="AO182:AQ183"/>
    <mergeCell ref="AR182:AT183"/>
    <mergeCell ref="AU182:AW183"/>
    <mergeCell ref="AX182:AZ183"/>
    <mergeCell ref="BA182:BU183"/>
    <mergeCell ref="BA175:BU175"/>
    <mergeCell ref="BA176:BU177"/>
    <mergeCell ref="BA178:BU179"/>
    <mergeCell ref="AI180:AK181"/>
    <mergeCell ref="AL178:AN179"/>
    <mergeCell ref="AO178:AQ179"/>
    <mergeCell ref="AR178:AT179"/>
    <mergeCell ref="AO180:AQ181"/>
    <mergeCell ref="AR180:AT181"/>
  </mergeCells>
  <phoneticPr fontId="4"/>
  <pageMargins left="0.59055118110236227" right="0.59055118110236227" top="0.78740157480314965" bottom="0" header="0.43307086614173229" footer="0"/>
  <pageSetup paperSize="9" scale="93" fitToWidth="0" fitToHeight="0" orientation="landscape" r:id="rId1"/>
  <headerFooter alignWithMargins="0">
    <oddHeader>&amp;R
（&amp;P　／　&amp;N）　</oddHeader>
  </headerFooter>
  <rowBreaks count="4" manualBreakCount="4">
    <brk id="46" max="82" man="1"/>
    <brk id="89" max="82" man="1"/>
    <brk id="127" max="16383" man="1"/>
    <brk id="173"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autoPageBreaks="0" fitToPage="1"/>
  </sheetPr>
  <dimension ref="A2:AG153"/>
  <sheetViews>
    <sheetView view="pageBreakPreview" topLeftCell="A4" zoomScale="115" zoomScaleNormal="100" zoomScaleSheetLayoutView="115" workbookViewId="0">
      <pane xSplit="4" ySplit="3" topLeftCell="E7" activePane="bottomRight" state="frozen"/>
      <selection activeCell="A4" sqref="A4"/>
      <selection pane="topRight" activeCell="E4" sqref="E4"/>
      <selection pane="bottomLeft" activeCell="A7" sqref="A7"/>
      <selection pane="bottomRight"/>
    </sheetView>
  </sheetViews>
  <sheetFormatPr defaultRowHeight="12" customHeight="1" x14ac:dyDescent="0.15"/>
  <cols>
    <col min="1" max="1" width="1.625" style="8" customWidth="1"/>
    <col min="2" max="2" width="3.75" style="8" customWidth="1"/>
    <col min="3" max="3" width="17.5" style="8" customWidth="1"/>
    <col min="4" max="4" width="14.25" style="8" customWidth="1"/>
    <col min="5" max="5" width="29.875" style="8" customWidth="1"/>
    <col min="6" max="6" width="38.125" style="8" customWidth="1"/>
    <col min="7" max="7" width="16.875" style="8" customWidth="1"/>
    <col min="8" max="8" width="12.25" style="8" customWidth="1"/>
    <col min="9" max="9" width="11.625" style="8" customWidth="1"/>
    <col min="10" max="10" width="15.125" style="8" customWidth="1"/>
    <col min="11" max="11" width="10.625" style="8" customWidth="1"/>
    <col min="12" max="12" width="22.875" style="8" customWidth="1"/>
    <col min="13" max="13" width="11.25" style="8" customWidth="1"/>
    <col min="14" max="15" width="14.625" style="8" customWidth="1"/>
    <col min="16" max="16" width="8.875" style="8" customWidth="1"/>
    <col min="17" max="18" width="6" style="8" customWidth="1"/>
    <col min="19" max="33" width="3.125" style="8" customWidth="1"/>
    <col min="34" max="16384" width="9" style="8"/>
  </cols>
  <sheetData>
    <row r="2" spans="1:33" ht="17.25" x14ac:dyDescent="0.2">
      <c r="A2" s="40"/>
      <c r="B2" s="22" t="s">
        <v>139</v>
      </c>
      <c r="C2" s="22"/>
    </row>
    <row r="3" spans="1:33" ht="12" customHeight="1" x14ac:dyDescent="0.2">
      <c r="A3" s="40"/>
      <c r="D3" s="22"/>
    </row>
    <row r="4" spans="1:33" ht="13.5" customHeight="1" x14ac:dyDescent="0.15">
      <c r="A4" s="40"/>
      <c r="B4" s="124" t="s">
        <v>351</v>
      </c>
      <c r="C4" s="124" t="s">
        <v>188</v>
      </c>
      <c r="D4" s="124" t="s">
        <v>135</v>
      </c>
      <c r="E4" s="124" t="s">
        <v>133</v>
      </c>
      <c r="F4" s="124" t="s">
        <v>134</v>
      </c>
      <c r="G4" s="124" t="s">
        <v>136</v>
      </c>
      <c r="H4" s="124" t="s">
        <v>355</v>
      </c>
      <c r="I4" s="124" t="s">
        <v>352</v>
      </c>
      <c r="J4" s="124" t="s">
        <v>10</v>
      </c>
      <c r="K4" s="124" t="s">
        <v>215</v>
      </c>
      <c r="L4" s="140" t="s">
        <v>353</v>
      </c>
      <c r="M4" s="124" t="s">
        <v>216</v>
      </c>
      <c r="N4" s="124" t="s">
        <v>217</v>
      </c>
      <c r="O4" s="124" t="s">
        <v>189</v>
      </c>
      <c r="P4" s="124" t="s">
        <v>218</v>
      </c>
      <c r="Q4" s="124" t="s">
        <v>191</v>
      </c>
      <c r="R4" s="124"/>
      <c r="S4" s="125" t="s">
        <v>142</v>
      </c>
      <c r="T4" s="125"/>
      <c r="U4" s="125"/>
      <c r="V4" s="125"/>
      <c r="W4" s="125"/>
      <c r="X4" s="125"/>
      <c r="Y4" s="125"/>
      <c r="Z4" s="125"/>
      <c r="AA4" s="125"/>
      <c r="AB4" s="125"/>
      <c r="AC4" s="125"/>
      <c r="AD4" s="125"/>
      <c r="AE4" s="125"/>
      <c r="AF4" s="122" t="s">
        <v>143</v>
      </c>
      <c r="AG4" s="122"/>
    </row>
    <row r="5" spans="1:33" ht="63" customHeight="1" x14ac:dyDescent="0.15">
      <c r="A5" s="40"/>
      <c r="B5" s="124"/>
      <c r="C5" s="124"/>
      <c r="D5" s="124"/>
      <c r="E5" s="124"/>
      <c r="F5" s="124"/>
      <c r="G5" s="124"/>
      <c r="H5" s="124"/>
      <c r="I5" s="124"/>
      <c r="J5" s="124"/>
      <c r="K5" s="124"/>
      <c r="L5" s="141"/>
      <c r="M5" s="124"/>
      <c r="N5" s="124"/>
      <c r="O5" s="124"/>
      <c r="P5" s="124"/>
      <c r="Q5" s="124"/>
      <c r="R5" s="124"/>
      <c r="S5" s="126" t="s">
        <v>243</v>
      </c>
      <c r="T5" s="127"/>
      <c r="U5" s="126" t="s">
        <v>144</v>
      </c>
      <c r="V5" s="128"/>
      <c r="W5" s="128"/>
      <c r="X5" s="127"/>
      <c r="Y5" s="126" t="s">
        <v>122</v>
      </c>
      <c r="Z5" s="128"/>
      <c r="AA5" s="128"/>
      <c r="AB5" s="127"/>
      <c r="AC5" s="123" t="s">
        <v>244</v>
      </c>
      <c r="AD5" s="123"/>
      <c r="AE5" s="43" t="s">
        <v>238</v>
      </c>
      <c r="AF5" s="44" t="s">
        <v>291</v>
      </c>
      <c r="AG5" s="44" t="s">
        <v>122</v>
      </c>
    </row>
    <row r="6" spans="1:33" ht="93.75" customHeight="1" x14ac:dyDescent="0.15">
      <c r="A6" s="40"/>
      <c r="B6" s="124"/>
      <c r="C6" s="124"/>
      <c r="D6" s="124"/>
      <c r="E6" s="124"/>
      <c r="F6" s="124"/>
      <c r="G6" s="124"/>
      <c r="H6" s="124"/>
      <c r="I6" s="124"/>
      <c r="J6" s="124"/>
      <c r="K6" s="124"/>
      <c r="L6" s="142"/>
      <c r="M6" s="124"/>
      <c r="N6" s="124"/>
      <c r="O6" s="124"/>
      <c r="P6" s="124"/>
      <c r="Q6" s="42" t="s">
        <v>191</v>
      </c>
      <c r="R6" s="42" t="s">
        <v>192</v>
      </c>
      <c r="S6" s="43" t="s">
        <v>245</v>
      </c>
      <c r="T6" s="43" t="s">
        <v>246</v>
      </c>
      <c r="U6" s="43" t="s">
        <v>247</v>
      </c>
      <c r="V6" s="43" t="s">
        <v>248</v>
      </c>
      <c r="W6" s="43" t="s">
        <v>249</v>
      </c>
      <c r="X6" s="43" t="s">
        <v>250</v>
      </c>
      <c r="Y6" s="43" t="s">
        <v>251</v>
      </c>
      <c r="Z6" s="43" t="s">
        <v>252</v>
      </c>
      <c r="AA6" s="43" t="s">
        <v>253</v>
      </c>
      <c r="AB6" s="43" t="s">
        <v>254</v>
      </c>
      <c r="AC6" s="43" t="s">
        <v>255</v>
      </c>
      <c r="AD6" s="43" t="s">
        <v>256</v>
      </c>
      <c r="AE6" s="43" t="s">
        <v>257</v>
      </c>
      <c r="AF6" s="44" t="s">
        <v>258</v>
      </c>
      <c r="AG6" s="44" t="s">
        <v>259</v>
      </c>
    </row>
    <row r="7" spans="1:33" ht="44.25" customHeight="1" x14ac:dyDescent="0.15">
      <c r="A7" s="64"/>
      <c r="B7" s="34" t="s">
        <v>30</v>
      </c>
      <c r="C7" s="130" t="s">
        <v>195</v>
      </c>
      <c r="D7" s="35" t="s">
        <v>240</v>
      </c>
      <c r="E7" s="37" t="s">
        <v>515</v>
      </c>
      <c r="F7" s="35" t="s">
        <v>121</v>
      </c>
      <c r="G7" s="35" t="s">
        <v>140</v>
      </c>
      <c r="H7" s="36" t="s">
        <v>137</v>
      </c>
      <c r="I7" s="37">
        <f>160*1024</f>
        <v>163840</v>
      </c>
      <c r="J7" s="36" t="s">
        <v>239</v>
      </c>
      <c r="K7" s="36" t="s">
        <v>138</v>
      </c>
      <c r="L7" s="146" t="s">
        <v>354</v>
      </c>
      <c r="M7" s="35" t="s">
        <v>128</v>
      </c>
      <c r="N7" s="35" t="s">
        <v>129</v>
      </c>
      <c r="O7" s="35" t="s">
        <v>190</v>
      </c>
      <c r="P7" s="35" t="s">
        <v>126</v>
      </c>
      <c r="Q7" s="38" t="s">
        <v>193</v>
      </c>
      <c r="R7" s="38" t="s">
        <v>145</v>
      </c>
      <c r="S7" s="38" t="s">
        <v>145</v>
      </c>
      <c r="T7" s="38" t="s">
        <v>145</v>
      </c>
      <c r="U7" s="39" t="s">
        <v>145</v>
      </c>
      <c r="V7" s="39" t="s">
        <v>145</v>
      </c>
      <c r="W7" s="39" t="s">
        <v>145</v>
      </c>
      <c r="X7" s="39" t="s">
        <v>145</v>
      </c>
      <c r="Y7" s="39" t="s">
        <v>123</v>
      </c>
      <c r="Z7" s="39" t="s">
        <v>123</v>
      </c>
      <c r="AA7" s="39" t="s">
        <v>123</v>
      </c>
      <c r="AB7" s="39" t="s">
        <v>123</v>
      </c>
      <c r="AC7" s="39" t="s">
        <v>123</v>
      </c>
      <c r="AD7" s="39" t="s">
        <v>123</v>
      </c>
      <c r="AE7" s="39" t="s">
        <v>123</v>
      </c>
      <c r="AF7" s="38" t="s">
        <v>145</v>
      </c>
      <c r="AG7" s="39" t="s">
        <v>123</v>
      </c>
    </row>
    <row r="8" spans="1:33" ht="72" x14ac:dyDescent="0.15">
      <c r="A8" s="40"/>
      <c r="B8" s="34">
        <v>2</v>
      </c>
      <c r="C8" s="130"/>
      <c r="D8" s="35" t="s">
        <v>241</v>
      </c>
      <c r="E8" s="37" t="s">
        <v>360</v>
      </c>
      <c r="F8" s="68" t="s">
        <v>260</v>
      </c>
      <c r="G8" s="68" t="s">
        <v>140</v>
      </c>
      <c r="H8" s="67" t="s">
        <v>137</v>
      </c>
      <c r="I8" s="37">
        <f>130*1024</f>
        <v>133120</v>
      </c>
      <c r="J8" s="67" t="s">
        <v>232</v>
      </c>
      <c r="K8" s="67" t="s">
        <v>138</v>
      </c>
      <c r="L8" s="146" t="s">
        <v>354</v>
      </c>
      <c r="M8" s="68" t="s">
        <v>128</v>
      </c>
      <c r="N8" s="68" t="s">
        <v>129</v>
      </c>
      <c r="O8" s="68" t="s">
        <v>190</v>
      </c>
      <c r="P8" s="35" t="s">
        <v>126</v>
      </c>
      <c r="Q8" s="38" t="s">
        <v>193</v>
      </c>
      <c r="R8" s="38" t="s">
        <v>145</v>
      </c>
      <c r="S8" s="39" t="s">
        <v>123</v>
      </c>
      <c r="T8" s="39" t="s">
        <v>123</v>
      </c>
      <c r="U8" s="39" t="s">
        <v>123</v>
      </c>
      <c r="V8" s="39" t="s">
        <v>123</v>
      </c>
      <c r="W8" s="39" t="s">
        <v>123</v>
      </c>
      <c r="X8" s="39" t="s">
        <v>123</v>
      </c>
      <c r="Y8" s="39" t="s">
        <v>145</v>
      </c>
      <c r="Z8" s="39" t="s">
        <v>145</v>
      </c>
      <c r="AA8" s="39" t="s">
        <v>145</v>
      </c>
      <c r="AB8" s="39" t="s">
        <v>145</v>
      </c>
      <c r="AC8" s="39" t="s">
        <v>145</v>
      </c>
      <c r="AD8" s="39" t="s">
        <v>145</v>
      </c>
      <c r="AE8" s="38" t="s">
        <v>123</v>
      </c>
      <c r="AF8" s="39" t="s">
        <v>123</v>
      </c>
      <c r="AG8" s="38" t="s">
        <v>145</v>
      </c>
    </row>
    <row r="9" spans="1:33" ht="72" x14ac:dyDescent="0.15">
      <c r="A9" s="40"/>
      <c r="B9" s="34">
        <v>3</v>
      </c>
      <c r="C9" s="130"/>
      <c r="D9" s="35" t="s">
        <v>242</v>
      </c>
      <c r="E9" s="37" t="s">
        <v>540</v>
      </c>
      <c r="F9" s="68" t="s">
        <v>121</v>
      </c>
      <c r="G9" s="68" t="s">
        <v>140</v>
      </c>
      <c r="H9" s="67" t="s">
        <v>137</v>
      </c>
      <c r="I9" s="37">
        <f>130*1024</f>
        <v>133120</v>
      </c>
      <c r="J9" s="67" t="s">
        <v>239</v>
      </c>
      <c r="K9" s="67" t="s">
        <v>138</v>
      </c>
      <c r="L9" s="146" t="s">
        <v>356</v>
      </c>
      <c r="M9" s="68" t="s">
        <v>128</v>
      </c>
      <c r="N9" s="68" t="s">
        <v>129</v>
      </c>
      <c r="O9" s="68" t="s">
        <v>190</v>
      </c>
      <c r="P9" s="35" t="s">
        <v>126</v>
      </c>
      <c r="Q9" s="38" t="s">
        <v>193</v>
      </c>
      <c r="R9" s="38" t="s">
        <v>145</v>
      </c>
      <c r="S9" s="38" t="s">
        <v>123</v>
      </c>
      <c r="T9" s="38" t="s">
        <v>123</v>
      </c>
      <c r="U9" s="39" t="s">
        <v>123</v>
      </c>
      <c r="V9" s="39" t="s">
        <v>123</v>
      </c>
      <c r="W9" s="39" t="s">
        <v>123</v>
      </c>
      <c r="X9" s="39" t="s">
        <v>123</v>
      </c>
      <c r="Y9" s="39" t="s">
        <v>123</v>
      </c>
      <c r="Z9" s="39" t="s">
        <v>123</v>
      </c>
      <c r="AA9" s="39" t="s">
        <v>123</v>
      </c>
      <c r="AB9" s="39" t="s">
        <v>123</v>
      </c>
      <c r="AC9" s="39" t="s">
        <v>123</v>
      </c>
      <c r="AD9" s="39" t="s">
        <v>123</v>
      </c>
      <c r="AE9" s="38" t="s">
        <v>145</v>
      </c>
      <c r="AF9" s="39" t="s">
        <v>123</v>
      </c>
      <c r="AG9" s="39" t="s">
        <v>123</v>
      </c>
    </row>
    <row r="10" spans="1:33" ht="24" x14ac:dyDescent="0.15">
      <c r="A10" s="40"/>
      <c r="B10" s="34">
        <v>4</v>
      </c>
      <c r="C10" s="37" t="s">
        <v>266</v>
      </c>
      <c r="D10" s="35" t="s">
        <v>262</v>
      </c>
      <c r="E10" s="68" t="s">
        <v>263</v>
      </c>
      <c r="F10" s="68" t="s">
        <v>121</v>
      </c>
      <c r="G10" s="68" t="s">
        <v>140</v>
      </c>
      <c r="H10" s="67" t="s">
        <v>137</v>
      </c>
      <c r="I10" s="68">
        <f>0.5*1024</f>
        <v>512</v>
      </c>
      <c r="J10" s="67" t="s">
        <v>232</v>
      </c>
      <c r="K10" s="67" t="s">
        <v>138</v>
      </c>
      <c r="L10" s="145" t="s">
        <v>357</v>
      </c>
      <c r="M10" s="37" t="s">
        <v>541</v>
      </c>
      <c r="N10" s="37" t="s">
        <v>542</v>
      </c>
      <c r="O10" s="68" t="s">
        <v>264</v>
      </c>
      <c r="P10" s="35" t="s">
        <v>126</v>
      </c>
      <c r="Q10" s="38" t="s">
        <v>145</v>
      </c>
      <c r="R10" s="38" t="s">
        <v>193</v>
      </c>
      <c r="S10" s="38" t="s">
        <v>123</v>
      </c>
      <c r="T10" s="38" t="s">
        <v>123</v>
      </c>
      <c r="U10" s="39" t="s">
        <v>123</v>
      </c>
      <c r="V10" s="39" t="s">
        <v>123</v>
      </c>
      <c r="W10" s="39" t="s">
        <v>123</v>
      </c>
      <c r="X10" s="39" t="s">
        <v>123</v>
      </c>
      <c r="Y10" s="39" t="s">
        <v>123</v>
      </c>
      <c r="Z10" s="39" t="s">
        <v>123</v>
      </c>
      <c r="AA10" s="39" t="s">
        <v>123</v>
      </c>
      <c r="AB10" s="39" t="s">
        <v>123</v>
      </c>
      <c r="AC10" s="39" t="s">
        <v>145</v>
      </c>
      <c r="AD10" s="39" t="s">
        <v>145</v>
      </c>
      <c r="AE10" s="38" t="s">
        <v>123</v>
      </c>
      <c r="AF10" s="38" t="s">
        <v>123</v>
      </c>
      <c r="AG10" s="38" t="s">
        <v>123</v>
      </c>
    </row>
    <row r="11" spans="1:33" x14ac:dyDescent="0.15">
      <c r="A11" s="40"/>
      <c r="B11" s="34">
        <v>5</v>
      </c>
      <c r="C11" s="130" t="s">
        <v>290</v>
      </c>
      <c r="D11" s="130" t="s">
        <v>197</v>
      </c>
      <c r="E11" s="130" t="s">
        <v>221</v>
      </c>
      <c r="F11" s="130" t="s">
        <v>221</v>
      </c>
      <c r="G11" s="130" t="s">
        <v>140</v>
      </c>
      <c r="H11" s="129" t="s">
        <v>137</v>
      </c>
      <c r="I11" s="37" t="s">
        <v>269</v>
      </c>
      <c r="J11" s="67" t="s">
        <v>232</v>
      </c>
      <c r="K11" s="67" t="s">
        <v>138</v>
      </c>
      <c r="L11" s="145" t="s">
        <v>358</v>
      </c>
      <c r="M11" s="37" t="s">
        <v>359</v>
      </c>
      <c r="N11" s="68" t="s">
        <v>199</v>
      </c>
      <c r="O11" s="68" t="s">
        <v>190</v>
      </c>
      <c r="P11" s="35" t="s">
        <v>126</v>
      </c>
      <c r="Q11" s="38" t="s">
        <v>145</v>
      </c>
      <c r="R11" s="38" t="s">
        <v>193</v>
      </c>
      <c r="S11" s="38" t="s">
        <v>123</v>
      </c>
      <c r="T11" s="38" t="s">
        <v>123</v>
      </c>
      <c r="U11" s="39" t="s">
        <v>123</v>
      </c>
      <c r="V11" s="39" t="s">
        <v>123</v>
      </c>
      <c r="W11" s="39" t="s">
        <v>123</v>
      </c>
      <c r="X11" s="39" t="s">
        <v>123</v>
      </c>
      <c r="Y11" s="39" t="s">
        <v>123</v>
      </c>
      <c r="Z11" s="39" t="s">
        <v>123</v>
      </c>
      <c r="AA11" s="39" t="s">
        <v>123</v>
      </c>
      <c r="AB11" s="39" t="s">
        <v>123</v>
      </c>
      <c r="AC11" s="39" t="s">
        <v>145</v>
      </c>
      <c r="AD11" s="39" t="s">
        <v>145</v>
      </c>
      <c r="AE11" s="38" t="s">
        <v>123</v>
      </c>
      <c r="AF11" s="38" t="s">
        <v>123</v>
      </c>
      <c r="AG11" s="38" t="s">
        <v>123</v>
      </c>
    </row>
    <row r="12" spans="1:33" ht="72" x14ac:dyDescent="0.15">
      <c r="A12" s="40"/>
      <c r="B12" s="34">
        <v>6</v>
      </c>
      <c r="C12" s="130"/>
      <c r="D12" s="130"/>
      <c r="E12" s="130"/>
      <c r="F12" s="130"/>
      <c r="G12" s="130"/>
      <c r="H12" s="129"/>
      <c r="I12" s="37" t="s">
        <v>268</v>
      </c>
      <c r="J12" s="67" t="s">
        <v>232</v>
      </c>
      <c r="K12" s="67" t="s">
        <v>198</v>
      </c>
      <c r="L12" s="145" t="s">
        <v>358</v>
      </c>
      <c r="M12" s="37" t="s">
        <v>267</v>
      </c>
      <c r="N12" s="68" t="s">
        <v>200</v>
      </c>
      <c r="O12" s="68" t="s">
        <v>190</v>
      </c>
      <c r="P12" s="35" t="s">
        <v>126</v>
      </c>
      <c r="Q12" s="38" t="s">
        <v>145</v>
      </c>
      <c r="R12" s="38" t="s">
        <v>193</v>
      </c>
      <c r="S12" s="38" t="s">
        <v>123</v>
      </c>
      <c r="T12" s="38" t="s">
        <v>123</v>
      </c>
      <c r="U12" s="39" t="s">
        <v>123</v>
      </c>
      <c r="V12" s="39" t="s">
        <v>123</v>
      </c>
      <c r="W12" s="39" t="s">
        <v>123</v>
      </c>
      <c r="X12" s="39" t="s">
        <v>123</v>
      </c>
      <c r="Y12" s="39" t="s">
        <v>123</v>
      </c>
      <c r="Z12" s="39" t="s">
        <v>123</v>
      </c>
      <c r="AA12" s="39" t="s">
        <v>123</v>
      </c>
      <c r="AB12" s="39" t="s">
        <v>123</v>
      </c>
      <c r="AC12" s="39" t="s">
        <v>145</v>
      </c>
      <c r="AD12" s="39" t="s">
        <v>145</v>
      </c>
      <c r="AE12" s="38" t="s">
        <v>123</v>
      </c>
      <c r="AF12" s="38" t="s">
        <v>123</v>
      </c>
      <c r="AG12" s="38" t="s">
        <v>123</v>
      </c>
    </row>
    <row r="13" spans="1:33" x14ac:dyDescent="0.15">
      <c r="A13" s="64"/>
      <c r="B13" s="34">
        <v>7</v>
      </c>
      <c r="C13" s="37" t="s">
        <v>378</v>
      </c>
      <c r="D13" s="46" t="s">
        <v>242</v>
      </c>
      <c r="E13" s="46" t="s">
        <v>124</v>
      </c>
      <c r="F13" s="46" t="s">
        <v>528</v>
      </c>
      <c r="G13" s="65" t="s">
        <v>382</v>
      </c>
      <c r="H13" s="45" t="s">
        <v>137</v>
      </c>
      <c r="I13" s="68" t="s">
        <v>527</v>
      </c>
      <c r="J13" s="67" t="s">
        <v>232</v>
      </c>
      <c r="K13" s="67" t="s">
        <v>138</v>
      </c>
      <c r="L13" s="145" t="s">
        <v>539</v>
      </c>
      <c r="M13" s="66" t="s">
        <v>534</v>
      </c>
      <c r="N13" s="66" t="s">
        <v>384</v>
      </c>
      <c r="O13" s="66" t="s">
        <v>385</v>
      </c>
      <c r="P13" s="66" t="s">
        <v>371</v>
      </c>
      <c r="Q13" s="59" t="s">
        <v>193</v>
      </c>
      <c r="R13" s="59" t="s">
        <v>145</v>
      </c>
      <c r="S13" s="38" t="s">
        <v>123</v>
      </c>
      <c r="T13" s="38" t="s">
        <v>123</v>
      </c>
      <c r="U13" s="38" t="s">
        <v>123</v>
      </c>
      <c r="V13" s="38" t="s">
        <v>123</v>
      </c>
      <c r="W13" s="38" t="s">
        <v>123</v>
      </c>
      <c r="X13" s="38" t="s">
        <v>123</v>
      </c>
      <c r="Y13" s="38" t="s">
        <v>123</v>
      </c>
      <c r="Z13" s="38" t="s">
        <v>123</v>
      </c>
      <c r="AA13" s="38" t="s">
        <v>123</v>
      </c>
      <c r="AB13" s="38" t="s">
        <v>123</v>
      </c>
      <c r="AC13" s="38" t="s">
        <v>123</v>
      </c>
      <c r="AD13" s="38" t="s">
        <v>123</v>
      </c>
      <c r="AE13" s="38" t="s">
        <v>521</v>
      </c>
      <c r="AF13" s="38" t="s">
        <v>123</v>
      </c>
      <c r="AG13" s="38" t="s">
        <v>123</v>
      </c>
    </row>
    <row r="14" spans="1:33" x14ac:dyDescent="0.15">
      <c r="A14" s="64"/>
      <c r="B14" s="34">
        <v>8</v>
      </c>
      <c r="C14" s="37" t="s">
        <v>378</v>
      </c>
      <c r="D14" s="48" t="s">
        <v>379</v>
      </c>
      <c r="E14" s="48" t="s">
        <v>526</v>
      </c>
      <c r="F14" s="68" t="s">
        <v>525</v>
      </c>
      <c r="G14" s="65" t="s">
        <v>382</v>
      </c>
      <c r="H14" s="47" t="s">
        <v>531</v>
      </c>
      <c r="I14" s="68" t="s">
        <v>527</v>
      </c>
      <c r="J14" s="67" t="s">
        <v>232</v>
      </c>
      <c r="K14" s="67" t="s">
        <v>138</v>
      </c>
      <c r="L14" s="145" t="s">
        <v>539</v>
      </c>
      <c r="M14" s="66" t="s">
        <v>534</v>
      </c>
      <c r="N14" s="66" t="s">
        <v>384</v>
      </c>
      <c r="O14" s="66" t="s">
        <v>385</v>
      </c>
      <c r="P14" s="66" t="s">
        <v>371</v>
      </c>
      <c r="Q14" s="59" t="s">
        <v>193</v>
      </c>
      <c r="R14" s="59" t="s">
        <v>145</v>
      </c>
      <c r="S14" s="38" t="s">
        <v>521</v>
      </c>
      <c r="T14" s="38" t="s">
        <v>521</v>
      </c>
      <c r="U14" s="38" t="s">
        <v>521</v>
      </c>
      <c r="V14" s="38" t="s">
        <v>521</v>
      </c>
      <c r="W14" s="38" t="s">
        <v>521</v>
      </c>
      <c r="X14" s="38" t="s">
        <v>521</v>
      </c>
      <c r="Y14" s="38" t="s">
        <v>521</v>
      </c>
      <c r="Z14" s="38" t="s">
        <v>521</v>
      </c>
      <c r="AA14" s="38" t="s">
        <v>521</v>
      </c>
      <c r="AB14" s="38" t="s">
        <v>521</v>
      </c>
      <c r="AC14" s="38" t="s">
        <v>521</v>
      </c>
      <c r="AD14" s="38" t="s">
        <v>521</v>
      </c>
      <c r="AE14" s="38" t="s">
        <v>123</v>
      </c>
      <c r="AF14" s="38" t="s">
        <v>521</v>
      </c>
      <c r="AG14" s="38" t="s">
        <v>521</v>
      </c>
    </row>
    <row r="15" spans="1:33" ht="24" x14ac:dyDescent="0.15">
      <c r="A15" s="64"/>
      <c r="B15" s="34">
        <v>9</v>
      </c>
      <c r="C15" s="37" t="s">
        <v>522</v>
      </c>
      <c r="D15" s="37" t="s">
        <v>524</v>
      </c>
      <c r="E15" s="68" t="s">
        <v>375</v>
      </c>
      <c r="F15" s="68" t="s">
        <v>527</v>
      </c>
      <c r="G15" s="65" t="s">
        <v>532</v>
      </c>
      <c r="H15" s="67" t="s">
        <v>531</v>
      </c>
      <c r="I15" s="68" t="s">
        <v>527</v>
      </c>
      <c r="J15" s="67" t="s">
        <v>232</v>
      </c>
      <c r="K15" s="67" t="s">
        <v>138</v>
      </c>
      <c r="L15" s="145" t="s">
        <v>539</v>
      </c>
      <c r="M15" s="66" t="s">
        <v>534</v>
      </c>
      <c r="N15" s="66" t="s">
        <v>384</v>
      </c>
      <c r="O15" s="66" t="s">
        <v>385</v>
      </c>
      <c r="P15" s="66" t="s">
        <v>371</v>
      </c>
      <c r="Q15" s="59" t="s">
        <v>145</v>
      </c>
      <c r="R15" s="59" t="s">
        <v>193</v>
      </c>
      <c r="S15" s="38" t="s">
        <v>521</v>
      </c>
      <c r="T15" s="38" t="s">
        <v>521</v>
      </c>
      <c r="U15" s="38" t="s">
        <v>521</v>
      </c>
      <c r="V15" s="38" t="s">
        <v>521</v>
      </c>
      <c r="W15" s="38" t="s">
        <v>521</v>
      </c>
      <c r="X15" s="38" t="s">
        <v>521</v>
      </c>
      <c r="Y15" s="38" t="s">
        <v>123</v>
      </c>
      <c r="Z15" s="38" t="s">
        <v>123</v>
      </c>
      <c r="AA15" s="38" t="s">
        <v>123</v>
      </c>
      <c r="AB15" s="38" t="s">
        <v>123</v>
      </c>
      <c r="AC15" s="38" t="s">
        <v>123</v>
      </c>
      <c r="AD15" s="38" t="s">
        <v>123</v>
      </c>
      <c r="AE15" s="38" t="s">
        <v>123</v>
      </c>
      <c r="AF15" s="38" t="s">
        <v>521</v>
      </c>
      <c r="AG15" s="38" t="s">
        <v>123</v>
      </c>
    </row>
    <row r="16" spans="1:33" ht="24.75" customHeight="1" x14ac:dyDescent="0.15">
      <c r="A16" s="64"/>
      <c r="B16" s="34">
        <f>B15+1</f>
        <v>10</v>
      </c>
      <c r="C16" s="37" t="s">
        <v>522</v>
      </c>
      <c r="D16" s="37" t="s">
        <v>523</v>
      </c>
      <c r="E16" s="68" t="s">
        <v>533</v>
      </c>
      <c r="F16" s="68" t="s">
        <v>527</v>
      </c>
      <c r="G16" s="65" t="s">
        <v>532</v>
      </c>
      <c r="H16" s="68" t="s">
        <v>527</v>
      </c>
      <c r="I16" s="68" t="s">
        <v>527</v>
      </c>
      <c r="J16" s="68" t="s">
        <v>527</v>
      </c>
      <c r="K16" s="68" t="s">
        <v>527</v>
      </c>
      <c r="L16" s="68" t="s">
        <v>527</v>
      </c>
      <c r="M16" s="68" t="s">
        <v>527</v>
      </c>
      <c r="N16" s="68" t="s">
        <v>527</v>
      </c>
      <c r="O16" s="68" t="s">
        <v>527</v>
      </c>
      <c r="P16" s="68" t="s">
        <v>527</v>
      </c>
      <c r="Q16" s="59" t="s">
        <v>145</v>
      </c>
      <c r="R16" s="59" t="s">
        <v>193</v>
      </c>
      <c r="S16" s="59" t="s">
        <v>123</v>
      </c>
      <c r="T16" s="59" t="s">
        <v>123</v>
      </c>
      <c r="U16" s="59" t="s">
        <v>123</v>
      </c>
      <c r="V16" s="59" t="s">
        <v>123</v>
      </c>
      <c r="W16" s="59" t="s">
        <v>123</v>
      </c>
      <c r="X16" s="59" t="s">
        <v>123</v>
      </c>
      <c r="Y16" s="38" t="s">
        <v>521</v>
      </c>
      <c r="Z16" s="38" t="s">
        <v>521</v>
      </c>
      <c r="AA16" s="38" t="s">
        <v>521</v>
      </c>
      <c r="AB16" s="38" t="s">
        <v>521</v>
      </c>
      <c r="AC16" s="38" t="s">
        <v>521</v>
      </c>
      <c r="AD16" s="38" t="s">
        <v>521</v>
      </c>
      <c r="AE16" s="38" t="s">
        <v>123</v>
      </c>
      <c r="AF16" s="38" t="s">
        <v>123</v>
      </c>
      <c r="AG16" s="38" t="s">
        <v>521</v>
      </c>
    </row>
    <row r="17" spans="1:33" ht="24" x14ac:dyDescent="0.15">
      <c r="A17" s="64"/>
      <c r="B17" s="34">
        <v>11</v>
      </c>
      <c r="C17" s="37" t="s">
        <v>373</v>
      </c>
      <c r="D17" s="68" t="s">
        <v>374</v>
      </c>
      <c r="E17" s="37" t="s">
        <v>536</v>
      </c>
      <c r="F17" s="68" t="s">
        <v>527</v>
      </c>
      <c r="G17" s="65" t="s">
        <v>382</v>
      </c>
      <c r="H17" s="68" t="s">
        <v>527</v>
      </c>
      <c r="I17" s="68" t="s">
        <v>527</v>
      </c>
      <c r="J17" s="68" t="s">
        <v>527</v>
      </c>
      <c r="K17" s="68" t="s">
        <v>527</v>
      </c>
      <c r="L17" s="68" t="s">
        <v>527</v>
      </c>
      <c r="M17" s="68" t="s">
        <v>527</v>
      </c>
      <c r="N17" s="68" t="s">
        <v>527</v>
      </c>
      <c r="O17" s="68" t="s">
        <v>527</v>
      </c>
      <c r="P17" s="68" t="s">
        <v>527</v>
      </c>
      <c r="Q17" s="59" t="s">
        <v>193</v>
      </c>
      <c r="R17" s="59" t="s">
        <v>145</v>
      </c>
      <c r="S17" s="38" t="s">
        <v>521</v>
      </c>
      <c r="T17" s="38" t="s">
        <v>521</v>
      </c>
      <c r="U17" s="38" t="s">
        <v>521</v>
      </c>
      <c r="V17" s="38" t="s">
        <v>521</v>
      </c>
      <c r="W17" s="38" t="s">
        <v>521</v>
      </c>
      <c r="X17" s="38" t="s">
        <v>521</v>
      </c>
      <c r="Y17" s="38" t="s">
        <v>521</v>
      </c>
      <c r="Z17" s="38" t="s">
        <v>521</v>
      </c>
      <c r="AA17" s="38" t="s">
        <v>521</v>
      </c>
      <c r="AB17" s="38" t="s">
        <v>521</v>
      </c>
      <c r="AC17" s="38" t="s">
        <v>521</v>
      </c>
      <c r="AD17" s="38" t="s">
        <v>521</v>
      </c>
      <c r="AE17" s="38" t="s">
        <v>521</v>
      </c>
      <c r="AF17" s="38" t="s">
        <v>521</v>
      </c>
      <c r="AG17" s="38" t="s">
        <v>521</v>
      </c>
    </row>
    <row r="18" spans="1:33" s="51" customFormat="1" ht="12" customHeight="1" x14ac:dyDescent="0.15">
      <c r="A18" s="143"/>
      <c r="B18" s="34">
        <f t="shared" ref="B18:B80" si="0">B17+1</f>
        <v>12</v>
      </c>
      <c r="C18" s="131" t="s">
        <v>373</v>
      </c>
      <c r="D18" s="131" t="s">
        <v>535</v>
      </c>
      <c r="E18" s="66" t="s">
        <v>380</v>
      </c>
      <c r="F18" s="58" t="s">
        <v>381</v>
      </c>
      <c r="G18" s="52" t="s">
        <v>382</v>
      </c>
      <c r="H18" s="52" t="s">
        <v>383</v>
      </c>
      <c r="I18" s="58">
        <v>50</v>
      </c>
      <c r="J18" s="67" t="s">
        <v>232</v>
      </c>
      <c r="K18" s="58" t="s">
        <v>138</v>
      </c>
      <c r="L18" s="58"/>
      <c r="M18" s="66" t="s">
        <v>534</v>
      </c>
      <c r="N18" s="66" t="s">
        <v>384</v>
      </c>
      <c r="O18" s="66" t="s">
        <v>385</v>
      </c>
      <c r="P18" s="66" t="s">
        <v>371</v>
      </c>
      <c r="Q18" s="59" t="s">
        <v>193</v>
      </c>
      <c r="R18" s="59" t="s">
        <v>145</v>
      </c>
      <c r="S18" s="38" t="s">
        <v>521</v>
      </c>
      <c r="T18" s="38" t="s">
        <v>521</v>
      </c>
      <c r="U18" s="59" t="s">
        <v>123</v>
      </c>
      <c r="V18" s="59" t="s">
        <v>123</v>
      </c>
      <c r="W18" s="59" t="s">
        <v>123</v>
      </c>
      <c r="X18" s="59" t="s">
        <v>123</v>
      </c>
      <c r="Y18" s="59" t="s">
        <v>123</v>
      </c>
      <c r="Z18" s="59" t="s">
        <v>123</v>
      </c>
      <c r="AA18" s="59" t="s">
        <v>123</v>
      </c>
      <c r="AB18" s="59" t="s">
        <v>123</v>
      </c>
      <c r="AC18" s="59" t="s">
        <v>123</v>
      </c>
      <c r="AD18" s="59" t="s">
        <v>123</v>
      </c>
      <c r="AE18" s="59" t="s">
        <v>123</v>
      </c>
      <c r="AF18" s="38" t="s">
        <v>521</v>
      </c>
      <c r="AG18" s="59" t="s">
        <v>123</v>
      </c>
    </row>
    <row r="19" spans="1:33" s="51" customFormat="1" ht="12" customHeight="1" x14ac:dyDescent="0.15">
      <c r="A19" s="143"/>
      <c r="B19" s="34">
        <f t="shared" si="0"/>
        <v>13</v>
      </c>
      <c r="C19" s="132"/>
      <c r="D19" s="132"/>
      <c r="E19" s="66" t="s">
        <v>386</v>
      </c>
      <c r="F19" s="58" t="s">
        <v>387</v>
      </c>
      <c r="G19" s="52" t="s">
        <v>382</v>
      </c>
      <c r="H19" s="52" t="s">
        <v>383</v>
      </c>
      <c r="I19" s="58">
        <v>50</v>
      </c>
      <c r="J19" s="67" t="s">
        <v>232</v>
      </c>
      <c r="K19" s="58" t="s">
        <v>138</v>
      </c>
      <c r="L19" s="58"/>
      <c r="M19" s="66" t="s">
        <v>534</v>
      </c>
      <c r="N19" s="66" t="s">
        <v>384</v>
      </c>
      <c r="O19" s="66" t="s">
        <v>385</v>
      </c>
      <c r="P19" s="66" t="s">
        <v>371</v>
      </c>
      <c r="Q19" s="59" t="s">
        <v>193</v>
      </c>
      <c r="R19" s="59" t="s">
        <v>145</v>
      </c>
      <c r="S19" s="38" t="s">
        <v>521</v>
      </c>
      <c r="T19" s="38" t="s">
        <v>521</v>
      </c>
      <c r="U19" s="59" t="s">
        <v>123</v>
      </c>
      <c r="V19" s="59" t="s">
        <v>123</v>
      </c>
      <c r="W19" s="59" t="s">
        <v>123</v>
      </c>
      <c r="X19" s="59" t="s">
        <v>123</v>
      </c>
      <c r="Y19" s="59" t="s">
        <v>123</v>
      </c>
      <c r="Z19" s="59" t="s">
        <v>123</v>
      </c>
      <c r="AA19" s="59" t="s">
        <v>123</v>
      </c>
      <c r="AB19" s="59" t="s">
        <v>123</v>
      </c>
      <c r="AC19" s="59" t="s">
        <v>123</v>
      </c>
      <c r="AD19" s="59" t="s">
        <v>123</v>
      </c>
      <c r="AE19" s="59" t="s">
        <v>123</v>
      </c>
      <c r="AF19" s="38" t="s">
        <v>521</v>
      </c>
      <c r="AG19" s="59" t="s">
        <v>123</v>
      </c>
    </row>
    <row r="20" spans="1:33" s="51" customFormat="1" ht="12" customHeight="1" x14ac:dyDescent="0.15">
      <c r="A20" s="143"/>
      <c r="B20" s="34">
        <f t="shared" si="0"/>
        <v>14</v>
      </c>
      <c r="C20" s="132"/>
      <c r="D20" s="132"/>
      <c r="E20" s="66" t="s">
        <v>386</v>
      </c>
      <c r="F20" s="58" t="s">
        <v>388</v>
      </c>
      <c r="G20" s="52" t="s">
        <v>382</v>
      </c>
      <c r="H20" s="52" t="s">
        <v>389</v>
      </c>
      <c r="I20" s="58">
        <v>500</v>
      </c>
      <c r="J20" s="67" t="s">
        <v>232</v>
      </c>
      <c r="K20" s="58" t="s">
        <v>138</v>
      </c>
      <c r="L20" s="58"/>
      <c r="M20" s="66" t="s">
        <v>534</v>
      </c>
      <c r="N20" s="66" t="s">
        <v>384</v>
      </c>
      <c r="O20" s="66" t="s">
        <v>385</v>
      </c>
      <c r="P20" s="66" t="s">
        <v>371</v>
      </c>
      <c r="Q20" s="59" t="s">
        <v>193</v>
      </c>
      <c r="R20" s="59" t="s">
        <v>145</v>
      </c>
      <c r="S20" s="38" t="s">
        <v>521</v>
      </c>
      <c r="T20" s="38" t="s">
        <v>521</v>
      </c>
      <c r="U20" s="59" t="s">
        <v>123</v>
      </c>
      <c r="V20" s="59" t="s">
        <v>123</v>
      </c>
      <c r="W20" s="59" t="s">
        <v>123</v>
      </c>
      <c r="X20" s="59" t="s">
        <v>123</v>
      </c>
      <c r="Y20" s="59" t="s">
        <v>123</v>
      </c>
      <c r="Z20" s="59" t="s">
        <v>123</v>
      </c>
      <c r="AA20" s="59" t="s">
        <v>123</v>
      </c>
      <c r="AB20" s="59" t="s">
        <v>123</v>
      </c>
      <c r="AC20" s="59" t="s">
        <v>123</v>
      </c>
      <c r="AD20" s="59" t="s">
        <v>123</v>
      </c>
      <c r="AE20" s="59" t="s">
        <v>123</v>
      </c>
      <c r="AF20" s="38" t="s">
        <v>521</v>
      </c>
      <c r="AG20" s="59" t="s">
        <v>123</v>
      </c>
    </row>
    <row r="21" spans="1:33" s="51" customFormat="1" ht="12" customHeight="1" x14ac:dyDescent="0.15">
      <c r="A21" s="143"/>
      <c r="B21" s="34">
        <f t="shared" si="0"/>
        <v>15</v>
      </c>
      <c r="C21" s="132"/>
      <c r="D21" s="132"/>
      <c r="E21" s="66" t="s">
        <v>386</v>
      </c>
      <c r="F21" s="58" t="s">
        <v>390</v>
      </c>
      <c r="G21" s="52" t="s">
        <v>382</v>
      </c>
      <c r="H21" s="52" t="s">
        <v>383</v>
      </c>
      <c r="I21" s="58">
        <v>50</v>
      </c>
      <c r="J21" s="67" t="s">
        <v>232</v>
      </c>
      <c r="K21" s="58" t="s">
        <v>138</v>
      </c>
      <c r="L21" s="58"/>
      <c r="M21" s="66" t="s">
        <v>534</v>
      </c>
      <c r="N21" s="66" t="s">
        <v>384</v>
      </c>
      <c r="O21" s="66" t="s">
        <v>385</v>
      </c>
      <c r="P21" s="66" t="s">
        <v>371</v>
      </c>
      <c r="Q21" s="59" t="s">
        <v>193</v>
      </c>
      <c r="R21" s="59" t="s">
        <v>145</v>
      </c>
      <c r="S21" s="38" t="s">
        <v>521</v>
      </c>
      <c r="T21" s="38" t="s">
        <v>521</v>
      </c>
      <c r="U21" s="59" t="s">
        <v>123</v>
      </c>
      <c r="V21" s="59" t="s">
        <v>123</v>
      </c>
      <c r="W21" s="59" t="s">
        <v>123</v>
      </c>
      <c r="X21" s="59" t="s">
        <v>123</v>
      </c>
      <c r="Y21" s="59" t="s">
        <v>123</v>
      </c>
      <c r="Z21" s="59" t="s">
        <v>123</v>
      </c>
      <c r="AA21" s="59" t="s">
        <v>123</v>
      </c>
      <c r="AB21" s="59" t="s">
        <v>123</v>
      </c>
      <c r="AC21" s="59" t="s">
        <v>123</v>
      </c>
      <c r="AD21" s="59" t="s">
        <v>123</v>
      </c>
      <c r="AE21" s="59" t="s">
        <v>123</v>
      </c>
      <c r="AF21" s="38" t="s">
        <v>521</v>
      </c>
      <c r="AG21" s="59" t="s">
        <v>123</v>
      </c>
    </row>
    <row r="22" spans="1:33" s="51" customFormat="1" ht="12" customHeight="1" x14ac:dyDescent="0.15">
      <c r="A22" s="143"/>
      <c r="B22" s="34">
        <f t="shared" si="0"/>
        <v>16</v>
      </c>
      <c r="C22" s="132"/>
      <c r="D22" s="132"/>
      <c r="E22" s="66" t="s">
        <v>386</v>
      </c>
      <c r="F22" s="58" t="s">
        <v>391</v>
      </c>
      <c r="G22" s="52" t="s">
        <v>382</v>
      </c>
      <c r="H22" s="52" t="s">
        <v>383</v>
      </c>
      <c r="I22" s="58">
        <v>50</v>
      </c>
      <c r="J22" s="67" t="s">
        <v>232</v>
      </c>
      <c r="K22" s="58" t="s">
        <v>138</v>
      </c>
      <c r="L22" s="58"/>
      <c r="M22" s="66" t="s">
        <v>534</v>
      </c>
      <c r="N22" s="66" t="s">
        <v>384</v>
      </c>
      <c r="O22" s="66" t="s">
        <v>385</v>
      </c>
      <c r="P22" s="66" t="s">
        <v>371</v>
      </c>
      <c r="Q22" s="59" t="s">
        <v>193</v>
      </c>
      <c r="R22" s="59" t="s">
        <v>145</v>
      </c>
      <c r="S22" s="38" t="s">
        <v>521</v>
      </c>
      <c r="T22" s="38" t="s">
        <v>521</v>
      </c>
      <c r="U22" s="59" t="s">
        <v>123</v>
      </c>
      <c r="V22" s="59" t="s">
        <v>123</v>
      </c>
      <c r="W22" s="59" t="s">
        <v>123</v>
      </c>
      <c r="X22" s="59" t="s">
        <v>123</v>
      </c>
      <c r="Y22" s="59" t="s">
        <v>123</v>
      </c>
      <c r="Z22" s="59" t="s">
        <v>123</v>
      </c>
      <c r="AA22" s="59" t="s">
        <v>123</v>
      </c>
      <c r="AB22" s="59" t="s">
        <v>123</v>
      </c>
      <c r="AC22" s="59" t="s">
        <v>123</v>
      </c>
      <c r="AD22" s="59" t="s">
        <v>123</v>
      </c>
      <c r="AE22" s="59" t="s">
        <v>123</v>
      </c>
      <c r="AF22" s="38" t="s">
        <v>521</v>
      </c>
      <c r="AG22" s="59" t="s">
        <v>123</v>
      </c>
    </row>
    <row r="23" spans="1:33" s="51" customFormat="1" ht="12" customHeight="1" x14ac:dyDescent="0.15">
      <c r="A23" s="143"/>
      <c r="B23" s="34">
        <f t="shared" si="0"/>
        <v>17</v>
      </c>
      <c r="C23" s="132"/>
      <c r="D23" s="132"/>
      <c r="E23" s="66" t="s">
        <v>386</v>
      </c>
      <c r="F23" s="65" t="s">
        <v>392</v>
      </c>
      <c r="G23" s="52" t="s">
        <v>382</v>
      </c>
      <c r="H23" s="52" t="s">
        <v>383</v>
      </c>
      <c r="I23" s="58">
        <v>50</v>
      </c>
      <c r="J23" s="67" t="s">
        <v>232</v>
      </c>
      <c r="K23" s="58" t="s">
        <v>138</v>
      </c>
      <c r="L23" s="58"/>
      <c r="M23" s="66" t="s">
        <v>534</v>
      </c>
      <c r="N23" s="66" t="s">
        <v>384</v>
      </c>
      <c r="O23" s="66" t="s">
        <v>385</v>
      </c>
      <c r="P23" s="66" t="s">
        <v>371</v>
      </c>
      <c r="Q23" s="59" t="s">
        <v>193</v>
      </c>
      <c r="R23" s="59" t="s">
        <v>145</v>
      </c>
      <c r="S23" s="38" t="s">
        <v>521</v>
      </c>
      <c r="T23" s="38" t="s">
        <v>521</v>
      </c>
      <c r="U23" s="59" t="s">
        <v>123</v>
      </c>
      <c r="V23" s="59" t="s">
        <v>123</v>
      </c>
      <c r="W23" s="59" t="s">
        <v>123</v>
      </c>
      <c r="X23" s="59" t="s">
        <v>123</v>
      </c>
      <c r="Y23" s="59" t="s">
        <v>123</v>
      </c>
      <c r="Z23" s="59" t="s">
        <v>123</v>
      </c>
      <c r="AA23" s="59" t="s">
        <v>123</v>
      </c>
      <c r="AB23" s="59" t="s">
        <v>123</v>
      </c>
      <c r="AC23" s="59" t="s">
        <v>123</v>
      </c>
      <c r="AD23" s="59" t="s">
        <v>123</v>
      </c>
      <c r="AE23" s="59" t="s">
        <v>123</v>
      </c>
      <c r="AF23" s="38" t="s">
        <v>521</v>
      </c>
      <c r="AG23" s="59" t="s">
        <v>123</v>
      </c>
    </row>
    <row r="24" spans="1:33" s="51" customFormat="1" ht="12" customHeight="1" x14ac:dyDescent="0.15">
      <c r="A24" s="143"/>
      <c r="B24" s="34">
        <f t="shared" si="0"/>
        <v>18</v>
      </c>
      <c r="C24" s="132"/>
      <c r="D24" s="132"/>
      <c r="E24" s="66" t="s">
        <v>386</v>
      </c>
      <c r="F24" s="65" t="s">
        <v>393</v>
      </c>
      <c r="G24" s="52" t="s">
        <v>382</v>
      </c>
      <c r="H24" s="52" t="s">
        <v>383</v>
      </c>
      <c r="I24" s="58">
        <v>50</v>
      </c>
      <c r="J24" s="67" t="s">
        <v>232</v>
      </c>
      <c r="K24" s="58" t="s">
        <v>138</v>
      </c>
      <c r="L24" s="58"/>
      <c r="M24" s="66" t="s">
        <v>534</v>
      </c>
      <c r="N24" s="66" t="s">
        <v>384</v>
      </c>
      <c r="O24" s="66" t="s">
        <v>385</v>
      </c>
      <c r="P24" s="66" t="s">
        <v>371</v>
      </c>
      <c r="Q24" s="59" t="s">
        <v>193</v>
      </c>
      <c r="R24" s="59" t="s">
        <v>145</v>
      </c>
      <c r="S24" s="38" t="s">
        <v>521</v>
      </c>
      <c r="T24" s="38" t="s">
        <v>521</v>
      </c>
      <c r="U24" s="59" t="s">
        <v>123</v>
      </c>
      <c r="V24" s="59" t="s">
        <v>123</v>
      </c>
      <c r="W24" s="59" t="s">
        <v>123</v>
      </c>
      <c r="X24" s="59" t="s">
        <v>123</v>
      </c>
      <c r="Y24" s="59" t="s">
        <v>123</v>
      </c>
      <c r="Z24" s="59" t="s">
        <v>123</v>
      </c>
      <c r="AA24" s="59" t="s">
        <v>123</v>
      </c>
      <c r="AB24" s="59" t="s">
        <v>123</v>
      </c>
      <c r="AC24" s="59" t="s">
        <v>123</v>
      </c>
      <c r="AD24" s="59" t="s">
        <v>123</v>
      </c>
      <c r="AE24" s="59" t="s">
        <v>123</v>
      </c>
      <c r="AF24" s="38" t="s">
        <v>521</v>
      </c>
      <c r="AG24" s="59" t="s">
        <v>123</v>
      </c>
    </row>
    <row r="25" spans="1:33" s="51" customFormat="1" ht="12" customHeight="1" x14ac:dyDescent="0.15">
      <c r="A25" s="143"/>
      <c r="B25" s="34">
        <f t="shared" si="0"/>
        <v>19</v>
      </c>
      <c r="C25" s="132"/>
      <c r="D25" s="132"/>
      <c r="E25" s="66" t="s">
        <v>386</v>
      </c>
      <c r="F25" s="65" t="s">
        <v>394</v>
      </c>
      <c r="G25" s="52" t="s">
        <v>382</v>
      </c>
      <c r="H25" s="52" t="s">
        <v>383</v>
      </c>
      <c r="I25" s="58">
        <v>50</v>
      </c>
      <c r="J25" s="67" t="s">
        <v>232</v>
      </c>
      <c r="K25" s="58" t="s">
        <v>138</v>
      </c>
      <c r="L25" s="58"/>
      <c r="M25" s="66" t="s">
        <v>534</v>
      </c>
      <c r="N25" s="66" t="s">
        <v>384</v>
      </c>
      <c r="O25" s="66" t="s">
        <v>385</v>
      </c>
      <c r="P25" s="66" t="s">
        <v>371</v>
      </c>
      <c r="Q25" s="59" t="s">
        <v>193</v>
      </c>
      <c r="R25" s="59" t="s">
        <v>145</v>
      </c>
      <c r="S25" s="38" t="s">
        <v>521</v>
      </c>
      <c r="T25" s="38" t="s">
        <v>521</v>
      </c>
      <c r="U25" s="59" t="s">
        <v>123</v>
      </c>
      <c r="V25" s="59" t="s">
        <v>123</v>
      </c>
      <c r="W25" s="59" t="s">
        <v>123</v>
      </c>
      <c r="X25" s="59" t="s">
        <v>123</v>
      </c>
      <c r="Y25" s="59" t="s">
        <v>123</v>
      </c>
      <c r="Z25" s="59" t="s">
        <v>123</v>
      </c>
      <c r="AA25" s="59" t="s">
        <v>123</v>
      </c>
      <c r="AB25" s="59" t="s">
        <v>123</v>
      </c>
      <c r="AC25" s="59" t="s">
        <v>123</v>
      </c>
      <c r="AD25" s="59" t="s">
        <v>123</v>
      </c>
      <c r="AE25" s="59" t="s">
        <v>123</v>
      </c>
      <c r="AF25" s="38" t="s">
        <v>521</v>
      </c>
      <c r="AG25" s="59" t="s">
        <v>123</v>
      </c>
    </row>
    <row r="26" spans="1:33" s="51" customFormat="1" ht="12" customHeight="1" x14ac:dyDescent="0.15">
      <c r="A26" s="143"/>
      <c r="B26" s="34">
        <f t="shared" si="0"/>
        <v>20</v>
      </c>
      <c r="C26" s="132"/>
      <c r="D26" s="132"/>
      <c r="E26" s="66" t="s">
        <v>386</v>
      </c>
      <c r="F26" s="65" t="s">
        <v>395</v>
      </c>
      <c r="G26" s="52" t="s">
        <v>382</v>
      </c>
      <c r="H26" s="52" t="s">
        <v>383</v>
      </c>
      <c r="I26" s="58">
        <v>50</v>
      </c>
      <c r="J26" s="67" t="s">
        <v>232</v>
      </c>
      <c r="K26" s="58" t="s">
        <v>138</v>
      </c>
      <c r="L26" s="58"/>
      <c r="M26" s="66" t="s">
        <v>534</v>
      </c>
      <c r="N26" s="66" t="s">
        <v>384</v>
      </c>
      <c r="O26" s="66" t="s">
        <v>385</v>
      </c>
      <c r="P26" s="66" t="s">
        <v>371</v>
      </c>
      <c r="Q26" s="59" t="s">
        <v>193</v>
      </c>
      <c r="R26" s="59" t="s">
        <v>145</v>
      </c>
      <c r="S26" s="38" t="s">
        <v>521</v>
      </c>
      <c r="T26" s="38" t="s">
        <v>521</v>
      </c>
      <c r="U26" s="59" t="s">
        <v>123</v>
      </c>
      <c r="V26" s="59" t="s">
        <v>123</v>
      </c>
      <c r="W26" s="59" t="s">
        <v>123</v>
      </c>
      <c r="X26" s="59" t="s">
        <v>123</v>
      </c>
      <c r="Y26" s="59" t="s">
        <v>123</v>
      </c>
      <c r="Z26" s="59" t="s">
        <v>123</v>
      </c>
      <c r="AA26" s="59" t="s">
        <v>123</v>
      </c>
      <c r="AB26" s="59" t="s">
        <v>123</v>
      </c>
      <c r="AC26" s="59" t="s">
        <v>123</v>
      </c>
      <c r="AD26" s="59" t="s">
        <v>123</v>
      </c>
      <c r="AE26" s="59" t="s">
        <v>123</v>
      </c>
      <c r="AF26" s="38" t="s">
        <v>521</v>
      </c>
      <c r="AG26" s="59" t="s">
        <v>123</v>
      </c>
    </row>
    <row r="27" spans="1:33" s="51" customFormat="1" ht="12" customHeight="1" x14ac:dyDescent="0.15">
      <c r="A27" s="143"/>
      <c r="B27" s="34">
        <f t="shared" si="0"/>
        <v>21</v>
      </c>
      <c r="C27" s="132"/>
      <c r="D27" s="132"/>
      <c r="E27" s="66" t="s">
        <v>386</v>
      </c>
      <c r="F27" s="65" t="s">
        <v>396</v>
      </c>
      <c r="G27" s="52" t="s">
        <v>382</v>
      </c>
      <c r="H27" s="52" t="s">
        <v>383</v>
      </c>
      <c r="I27" s="58">
        <v>50</v>
      </c>
      <c r="J27" s="67" t="s">
        <v>232</v>
      </c>
      <c r="K27" s="58" t="s">
        <v>138</v>
      </c>
      <c r="L27" s="58"/>
      <c r="M27" s="66" t="s">
        <v>534</v>
      </c>
      <c r="N27" s="66" t="s">
        <v>384</v>
      </c>
      <c r="O27" s="66" t="s">
        <v>385</v>
      </c>
      <c r="P27" s="66" t="s">
        <v>371</v>
      </c>
      <c r="Q27" s="59" t="s">
        <v>193</v>
      </c>
      <c r="R27" s="59" t="s">
        <v>145</v>
      </c>
      <c r="S27" s="38" t="s">
        <v>521</v>
      </c>
      <c r="T27" s="38" t="s">
        <v>521</v>
      </c>
      <c r="U27" s="59" t="s">
        <v>123</v>
      </c>
      <c r="V27" s="59" t="s">
        <v>123</v>
      </c>
      <c r="W27" s="59" t="s">
        <v>123</v>
      </c>
      <c r="X27" s="59" t="s">
        <v>123</v>
      </c>
      <c r="Y27" s="59" t="s">
        <v>123</v>
      </c>
      <c r="Z27" s="59" t="s">
        <v>123</v>
      </c>
      <c r="AA27" s="59" t="s">
        <v>123</v>
      </c>
      <c r="AB27" s="59" t="s">
        <v>123</v>
      </c>
      <c r="AC27" s="59" t="s">
        <v>123</v>
      </c>
      <c r="AD27" s="59" t="s">
        <v>123</v>
      </c>
      <c r="AE27" s="59" t="s">
        <v>123</v>
      </c>
      <c r="AF27" s="38" t="s">
        <v>521</v>
      </c>
      <c r="AG27" s="59" t="s">
        <v>123</v>
      </c>
    </row>
    <row r="28" spans="1:33" s="51" customFormat="1" ht="12" customHeight="1" x14ac:dyDescent="0.15">
      <c r="A28" s="143"/>
      <c r="B28" s="34">
        <f t="shared" si="0"/>
        <v>22</v>
      </c>
      <c r="C28" s="132"/>
      <c r="D28" s="132"/>
      <c r="E28" s="66" t="s">
        <v>386</v>
      </c>
      <c r="F28" s="65" t="s">
        <v>397</v>
      </c>
      <c r="G28" s="52" t="s">
        <v>382</v>
      </c>
      <c r="H28" s="52" t="s">
        <v>383</v>
      </c>
      <c r="I28" s="58">
        <v>50</v>
      </c>
      <c r="J28" s="67" t="s">
        <v>232</v>
      </c>
      <c r="K28" s="58" t="s">
        <v>138</v>
      </c>
      <c r="L28" s="58"/>
      <c r="M28" s="66" t="s">
        <v>534</v>
      </c>
      <c r="N28" s="66" t="s">
        <v>384</v>
      </c>
      <c r="O28" s="66" t="s">
        <v>385</v>
      </c>
      <c r="P28" s="66" t="s">
        <v>371</v>
      </c>
      <c r="Q28" s="59" t="s">
        <v>193</v>
      </c>
      <c r="R28" s="59" t="s">
        <v>145</v>
      </c>
      <c r="S28" s="38" t="s">
        <v>521</v>
      </c>
      <c r="T28" s="38" t="s">
        <v>521</v>
      </c>
      <c r="U28" s="59" t="s">
        <v>123</v>
      </c>
      <c r="V28" s="59" t="s">
        <v>123</v>
      </c>
      <c r="W28" s="59" t="s">
        <v>123</v>
      </c>
      <c r="X28" s="59" t="s">
        <v>123</v>
      </c>
      <c r="Y28" s="59" t="s">
        <v>123</v>
      </c>
      <c r="Z28" s="59" t="s">
        <v>123</v>
      </c>
      <c r="AA28" s="59" t="s">
        <v>123</v>
      </c>
      <c r="AB28" s="59" t="s">
        <v>123</v>
      </c>
      <c r="AC28" s="59" t="s">
        <v>123</v>
      </c>
      <c r="AD28" s="59" t="s">
        <v>123</v>
      </c>
      <c r="AE28" s="59" t="s">
        <v>123</v>
      </c>
      <c r="AF28" s="38" t="s">
        <v>521</v>
      </c>
      <c r="AG28" s="59" t="s">
        <v>123</v>
      </c>
    </row>
    <row r="29" spans="1:33" s="51" customFormat="1" ht="12" customHeight="1" x14ac:dyDescent="0.15">
      <c r="A29" s="143"/>
      <c r="B29" s="34">
        <f t="shared" si="0"/>
        <v>23</v>
      </c>
      <c r="C29" s="132"/>
      <c r="D29" s="132"/>
      <c r="E29" s="66" t="s">
        <v>386</v>
      </c>
      <c r="F29" s="65" t="s">
        <v>398</v>
      </c>
      <c r="G29" s="52" t="s">
        <v>382</v>
      </c>
      <c r="H29" s="52" t="s">
        <v>383</v>
      </c>
      <c r="I29" s="58">
        <v>50</v>
      </c>
      <c r="J29" s="67" t="s">
        <v>232</v>
      </c>
      <c r="K29" s="58" t="s">
        <v>138</v>
      </c>
      <c r="L29" s="58"/>
      <c r="M29" s="66" t="s">
        <v>534</v>
      </c>
      <c r="N29" s="66" t="s">
        <v>384</v>
      </c>
      <c r="O29" s="66" t="s">
        <v>385</v>
      </c>
      <c r="P29" s="66" t="s">
        <v>371</v>
      </c>
      <c r="Q29" s="59" t="s">
        <v>193</v>
      </c>
      <c r="R29" s="59" t="s">
        <v>145</v>
      </c>
      <c r="S29" s="38" t="s">
        <v>521</v>
      </c>
      <c r="T29" s="38" t="s">
        <v>521</v>
      </c>
      <c r="U29" s="59" t="s">
        <v>123</v>
      </c>
      <c r="V29" s="59" t="s">
        <v>123</v>
      </c>
      <c r="W29" s="59" t="s">
        <v>123</v>
      </c>
      <c r="X29" s="59" t="s">
        <v>123</v>
      </c>
      <c r="Y29" s="59" t="s">
        <v>123</v>
      </c>
      <c r="Z29" s="59" t="s">
        <v>123</v>
      </c>
      <c r="AA29" s="59" t="s">
        <v>123</v>
      </c>
      <c r="AB29" s="59" t="s">
        <v>123</v>
      </c>
      <c r="AC29" s="59" t="s">
        <v>123</v>
      </c>
      <c r="AD29" s="59" t="s">
        <v>123</v>
      </c>
      <c r="AE29" s="59" t="s">
        <v>123</v>
      </c>
      <c r="AF29" s="38" t="s">
        <v>521</v>
      </c>
      <c r="AG29" s="59" t="s">
        <v>123</v>
      </c>
    </row>
    <row r="30" spans="1:33" s="51" customFormat="1" ht="12" customHeight="1" x14ac:dyDescent="0.15">
      <c r="A30" s="143"/>
      <c r="B30" s="34">
        <f t="shared" si="0"/>
        <v>24</v>
      </c>
      <c r="C30" s="132"/>
      <c r="D30" s="132"/>
      <c r="E30" s="66" t="s">
        <v>386</v>
      </c>
      <c r="F30" s="65" t="s">
        <v>399</v>
      </c>
      <c r="G30" s="52" t="s">
        <v>382</v>
      </c>
      <c r="H30" s="52" t="s">
        <v>383</v>
      </c>
      <c r="I30" s="58">
        <v>50</v>
      </c>
      <c r="J30" s="67" t="s">
        <v>232</v>
      </c>
      <c r="K30" s="58" t="s">
        <v>138</v>
      </c>
      <c r="L30" s="58"/>
      <c r="M30" s="66" t="s">
        <v>534</v>
      </c>
      <c r="N30" s="66" t="s">
        <v>384</v>
      </c>
      <c r="O30" s="66" t="s">
        <v>385</v>
      </c>
      <c r="P30" s="66" t="s">
        <v>371</v>
      </c>
      <c r="Q30" s="59" t="s">
        <v>193</v>
      </c>
      <c r="R30" s="59" t="s">
        <v>145</v>
      </c>
      <c r="S30" s="38" t="s">
        <v>521</v>
      </c>
      <c r="T30" s="38" t="s">
        <v>521</v>
      </c>
      <c r="U30" s="59" t="s">
        <v>123</v>
      </c>
      <c r="V30" s="59" t="s">
        <v>123</v>
      </c>
      <c r="W30" s="59" t="s">
        <v>123</v>
      </c>
      <c r="X30" s="59" t="s">
        <v>123</v>
      </c>
      <c r="Y30" s="59" t="s">
        <v>123</v>
      </c>
      <c r="Z30" s="59" t="s">
        <v>123</v>
      </c>
      <c r="AA30" s="59" t="s">
        <v>123</v>
      </c>
      <c r="AB30" s="59" t="s">
        <v>123</v>
      </c>
      <c r="AC30" s="59" t="s">
        <v>123</v>
      </c>
      <c r="AD30" s="59" t="s">
        <v>123</v>
      </c>
      <c r="AE30" s="59" t="s">
        <v>123</v>
      </c>
      <c r="AF30" s="38" t="s">
        <v>521</v>
      </c>
      <c r="AG30" s="59" t="s">
        <v>123</v>
      </c>
    </row>
    <row r="31" spans="1:33" s="51" customFormat="1" ht="12" customHeight="1" x14ac:dyDescent="0.15">
      <c r="A31" s="143"/>
      <c r="B31" s="34">
        <f t="shared" si="0"/>
        <v>25</v>
      </c>
      <c r="C31" s="132"/>
      <c r="D31" s="132"/>
      <c r="E31" s="66" t="s">
        <v>386</v>
      </c>
      <c r="F31" s="65" t="s">
        <v>400</v>
      </c>
      <c r="G31" s="52" t="s">
        <v>382</v>
      </c>
      <c r="H31" s="52" t="s">
        <v>389</v>
      </c>
      <c r="I31" s="58">
        <v>500</v>
      </c>
      <c r="J31" s="67" t="s">
        <v>232</v>
      </c>
      <c r="K31" s="58" t="s">
        <v>138</v>
      </c>
      <c r="L31" s="58"/>
      <c r="M31" s="66" t="s">
        <v>534</v>
      </c>
      <c r="N31" s="66" t="s">
        <v>384</v>
      </c>
      <c r="O31" s="66" t="s">
        <v>385</v>
      </c>
      <c r="P31" s="66" t="s">
        <v>371</v>
      </c>
      <c r="Q31" s="59" t="s">
        <v>193</v>
      </c>
      <c r="R31" s="59" t="s">
        <v>145</v>
      </c>
      <c r="S31" s="38" t="s">
        <v>521</v>
      </c>
      <c r="T31" s="38" t="s">
        <v>521</v>
      </c>
      <c r="U31" s="59" t="s">
        <v>123</v>
      </c>
      <c r="V31" s="59" t="s">
        <v>123</v>
      </c>
      <c r="W31" s="59" t="s">
        <v>123</v>
      </c>
      <c r="X31" s="59" t="s">
        <v>123</v>
      </c>
      <c r="Y31" s="59" t="s">
        <v>123</v>
      </c>
      <c r="Z31" s="59" t="s">
        <v>123</v>
      </c>
      <c r="AA31" s="59" t="s">
        <v>123</v>
      </c>
      <c r="AB31" s="59" t="s">
        <v>123</v>
      </c>
      <c r="AC31" s="59" t="s">
        <v>123</v>
      </c>
      <c r="AD31" s="59" t="s">
        <v>123</v>
      </c>
      <c r="AE31" s="59" t="s">
        <v>123</v>
      </c>
      <c r="AF31" s="38" t="s">
        <v>521</v>
      </c>
      <c r="AG31" s="59" t="s">
        <v>123</v>
      </c>
    </row>
    <row r="32" spans="1:33" s="51" customFormat="1" ht="12" customHeight="1" x14ac:dyDescent="0.15">
      <c r="A32" s="143"/>
      <c r="B32" s="34">
        <f t="shared" si="0"/>
        <v>26</v>
      </c>
      <c r="C32" s="132"/>
      <c r="D32" s="132"/>
      <c r="E32" s="66" t="s">
        <v>386</v>
      </c>
      <c r="F32" s="65" t="s">
        <v>529</v>
      </c>
      <c r="G32" s="52" t="s">
        <v>382</v>
      </c>
      <c r="H32" s="52" t="s">
        <v>401</v>
      </c>
      <c r="I32" s="58">
        <v>0.3</v>
      </c>
      <c r="J32" s="67" t="s">
        <v>232</v>
      </c>
      <c r="K32" s="58" t="s">
        <v>138</v>
      </c>
      <c r="L32" s="58"/>
      <c r="M32" s="66" t="s">
        <v>534</v>
      </c>
      <c r="N32" s="66" t="s">
        <v>384</v>
      </c>
      <c r="O32" s="66" t="s">
        <v>385</v>
      </c>
      <c r="P32" s="66" t="s">
        <v>371</v>
      </c>
      <c r="Q32" s="59" t="s">
        <v>193</v>
      </c>
      <c r="R32" s="59" t="s">
        <v>145</v>
      </c>
      <c r="S32" s="38" t="s">
        <v>521</v>
      </c>
      <c r="T32" s="38" t="s">
        <v>521</v>
      </c>
      <c r="U32" s="59" t="s">
        <v>123</v>
      </c>
      <c r="V32" s="59" t="s">
        <v>123</v>
      </c>
      <c r="W32" s="59" t="s">
        <v>123</v>
      </c>
      <c r="X32" s="59" t="s">
        <v>123</v>
      </c>
      <c r="Y32" s="59" t="s">
        <v>123</v>
      </c>
      <c r="Z32" s="59" t="s">
        <v>123</v>
      </c>
      <c r="AA32" s="59" t="s">
        <v>123</v>
      </c>
      <c r="AB32" s="59" t="s">
        <v>123</v>
      </c>
      <c r="AC32" s="59" t="s">
        <v>123</v>
      </c>
      <c r="AD32" s="59" t="s">
        <v>123</v>
      </c>
      <c r="AE32" s="59" t="s">
        <v>123</v>
      </c>
      <c r="AF32" s="38" t="s">
        <v>521</v>
      </c>
      <c r="AG32" s="59" t="s">
        <v>123</v>
      </c>
    </row>
    <row r="33" spans="1:33" s="51" customFormat="1" ht="12" customHeight="1" x14ac:dyDescent="0.15">
      <c r="A33" s="143"/>
      <c r="B33" s="34">
        <f t="shared" si="0"/>
        <v>27</v>
      </c>
      <c r="C33" s="132"/>
      <c r="D33" s="132"/>
      <c r="E33" s="66" t="s">
        <v>386</v>
      </c>
      <c r="F33" s="65" t="s">
        <v>402</v>
      </c>
      <c r="G33" s="52" t="s">
        <v>382</v>
      </c>
      <c r="H33" s="52" t="s">
        <v>383</v>
      </c>
      <c r="I33" s="58">
        <v>50</v>
      </c>
      <c r="J33" s="67" t="s">
        <v>232</v>
      </c>
      <c r="K33" s="58" t="s">
        <v>138</v>
      </c>
      <c r="L33" s="58"/>
      <c r="M33" s="66" t="s">
        <v>534</v>
      </c>
      <c r="N33" s="66" t="s">
        <v>384</v>
      </c>
      <c r="O33" s="66" t="s">
        <v>385</v>
      </c>
      <c r="P33" s="66" t="s">
        <v>371</v>
      </c>
      <c r="Q33" s="59" t="s">
        <v>193</v>
      </c>
      <c r="R33" s="59" t="s">
        <v>145</v>
      </c>
      <c r="S33" s="38" t="s">
        <v>521</v>
      </c>
      <c r="T33" s="38" t="s">
        <v>521</v>
      </c>
      <c r="U33" s="59" t="s">
        <v>123</v>
      </c>
      <c r="V33" s="59" t="s">
        <v>123</v>
      </c>
      <c r="W33" s="59" t="s">
        <v>123</v>
      </c>
      <c r="X33" s="59" t="s">
        <v>123</v>
      </c>
      <c r="Y33" s="59" t="s">
        <v>123</v>
      </c>
      <c r="Z33" s="59" t="s">
        <v>123</v>
      </c>
      <c r="AA33" s="59" t="s">
        <v>123</v>
      </c>
      <c r="AB33" s="59" t="s">
        <v>123</v>
      </c>
      <c r="AC33" s="59" t="s">
        <v>123</v>
      </c>
      <c r="AD33" s="59" t="s">
        <v>123</v>
      </c>
      <c r="AE33" s="59" t="s">
        <v>123</v>
      </c>
      <c r="AF33" s="38" t="s">
        <v>521</v>
      </c>
      <c r="AG33" s="59" t="s">
        <v>123</v>
      </c>
    </row>
    <row r="34" spans="1:33" s="51" customFormat="1" ht="12" customHeight="1" x14ac:dyDescent="0.15">
      <c r="A34" s="143"/>
      <c r="B34" s="34">
        <f t="shared" si="0"/>
        <v>28</v>
      </c>
      <c r="C34" s="132"/>
      <c r="D34" s="132"/>
      <c r="E34" s="66" t="s">
        <v>386</v>
      </c>
      <c r="F34" s="65" t="s">
        <v>403</v>
      </c>
      <c r="G34" s="52" t="s">
        <v>382</v>
      </c>
      <c r="H34" s="52" t="s">
        <v>401</v>
      </c>
      <c r="I34" s="58">
        <v>0.3</v>
      </c>
      <c r="J34" s="67" t="s">
        <v>232</v>
      </c>
      <c r="K34" s="58" t="s">
        <v>138</v>
      </c>
      <c r="L34" s="58"/>
      <c r="M34" s="66" t="s">
        <v>534</v>
      </c>
      <c r="N34" s="66" t="s">
        <v>384</v>
      </c>
      <c r="O34" s="66" t="s">
        <v>385</v>
      </c>
      <c r="P34" s="66" t="s">
        <v>371</v>
      </c>
      <c r="Q34" s="59" t="s">
        <v>193</v>
      </c>
      <c r="R34" s="59" t="s">
        <v>145</v>
      </c>
      <c r="S34" s="38" t="s">
        <v>521</v>
      </c>
      <c r="T34" s="38" t="s">
        <v>521</v>
      </c>
      <c r="U34" s="59" t="s">
        <v>123</v>
      </c>
      <c r="V34" s="59" t="s">
        <v>123</v>
      </c>
      <c r="W34" s="59" t="s">
        <v>123</v>
      </c>
      <c r="X34" s="59" t="s">
        <v>123</v>
      </c>
      <c r="Y34" s="59" t="s">
        <v>123</v>
      </c>
      <c r="Z34" s="59" t="s">
        <v>123</v>
      </c>
      <c r="AA34" s="59" t="s">
        <v>123</v>
      </c>
      <c r="AB34" s="59" t="s">
        <v>123</v>
      </c>
      <c r="AC34" s="59" t="s">
        <v>123</v>
      </c>
      <c r="AD34" s="59" t="s">
        <v>123</v>
      </c>
      <c r="AE34" s="59" t="s">
        <v>123</v>
      </c>
      <c r="AF34" s="38" t="s">
        <v>521</v>
      </c>
      <c r="AG34" s="59" t="s">
        <v>123</v>
      </c>
    </row>
    <row r="35" spans="1:33" s="51" customFormat="1" ht="12" customHeight="1" x14ac:dyDescent="0.15">
      <c r="A35" s="143"/>
      <c r="B35" s="34">
        <f t="shared" si="0"/>
        <v>29</v>
      </c>
      <c r="C35" s="132"/>
      <c r="D35" s="132"/>
      <c r="E35" s="66" t="s">
        <v>386</v>
      </c>
      <c r="F35" s="65" t="s">
        <v>404</v>
      </c>
      <c r="G35" s="52" t="s">
        <v>382</v>
      </c>
      <c r="H35" s="52" t="s">
        <v>383</v>
      </c>
      <c r="I35" s="58">
        <v>50</v>
      </c>
      <c r="J35" s="67" t="s">
        <v>232</v>
      </c>
      <c r="K35" s="58" t="s">
        <v>138</v>
      </c>
      <c r="L35" s="58"/>
      <c r="M35" s="66" t="s">
        <v>534</v>
      </c>
      <c r="N35" s="66" t="s">
        <v>384</v>
      </c>
      <c r="O35" s="66" t="s">
        <v>385</v>
      </c>
      <c r="P35" s="66" t="s">
        <v>371</v>
      </c>
      <c r="Q35" s="59" t="s">
        <v>193</v>
      </c>
      <c r="R35" s="59" t="s">
        <v>145</v>
      </c>
      <c r="S35" s="38" t="s">
        <v>521</v>
      </c>
      <c r="T35" s="38" t="s">
        <v>521</v>
      </c>
      <c r="U35" s="59" t="s">
        <v>123</v>
      </c>
      <c r="V35" s="59" t="s">
        <v>123</v>
      </c>
      <c r="W35" s="59" t="s">
        <v>123</v>
      </c>
      <c r="X35" s="59" t="s">
        <v>123</v>
      </c>
      <c r="Y35" s="59" t="s">
        <v>123</v>
      </c>
      <c r="Z35" s="59" t="s">
        <v>123</v>
      </c>
      <c r="AA35" s="59" t="s">
        <v>123</v>
      </c>
      <c r="AB35" s="59" t="s">
        <v>123</v>
      </c>
      <c r="AC35" s="59" t="s">
        <v>123</v>
      </c>
      <c r="AD35" s="59" t="s">
        <v>123</v>
      </c>
      <c r="AE35" s="59" t="s">
        <v>123</v>
      </c>
      <c r="AF35" s="38" t="s">
        <v>521</v>
      </c>
      <c r="AG35" s="59" t="s">
        <v>123</v>
      </c>
    </row>
    <row r="36" spans="1:33" s="51" customFormat="1" ht="12" customHeight="1" x14ac:dyDescent="0.15">
      <c r="A36" s="143"/>
      <c r="B36" s="34">
        <f t="shared" si="0"/>
        <v>30</v>
      </c>
      <c r="C36" s="132"/>
      <c r="D36" s="132"/>
      <c r="E36" s="66" t="s">
        <v>386</v>
      </c>
      <c r="F36" s="65" t="s">
        <v>405</v>
      </c>
      <c r="G36" s="52" t="s">
        <v>382</v>
      </c>
      <c r="H36" s="58" t="s">
        <v>384</v>
      </c>
      <c r="I36" s="58">
        <v>100</v>
      </c>
      <c r="J36" s="67" t="s">
        <v>232</v>
      </c>
      <c r="K36" s="58" t="s">
        <v>138</v>
      </c>
      <c r="L36" s="58"/>
      <c r="M36" s="66" t="s">
        <v>534</v>
      </c>
      <c r="N36" s="66" t="s">
        <v>384</v>
      </c>
      <c r="O36" s="66" t="s">
        <v>385</v>
      </c>
      <c r="P36" s="66" t="s">
        <v>371</v>
      </c>
      <c r="Q36" s="59" t="s">
        <v>193</v>
      </c>
      <c r="R36" s="59" t="s">
        <v>145</v>
      </c>
      <c r="S36" s="38" t="s">
        <v>521</v>
      </c>
      <c r="T36" s="38" t="s">
        <v>521</v>
      </c>
      <c r="U36" s="59" t="s">
        <v>123</v>
      </c>
      <c r="V36" s="59" t="s">
        <v>123</v>
      </c>
      <c r="W36" s="59" t="s">
        <v>123</v>
      </c>
      <c r="X36" s="59" t="s">
        <v>123</v>
      </c>
      <c r="Y36" s="59" t="s">
        <v>123</v>
      </c>
      <c r="Z36" s="59" t="s">
        <v>123</v>
      </c>
      <c r="AA36" s="59" t="s">
        <v>123</v>
      </c>
      <c r="AB36" s="59" t="s">
        <v>123</v>
      </c>
      <c r="AC36" s="59" t="s">
        <v>123</v>
      </c>
      <c r="AD36" s="59" t="s">
        <v>123</v>
      </c>
      <c r="AE36" s="59" t="s">
        <v>123</v>
      </c>
      <c r="AF36" s="38" t="s">
        <v>521</v>
      </c>
      <c r="AG36" s="59" t="s">
        <v>123</v>
      </c>
    </row>
    <row r="37" spans="1:33" s="51" customFormat="1" ht="12" customHeight="1" x14ac:dyDescent="0.15">
      <c r="A37" s="143"/>
      <c r="B37" s="34">
        <f t="shared" si="0"/>
        <v>31</v>
      </c>
      <c r="C37" s="132"/>
      <c r="D37" s="133"/>
      <c r="E37" s="66" t="s">
        <v>386</v>
      </c>
      <c r="F37" s="65" t="s">
        <v>406</v>
      </c>
      <c r="G37" s="52" t="s">
        <v>382</v>
      </c>
      <c r="H37" s="58" t="s">
        <v>384</v>
      </c>
      <c r="I37" s="58">
        <v>100</v>
      </c>
      <c r="J37" s="67" t="s">
        <v>232</v>
      </c>
      <c r="K37" s="58" t="s">
        <v>138</v>
      </c>
      <c r="L37" s="58"/>
      <c r="M37" s="66" t="s">
        <v>534</v>
      </c>
      <c r="N37" s="66" t="s">
        <v>384</v>
      </c>
      <c r="O37" s="66" t="s">
        <v>385</v>
      </c>
      <c r="P37" s="66" t="s">
        <v>371</v>
      </c>
      <c r="Q37" s="59" t="s">
        <v>193</v>
      </c>
      <c r="R37" s="59" t="s">
        <v>145</v>
      </c>
      <c r="S37" s="38" t="s">
        <v>521</v>
      </c>
      <c r="T37" s="38" t="s">
        <v>521</v>
      </c>
      <c r="U37" s="59" t="s">
        <v>123</v>
      </c>
      <c r="V37" s="59" t="s">
        <v>123</v>
      </c>
      <c r="W37" s="59" t="s">
        <v>123</v>
      </c>
      <c r="X37" s="59" t="s">
        <v>123</v>
      </c>
      <c r="Y37" s="59" t="s">
        <v>123</v>
      </c>
      <c r="Z37" s="59" t="s">
        <v>123</v>
      </c>
      <c r="AA37" s="59" t="s">
        <v>123</v>
      </c>
      <c r="AB37" s="59" t="s">
        <v>123</v>
      </c>
      <c r="AC37" s="59" t="s">
        <v>123</v>
      </c>
      <c r="AD37" s="59" t="s">
        <v>123</v>
      </c>
      <c r="AE37" s="59" t="s">
        <v>123</v>
      </c>
      <c r="AF37" s="38" t="s">
        <v>521</v>
      </c>
      <c r="AG37" s="59" t="s">
        <v>123</v>
      </c>
    </row>
    <row r="38" spans="1:33" s="51" customFormat="1" ht="24" x14ac:dyDescent="0.15">
      <c r="A38" s="143"/>
      <c r="B38" s="34">
        <f t="shared" si="0"/>
        <v>32</v>
      </c>
      <c r="C38" s="132"/>
      <c r="D38" s="131" t="s">
        <v>407</v>
      </c>
      <c r="E38" s="66" t="s">
        <v>408</v>
      </c>
      <c r="F38" s="65" t="s">
        <v>409</v>
      </c>
      <c r="G38" s="52" t="s">
        <v>382</v>
      </c>
      <c r="H38" s="58" t="s">
        <v>410</v>
      </c>
      <c r="I38" s="58">
        <v>30</v>
      </c>
      <c r="J38" s="67" t="s">
        <v>232</v>
      </c>
      <c r="K38" s="58" t="s">
        <v>138</v>
      </c>
      <c r="L38" s="58"/>
      <c r="M38" s="66" t="s">
        <v>534</v>
      </c>
      <c r="N38" s="66" t="s">
        <v>384</v>
      </c>
      <c r="O38" s="66" t="s">
        <v>411</v>
      </c>
      <c r="P38" s="66" t="s">
        <v>371</v>
      </c>
      <c r="Q38" s="59" t="s">
        <v>193</v>
      </c>
      <c r="R38" s="59" t="s">
        <v>145</v>
      </c>
      <c r="S38" s="38" t="s">
        <v>521</v>
      </c>
      <c r="T38" s="38" t="s">
        <v>521</v>
      </c>
      <c r="U38" s="59" t="s">
        <v>123</v>
      </c>
      <c r="V38" s="59" t="s">
        <v>123</v>
      </c>
      <c r="W38" s="59" t="s">
        <v>123</v>
      </c>
      <c r="X38" s="59" t="s">
        <v>123</v>
      </c>
      <c r="Y38" s="59" t="s">
        <v>123</v>
      </c>
      <c r="Z38" s="59" t="s">
        <v>123</v>
      </c>
      <c r="AA38" s="59" t="s">
        <v>123</v>
      </c>
      <c r="AB38" s="59" t="s">
        <v>123</v>
      </c>
      <c r="AC38" s="59" t="s">
        <v>123</v>
      </c>
      <c r="AD38" s="59" t="s">
        <v>123</v>
      </c>
      <c r="AE38" s="59" t="s">
        <v>123</v>
      </c>
      <c r="AF38" s="38" t="s">
        <v>521</v>
      </c>
      <c r="AG38" s="59" t="s">
        <v>123</v>
      </c>
    </row>
    <row r="39" spans="1:33" s="51" customFormat="1" ht="24" x14ac:dyDescent="0.15">
      <c r="A39" s="143"/>
      <c r="B39" s="34">
        <f t="shared" si="0"/>
        <v>33</v>
      </c>
      <c r="C39" s="132"/>
      <c r="D39" s="132"/>
      <c r="E39" s="66" t="s">
        <v>412</v>
      </c>
      <c r="F39" s="65" t="s">
        <v>413</v>
      </c>
      <c r="G39" s="52" t="s">
        <v>382</v>
      </c>
      <c r="H39" s="58" t="s">
        <v>410</v>
      </c>
      <c r="I39" s="58">
        <v>30</v>
      </c>
      <c r="J39" s="67" t="s">
        <v>232</v>
      </c>
      <c r="K39" s="58" t="s">
        <v>138</v>
      </c>
      <c r="L39" s="58"/>
      <c r="M39" s="66" t="s">
        <v>534</v>
      </c>
      <c r="N39" s="66" t="s">
        <v>384</v>
      </c>
      <c r="O39" s="66" t="s">
        <v>411</v>
      </c>
      <c r="P39" s="66" t="s">
        <v>371</v>
      </c>
      <c r="Q39" s="59" t="s">
        <v>193</v>
      </c>
      <c r="R39" s="59" t="s">
        <v>145</v>
      </c>
      <c r="S39" s="38" t="s">
        <v>521</v>
      </c>
      <c r="T39" s="38" t="s">
        <v>521</v>
      </c>
      <c r="U39" s="59" t="s">
        <v>123</v>
      </c>
      <c r="V39" s="59" t="s">
        <v>123</v>
      </c>
      <c r="W39" s="59" t="s">
        <v>123</v>
      </c>
      <c r="X39" s="59" t="s">
        <v>123</v>
      </c>
      <c r="Y39" s="59" t="s">
        <v>123</v>
      </c>
      <c r="Z39" s="59" t="s">
        <v>123</v>
      </c>
      <c r="AA39" s="59" t="s">
        <v>123</v>
      </c>
      <c r="AB39" s="59" t="s">
        <v>123</v>
      </c>
      <c r="AC39" s="59" t="s">
        <v>123</v>
      </c>
      <c r="AD39" s="59" t="s">
        <v>123</v>
      </c>
      <c r="AE39" s="59" t="s">
        <v>123</v>
      </c>
      <c r="AF39" s="38" t="s">
        <v>521</v>
      </c>
      <c r="AG39" s="59" t="s">
        <v>123</v>
      </c>
    </row>
    <row r="40" spans="1:33" s="51" customFormat="1" x14ac:dyDescent="0.15">
      <c r="A40" s="143"/>
      <c r="B40" s="34">
        <f t="shared" si="0"/>
        <v>34</v>
      </c>
      <c r="C40" s="132"/>
      <c r="D40" s="132"/>
      <c r="E40" s="66" t="s">
        <v>412</v>
      </c>
      <c r="F40" s="65" t="s">
        <v>414</v>
      </c>
      <c r="G40" s="52" t="s">
        <v>382</v>
      </c>
      <c r="H40" s="58" t="s">
        <v>384</v>
      </c>
      <c r="I40" s="58">
        <v>500</v>
      </c>
      <c r="J40" s="67" t="s">
        <v>232</v>
      </c>
      <c r="K40" s="58" t="s">
        <v>138</v>
      </c>
      <c r="L40" s="58"/>
      <c r="M40" s="66" t="s">
        <v>534</v>
      </c>
      <c r="N40" s="66" t="s">
        <v>384</v>
      </c>
      <c r="O40" s="66" t="s">
        <v>411</v>
      </c>
      <c r="P40" s="66" t="s">
        <v>371</v>
      </c>
      <c r="Q40" s="59" t="s">
        <v>193</v>
      </c>
      <c r="R40" s="59" t="s">
        <v>145</v>
      </c>
      <c r="S40" s="38" t="s">
        <v>521</v>
      </c>
      <c r="T40" s="38" t="s">
        <v>521</v>
      </c>
      <c r="U40" s="59" t="s">
        <v>123</v>
      </c>
      <c r="V40" s="59" t="s">
        <v>123</v>
      </c>
      <c r="W40" s="59" t="s">
        <v>123</v>
      </c>
      <c r="X40" s="59" t="s">
        <v>123</v>
      </c>
      <c r="Y40" s="59" t="s">
        <v>123</v>
      </c>
      <c r="Z40" s="59" t="s">
        <v>123</v>
      </c>
      <c r="AA40" s="59" t="s">
        <v>123</v>
      </c>
      <c r="AB40" s="59" t="s">
        <v>123</v>
      </c>
      <c r="AC40" s="59" t="s">
        <v>123</v>
      </c>
      <c r="AD40" s="59" t="s">
        <v>123</v>
      </c>
      <c r="AE40" s="59" t="s">
        <v>123</v>
      </c>
      <c r="AF40" s="38" t="s">
        <v>521</v>
      </c>
      <c r="AG40" s="59" t="s">
        <v>123</v>
      </c>
    </row>
    <row r="41" spans="1:33" s="51" customFormat="1" ht="24" x14ac:dyDescent="0.15">
      <c r="A41" s="143"/>
      <c r="B41" s="34">
        <f t="shared" si="0"/>
        <v>35</v>
      </c>
      <c r="C41" s="132"/>
      <c r="D41" s="132"/>
      <c r="E41" s="66" t="s">
        <v>412</v>
      </c>
      <c r="F41" s="65" t="s">
        <v>530</v>
      </c>
      <c r="G41" s="52" t="s">
        <v>382</v>
      </c>
      <c r="H41" s="58" t="s">
        <v>410</v>
      </c>
      <c r="I41" s="58">
        <v>30</v>
      </c>
      <c r="J41" s="67" t="s">
        <v>232</v>
      </c>
      <c r="K41" s="58" t="s">
        <v>138</v>
      </c>
      <c r="L41" s="58"/>
      <c r="M41" s="66" t="s">
        <v>534</v>
      </c>
      <c r="N41" s="66" t="s">
        <v>384</v>
      </c>
      <c r="O41" s="66" t="s">
        <v>411</v>
      </c>
      <c r="P41" s="66" t="s">
        <v>371</v>
      </c>
      <c r="Q41" s="59" t="s">
        <v>193</v>
      </c>
      <c r="R41" s="59" t="s">
        <v>145</v>
      </c>
      <c r="S41" s="38" t="s">
        <v>521</v>
      </c>
      <c r="T41" s="38" t="s">
        <v>521</v>
      </c>
      <c r="U41" s="59" t="s">
        <v>123</v>
      </c>
      <c r="V41" s="59" t="s">
        <v>123</v>
      </c>
      <c r="W41" s="59" t="s">
        <v>123</v>
      </c>
      <c r="X41" s="59" t="s">
        <v>123</v>
      </c>
      <c r="Y41" s="59" t="s">
        <v>123</v>
      </c>
      <c r="Z41" s="59" t="s">
        <v>123</v>
      </c>
      <c r="AA41" s="59" t="s">
        <v>123</v>
      </c>
      <c r="AB41" s="59" t="s">
        <v>123</v>
      </c>
      <c r="AC41" s="59" t="s">
        <v>123</v>
      </c>
      <c r="AD41" s="59" t="s">
        <v>123</v>
      </c>
      <c r="AE41" s="59" t="s">
        <v>123</v>
      </c>
      <c r="AF41" s="38" t="s">
        <v>521</v>
      </c>
      <c r="AG41" s="59" t="s">
        <v>123</v>
      </c>
    </row>
    <row r="42" spans="1:33" s="51" customFormat="1" ht="24" x14ac:dyDescent="0.15">
      <c r="A42" s="143"/>
      <c r="B42" s="34">
        <f t="shared" si="0"/>
        <v>36</v>
      </c>
      <c r="C42" s="132"/>
      <c r="D42" s="132"/>
      <c r="E42" s="66" t="s">
        <v>408</v>
      </c>
      <c r="F42" s="65" t="s">
        <v>415</v>
      </c>
      <c r="G42" s="52" t="s">
        <v>382</v>
      </c>
      <c r="H42" s="58" t="s">
        <v>410</v>
      </c>
      <c r="I42" s="58">
        <v>30</v>
      </c>
      <c r="J42" s="67" t="s">
        <v>232</v>
      </c>
      <c r="K42" s="58" t="s">
        <v>138</v>
      </c>
      <c r="L42" s="58"/>
      <c r="M42" s="66" t="s">
        <v>534</v>
      </c>
      <c r="N42" s="66" t="s">
        <v>384</v>
      </c>
      <c r="O42" s="66" t="s">
        <v>411</v>
      </c>
      <c r="P42" s="66" t="s">
        <v>371</v>
      </c>
      <c r="Q42" s="59" t="s">
        <v>193</v>
      </c>
      <c r="R42" s="59" t="s">
        <v>145</v>
      </c>
      <c r="S42" s="38" t="s">
        <v>521</v>
      </c>
      <c r="T42" s="38" t="s">
        <v>521</v>
      </c>
      <c r="U42" s="59" t="s">
        <v>123</v>
      </c>
      <c r="V42" s="59" t="s">
        <v>123</v>
      </c>
      <c r="W42" s="59" t="s">
        <v>123</v>
      </c>
      <c r="X42" s="59" t="s">
        <v>123</v>
      </c>
      <c r="Y42" s="59" t="s">
        <v>123</v>
      </c>
      <c r="Z42" s="59" t="s">
        <v>123</v>
      </c>
      <c r="AA42" s="59" t="s">
        <v>123</v>
      </c>
      <c r="AB42" s="59" t="s">
        <v>123</v>
      </c>
      <c r="AC42" s="59" t="s">
        <v>123</v>
      </c>
      <c r="AD42" s="59" t="s">
        <v>123</v>
      </c>
      <c r="AE42" s="59" t="s">
        <v>123</v>
      </c>
      <c r="AF42" s="38" t="s">
        <v>521</v>
      </c>
      <c r="AG42" s="59" t="s">
        <v>123</v>
      </c>
    </row>
    <row r="43" spans="1:33" s="51" customFormat="1" ht="24" x14ac:dyDescent="0.15">
      <c r="A43" s="143"/>
      <c r="B43" s="34">
        <f t="shared" si="0"/>
        <v>37</v>
      </c>
      <c r="C43" s="132"/>
      <c r="D43" s="133"/>
      <c r="E43" s="66" t="s">
        <v>408</v>
      </c>
      <c r="F43" s="65" t="s">
        <v>416</v>
      </c>
      <c r="G43" s="52" t="s">
        <v>382</v>
      </c>
      <c r="H43" s="58" t="s">
        <v>410</v>
      </c>
      <c r="I43" s="58">
        <v>30</v>
      </c>
      <c r="J43" s="67" t="s">
        <v>232</v>
      </c>
      <c r="K43" s="58" t="s">
        <v>138</v>
      </c>
      <c r="L43" s="58"/>
      <c r="M43" s="66" t="s">
        <v>534</v>
      </c>
      <c r="N43" s="66" t="s">
        <v>384</v>
      </c>
      <c r="O43" s="66" t="s">
        <v>411</v>
      </c>
      <c r="P43" s="66" t="s">
        <v>371</v>
      </c>
      <c r="Q43" s="59" t="s">
        <v>193</v>
      </c>
      <c r="R43" s="59" t="s">
        <v>145</v>
      </c>
      <c r="S43" s="38" t="s">
        <v>521</v>
      </c>
      <c r="T43" s="38" t="s">
        <v>521</v>
      </c>
      <c r="U43" s="59" t="s">
        <v>123</v>
      </c>
      <c r="V43" s="59" t="s">
        <v>123</v>
      </c>
      <c r="W43" s="59" t="s">
        <v>123</v>
      </c>
      <c r="X43" s="59" t="s">
        <v>123</v>
      </c>
      <c r="Y43" s="59" t="s">
        <v>123</v>
      </c>
      <c r="Z43" s="59" t="s">
        <v>123</v>
      </c>
      <c r="AA43" s="59" t="s">
        <v>123</v>
      </c>
      <c r="AB43" s="59" t="s">
        <v>123</v>
      </c>
      <c r="AC43" s="59" t="s">
        <v>123</v>
      </c>
      <c r="AD43" s="59" t="s">
        <v>123</v>
      </c>
      <c r="AE43" s="59" t="s">
        <v>123</v>
      </c>
      <c r="AF43" s="38" t="s">
        <v>521</v>
      </c>
      <c r="AG43" s="59" t="s">
        <v>123</v>
      </c>
    </row>
    <row r="44" spans="1:33" s="51" customFormat="1" ht="24" x14ac:dyDescent="0.15">
      <c r="A44" s="143"/>
      <c r="B44" s="34">
        <f t="shared" si="0"/>
        <v>38</v>
      </c>
      <c r="C44" s="132"/>
      <c r="D44" s="66" t="s">
        <v>417</v>
      </c>
      <c r="E44" s="66" t="s">
        <v>418</v>
      </c>
      <c r="F44" s="65" t="s">
        <v>419</v>
      </c>
      <c r="G44" s="52" t="s">
        <v>382</v>
      </c>
      <c r="H44" s="137" t="s">
        <v>410</v>
      </c>
      <c r="I44" s="137">
        <v>30</v>
      </c>
      <c r="J44" s="67" t="s">
        <v>232</v>
      </c>
      <c r="K44" s="137" t="s">
        <v>138</v>
      </c>
      <c r="L44" s="137"/>
      <c r="M44" s="137" t="s">
        <v>534</v>
      </c>
      <c r="N44" s="137" t="s">
        <v>384</v>
      </c>
      <c r="O44" s="137" t="s">
        <v>411</v>
      </c>
      <c r="P44" s="137" t="s">
        <v>371</v>
      </c>
      <c r="Q44" s="138" t="s">
        <v>193</v>
      </c>
      <c r="R44" s="138" t="s">
        <v>145</v>
      </c>
      <c r="S44" s="38" t="s">
        <v>521</v>
      </c>
      <c r="T44" s="38" t="s">
        <v>521</v>
      </c>
      <c r="U44" s="59" t="s">
        <v>123</v>
      </c>
      <c r="V44" s="59" t="s">
        <v>123</v>
      </c>
      <c r="W44" s="59" t="s">
        <v>123</v>
      </c>
      <c r="X44" s="59" t="s">
        <v>123</v>
      </c>
      <c r="Y44" s="59" t="s">
        <v>123</v>
      </c>
      <c r="Z44" s="59" t="s">
        <v>123</v>
      </c>
      <c r="AA44" s="59" t="s">
        <v>123</v>
      </c>
      <c r="AB44" s="59" t="s">
        <v>123</v>
      </c>
      <c r="AC44" s="59" t="s">
        <v>123</v>
      </c>
      <c r="AD44" s="59" t="s">
        <v>123</v>
      </c>
      <c r="AE44" s="59" t="s">
        <v>123</v>
      </c>
      <c r="AF44" s="38" t="s">
        <v>521</v>
      </c>
      <c r="AG44" s="59" t="s">
        <v>123</v>
      </c>
    </row>
    <row r="45" spans="1:33" s="51" customFormat="1" ht="12" customHeight="1" x14ac:dyDescent="0.15">
      <c r="A45" s="143"/>
      <c r="B45" s="34">
        <f t="shared" si="0"/>
        <v>39</v>
      </c>
      <c r="C45" s="132"/>
      <c r="D45" s="131" t="s">
        <v>420</v>
      </c>
      <c r="E45" s="66" t="s">
        <v>421</v>
      </c>
      <c r="F45" s="65" t="s">
        <v>422</v>
      </c>
      <c r="G45" s="52" t="s">
        <v>382</v>
      </c>
      <c r="H45" s="137" t="s">
        <v>384</v>
      </c>
      <c r="I45" s="137">
        <v>100</v>
      </c>
      <c r="J45" s="67" t="s">
        <v>232</v>
      </c>
      <c r="K45" s="137" t="s">
        <v>138</v>
      </c>
      <c r="L45" s="137"/>
      <c r="M45" s="137" t="s">
        <v>534</v>
      </c>
      <c r="N45" s="137" t="s">
        <v>384</v>
      </c>
      <c r="O45" s="137" t="s">
        <v>385</v>
      </c>
      <c r="P45" s="137" t="s">
        <v>371</v>
      </c>
      <c r="Q45" s="138" t="s">
        <v>193</v>
      </c>
      <c r="R45" s="138" t="s">
        <v>123</v>
      </c>
      <c r="S45" s="59" t="s">
        <v>123</v>
      </c>
      <c r="T45" s="59" t="s">
        <v>123</v>
      </c>
      <c r="U45" s="59" t="s">
        <v>145</v>
      </c>
      <c r="V45" s="59" t="s">
        <v>145</v>
      </c>
      <c r="W45" s="59" t="s">
        <v>145</v>
      </c>
      <c r="X45" s="59" t="s">
        <v>145</v>
      </c>
      <c r="Y45" s="59" t="s">
        <v>123</v>
      </c>
      <c r="Z45" s="59" t="s">
        <v>123</v>
      </c>
      <c r="AA45" s="59" t="s">
        <v>123</v>
      </c>
      <c r="AB45" s="59" t="s">
        <v>123</v>
      </c>
      <c r="AC45" s="59" t="s">
        <v>123</v>
      </c>
      <c r="AD45" s="59" t="s">
        <v>123</v>
      </c>
      <c r="AE45" s="59" t="s">
        <v>123</v>
      </c>
      <c r="AF45" s="59" t="s">
        <v>145</v>
      </c>
      <c r="AG45" s="59" t="s">
        <v>123</v>
      </c>
    </row>
    <row r="46" spans="1:33" s="51" customFormat="1" ht="12" customHeight="1" x14ac:dyDescent="0.15">
      <c r="A46" s="143"/>
      <c r="B46" s="34">
        <f t="shared" si="0"/>
        <v>40</v>
      </c>
      <c r="C46" s="132"/>
      <c r="D46" s="132"/>
      <c r="E46" s="66" t="s">
        <v>423</v>
      </c>
      <c r="F46" s="65" t="s">
        <v>424</v>
      </c>
      <c r="G46" s="52" t="s">
        <v>382</v>
      </c>
      <c r="H46" s="139" t="s">
        <v>383</v>
      </c>
      <c r="I46" s="137">
        <v>100</v>
      </c>
      <c r="J46" s="67" t="s">
        <v>232</v>
      </c>
      <c r="K46" s="137" t="s">
        <v>138</v>
      </c>
      <c r="L46" s="137"/>
      <c r="M46" s="137" t="s">
        <v>534</v>
      </c>
      <c r="N46" s="137" t="s">
        <v>384</v>
      </c>
      <c r="O46" s="137" t="s">
        <v>385</v>
      </c>
      <c r="P46" s="137" t="s">
        <v>371</v>
      </c>
      <c r="Q46" s="138" t="s">
        <v>193</v>
      </c>
      <c r="R46" s="138" t="s">
        <v>123</v>
      </c>
      <c r="S46" s="59" t="s">
        <v>123</v>
      </c>
      <c r="T46" s="59" t="s">
        <v>123</v>
      </c>
      <c r="U46" s="59" t="s">
        <v>145</v>
      </c>
      <c r="V46" s="59" t="s">
        <v>145</v>
      </c>
      <c r="W46" s="59" t="s">
        <v>145</v>
      </c>
      <c r="X46" s="59" t="s">
        <v>145</v>
      </c>
      <c r="Y46" s="59" t="s">
        <v>123</v>
      </c>
      <c r="Z46" s="59" t="s">
        <v>123</v>
      </c>
      <c r="AA46" s="59" t="s">
        <v>123</v>
      </c>
      <c r="AB46" s="59" t="s">
        <v>123</v>
      </c>
      <c r="AC46" s="59" t="s">
        <v>123</v>
      </c>
      <c r="AD46" s="59" t="s">
        <v>123</v>
      </c>
      <c r="AE46" s="59" t="s">
        <v>123</v>
      </c>
      <c r="AF46" s="59" t="s">
        <v>145</v>
      </c>
      <c r="AG46" s="59" t="s">
        <v>123</v>
      </c>
    </row>
    <row r="47" spans="1:33" s="51" customFormat="1" ht="12" customHeight="1" x14ac:dyDescent="0.15">
      <c r="A47" s="143"/>
      <c r="B47" s="34">
        <f t="shared" si="0"/>
        <v>41</v>
      </c>
      <c r="C47" s="132"/>
      <c r="D47" s="132"/>
      <c r="E47" s="66" t="s">
        <v>425</v>
      </c>
      <c r="F47" s="65" t="s">
        <v>426</v>
      </c>
      <c r="G47" s="52" t="s">
        <v>382</v>
      </c>
      <c r="H47" s="139" t="s">
        <v>383</v>
      </c>
      <c r="I47" s="137">
        <v>100</v>
      </c>
      <c r="J47" s="67" t="s">
        <v>232</v>
      </c>
      <c r="K47" s="137" t="s">
        <v>138</v>
      </c>
      <c r="L47" s="137"/>
      <c r="M47" s="137" t="s">
        <v>534</v>
      </c>
      <c r="N47" s="137" t="s">
        <v>384</v>
      </c>
      <c r="O47" s="137" t="s">
        <v>385</v>
      </c>
      <c r="P47" s="137" t="s">
        <v>371</v>
      </c>
      <c r="Q47" s="138" t="s">
        <v>193</v>
      </c>
      <c r="R47" s="138" t="s">
        <v>123</v>
      </c>
      <c r="S47" s="59" t="s">
        <v>123</v>
      </c>
      <c r="T47" s="59" t="s">
        <v>123</v>
      </c>
      <c r="U47" s="59" t="s">
        <v>145</v>
      </c>
      <c r="V47" s="59" t="s">
        <v>145</v>
      </c>
      <c r="W47" s="59" t="s">
        <v>145</v>
      </c>
      <c r="X47" s="59" t="s">
        <v>145</v>
      </c>
      <c r="Y47" s="59" t="s">
        <v>123</v>
      </c>
      <c r="Z47" s="59" t="s">
        <v>123</v>
      </c>
      <c r="AA47" s="59" t="s">
        <v>123</v>
      </c>
      <c r="AB47" s="59" t="s">
        <v>123</v>
      </c>
      <c r="AC47" s="59" t="s">
        <v>123</v>
      </c>
      <c r="AD47" s="59" t="s">
        <v>123</v>
      </c>
      <c r="AE47" s="59" t="s">
        <v>123</v>
      </c>
      <c r="AF47" s="59" t="s">
        <v>145</v>
      </c>
      <c r="AG47" s="59" t="s">
        <v>123</v>
      </c>
    </row>
    <row r="48" spans="1:33" s="51" customFormat="1" ht="12" customHeight="1" x14ac:dyDescent="0.15">
      <c r="A48" s="143"/>
      <c r="B48" s="34">
        <f t="shared" si="0"/>
        <v>42</v>
      </c>
      <c r="C48" s="132"/>
      <c r="D48" s="132"/>
      <c r="E48" s="66" t="s">
        <v>427</v>
      </c>
      <c r="F48" s="65" t="s">
        <v>428</v>
      </c>
      <c r="G48" s="52" t="s">
        <v>382</v>
      </c>
      <c r="H48" s="139" t="s">
        <v>383</v>
      </c>
      <c r="I48" s="137">
        <v>100</v>
      </c>
      <c r="J48" s="67" t="s">
        <v>232</v>
      </c>
      <c r="K48" s="137" t="s">
        <v>138</v>
      </c>
      <c r="L48" s="137"/>
      <c r="M48" s="137" t="s">
        <v>534</v>
      </c>
      <c r="N48" s="137" t="s">
        <v>384</v>
      </c>
      <c r="O48" s="137" t="s">
        <v>385</v>
      </c>
      <c r="P48" s="137" t="s">
        <v>371</v>
      </c>
      <c r="Q48" s="138" t="s">
        <v>193</v>
      </c>
      <c r="R48" s="138" t="s">
        <v>123</v>
      </c>
      <c r="S48" s="59" t="s">
        <v>123</v>
      </c>
      <c r="T48" s="59" t="s">
        <v>123</v>
      </c>
      <c r="U48" s="59" t="s">
        <v>145</v>
      </c>
      <c r="V48" s="59" t="s">
        <v>145</v>
      </c>
      <c r="W48" s="59" t="s">
        <v>145</v>
      </c>
      <c r="X48" s="59" t="s">
        <v>145</v>
      </c>
      <c r="Y48" s="59" t="s">
        <v>123</v>
      </c>
      <c r="Z48" s="59" t="s">
        <v>123</v>
      </c>
      <c r="AA48" s="59" t="s">
        <v>123</v>
      </c>
      <c r="AB48" s="59" t="s">
        <v>123</v>
      </c>
      <c r="AC48" s="59" t="s">
        <v>123</v>
      </c>
      <c r="AD48" s="59" t="s">
        <v>123</v>
      </c>
      <c r="AE48" s="59" t="s">
        <v>123</v>
      </c>
      <c r="AF48" s="59" t="s">
        <v>145</v>
      </c>
      <c r="AG48" s="59" t="s">
        <v>123</v>
      </c>
    </row>
    <row r="49" spans="1:33" s="51" customFormat="1" ht="12" customHeight="1" x14ac:dyDescent="0.15">
      <c r="A49" s="143"/>
      <c r="B49" s="34">
        <f t="shared" si="0"/>
        <v>43</v>
      </c>
      <c r="C49" s="132"/>
      <c r="D49" s="133"/>
      <c r="E49" s="66" t="s">
        <v>429</v>
      </c>
      <c r="F49" s="65" t="s">
        <v>430</v>
      </c>
      <c r="G49" s="52" t="s">
        <v>382</v>
      </c>
      <c r="H49" s="139" t="s">
        <v>383</v>
      </c>
      <c r="I49" s="137">
        <v>100</v>
      </c>
      <c r="J49" s="67" t="s">
        <v>232</v>
      </c>
      <c r="K49" s="137" t="s">
        <v>138</v>
      </c>
      <c r="L49" s="137"/>
      <c r="M49" s="137" t="s">
        <v>534</v>
      </c>
      <c r="N49" s="137" t="s">
        <v>384</v>
      </c>
      <c r="O49" s="137" t="s">
        <v>385</v>
      </c>
      <c r="P49" s="137" t="s">
        <v>371</v>
      </c>
      <c r="Q49" s="138" t="s">
        <v>193</v>
      </c>
      <c r="R49" s="138" t="s">
        <v>123</v>
      </c>
      <c r="S49" s="59" t="s">
        <v>123</v>
      </c>
      <c r="T49" s="59" t="s">
        <v>123</v>
      </c>
      <c r="U49" s="59" t="s">
        <v>145</v>
      </c>
      <c r="V49" s="59" t="s">
        <v>145</v>
      </c>
      <c r="W49" s="59" t="s">
        <v>145</v>
      </c>
      <c r="X49" s="59" t="s">
        <v>145</v>
      </c>
      <c r="Y49" s="59" t="s">
        <v>123</v>
      </c>
      <c r="Z49" s="59" t="s">
        <v>123</v>
      </c>
      <c r="AA49" s="59" t="s">
        <v>123</v>
      </c>
      <c r="AB49" s="59" t="s">
        <v>123</v>
      </c>
      <c r="AC49" s="59" t="s">
        <v>123</v>
      </c>
      <c r="AD49" s="59" t="s">
        <v>123</v>
      </c>
      <c r="AE49" s="59" t="s">
        <v>123</v>
      </c>
      <c r="AF49" s="59" t="s">
        <v>145</v>
      </c>
      <c r="AG49" s="59" t="s">
        <v>123</v>
      </c>
    </row>
    <row r="50" spans="1:33" s="51" customFormat="1" ht="12" customHeight="1" x14ac:dyDescent="0.15">
      <c r="A50" s="143"/>
      <c r="B50" s="34">
        <f t="shared" si="0"/>
        <v>44</v>
      </c>
      <c r="C50" s="132"/>
      <c r="D50" s="134" t="s">
        <v>431</v>
      </c>
      <c r="E50" s="65" t="s">
        <v>432</v>
      </c>
      <c r="F50" s="65" t="s">
        <v>433</v>
      </c>
      <c r="G50" s="52" t="s">
        <v>382</v>
      </c>
      <c r="H50" s="137" t="s">
        <v>410</v>
      </c>
      <c r="I50" s="139">
        <v>10</v>
      </c>
      <c r="J50" s="67" t="s">
        <v>232</v>
      </c>
      <c r="K50" s="137" t="s">
        <v>138</v>
      </c>
      <c r="L50" s="137"/>
      <c r="M50" s="137" t="s">
        <v>534</v>
      </c>
      <c r="N50" s="137" t="s">
        <v>384</v>
      </c>
      <c r="O50" s="137" t="s">
        <v>411</v>
      </c>
      <c r="P50" s="137" t="s">
        <v>371</v>
      </c>
      <c r="Q50" s="138" t="s">
        <v>193</v>
      </c>
      <c r="R50" s="138" t="s">
        <v>123</v>
      </c>
      <c r="S50" s="59" t="s">
        <v>123</v>
      </c>
      <c r="T50" s="59" t="s">
        <v>123</v>
      </c>
      <c r="U50" s="59" t="s">
        <v>123</v>
      </c>
      <c r="V50" s="59" t="s">
        <v>123</v>
      </c>
      <c r="W50" s="59" t="s">
        <v>123</v>
      </c>
      <c r="X50" s="59" t="s">
        <v>123</v>
      </c>
      <c r="Y50" s="59" t="s">
        <v>123</v>
      </c>
      <c r="Z50" s="59" t="s">
        <v>123</v>
      </c>
      <c r="AA50" s="59" t="s">
        <v>123</v>
      </c>
      <c r="AB50" s="59" t="s">
        <v>123</v>
      </c>
      <c r="AC50" s="59" t="s">
        <v>123</v>
      </c>
      <c r="AD50" s="59" t="s">
        <v>123</v>
      </c>
      <c r="AE50" s="59" t="s">
        <v>123</v>
      </c>
      <c r="AF50" s="59" t="s">
        <v>123</v>
      </c>
      <c r="AG50" s="59" t="s">
        <v>123</v>
      </c>
    </row>
    <row r="51" spans="1:33" s="51" customFormat="1" ht="12" customHeight="1" x14ac:dyDescent="0.15">
      <c r="A51" s="143"/>
      <c r="B51" s="34">
        <f t="shared" si="0"/>
        <v>45</v>
      </c>
      <c r="C51" s="132"/>
      <c r="D51" s="136"/>
      <c r="E51" s="65" t="s">
        <v>434</v>
      </c>
      <c r="F51" s="65" t="s">
        <v>433</v>
      </c>
      <c r="G51" s="52" t="s">
        <v>382</v>
      </c>
      <c r="H51" s="137" t="s">
        <v>410</v>
      </c>
      <c r="I51" s="139">
        <v>10</v>
      </c>
      <c r="J51" s="67" t="s">
        <v>232</v>
      </c>
      <c r="K51" s="137" t="s">
        <v>138</v>
      </c>
      <c r="L51" s="137"/>
      <c r="M51" s="137" t="s">
        <v>534</v>
      </c>
      <c r="N51" s="137" t="s">
        <v>384</v>
      </c>
      <c r="O51" s="137" t="s">
        <v>411</v>
      </c>
      <c r="P51" s="137" t="s">
        <v>371</v>
      </c>
      <c r="Q51" s="138" t="s">
        <v>193</v>
      </c>
      <c r="R51" s="138" t="s">
        <v>123</v>
      </c>
      <c r="S51" s="59" t="s">
        <v>123</v>
      </c>
      <c r="T51" s="59" t="s">
        <v>123</v>
      </c>
      <c r="U51" s="59" t="s">
        <v>123</v>
      </c>
      <c r="V51" s="59" t="s">
        <v>123</v>
      </c>
      <c r="W51" s="59" t="s">
        <v>123</v>
      </c>
      <c r="X51" s="59" t="s">
        <v>123</v>
      </c>
      <c r="Y51" s="59" t="s">
        <v>145</v>
      </c>
      <c r="Z51" s="59" t="s">
        <v>145</v>
      </c>
      <c r="AA51" s="59" t="s">
        <v>145</v>
      </c>
      <c r="AB51" s="59" t="s">
        <v>145</v>
      </c>
      <c r="AC51" s="59" t="s">
        <v>123</v>
      </c>
      <c r="AD51" s="59" t="s">
        <v>123</v>
      </c>
      <c r="AE51" s="59" t="s">
        <v>123</v>
      </c>
      <c r="AF51" s="59" t="s">
        <v>123</v>
      </c>
      <c r="AG51" s="59" t="s">
        <v>123</v>
      </c>
    </row>
    <row r="52" spans="1:33" s="51" customFormat="1" ht="12" customHeight="1" x14ac:dyDescent="0.15">
      <c r="A52" s="143"/>
      <c r="B52" s="34">
        <f t="shared" si="0"/>
        <v>46</v>
      </c>
      <c r="C52" s="132"/>
      <c r="D52" s="135"/>
      <c r="E52" s="65" t="s">
        <v>435</v>
      </c>
      <c r="F52" s="65" t="s">
        <v>433</v>
      </c>
      <c r="G52" s="52" t="s">
        <v>382</v>
      </c>
      <c r="H52" s="137" t="s">
        <v>410</v>
      </c>
      <c r="I52" s="139">
        <v>10</v>
      </c>
      <c r="J52" s="67" t="s">
        <v>232</v>
      </c>
      <c r="K52" s="137" t="s">
        <v>138</v>
      </c>
      <c r="L52" s="137"/>
      <c r="M52" s="137" t="s">
        <v>534</v>
      </c>
      <c r="N52" s="137" t="s">
        <v>384</v>
      </c>
      <c r="O52" s="137" t="s">
        <v>411</v>
      </c>
      <c r="P52" s="137" t="s">
        <v>371</v>
      </c>
      <c r="Q52" s="138" t="s">
        <v>193</v>
      </c>
      <c r="R52" s="138" t="s">
        <v>123</v>
      </c>
      <c r="S52" s="59" t="s">
        <v>123</v>
      </c>
      <c r="T52" s="59" t="s">
        <v>123</v>
      </c>
      <c r="U52" s="59" t="s">
        <v>123</v>
      </c>
      <c r="V52" s="59" t="s">
        <v>123</v>
      </c>
      <c r="W52" s="59" t="s">
        <v>123</v>
      </c>
      <c r="X52" s="59" t="s">
        <v>123</v>
      </c>
      <c r="Y52" s="59" t="s">
        <v>123</v>
      </c>
      <c r="Z52" s="59" t="s">
        <v>123</v>
      </c>
      <c r="AA52" s="59" t="s">
        <v>123</v>
      </c>
      <c r="AB52" s="59" t="s">
        <v>123</v>
      </c>
      <c r="AC52" s="59" t="s">
        <v>123</v>
      </c>
      <c r="AD52" s="59" t="s">
        <v>123</v>
      </c>
      <c r="AE52" s="59" t="s">
        <v>123</v>
      </c>
      <c r="AF52" s="59" t="s">
        <v>123</v>
      </c>
      <c r="AG52" s="59" t="s">
        <v>145</v>
      </c>
    </row>
    <row r="53" spans="1:33" s="51" customFormat="1" ht="12" customHeight="1" x14ac:dyDescent="0.15">
      <c r="A53" s="143"/>
      <c r="B53" s="34">
        <f t="shared" si="0"/>
        <v>47</v>
      </c>
      <c r="C53" s="132"/>
      <c r="D53" s="131" t="s">
        <v>436</v>
      </c>
      <c r="E53" s="65" t="s">
        <v>437</v>
      </c>
      <c r="F53" s="65" t="s">
        <v>438</v>
      </c>
      <c r="G53" s="58" t="s">
        <v>439</v>
      </c>
      <c r="H53" s="137" t="s">
        <v>440</v>
      </c>
      <c r="I53" s="137">
        <v>1</v>
      </c>
      <c r="J53" s="67" t="s">
        <v>232</v>
      </c>
      <c r="K53" s="137" t="s">
        <v>138</v>
      </c>
      <c r="L53" s="137"/>
      <c r="M53" s="137" t="s">
        <v>534</v>
      </c>
      <c r="N53" s="137" t="s">
        <v>384</v>
      </c>
      <c r="O53" s="137" t="s">
        <v>385</v>
      </c>
      <c r="P53" s="137" t="s">
        <v>371</v>
      </c>
      <c r="Q53" s="138" t="s">
        <v>193</v>
      </c>
      <c r="R53" s="138" t="s">
        <v>123</v>
      </c>
      <c r="S53" s="59" t="s">
        <v>123</v>
      </c>
      <c r="T53" s="59" t="s">
        <v>123</v>
      </c>
      <c r="U53" s="59" t="s">
        <v>123</v>
      </c>
      <c r="V53" s="59" t="s">
        <v>123</v>
      </c>
      <c r="W53" s="59" t="s">
        <v>123</v>
      </c>
      <c r="X53" s="59" t="s">
        <v>123</v>
      </c>
      <c r="Y53" s="59" t="s">
        <v>123</v>
      </c>
      <c r="Z53" s="59" t="s">
        <v>123</v>
      </c>
      <c r="AA53" s="59" t="s">
        <v>123</v>
      </c>
      <c r="AB53" s="59" t="s">
        <v>123</v>
      </c>
      <c r="AC53" s="59" t="s">
        <v>123</v>
      </c>
      <c r="AD53" s="59" t="s">
        <v>123</v>
      </c>
      <c r="AE53" s="59" t="s">
        <v>123</v>
      </c>
      <c r="AF53" s="59" t="s">
        <v>123</v>
      </c>
      <c r="AG53" s="59" t="s">
        <v>123</v>
      </c>
    </row>
    <row r="54" spans="1:33" s="51" customFormat="1" ht="12" customHeight="1" x14ac:dyDescent="0.15">
      <c r="A54" s="143"/>
      <c r="B54" s="34">
        <f t="shared" si="0"/>
        <v>48</v>
      </c>
      <c r="C54" s="132"/>
      <c r="D54" s="132"/>
      <c r="E54" s="65" t="s">
        <v>437</v>
      </c>
      <c r="F54" s="65" t="s">
        <v>441</v>
      </c>
      <c r="G54" s="58" t="s">
        <v>439</v>
      </c>
      <c r="H54" s="137" t="s">
        <v>440</v>
      </c>
      <c r="I54" s="137">
        <v>1</v>
      </c>
      <c r="J54" s="67" t="s">
        <v>232</v>
      </c>
      <c r="K54" s="137" t="s">
        <v>138</v>
      </c>
      <c r="L54" s="137"/>
      <c r="M54" s="137" t="s">
        <v>534</v>
      </c>
      <c r="N54" s="137" t="s">
        <v>384</v>
      </c>
      <c r="O54" s="137" t="s">
        <v>385</v>
      </c>
      <c r="P54" s="137" t="s">
        <v>371</v>
      </c>
      <c r="Q54" s="138" t="s">
        <v>193</v>
      </c>
      <c r="R54" s="138" t="s">
        <v>123</v>
      </c>
      <c r="S54" s="59" t="s">
        <v>123</v>
      </c>
      <c r="T54" s="59" t="s">
        <v>123</v>
      </c>
      <c r="U54" s="59" t="s">
        <v>123</v>
      </c>
      <c r="V54" s="59" t="s">
        <v>123</v>
      </c>
      <c r="W54" s="59" t="s">
        <v>123</v>
      </c>
      <c r="X54" s="59" t="s">
        <v>123</v>
      </c>
      <c r="Y54" s="59" t="s">
        <v>123</v>
      </c>
      <c r="Z54" s="59" t="s">
        <v>123</v>
      </c>
      <c r="AA54" s="59" t="s">
        <v>123</v>
      </c>
      <c r="AB54" s="59" t="s">
        <v>123</v>
      </c>
      <c r="AC54" s="59" t="s">
        <v>123</v>
      </c>
      <c r="AD54" s="59" t="s">
        <v>123</v>
      </c>
      <c r="AE54" s="59" t="s">
        <v>123</v>
      </c>
      <c r="AF54" s="59" t="s">
        <v>123</v>
      </c>
      <c r="AG54" s="59" t="s">
        <v>123</v>
      </c>
    </row>
    <row r="55" spans="1:33" s="51" customFormat="1" ht="12" customHeight="1" x14ac:dyDescent="0.15">
      <c r="A55" s="143"/>
      <c r="B55" s="34">
        <f t="shared" si="0"/>
        <v>49</v>
      </c>
      <c r="C55" s="132"/>
      <c r="D55" s="132"/>
      <c r="E55" s="65" t="s">
        <v>437</v>
      </c>
      <c r="F55" s="65" t="s">
        <v>442</v>
      </c>
      <c r="G55" s="58" t="s">
        <v>439</v>
      </c>
      <c r="H55" s="137" t="s">
        <v>440</v>
      </c>
      <c r="I55" s="137">
        <v>1</v>
      </c>
      <c r="J55" s="67" t="s">
        <v>232</v>
      </c>
      <c r="K55" s="137" t="s">
        <v>138</v>
      </c>
      <c r="L55" s="137"/>
      <c r="M55" s="137" t="s">
        <v>534</v>
      </c>
      <c r="N55" s="137" t="s">
        <v>384</v>
      </c>
      <c r="O55" s="137" t="s">
        <v>385</v>
      </c>
      <c r="P55" s="137" t="s">
        <v>371</v>
      </c>
      <c r="Q55" s="138" t="s">
        <v>193</v>
      </c>
      <c r="R55" s="138" t="s">
        <v>123</v>
      </c>
      <c r="S55" s="59" t="s">
        <v>123</v>
      </c>
      <c r="T55" s="59" t="s">
        <v>123</v>
      </c>
      <c r="U55" s="59" t="s">
        <v>123</v>
      </c>
      <c r="V55" s="59" t="s">
        <v>123</v>
      </c>
      <c r="W55" s="59" t="s">
        <v>123</v>
      </c>
      <c r="X55" s="59" t="s">
        <v>123</v>
      </c>
      <c r="Y55" s="59" t="s">
        <v>123</v>
      </c>
      <c r="Z55" s="59" t="s">
        <v>123</v>
      </c>
      <c r="AA55" s="59" t="s">
        <v>123</v>
      </c>
      <c r="AB55" s="59" t="s">
        <v>123</v>
      </c>
      <c r="AC55" s="59" t="s">
        <v>123</v>
      </c>
      <c r="AD55" s="59" t="s">
        <v>123</v>
      </c>
      <c r="AE55" s="59" t="s">
        <v>123</v>
      </c>
      <c r="AF55" s="59" t="s">
        <v>123</v>
      </c>
      <c r="AG55" s="59" t="s">
        <v>123</v>
      </c>
    </row>
    <row r="56" spans="1:33" s="51" customFormat="1" ht="12" customHeight="1" x14ac:dyDescent="0.15">
      <c r="A56" s="143"/>
      <c r="B56" s="34">
        <f t="shared" si="0"/>
        <v>50</v>
      </c>
      <c r="C56" s="132"/>
      <c r="D56" s="132"/>
      <c r="E56" s="65" t="s">
        <v>437</v>
      </c>
      <c r="F56" s="65" t="s">
        <v>443</v>
      </c>
      <c r="G56" s="58" t="s">
        <v>439</v>
      </c>
      <c r="H56" s="137" t="s">
        <v>440</v>
      </c>
      <c r="I56" s="137">
        <v>1</v>
      </c>
      <c r="J56" s="67" t="s">
        <v>232</v>
      </c>
      <c r="K56" s="137" t="s">
        <v>138</v>
      </c>
      <c r="L56" s="137"/>
      <c r="M56" s="137" t="s">
        <v>534</v>
      </c>
      <c r="N56" s="137" t="s">
        <v>384</v>
      </c>
      <c r="O56" s="137" t="s">
        <v>385</v>
      </c>
      <c r="P56" s="137" t="s">
        <v>371</v>
      </c>
      <c r="Q56" s="138" t="s">
        <v>193</v>
      </c>
      <c r="R56" s="138" t="s">
        <v>123</v>
      </c>
      <c r="S56" s="59" t="s">
        <v>123</v>
      </c>
      <c r="T56" s="59" t="s">
        <v>123</v>
      </c>
      <c r="U56" s="59" t="s">
        <v>123</v>
      </c>
      <c r="V56" s="59" t="s">
        <v>123</v>
      </c>
      <c r="W56" s="59" t="s">
        <v>123</v>
      </c>
      <c r="X56" s="59" t="s">
        <v>123</v>
      </c>
      <c r="Y56" s="59" t="s">
        <v>123</v>
      </c>
      <c r="Z56" s="59" t="s">
        <v>123</v>
      </c>
      <c r="AA56" s="59" t="s">
        <v>123</v>
      </c>
      <c r="AB56" s="59" t="s">
        <v>123</v>
      </c>
      <c r="AC56" s="59" t="s">
        <v>123</v>
      </c>
      <c r="AD56" s="59" t="s">
        <v>123</v>
      </c>
      <c r="AE56" s="59" t="s">
        <v>123</v>
      </c>
      <c r="AF56" s="59" t="s">
        <v>123</v>
      </c>
      <c r="AG56" s="59" t="s">
        <v>123</v>
      </c>
    </row>
    <row r="57" spans="1:33" s="51" customFormat="1" ht="12" customHeight="1" x14ac:dyDescent="0.15">
      <c r="A57" s="143"/>
      <c r="B57" s="34">
        <f t="shared" si="0"/>
        <v>51</v>
      </c>
      <c r="C57" s="132"/>
      <c r="D57" s="132"/>
      <c r="E57" s="65" t="s">
        <v>437</v>
      </c>
      <c r="F57" s="65" t="s">
        <v>444</v>
      </c>
      <c r="G57" s="58" t="s">
        <v>439</v>
      </c>
      <c r="H57" s="137" t="s">
        <v>440</v>
      </c>
      <c r="I57" s="137">
        <v>1</v>
      </c>
      <c r="J57" s="67" t="s">
        <v>232</v>
      </c>
      <c r="K57" s="137" t="s">
        <v>138</v>
      </c>
      <c r="L57" s="137"/>
      <c r="M57" s="137" t="s">
        <v>534</v>
      </c>
      <c r="N57" s="137" t="s">
        <v>384</v>
      </c>
      <c r="O57" s="137" t="s">
        <v>385</v>
      </c>
      <c r="P57" s="137" t="s">
        <v>371</v>
      </c>
      <c r="Q57" s="138" t="s">
        <v>193</v>
      </c>
      <c r="R57" s="138" t="s">
        <v>123</v>
      </c>
      <c r="S57" s="59" t="s">
        <v>123</v>
      </c>
      <c r="T57" s="59" t="s">
        <v>123</v>
      </c>
      <c r="U57" s="59" t="s">
        <v>123</v>
      </c>
      <c r="V57" s="59" t="s">
        <v>123</v>
      </c>
      <c r="W57" s="59" t="s">
        <v>123</v>
      </c>
      <c r="X57" s="59" t="s">
        <v>123</v>
      </c>
      <c r="Y57" s="59" t="s">
        <v>123</v>
      </c>
      <c r="Z57" s="59" t="s">
        <v>123</v>
      </c>
      <c r="AA57" s="59" t="s">
        <v>123</v>
      </c>
      <c r="AB57" s="59" t="s">
        <v>123</v>
      </c>
      <c r="AC57" s="59" t="s">
        <v>123</v>
      </c>
      <c r="AD57" s="59" t="s">
        <v>123</v>
      </c>
      <c r="AE57" s="59" t="s">
        <v>123</v>
      </c>
      <c r="AF57" s="59" t="s">
        <v>123</v>
      </c>
      <c r="AG57" s="59" t="s">
        <v>123</v>
      </c>
    </row>
    <row r="58" spans="1:33" s="51" customFormat="1" ht="12" customHeight="1" x14ac:dyDescent="0.15">
      <c r="A58" s="143"/>
      <c r="B58" s="34">
        <f t="shared" si="0"/>
        <v>52</v>
      </c>
      <c r="C58" s="132"/>
      <c r="D58" s="132"/>
      <c r="E58" s="65" t="s">
        <v>437</v>
      </c>
      <c r="F58" s="65" t="s">
        <v>445</v>
      </c>
      <c r="G58" s="58" t="s">
        <v>439</v>
      </c>
      <c r="H58" s="137" t="s">
        <v>440</v>
      </c>
      <c r="I58" s="137">
        <v>1</v>
      </c>
      <c r="J58" s="67" t="s">
        <v>232</v>
      </c>
      <c r="K58" s="137" t="s">
        <v>138</v>
      </c>
      <c r="L58" s="137"/>
      <c r="M58" s="137" t="s">
        <v>534</v>
      </c>
      <c r="N58" s="137" t="s">
        <v>384</v>
      </c>
      <c r="O58" s="137" t="s">
        <v>385</v>
      </c>
      <c r="P58" s="137" t="s">
        <v>371</v>
      </c>
      <c r="Q58" s="138" t="s">
        <v>193</v>
      </c>
      <c r="R58" s="138" t="s">
        <v>123</v>
      </c>
      <c r="S58" s="59" t="s">
        <v>123</v>
      </c>
      <c r="T58" s="59" t="s">
        <v>123</v>
      </c>
      <c r="U58" s="59" t="s">
        <v>123</v>
      </c>
      <c r="V58" s="59" t="s">
        <v>123</v>
      </c>
      <c r="W58" s="59" t="s">
        <v>123</v>
      </c>
      <c r="X58" s="59" t="s">
        <v>123</v>
      </c>
      <c r="Y58" s="59" t="s">
        <v>123</v>
      </c>
      <c r="Z58" s="59" t="s">
        <v>123</v>
      </c>
      <c r="AA58" s="59" t="s">
        <v>123</v>
      </c>
      <c r="AB58" s="59" t="s">
        <v>123</v>
      </c>
      <c r="AC58" s="59" t="s">
        <v>123</v>
      </c>
      <c r="AD58" s="59" t="s">
        <v>123</v>
      </c>
      <c r="AE58" s="59" t="s">
        <v>123</v>
      </c>
      <c r="AF58" s="59" t="s">
        <v>123</v>
      </c>
      <c r="AG58" s="59" t="s">
        <v>123</v>
      </c>
    </row>
    <row r="59" spans="1:33" s="51" customFormat="1" ht="12" customHeight="1" x14ac:dyDescent="0.15">
      <c r="A59" s="143"/>
      <c r="B59" s="34">
        <f t="shared" si="0"/>
        <v>53</v>
      </c>
      <c r="C59" s="132"/>
      <c r="D59" s="132"/>
      <c r="E59" s="65" t="s">
        <v>437</v>
      </c>
      <c r="F59" s="65" t="s">
        <v>446</v>
      </c>
      <c r="G59" s="58" t="s">
        <v>439</v>
      </c>
      <c r="H59" s="137" t="s">
        <v>440</v>
      </c>
      <c r="I59" s="137">
        <v>1</v>
      </c>
      <c r="J59" s="67" t="s">
        <v>232</v>
      </c>
      <c r="K59" s="137" t="s">
        <v>138</v>
      </c>
      <c r="L59" s="137"/>
      <c r="M59" s="137" t="s">
        <v>534</v>
      </c>
      <c r="N59" s="137" t="s">
        <v>384</v>
      </c>
      <c r="O59" s="137" t="s">
        <v>385</v>
      </c>
      <c r="P59" s="137" t="s">
        <v>371</v>
      </c>
      <c r="Q59" s="138" t="s">
        <v>193</v>
      </c>
      <c r="R59" s="138" t="s">
        <v>123</v>
      </c>
      <c r="S59" s="59" t="s">
        <v>123</v>
      </c>
      <c r="T59" s="59" t="s">
        <v>123</v>
      </c>
      <c r="U59" s="59" t="s">
        <v>123</v>
      </c>
      <c r="V59" s="59" t="s">
        <v>123</v>
      </c>
      <c r="W59" s="59" t="s">
        <v>123</v>
      </c>
      <c r="X59" s="59" t="s">
        <v>123</v>
      </c>
      <c r="Y59" s="59" t="s">
        <v>123</v>
      </c>
      <c r="Z59" s="59" t="s">
        <v>123</v>
      </c>
      <c r="AA59" s="59" t="s">
        <v>123</v>
      </c>
      <c r="AB59" s="59" t="s">
        <v>123</v>
      </c>
      <c r="AC59" s="59" t="s">
        <v>123</v>
      </c>
      <c r="AD59" s="59" t="s">
        <v>123</v>
      </c>
      <c r="AE59" s="59" t="s">
        <v>123</v>
      </c>
      <c r="AF59" s="59" t="s">
        <v>123</v>
      </c>
      <c r="AG59" s="59" t="s">
        <v>123</v>
      </c>
    </row>
    <row r="60" spans="1:33" s="51" customFormat="1" ht="12" customHeight="1" x14ac:dyDescent="0.15">
      <c r="A60" s="143"/>
      <c r="B60" s="34">
        <f t="shared" si="0"/>
        <v>54</v>
      </c>
      <c r="C60" s="132"/>
      <c r="D60" s="132"/>
      <c r="E60" s="65" t="s">
        <v>437</v>
      </c>
      <c r="F60" s="65" t="s">
        <v>447</v>
      </c>
      <c r="G60" s="58" t="s">
        <v>439</v>
      </c>
      <c r="H60" s="137" t="s">
        <v>440</v>
      </c>
      <c r="I60" s="137">
        <v>1</v>
      </c>
      <c r="J60" s="67" t="s">
        <v>232</v>
      </c>
      <c r="K60" s="137" t="s">
        <v>138</v>
      </c>
      <c r="L60" s="137"/>
      <c r="M60" s="137" t="s">
        <v>534</v>
      </c>
      <c r="N60" s="137" t="s">
        <v>384</v>
      </c>
      <c r="O60" s="137" t="s">
        <v>385</v>
      </c>
      <c r="P60" s="137" t="s">
        <v>371</v>
      </c>
      <c r="Q60" s="138" t="s">
        <v>193</v>
      </c>
      <c r="R60" s="138" t="s">
        <v>123</v>
      </c>
      <c r="S60" s="59" t="s">
        <v>123</v>
      </c>
      <c r="T60" s="59" t="s">
        <v>123</v>
      </c>
      <c r="U60" s="59" t="s">
        <v>123</v>
      </c>
      <c r="V60" s="59" t="s">
        <v>123</v>
      </c>
      <c r="W60" s="59" t="s">
        <v>123</v>
      </c>
      <c r="X60" s="59" t="s">
        <v>123</v>
      </c>
      <c r="Y60" s="59" t="s">
        <v>123</v>
      </c>
      <c r="Z60" s="59" t="s">
        <v>123</v>
      </c>
      <c r="AA60" s="59" t="s">
        <v>123</v>
      </c>
      <c r="AB60" s="59" t="s">
        <v>123</v>
      </c>
      <c r="AC60" s="59" t="s">
        <v>123</v>
      </c>
      <c r="AD60" s="59" t="s">
        <v>123</v>
      </c>
      <c r="AE60" s="59" t="s">
        <v>123</v>
      </c>
      <c r="AF60" s="59" t="s">
        <v>123</v>
      </c>
      <c r="AG60" s="59" t="s">
        <v>123</v>
      </c>
    </row>
    <row r="61" spans="1:33" s="51" customFormat="1" ht="12" customHeight="1" x14ac:dyDescent="0.15">
      <c r="A61" s="143"/>
      <c r="B61" s="34">
        <f t="shared" si="0"/>
        <v>55</v>
      </c>
      <c r="C61" s="132"/>
      <c r="D61" s="132"/>
      <c r="E61" s="65" t="s">
        <v>437</v>
      </c>
      <c r="F61" s="65" t="s">
        <v>448</v>
      </c>
      <c r="G61" s="58" t="s">
        <v>439</v>
      </c>
      <c r="H61" s="137" t="s">
        <v>440</v>
      </c>
      <c r="I61" s="137">
        <v>1</v>
      </c>
      <c r="J61" s="67" t="s">
        <v>232</v>
      </c>
      <c r="K61" s="137" t="s">
        <v>138</v>
      </c>
      <c r="L61" s="137"/>
      <c r="M61" s="137" t="s">
        <v>534</v>
      </c>
      <c r="N61" s="137" t="s">
        <v>384</v>
      </c>
      <c r="O61" s="137" t="s">
        <v>385</v>
      </c>
      <c r="P61" s="137" t="s">
        <v>371</v>
      </c>
      <c r="Q61" s="138" t="s">
        <v>193</v>
      </c>
      <c r="R61" s="138" t="s">
        <v>123</v>
      </c>
      <c r="S61" s="59" t="s">
        <v>123</v>
      </c>
      <c r="T61" s="59" t="s">
        <v>123</v>
      </c>
      <c r="U61" s="59" t="s">
        <v>123</v>
      </c>
      <c r="V61" s="59" t="s">
        <v>123</v>
      </c>
      <c r="W61" s="59" t="s">
        <v>123</v>
      </c>
      <c r="X61" s="59" t="s">
        <v>123</v>
      </c>
      <c r="Y61" s="59" t="s">
        <v>123</v>
      </c>
      <c r="Z61" s="59" t="s">
        <v>123</v>
      </c>
      <c r="AA61" s="59" t="s">
        <v>123</v>
      </c>
      <c r="AB61" s="59" t="s">
        <v>123</v>
      </c>
      <c r="AC61" s="59" t="s">
        <v>123</v>
      </c>
      <c r="AD61" s="59" t="s">
        <v>123</v>
      </c>
      <c r="AE61" s="59" t="s">
        <v>123</v>
      </c>
      <c r="AF61" s="59" t="s">
        <v>123</v>
      </c>
      <c r="AG61" s="59" t="s">
        <v>123</v>
      </c>
    </row>
    <row r="62" spans="1:33" s="51" customFormat="1" ht="12" customHeight="1" x14ac:dyDescent="0.15">
      <c r="A62" s="143"/>
      <c r="B62" s="34">
        <f t="shared" si="0"/>
        <v>56</v>
      </c>
      <c r="C62" s="132"/>
      <c r="D62" s="132"/>
      <c r="E62" s="65" t="s">
        <v>437</v>
      </c>
      <c r="F62" s="65" t="s">
        <v>449</v>
      </c>
      <c r="G62" s="58" t="s">
        <v>439</v>
      </c>
      <c r="H62" s="137" t="s">
        <v>440</v>
      </c>
      <c r="I62" s="137">
        <v>1</v>
      </c>
      <c r="J62" s="67" t="s">
        <v>232</v>
      </c>
      <c r="K62" s="137" t="s">
        <v>138</v>
      </c>
      <c r="L62" s="137"/>
      <c r="M62" s="137" t="s">
        <v>534</v>
      </c>
      <c r="N62" s="137" t="s">
        <v>384</v>
      </c>
      <c r="O62" s="137" t="s">
        <v>385</v>
      </c>
      <c r="P62" s="137" t="s">
        <v>371</v>
      </c>
      <c r="Q62" s="138" t="s">
        <v>193</v>
      </c>
      <c r="R62" s="138" t="s">
        <v>123</v>
      </c>
      <c r="S62" s="59" t="s">
        <v>123</v>
      </c>
      <c r="T62" s="59" t="s">
        <v>123</v>
      </c>
      <c r="U62" s="59" t="s">
        <v>123</v>
      </c>
      <c r="V62" s="59" t="s">
        <v>123</v>
      </c>
      <c r="W62" s="59" t="s">
        <v>123</v>
      </c>
      <c r="X62" s="59" t="s">
        <v>123</v>
      </c>
      <c r="Y62" s="59" t="s">
        <v>123</v>
      </c>
      <c r="Z62" s="59" t="s">
        <v>123</v>
      </c>
      <c r="AA62" s="59" t="s">
        <v>123</v>
      </c>
      <c r="AB62" s="59" t="s">
        <v>123</v>
      </c>
      <c r="AC62" s="59" t="s">
        <v>123</v>
      </c>
      <c r="AD62" s="59" t="s">
        <v>123</v>
      </c>
      <c r="AE62" s="59" t="s">
        <v>123</v>
      </c>
      <c r="AF62" s="59" t="s">
        <v>123</v>
      </c>
      <c r="AG62" s="59" t="s">
        <v>123</v>
      </c>
    </row>
    <row r="63" spans="1:33" s="51" customFormat="1" ht="12" customHeight="1" x14ac:dyDescent="0.15">
      <c r="A63" s="143"/>
      <c r="B63" s="34">
        <f t="shared" si="0"/>
        <v>57</v>
      </c>
      <c r="C63" s="132"/>
      <c r="D63" s="132"/>
      <c r="E63" s="65" t="s">
        <v>437</v>
      </c>
      <c r="F63" s="65" t="s">
        <v>450</v>
      </c>
      <c r="G63" s="58" t="s">
        <v>439</v>
      </c>
      <c r="H63" s="137" t="s">
        <v>440</v>
      </c>
      <c r="I63" s="137">
        <v>1</v>
      </c>
      <c r="J63" s="67" t="s">
        <v>232</v>
      </c>
      <c r="K63" s="137" t="s">
        <v>138</v>
      </c>
      <c r="L63" s="137"/>
      <c r="M63" s="137" t="s">
        <v>534</v>
      </c>
      <c r="N63" s="137" t="s">
        <v>384</v>
      </c>
      <c r="O63" s="137" t="s">
        <v>385</v>
      </c>
      <c r="P63" s="137" t="s">
        <v>371</v>
      </c>
      <c r="Q63" s="138" t="s">
        <v>193</v>
      </c>
      <c r="R63" s="138" t="s">
        <v>123</v>
      </c>
      <c r="S63" s="59" t="s">
        <v>123</v>
      </c>
      <c r="T63" s="59" t="s">
        <v>123</v>
      </c>
      <c r="U63" s="59" t="s">
        <v>123</v>
      </c>
      <c r="V63" s="59" t="s">
        <v>123</v>
      </c>
      <c r="W63" s="59" t="s">
        <v>123</v>
      </c>
      <c r="X63" s="59" t="s">
        <v>123</v>
      </c>
      <c r="Y63" s="59" t="s">
        <v>123</v>
      </c>
      <c r="Z63" s="59" t="s">
        <v>123</v>
      </c>
      <c r="AA63" s="59" t="s">
        <v>123</v>
      </c>
      <c r="AB63" s="59" t="s">
        <v>123</v>
      </c>
      <c r="AC63" s="59" t="s">
        <v>123</v>
      </c>
      <c r="AD63" s="59" t="s">
        <v>123</v>
      </c>
      <c r="AE63" s="59" t="s">
        <v>123</v>
      </c>
      <c r="AF63" s="59" t="s">
        <v>123</v>
      </c>
      <c r="AG63" s="59" t="s">
        <v>123</v>
      </c>
    </row>
    <row r="64" spans="1:33" s="51" customFormat="1" ht="12" customHeight="1" x14ac:dyDescent="0.15">
      <c r="A64" s="143"/>
      <c r="B64" s="34">
        <f t="shared" si="0"/>
        <v>58</v>
      </c>
      <c r="C64" s="132"/>
      <c r="D64" s="132"/>
      <c r="E64" s="65" t="s">
        <v>437</v>
      </c>
      <c r="F64" s="65" t="s">
        <v>451</v>
      </c>
      <c r="G64" s="58" t="s">
        <v>439</v>
      </c>
      <c r="H64" s="137" t="s">
        <v>440</v>
      </c>
      <c r="I64" s="137">
        <v>1</v>
      </c>
      <c r="J64" s="67" t="s">
        <v>232</v>
      </c>
      <c r="K64" s="137" t="s">
        <v>138</v>
      </c>
      <c r="L64" s="137"/>
      <c r="M64" s="137" t="s">
        <v>534</v>
      </c>
      <c r="N64" s="137" t="s">
        <v>384</v>
      </c>
      <c r="O64" s="137" t="s">
        <v>385</v>
      </c>
      <c r="P64" s="137" t="s">
        <v>371</v>
      </c>
      <c r="Q64" s="138" t="s">
        <v>193</v>
      </c>
      <c r="R64" s="138" t="s">
        <v>123</v>
      </c>
      <c r="S64" s="59" t="s">
        <v>123</v>
      </c>
      <c r="T64" s="59" t="s">
        <v>123</v>
      </c>
      <c r="U64" s="59" t="s">
        <v>123</v>
      </c>
      <c r="V64" s="59" t="s">
        <v>123</v>
      </c>
      <c r="W64" s="59" t="s">
        <v>123</v>
      </c>
      <c r="X64" s="59" t="s">
        <v>123</v>
      </c>
      <c r="Y64" s="59" t="s">
        <v>123</v>
      </c>
      <c r="Z64" s="59" t="s">
        <v>123</v>
      </c>
      <c r="AA64" s="59" t="s">
        <v>123</v>
      </c>
      <c r="AB64" s="59" t="s">
        <v>123</v>
      </c>
      <c r="AC64" s="59" t="s">
        <v>123</v>
      </c>
      <c r="AD64" s="59" t="s">
        <v>123</v>
      </c>
      <c r="AE64" s="59" t="s">
        <v>123</v>
      </c>
      <c r="AF64" s="59" t="s">
        <v>123</v>
      </c>
      <c r="AG64" s="59" t="s">
        <v>123</v>
      </c>
    </row>
    <row r="65" spans="1:33" s="51" customFormat="1" ht="12" customHeight="1" x14ac:dyDescent="0.15">
      <c r="A65" s="143"/>
      <c r="B65" s="34">
        <f t="shared" si="0"/>
        <v>59</v>
      </c>
      <c r="C65" s="132"/>
      <c r="D65" s="132"/>
      <c r="E65" s="60" t="s">
        <v>452</v>
      </c>
      <c r="F65" s="60" t="s">
        <v>453</v>
      </c>
      <c r="G65" s="61" t="s">
        <v>439</v>
      </c>
      <c r="H65" s="137" t="s">
        <v>454</v>
      </c>
      <c r="I65" s="137">
        <v>1</v>
      </c>
      <c r="J65" s="67" t="s">
        <v>232</v>
      </c>
      <c r="K65" s="137" t="s">
        <v>455</v>
      </c>
      <c r="L65" s="137"/>
      <c r="M65" s="137" t="s">
        <v>534</v>
      </c>
      <c r="N65" s="137" t="s">
        <v>384</v>
      </c>
      <c r="O65" s="137" t="s">
        <v>456</v>
      </c>
      <c r="P65" s="137" t="s">
        <v>371</v>
      </c>
      <c r="Q65" s="138" t="s">
        <v>458</v>
      </c>
      <c r="R65" s="138" t="s">
        <v>123</v>
      </c>
      <c r="S65" s="59" t="s">
        <v>123</v>
      </c>
      <c r="T65" s="59" t="s">
        <v>123</v>
      </c>
      <c r="U65" s="59" t="s">
        <v>123</v>
      </c>
      <c r="V65" s="59" t="s">
        <v>123</v>
      </c>
      <c r="W65" s="59" t="s">
        <v>123</v>
      </c>
      <c r="X65" s="59" t="s">
        <v>123</v>
      </c>
      <c r="Y65" s="59" t="s">
        <v>123</v>
      </c>
      <c r="Z65" s="59" t="s">
        <v>123</v>
      </c>
      <c r="AA65" s="59" t="s">
        <v>123</v>
      </c>
      <c r="AB65" s="59" t="s">
        <v>123</v>
      </c>
      <c r="AC65" s="59" t="s">
        <v>123</v>
      </c>
      <c r="AD65" s="59" t="s">
        <v>123</v>
      </c>
      <c r="AE65" s="59" t="s">
        <v>123</v>
      </c>
      <c r="AF65" s="59" t="s">
        <v>123</v>
      </c>
      <c r="AG65" s="59" t="s">
        <v>123</v>
      </c>
    </row>
    <row r="66" spans="1:33" s="51" customFormat="1" ht="12" customHeight="1" x14ac:dyDescent="0.15">
      <c r="A66" s="143"/>
      <c r="B66" s="34">
        <f t="shared" si="0"/>
        <v>60</v>
      </c>
      <c r="C66" s="132"/>
      <c r="D66" s="132"/>
      <c r="E66" s="60" t="s">
        <v>452</v>
      </c>
      <c r="F66" s="60" t="s">
        <v>459</v>
      </c>
      <c r="G66" s="61" t="s">
        <v>439</v>
      </c>
      <c r="H66" s="137" t="s">
        <v>454</v>
      </c>
      <c r="I66" s="137">
        <v>1</v>
      </c>
      <c r="J66" s="67" t="s">
        <v>232</v>
      </c>
      <c r="K66" s="137" t="s">
        <v>455</v>
      </c>
      <c r="L66" s="137"/>
      <c r="M66" s="137" t="s">
        <v>534</v>
      </c>
      <c r="N66" s="137" t="s">
        <v>384</v>
      </c>
      <c r="O66" s="137" t="s">
        <v>456</v>
      </c>
      <c r="P66" s="137" t="s">
        <v>371</v>
      </c>
      <c r="Q66" s="138" t="s">
        <v>458</v>
      </c>
      <c r="R66" s="138" t="s">
        <v>123</v>
      </c>
      <c r="S66" s="59" t="s">
        <v>123</v>
      </c>
      <c r="T66" s="59" t="s">
        <v>123</v>
      </c>
      <c r="U66" s="59" t="s">
        <v>123</v>
      </c>
      <c r="V66" s="59" t="s">
        <v>123</v>
      </c>
      <c r="W66" s="59" t="s">
        <v>123</v>
      </c>
      <c r="X66" s="59" t="s">
        <v>123</v>
      </c>
      <c r="Y66" s="59" t="s">
        <v>123</v>
      </c>
      <c r="Z66" s="59" t="s">
        <v>123</v>
      </c>
      <c r="AA66" s="59" t="s">
        <v>123</v>
      </c>
      <c r="AB66" s="59" t="s">
        <v>123</v>
      </c>
      <c r="AC66" s="59" t="s">
        <v>123</v>
      </c>
      <c r="AD66" s="59" t="s">
        <v>123</v>
      </c>
      <c r="AE66" s="59" t="s">
        <v>123</v>
      </c>
      <c r="AF66" s="59" t="s">
        <v>123</v>
      </c>
      <c r="AG66" s="59" t="s">
        <v>123</v>
      </c>
    </row>
    <row r="67" spans="1:33" s="51" customFormat="1" ht="12" customHeight="1" x14ac:dyDescent="0.15">
      <c r="A67" s="143"/>
      <c r="B67" s="34">
        <f t="shared" si="0"/>
        <v>61</v>
      </c>
      <c r="C67" s="132"/>
      <c r="D67" s="132"/>
      <c r="E67" s="60" t="s">
        <v>452</v>
      </c>
      <c r="F67" s="60" t="s">
        <v>460</v>
      </c>
      <c r="G67" s="61" t="s">
        <v>439</v>
      </c>
      <c r="H67" s="137" t="s">
        <v>454</v>
      </c>
      <c r="I67" s="137">
        <v>1</v>
      </c>
      <c r="J67" s="67" t="s">
        <v>232</v>
      </c>
      <c r="K67" s="137" t="s">
        <v>455</v>
      </c>
      <c r="L67" s="137"/>
      <c r="M67" s="137" t="s">
        <v>534</v>
      </c>
      <c r="N67" s="137" t="s">
        <v>384</v>
      </c>
      <c r="O67" s="137" t="s">
        <v>456</v>
      </c>
      <c r="P67" s="137" t="s">
        <v>371</v>
      </c>
      <c r="Q67" s="138" t="s">
        <v>458</v>
      </c>
      <c r="R67" s="138" t="s">
        <v>123</v>
      </c>
      <c r="S67" s="59" t="s">
        <v>123</v>
      </c>
      <c r="T67" s="59" t="s">
        <v>123</v>
      </c>
      <c r="U67" s="59" t="s">
        <v>123</v>
      </c>
      <c r="V67" s="59" t="s">
        <v>123</v>
      </c>
      <c r="W67" s="59" t="s">
        <v>123</v>
      </c>
      <c r="X67" s="59" t="s">
        <v>123</v>
      </c>
      <c r="Y67" s="59" t="s">
        <v>123</v>
      </c>
      <c r="Z67" s="59" t="s">
        <v>123</v>
      </c>
      <c r="AA67" s="59" t="s">
        <v>123</v>
      </c>
      <c r="AB67" s="59" t="s">
        <v>123</v>
      </c>
      <c r="AC67" s="59" t="s">
        <v>123</v>
      </c>
      <c r="AD67" s="59" t="s">
        <v>123</v>
      </c>
      <c r="AE67" s="59" t="s">
        <v>123</v>
      </c>
      <c r="AF67" s="59" t="s">
        <v>123</v>
      </c>
      <c r="AG67" s="59" t="s">
        <v>123</v>
      </c>
    </row>
    <row r="68" spans="1:33" s="51" customFormat="1" ht="12" customHeight="1" x14ac:dyDescent="0.15">
      <c r="A68" s="143"/>
      <c r="B68" s="34">
        <f t="shared" si="0"/>
        <v>62</v>
      </c>
      <c r="C68" s="132"/>
      <c r="D68" s="132"/>
      <c r="E68" s="60" t="s">
        <v>452</v>
      </c>
      <c r="F68" s="60" t="s">
        <v>461</v>
      </c>
      <c r="G68" s="61" t="s">
        <v>439</v>
      </c>
      <c r="H68" s="137" t="s">
        <v>454</v>
      </c>
      <c r="I68" s="137">
        <v>1</v>
      </c>
      <c r="J68" s="67" t="s">
        <v>232</v>
      </c>
      <c r="K68" s="137" t="s">
        <v>455</v>
      </c>
      <c r="L68" s="137"/>
      <c r="M68" s="137" t="s">
        <v>534</v>
      </c>
      <c r="N68" s="137" t="s">
        <v>384</v>
      </c>
      <c r="O68" s="137" t="s">
        <v>456</v>
      </c>
      <c r="P68" s="137" t="s">
        <v>371</v>
      </c>
      <c r="Q68" s="138" t="s">
        <v>458</v>
      </c>
      <c r="R68" s="138" t="s">
        <v>123</v>
      </c>
      <c r="S68" s="59" t="s">
        <v>123</v>
      </c>
      <c r="T68" s="59" t="s">
        <v>123</v>
      </c>
      <c r="U68" s="59" t="s">
        <v>123</v>
      </c>
      <c r="V68" s="59" t="s">
        <v>123</v>
      </c>
      <c r="W68" s="59" t="s">
        <v>123</v>
      </c>
      <c r="X68" s="59" t="s">
        <v>123</v>
      </c>
      <c r="Y68" s="59" t="s">
        <v>123</v>
      </c>
      <c r="Z68" s="59" t="s">
        <v>123</v>
      </c>
      <c r="AA68" s="59" t="s">
        <v>123</v>
      </c>
      <c r="AB68" s="59" t="s">
        <v>123</v>
      </c>
      <c r="AC68" s="59" t="s">
        <v>123</v>
      </c>
      <c r="AD68" s="59" t="s">
        <v>123</v>
      </c>
      <c r="AE68" s="59" t="s">
        <v>123</v>
      </c>
      <c r="AF68" s="59" t="s">
        <v>123</v>
      </c>
      <c r="AG68" s="59" t="s">
        <v>123</v>
      </c>
    </row>
    <row r="69" spans="1:33" s="51" customFormat="1" ht="12" customHeight="1" x14ac:dyDescent="0.15">
      <c r="A69" s="143"/>
      <c r="B69" s="34">
        <f t="shared" si="0"/>
        <v>63</v>
      </c>
      <c r="C69" s="132"/>
      <c r="D69" s="132"/>
      <c r="E69" s="60" t="s">
        <v>452</v>
      </c>
      <c r="F69" s="60" t="s">
        <v>462</v>
      </c>
      <c r="G69" s="61" t="s">
        <v>439</v>
      </c>
      <c r="H69" s="137" t="s">
        <v>454</v>
      </c>
      <c r="I69" s="137">
        <v>1</v>
      </c>
      <c r="J69" s="67" t="s">
        <v>232</v>
      </c>
      <c r="K69" s="137" t="s">
        <v>455</v>
      </c>
      <c r="L69" s="137"/>
      <c r="M69" s="137" t="s">
        <v>534</v>
      </c>
      <c r="N69" s="137" t="s">
        <v>384</v>
      </c>
      <c r="O69" s="137" t="s">
        <v>456</v>
      </c>
      <c r="P69" s="137" t="s">
        <v>371</v>
      </c>
      <c r="Q69" s="138" t="s">
        <v>458</v>
      </c>
      <c r="R69" s="138" t="s">
        <v>123</v>
      </c>
      <c r="S69" s="59" t="s">
        <v>123</v>
      </c>
      <c r="T69" s="59" t="s">
        <v>123</v>
      </c>
      <c r="U69" s="59" t="s">
        <v>123</v>
      </c>
      <c r="V69" s="59" t="s">
        <v>123</v>
      </c>
      <c r="W69" s="59" t="s">
        <v>123</v>
      </c>
      <c r="X69" s="59" t="s">
        <v>123</v>
      </c>
      <c r="Y69" s="59" t="s">
        <v>123</v>
      </c>
      <c r="Z69" s="59" t="s">
        <v>123</v>
      </c>
      <c r="AA69" s="59" t="s">
        <v>123</v>
      </c>
      <c r="AB69" s="59" t="s">
        <v>123</v>
      </c>
      <c r="AC69" s="59" t="s">
        <v>123</v>
      </c>
      <c r="AD69" s="59" t="s">
        <v>123</v>
      </c>
      <c r="AE69" s="59" t="s">
        <v>123</v>
      </c>
      <c r="AF69" s="59" t="s">
        <v>123</v>
      </c>
      <c r="AG69" s="59" t="s">
        <v>123</v>
      </c>
    </row>
    <row r="70" spans="1:33" s="51" customFormat="1" ht="12" customHeight="1" x14ac:dyDescent="0.15">
      <c r="A70" s="143"/>
      <c r="B70" s="34">
        <f t="shared" si="0"/>
        <v>64</v>
      </c>
      <c r="C70" s="132"/>
      <c r="D70" s="132"/>
      <c r="E70" s="65" t="s">
        <v>463</v>
      </c>
      <c r="F70" s="65" t="s">
        <v>438</v>
      </c>
      <c r="G70" s="58" t="s">
        <v>439</v>
      </c>
      <c r="H70" s="137" t="s">
        <v>440</v>
      </c>
      <c r="I70" s="137">
        <v>1</v>
      </c>
      <c r="J70" s="67" t="s">
        <v>232</v>
      </c>
      <c r="K70" s="137" t="s">
        <v>138</v>
      </c>
      <c r="L70" s="137"/>
      <c r="M70" s="137" t="s">
        <v>534</v>
      </c>
      <c r="N70" s="137" t="s">
        <v>384</v>
      </c>
      <c r="O70" s="137" t="s">
        <v>385</v>
      </c>
      <c r="P70" s="137" t="s">
        <v>371</v>
      </c>
      <c r="Q70" s="138" t="s">
        <v>193</v>
      </c>
      <c r="R70" s="138" t="s">
        <v>123</v>
      </c>
      <c r="S70" s="59" t="s">
        <v>123</v>
      </c>
      <c r="T70" s="59" t="s">
        <v>123</v>
      </c>
      <c r="U70" s="59" t="s">
        <v>123</v>
      </c>
      <c r="V70" s="59" t="s">
        <v>123</v>
      </c>
      <c r="W70" s="59" t="s">
        <v>123</v>
      </c>
      <c r="X70" s="59" t="s">
        <v>123</v>
      </c>
      <c r="Y70" s="59" t="s">
        <v>123</v>
      </c>
      <c r="Z70" s="59" t="s">
        <v>123</v>
      </c>
      <c r="AA70" s="59" t="s">
        <v>123</v>
      </c>
      <c r="AB70" s="59" t="s">
        <v>123</v>
      </c>
      <c r="AC70" s="59" t="s">
        <v>123</v>
      </c>
      <c r="AD70" s="59" t="s">
        <v>123</v>
      </c>
      <c r="AE70" s="59" t="s">
        <v>123</v>
      </c>
      <c r="AF70" s="59" t="s">
        <v>123</v>
      </c>
      <c r="AG70" s="59" t="s">
        <v>123</v>
      </c>
    </row>
    <row r="71" spans="1:33" s="51" customFormat="1" ht="12" customHeight="1" x14ac:dyDescent="0.15">
      <c r="A71" s="143"/>
      <c r="B71" s="34">
        <f t="shared" si="0"/>
        <v>65</v>
      </c>
      <c r="C71" s="132"/>
      <c r="D71" s="132"/>
      <c r="E71" s="65" t="s">
        <v>463</v>
      </c>
      <c r="F71" s="65" t="s">
        <v>441</v>
      </c>
      <c r="G71" s="58" t="s">
        <v>439</v>
      </c>
      <c r="H71" s="137" t="s">
        <v>440</v>
      </c>
      <c r="I71" s="137">
        <v>1</v>
      </c>
      <c r="J71" s="67" t="s">
        <v>232</v>
      </c>
      <c r="K71" s="137" t="s">
        <v>138</v>
      </c>
      <c r="L71" s="137"/>
      <c r="M71" s="137" t="s">
        <v>534</v>
      </c>
      <c r="N71" s="137" t="s">
        <v>384</v>
      </c>
      <c r="O71" s="137" t="s">
        <v>385</v>
      </c>
      <c r="P71" s="137" t="s">
        <v>371</v>
      </c>
      <c r="Q71" s="138" t="s">
        <v>193</v>
      </c>
      <c r="R71" s="138" t="s">
        <v>123</v>
      </c>
      <c r="S71" s="59" t="s">
        <v>123</v>
      </c>
      <c r="T71" s="59" t="s">
        <v>123</v>
      </c>
      <c r="U71" s="59" t="s">
        <v>123</v>
      </c>
      <c r="V71" s="59" t="s">
        <v>123</v>
      </c>
      <c r="W71" s="59" t="s">
        <v>123</v>
      </c>
      <c r="X71" s="59" t="s">
        <v>123</v>
      </c>
      <c r="Y71" s="59" t="s">
        <v>123</v>
      </c>
      <c r="Z71" s="59" t="s">
        <v>123</v>
      </c>
      <c r="AA71" s="59" t="s">
        <v>123</v>
      </c>
      <c r="AB71" s="59" t="s">
        <v>123</v>
      </c>
      <c r="AC71" s="59" t="s">
        <v>123</v>
      </c>
      <c r="AD71" s="59" t="s">
        <v>123</v>
      </c>
      <c r="AE71" s="59" t="s">
        <v>123</v>
      </c>
      <c r="AF71" s="59" t="s">
        <v>123</v>
      </c>
      <c r="AG71" s="59" t="s">
        <v>123</v>
      </c>
    </row>
    <row r="72" spans="1:33" s="51" customFormat="1" ht="12" customHeight="1" x14ac:dyDescent="0.15">
      <c r="A72" s="143"/>
      <c r="B72" s="34">
        <f t="shared" si="0"/>
        <v>66</v>
      </c>
      <c r="C72" s="132"/>
      <c r="D72" s="132"/>
      <c r="E72" s="65" t="s">
        <v>463</v>
      </c>
      <c r="F72" s="65" t="s">
        <v>442</v>
      </c>
      <c r="G72" s="58" t="s">
        <v>439</v>
      </c>
      <c r="H72" s="137" t="s">
        <v>440</v>
      </c>
      <c r="I72" s="137">
        <v>1</v>
      </c>
      <c r="J72" s="67" t="s">
        <v>232</v>
      </c>
      <c r="K72" s="137" t="s">
        <v>138</v>
      </c>
      <c r="L72" s="137"/>
      <c r="M72" s="137" t="s">
        <v>534</v>
      </c>
      <c r="N72" s="137" t="s">
        <v>384</v>
      </c>
      <c r="O72" s="137" t="s">
        <v>385</v>
      </c>
      <c r="P72" s="137" t="s">
        <v>371</v>
      </c>
      <c r="Q72" s="138" t="s">
        <v>193</v>
      </c>
      <c r="R72" s="138" t="s">
        <v>123</v>
      </c>
      <c r="S72" s="59" t="s">
        <v>123</v>
      </c>
      <c r="T72" s="59" t="s">
        <v>123</v>
      </c>
      <c r="U72" s="59" t="s">
        <v>123</v>
      </c>
      <c r="V72" s="59" t="s">
        <v>123</v>
      </c>
      <c r="W72" s="59" t="s">
        <v>123</v>
      </c>
      <c r="X72" s="59" t="s">
        <v>123</v>
      </c>
      <c r="Y72" s="59" t="s">
        <v>123</v>
      </c>
      <c r="Z72" s="59" t="s">
        <v>123</v>
      </c>
      <c r="AA72" s="59" t="s">
        <v>123</v>
      </c>
      <c r="AB72" s="59" t="s">
        <v>123</v>
      </c>
      <c r="AC72" s="59" t="s">
        <v>123</v>
      </c>
      <c r="AD72" s="59" t="s">
        <v>123</v>
      </c>
      <c r="AE72" s="59" t="s">
        <v>123</v>
      </c>
      <c r="AF72" s="59" t="s">
        <v>123</v>
      </c>
      <c r="AG72" s="59" t="s">
        <v>123</v>
      </c>
    </row>
    <row r="73" spans="1:33" s="51" customFormat="1" ht="12" customHeight="1" x14ac:dyDescent="0.15">
      <c r="A73" s="143"/>
      <c r="B73" s="34">
        <f t="shared" si="0"/>
        <v>67</v>
      </c>
      <c r="C73" s="132"/>
      <c r="D73" s="132"/>
      <c r="E73" s="65" t="s">
        <v>463</v>
      </c>
      <c r="F73" s="65" t="s">
        <v>443</v>
      </c>
      <c r="G73" s="58" t="s">
        <v>439</v>
      </c>
      <c r="H73" s="137" t="s">
        <v>440</v>
      </c>
      <c r="I73" s="137">
        <v>1</v>
      </c>
      <c r="J73" s="67" t="s">
        <v>232</v>
      </c>
      <c r="K73" s="137" t="s">
        <v>138</v>
      </c>
      <c r="L73" s="137"/>
      <c r="M73" s="137" t="s">
        <v>534</v>
      </c>
      <c r="N73" s="137" t="s">
        <v>384</v>
      </c>
      <c r="O73" s="137" t="s">
        <v>385</v>
      </c>
      <c r="P73" s="137" t="s">
        <v>371</v>
      </c>
      <c r="Q73" s="138" t="s">
        <v>193</v>
      </c>
      <c r="R73" s="138" t="s">
        <v>123</v>
      </c>
      <c r="S73" s="59" t="s">
        <v>123</v>
      </c>
      <c r="T73" s="59" t="s">
        <v>123</v>
      </c>
      <c r="U73" s="59" t="s">
        <v>123</v>
      </c>
      <c r="V73" s="59" t="s">
        <v>123</v>
      </c>
      <c r="W73" s="59" t="s">
        <v>123</v>
      </c>
      <c r="X73" s="59" t="s">
        <v>123</v>
      </c>
      <c r="Y73" s="59" t="s">
        <v>123</v>
      </c>
      <c r="Z73" s="59" t="s">
        <v>123</v>
      </c>
      <c r="AA73" s="59" t="s">
        <v>123</v>
      </c>
      <c r="AB73" s="59" t="s">
        <v>123</v>
      </c>
      <c r="AC73" s="59" t="s">
        <v>123</v>
      </c>
      <c r="AD73" s="59" t="s">
        <v>123</v>
      </c>
      <c r="AE73" s="59" t="s">
        <v>123</v>
      </c>
      <c r="AF73" s="59" t="s">
        <v>123</v>
      </c>
      <c r="AG73" s="59" t="s">
        <v>123</v>
      </c>
    </row>
    <row r="74" spans="1:33" s="51" customFormat="1" ht="12" customHeight="1" x14ac:dyDescent="0.15">
      <c r="A74" s="143"/>
      <c r="B74" s="34">
        <f t="shared" si="0"/>
        <v>68</v>
      </c>
      <c r="C74" s="132"/>
      <c r="D74" s="132"/>
      <c r="E74" s="65" t="s">
        <v>463</v>
      </c>
      <c r="F74" s="65" t="s">
        <v>444</v>
      </c>
      <c r="G74" s="58" t="s">
        <v>439</v>
      </c>
      <c r="H74" s="137" t="s">
        <v>440</v>
      </c>
      <c r="I74" s="137">
        <v>1</v>
      </c>
      <c r="J74" s="67" t="s">
        <v>232</v>
      </c>
      <c r="K74" s="137" t="s">
        <v>138</v>
      </c>
      <c r="L74" s="137"/>
      <c r="M74" s="137" t="s">
        <v>534</v>
      </c>
      <c r="N74" s="137" t="s">
        <v>384</v>
      </c>
      <c r="O74" s="137" t="s">
        <v>385</v>
      </c>
      <c r="P74" s="137" t="s">
        <v>371</v>
      </c>
      <c r="Q74" s="138" t="s">
        <v>193</v>
      </c>
      <c r="R74" s="138" t="s">
        <v>123</v>
      </c>
      <c r="S74" s="59" t="s">
        <v>123</v>
      </c>
      <c r="T74" s="59" t="s">
        <v>123</v>
      </c>
      <c r="U74" s="59" t="s">
        <v>123</v>
      </c>
      <c r="V74" s="59" t="s">
        <v>123</v>
      </c>
      <c r="W74" s="59" t="s">
        <v>123</v>
      </c>
      <c r="X74" s="59" t="s">
        <v>123</v>
      </c>
      <c r="Y74" s="59" t="s">
        <v>123</v>
      </c>
      <c r="Z74" s="59" t="s">
        <v>123</v>
      </c>
      <c r="AA74" s="59" t="s">
        <v>123</v>
      </c>
      <c r="AB74" s="59" t="s">
        <v>123</v>
      </c>
      <c r="AC74" s="59" t="s">
        <v>123</v>
      </c>
      <c r="AD74" s="59" t="s">
        <v>123</v>
      </c>
      <c r="AE74" s="59" t="s">
        <v>123</v>
      </c>
      <c r="AF74" s="59" t="s">
        <v>123</v>
      </c>
      <c r="AG74" s="59" t="s">
        <v>123</v>
      </c>
    </row>
    <row r="75" spans="1:33" s="51" customFormat="1" ht="12" customHeight="1" x14ac:dyDescent="0.15">
      <c r="A75" s="143"/>
      <c r="B75" s="34">
        <f t="shared" si="0"/>
        <v>69</v>
      </c>
      <c r="C75" s="132"/>
      <c r="D75" s="132"/>
      <c r="E75" s="65" t="s">
        <v>463</v>
      </c>
      <c r="F75" s="65" t="s">
        <v>445</v>
      </c>
      <c r="G75" s="58" t="s">
        <v>439</v>
      </c>
      <c r="H75" s="137" t="s">
        <v>440</v>
      </c>
      <c r="I75" s="137">
        <v>1</v>
      </c>
      <c r="J75" s="67" t="s">
        <v>232</v>
      </c>
      <c r="K75" s="137" t="s">
        <v>138</v>
      </c>
      <c r="L75" s="137"/>
      <c r="M75" s="137" t="s">
        <v>534</v>
      </c>
      <c r="N75" s="137" t="s">
        <v>384</v>
      </c>
      <c r="O75" s="137" t="s">
        <v>385</v>
      </c>
      <c r="P75" s="137" t="s">
        <v>371</v>
      </c>
      <c r="Q75" s="138" t="s">
        <v>193</v>
      </c>
      <c r="R75" s="138" t="s">
        <v>123</v>
      </c>
      <c r="S75" s="59" t="s">
        <v>123</v>
      </c>
      <c r="T75" s="59" t="s">
        <v>123</v>
      </c>
      <c r="U75" s="59" t="s">
        <v>123</v>
      </c>
      <c r="V75" s="59" t="s">
        <v>123</v>
      </c>
      <c r="W75" s="59" t="s">
        <v>123</v>
      </c>
      <c r="X75" s="59" t="s">
        <v>123</v>
      </c>
      <c r="Y75" s="59" t="s">
        <v>123</v>
      </c>
      <c r="Z75" s="59" t="s">
        <v>123</v>
      </c>
      <c r="AA75" s="59" t="s">
        <v>123</v>
      </c>
      <c r="AB75" s="59" t="s">
        <v>123</v>
      </c>
      <c r="AC75" s="59" t="s">
        <v>123</v>
      </c>
      <c r="AD75" s="59" t="s">
        <v>123</v>
      </c>
      <c r="AE75" s="59" t="s">
        <v>123</v>
      </c>
      <c r="AF75" s="59" t="s">
        <v>123</v>
      </c>
      <c r="AG75" s="59" t="s">
        <v>123</v>
      </c>
    </row>
    <row r="76" spans="1:33" s="51" customFormat="1" ht="12" customHeight="1" x14ac:dyDescent="0.15">
      <c r="A76" s="143"/>
      <c r="B76" s="34">
        <f t="shared" si="0"/>
        <v>70</v>
      </c>
      <c r="C76" s="132"/>
      <c r="D76" s="132"/>
      <c r="E76" s="65" t="s">
        <v>463</v>
      </c>
      <c r="F76" s="65" t="s">
        <v>446</v>
      </c>
      <c r="G76" s="58" t="s">
        <v>439</v>
      </c>
      <c r="H76" s="137" t="s">
        <v>440</v>
      </c>
      <c r="I76" s="137">
        <v>1</v>
      </c>
      <c r="J76" s="67" t="s">
        <v>232</v>
      </c>
      <c r="K76" s="137" t="s">
        <v>138</v>
      </c>
      <c r="L76" s="137"/>
      <c r="M76" s="137" t="s">
        <v>534</v>
      </c>
      <c r="N76" s="137" t="s">
        <v>384</v>
      </c>
      <c r="O76" s="137" t="s">
        <v>385</v>
      </c>
      <c r="P76" s="137" t="s">
        <v>371</v>
      </c>
      <c r="Q76" s="138" t="s">
        <v>193</v>
      </c>
      <c r="R76" s="138" t="s">
        <v>123</v>
      </c>
      <c r="S76" s="59" t="s">
        <v>123</v>
      </c>
      <c r="T76" s="59" t="s">
        <v>123</v>
      </c>
      <c r="U76" s="59" t="s">
        <v>123</v>
      </c>
      <c r="V76" s="59" t="s">
        <v>123</v>
      </c>
      <c r="W76" s="59" t="s">
        <v>123</v>
      </c>
      <c r="X76" s="59" t="s">
        <v>123</v>
      </c>
      <c r="Y76" s="59" t="s">
        <v>123</v>
      </c>
      <c r="Z76" s="59" t="s">
        <v>123</v>
      </c>
      <c r="AA76" s="59" t="s">
        <v>123</v>
      </c>
      <c r="AB76" s="59" t="s">
        <v>123</v>
      </c>
      <c r="AC76" s="59" t="s">
        <v>123</v>
      </c>
      <c r="AD76" s="59" t="s">
        <v>123</v>
      </c>
      <c r="AE76" s="59" t="s">
        <v>123</v>
      </c>
      <c r="AF76" s="59" t="s">
        <v>123</v>
      </c>
      <c r="AG76" s="59" t="s">
        <v>123</v>
      </c>
    </row>
    <row r="77" spans="1:33" s="51" customFormat="1" ht="12" customHeight="1" x14ac:dyDescent="0.15">
      <c r="A77" s="143"/>
      <c r="B77" s="34">
        <f t="shared" si="0"/>
        <v>71</v>
      </c>
      <c r="C77" s="132"/>
      <c r="D77" s="132"/>
      <c r="E77" s="65" t="s">
        <v>463</v>
      </c>
      <c r="F77" s="65" t="s">
        <v>447</v>
      </c>
      <c r="G77" s="58" t="s">
        <v>439</v>
      </c>
      <c r="H77" s="137" t="s">
        <v>440</v>
      </c>
      <c r="I77" s="137">
        <v>1</v>
      </c>
      <c r="J77" s="67" t="s">
        <v>232</v>
      </c>
      <c r="K77" s="137" t="s">
        <v>138</v>
      </c>
      <c r="L77" s="137"/>
      <c r="M77" s="137" t="s">
        <v>534</v>
      </c>
      <c r="N77" s="137" t="s">
        <v>384</v>
      </c>
      <c r="O77" s="137" t="s">
        <v>385</v>
      </c>
      <c r="P77" s="137" t="s">
        <v>371</v>
      </c>
      <c r="Q77" s="138" t="s">
        <v>193</v>
      </c>
      <c r="R77" s="138" t="s">
        <v>123</v>
      </c>
      <c r="S77" s="59" t="s">
        <v>123</v>
      </c>
      <c r="T77" s="59" t="s">
        <v>123</v>
      </c>
      <c r="U77" s="59" t="s">
        <v>123</v>
      </c>
      <c r="V77" s="59" t="s">
        <v>123</v>
      </c>
      <c r="W77" s="59" t="s">
        <v>123</v>
      </c>
      <c r="X77" s="59" t="s">
        <v>123</v>
      </c>
      <c r="Y77" s="59" t="s">
        <v>123</v>
      </c>
      <c r="Z77" s="59" t="s">
        <v>123</v>
      </c>
      <c r="AA77" s="59" t="s">
        <v>123</v>
      </c>
      <c r="AB77" s="59" t="s">
        <v>123</v>
      </c>
      <c r="AC77" s="59" t="s">
        <v>123</v>
      </c>
      <c r="AD77" s="59" t="s">
        <v>123</v>
      </c>
      <c r="AE77" s="59" t="s">
        <v>123</v>
      </c>
      <c r="AF77" s="59" t="s">
        <v>123</v>
      </c>
      <c r="AG77" s="59" t="s">
        <v>123</v>
      </c>
    </row>
    <row r="78" spans="1:33" s="51" customFormat="1" ht="12" customHeight="1" x14ac:dyDescent="0.15">
      <c r="A78" s="143"/>
      <c r="B78" s="34">
        <f t="shared" si="0"/>
        <v>72</v>
      </c>
      <c r="C78" s="132"/>
      <c r="D78" s="132"/>
      <c r="E78" s="65" t="s">
        <v>463</v>
      </c>
      <c r="F78" s="65" t="s">
        <v>448</v>
      </c>
      <c r="G78" s="58" t="s">
        <v>439</v>
      </c>
      <c r="H78" s="137" t="s">
        <v>440</v>
      </c>
      <c r="I78" s="137">
        <v>1</v>
      </c>
      <c r="J78" s="67" t="s">
        <v>232</v>
      </c>
      <c r="K78" s="137" t="s">
        <v>138</v>
      </c>
      <c r="L78" s="137"/>
      <c r="M78" s="137" t="s">
        <v>534</v>
      </c>
      <c r="N78" s="137" t="s">
        <v>384</v>
      </c>
      <c r="O78" s="137" t="s">
        <v>385</v>
      </c>
      <c r="P78" s="137" t="s">
        <v>371</v>
      </c>
      <c r="Q78" s="138" t="s">
        <v>193</v>
      </c>
      <c r="R78" s="138" t="s">
        <v>123</v>
      </c>
      <c r="S78" s="59" t="s">
        <v>123</v>
      </c>
      <c r="T78" s="59" t="s">
        <v>123</v>
      </c>
      <c r="U78" s="59" t="s">
        <v>123</v>
      </c>
      <c r="V78" s="59" t="s">
        <v>123</v>
      </c>
      <c r="W78" s="59" t="s">
        <v>123</v>
      </c>
      <c r="X78" s="59" t="s">
        <v>123</v>
      </c>
      <c r="Y78" s="59" t="s">
        <v>123</v>
      </c>
      <c r="Z78" s="59" t="s">
        <v>123</v>
      </c>
      <c r="AA78" s="59" t="s">
        <v>123</v>
      </c>
      <c r="AB78" s="59" t="s">
        <v>123</v>
      </c>
      <c r="AC78" s="59" t="s">
        <v>123</v>
      </c>
      <c r="AD78" s="59" t="s">
        <v>123</v>
      </c>
      <c r="AE78" s="59" t="s">
        <v>123</v>
      </c>
      <c r="AF78" s="59" t="s">
        <v>123</v>
      </c>
      <c r="AG78" s="59" t="s">
        <v>123</v>
      </c>
    </row>
    <row r="79" spans="1:33" s="51" customFormat="1" ht="12" customHeight="1" x14ac:dyDescent="0.15">
      <c r="A79" s="143"/>
      <c r="B79" s="34">
        <f t="shared" si="0"/>
        <v>73</v>
      </c>
      <c r="C79" s="132"/>
      <c r="D79" s="132"/>
      <c r="E79" s="65" t="s">
        <v>463</v>
      </c>
      <c r="F79" s="65" t="s">
        <v>449</v>
      </c>
      <c r="G79" s="58" t="s">
        <v>439</v>
      </c>
      <c r="H79" s="137" t="s">
        <v>440</v>
      </c>
      <c r="I79" s="137">
        <v>1</v>
      </c>
      <c r="J79" s="67" t="s">
        <v>232</v>
      </c>
      <c r="K79" s="137" t="s">
        <v>138</v>
      </c>
      <c r="L79" s="137"/>
      <c r="M79" s="137" t="s">
        <v>534</v>
      </c>
      <c r="N79" s="137" t="s">
        <v>384</v>
      </c>
      <c r="O79" s="137" t="s">
        <v>385</v>
      </c>
      <c r="P79" s="137" t="s">
        <v>371</v>
      </c>
      <c r="Q79" s="138" t="s">
        <v>193</v>
      </c>
      <c r="R79" s="138" t="s">
        <v>123</v>
      </c>
      <c r="S79" s="59" t="s">
        <v>123</v>
      </c>
      <c r="T79" s="59" t="s">
        <v>123</v>
      </c>
      <c r="U79" s="59" t="s">
        <v>123</v>
      </c>
      <c r="V79" s="59" t="s">
        <v>123</v>
      </c>
      <c r="W79" s="59" t="s">
        <v>123</v>
      </c>
      <c r="X79" s="59" t="s">
        <v>123</v>
      </c>
      <c r="Y79" s="59" t="s">
        <v>123</v>
      </c>
      <c r="Z79" s="59" t="s">
        <v>123</v>
      </c>
      <c r="AA79" s="59" t="s">
        <v>123</v>
      </c>
      <c r="AB79" s="59" t="s">
        <v>123</v>
      </c>
      <c r="AC79" s="59" t="s">
        <v>123</v>
      </c>
      <c r="AD79" s="59" t="s">
        <v>123</v>
      </c>
      <c r="AE79" s="59" t="s">
        <v>123</v>
      </c>
      <c r="AF79" s="59" t="s">
        <v>123</v>
      </c>
      <c r="AG79" s="59" t="s">
        <v>123</v>
      </c>
    </row>
    <row r="80" spans="1:33" s="51" customFormat="1" ht="12" customHeight="1" x14ac:dyDescent="0.15">
      <c r="A80" s="143"/>
      <c r="B80" s="34">
        <f t="shared" si="0"/>
        <v>74</v>
      </c>
      <c r="C80" s="132"/>
      <c r="D80" s="132"/>
      <c r="E80" s="65" t="s">
        <v>463</v>
      </c>
      <c r="F80" s="65" t="s">
        <v>450</v>
      </c>
      <c r="G80" s="58" t="s">
        <v>439</v>
      </c>
      <c r="H80" s="137" t="s">
        <v>440</v>
      </c>
      <c r="I80" s="137">
        <v>1</v>
      </c>
      <c r="J80" s="67" t="s">
        <v>232</v>
      </c>
      <c r="K80" s="137" t="s">
        <v>138</v>
      </c>
      <c r="L80" s="137"/>
      <c r="M80" s="137" t="s">
        <v>534</v>
      </c>
      <c r="N80" s="137" t="s">
        <v>384</v>
      </c>
      <c r="O80" s="137" t="s">
        <v>385</v>
      </c>
      <c r="P80" s="137" t="s">
        <v>371</v>
      </c>
      <c r="Q80" s="138" t="s">
        <v>193</v>
      </c>
      <c r="R80" s="138" t="s">
        <v>123</v>
      </c>
      <c r="S80" s="59" t="s">
        <v>123</v>
      </c>
      <c r="T80" s="59" t="s">
        <v>123</v>
      </c>
      <c r="U80" s="59" t="s">
        <v>123</v>
      </c>
      <c r="V80" s="59" t="s">
        <v>123</v>
      </c>
      <c r="W80" s="59" t="s">
        <v>123</v>
      </c>
      <c r="X80" s="59" t="s">
        <v>123</v>
      </c>
      <c r="Y80" s="59" t="s">
        <v>123</v>
      </c>
      <c r="Z80" s="59" t="s">
        <v>123</v>
      </c>
      <c r="AA80" s="59" t="s">
        <v>123</v>
      </c>
      <c r="AB80" s="59" t="s">
        <v>123</v>
      </c>
      <c r="AC80" s="59" t="s">
        <v>123</v>
      </c>
      <c r="AD80" s="59" t="s">
        <v>123</v>
      </c>
      <c r="AE80" s="59" t="s">
        <v>123</v>
      </c>
      <c r="AF80" s="59" t="s">
        <v>123</v>
      </c>
      <c r="AG80" s="59" t="s">
        <v>123</v>
      </c>
    </row>
    <row r="81" spans="1:33" s="51" customFormat="1" ht="12" customHeight="1" x14ac:dyDescent="0.15">
      <c r="A81" s="143"/>
      <c r="B81" s="34">
        <f t="shared" ref="B81:B144" si="1">B80+1</f>
        <v>75</v>
      </c>
      <c r="C81" s="132"/>
      <c r="D81" s="132"/>
      <c r="E81" s="65" t="s">
        <v>463</v>
      </c>
      <c r="F81" s="65" t="s">
        <v>451</v>
      </c>
      <c r="G81" s="58" t="s">
        <v>439</v>
      </c>
      <c r="H81" s="137" t="s">
        <v>440</v>
      </c>
      <c r="I81" s="137">
        <v>1</v>
      </c>
      <c r="J81" s="67" t="s">
        <v>232</v>
      </c>
      <c r="K81" s="137" t="s">
        <v>138</v>
      </c>
      <c r="L81" s="137"/>
      <c r="M81" s="137" t="s">
        <v>534</v>
      </c>
      <c r="N81" s="137" t="s">
        <v>384</v>
      </c>
      <c r="O81" s="137" t="s">
        <v>385</v>
      </c>
      <c r="P81" s="137" t="s">
        <v>371</v>
      </c>
      <c r="Q81" s="138" t="s">
        <v>193</v>
      </c>
      <c r="R81" s="138" t="s">
        <v>123</v>
      </c>
      <c r="S81" s="59" t="s">
        <v>123</v>
      </c>
      <c r="T81" s="59" t="s">
        <v>123</v>
      </c>
      <c r="U81" s="59" t="s">
        <v>123</v>
      </c>
      <c r="V81" s="59" t="s">
        <v>123</v>
      </c>
      <c r="W81" s="59" t="s">
        <v>123</v>
      </c>
      <c r="X81" s="59" t="s">
        <v>123</v>
      </c>
      <c r="Y81" s="59" t="s">
        <v>123</v>
      </c>
      <c r="Z81" s="59" t="s">
        <v>123</v>
      </c>
      <c r="AA81" s="59" t="s">
        <v>123</v>
      </c>
      <c r="AB81" s="59" t="s">
        <v>123</v>
      </c>
      <c r="AC81" s="59" t="s">
        <v>123</v>
      </c>
      <c r="AD81" s="59" t="s">
        <v>123</v>
      </c>
      <c r="AE81" s="59" t="s">
        <v>123</v>
      </c>
      <c r="AF81" s="59" t="s">
        <v>123</v>
      </c>
      <c r="AG81" s="59" t="s">
        <v>123</v>
      </c>
    </row>
    <row r="82" spans="1:33" s="51" customFormat="1" ht="12" customHeight="1" x14ac:dyDescent="0.15">
      <c r="A82" s="143"/>
      <c r="B82" s="34">
        <f t="shared" si="1"/>
        <v>76</v>
      </c>
      <c r="C82" s="132"/>
      <c r="D82" s="132"/>
      <c r="E82" s="60" t="s">
        <v>464</v>
      </c>
      <c r="F82" s="60" t="s">
        <v>453</v>
      </c>
      <c r="G82" s="61" t="s">
        <v>439</v>
      </c>
      <c r="H82" s="137" t="s">
        <v>454</v>
      </c>
      <c r="I82" s="137">
        <v>1</v>
      </c>
      <c r="J82" s="67" t="s">
        <v>232</v>
      </c>
      <c r="K82" s="137" t="s">
        <v>455</v>
      </c>
      <c r="L82" s="137"/>
      <c r="M82" s="137" t="s">
        <v>534</v>
      </c>
      <c r="N82" s="137" t="s">
        <v>384</v>
      </c>
      <c r="O82" s="137" t="s">
        <v>456</v>
      </c>
      <c r="P82" s="137" t="s">
        <v>371</v>
      </c>
      <c r="Q82" s="138" t="s">
        <v>458</v>
      </c>
      <c r="R82" s="138" t="s">
        <v>123</v>
      </c>
      <c r="S82" s="59" t="s">
        <v>123</v>
      </c>
      <c r="T82" s="59" t="s">
        <v>123</v>
      </c>
      <c r="U82" s="59" t="s">
        <v>123</v>
      </c>
      <c r="V82" s="59" t="s">
        <v>123</v>
      </c>
      <c r="W82" s="59" t="s">
        <v>123</v>
      </c>
      <c r="X82" s="59" t="s">
        <v>123</v>
      </c>
      <c r="Y82" s="59" t="s">
        <v>123</v>
      </c>
      <c r="Z82" s="59" t="s">
        <v>123</v>
      </c>
      <c r="AA82" s="59" t="s">
        <v>123</v>
      </c>
      <c r="AB82" s="59" t="s">
        <v>123</v>
      </c>
      <c r="AC82" s="59" t="s">
        <v>123</v>
      </c>
      <c r="AD82" s="59" t="s">
        <v>123</v>
      </c>
      <c r="AE82" s="59" t="s">
        <v>123</v>
      </c>
      <c r="AF82" s="59" t="s">
        <v>123</v>
      </c>
      <c r="AG82" s="59" t="s">
        <v>123</v>
      </c>
    </row>
    <row r="83" spans="1:33" s="51" customFormat="1" ht="12" customHeight="1" x14ac:dyDescent="0.15">
      <c r="A83" s="143"/>
      <c r="B83" s="34">
        <f t="shared" si="1"/>
        <v>77</v>
      </c>
      <c r="C83" s="132"/>
      <c r="D83" s="132"/>
      <c r="E83" s="60" t="s">
        <v>464</v>
      </c>
      <c r="F83" s="60" t="s">
        <v>459</v>
      </c>
      <c r="G83" s="61" t="s">
        <v>439</v>
      </c>
      <c r="H83" s="137" t="s">
        <v>454</v>
      </c>
      <c r="I83" s="137">
        <v>1</v>
      </c>
      <c r="J83" s="67" t="s">
        <v>232</v>
      </c>
      <c r="K83" s="137" t="s">
        <v>455</v>
      </c>
      <c r="L83" s="137"/>
      <c r="M83" s="137" t="s">
        <v>534</v>
      </c>
      <c r="N83" s="137" t="s">
        <v>384</v>
      </c>
      <c r="O83" s="137" t="s">
        <v>456</v>
      </c>
      <c r="P83" s="137" t="s">
        <v>371</v>
      </c>
      <c r="Q83" s="138" t="s">
        <v>458</v>
      </c>
      <c r="R83" s="138" t="s">
        <v>123</v>
      </c>
      <c r="S83" s="59" t="s">
        <v>123</v>
      </c>
      <c r="T83" s="59" t="s">
        <v>123</v>
      </c>
      <c r="U83" s="59" t="s">
        <v>123</v>
      </c>
      <c r="V83" s="59" t="s">
        <v>123</v>
      </c>
      <c r="W83" s="59" t="s">
        <v>123</v>
      </c>
      <c r="X83" s="59" t="s">
        <v>123</v>
      </c>
      <c r="Y83" s="59" t="s">
        <v>123</v>
      </c>
      <c r="Z83" s="59" t="s">
        <v>123</v>
      </c>
      <c r="AA83" s="59" t="s">
        <v>123</v>
      </c>
      <c r="AB83" s="59" t="s">
        <v>123</v>
      </c>
      <c r="AC83" s="59" t="s">
        <v>123</v>
      </c>
      <c r="AD83" s="59" t="s">
        <v>123</v>
      </c>
      <c r="AE83" s="59" t="s">
        <v>123</v>
      </c>
      <c r="AF83" s="59" t="s">
        <v>123</v>
      </c>
      <c r="AG83" s="59" t="s">
        <v>123</v>
      </c>
    </row>
    <row r="84" spans="1:33" s="51" customFormat="1" ht="12" customHeight="1" x14ac:dyDescent="0.15">
      <c r="A84" s="143"/>
      <c r="B84" s="34">
        <f t="shared" si="1"/>
        <v>78</v>
      </c>
      <c r="C84" s="132"/>
      <c r="D84" s="132"/>
      <c r="E84" s="60" t="s">
        <v>464</v>
      </c>
      <c r="F84" s="60" t="s">
        <v>460</v>
      </c>
      <c r="G84" s="61" t="s">
        <v>439</v>
      </c>
      <c r="H84" s="137" t="s">
        <v>454</v>
      </c>
      <c r="I84" s="137">
        <v>1</v>
      </c>
      <c r="J84" s="67" t="s">
        <v>232</v>
      </c>
      <c r="K84" s="137" t="s">
        <v>455</v>
      </c>
      <c r="L84" s="137"/>
      <c r="M84" s="137" t="s">
        <v>534</v>
      </c>
      <c r="N84" s="137" t="s">
        <v>384</v>
      </c>
      <c r="O84" s="137" t="s">
        <v>456</v>
      </c>
      <c r="P84" s="137" t="s">
        <v>371</v>
      </c>
      <c r="Q84" s="138" t="s">
        <v>458</v>
      </c>
      <c r="R84" s="138" t="s">
        <v>123</v>
      </c>
      <c r="S84" s="59" t="s">
        <v>123</v>
      </c>
      <c r="T84" s="59" t="s">
        <v>123</v>
      </c>
      <c r="U84" s="59" t="s">
        <v>123</v>
      </c>
      <c r="V84" s="59" t="s">
        <v>123</v>
      </c>
      <c r="W84" s="59" t="s">
        <v>123</v>
      </c>
      <c r="X84" s="59" t="s">
        <v>123</v>
      </c>
      <c r="Y84" s="59" t="s">
        <v>123</v>
      </c>
      <c r="Z84" s="59" t="s">
        <v>123</v>
      </c>
      <c r="AA84" s="59" t="s">
        <v>123</v>
      </c>
      <c r="AB84" s="59" t="s">
        <v>123</v>
      </c>
      <c r="AC84" s="59" t="s">
        <v>123</v>
      </c>
      <c r="AD84" s="59" t="s">
        <v>123</v>
      </c>
      <c r="AE84" s="59" t="s">
        <v>123</v>
      </c>
      <c r="AF84" s="59" t="s">
        <v>123</v>
      </c>
      <c r="AG84" s="59" t="s">
        <v>123</v>
      </c>
    </row>
    <row r="85" spans="1:33" s="51" customFormat="1" ht="12" customHeight="1" x14ac:dyDescent="0.15">
      <c r="A85" s="143"/>
      <c r="B85" s="34">
        <f t="shared" si="1"/>
        <v>79</v>
      </c>
      <c r="C85" s="132"/>
      <c r="D85" s="132"/>
      <c r="E85" s="60" t="s">
        <v>464</v>
      </c>
      <c r="F85" s="60" t="s">
        <v>461</v>
      </c>
      <c r="G85" s="61" t="s">
        <v>439</v>
      </c>
      <c r="H85" s="137" t="s">
        <v>454</v>
      </c>
      <c r="I85" s="137">
        <v>1</v>
      </c>
      <c r="J85" s="67" t="s">
        <v>232</v>
      </c>
      <c r="K85" s="137" t="s">
        <v>455</v>
      </c>
      <c r="L85" s="137"/>
      <c r="M85" s="137" t="s">
        <v>534</v>
      </c>
      <c r="N85" s="137" t="s">
        <v>384</v>
      </c>
      <c r="O85" s="137" t="s">
        <v>456</v>
      </c>
      <c r="P85" s="137" t="s">
        <v>371</v>
      </c>
      <c r="Q85" s="138" t="s">
        <v>458</v>
      </c>
      <c r="R85" s="138" t="s">
        <v>123</v>
      </c>
      <c r="S85" s="59" t="s">
        <v>123</v>
      </c>
      <c r="T85" s="59" t="s">
        <v>123</v>
      </c>
      <c r="U85" s="59" t="s">
        <v>123</v>
      </c>
      <c r="V85" s="59" t="s">
        <v>123</v>
      </c>
      <c r="W85" s="59" t="s">
        <v>123</v>
      </c>
      <c r="X85" s="59" t="s">
        <v>123</v>
      </c>
      <c r="Y85" s="59" t="s">
        <v>123</v>
      </c>
      <c r="Z85" s="59" t="s">
        <v>123</v>
      </c>
      <c r="AA85" s="59" t="s">
        <v>123</v>
      </c>
      <c r="AB85" s="59" t="s">
        <v>123</v>
      </c>
      <c r="AC85" s="59" t="s">
        <v>123</v>
      </c>
      <c r="AD85" s="59" t="s">
        <v>123</v>
      </c>
      <c r="AE85" s="59" t="s">
        <v>123</v>
      </c>
      <c r="AF85" s="59" t="s">
        <v>123</v>
      </c>
      <c r="AG85" s="59" t="s">
        <v>123</v>
      </c>
    </row>
    <row r="86" spans="1:33" s="51" customFormat="1" ht="12" customHeight="1" x14ac:dyDescent="0.15">
      <c r="A86" s="143"/>
      <c r="B86" s="34">
        <f t="shared" si="1"/>
        <v>80</v>
      </c>
      <c r="C86" s="132"/>
      <c r="D86" s="133"/>
      <c r="E86" s="60" t="s">
        <v>464</v>
      </c>
      <c r="F86" s="60" t="s">
        <v>462</v>
      </c>
      <c r="G86" s="61" t="s">
        <v>439</v>
      </c>
      <c r="H86" s="137" t="s">
        <v>454</v>
      </c>
      <c r="I86" s="137">
        <v>1</v>
      </c>
      <c r="J86" s="67" t="s">
        <v>232</v>
      </c>
      <c r="K86" s="137" t="s">
        <v>455</v>
      </c>
      <c r="L86" s="137"/>
      <c r="M86" s="137" t="s">
        <v>534</v>
      </c>
      <c r="N86" s="137" t="s">
        <v>384</v>
      </c>
      <c r="O86" s="137" t="s">
        <v>456</v>
      </c>
      <c r="P86" s="137" t="s">
        <v>371</v>
      </c>
      <c r="Q86" s="138" t="s">
        <v>458</v>
      </c>
      <c r="R86" s="138" t="s">
        <v>123</v>
      </c>
      <c r="S86" s="59" t="s">
        <v>123</v>
      </c>
      <c r="T86" s="59" t="s">
        <v>123</v>
      </c>
      <c r="U86" s="59" t="s">
        <v>123</v>
      </c>
      <c r="V86" s="59" t="s">
        <v>123</v>
      </c>
      <c r="W86" s="59" t="s">
        <v>123</v>
      </c>
      <c r="X86" s="59" t="s">
        <v>123</v>
      </c>
      <c r="Y86" s="59" t="s">
        <v>123</v>
      </c>
      <c r="Z86" s="59" t="s">
        <v>123</v>
      </c>
      <c r="AA86" s="59" t="s">
        <v>123</v>
      </c>
      <c r="AB86" s="59" t="s">
        <v>123</v>
      </c>
      <c r="AC86" s="59" t="s">
        <v>123</v>
      </c>
      <c r="AD86" s="59" t="s">
        <v>123</v>
      </c>
      <c r="AE86" s="59" t="s">
        <v>123</v>
      </c>
      <c r="AF86" s="59" t="s">
        <v>123</v>
      </c>
      <c r="AG86" s="59" t="s">
        <v>123</v>
      </c>
    </row>
    <row r="87" spans="1:33" s="51" customFormat="1" ht="12" customHeight="1" x14ac:dyDescent="0.15">
      <c r="A87" s="143"/>
      <c r="B87" s="34">
        <f t="shared" si="1"/>
        <v>81</v>
      </c>
      <c r="C87" s="132"/>
      <c r="D87" s="131" t="s">
        <v>465</v>
      </c>
      <c r="E87" s="65" t="s">
        <v>437</v>
      </c>
      <c r="F87" s="65" t="s">
        <v>466</v>
      </c>
      <c r="G87" s="52" t="s">
        <v>439</v>
      </c>
      <c r="H87" s="137" t="s">
        <v>137</v>
      </c>
      <c r="I87" s="137">
        <v>1</v>
      </c>
      <c r="J87" s="67" t="s">
        <v>232</v>
      </c>
      <c r="K87" s="137" t="s">
        <v>138</v>
      </c>
      <c r="L87" s="137"/>
      <c r="M87" s="137" t="s">
        <v>534</v>
      </c>
      <c r="N87" s="137" t="s">
        <v>384</v>
      </c>
      <c r="O87" s="137" t="s">
        <v>467</v>
      </c>
      <c r="P87" s="137" t="s">
        <v>371</v>
      </c>
      <c r="Q87" s="138" t="s">
        <v>193</v>
      </c>
      <c r="R87" s="138" t="s">
        <v>123</v>
      </c>
      <c r="S87" s="59" t="s">
        <v>123</v>
      </c>
      <c r="T87" s="59" t="s">
        <v>123</v>
      </c>
      <c r="U87" s="59" t="s">
        <v>123</v>
      </c>
      <c r="V87" s="59" t="s">
        <v>123</v>
      </c>
      <c r="W87" s="59" t="s">
        <v>123</v>
      </c>
      <c r="X87" s="59" t="s">
        <v>123</v>
      </c>
      <c r="Y87" s="59" t="s">
        <v>123</v>
      </c>
      <c r="Z87" s="59" t="s">
        <v>123</v>
      </c>
      <c r="AA87" s="59" t="s">
        <v>123</v>
      </c>
      <c r="AB87" s="59" t="s">
        <v>123</v>
      </c>
      <c r="AC87" s="59" t="s">
        <v>123</v>
      </c>
      <c r="AD87" s="59" t="s">
        <v>123</v>
      </c>
      <c r="AE87" s="59" t="s">
        <v>123</v>
      </c>
      <c r="AF87" s="59" t="s">
        <v>123</v>
      </c>
      <c r="AG87" s="59" t="s">
        <v>123</v>
      </c>
    </row>
    <row r="88" spans="1:33" s="51" customFormat="1" ht="12" customHeight="1" x14ac:dyDescent="0.15">
      <c r="A88" s="143"/>
      <c r="B88" s="34">
        <f t="shared" si="1"/>
        <v>82</v>
      </c>
      <c r="C88" s="132"/>
      <c r="D88" s="132"/>
      <c r="E88" s="65" t="s">
        <v>437</v>
      </c>
      <c r="F88" s="65" t="s">
        <v>468</v>
      </c>
      <c r="G88" s="52" t="s">
        <v>439</v>
      </c>
      <c r="H88" s="137" t="s">
        <v>137</v>
      </c>
      <c r="I88" s="137">
        <v>1</v>
      </c>
      <c r="J88" s="67" t="s">
        <v>232</v>
      </c>
      <c r="K88" s="137" t="s">
        <v>138</v>
      </c>
      <c r="L88" s="137"/>
      <c r="M88" s="137" t="s">
        <v>534</v>
      </c>
      <c r="N88" s="137" t="s">
        <v>384</v>
      </c>
      <c r="O88" s="137" t="s">
        <v>467</v>
      </c>
      <c r="P88" s="137" t="s">
        <v>371</v>
      </c>
      <c r="Q88" s="138" t="s">
        <v>193</v>
      </c>
      <c r="R88" s="138" t="s">
        <v>123</v>
      </c>
      <c r="S88" s="59" t="s">
        <v>123</v>
      </c>
      <c r="T88" s="59" t="s">
        <v>123</v>
      </c>
      <c r="U88" s="59" t="s">
        <v>123</v>
      </c>
      <c r="V88" s="59" t="s">
        <v>123</v>
      </c>
      <c r="W88" s="59" t="s">
        <v>123</v>
      </c>
      <c r="X88" s="59" t="s">
        <v>123</v>
      </c>
      <c r="Y88" s="59" t="s">
        <v>123</v>
      </c>
      <c r="Z88" s="59" t="s">
        <v>123</v>
      </c>
      <c r="AA88" s="59" t="s">
        <v>123</v>
      </c>
      <c r="AB88" s="59" t="s">
        <v>123</v>
      </c>
      <c r="AC88" s="59" t="s">
        <v>123</v>
      </c>
      <c r="AD88" s="59" t="s">
        <v>123</v>
      </c>
      <c r="AE88" s="59" t="s">
        <v>123</v>
      </c>
      <c r="AF88" s="59" t="s">
        <v>123</v>
      </c>
      <c r="AG88" s="59" t="s">
        <v>123</v>
      </c>
    </row>
    <row r="89" spans="1:33" s="51" customFormat="1" ht="12" customHeight="1" x14ac:dyDescent="0.15">
      <c r="A89" s="143"/>
      <c r="B89" s="34">
        <f t="shared" si="1"/>
        <v>83</v>
      </c>
      <c r="C89" s="132"/>
      <c r="D89" s="132"/>
      <c r="E89" s="65" t="s">
        <v>437</v>
      </c>
      <c r="F89" s="65" t="s">
        <v>469</v>
      </c>
      <c r="G89" s="52" t="s">
        <v>439</v>
      </c>
      <c r="H89" s="137" t="s">
        <v>137</v>
      </c>
      <c r="I89" s="137">
        <v>1</v>
      </c>
      <c r="J89" s="67" t="s">
        <v>232</v>
      </c>
      <c r="K89" s="137" t="s">
        <v>138</v>
      </c>
      <c r="L89" s="137"/>
      <c r="M89" s="137" t="s">
        <v>534</v>
      </c>
      <c r="N89" s="137" t="s">
        <v>384</v>
      </c>
      <c r="O89" s="137" t="s">
        <v>467</v>
      </c>
      <c r="P89" s="137" t="s">
        <v>371</v>
      </c>
      <c r="Q89" s="138" t="s">
        <v>193</v>
      </c>
      <c r="R89" s="138" t="s">
        <v>123</v>
      </c>
      <c r="S89" s="59" t="s">
        <v>123</v>
      </c>
      <c r="T89" s="59" t="s">
        <v>123</v>
      </c>
      <c r="U89" s="59" t="s">
        <v>123</v>
      </c>
      <c r="V89" s="59" t="s">
        <v>123</v>
      </c>
      <c r="W89" s="59" t="s">
        <v>123</v>
      </c>
      <c r="X89" s="59" t="s">
        <v>123</v>
      </c>
      <c r="Y89" s="59" t="s">
        <v>123</v>
      </c>
      <c r="Z89" s="59" t="s">
        <v>123</v>
      </c>
      <c r="AA89" s="59" t="s">
        <v>123</v>
      </c>
      <c r="AB89" s="59" t="s">
        <v>123</v>
      </c>
      <c r="AC89" s="59" t="s">
        <v>123</v>
      </c>
      <c r="AD89" s="59" t="s">
        <v>123</v>
      </c>
      <c r="AE89" s="59" t="s">
        <v>123</v>
      </c>
      <c r="AF89" s="59" t="s">
        <v>123</v>
      </c>
      <c r="AG89" s="59" t="s">
        <v>123</v>
      </c>
    </row>
    <row r="90" spans="1:33" s="51" customFormat="1" ht="12" customHeight="1" x14ac:dyDescent="0.15">
      <c r="A90" s="143"/>
      <c r="B90" s="34">
        <f t="shared" si="1"/>
        <v>84</v>
      </c>
      <c r="C90" s="132"/>
      <c r="D90" s="132"/>
      <c r="E90" s="65" t="s">
        <v>437</v>
      </c>
      <c r="F90" s="65" t="s">
        <v>470</v>
      </c>
      <c r="G90" s="52" t="s">
        <v>439</v>
      </c>
      <c r="H90" s="137" t="s">
        <v>137</v>
      </c>
      <c r="I90" s="137">
        <v>1</v>
      </c>
      <c r="J90" s="67" t="s">
        <v>232</v>
      </c>
      <c r="K90" s="137" t="s">
        <v>138</v>
      </c>
      <c r="L90" s="137"/>
      <c r="M90" s="137" t="s">
        <v>534</v>
      </c>
      <c r="N90" s="137" t="s">
        <v>384</v>
      </c>
      <c r="O90" s="137" t="s">
        <v>467</v>
      </c>
      <c r="P90" s="137" t="s">
        <v>371</v>
      </c>
      <c r="Q90" s="138" t="s">
        <v>193</v>
      </c>
      <c r="R90" s="138" t="s">
        <v>123</v>
      </c>
      <c r="S90" s="59" t="s">
        <v>123</v>
      </c>
      <c r="T90" s="59" t="s">
        <v>123</v>
      </c>
      <c r="U90" s="59" t="s">
        <v>123</v>
      </c>
      <c r="V90" s="59" t="s">
        <v>123</v>
      </c>
      <c r="W90" s="59" t="s">
        <v>123</v>
      </c>
      <c r="X90" s="59" t="s">
        <v>123</v>
      </c>
      <c r="Y90" s="59" t="s">
        <v>123</v>
      </c>
      <c r="Z90" s="59" t="s">
        <v>123</v>
      </c>
      <c r="AA90" s="59" t="s">
        <v>123</v>
      </c>
      <c r="AB90" s="59" t="s">
        <v>123</v>
      </c>
      <c r="AC90" s="59" t="s">
        <v>123</v>
      </c>
      <c r="AD90" s="59" t="s">
        <v>123</v>
      </c>
      <c r="AE90" s="59" t="s">
        <v>123</v>
      </c>
      <c r="AF90" s="59" t="s">
        <v>123</v>
      </c>
      <c r="AG90" s="59" t="s">
        <v>123</v>
      </c>
    </row>
    <row r="91" spans="1:33" s="51" customFormat="1" ht="12" customHeight="1" x14ac:dyDescent="0.15">
      <c r="A91" s="143"/>
      <c r="B91" s="34">
        <f t="shared" si="1"/>
        <v>85</v>
      </c>
      <c r="C91" s="132"/>
      <c r="D91" s="132"/>
      <c r="E91" s="65" t="s">
        <v>437</v>
      </c>
      <c r="F91" s="65" t="s">
        <v>471</v>
      </c>
      <c r="G91" s="52" t="s">
        <v>439</v>
      </c>
      <c r="H91" s="137" t="s">
        <v>137</v>
      </c>
      <c r="I91" s="137">
        <v>1</v>
      </c>
      <c r="J91" s="67" t="s">
        <v>232</v>
      </c>
      <c r="K91" s="137" t="s">
        <v>138</v>
      </c>
      <c r="L91" s="137"/>
      <c r="M91" s="137" t="s">
        <v>534</v>
      </c>
      <c r="N91" s="137" t="s">
        <v>384</v>
      </c>
      <c r="O91" s="137" t="s">
        <v>467</v>
      </c>
      <c r="P91" s="137" t="s">
        <v>371</v>
      </c>
      <c r="Q91" s="138" t="s">
        <v>193</v>
      </c>
      <c r="R91" s="138" t="s">
        <v>123</v>
      </c>
      <c r="S91" s="59" t="s">
        <v>123</v>
      </c>
      <c r="T91" s="59" t="s">
        <v>123</v>
      </c>
      <c r="U91" s="59" t="s">
        <v>123</v>
      </c>
      <c r="V91" s="59" t="s">
        <v>123</v>
      </c>
      <c r="W91" s="59" t="s">
        <v>123</v>
      </c>
      <c r="X91" s="59" t="s">
        <v>123</v>
      </c>
      <c r="Y91" s="59" t="s">
        <v>123</v>
      </c>
      <c r="Z91" s="59" t="s">
        <v>123</v>
      </c>
      <c r="AA91" s="59" t="s">
        <v>123</v>
      </c>
      <c r="AB91" s="59" t="s">
        <v>123</v>
      </c>
      <c r="AC91" s="59" t="s">
        <v>123</v>
      </c>
      <c r="AD91" s="59" t="s">
        <v>123</v>
      </c>
      <c r="AE91" s="59" t="s">
        <v>123</v>
      </c>
      <c r="AF91" s="59" t="s">
        <v>123</v>
      </c>
      <c r="AG91" s="59" t="s">
        <v>123</v>
      </c>
    </row>
    <row r="92" spans="1:33" s="51" customFormat="1" ht="12" customHeight="1" x14ac:dyDescent="0.15">
      <c r="A92" s="143"/>
      <c r="B92" s="34">
        <f t="shared" si="1"/>
        <v>86</v>
      </c>
      <c r="C92" s="132"/>
      <c r="D92" s="132"/>
      <c r="E92" s="65" t="s">
        <v>437</v>
      </c>
      <c r="F92" s="65" t="s">
        <v>472</v>
      </c>
      <c r="G92" s="52" t="s">
        <v>439</v>
      </c>
      <c r="H92" s="137" t="s">
        <v>137</v>
      </c>
      <c r="I92" s="137">
        <v>1</v>
      </c>
      <c r="J92" s="67" t="s">
        <v>232</v>
      </c>
      <c r="K92" s="137" t="s">
        <v>138</v>
      </c>
      <c r="L92" s="137"/>
      <c r="M92" s="137" t="s">
        <v>534</v>
      </c>
      <c r="N92" s="137" t="s">
        <v>384</v>
      </c>
      <c r="O92" s="137" t="s">
        <v>467</v>
      </c>
      <c r="P92" s="137" t="s">
        <v>371</v>
      </c>
      <c r="Q92" s="138" t="s">
        <v>193</v>
      </c>
      <c r="R92" s="138" t="s">
        <v>123</v>
      </c>
      <c r="S92" s="59" t="s">
        <v>123</v>
      </c>
      <c r="T92" s="59" t="s">
        <v>123</v>
      </c>
      <c r="U92" s="59" t="s">
        <v>123</v>
      </c>
      <c r="V92" s="59" t="s">
        <v>123</v>
      </c>
      <c r="W92" s="59" t="s">
        <v>123</v>
      </c>
      <c r="X92" s="59" t="s">
        <v>123</v>
      </c>
      <c r="Y92" s="59" t="s">
        <v>123</v>
      </c>
      <c r="Z92" s="59" t="s">
        <v>123</v>
      </c>
      <c r="AA92" s="59" t="s">
        <v>123</v>
      </c>
      <c r="AB92" s="59" t="s">
        <v>123</v>
      </c>
      <c r="AC92" s="59" t="s">
        <v>123</v>
      </c>
      <c r="AD92" s="59" t="s">
        <v>123</v>
      </c>
      <c r="AE92" s="59" t="s">
        <v>123</v>
      </c>
      <c r="AF92" s="59" t="s">
        <v>123</v>
      </c>
      <c r="AG92" s="59" t="s">
        <v>123</v>
      </c>
    </row>
    <row r="93" spans="1:33" s="51" customFormat="1" ht="12" customHeight="1" x14ac:dyDescent="0.15">
      <c r="A93" s="143"/>
      <c r="B93" s="34">
        <f t="shared" si="1"/>
        <v>87</v>
      </c>
      <c r="C93" s="132"/>
      <c r="D93" s="132"/>
      <c r="E93" s="65" t="s">
        <v>437</v>
      </c>
      <c r="F93" s="65" t="s">
        <v>473</v>
      </c>
      <c r="G93" s="52" t="s">
        <v>439</v>
      </c>
      <c r="H93" s="137" t="s">
        <v>137</v>
      </c>
      <c r="I93" s="137">
        <v>1</v>
      </c>
      <c r="J93" s="67" t="s">
        <v>232</v>
      </c>
      <c r="K93" s="137" t="s">
        <v>138</v>
      </c>
      <c r="L93" s="137"/>
      <c r="M93" s="137" t="s">
        <v>534</v>
      </c>
      <c r="N93" s="137" t="s">
        <v>384</v>
      </c>
      <c r="O93" s="137" t="s">
        <v>467</v>
      </c>
      <c r="P93" s="137" t="s">
        <v>371</v>
      </c>
      <c r="Q93" s="138" t="s">
        <v>193</v>
      </c>
      <c r="R93" s="138" t="s">
        <v>123</v>
      </c>
      <c r="S93" s="59" t="s">
        <v>123</v>
      </c>
      <c r="T93" s="59" t="s">
        <v>123</v>
      </c>
      <c r="U93" s="59" t="s">
        <v>123</v>
      </c>
      <c r="V93" s="59" t="s">
        <v>123</v>
      </c>
      <c r="W93" s="59" t="s">
        <v>123</v>
      </c>
      <c r="X93" s="59" t="s">
        <v>123</v>
      </c>
      <c r="Y93" s="59" t="s">
        <v>123</v>
      </c>
      <c r="Z93" s="59" t="s">
        <v>123</v>
      </c>
      <c r="AA93" s="59" t="s">
        <v>123</v>
      </c>
      <c r="AB93" s="59" t="s">
        <v>123</v>
      </c>
      <c r="AC93" s="59" t="s">
        <v>123</v>
      </c>
      <c r="AD93" s="59" t="s">
        <v>123</v>
      </c>
      <c r="AE93" s="59" t="s">
        <v>123</v>
      </c>
      <c r="AF93" s="59" t="s">
        <v>123</v>
      </c>
      <c r="AG93" s="59" t="s">
        <v>123</v>
      </c>
    </row>
    <row r="94" spans="1:33" s="51" customFormat="1" ht="12" customHeight="1" x14ac:dyDescent="0.15">
      <c r="A94" s="143"/>
      <c r="B94" s="34">
        <f t="shared" si="1"/>
        <v>88</v>
      </c>
      <c r="C94" s="132"/>
      <c r="D94" s="132"/>
      <c r="E94" s="65" t="s">
        <v>437</v>
      </c>
      <c r="F94" s="65" t="s">
        <v>474</v>
      </c>
      <c r="G94" s="52" t="s">
        <v>439</v>
      </c>
      <c r="H94" s="137" t="s">
        <v>137</v>
      </c>
      <c r="I94" s="137">
        <v>1</v>
      </c>
      <c r="J94" s="67" t="s">
        <v>232</v>
      </c>
      <c r="K94" s="137" t="s">
        <v>138</v>
      </c>
      <c r="L94" s="137"/>
      <c r="M94" s="137" t="s">
        <v>534</v>
      </c>
      <c r="N94" s="137" t="s">
        <v>384</v>
      </c>
      <c r="O94" s="137" t="s">
        <v>467</v>
      </c>
      <c r="P94" s="137" t="s">
        <v>371</v>
      </c>
      <c r="Q94" s="138" t="s">
        <v>193</v>
      </c>
      <c r="R94" s="138" t="s">
        <v>123</v>
      </c>
      <c r="S94" s="59" t="s">
        <v>123</v>
      </c>
      <c r="T94" s="59" t="s">
        <v>123</v>
      </c>
      <c r="U94" s="59" t="s">
        <v>123</v>
      </c>
      <c r="V94" s="59" t="s">
        <v>123</v>
      </c>
      <c r="W94" s="59" t="s">
        <v>123</v>
      </c>
      <c r="X94" s="59" t="s">
        <v>123</v>
      </c>
      <c r="Y94" s="59" t="s">
        <v>123</v>
      </c>
      <c r="Z94" s="59" t="s">
        <v>123</v>
      </c>
      <c r="AA94" s="59" t="s">
        <v>123</v>
      </c>
      <c r="AB94" s="59" t="s">
        <v>123</v>
      </c>
      <c r="AC94" s="59" t="s">
        <v>123</v>
      </c>
      <c r="AD94" s="59" t="s">
        <v>123</v>
      </c>
      <c r="AE94" s="59" t="s">
        <v>123</v>
      </c>
      <c r="AF94" s="59" t="s">
        <v>123</v>
      </c>
      <c r="AG94" s="59" t="s">
        <v>123</v>
      </c>
    </row>
    <row r="95" spans="1:33" s="51" customFormat="1" ht="12" customHeight="1" x14ac:dyDescent="0.15">
      <c r="A95" s="143"/>
      <c r="B95" s="34">
        <f t="shared" si="1"/>
        <v>89</v>
      </c>
      <c r="C95" s="132"/>
      <c r="D95" s="132"/>
      <c r="E95" s="65" t="s">
        <v>437</v>
      </c>
      <c r="F95" s="65" t="s">
        <v>475</v>
      </c>
      <c r="G95" s="52" t="s">
        <v>439</v>
      </c>
      <c r="H95" s="137" t="s">
        <v>137</v>
      </c>
      <c r="I95" s="137">
        <v>1</v>
      </c>
      <c r="J95" s="67" t="s">
        <v>232</v>
      </c>
      <c r="K95" s="137" t="s">
        <v>138</v>
      </c>
      <c r="L95" s="137"/>
      <c r="M95" s="137" t="s">
        <v>534</v>
      </c>
      <c r="N95" s="137" t="s">
        <v>384</v>
      </c>
      <c r="O95" s="137" t="s">
        <v>467</v>
      </c>
      <c r="P95" s="137" t="s">
        <v>371</v>
      </c>
      <c r="Q95" s="138" t="s">
        <v>193</v>
      </c>
      <c r="R95" s="138" t="s">
        <v>123</v>
      </c>
      <c r="S95" s="59" t="s">
        <v>123</v>
      </c>
      <c r="T95" s="59" t="s">
        <v>123</v>
      </c>
      <c r="U95" s="59" t="s">
        <v>123</v>
      </c>
      <c r="V95" s="59" t="s">
        <v>123</v>
      </c>
      <c r="W95" s="59" t="s">
        <v>123</v>
      </c>
      <c r="X95" s="59" t="s">
        <v>123</v>
      </c>
      <c r="Y95" s="59" t="s">
        <v>123</v>
      </c>
      <c r="Z95" s="59" t="s">
        <v>123</v>
      </c>
      <c r="AA95" s="59" t="s">
        <v>123</v>
      </c>
      <c r="AB95" s="59" t="s">
        <v>123</v>
      </c>
      <c r="AC95" s="59" t="s">
        <v>123</v>
      </c>
      <c r="AD95" s="59" t="s">
        <v>123</v>
      </c>
      <c r="AE95" s="59" t="s">
        <v>123</v>
      </c>
      <c r="AF95" s="59" t="s">
        <v>123</v>
      </c>
      <c r="AG95" s="59" t="s">
        <v>123</v>
      </c>
    </row>
    <row r="96" spans="1:33" s="51" customFormat="1" ht="12" customHeight="1" x14ac:dyDescent="0.15">
      <c r="A96" s="143"/>
      <c r="B96" s="34">
        <f t="shared" si="1"/>
        <v>90</v>
      </c>
      <c r="C96" s="132"/>
      <c r="D96" s="132"/>
      <c r="E96" s="65" t="s">
        <v>437</v>
      </c>
      <c r="F96" s="65" t="s">
        <v>476</v>
      </c>
      <c r="G96" s="52" t="s">
        <v>439</v>
      </c>
      <c r="H96" s="137" t="s">
        <v>137</v>
      </c>
      <c r="I96" s="137">
        <v>1</v>
      </c>
      <c r="J96" s="67" t="s">
        <v>232</v>
      </c>
      <c r="K96" s="137" t="s">
        <v>138</v>
      </c>
      <c r="L96" s="137"/>
      <c r="M96" s="137" t="s">
        <v>534</v>
      </c>
      <c r="N96" s="137" t="s">
        <v>384</v>
      </c>
      <c r="O96" s="137" t="s">
        <v>467</v>
      </c>
      <c r="P96" s="137" t="s">
        <v>371</v>
      </c>
      <c r="Q96" s="138" t="s">
        <v>193</v>
      </c>
      <c r="R96" s="138" t="s">
        <v>123</v>
      </c>
      <c r="S96" s="59" t="s">
        <v>123</v>
      </c>
      <c r="T96" s="59" t="s">
        <v>123</v>
      </c>
      <c r="U96" s="59" t="s">
        <v>123</v>
      </c>
      <c r="V96" s="59" t="s">
        <v>123</v>
      </c>
      <c r="W96" s="59" t="s">
        <v>123</v>
      </c>
      <c r="X96" s="59" t="s">
        <v>123</v>
      </c>
      <c r="Y96" s="59" t="s">
        <v>123</v>
      </c>
      <c r="Z96" s="59" t="s">
        <v>123</v>
      </c>
      <c r="AA96" s="59" t="s">
        <v>123</v>
      </c>
      <c r="AB96" s="59" t="s">
        <v>123</v>
      </c>
      <c r="AC96" s="59" t="s">
        <v>123</v>
      </c>
      <c r="AD96" s="59" t="s">
        <v>123</v>
      </c>
      <c r="AE96" s="59" t="s">
        <v>123</v>
      </c>
      <c r="AF96" s="59" t="s">
        <v>123</v>
      </c>
      <c r="AG96" s="59" t="s">
        <v>123</v>
      </c>
    </row>
    <row r="97" spans="1:33" s="51" customFormat="1" ht="12" customHeight="1" x14ac:dyDescent="0.15">
      <c r="A97" s="143"/>
      <c r="B97" s="34">
        <f t="shared" si="1"/>
        <v>91</v>
      </c>
      <c r="C97" s="132"/>
      <c r="D97" s="132"/>
      <c r="E97" s="65" t="s">
        <v>437</v>
      </c>
      <c r="F97" s="65" t="s">
        <v>477</v>
      </c>
      <c r="G97" s="52" t="s">
        <v>439</v>
      </c>
      <c r="H97" s="137" t="s">
        <v>137</v>
      </c>
      <c r="I97" s="137">
        <v>1</v>
      </c>
      <c r="J97" s="67" t="s">
        <v>232</v>
      </c>
      <c r="K97" s="137" t="s">
        <v>138</v>
      </c>
      <c r="L97" s="137"/>
      <c r="M97" s="137" t="s">
        <v>534</v>
      </c>
      <c r="N97" s="137" t="s">
        <v>384</v>
      </c>
      <c r="O97" s="137" t="s">
        <v>467</v>
      </c>
      <c r="P97" s="137" t="s">
        <v>371</v>
      </c>
      <c r="Q97" s="138" t="s">
        <v>193</v>
      </c>
      <c r="R97" s="138" t="s">
        <v>123</v>
      </c>
      <c r="S97" s="59" t="s">
        <v>123</v>
      </c>
      <c r="T97" s="59" t="s">
        <v>123</v>
      </c>
      <c r="U97" s="59" t="s">
        <v>123</v>
      </c>
      <c r="V97" s="59" t="s">
        <v>123</v>
      </c>
      <c r="W97" s="59" t="s">
        <v>123</v>
      </c>
      <c r="X97" s="59" t="s">
        <v>123</v>
      </c>
      <c r="Y97" s="59" t="s">
        <v>123</v>
      </c>
      <c r="Z97" s="59" t="s">
        <v>123</v>
      </c>
      <c r="AA97" s="59" t="s">
        <v>123</v>
      </c>
      <c r="AB97" s="59" t="s">
        <v>123</v>
      </c>
      <c r="AC97" s="59" t="s">
        <v>123</v>
      </c>
      <c r="AD97" s="59" t="s">
        <v>123</v>
      </c>
      <c r="AE97" s="59" t="s">
        <v>123</v>
      </c>
      <c r="AF97" s="59" t="s">
        <v>123</v>
      </c>
      <c r="AG97" s="59" t="s">
        <v>123</v>
      </c>
    </row>
    <row r="98" spans="1:33" s="51" customFormat="1" ht="12" customHeight="1" x14ac:dyDescent="0.15">
      <c r="A98" s="143"/>
      <c r="B98" s="34">
        <f t="shared" si="1"/>
        <v>92</v>
      </c>
      <c r="C98" s="132"/>
      <c r="D98" s="132"/>
      <c r="E98" s="60" t="s">
        <v>452</v>
      </c>
      <c r="F98" s="60" t="s">
        <v>478</v>
      </c>
      <c r="G98" s="60" t="s">
        <v>439</v>
      </c>
      <c r="H98" s="137" t="s">
        <v>137</v>
      </c>
      <c r="I98" s="137">
        <v>1</v>
      </c>
      <c r="J98" s="67" t="s">
        <v>232</v>
      </c>
      <c r="K98" s="137" t="s">
        <v>455</v>
      </c>
      <c r="L98" s="137"/>
      <c r="M98" s="137" t="s">
        <v>534</v>
      </c>
      <c r="N98" s="137" t="s">
        <v>384</v>
      </c>
      <c r="O98" s="137" t="s">
        <v>467</v>
      </c>
      <c r="P98" s="137" t="s">
        <v>371</v>
      </c>
      <c r="Q98" s="138" t="s">
        <v>458</v>
      </c>
      <c r="R98" s="138" t="s">
        <v>123</v>
      </c>
      <c r="S98" s="59" t="s">
        <v>123</v>
      </c>
      <c r="T98" s="59" t="s">
        <v>123</v>
      </c>
      <c r="U98" s="59" t="s">
        <v>123</v>
      </c>
      <c r="V98" s="59" t="s">
        <v>123</v>
      </c>
      <c r="W98" s="59" t="s">
        <v>123</v>
      </c>
      <c r="X98" s="59" t="s">
        <v>123</v>
      </c>
      <c r="Y98" s="59" t="s">
        <v>123</v>
      </c>
      <c r="Z98" s="59" t="s">
        <v>123</v>
      </c>
      <c r="AA98" s="59" t="s">
        <v>123</v>
      </c>
      <c r="AB98" s="59" t="s">
        <v>123</v>
      </c>
      <c r="AC98" s="59" t="s">
        <v>123</v>
      </c>
      <c r="AD98" s="59" t="s">
        <v>123</v>
      </c>
      <c r="AE98" s="59" t="s">
        <v>123</v>
      </c>
      <c r="AF98" s="59" t="s">
        <v>123</v>
      </c>
      <c r="AG98" s="59" t="s">
        <v>123</v>
      </c>
    </row>
    <row r="99" spans="1:33" s="51" customFormat="1" ht="12" customHeight="1" x14ac:dyDescent="0.15">
      <c r="A99" s="143"/>
      <c r="B99" s="34">
        <f t="shared" si="1"/>
        <v>93</v>
      </c>
      <c r="C99" s="132"/>
      <c r="D99" s="132"/>
      <c r="E99" s="60" t="s">
        <v>452</v>
      </c>
      <c r="F99" s="60" t="s">
        <v>479</v>
      </c>
      <c r="G99" s="60" t="s">
        <v>439</v>
      </c>
      <c r="H99" s="137" t="s">
        <v>137</v>
      </c>
      <c r="I99" s="137">
        <v>1</v>
      </c>
      <c r="J99" s="67" t="s">
        <v>232</v>
      </c>
      <c r="K99" s="137" t="s">
        <v>455</v>
      </c>
      <c r="L99" s="137"/>
      <c r="M99" s="137" t="s">
        <v>534</v>
      </c>
      <c r="N99" s="137" t="s">
        <v>384</v>
      </c>
      <c r="O99" s="137" t="s">
        <v>467</v>
      </c>
      <c r="P99" s="137" t="s">
        <v>371</v>
      </c>
      <c r="Q99" s="138" t="s">
        <v>458</v>
      </c>
      <c r="R99" s="138" t="s">
        <v>123</v>
      </c>
      <c r="S99" s="59" t="s">
        <v>123</v>
      </c>
      <c r="T99" s="59" t="s">
        <v>123</v>
      </c>
      <c r="U99" s="59" t="s">
        <v>123</v>
      </c>
      <c r="V99" s="59" t="s">
        <v>123</v>
      </c>
      <c r="W99" s="59" t="s">
        <v>123</v>
      </c>
      <c r="X99" s="59" t="s">
        <v>123</v>
      </c>
      <c r="Y99" s="59" t="s">
        <v>123</v>
      </c>
      <c r="Z99" s="59" t="s">
        <v>123</v>
      </c>
      <c r="AA99" s="59" t="s">
        <v>123</v>
      </c>
      <c r="AB99" s="59" t="s">
        <v>123</v>
      </c>
      <c r="AC99" s="59" t="s">
        <v>123</v>
      </c>
      <c r="AD99" s="59" t="s">
        <v>123</v>
      </c>
      <c r="AE99" s="59" t="s">
        <v>123</v>
      </c>
      <c r="AF99" s="59" t="s">
        <v>123</v>
      </c>
      <c r="AG99" s="59" t="s">
        <v>123</v>
      </c>
    </row>
    <row r="100" spans="1:33" s="51" customFormat="1" ht="12" customHeight="1" x14ac:dyDescent="0.15">
      <c r="A100" s="143"/>
      <c r="B100" s="34">
        <f t="shared" si="1"/>
        <v>94</v>
      </c>
      <c r="C100" s="132"/>
      <c r="D100" s="132"/>
      <c r="E100" s="60" t="s">
        <v>452</v>
      </c>
      <c r="F100" s="60" t="s">
        <v>480</v>
      </c>
      <c r="G100" s="60" t="s">
        <v>439</v>
      </c>
      <c r="H100" s="137" t="s">
        <v>137</v>
      </c>
      <c r="I100" s="137">
        <v>1</v>
      </c>
      <c r="J100" s="67" t="s">
        <v>232</v>
      </c>
      <c r="K100" s="137" t="s">
        <v>455</v>
      </c>
      <c r="L100" s="137"/>
      <c r="M100" s="137" t="s">
        <v>534</v>
      </c>
      <c r="N100" s="137" t="s">
        <v>384</v>
      </c>
      <c r="O100" s="137" t="s">
        <v>467</v>
      </c>
      <c r="P100" s="137" t="s">
        <v>371</v>
      </c>
      <c r="Q100" s="138" t="s">
        <v>458</v>
      </c>
      <c r="R100" s="138" t="s">
        <v>123</v>
      </c>
      <c r="S100" s="59" t="s">
        <v>123</v>
      </c>
      <c r="T100" s="59" t="s">
        <v>123</v>
      </c>
      <c r="U100" s="59" t="s">
        <v>123</v>
      </c>
      <c r="V100" s="59" t="s">
        <v>123</v>
      </c>
      <c r="W100" s="59" t="s">
        <v>123</v>
      </c>
      <c r="X100" s="59" t="s">
        <v>123</v>
      </c>
      <c r="Y100" s="59" t="s">
        <v>123</v>
      </c>
      <c r="Z100" s="59" t="s">
        <v>123</v>
      </c>
      <c r="AA100" s="59" t="s">
        <v>123</v>
      </c>
      <c r="AB100" s="59" t="s">
        <v>123</v>
      </c>
      <c r="AC100" s="59" t="s">
        <v>123</v>
      </c>
      <c r="AD100" s="59" t="s">
        <v>123</v>
      </c>
      <c r="AE100" s="59" t="s">
        <v>123</v>
      </c>
      <c r="AF100" s="59" t="s">
        <v>123</v>
      </c>
      <c r="AG100" s="59" t="s">
        <v>123</v>
      </c>
    </row>
    <row r="101" spans="1:33" s="51" customFormat="1" ht="12" customHeight="1" x14ac:dyDescent="0.15">
      <c r="A101" s="143"/>
      <c r="B101" s="34">
        <f t="shared" si="1"/>
        <v>95</v>
      </c>
      <c r="C101" s="132"/>
      <c r="D101" s="132"/>
      <c r="E101" s="65" t="s">
        <v>463</v>
      </c>
      <c r="F101" s="65" t="s">
        <v>466</v>
      </c>
      <c r="G101" s="52" t="s">
        <v>439</v>
      </c>
      <c r="H101" s="137" t="s">
        <v>137</v>
      </c>
      <c r="I101" s="137">
        <v>1</v>
      </c>
      <c r="J101" s="67" t="s">
        <v>232</v>
      </c>
      <c r="K101" s="137" t="s">
        <v>138</v>
      </c>
      <c r="L101" s="137"/>
      <c r="M101" s="137" t="s">
        <v>534</v>
      </c>
      <c r="N101" s="137" t="s">
        <v>384</v>
      </c>
      <c r="O101" s="137" t="s">
        <v>467</v>
      </c>
      <c r="P101" s="137" t="s">
        <v>371</v>
      </c>
      <c r="Q101" s="138" t="s">
        <v>193</v>
      </c>
      <c r="R101" s="138" t="s">
        <v>123</v>
      </c>
      <c r="S101" s="59" t="s">
        <v>123</v>
      </c>
      <c r="T101" s="59" t="s">
        <v>123</v>
      </c>
      <c r="U101" s="59" t="s">
        <v>123</v>
      </c>
      <c r="V101" s="59" t="s">
        <v>123</v>
      </c>
      <c r="W101" s="59" t="s">
        <v>123</v>
      </c>
      <c r="X101" s="59" t="s">
        <v>123</v>
      </c>
      <c r="Y101" s="59" t="s">
        <v>123</v>
      </c>
      <c r="Z101" s="59" t="s">
        <v>123</v>
      </c>
      <c r="AA101" s="59" t="s">
        <v>123</v>
      </c>
      <c r="AB101" s="59" t="s">
        <v>123</v>
      </c>
      <c r="AC101" s="59" t="s">
        <v>123</v>
      </c>
      <c r="AD101" s="59" t="s">
        <v>123</v>
      </c>
      <c r="AE101" s="59" t="s">
        <v>123</v>
      </c>
      <c r="AF101" s="59" t="s">
        <v>123</v>
      </c>
      <c r="AG101" s="59" t="s">
        <v>123</v>
      </c>
    </row>
    <row r="102" spans="1:33" s="51" customFormat="1" ht="12" customHeight="1" x14ac:dyDescent="0.15">
      <c r="A102" s="143"/>
      <c r="B102" s="34">
        <f t="shared" si="1"/>
        <v>96</v>
      </c>
      <c r="C102" s="132"/>
      <c r="D102" s="132"/>
      <c r="E102" s="65" t="s">
        <v>463</v>
      </c>
      <c r="F102" s="65" t="s">
        <v>468</v>
      </c>
      <c r="G102" s="52" t="s">
        <v>439</v>
      </c>
      <c r="H102" s="137" t="s">
        <v>137</v>
      </c>
      <c r="I102" s="137">
        <v>1</v>
      </c>
      <c r="J102" s="67" t="s">
        <v>232</v>
      </c>
      <c r="K102" s="137" t="s">
        <v>138</v>
      </c>
      <c r="L102" s="137"/>
      <c r="M102" s="137" t="s">
        <v>534</v>
      </c>
      <c r="N102" s="137" t="s">
        <v>384</v>
      </c>
      <c r="O102" s="137" t="s">
        <v>467</v>
      </c>
      <c r="P102" s="137" t="s">
        <v>371</v>
      </c>
      <c r="Q102" s="138" t="s">
        <v>193</v>
      </c>
      <c r="R102" s="138" t="s">
        <v>123</v>
      </c>
      <c r="S102" s="59" t="s">
        <v>123</v>
      </c>
      <c r="T102" s="59" t="s">
        <v>123</v>
      </c>
      <c r="U102" s="59" t="s">
        <v>123</v>
      </c>
      <c r="V102" s="59" t="s">
        <v>123</v>
      </c>
      <c r="W102" s="59" t="s">
        <v>123</v>
      </c>
      <c r="X102" s="59" t="s">
        <v>123</v>
      </c>
      <c r="Y102" s="59" t="s">
        <v>123</v>
      </c>
      <c r="Z102" s="59" t="s">
        <v>123</v>
      </c>
      <c r="AA102" s="59" t="s">
        <v>123</v>
      </c>
      <c r="AB102" s="59" t="s">
        <v>123</v>
      </c>
      <c r="AC102" s="59" t="s">
        <v>123</v>
      </c>
      <c r="AD102" s="59" t="s">
        <v>123</v>
      </c>
      <c r="AE102" s="59" t="s">
        <v>123</v>
      </c>
      <c r="AF102" s="59" t="s">
        <v>123</v>
      </c>
      <c r="AG102" s="59" t="s">
        <v>123</v>
      </c>
    </row>
    <row r="103" spans="1:33" s="51" customFormat="1" ht="12" customHeight="1" x14ac:dyDescent="0.15">
      <c r="A103" s="143"/>
      <c r="B103" s="34">
        <f t="shared" si="1"/>
        <v>97</v>
      </c>
      <c r="C103" s="132"/>
      <c r="D103" s="132"/>
      <c r="E103" s="65" t="s">
        <v>463</v>
      </c>
      <c r="F103" s="65" t="s">
        <v>469</v>
      </c>
      <c r="G103" s="52" t="s">
        <v>439</v>
      </c>
      <c r="H103" s="137" t="s">
        <v>137</v>
      </c>
      <c r="I103" s="137">
        <v>1</v>
      </c>
      <c r="J103" s="67" t="s">
        <v>232</v>
      </c>
      <c r="K103" s="137" t="s">
        <v>138</v>
      </c>
      <c r="L103" s="137"/>
      <c r="M103" s="137" t="s">
        <v>534</v>
      </c>
      <c r="N103" s="137" t="s">
        <v>384</v>
      </c>
      <c r="O103" s="137" t="s">
        <v>467</v>
      </c>
      <c r="P103" s="137" t="s">
        <v>371</v>
      </c>
      <c r="Q103" s="138" t="s">
        <v>193</v>
      </c>
      <c r="R103" s="138" t="s">
        <v>123</v>
      </c>
      <c r="S103" s="59" t="s">
        <v>123</v>
      </c>
      <c r="T103" s="59" t="s">
        <v>123</v>
      </c>
      <c r="U103" s="59" t="s">
        <v>123</v>
      </c>
      <c r="V103" s="59" t="s">
        <v>123</v>
      </c>
      <c r="W103" s="59" t="s">
        <v>123</v>
      </c>
      <c r="X103" s="59" t="s">
        <v>123</v>
      </c>
      <c r="Y103" s="59" t="s">
        <v>123</v>
      </c>
      <c r="Z103" s="59" t="s">
        <v>123</v>
      </c>
      <c r="AA103" s="59" t="s">
        <v>123</v>
      </c>
      <c r="AB103" s="59" t="s">
        <v>123</v>
      </c>
      <c r="AC103" s="59" t="s">
        <v>123</v>
      </c>
      <c r="AD103" s="59" t="s">
        <v>123</v>
      </c>
      <c r="AE103" s="59" t="s">
        <v>123</v>
      </c>
      <c r="AF103" s="59" t="s">
        <v>123</v>
      </c>
      <c r="AG103" s="59" t="s">
        <v>123</v>
      </c>
    </row>
    <row r="104" spans="1:33" s="51" customFormat="1" ht="12" customHeight="1" x14ac:dyDescent="0.15">
      <c r="A104" s="143"/>
      <c r="B104" s="34">
        <f t="shared" si="1"/>
        <v>98</v>
      </c>
      <c r="C104" s="132"/>
      <c r="D104" s="132"/>
      <c r="E104" s="65" t="s">
        <v>463</v>
      </c>
      <c r="F104" s="65" t="s">
        <v>470</v>
      </c>
      <c r="G104" s="52" t="s">
        <v>439</v>
      </c>
      <c r="H104" s="137" t="s">
        <v>137</v>
      </c>
      <c r="I104" s="137">
        <v>1</v>
      </c>
      <c r="J104" s="67" t="s">
        <v>232</v>
      </c>
      <c r="K104" s="137" t="s">
        <v>138</v>
      </c>
      <c r="L104" s="137"/>
      <c r="M104" s="137" t="s">
        <v>534</v>
      </c>
      <c r="N104" s="137" t="s">
        <v>384</v>
      </c>
      <c r="O104" s="137" t="s">
        <v>467</v>
      </c>
      <c r="P104" s="137" t="s">
        <v>371</v>
      </c>
      <c r="Q104" s="138" t="s">
        <v>193</v>
      </c>
      <c r="R104" s="138" t="s">
        <v>123</v>
      </c>
      <c r="S104" s="59" t="s">
        <v>123</v>
      </c>
      <c r="T104" s="59" t="s">
        <v>123</v>
      </c>
      <c r="U104" s="59" t="s">
        <v>123</v>
      </c>
      <c r="V104" s="59" t="s">
        <v>123</v>
      </c>
      <c r="W104" s="59" t="s">
        <v>123</v>
      </c>
      <c r="X104" s="59" t="s">
        <v>123</v>
      </c>
      <c r="Y104" s="59" t="s">
        <v>123</v>
      </c>
      <c r="Z104" s="59" t="s">
        <v>123</v>
      </c>
      <c r="AA104" s="59" t="s">
        <v>123</v>
      </c>
      <c r="AB104" s="59" t="s">
        <v>123</v>
      </c>
      <c r="AC104" s="59" t="s">
        <v>123</v>
      </c>
      <c r="AD104" s="59" t="s">
        <v>123</v>
      </c>
      <c r="AE104" s="59" t="s">
        <v>123</v>
      </c>
      <c r="AF104" s="59" t="s">
        <v>123</v>
      </c>
      <c r="AG104" s="59" t="s">
        <v>123</v>
      </c>
    </row>
    <row r="105" spans="1:33" s="51" customFormat="1" ht="12" customHeight="1" x14ac:dyDescent="0.15">
      <c r="A105" s="143"/>
      <c r="B105" s="34">
        <f t="shared" si="1"/>
        <v>99</v>
      </c>
      <c r="C105" s="132"/>
      <c r="D105" s="132"/>
      <c r="E105" s="65" t="s">
        <v>463</v>
      </c>
      <c r="F105" s="65" t="s">
        <v>471</v>
      </c>
      <c r="G105" s="52" t="s">
        <v>439</v>
      </c>
      <c r="H105" s="137" t="s">
        <v>137</v>
      </c>
      <c r="I105" s="137">
        <v>1</v>
      </c>
      <c r="J105" s="67" t="s">
        <v>232</v>
      </c>
      <c r="K105" s="137" t="s">
        <v>138</v>
      </c>
      <c r="L105" s="137"/>
      <c r="M105" s="137" t="s">
        <v>534</v>
      </c>
      <c r="N105" s="137" t="s">
        <v>384</v>
      </c>
      <c r="O105" s="137" t="s">
        <v>467</v>
      </c>
      <c r="P105" s="137" t="s">
        <v>371</v>
      </c>
      <c r="Q105" s="138" t="s">
        <v>193</v>
      </c>
      <c r="R105" s="138" t="s">
        <v>123</v>
      </c>
      <c r="S105" s="59" t="s">
        <v>123</v>
      </c>
      <c r="T105" s="59" t="s">
        <v>123</v>
      </c>
      <c r="U105" s="59" t="s">
        <v>123</v>
      </c>
      <c r="V105" s="59" t="s">
        <v>123</v>
      </c>
      <c r="W105" s="59" t="s">
        <v>123</v>
      </c>
      <c r="X105" s="59" t="s">
        <v>123</v>
      </c>
      <c r="Y105" s="59" t="s">
        <v>123</v>
      </c>
      <c r="Z105" s="59" t="s">
        <v>123</v>
      </c>
      <c r="AA105" s="59" t="s">
        <v>123</v>
      </c>
      <c r="AB105" s="59" t="s">
        <v>123</v>
      </c>
      <c r="AC105" s="59" t="s">
        <v>123</v>
      </c>
      <c r="AD105" s="59" t="s">
        <v>123</v>
      </c>
      <c r="AE105" s="59" t="s">
        <v>123</v>
      </c>
      <c r="AF105" s="59" t="s">
        <v>123</v>
      </c>
      <c r="AG105" s="59" t="s">
        <v>123</v>
      </c>
    </row>
    <row r="106" spans="1:33" s="51" customFormat="1" ht="12" customHeight="1" x14ac:dyDescent="0.15">
      <c r="A106" s="143"/>
      <c r="B106" s="34">
        <f t="shared" si="1"/>
        <v>100</v>
      </c>
      <c r="C106" s="132"/>
      <c r="D106" s="132"/>
      <c r="E106" s="65" t="s">
        <v>463</v>
      </c>
      <c r="F106" s="65" t="s">
        <v>472</v>
      </c>
      <c r="G106" s="52" t="s">
        <v>439</v>
      </c>
      <c r="H106" s="137" t="s">
        <v>137</v>
      </c>
      <c r="I106" s="137">
        <v>1</v>
      </c>
      <c r="J106" s="67" t="s">
        <v>232</v>
      </c>
      <c r="K106" s="137" t="s">
        <v>138</v>
      </c>
      <c r="L106" s="137"/>
      <c r="M106" s="137" t="s">
        <v>534</v>
      </c>
      <c r="N106" s="137" t="s">
        <v>384</v>
      </c>
      <c r="O106" s="137" t="s">
        <v>467</v>
      </c>
      <c r="P106" s="137" t="s">
        <v>371</v>
      </c>
      <c r="Q106" s="138" t="s">
        <v>193</v>
      </c>
      <c r="R106" s="138" t="s">
        <v>123</v>
      </c>
      <c r="S106" s="59" t="s">
        <v>123</v>
      </c>
      <c r="T106" s="59" t="s">
        <v>123</v>
      </c>
      <c r="U106" s="59" t="s">
        <v>123</v>
      </c>
      <c r="V106" s="59" t="s">
        <v>123</v>
      </c>
      <c r="W106" s="59" t="s">
        <v>123</v>
      </c>
      <c r="X106" s="59" t="s">
        <v>123</v>
      </c>
      <c r="Y106" s="59" t="s">
        <v>123</v>
      </c>
      <c r="Z106" s="59" t="s">
        <v>123</v>
      </c>
      <c r="AA106" s="59" t="s">
        <v>123</v>
      </c>
      <c r="AB106" s="59" t="s">
        <v>123</v>
      </c>
      <c r="AC106" s="59" t="s">
        <v>123</v>
      </c>
      <c r="AD106" s="59" t="s">
        <v>123</v>
      </c>
      <c r="AE106" s="59" t="s">
        <v>123</v>
      </c>
      <c r="AF106" s="59" t="s">
        <v>123</v>
      </c>
      <c r="AG106" s="59" t="s">
        <v>123</v>
      </c>
    </row>
    <row r="107" spans="1:33" s="51" customFormat="1" ht="12" customHeight="1" x14ac:dyDescent="0.15">
      <c r="A107" s="143"/>
      <c r="B107" s="34">
        <f t="shared" si="1"/>
        <v>101</v>
      </c>
      <c r="C107" s="132"/>
      <c r="D107" s="132"/>
      <c r="E107" s="65" t="s">
        <v>463</v>
      </c>
      <c r="F107" s="65" t="s">
        <v>473</v>
      </c>
      <c r="G107" s="52" t="s">
        <v>439</v>
      </c>
      <c r="H107" s="137" t="s">
        <v>137</v>
      </c>
      <c r="I107" s="137">
        <v>1</v>
      </c>
      <c r="J107" s="67" t="s">
        <v>232</v>
      </c>
      <c r="K107" s="137" t="s">
        <v>138</v>
      </c>
      <c r="L107" s="137"/>
      <c r="M107" s="137" t="s">
        <v>534</v>
      </c>
      <c r="N107" s="137" t="s">
        <v>384</v>
      </c>
      <c r="O107" s="137" t="s">
        <v>467</v>
      </c>
      <c r="P107" s="137" t="s">
        <v>371</v>
      </c>
      <c r="Q107" s="138" t="s">
        <v>193</v>
      </c>
      <c r="R107" s="138" t="s">
        <v>123</v>
      </c>
      <c r="S107" s="59" t="s">
        <v>123</v>
      </c>
      <c r="T107" s="59" t="s">
        <v>123</v>
      </c>
      <c r="U107" s="59" t="s">
        <v>123</v>
      </c>
      <c r="V107" s="59" t="s">
        <v>123</v>
      </c>
      <c r="W107" s="59" t="s">
        <v>123</v>
      </c>
      <c r="X107" s="59" t="s">
        <v>123</v>
      </c>
      <c r="Y107" s="59" t="s">
        <v>123</v>
      </c>
      <c r="Z107" s="59" t="s">
        <v>123</v>
      </c>
      <c r="AA107" s="59" t="s">
        <v>123</v>
      </c>
      <c r="AB107" s="59" t="s">
        <v>123</v>
      </c>
      <c r="AC107" s="59" t="s">
        <v>123</v>
      </c>
      <c r="AD107" s="59" t="s">
        <v>123</v>
      </c>
      <c r="AE107" s="59" t="s">
        <v>123</v>
      </c>
      <c r="AF107" s="59" t="s">
        <v>123</v>
      </c>
      <c r="AG107" s="59" t="s">
        <v>123</v>
      </c>
    </row>
    <row r="108" spans="1:33" s="51" customFormat="1" ht="12" customHeight="1" x14ac:dyDescent="0.15">
      <c r="A108" s="143"/>
      <c r="B108" s="34">
        <f t="shared" si="1"/>
        <v>102</v>
      </c>
      <c r="C108" s="132"/>
      <c r="D108" s="132"/>
      <c r="E108" s="65" t="s">
        <v>463</v>
      </c>
      <c r="F108" s="65" t="s">
        <v>474</v>
      </c>
      <c r="G108" s="52" t="s">
        <v>439</v>
      </c>
      <c r="H108" s="137" t="s">
        <v>137</v>
      </c>
      <c r="I108" s="137">
        <v>1</v>
      </c>
      <c r="J108" s="67" t="s">
        <v>232</v>
      </c>
      <c r="K108" s="137" t="s">
        <v>138</v>
      </c>
      <c r="L108" s="137"/>
      <c r="M108" s="137" t="s">
        <v>534</v>
      </c>
      <c r="N108" s="137" t="s">
        <v>384</v>
      </c>
      <c r="O108" s="137" t="s">
        <v>467</v>
      </c>
      <c r="P108" s="137" t="s">
        <v>371</v>
      </c>
      <c r="Q108" s="138" t="s">
        <v>193</v>
      </c>
      <c r="R108" s="138" t="s">
        <v>123</v>
      </c>
      <c r="S108" s="59" t="s">
        <v>123</v>
      </c>
      <c r="T108" s="59" t="s">
        <v>123</v>
      </c>
      <c r="U108" s="59" t="s">
        <v>123</v>
      </c>
      <c r="V108" s="59" t="s">
        <v>123</v>
      </c>
      <c r="W108" s="59" t="s">
        <v>123</v>
      </c>
      <c r="X108" s="59" t="s">
        <v>123</v>
      </c>
      <c r="Y108" s="59" t="s">
        <v>123</v>
      </c>
      <c r="Z108" s="59" t="s">
        <v>123</v>
      </c>
      <c r="AA108" s="59" t="s">
        <v>123</v>
      </c>
      <c r="AB108" s="59" t="s">
        <v>123</v>
      </c>
      <c r="AC108" s="59" t="s">
        <v>123</v>
      </c>
      <c r="AD108" s="59" t="s">
        <v>123</v>
      </c>
      <c r="AE108" s="59" t="s">
        <v>123</v>
      </c>
      <c r="AF108" s="59" t="s">
        <v>123</v>
      </c>
      <c r="AG108" s="59" t="s">
        <v>123</v>
      </c>
    </row>
    <row r="109" spans="1:33" s="51" customFormat="1" ht="12" customHeight="1" x14ac:dyDescent="0.15">
      <c r="A109" s="143"/>
      <c r="B109" s="34">
        <f t="shared" si="1"/>
        <v>103</v>
      </c>
      <c r="C109" s="132"/>
      <c r="D109" s="132"/>
      <c r="E109" s="65" t="s">
        <v>463</v>
      </c>
      <c r="F109" s="65" t="s">
        <v>475</v>
      </c>
      <c r="G109" s="52" t="s">
        <v>439</v>
      </c>
      <c r="H109" s="137" t="s">
        <v>137</v>
      </c>
      <c r="I109" s="137">
        <v>1</v>
      </c>
      <c r="J109" s="67" t="s">
        <v>232</v>
      </c>
      <c r="K109" s="137" t="s">
        <v>138</v>
      </c>
      <c r="L109" s="137"/>
      <c r="M109" s="137" t="s">
        <v>534</v>
      </c>
      <c r="N109" s="137" t="s">
        <v>384</v>
      </c>
      <c r="O109" s="137" t="s">
        <v>467</v>
      </c>
      <c r="P109" s="137" t="s">
        <v>371</v>
      </c>
      <c r="Q109" s="138" t="s">
        <v>193</v>
      </c>
      <c r="R109" s="138" t="s">
        <v>123</v>
      </c>
      <c r="S109" s="59" t="s">
        <v>123</v>
      </c>
      <c r="T109" s="59" t="s">
        <v>123</v>
      </c>
      <c r="U109" s="59" t="s">
        <v>123</v>
      </c>
      <c r="V109" s="59" t="s">
        <v>123</v>
      </c>
      <c r="W109" s="59" t="s">
        <v>123</v>
      </c>
      <c r="X109" s="59" t="s">
        <v>123</v>
      </c>
      <c r="Y109" s="59" t="s">
        <v>123</v>
      </c>
      <c r="Z109" s="59" t="s">
        <v>123</v>
      </c>
      <c r="AA109" s="59" t="s">
        <v>123</v>
      </c>
      <c r="AB109" s="59" t="s">
        <v>123</v>
      </c>
      <c r="AC109" s="59" t="s">
        <v>123</v>
      </c>
      <c r="AD109" s="59" t="s">
        <v>123</v>
      </c>
      <c r="AE109" s="59" t="s">
        <v>123</v>
      </c>
      <c r="AF109" s="59" t="s">
        <v>123</v>
      </c>
      <c r="AG109" s="59" t="s">
        <v>123</v>
      </c>
    </row>
    <row r="110" spans="1:33" s="51" customFormat="1" ht="12" customHeight="1" x14ac:dyDescent="0.15">
      <c r="A110" s="143"/>
      <c r="B110" s="34">
        <f t="shared" si="1"/>
        <v>104</v>
      </c>
      <c r="C110" s="132"/>
      <c r="D110" s="132"/>
      <c r="E110" s="65" t="s">
        <v>463</v>
      </c>
      <c r="F110" s="65" t="s">
        <v>476</v>
      </c>
      <c r="G110" s="52" t="s">
        <v>439</v>
      </c>
      <c r="H110" s="137" t="s">
        <v>137</v>
      </c>
      <c r="I110" s="137">
        <v>1</v>
      </c>
      <c r="J110" s="67" t="s">
        <v>232</v>
      </c>
      <c r="K110" s="137" t="s">
        <v>138</v>
      </c>
      <c r="L110" s="137"/>
      <c r="M110" s="137" t="s">
        <v>534</v>
      </c>
      <c r="N110" s="137" t="s">
        <v>384</v>
      </c>
      <c r="O110" s="137" t="s">
        <v>467</v>
      </c>
      <c r="P110" s="137" t="s">
        <v>371</v>
      </c>
      <c r="Q110" s="138" t="s">
        <v>193</v>
      </c>
      <c r="R110" s="138" t="s">
        <v>123</v>
      </c>
      <c r="S110" s="59" t="s">
        <v>123</v>
      </c>
      <c r="T110" s="59" t="s">
        <v>123</v>
      </c>
      <c r="U110" s="59" t="s">
        <v>123</v>
      </c>
      <c r="V110" s="59" t="s">
        <v>123</v>
      </c>
      <c r="W110" s="59" t="s">
        <v>123</v>
      </c>
      <c r="X110" s="59" t="s">
        <v>123</v>
      </c>
      <c r="Y110" s="59" t="s">
        <v>123</v>
      </c>
      <c r="Z110" s="59" t="s">
        <v>123</v>
      </c>
      <c r="AA110" s="59" t="s">
        <v>123</v>
      </c>
      <c r="AB110" s="59" t="s">
        <v>123</v>
      </c>
      <c r="AC110" s="59" t="s">
        <v>123</v>
      </c>
      <c r="AD110" s="59" t="s">
        <v>123</v>
      </c>
      <c r="AE110" s="59" t="s">
        <v>123</v>
      </c>
      <c r="AF110" s="59" t="s">
        <v>123</v>
      </c>
      <c r="AG110" s="59" t="s">
        <v>123</v>
      </c>
    </row>
    <row r="111" spans="1:33" s="51" customFormat="1" ht="12" customHeight="1" x14ac:dyDescent="0.15">
      <c r="A111" s="143"/>
      <c r="B111" s="34">
        <f t="shared" si="1"/>
        <v>105</v>
      </c>
      <c r="C111" s="132"/>
      <c r="D111" s="132"/>
      <c r="E111" s="65" t="s">
        <v>463</v>
      </c>
      <c r="F111" s="65" t="s">
        <v>477</v>
      </c>
      <c r="G111" s="52" t="s">
        <v>439</v>
      </c>
      <c r="H111" s="137" t="s">
        <v>137</v>
      </c>
      <c r="I111" s="137">
        <v>1</v>
      </c>
      <c r="J111" s="67" t="s">
        <v>232</v>
      </c>
      <c r="K111" s="137" t="s">
        <v>138</v>
      </c>
      <c r="L111" s="137"/>
      <c r="M111" s="137" t="s">
        <v>534</v>
      </c>
      <c r="N111" s="137" t="s">
        <v>384</v>
      </c>
      <c r="O111" s="137" t="s">
        <v>467</v>
      </c>
      <c r="P111" s="137" t="s">
        <v>371</v>
      </c>
      <c r="Q111" s="138" t="s">
        <v>193</v>
      </c>
      <c r="R111" s="138" t="s">
        <v>123</v>
      </c>
      <c r="S111" s="59" t="s">
        <v>123</v>
      </c>
      <c r="T111" s="59" t="s">
        <v>123</v>
      </c>
      <c r="U111" s="59" t="s">
        <v>123</v>
      </c>
      <c r="V111" s="59" t="s">
        <v>123</v>
      </c>
      <c r="W111" s="59" t="s">
        <v>123</v>
      </c>
      <c r="X111" s="59" t="s">
        <v>123</v>
      </c>
      <c r="Y111" s="59" t="s">
        <v>123</v>
      </c>
      <c r="Z111" s="59" t="s">
        <v>123</v>
      </c>
      <c r="AA111" s="59" t="s">
        <v>123</v>
      </c>
      <c r="AB111" s="59" t="s">
        <v>123</v>
      </c>
      <c r="AC111" s="59" t="s">
        <v>123</v>
      </c>
      <c r="AD111" s="59" t="s">
        <v>123</v>
      </c>
      <c r="AE111" s="59" t="s">
        <v>123</v>
      </c>
      <c r="AF111" s="59" t="s">
        <v>123</v>
      </c>
      <c r="AG111" s="59" t="s">
        <v>123</v>
      </c>
    </row>
    <row r="112" spans="1:33" s="51" customFormat="1" ht="12" customHeight="1" x14ac:dyDescent="0.15">
      <c r="A112" s="143"/>
      <c r="B112" s="34">
        <f t="shared" si="1"/>
        <v>106</v>
      </c>
      <c r="C112" s="132"/>
      <c r="D112" s="132"/>
      <c r="E112" s="60" t="s">
        <v>464</v>
      </c>
      <c r="F112" s="60" t="s">
        <v>478</v>
      </c>
      <c r="G112" s="60" t="s">
        <v>439</v>
      </c>
      <c r="H112" s="137" t="s">
        <v>137</v>
      </c>
      <c r="I112" s="137">
        <v>1</v>
      </c>
      <c r="J112" s="67" t="s">
        <v>232</v>
      </c>
      <c r="K112" s="137" t="s">
        <v>455</v>
      </c>
      <c r="L112" s="137"/>
      <c r="M112" s="137" t="s">
        <v>534</v>
      </c>
      <c r="N112" s="137" t="s">
        <v>384</v>
      </c>
      <c r="O112" s="137" t="s">
        <v>467</v>
      </c>
      <c r="P112" s="137" t="s">
        <v>371</v>
      </c>
      <c r="Q112" s="138" t="s">
        <v>458</v>
      </c>
      <c r="R112" s="138" t="s">
        <v>123</v>
      </c>
      <c r="S112" s="59" t="s">
        <v>123</v>
      </c>
      <c r="T112" s="59" t="s">
        <v>123</v>
      </c>
      <c r="U112" s="59" t="s">
        <v>123</v>
      </c>
      <c r="V112" s="59" t="s">
        <v>123</v>
      </c>
      <c r="W112" s="59" t="s">
        <v>123</v>
      </c>
      <c r="X112" s="59" t="s">
        <v>123</v>
      </c>
      <c r="Y112" s="59" t="s">
        <v>123</v>
      </c>
      <c r="Z112" s="59" t="s">
        <v>123</v>
      </c>
      <c r="AA112" s="59" t="s">
        <v>123</v>
      </c>
      <c r="AB112" s="59" t="s">
        <v>123</v>
      </c>
      <c r="AC112" s="59" t="s">
        <v>123</v>
      </c>
      <c r="AD112" s="59" t="s">
        <v>123</v>
      </c>
      <c r="AE112" s="59" t="s">
        <v>123</v>
      </c>
      <c r="AF112" s="59" t="s">
        <v>123</v>
      </c>
      <c r="AG112" s="59" t="s">
        <v>123</v>
      </c>
    </row>
    <row r="113" spans="1:33" s="51" customFormat="1" ht="12" customHeight="1" x14ac:dyDescent="0.15">
      <c r="A113" s="143"/>
      <c r="B113" s="34">
        <f t="shared" si="1"/>
        <v>107</v>
      </c>
      <c r="C113" s="132"/>
      <c r="D113" s="132"/>
      <c r="E113" s="60" t="s">
        <v>464</v>
      </c>
      <c r="F113" s="60" t="s">
        <v>479</v>
      </c>
      <c r="G113" s="60" t="s">
        <v>439</v>
      </c>
      <c r="H113" s="137" t="s">
        <v>137</v>
      </c>
      <c r="I113" s="137">
        <v>1</v>
      </c>
      <c r="J113" s="67" t="s">
        <v>232</v>
      </c>
      <c r="K113" s="137" t="s">
        <v>455</v>
      </c>
      <c r="L113" s="137"/>
      <c r="M113" s="137" t="s">
        <v>534</v>
      </c>
      <c r="N113" s="137" t="s">
        <v>384</v>
      </c>
      <c r="O113" s="137" t="s">
        <v>467</v>
      </c>
      <c r="P113" s="137" t="s">
        <v>371</v>
      </c>
      <c r="Q113" s="138" t="s">
        <v>458</v>
      </c>
      <c r="R113" s="138" t="s">
        <v>123</v>
      </c>
      <c r="S113" s="59" t="s">
        <v>123</v>
      </c>
      <c r="T113" s="59" t="s">
        <v>123</v>
      </c>
      <c r="U113" s="59" t="s">
        <v>123</v>
      </c>
      <c r="V113" s="59" t="s">
        <v>123</v>
      </c>
      <c r="W113" s="59" t="s">
        <v>123</v>
      </c>
      <c r="X113" s="59" t="s">
        <v>123</v>
      </c>
      <c r="Y113" s="59" t="s">
        <v>123</v>
      </c>
      <c r="Z113" s="59" t="s">
        <v>123</v>
      </c>
      <c r="AA113" s="59" t="s">
        <v>123</v>
      </c>
      <c r="AB113" s="59" t="s">
        <v>123</v>
      </c>
      <c r="AC113" s="59" t="s">
        <v>123</v>
      </c>
      <c r="AD113" s="59" t="s">
        <v>123</v>
      </c>
      <c r="AE113" s="59" t="s">
        <v>123</v>
      </c>
      <c r="AF113" s="59" t="s">
        <v>123</v>
      </c>
      <c r="AG113" s="59" t="s">
        <v>123</v>
      </c>
    </row>
    <row r="114" spans="1:33" s="51" customFormat="1" ht="12" customHeight="1" x14ac:dyDescent="0.15">
      <c r="A114" s="143"/>
      <c r="B114" s="34">
        <f t="shared" si="1"/>
        <v>108</v>
      </c>
      <c r="C114" s="132"/>
      <c r="D114" s="133"/>
      <c r="E114" s="60" t="s">
        <v>464</v>
      </c>
      <c r="F114" s="60" t="s">
        <v>480</v>
      </c>
      <c r="G114" s="60" t="s">
        <v>439</v>
      </c>
      <c r="H114" s="137" t="s">
        <v>137</v>
      </c>
      <c r="I114" s="137">
        <v>1</v>
      </c>
      <c r="J114" s="67" t="s">
        <v>232</v>
      </c>
      <c r="K114" s="137" t="s">
        <v>455</v>
      </c>
      <c r="L114" s="137"/>
      <c r="M114" s="137" t="s">
        <v>534</v>
      </c>
      <c r="N114" s="137" t="s">
        <v>384</v>
      </c>
      <c r="O114" s="137" t="s">
        <v>467</v>
      </c>
      <c r="P114" s="137" t="s">
        <v>371</v>
      </c>
      <c r="Q114" s="138" t="s">
        <v>458</v>
      </c>
      <c r="R114" s="138" t="s">
        <v>123</v>
      </c>
      <c r="S114" s="59" t="s">
        <v>123</v>
      </c>
      <c r="T114" s="59" t="s">
        <v>123</v>
      </c>
      <c r="U114" s="59" t="s">
        <v>123</v>
      </c>
      <c r="V114" s="59" t="s">
        <v>123</v>
      </c>
      <c r="W114" s="59" t="s">
        <v>123</v>
      </c>
      <c r="X114" s="59" t="s">
        <v>123</v>
      </c>
      <c r="Y114" s="59" t="s">
        <v>123</v>
      </c>
      <c r="Z114" s="59" t="s">
        <v>123</v>
      </c>
      <c r="AA114" s="59" t="s">
        <v>123</v>
      </c>
      <c r="AB114" s="59" t="s">
        <v>123</v>
      </c>
      <c r="AC114" s="59" t="s">
        <v>123</v>
      </c>
      <c r="AD114" s="59" t="s">
        <v>123</v>
      </c>
      <c r="AE114" s="59" t="s">
        <v>123</v>
      </c>
      <c r="AF114" s="59" t="s">
        <v>123</v>
      </c>
      <c r="AG114" s="59" t="s">
        <v>123</v>
      </c>
    </row>
    <row r="115" spans="1:33" s="63" customFormat="1" ht="12" customHeight="1" x14ac:dyDescent="0.15">
      <c r="A115" s="144"/>
      <c r="B115" s="34">
        <f t="shared" si="1"/>
        <v>109</v>
      </c>
      <c r="C115" s="132"/>
      <c r="D115" s="131" t="s">
        <v>481</v>
      </c>
      <c r="E115" s="65" t="s">
        <v>437</v>
      </c>
      <c r="F115" s="65" t="s">
        <v>482</v>
      </c>
      <c r="G115" s="52" t="s">
        <v>439</v>
      </c>
      <c r="H115" s="137" t="s">
        <v>137</v>
      </c>
      <c r="I115" s="137">
        <v>1</v>
      </c>
      <c r="J115" s="67" t="s">
        <v>232</v>
      </c>
      <c r="K115" s="137" t="s">
        <v>138</v>
      </c>
      <c r="L115" s="137"/>
      <c r="M115" s="137" t="s">
        <v>534</v>
      </c>
      <c r="N115" s="137" t="s">
        <v>384</v>
      </c>
      <c r="O115" s="137" t="s">
        <v>467</v>
      </c>
      <c r="P115" s="137" t="s">
        <v>371</v>
      </c>
      <c r="Q115" s="138" t="s">
        <v>193</v>
      </c>
      <c r="R115" s="138" t="s">
        <v>123</v>
      </c>
      <c r="S115" s="59" t="s">
        <v>123</v>
      </c>
      <c r="T115" s="59" t="s">
        <v>123</v>
      </c>
      <c r="U115" s="59" t="s">
        <v>123</v>
      </c>
      <c r="V115" s="59" t="s">
        <v>123</v>
      </c>
      <c r="W115" s="59" t="s">
        <v>123</v>
      </c>
      <c r="X115" s="59" t="s">
        <v>123</v>
      </c>
      <c r="Y115" s="59" t="s">
        <v>145</v>
      </c>
      <c r="Z115" s="59" t="s">
        <v>145</v>
      </c>
      <c r="AA115" s="59" t="s">
        <v>145</v>
      </c>
      <c r="AB115" s="59" t="s">
        <v>145</v>
      </c>
      <c r="AC115" s="59" t="s">
        <v>123</v>
      </c>
      <c r="AD115" s="59" t="s">
        <v>123</v>
      </c>
      <c r="AE115" s="59" t="s">
        <v>123</v>
      </c>
      <c r="AF115" s="59" t="s">
        <v>123</v>
      </c>
      <c r="AG115" s="59" t="s">
        <v>123</v>
      </c>
    </row>
    <row r="116" spans="1:33" s="63" customFormat="1" ht="12" customHeight="1" x14ac:dyDescent="0.15">
      <c r="A116" s="144"/>
      <c r="B116" s="34">
        <f t="shared" si="1"/>
        <v>110</v>
      </c>
      <c r="C116" s="132"/>
      <c r="D116" s="133"/>
      <c r="E116" s="65" t="s">
        <v>463</v>
      </c>
      <c r="F116" s="65" t="s">
        <v>482</v>
      </c>
      <c r="G116" s="52" t="s">
        <v>439</v>
      </c>
      <c r="H116" s="137" t="s">
        <v>137</v>
      </c>
      <c r="I116" s="137">
        <v>1</v>
      </c>
      <c r="J116" s="67" t="s">
        <v>232</v>
      </c>
      <c r="K116" s="137" t="s">
        <v>138</v>
      </c>
      <c r="L116" s="137"/>
      <c r="M116" s="137" t="s">
        <v>534</v>
      </c>
      <c r="N116" s="137" t="s">
        <v>384</v>
      </c>
      <c r="O116" s="137" t="s">
        <v>467</v>
      </c>
      <c r="P116" s="137" t="s">
        <v>371</v>
      </c>
      <c r="Q116" s="138" t="s">
        <v>193</v>
      </c>
      <c r="R116" s="138" t="s">
        <v>123</v>
      </c>
      <c r="S116" s="59" t="s">
        <v>123</v>
      </c>
      <c r="T116" s="59" t="s">
        <v>123</v>
      </c>
      <c r="U116" s="59" t="s">
        <v>123</v>
      </c>
      <c r="V116" s="59" t="s">
        <v>123</v>
      </c>
      <c r="W116" s="59" t="s">
        <v>123</v>
      </c>
      <c r="X116" s="59" t="s">
        <v>123</v>
      </c>
      <c r="Y116" s="59" t="s">
        <v>123</v>
      </c>
      <c r="Z116" s="59" t="s">
        <v>123</v>
      </c>
      <c r="AA116" s="59" t="s">
        <v>123</v>
      </c>
      <c r="AB116" s="59" t="s">
        <v>123</v>
      </c>
      <c r="AC116" s="59" t="s">
        <v>123</v>
      </c>
      <c r="AD116" s="59" t="s">
        <v>123</v>
      </c>
      <c r="AE116" s="59" t="s">
        <v>123</v>
      </c>
      <c r="AF116" s="59" t="s">
        <v>123</v>
      </c>
      <c r="AG116" s="59" t="s">
        <v>145</v>
      </c>
    </row>
    <row r="117" spans="1:33" s="51" customFormat="1" ht="12" customHeight="1" x14ac:dyDescent="0.15">
      <c r="A117" s="143"/>
      <c r="B117" s="34">
        <f t="shared" si="1"/>
        <v>111</v>
      </c>
      <c r="C117" s="132"/>
      <c r="D117" s="134" t="s">
        <v>483</v>
      </c>
      <c r="E117" s="65" t="s">
        <v>484</v>
      </c>
      <c r="F117" s="65" t="s">
        <v>485</v>
      </c>
      <c r="G117" s="52" t="s">
        <v>382</v>
      </c>
      <c r="H117" s="139" t="s">
        <v>383</v>
      </c>
      <c r="I117" s="139">
        <v>10</v>
      </c>
      <c r="J117" s="67" t="s">
        <v>232</v>
      </c>
      <c r="K117" s="137" t="s">
        <v>138</v>
      </c>
      <c r="L117" s="137"/>
      <c r="M117" s="137" t="s">
        <v>534</v>
      </c>
      <c r="N117" s="137" t="s">
        <v>384</v>
      </c>
      <c r="O117" s="137" t="s">
        <v>467</v>
      </c>
      <c r="P117" s="137" t="s">
        <v>371</v>
      </c>
      <c r="Q117" s="138" t="s">
        <v>193</v>
      </c>
      <c r="R117" s="138" t="s">
        <v>123</v>
      </c>
      <c r="S117" s="59" t="s">
        <v>123</v>
      </c>
      <c r="T117" s="59" t="s">
        <v>123</v>
      </c>
      <c r="U117" s="59" t="s">
        <v>123</v>
      </c>
      <c r="V117" s="59" t="s">
        <v>123</v>
      </c>
      <c r="W117" s="59" t="s">
        <v>123</v>
      </c>
      <c r="X117" s="59" t="s">
        <v>123</v>
      </c>
      <c r="Y117" s="59" t="s">
        <v>145</v>
      </c>
      <c r="Z117" s="59" t="s">
        <v>145</v>
      </c>
      <c r="AA117" s="59" t="s">
        <v>145</v>
      </c>
      <c r="AB117" s="59" t="s">
        <v>145</v>
      </c>
      <c r="AC117" s="59" t="s">
        <v>123</v>
      </c>
      <c r="AD117" s="59" t="s">
        <v>123</v>
      </c>
      <c r="AE117" s="59" t="s">
        <v>123</v>
      </c>
      <c r="AF117" s="59" t="s">
        <v>123</v>
      </c>
      <c r="AG117" s="59" t="s">
        <v>123</v>
      </c>
    </row>
    <row r="118" spans="1:33" s="51" customFormat="1" ht="12" customHeight="1" x14ac:dyDescent="0.15">
      <c r="A118" s="143"/>
      <c r="B118" s="34">
        <f t="shared" si="1"/>
        <v>112</v>
      </c>
      <c r="C118" s="132"/>
      <c r="D118" s="135"/>
      <c r="E118" s="65" t="s">
        <v>486</v>
      </c>
      <c r="F118" s="65" t="s">
        <v>485</v>
      </c>
      <c r="G118" s="52" t="s">
        <v>382</v>
      </c>
      <c r="H118" s="139" t="s">
        <v>383</v>
      </c>
      <c r="I118" s="139">
        <v>10</v>
      </c>
      <c r="J118" s="67" t="s">
        <v>232</v>
      </c>
      <c r="K118" s="137" t="s">
        <v>138</v>
      </c>
      <c r="L118" s="137"/>
      <c r="M118" s="137" t="s">
        <v>534</v>
      </c>
      <c r="N118" s="137" t="s">
        <v>384</v>
      </c>
      <c r="O118" s="137" t="s">
        <v>467</v>
      </c>
      <c r="P118" s="137" t="s">
        <v>371</v>
      </c>
      <c r="Q118" s="138" t="s">
        <v>193</v>
      </c>
      <c r="R118" s="138" t="s">
        <v>123</v>
      </c>
      <c r="S118" s="59" t="s">
        <v>123</v>
      </c>
      <c r="T118" s="59" t="s">
        <v>123</v>
      </c>
      <c r="U118" s="59" t="s">
        <v>123</v>
      </c>
      <c r="V118" s="59" t="s">
        <v>123</v>
      </c>
      <c r="W118" s="59" t="s">
        <v>123</v>
      </c>
      <c r="X118" s="59" t="s">
        <v>123</v>
      </c>
      <c r="Y118" s="59" t="s">
        <v>123</v>
      </c>
      <c r="Z118" s="59" t="s">
        <v>123</v>
      </c>
      <c r="AA118" s="59" t="s">
        <v>123</v>
      </c>
      <c r="AB118" s="59" t="s">
        <v>123</v>
      </c>
      <c r="AC118" s="59" t="s">
        <v>123</v>
      </c>
      <c r="AD118" s="59" t="s">
        <v>123</v>
      </c>
      <c r="AE118" s="59" t="s">
        <v>123</v>
      </c>
      <c r="AF118" s="59" t="s">
        <v>123</v>
      </c>
      <c r="AG118" s="59" t="s">
        <v>145</v>
      </c>
    </row>
    <row r="119" spans="1:33" s="51" customFormat="1" ht="12" customHeight="1" x14ac:dyDescent="0.15">
      <c r="A119" s="143"/>
      <c r="B119" s="34">
        <f t="shared" si="1"/>
        <v>113</v>
      </c>
      <c r="C119" s="132"/>
      <c r="D119" s="134" t="s">
        <v>487</v>
      </c>
      <c r="E119" s="65" t="s">
        <v>484</v>
      </c>
      <c r="F119" s="65" t="s">
        <v>488</v>
      </c>
      <c r="G119" s="52" t="s">
        <v>382</v>
      </c>
      <c r="H119" s="139" t="s">
        <v>383</v>
      </c>
      <c r="I119" s="139">
        <v>10</v>
      </c>
      <c r="J119" s="67" t="s">
        <v>232</v>
      </c>
      <c r="K119" s="137" t="s">
        <v>138</v>
      </c>
      <c r="L119" s="137"/>
      <c r="M119" s="137" t="s">
        <v>534</v>
      </c>
      <c r="N119" s="137" t="s">
        <v>384</v>
      </c>
      <c r="O119" s="137" t="s">
        <v>467</v>
      </c>
      <c r="P119" s="137" t="s">
        <v>371</v>
      </c>
      <c r="Q119" s="138" t="s">
        <v>193</v>
      </c>
      <c r="R119" s="138" t="s">
        <v>123</v>
      </c>
      <c r="S119" s="59" t="s">
        <v>123</v>
      </c>
      <c r="T119" s="59" t="s">
        <v>123</v>
      </c>
      <c r="U119" s="59" t="s">
        <v>123</v>
      </c>
      <c r="V119" s="59" t="s">
        <v>123</v>
      </c>
      <c r="W119" s="59" t="s">
        <v>123</v>
      </c>
      <c r="X119" s="59" t="s">
        <v>123</v>
      </c>
      <c r="Y119" s="59" t="s">
        <v>145</v>
      </c>
      <c r="Z119" s="59" t="s">
        <v>145</v>
      </c>
      <c r="AA119" s="59" t="s">
        <v>145</v>
      </c>
      <c r="AB119" s="59" t="s">
        <v>145</v>
      </c>
      <c r="AC119" s="59" t="s">
        <v>123</v>
      </c>
      <c r="AD119" s="59" t="s">
        <v>123</v>
      </c>
      <c r="AE119" s="59" t="s">
        <v>123</v>
      </c>
      <c r="AF119" s="59" t="s">
        <v>123</v>
      </c>
      <c r="AG119" s="59" t="s">
        <v>123</v>
      </c>
    </row>
    <row r="120" spans="1:33" s="51" customFormat="1" ht="12" customHeight="1" x14ac:dyDescent="0.15">
      <c r="A120" s="143"/>
      <c r="B120" s="34">
        <f t="shared" si="1"/>
        <v>114</v>
      </c>
      <c r="C120" s="132"/>
      <c r="D120" s="135"/>
      <c r="E120" s="65" t="s">
        <v>486</v>
      </c>
      <c r="F120" s="65" t="s">
        <v>488</v>
      </c>
      <c r="G120" s="52" t="s">
        <v>382</v>
      </c>
      <c r="H120" s="139" t="s">
        <v>383</v>
      </c>
      <c r="I120" s="139">
        <v>10</v>
      </c>
      <c r="J120" s="67" t="s">
        <v>232</v>
      </c>
      <c r="K120" s="137" t="s">
        <v>138</v>
      </c>
      <c r="L120" s="137"/>
      <c r="M120" s="137" t="s">
        <v>534</v>
      </c>
      <c r="N120" s="137" t="s">
        <v>384</v>
      </c>
      <c r="O120" s="137" t="s">
        <v>467</v>
      </c>
      <c r="P120" s="137" t="s">
        <v>371</v>
      </c>
      <c r="Q120" s="138" t="s">
        <v>193</v>
      </c>
      <c r="R120" s="138" t="s">
        <v>123</v>
      </c>
      <c r="S120" s="59" t="s">
        <v>123</v>
      </c>
      <c r="T120" s="59" t="s">
        <v>123</v>
      </c>
      <c r="U120" s="59" t="s">
        <v>123</v>
      </c>
      <c r="V120" s="59" t="s">
        <v>123</v>
      </c>
      <c r="W120" s="59" t="s">
        <v>123</v>
      </c>
      <c r="X120" s="59" t="s">
        <v>123</v>
      </c>
      <c r="Y120" s="59" t="s">
        <v>123</v>
      </c>
      <c r="Z120" s="59" t="s">
        <v>123</v>
      </c>
      <c r="AA120" s="59" t="s">
        <v>123</v>
      </c>
      <c r="AB120" s="59" t="s">
        <v>123</v>
      </c>
      <c r="AC120" s="59" t="s">
        <v>123</v>
      </c>
      <c r="AD120" s="59" t="s">
        <v>123</v>
      </c>
      <c r="AE120" s="59" t="s">
        <v>123</v>
      </c>
      <c r="AF120" s="59" t="s">
        <v>123</v>
      </c>
      <c r="AG120" s="59" t="s">
        <v>145</v>
      </c>
    </row>
    <row r="121" spans="1:33" s="51" customFormat="1" ht="12" customHeight="1" x14ac:dyDescent="0.15">
      <c r="A121" s="143"/>
      <c r="B121" s="34">
        <f t="shared" si="1"/>
        <v>115</v>
      </c>
      <c r="C121" s="132"/>
      <c r="D121" s="134" t="s">
        <v>489</v>
      </c>
      <c r="E121" s="65" t="s">
        <v>484</v>
      </c>
      <c r="F121" s="65" t="s">
        <v>490</v>
      </c>
      <c r="G121" s="52" t="s">
        <v>382</v>
      </c>
      <c r="H121" s="139" t="s">
        <v>383</v>
      </c>
      <c r="I121" s="139">
        <v>10</v>
      </c>
      <c r="J121" s="67" t="s">
        <v>232</v>
      </c>
      <c r="K121" s="137" t="s">
        <v>138</v>
      </c>
      <c r="L121" s="137"/>
      <c r="M121" s="137" t="s">
        <v>534</v>
      </c>
      <c r="N121" s="137" t="s">
        <v>384</v>
      </c>
      <c r="O121" s="137" t="s">
        <v>467</v>
      </c>
      <c r="P121" s="137" t="s">
        <v>371</v>
      </c>
      <c r="Q121" s="138" t="s">
        <v>193</v>
      </c>
      <c r="R121" s="138" t="s">
        <v>123</v>
      </c>
      <c r="S121" s="59" t="s">
        <v>123</v>
      </c>
      <c r="T121" s="59" t="s">
        <v>123</v>
      </c>
      <c r="U121" s="59" t="s">
        <v>123</v>
      </c>
      <c r="V121" s="59" t="s">
        <v>123</v>
      </c>
      <c r="W121" s="59" t="s">
        <v>123</v>
      </c>
      <c r="X121" s="59" t="s">
        <v>123</v>
      </c>
      <c r="Y121" s="59" t="s">
        <v>145</v>
      </c>
      <c r="Z121" s="59" t="s">
        <v>145</v>
      </c>
      <c r="AA121" s="59" t="s">
        <v>145</v>
      </c>
      <c r="AB121" s="59" t="s">
        <v>145</v>
      </c>
      <c r="AC121" s="59" t="s">
        <v>123</v>
      </c>
      <c r="AD121" s="59" t="s">
        <v>123</v>
      </c>
      <c r="AE121" s="59" t="s">
        <v>123</v>
      </c>
      <c r="AF121" s="59" t="s">
        <v>123</v>
      </c>
      <c r="AG121" s="59" t="s">
        <v>123</v>
      </c>
    </row>
    <row r="122" spans="1:33" s="51" customFormat="1" ht="12" customHeight="1" x14ac:dyDescent="0.15">
      <c r="A122" s="143"/>
      <c r="B122" s="34">
        <f t="shared" si="1"/>
        <v>116</v>
      </c>
      <c r="C122" s="132"/>
      <c r="D122" s="135"/>
      <c r="E122" s="65" t="s">
        <v>486</v>
      </c>
      <c r="F122" s="65" t="s">
        <v>490</v>
      </c>
      <c r="G122" s="52" t="s">
        <v>382</v>
      </c>
      <c r="H122" s="139" t="s">
        <v>383</v>
      </c>
      <c r="I122" s="139">
        <v>10</v>
      </c>
      <c r="J122" s="67" t="s">
        <v>232</v>
      </c>
      <c r="K122" s="137" t="s">
        <v>138</v>
      </c>
      <c r="L122" s="137"/>
      <c r="M122" s="137" t="s">
        <v>534</v>
      </c>
      <c r="N122" s="137" t="s">
        <v>384</v>
      </c>
      <c r="O122" s="137" t="s">
        <v>467</v>
      </c>
      <c r="P122" s="137" t="s">
        <v>371</v>
      </c>
      <c r="Q122" s="138" t="s">
        <v>193</v>
      </c>
      <c r="R122" s="138" t="s">
        <v>123</v>
      </c>
      <c r="S122" s="59" t="s">
        <v>123</v>
      </c>
      <c r="T122" s="59" t="s">
        <v>123</v>
      </c>
      <c r="U122" s="59" t="s">
        <v>123</v>
      </c>
      <c r="V122" s="59" t="s">
        <v>123</v>
      </c>
      <c r="W122" s="59" t="s">
        <v>123</v>
      </c>
      <c r="X122" s="59" t="s">
        <v>123</v>
      </c>
      <c r="Y122" s="59" t="s">
        <v>123</v>
      </c>
      <c r="Z122" s="59" t="s">
        <v>123</v>
      </c>
      <c r="AA122" s="59" t="s">
        <v>123</v>
      </c>
      <c r="AB122" s="59" t="s">
        <v>123</v>
      </c>
      <c r="AC122" s="59" t="s">
        <v>123</v>
      </c>
      <c r="AD122" s="59" t="s">
        <v>123</v>
      </c>
      <c r="AE122" s="59" t="s">
        <v>123</v>
      </c>
      <c r="AF122" s="59" t="s">
        <v>123</v>
      </c>
      <c r="AG122" s="59" t="s">
        <v>145</v>
      </c>
    </row>
    <row r="123" spans="1:33" s="51" customFormat="1" ht="12" customHeight="1" x14ac:dyDescent="0.15">
      <c r="A123" s="143"/>
      <c r="B123" s="34">
        <f t="shared" si="1"/>
        <v>117</v>
      </c>
      <c r="C123" s="132"/>
      <c r="D123" s="134" t="s">
        <v>491</v>
      </c>
      <c r="E123" s="65" t="s">
        <v>492</v>
      </c>
      <c r="F123" s="65" t="s">
        <v>493</v>
      </c>
      <c r="G123" s="52" t="s">
        <v>382</v>
      </c>
      <c r="H123" s="139" t="s">
        <v>383</v>
      </c>
      <c r="I123" s="139">
        <v>10</v>
      </c>
      <c r="J123" s="67" t="s">
        <v>232</v>
      </c>
      <c r="K123" s="137" t="s">
        <v>138</v>
      </c>
      <c r="L123" s="137"/>
      <c r="M123" s="137" t="s">
        <v>534</v>
      </c>
      <c r="N123" s="137" t="s">
        <v>384</v>
      </c>
      <c r="O123" s="137" t="s">
        <v>411</v>
      </c>
      <c r="P123" s="137" t="s">
        <v>371</v>
      </c>
      <c r="Q123" s="138" t="s">
        <v>193</v>
      </c>
      <c r="R123" s="138" t="s">
        <v>123</v>
      </c>
      <c r="S123" s="59" t="s">
        <v>123</v>
      </c>
      <c r="T123" s="59" t="s">
        <v>123</v>
      </c>
      <c r="U123" s="59" t="s">
        <v>123</v>
      </c>
      <c r="V123" s="59" t="s">
        <v>123</v>
      </c>
      <c r="W123" s="59" t="s">
        <v>123</v>
      </c>
      <c r="X123" s="59" t="s">
        <v>123</v>
      </c>
      <c r="Y123" s="59" t="s">
        <v>145</v>
      </c>
      <c r="Z123" s="59" t="s">
        <v>145</v>
      </c>
      <c r="AA123" s="59" t="s">
        <v>145</v>
      </c>
      <c r="AB123" s="59" t="s">
        <v>145</v>
      </c>
      <c r="AC123" s="59" t="s">
        <v>123</v>
      </c>
      <c r="AD123" s="59" t="s">
        <v>123</v>
      </c>
      <c r="AE123" s="59" t="s">
        <v>123</v>
      </c>
      <c r="AF123" s="59" t="s">
        <v>123</v>
      </c>
      <c r="AG123" s="59" t="s">
        <v>123</v>
      </c>
    </row>
    <row r="124" spans="1:33" s="51" customFormat="1" ht="12" customHeight="1" x14ac:dyDescent="0.15">
      <c r="A124" s="143"/>
      <c r="B124" s="34">
        <f t="shared" si="1"/>
        <v>118</v>
      </c>
      <c r="C124" s="132"/>
      <c r="D124" s="135"/>
      <c r="E124" s="65" t="s">
        <v>494</v>
      </c>
      <c r="F124" s="65" t="s">
        <v>493</v>
      </c>
      <c r="G124" s="52" t="s">
        <v>382</v>
      </c>
      <c r="H124" s="139" t="s">
        <v>383</v>
      </c>
      <c r="I124" s="139">
        <v>10</v>
      </c>
      <c r="J124" s="67" t="s">
        <v>232</v>
      </c>
      <c r="K124" s="137" t="s">
        <v>138</v>
      </c>
      <c r="L124" s="137"/>
      <c r="M124" s="137" t="s">
        <v>534</v>
      </c>
      <c r="N124" s="137" t="s">
        <v>384</v>
      </c>
      <c r="O124" s="137" t="s">
        <v>411</v>
      </c>
      <c r="P124" s="137" t="s">
        <v>371</v>
      </c>
      <c r="Q124" s="138" t="s">
        <v>193</v>
      </c>
      <c r="R124" s="138" t="s">
        <v>123</v>
      </c>
      <c r="S124" s="59" t="s">
        <v>123</v>
      </c>
      <c r="T124" s="59" t="s">
        <v>123</v>
      </c>
      <c r="U124" s="59" t="s">
        <v>123</v>
      </c>
      <c r="V124" s="59" t="s">
        <v>123</v>
      </c>
      <c r="W124" s="59" t="s">
        <v>123</v>
      </c>
      <c r="X124" s="59" t="s">
        <v>123</v>
      </c>
      <c r="Y124" s="59" t="s">
        <v>123</v>
      </c>
      <c r="Z124" s="59" t="s">
        <v>123</v>
      </c>
      <c r="AA124" s="59" t="s">
        <v>123</v>
      </c>
      <c r="AB124" s="59" t="s">
        <v>123</v>
      </c>
      <c r="AC124" s="59" t="s">
        <v>123</v>
      </c>
      <c r="AD124" s="59" t="s">
        <v>123</v>
      </c>
      <c r="AE124" s="59" t="s">
        <v>123</v>
      </c>
      <c r="AF124" s="59" t="s">
        <v>123</v>
      </c>
      <c r="AG124" s="59" t="s">
        <v>145</v>
      </c>
    </row>
    <row r="125" spans="1:33" s="51" customFormat="1" ht="12" customHeight="1" x14ac:dyDescent="0.15">
      <c r="A125" s="143"/>
      <c r="B125" s="34">
        <f t="shared" si="1"/>
        <v>119</v>
      </c>
      <c r="C125" s="132"/>
      <c r="D125" s="134" t="s">
        <v>495</v>
      </c>
      <c r="E125" s="65" t="s">
        <v>492</v>
      </c>
      <c r="F125" s="65" t="s">
        <v>496</v>
      </c>
      <c r="G125" s="52" t="s">
        <v>382</v>
      </c>
      <c r="H125" s="139" t="s">
        <v>383</v>
      </c>
      <c r="I125" s="139">
        <v>10</v>
      </c>
      <c r="J125" s="67" t="s">
        <v>232</v>
      </c>
      <c r="K125" s="137" t="s">
        <v>138</v>
      </c>
      <c r="L125" s="137"/>
      <c r="M125" s="137" t="s">
        <v>534</v>
      </c>
      <c r="N125" s="137" t="s">
        <v>384</v>
      </c>
      <c r="O125" s="137" t="s">
        <v>411</v>
      </c>
      <c r="P125" s="137" t="s">
        <v>371</v>
      </c>
      <c r="Q125" s="138" t="s">
        <v>193</v>
      </c>
      <c r="R125" s="138" t="s">
        <v>123</v>
      </c>
      <c r="S125" s="59" t="s">
        <v>123</v>
      </c>
      <c r="T125" s="59" t="s">
        <v>123</v>
      </c>
      <c r="U125" s="59" t="s">
        <v>123</v>
      </c>
      <c r="V125" s="59" t="s">
        <v>123</v>
      </c>
      <c r="W125" s="59" t="s">
        <v>123</v>
      </c>
      <c r="X125" s="59" t="s">
        <v>123</v>
      </c>
      <c r="Y125" s="59" t="s">
        <v>145</v>
      </c>
      <c r="Z125" s="59" t="s">
        <v>145</v>
      </c>
      <c r="AA125" s="59" t="s">
        <v>145</v>
      </c>
      <c r="AB125" s="59" t="s">
        <v>145</v>
      </c>
      <c r="AC125" s="59" t="s">
        <v>123</v>
      </c>
      <c r="AD125" s="59" t="s">
        <v>123</v>
      </c>
      <c r="AE125" s="59" t="s">
        <v>123</v>
      </c>
      <c r="AF125" s="59" t="s">
        <v>123</v>
      </c>
      <c r="AG125" s="59" t="s">
        <v>123</v>
      </c>
    </row>
    <row r="126" spans="1:33" s="51" customFormat="1" ht="12" customHeight="1" x14ac:dyDescent="0.15">
      <c r="A126" s="143"/>
      <c r="B126" s="34">
        <f t="shared" si="1"/>
        <v>120</v>
      </c>
      <c r="C126" s="132"/>
      <c r="D126" s="135"/>
      <c r="E126" s="65" t="s">
        <v>494</v>
      </c>
      <c r="F126" s="65" t="s">
        <v>496</v>
      </c>
      <c r="G126" s="52" t="s">
        <v>382</v>
      </c>
      <c r="H126" s="139" t="s">
        <v>383</v>
      </c>
      <c r="I126" s="139">
        <v>10</v>
      </c>
      <c r="J126" s="67" t="s">
        <v>232</v>
      </c>
      <c r="K126" s="137" t="s">
        <v>138</v>
      </c>
      <c r="L126" s="137"/>
      <c r="M126" s="137" t="s">
        <v>534</v>
      </c>
      <c r="N126" s="137" t="s">
        <v>384</v>
      </c>
      <c r="O126" s="137" t="s">
        <v>411</v>
      </c>
      <c r="P126" s="137" t="s">
        <v>371</v>
      </c>
      <c r="Q126" s="138" t="s">
        <v>193</v>
      </c>
      <c r="R126" s="138" t="s">
        <v>123</v>
      </c>
      <c r="S126" s="59" t="s">
        <v>123</v>
      </c>
      <c r="T126" s="59" t="s">
        <v>123</v>
      </c>
      <c r="U126" s="59" t="s">
        <v>123</v>
      </c>
      <c r="V126" s="59" t="s">
        <v>123</v>
      </c>
      <c r="W126" s="59" t="s">
        <v>123</v>
      </c>
      <c r="X126" s="59" t="s">
        <v>123</v>
      </c>
      <c r="Y126" s="59" t="s">
        <v>123</v>
      </c>
      <c r="Z126" s="59" t="s">
        <v>123</v>
      </c>
      <c r="AA126" s="59" t="s">
        <v>123</v>
      </c>
      <c r="AB126" s="59" t="s">
        <v>123</v>
      </c>
      <c r="AC126" s="59" t="s">
        <v>123</v>
      </c>
      <c r="AD126" s="59" t="s">
        <v>123</v>
      </c>
      <c r="AE126" s="59" t="s">
        <v>123</v>
      </c>
      <c r="AF126" s="59" t="s">
        <v>123</v>
      </c>
      <c r="AG126" s="59" t="s">
        <v>145</v>
      </c>
    </row>
    <row r="127" spans="1:33" s="51" customFormat="1" ht="24" x14ac:dyDescent="0.15">
      <c r="A127" s="143"/>
      <c r="B127" s="34">
        <f t="shared" si="1"/>
        <v>121</v>
      </c>
      <c r="C127" s="132"/>
      <c r="D127" s="134" t="s">
        <v>497</v>
      </c>
      <c r="E127" s="65" t="s">
        <v>492</v>
      </c>
      <c r="F127" s="65" t="s">
        <v>498</v>
      </c>
      <c r="G127" s="52" t="s">
        <v>382</v>
      </c>
      <c r="H127" s="139" t="s">
        <v>383</v>
      </c>
      <c r="I127" s="139">
        <v>10</v>
      </c>
      <c r="J127" s="67" t="s">
        <v>232</v>
      </c>
      <c r="K127" s="137" t="s">
        <v>138</v>
      </c>
      <c r="L127" s="137"/>
      <c r="M127" s="137" t="s">
        <v>534</v>
      </c>
      <c r="N127" s="137" t="s">
        <v>384</v>
      </c>
      <c r="O127" s="137" t="s">
        <v>411</v>
      </c>
      <c r="P127" s="137" t="s">
        <v>371</v>
      </c>
      <c r="Q127" s="138" t="s">
        <v>193</v>
      </c>
      <c r="R127" s="138" t="s">
        <v>123</v>
      </c>
      <c r="S127" s="59" t="s">
        <v>123</v>
      </c>
      <c r="T127" s="59" t="s">
        <v>123</v>
      </c>
      <c r="U127" s="59" t="s">
        <v>123</v>
      </c>
      <c r="V127" s="59" t="s">
        <v>123</v>
      </c>
      <c r="W127" s="59" t="s">
        <v>123</v>
      </c>
      <c r="X127" s="59" t="s">
        <v>123</v>
      </c>
      <c r="Y127" s="59" t="s">
        <v>145</v>
      </c>
      <c r="Z127" s="59" t="s">
        <v>145</v>
      </c>
      <c r="AA127" s="59" t="s">
        <v>145</v>
      </c>
      <c r="AB127" s="59" t="s">
        <v>145</v>
      </c>
      <c r="AC127" s="59" t="s">
        <v>123</v>
      </c>
      <c r="AD127" s="59" t="s">
        <v>123</v>
      </c>
      <c r="AE127" s="59" t="s">
        <v>123</v>
      </c>
      <c r="AF127" s="59" t="s">
        <v>123</v>
      </c>
      <c r="AG127" s="59" t="s">
        <v>123</v>
      </c>
    </row>
    <row r="128" spans="1:33" s="51" customFormat="1" ht="24" x14ac:dyDescent="0.15">
      <c r="A128" s="143"/>
      <c r="B128" s="34">
        <f t="shared" si="1"/>
        <v>122</v>
      </c>
      <c r="C128" s="132"/>
      <c r="D128" s="135"/>
      <c r="E128" s="65" t="s">
        <v>494</v>
      </c>
      <c r="F128" s="65" t="s">
        <v>498</v>
      </c>
      <c r="G128" s="52" t="s">
        <v>382</v>
      </c>
      <c r="H128" s="139" t="s">
        <v>383</v>
      </c>
      <c r="I128" s="139">
        <v>10</v>
      </c>
      <c r="J128" s="67" t="s">
        <v>232</v>
      </c>
      <c r="K128" s="137" t="s">
        <v>138</v>
      </c>
      <c r="L128" s="137"/>
      <c r="M128" s="137" t="s">
        <v>534</v>
      </c>
      <c r="N128" s="137" t="s">
        <v>384</v>
      </c>
      <c r="O128" s="137" t="s">
        <v>411</v>
      </c>
      <c r="P128" s="137" t="s">
        <v>371</v>
      </c>
      <c r="Q128" s="138" t="s">
        <v>193</v>
      </c>
      <c r="R128" s="138" t="s">
        <v>123</v>
      </c>
      <c r="S128" s="59" t="s">
        <v>123</v>
      </c>
      <c r="T128" s="59" t="s">
        <v>123</v>
      </c>
      <c r="U128" s="59" t="s">
        <v>123</v>
      </c>
      <c r="V128" s="59" t="s">
        <v>123</v>
      </c>
      <c r="W128" s="59" t="s">
        <v>123</v>
      </c>
      <c r="X128" s="59" t="s">
        <v>123</v>
      </c>
      <c r="Y128" s="59" t="s">
        <v>123</v>
      </c>
      <c r="Z128" s="59" t="s">
        <v>123</v>
      </c>
      <c r="AA128" s="59" t="s">
        <v>123</v>
      </c>
      <c r="AB128" s="59" t="s">
        <v>123</v>
      </c>
      <c r="AC128" s="59" t="s">
        <v>123</v>
      </c>
      <c r="AD128" s="59" t="s">
        <v>123</v>
      </c>
      <c r="AE128" s="59" t="s">
        <v>123</v>
      </c>
      <c r="AF128" s="59" t="s">
        <v>123</v>
      </c>
      <c r="AG128" s="59" t="s">
        <v>145</v>
      </c>
    </row>
    <row r="129" spans="1:33" s="51" customFormat="1" ht="12" customHeight="1" x14ac:dyDescent="0.15">
      <c r="A129" s="143"/>
      <c r="B129" s="34">
        <f t="shared" si="1"/>
        <v>123</v>
      </c>
      <c r="C129" s="132"/>
      <c r="D129" s="131" t="s">
        <v>499</v>
      </c>
      <c r="E129" s="65" t="s">
        <v>437</v>
      </c>
      <c r="F129" s="65" t="s">
        <v>500</v>
      </c>
      <c r="G129" s="52" t="s">
        <v>439</v>
      </c>
      <c r="H129" s="137" t="s">
        <v>137</v>
      </c>
      <c r="I129" s="137">
        <v>1</v>
      </c>
      <c r="J129" s="67" t="s">
        <v>232</v>
      </c>
      <c r="K129" s="137" t="s">
        <v>138</v>
      </c>
      <c r="L129" s="137"/>
      <c r="M129" s="137" t="s">
        <v>534</v>
      </c>
      <c r="N129" s="137" t="s">
        <v>384</v>
      </c>
      <c r="O129" s="137" t="s">
        <v>467</v>
      </c>
      <c r="P129" s="137" t="s">
        <v>371</v>
      </c>
      <c r="Q129" s="138" t="s">
        <v>193</v>
      </c>
      <c r="R129" s="138" t="s">
        <v>123</v>
      </c>
      <c r="S129" s="59" t="s">
        <v>123</v>
      </c>
      <c r="T129" s="59" t="s">
        <v>123</v>
      </c>
      <c r="U129" s="59" t="s">
        <v>123</v>
      </c>
      <c r="V129" s="59" t="s">
        <v>123</v>
      </c>
      <c r="W129" s="59" t="s">
        <v>123</v>
      </c>
      <c r="X129" s="59" t="s">
        <v>123</v>
      </c>
      <c r="Y129" s="59" t="s">
        <v>123</v>
      </c>
      <c r="Z129" s="59" t="s">
        <v>123</v>
      </c>
      <c r="AA129" s="59" t="s">
        <v>123</v>
      </c>
      <c r="AB129" s="59" t="s">
        <v>123</v>
      </c>
      <c r="AC129" s="59" t="s">
        <v>145</v>
      </c>
      <c r="AD129" s="59" t="s">
        <v>145</v>
      </c>
      <c r="AE129" s="59" t="s">
        <v>123</v>
      </c>
      <c r="AF129" s="59" t="s">
        <v>123</v>
      </c>
      <c r="AG129" s="59" t="s">
        <v>123</v>
      </c>
    </row>
    <row r="130" spans="1:33" s="51" customFormat="1" ht="12" customHeight="1" x14ac:dyDescent="0.15">
      <c r="A130" s="143"/>
      <c r="B130" s="34">
        <f t="shared" si="1"/>
        <v>124</v>
      </c>
      <c r="C130" s="132"/>
      <c r="D130" s="132"/>
      <c r="E130" s="65" t="s">
        <v>437</v>
      </c>
      <c r="F130" s="65" t="s">
        <v>501</v>
      </c>
      <c r="G130" s="52" t="s">
        <v>439</v>
      </c>
      <c r="H130" s="137" t="s">
        <v>137</v>
      </c>
      <c r="I130" s="137">
        <v>1</v>
      </c>
      <c r="J130" s="67" t="s">
        <v>232</v>
      </c>
      <c r="K130" s="137" t="s">
        <v>138</v>
      </c>
      <c r="L130" s="137"/>
      <c r="M130" s="137" t="s">
        <v>534</v>
      </c>
      <c r="N130" s="137" t="s">
        <v>384</v>
      </c>
      <c r="O130" s="137" t="s">
        <v>467</v>
      </c>
      <c r="P130" s="137" t="s">
        <v>371</v>
      </c>
      <c r="Q130" s="138" t="s">
        <v>193</v>
      </c>
      <c r="R130" s="138" t="s">
        <v>123</v>
      </c>
      <c r="S130" s="59" t="s">
        <v>123</v>
      </c>
      <c r="T130" s="59" t="s">
        <v>123</v>
      </c>
      <c r="U130" s="59" t="s">
        <v>123</v>
      </c>
      <c r="V130" s="59" t="s">
        <v>123</v>
      </c>
      <c r="W130" s="59" t="s">
        <v>123</v>
      </c>
      <c r="X130" s="59" t="s">
        <v>123</v>
      </c>
      <c r="Y130" s="59" t="s">
        <v>123</v>
      </c>
      <c r="Z130" s="59" t="s">
        <v>123</v>
      </c>
      <c r="AA130" s="59" t="s">
        <v>123</v>
      </c>
      <c r="AB130" s="59" t="s">
        <v>123</v>
      </c>
      <c r="AC130" s="59" t="s">
        <v>145</v>
      </c>
      <c r="AD130" s="59" t="s">
        <v>145</v>
      </c>
      <c r="AE130" s="59" t="s">
        <v>123</v>
      </c>
      <c r="AF130" s="59" t="s">
        <v>123</v>
      </c>
      <c r="AG130" s="59" t="s">
        <v>123</v>
      </c>
    </row>
    <row r="131" spans="1:33" s="51" customFormat="1" ht="12" customHeight="1" x14ac:dyDescent="0.15">
      <c r="A131" s="143"/>
      <c r="B131" s="34">
        <f t="shared" si="1"/>
        <v>125</v>
      </c>
      <c r="C131" s="132"/>
      <c r="D131" s="132"/>
      <c r="E131" s="65" t="s">
        <v>437</v>
      </c>
      <c r="F131" s="65" t="s">
        <v>502</v>
      </c>
      <c r="G131" s="52" t="s">
        <v>439</v>
      </c>
      <c r="H131" s="137" t="s">
        <v>137</v>
      </c>
      <c r="I131" s="137">
        <v>1</v>
      </c>
      <c r="J131" s="67" t="s">
        <v>232</v>
      </c>
      <c r="K131" s="137" t="s">
        <v>138</v>
      </c>
      <c r="L131" s="137"/>
      <c r="M131" s="137" t="s">
        <v>534</v>
      </c>
      <c r="N131" s="137" t="s">
        <v>384</v>
      </c>
      <c r="O131" s="137" t="s">
        <v>467</v>
      </c>
      <c r="P131" s="137" t="s">
        <v>371</v>
      </c>
      <c r="Q131" s="138" t="s">
        <v>193</v>
      </c>
      <c r="R131" s="138" t="s">
        <v>123</v>
      </c>
      <c r="S131" s="59" t="s">
        <v>123</v>
      </c>
      <c r="T131" s="59" t="s">
        <v>123</v>
      </c>
      <c r="U131" s="59" t="s">
        <v>123</v>
      </c>
      <c r="V131" s="59" t="s">
        <v>123</v>
      </c>
      <c r="W131" s="59" t="s">
        <v>123</v>
      </c>
      <c r="X131" s="59" t="s">
        <v>123</v>
      </c>
      <c r="Y131" s="59" t="s">
        <v>123</v>
      </c>
      <c r="Z131" s="59" t="s">
        <v>123</v>
      </c>
      <c r="AA131" s="59" t="s">
        <v>123</v>
      </c>
      <c r="AB131" s="59" t="s">
        <v>123</v>
      </c>
      <c r="AC131" s="59" t="s">
        <v>145</v>
      </c>
      <c r="AD131" s="59" t="s">
        <v>145</v>
      </c>
      <c r="AE131" s="59" t="s">
        <v>123</v>
      </c>
      <c r="AF131" s="59" t="s">
        <v>123</v>
      </c>
      <c r="AG131" s="59" t="s">
        <v>123</v>
      </c>
    </row>
    <row r="132" spans="1:33" s="51" customFormat="1" ht="12" customHeight="1" x14ac:dyDescent="0.15">
      <c r="A132" s="143"/>
      <c r="B132" s="34">
        <f t="shared" si="1"/>
        <v>126</v>
      </c>
      <c r="C132" s="132"/>
      <c r="D132" s="132"/>
      <c r="E132" s="65" t="s">
        <v>437</v>
      </c>
      <c r="F132" s="65" t="s">
        <v>503</v>
      </c>
      <c r="G132" s="52" t="s">
        <v>439</v>
      </c>
      <c r="H132" s="137" t="s">
        <v>137</v>
      </c>
      <c r="I132" s="137">
        <v>1</v>
      </c>
      <c r="J132" s="67" t="s">
        <v>232</v>
      </c>
      <c r="K132" s="137" t="s">
        <v>138</v>
      </c>
      <c r="L132" s="137"/>
      <c r="M132" s="137" t="s">
        <v>534</v>
      </c>
      <c r="N132" s="137" t="s">
        <v>384</v>
      </c>
      <c r="O132" s="137" t="s">
        <v>467</v>
      </c>
      <c r="P132" s="137" t="s">
        <v>371</v>
      </c>
      <c r="Q132" s="138" t="s">
        <v>193</v>
      </c>
      <c r="R132" s="138" t="s">
        <v>123</v>
      </c>
      <c r="S132" s="59" t="s">
        <v>123</v>
      </c>
      <c r="T132" s="59" t="s">
        <v>123</v>
      </c>
      <c r="U132" s="59" t="s">
        <v>123</v>
      </c>
      <c r="V132" s="59" t="s">
        <v>123</v>
      </c>
      <c r="W132" s="59" t="s">
        <v>123</v>
      </c>
      <c r="X132" s="59" t="s">
        <v>123</v>
      </c>
      <c r="Y132" s="59" t="s">
        <v>123</v>
      </c>
      <c r="Z132" s="59" t="s">
        <v>123</v>
      </c>
      <c r="AA132" s="59" t="s">
        <v>123</v>
      </c>
      <c r="AB132" s="59" t="s">
        <v>123</v>
      </c>
      <c r="AC132" s="59" t="s">
        <v>145</v>
      </c>
      <c r="AD132" s="59" t="s">
        <v>145</v>
      </c>
      <c r="AE132" s="59" t="s">
        <v>123</v>
      </c>
      <c r="AF132" s="59" t="s">
        <v>123</v>
      </c>
      <c r="AG132" s="59" t="s">
        <v>123</v>
      </c>
    </row>
    <row r="133" spans="1:33" s="51" customFormat="1" ht="12" customHeight="1" x14ac:dyDescent="0.15">
      <c r="A133" s="143"/>
      <c r="B133" s="34">
        <f t="shared" si="1"/>
        <v>127</v>
      </c>
      <c r="C133" s="132"/>
      <c r="D133" s="132"/>
      <c r="E133" s="65" t="s">
        <v>437</v>
      </c>
      <c r="F133" s="65" t="s">
        <v>504</v>
      </c>
      <c r="G133" s="52" t="s">
        <v>439</v>
      </c>
      <c r="H133" s="137" t="s">
        <v>137</v>
      </c>
      <c r="I133" s="137">
        <v>1</v>
      </c>
      <c r="J133" s="67" t="s">
        <v>232</v>
      </c>
      <c r="K133" s="137" t="s">
        <v>138</v>
      </c>
      <c r="L133" s="137"/>
      <c r="M133" s="137" t="s">
        <v>534</v>
      </c>
      <c r="N133" s="137" t="s">
        <v>384</v>
      </c>
      <c r="O133" s="137" t="s">
        <v>467</v>
      </c>
      <c r="P133" s="137" t="s">
        <v>371</v>
      </c>
      <c r="Q133" s="138" t="s">
        <v>193</v>
      </c>
      <c r="R133" s="138" t="s">
        <v>123</v>
      </c>
      <c r="S133" s="59" t="s">
        <v>123</v>
      </c>
      <c r="T133" s="59" t="s">
        <v>123</v>
      </c>
      <c r="U133" s="59" t="s">
        <v>123</v>
      </c>
      <c r="V133" s="59" t="s">
        <v>123</v>
      </c>
      <c r="W133" s="59" t="s">
        <v>123</v>
      </c>
      <c r="X133" s="59" t="s">
        <v>123</v>
      </c>
      <c r="Y133" s="59" t="s">
        <v>123</v>
      </c>
      <c r="Z133" s="59" t="s">
        <v>123</v>
      </c>
      <c r="AA133" s="59" t="s">
        <v>123</v>
      </c>
      <c r="AB133" s="59" t="s">
        <v>123</v>
      </c>
      <c r="AC133" s="59" t="s">
        <v>145</v>
      </c>
      <c r="AD133" s="59" t="s">
        <v>145</v>
      </c>
      <c r="AE133" s="59" t="s">
        <v>123</v>
      </c>
      <c r="AF133" s="59" t="s">
        <v>123</v>
      </c>
      <c r="AG133" s="59" t="s">
        <v>123</v>
      </c>
    </row>
    <row r="134" spans="1:33" s="51" customFormat="1" ht="12" customHeight="1" x14ac:dyDescent="0.15">
      <c r="A134" s="143"/>
      <c r="B134" s="34">
        <f t="shared" si="1"/>
        <v>128</v>
      </c>
      <c r="C134" s="132"/>
      <c r="D134" s="132"/>
      <c r="E134" s="65" t="s">
        <v>437</v>
      </c>
      <c r="F134" s="65" t="s">
        <v>505</v>
      </c>
      <c r="G134" s="52" t="s">
        <v>439</v>
      </c>
      <c r="H134" s="137" t="s">
        <v>137</v>
      </c>
      <c r="I134" s="137">
        <v>1</v>
      </c>
      <c r="J134" s="67" t="s">
        <v>232</v>
      </c>
      <c r="K134" s="137" t="s">
        <v>138</v>
      </c>
      <c r="L134" s="137"/>
      <c r="M134" s="137" t="s">
        <v>534</v>
      </c>
      <c r="N134" s="137" t="s">
        <v>384</v>
      </c>
      <c r="O134" s="137" t="s">
        <v>467</v>
      </c>
      <c r="P134" s="137" t="s">
        <v>371</v>
      </c>
      <c r="Q134" s="138" t="s">
        <v>193</v>
      </c>
      <c r="R134" s="138" t="s">
        <v>123</v>
      </c>
      <c r="S134" s="59" t="s">
        <v>123</v>
      </c>
      <c r="T134" s="59" t="s">
        <v>123</v>
      </c>
      <c r="U134" s="59" t="s">
        <v>123</v>
      </c>
      <c r="V134" s="59" t="s">
        <v>123</v>
      </c>
      <c r="W134" s="59" t="s">
        <v>123</v>
      </c>
      <c r="X134" s="59" t="s">
        <v>123</v>
      </c>
      <c r="Y134" s="59" t="s">
        <v>123</v>
      </c>
      <c r="Z134" s="59" t="s">
        <v>123</v>
      </c>
      <c r="AA134" s="59" t="s">
        <v>123</v>
      </c>
      <c r="AB134" s="59" t="s">
        <v>123</v>
      </c>
      <c r="AC134" s="59" t="s">
        <v>145</v>
      </c>
      <c r="AD134" s="59" t="s">
        <v>145</v>
      </c>
      <c r="AE134" s="59" t="s">
        <v>123</v>
      </c>
      <c r="AF134" s="59" t="s">
        <v>123</v>
      </c>
      <c r="AG134" s="59" t="s">
        <v>123</v>
      </c>
    </row>
    <row r="135" spans="1:33" s="51" customFormat="1" ht="12" customHeight="1" x14ac:dyDescent="0.15">
      <c r="A135" s="143"/>
      <c r="B135" s="34">
        <f t="shared" si="1"/>
        <v>129</v>
      </c>
      <c r="C135" s="132"/>
      <c r="D135" s="132"/>
      <c r="E135" s="65" t="s">
        <v>437</v>
      </c>
      <c r="F135" s="65" t="s">
        <v>506</v>
      </c>
      <c r="G135" s="52" t="s">
        <v>439</v>
      </c>
      <c r="H135" s="137" t="s">
        <v>137</v>
      </c>
      <c r="I135" s="137">
        <v>1</v>
      </c>
      <c r="J135" s="67" t="s">
        <v>232</v>
      </c>
      <c r="K135" s="137" t="s">
        <v>138</v>
      </c>
      <c r="L135" s="137"/>
      <c r="M135" s="137" t="s">
        <v>534</v>
      </c>
      <c r="N135" s="137" t="s">
        <v>384</v>
      </c>
      <c r="O135" s="137" t="s">
        <v>467</v>
      </c>
      <c r="P135" s="137" t="s">
        <v>371</v>
      </c>
      <c r="Q135" s="138" t="s">
        <v>193</v>
      </c>
      <c r="R135" s="138" t="s">
        <v>123</v>
      </c>
      <c r="S135" s="59" t="s">
        <v>123</v>
      </c>
      <c r="T135" s="59" t="s">
        <v>123</v>
      </c>
      <c r="U135" s="59" t="s">
        <v>123</v>
      </c>
      <c r="V135" s="59" t="s">
        <v>123</v>
      </c>
      <c r="W135" s="59" t="s">
        <v>123</v>
      </c>
      <c r="X135" s="59" t="s">
        <v>123</v>
      </c>
      <c r="Y135" s="59" t="s">
        <v>123</v>
      </c>
      <c r="Z135" s="59" t="s">
        <v>123</v>
      </c>
      <c r="AA135" s="59" t="s">
        <v>123</v>
      </c>
      <c r="AB135" s="59" t="s">
        <v>123</v>
      </c>
      <c r="AC135" s="59" t="s">
        <v>145</v>
      </c>
      <c r="AD135" s="59" t="s">
        <v>145</v>
      </c>
      <c r="AE135" s="59" t="s">
        <v>123</v>
      </c>
      <c r="AF135" s="59" t="s">
        <v>123</v>
      </c>
      <c r="AG135" s="59" t="s">
        <v>123</v>
      </c>
    </row>
    <row r="136" spans="1:33" s="51" customFormat="1" ht="12" customHeight="1" x14ac:dyDescent="0.15">
      <c r="A136" s="143"/>
      <c r="B136" s="34">
        <f t="shared" si="1"/>
        <v>130</v>
      </c>
      <c r="C136" s="132"/>
      <c r="D136" s="132"/>
      <c r="E136" s="65" t="s">
        <v>437</v>
      </c>
      <c r="F136" s="65" t="s">
        <v>507</v>
      </c>
      <c r="G136" s="52" t="s">
        <v>439</v>
      </c>
      <c r="H136" s="137" t="s">
        <v>137</v>
      </c>
      <c r="I136" s="137">
        <v>1</v>
      </c>
      <c r="J136" s="67" t="s">
        <v>232</v>
      </c>
      <c r="K136" s="137" t="s">
        <v>138</v>
      </c>
      <c r="L136" s="137"/>
      <c r="M136" s="137" t="s">
        <v>534</v>
      </c>
      <c r="N136" s="137" t="s">
        <v>384</v>
      </c>
      <c r="O136" s="137" t="s">
        <v>467</v>
      </c>
      <c r="P136" s="137" t="s">
        <v>371</v>
      </c>
      <c r="Q136" s="138" t="s">
        <v>193</v>
      </c>
      <c r="R136" s="138" t="s">
        <v>123</v>
      </c>
      <c r="S136" s="59" t="s">
        <v>123</v>
      </c>
      <c r="T136" s="59" t="s">
        <v>123</v>
      </c>
      <c r="U136" s="59" t="s">
        <v>123</v>
      </c>
      <c r="V136" s="59" t="s">
        <v>123</v>
      </c>
      <c r="W136" s="59" t="s">
        <v>123</v>
      </c>
      <c r="X136" s="59" t="s">
        <v>123</v>
      </c>
      <c r="Y136" s="59" t="s">
        <v>123</v>
      </c>
      <c r="Z136" s="59" t="s">
        <v>123</v>
      </c>
      <c r="AA136" s="59" t="s">
        <v>123</v>
      </c>
      <c r="AB136" s="59" t="s">
        <v>123</v>
      </c>
      <c r="AC136" s="59" t="s">
        <v>145</v>
      </c>
      <c r="AD136" s="59" t="s">
        <v>145</v>
      </c>
      <c r="AE136" s="59" t="s">
        <v>123</v>
      </c>
      <c r="AF136" s="59" t="s">
        <v>123</v>
      </c>
      <c r="AG136" s="59" t="s">
        <v>123</v>
      </c>
    </row>
    <row r="137" spans="1:33" s="51" customFormat="1" ht="12" customHeight="1" x14ac:dyDescent="0.15">
      <c r="A137" s="143"/>
      <c r="B137" s="34">
        <f t="shared" si="1"/>
        <v>131</v>
      </c>
      <c r="C137" s="132"/>
      <c r="D137" s="132"/>
      <c r="E137" s="65" t="s">
        <v>437</v>
      </c>
      <c r="F137" s="65" t="s">
        <v>508</v>
      </c>
      <c r="G137" s="52" t="s">
        <v>439</v>
      </c>
      <c r="H137" s="137" t="s">
        <v>137</v>
      </c>
      <c r="I137" s="137">
        <v>1</v>
      </c>
      <c r="J137" s="67" t="s">
        <v>232</v>
      </c>
      <c r="K137" s="137" t="s">
        <v>138</v>
      </c>
      <c r="L137" s="137"/>
      <c r="M137" s="137" t="s">
        <v>534</v>
      </c>
      <c r="N137" s="137" t="s">
        <v>384</v>
      </c>
      <c r="O137" s="137" t="s">
        <v>467</v>
      </c>
      <c r="P137" s="137" t="s">
        <v>371</v>
      </c>
      <c r="Q137" s="138" t="s">
        <v>193</v>
      </c>
      <c r="R137" s="138" t="s">
        <v>123</v>
      </c>
      <c r="S137" s="59" t="s">
        <v>123</v>
      </c>
      <c r="T137" s="59" t="s">
        <v>123</v>
      </c>
      <c r="U137" s="59" t="s">
        <v>123</v>
      </c>
      <c r="V137" s="59" t="s">
        <v>123</v>
      </c>
      <c r="W137" s="59" t="s">
        <v>123</v>
      </c>
      <c r="X137" s="59" t="s">
        <v>123</v>
      </c>
      <c r="Y137" s="59" t="s">
        <v>123</v>
      </c>
      <c r="Z137" s="59" t="s">
        <v>123</v>
      </c>
      <c r="AA137" s="59" t="s">
        <v>123</v>
      </c>
      <c r="AB137" s="59" t="s">
        <v>123</v>
      </c>
      <c r="AC137" s="59" t="s">
        <v>145</v>
      </c>
      <c r="AD137" s="59" t="s">
        <v>124</v>
      </c>
      <c r="AE137" s="59" t="s">
        <v>123</v>
      </c>
      <c r="AF137" s="59" t="s">
        <v>123</v>
      </c>
      <c r="AG137" s="59" t="s">
        <v>123</v>
      </c>
    </row>
    <row r="138" spans="1:33" s="51" customFormat="1" ht="12" customHeight="1" x14ac:dyDescent="0.15">
      <c r="A138" s="143"/>
      <c r="B138" s="34">
        <f t="shared" si="1"/>
        <v>132</v>
      </c>
      <c r="C138" s="132"/>
      <c r="D138" s="132"/>
      <c r="E138" s="60" t="s">
        <v>452</v>
      </c>
      <c r="F138" s="60" t="s">
        <v>509</v>
      </c>
      <c r="G138" s="60" t="s">
        <v>439</v>
      </c>
      <c r="H138" s="137" t="s">
        <v>137</v>
      </c>
      <c r="I138" s="137">
        <v>1</v>
      </c>
      <c r="J138" s="67" t="s">
        <v>232</v>
      </c>
      <c r="K138" s="137" t="s">
        <v>455</v>
      </c>
      <c r="L138" s="137"/>
      <c r="M138" s="137" t="s">
        <v>534</v>
      </c>
      <c r="N138" s="137" t="s">
        <v>384</v>
      </c>
      <c r="O138" s="137" t="s">
        <v>467</v>
      </c>
      <c r="P138" s="137" t="s">
        <v>371</v>
      </c>
      <c r="Q138" s="138" t="s">
        <v>458</v>
      </c>
      <c r="R138" s="138" t="s">
        <v>123</v>
      </c>
      <c r="S138" s="59" t="s">
        <v>123</v>
      </c>
      <c r="T138" s="59" t="s">
        <v>123</v>
      </c>
      <c r="U138" s="59" t="s">
        <v>123</v>
      </c>
      <c r="V138" s="59" t="s">
        <v>123</v>
      </c>
      <c r="W138" s="59" t="s">
        <v>123</v>
      </c>
      <c r="X138" s="59" t="s">
        <v>123</v>
      </c>
      <c r="Y138" s="59" t="s">
        <v>123</v>
      </c>
      <c r="Z138" s="59" t="s">
        <v>123</v>
      </c>
      <c r="AA138" s="59" t="s">
        <v>123</v>
      </c>
      <c r="AB138" s="59" t="s">
        <v>123</v>
      </c>
      <c r="AC138" s="62" t="s">
        <v>457</v>
      </c>
      <c r="AD138" s="62" t="s">
        <v>123</v>
      </c>
      <c r="AE138" s="59" t="s">
        <v>123</v>
      </c>
      <c r="AF138" s="59" t="s">
        <v>123</v>
      </c>
      <c r="AG138" s="59" t="s">
        <v>123</v>
      </c>
    </row>
    <row r="139" spans="1:33" s="51" customFormat="1" ht="12" customHeight="1" x14ac:dyDescent="0.15">
      <c r="A139" s="143"/>
      <c r="B139" s="34">
        <f t="shared" si="1"/>
        <v>133</v>
      </c>
      <c r="C139" s="132"/>
      <c r="D139" s="132"/>
      <c r="E139" s="65" t="s">
        <v>437</v>
      </c>
      <c r="F139" s="65" t="s">
        <v>510</v>
      </c>
      <c r="G139" s="52" t="s">
        <v>439</v>
      </c>
      <c r="H139" s="137" t="s">
        <v>137</v>
      </c>
      <c r="I139" s="137">
        <v>1</v>
      </c>
      <c r="J139" s="67" t="s">
        <v>232</v>
      </c>
      <c r="K139" s="137" t="s">
        <v>138</v>
      </c>
      <c r="L139" s="137"/>
      <c r="M139" s="137" t="s">
        <v>534</v>
      </c>
      <c r="N139" s="137" t="s">
        <v>384</v>
      </c>
      <c r="O139" s="137" t="s">
        <v>467</v>
      </c>
      <c r="P139" s="137" t="s">
        <v>371</v>
      </c>
      <c r="Q139" s="138" t="s">
        <v>193</v>
      </c>
      <c r="R139" s="138" t="s">
        <v>123</v>
      </c>
      <c r="S139" s="59" t="s">
        <v>123</v>
      </c>
      <c r="T139" s="59" t="s">
        <v>123</v>
      </c>
      <c r="U139" s="59" t="s">
        <v>123</v>
      </c>
      <c r="V139" s="59" t="s">
        <v>123</v>
      </c>
      <c r="W139" s="59" t="s">
        <v>123</v>
      </c>
      <c r="X139" s="59" t="s">
        <v>123</v>
      </c>
      <c r="Y139" s="59" t="s">
        <v>123</v>
      </c>
      <c r="Z139" s="59" t="s">
        <v>123</v>
      </c>
      <c r="AA139" s="59" t="s">
        <v>123</v>
      </c>
      <c r="AB139" s="59" t="s">
        <v>123</v>
      </c>
      <c r="AC139" s="59" t="s">
        <v>145</v>
      </c>
      <c r="AD139" s="59" t="s">
        <v>145</v>
      </c>
      <c r="AE139" s="59" t="s">
        <v>123</v>
      </c>
      <c r="AF139" s="59" t="s">
        <v>123</v>
      </c>
      <c r="AG139" s="59" t="s">
        <v>123</v>
      </c>
    </row>
    <row r="140" spans="1:33" s="51" customFormat="1" ht="12" customHeight="1" x14ac:dyDescent="0.15">
      <c r="A140" s="143"/>
      <c r="B140" s="34">
        <f t="shared" si="1"/>
        <v>134</v>
      </c>
      <c r="C140" s="132"/>
      <c r="D140" s="132"/>
      <c r="E140" s="65" t="s">
        <v>437</v>
      </c>
      <c r="F140" s="65" t="s">
        <v>511</v>
      </c>
      <c r="G140" s="52" t="s">
        <v>439</v>
      </c>
      <c r="H140" s="137" t="s">
        <v>137</v>
      </c>
      <c r="I140" s="137">
        <v>1</v>
      </c>
      <c r="J140" s="67" t="s">
        <v>232</v>
      </c>
      <c r="K140" s="137" t="s">
        <v>138</v>
      </c>
      <c r="L140" s="137"/>
      <c r="M140" s="137" t="s">
        <v>534</v>
      </c>
      <c r="N140" s="137" t="s">
        <v>384</v>
      </c>
      <c r="O140" s="137" t="s">
        <v>467</v>
      </c>
      <c r="P140" s="137" t="s">
        <v>371</v>
      </c>
      <c r="Q140" s="138" t="s">
        <v>193</v>
      </c>
      <c r="R140" s="138" t="s">
        <v>123</v>
      </c>
      <c r="S140" s="59" t="s">
        <v>123</v>
      </c>
      <c r="T140" s="59" t="s">
        <v>123</v>
      </c>
      <c r="U140" s="59" t="s">
        <v>123</v>
      </c>
      <c r="V140" s="59" t="s">
        <v>123</v>
      </c>
      <c r="W140" s="59" t="s">
        <v>123</v>
      </c>
      <c r="X140" s="59" t="s">
        <v>123</v>
      </c>
      <c r="Y140" s="59" t="s">
        <v>123</v>
      </c>
      <c r="Z140" s="59" t="s">
        <v>123</v>
      </c>
      <c r="AA140" s="59" t="s">
        <v>123</v>
      </c>
      <c r="AB140" s="59" t="s">
        <v>123</v>
      </c>
      <c r="AC140" s="59" t="s">
        <v>145</v>
      </c>
      <c r="AD140" s="59" t="s">
        <v>145</v>
      </c>
      <c r="AE140" s="59" t="s">
        <v>123</v>
      </c>
      <c r="AF140" s="59" t="s">
        <v>123</v>
      </c>
      <c r="AG140" s="59" t="s">
        <v>123</v>
      </c>
    </row>
    <row r="141" spans="1:33" s="51" customFormat="1" ht="12" customHeight="1" x14ac:dyDescent="0.15">
      <c r="A141" s="143"/>
      <c r="B141" s="34">
        <f t="shared" si="1"/>
        <v>135</v>
      </c>
      <c r="C141" s="132"/>
      <c r="D141" s="132"/>
      <c r="E141" s="65" t="s">
        <v>463</v>
      </c>
      <c r="F141" s="65" t="s">
        <v>500</v>
      </c>
      <c r="G141" s="52" t="s">
        <v>439</v>
      </c>
      <c r="H141" s="137" t="s">
        <v>137</v>
      </c>
      <c r="I141" s="137">
        <v>1</v>
      </c>
      <c r="J141" s="67" t="s">
        <v>232</v>
      </c>
      <c r="K141" s="137" t="s">
        <v>138</v>
      </c>
      <c r="L141" s="137"/>
      <c r="M141" s="137" t="s">
        <v>534</v>
      </c>
      <c r="N141" s="137" t="s">
        <v>384</v>
      </c>
      <c r="O141" s="137" t="s">
        <v>467</v>
      </c>
      <c r="P141" s="137" t="s">
        <v>371</v>
      </c>
      <c r="Q141" s="138" t="s">
        <v>193</v>
      </c>
      <c r="R141" s="138" t="s">
        <v>123</v>
      </c>
      <c r="S141" s="59" t="s">
        <v>123</v>
      </c>
      <c r="T141" s="59" t="s">
        <v>123</v>
      </c>
      <c r="U141" s="59" t="s">
        <v>123</v>
      </c>
      <c r="V141" s="59" t="s">
        <v>123</v>
      </c>
      <c r="W141" s="59" t="s">
        <v>123</v>
      </c>
      <c r="X141" s="59" t="s">
        <v>123</v>
      </c>
      <c r="Y141" s="59" t="s">
        <v>123</v>
      </c>
      <c r="Z141" s="59" t="s">
        <v>123</v>
      </c>
      <c r="AA141" s="59" t="s">
        <v>123</v>
      </c>
      <c r="AB141" s="59" t="s">
        <v>123</v>
      </c>
      <c r="AC141" s="59" t="s">
        <v>145</v>
      </c>
      <c r="AD141" s="59" t="s">
        <v>145</v>
      </c>
      <c r="AE141" s="59" t="s">
        <v>123</v>
      </c>
      <c r="AF141" s="59" t="s">
        <v>123</v>
      </c>
      <c r="AG141" s="59" t="s">
        <v>123</v>
      </c>
    </row>
    <row r="142" spans="1:33" s="51" customFormat="1" ht="12" customHeight="1" x14ac:dyDescent="0.15">
      <c r="A142" s="143"/>
      <c r="B142" s="34">
        <f t="shared" si="1"/>
        <v>136</v>
      </c>
      <c r="C142" s="132"/>
      <c r="D142" s="132"/>
      <c r="E142" s="65" t="s">
        <v>463</v>
      </c>
      <c r="F142" s="65" t="s">
        <v>501</v>
      </c>
      <c r="G142" s="52" t="s">
        <v>439</v>
      </c>
      <c r="H142" s="137" t="s">
        <v>137</v>
      </c>
      <c r="I142" s="137">
        <v>1</v>
      </c>
      <c r="J142" s="67" t="s">
        <v>232</v>
      </c>
      <c r="K142" s="137" t="s">
        <v>138</v>
      </c>
      <c r="L142" s="137"/>
      <c r="M142" s="137" t="s">
        <v>534</v>
      </c>
      <c r="N142" s="137" t="s">
        <v>384</v>
      </c>
      <c r="O142" s="137" t="s">
        <v>467</v>
      </c>
      <c r="P142" s="137" t="s">
        <v>371</v>
      </c>
      <c r="Q142" s="138" t="s">
        <v>193</v>
      </c>
      <c r="R142" s="138" t="s">
        <v>123</v>
      </c>
      <c r="S142" s="59" t="s">
        <v>123</v>
      </c>
      <c r="T142" s="59" t="s">
        <v>123</v>
      </c>
      <c r="U142" s="59" t="s">
        <v>123</v>
      </c>
      <c r="V142" s="59" t="s">
        <v>123</v>
      </c>
      <c r="W142" s="59" t="s">
        <v>123</v>
      </c>
      <c r="X142" s="59" t="s">
        <v>123</v>
      </c>
      <c r="Y142" s="59" t="s">
        <v>123</v>
      </c>
      <c r="Z142" s="59" t="s">
        <v>123</v>
      </c>
      <c r="AA142" s="59" t="s">
        <v>123</v>
      </c>
      <c r="AB142" s="59" t="s">
        <v>123</v>
      </c>
      <c r="AC142" s="59" t="s">
        <v>145</v>
      </c>
      <c r="AD142" s="59" t="s">
        <v>145</v>
      </c>
      <c r="AE142" s="59" t="s">
        <v>123</v>
      </c>
      <c r="AF142" s="59" t="s">
        <v>123</v>
      </c>
      <c r="AG142" s="59" t="s">
        <v>123</v>
      </c>
    </row>
    <row r="143" spans="1:33" s="51" customFormat="1" ht="12" customHeight="1" x14ac:dyDescent="0.15">
      <c r="A143" s="143"/>
      <c r="B143" s="34">
        <f t="shared" si="1"/>
        <v>137</v>
      </c>
      <c r="C143" s="132"/>
      <c r="D143" s="132"/>
      <c r="E143" s="65" t="s">
        <v>463</v>
      </c>
      <c r="F143" s="65" t="s">
        <v>502</v>
      </c>
      <c r="G143" s="52" t="s">
        <v>439</v>
      </c>
      <c r="H143" s="137" t="s">
        <v>137</v>
      </c>
      <c r="I143" s="137">
        <v>1</v>
      </c>
      <c r="J143" s="67" t="s">
        <v>232</v>
      </c>
      <c r="K143" s="137" t="s">
        <v>138</v>
      </c>
      <c r="L143" s="137"/>
      <c r="M143" s="137" t="s">
        <v>534</v>
      </c>
      <c r="N143" s="137" t="s">
        <v>384</v>
      </c>
      <c r="O143" s="137" t="s">
        <v>467</v>
      </c>
      <c r="P143" s="137" t="s">
        <v>371</v>
      </c>
      <c r="Q143" s="138" t="s">
        <v>193</v>
      </c>
      <c r="R143" s="138" t="s">
        <v>123</v>
      </c>
      <c r="S143" s="59" t="s">
        <v>123</v>
      </c>
      <c r="T143" s="59" t="s">
        <v>123</v>
      </c>
      <c r="U143" s="59" t="s">
        <v>123</v>
      </c>
      <c r="V143" s="59" t="s">
        <v>123</v>
      </c>
      <c r="W143" s="59" t="s">
        <v>123</v>
      </c>
      <c r="X143" s="59" t="s">
        <v>123</v>
      </c>
      <c r="Y143" s="59" t="s">
        <v>123</v>
      </c>
      <c r="Z143" s="59" t="s">
        <v>123</v>
      </c>
      <c r="AA143" s="59" t="s">
        <v>123</v>
      </c>
      <c r="AB143" s="59" t="s">
        <v>123</v>
      </c>
      <c r="AC143" s="59" t="s">
        <v>145</v>
      </c>
      <c r="AD143" s="59" t="s">
        <v>145</v>
      </c>
      <c r="AE143" s="59" t="s">
        <v>123</v>
      </c>
      <c r="AF143" s="59" t="s">
        <v>123</v>
      </c>
      <c r="AG143" s="59" t="s">
        <v>123</v>
      </c>
    </row>
    <row r="144" spans="1:33" s="51" customFormat="1" ht="12" customHeight="1" x14ac:dyDescent="0.15">
      <c r="A144" s="143"/>
      <c r="B144" s="34">
        <f t="shared" si="1"/>
        <v>138</v>
      </c>
      <c r="C144" s="132"/>
      <c r="D144" s="132"/>
      <c r="E144" s="65" t="s">
        <v>463</v>
      </c>
      <c r="F144" s="65" t="s">
        <v>503</v>
      </c>
      <c r="G144" s="52" t="s">
        <v>439</v>
      </c>
      <c r="H144" s="137" t="s">
        <v>137</v>
      </c>
      <c r="I144" s="137">
        <v>1</v>
      </c>
      <c r="J144" s="67" t="s">
        <v>232</v>
      </c>
      <c r="K144" s="137" t="s">
        <v>138</v>
      </c>
      <c r="L144" s="137"/>
      <c r="M144" s="137" t="s">
        <v>534</v>
      </c>
      <c r="N144" s="137" t="s">
        <v>384</v>
      </c>
      <c r="O144" s="137" t="s">
        <v>467</v>
      </c>
      <c r="P144" s="137" t="s">
        <v>371</v>
      </c>
      <c r="Q144" s="138" t="s">
        <v>193</v>
      </c>
      <c r="R144" s="138" t="s">
        <v>123</v>
      </c>
      <c r="S144" s="59" t="s">
        <v>123</v>
      </c>
      <c r="T144" s="59" t="s">
        <v>123</v>
      </c>
      <c r="U144" s="59" t="s">
        <v>123</v>
      </c>
      <c r="V144" s="59" t="s">
        <v>123</v>
      </c>
      <c r="W144" s="59" t="s">
        <v>123</v>
      </c>
      <c r="X144" s="59" t="s">
        <v>123</v>
      </c>
      <c r="Y144" s="59" t="s">
        <v>123</v>
      </c>
      <c r="Z144" s="59" t="s">
        <v>123</v>
      </c>
      <c r="AA144" s="59" t="s">
        <v>123</v>
      </c>
      <c r="AB144" s="59" t="s">
        <v>123</v>
      </c>
      <c r="AC144" s="59" t="s">
        <v>145</v>
      </c>
      <c r="AD144" s="59" t="s">
        <v>145</v>
      </c>
      <c r="AE144" s="59" t="s">
        <v>123</v>
      </c>
      <c r="AF144" s="59" t="s">
        <v>123</v>
      </c>
      <c r="AG144" s="59" t="s">
        <v>123</v>
      </c>
    </row>
    <row r="145" spans="1:33" s="51" customFormat="1" ht="12" customHeight="1" x14ac:dyDescent="0.15">
      <c r="A145" s="143"/>
      <c r="B145" s="34">
        <f t="shared" ref="B145:B152" si="2">B144+1</f>
        <v>139</v>
      </c>
      <c r="C145" s="132"/>
      <c r="D145" s="132"/>
      <c r="E145" s="65" t="s">
        <v>463</v>
      </c>
      <c r="F145" s="65" t="s">
        <v>504</v>
      </c>
      <c r="G145" s="52" t="s">
        <v>439</v>
      </c>
      <c r="H145" s="137" t="s">
        <v>137</v>
      </c>
      <c r="I145" s="137">
        <v>1</v>
      </c>
      <c r="J145" s="67" t="s">
        <v>232</v>
      </c>
      <c r="K145" s="137" t="s">
        <v>138</v>
      </c>
      <c r="L145" s="137"/>
      <c r="M145" s="137" t="s">
        <v>534</v>
      </c>
      <c r="N145" s="137" t="s">
        <v>384</v>
      </c>
      <c r="O145" s="137" t="s">
        <v>467</v>
      </c>
      <c r="P145" s="137" t="s">
        <v>371</v>
      </c>
      <c r="Q145" s="138" t="s">
        <v>193</v>
      </c>
      <c r="R145" s="138" t="s">
        <v>123</v>
      </c>
      <c r="S145" s="59" t="s">
        <v>123</v>
      </c>
      <c r="T145" s="59" t="s">
        <v>123</v>
      </c>
      <c r="U145" s="59" t="s">
        <v>123</v>
      </c>
      <c r="V145" s="59" t="s">
        <v>123</v>
      </c>
      <c r="W145" s="59" t="s">
        <v>123</v>
      </c>
      <c r="X145" s="59" t="s">
        <v>123</v>
      </c>
      <c r="Y145" s="59" t="s">
        <v>123</v>
      </c>
      <c r="Z145" s="59" t="s">
        <v>123</v>
      </c>
      <c r="AA145" s="59" t="s">
        <v>123</v>
      </c>
      <c r="AB145" s="59" t="s">
        <v>123</v>
      </c>
      <c r="AC145" s="59" t="s">
        <v>145</v>
      </c>
      <c r="AD145" s="59" t="s">
        <v>145</v>
      </c>
      <c r="AE145" s="59" t="s">
        <v>123</v>
      </c>
      <c r="AF145" s="59" t="s">
        <v>123</v>
      </c>
      <c r="AG145" s="59" t="s">
        <v>123</v>
      </c>
    </row>
    <row r="146" spans="1:33" s="51" customFormat="1" ht="12" customHeight="1" x14ac:dyDescent="0.15">
      <c r="A146" s="143"/>
      <c r="B146" s="34">
        <f t="shared" si="2"/>
        <v>140</v>
      </c>
      <c r="C146" s="132"/>
      <c r="D146" s="132"/>
      <c r="E146" s="65" t="s">
        <v>463</v>
      </c>
      <c r="F146" s="65" t="s">
        <v>505</v>
      </c>
      <c r="G146" s="52" t="s">
        <v>439</v>
      </c>
      <c r="H146" s="137" t="s">
        <v>137</v>
      </c>
      <c r="I146" s="137">
        <v>1</v>
      </c>
      <c r="J146" s="67" t="s">
        <v>232</v>
      </c>
      <c r="K146" s="137" t="s">
        <v>138</v>
      </c>
      <c r="L146" s="137"/>
      <c r="M146" s="137" t="s">
        <v>534</v>
      </c>
      <c r="N146" s="137" t="s">
        <v>384</v>
      </c>
      <c r="O146" s="137" t="s">
        <v>467</v>
      </c>
      <c r="P146" s="137" t="s">
        <v>371</v>
      </c>
      <c r="Q146" s="138" t="s">
        <v>193</v>
      </c>
      <c r="R146" s="138" t="s">
        <v>123</v>
      </c>
      <c r="S146" s="59" t="s">
        <v>123</v>
      </c>
      <c r="T146" s="59" t="s">
        <v>123</v>
      </c>
      <c r="U146" s="59" t="s">
        <v>123</v>
      </c>
      <c r="V146" s="59" t="s">
        <v>123</v>
      </c>
      <c r="W146" s="59" t="s">
        <v>123</v>
      </c>
      <c r="X146" s="59" t="s">
        <v>123</v>
      </c>
      <c r="Y146" s="59" t="s">
        <v>123</v>
      </c>
      <c r="Z146" s="59" t="s">
        <v>123</v>
      </c>
      <c r="AA146" s="59" t="s">
        <v>123</v>
      </c>
      <c r="AB146" s="59" t="s">
        <v>123</v>
      </c>
      <c r="AC146" s="59" t="s">
        <v>145</v>
      </c>
      <c r="AD146" s="59" t="s">
        <v>145</v>
      </c>
      <c r="AE146" s="59" t="s">
        <v>123</v>
      </c>
      <c r="AF146" s="59" t="s">
        <v>123</v>
      </c>
      <c r="AG146" s="59" t="s">
        <v>123</v>
      </c>
    </row>
    <row r="147" spans="1:33" s="51" customFormat="1" ht="12" customHeight="1" x14ac:dyDescent="0.15">
      <c r="A147" s="143"/>
      <c r="B147" s="34">
        <f t="shared" si="2"/>
        <v>141</v>
      </c>
      <c r="C147" s="132"/>
      <c r="D147" s="132"/>
      <c r="E147" s="65" t="s">
        <v>463</v>
      </c>
      <c r="F147" s="65" t="s">
        <v>506</v>
      </c>
      <c r="G147" s="52" t="s">
        <v>439</v>
      </c>
      <c r="H147" s="137" t="s">
        <v>137</v>
      </c>
      <c r="I147" s="137">
        <v>1</v>
      </c>
      <c r="J147" s="67" t="s">
        <v>232</v>
      </c>
      <c r="K147" s="137" t="s">
        <v>138</v>
      </c>
      <c r="L147" s="137"/>
      <c r="M147" s="137" t="s">
        <v>534</v>
      </c>
      <c r="N147" s="137" t="s">
        <v>384</v>
      </c>
      <c r="O147" s="137" t="s">
        <v>467</v>
      </c>
      <c r="P147" s="137" t="s">
        <v>371</v>
      </c>
      <c r="Q147" s="138" t="s">
        <v>193</v>
      </c>
      <c r="R147" s="138" t="s">
        <v>123</v>
      </c>
      <c r="S147" s="59" t="s">
        <v>123</v>
      </c>
      <c r="T147" s="59" t="s">
        <v>123</v>
      </c>
      <c r="U147" s="59" t="s">
        <v>123</v>
      </c>
      <c r="V147" s="59" t="s">
        <v>123</v>
      </c>
      <c r="W147" s="59" t="s">
        <v>123</v>
      </c>
      <c r="X147" s="59" t="s">
        <v>123</v>
      </c>
      <c r="Y147" s="59" t="s">
        <v>123</v>
      </c>
      <c r="Z147" s="59" t="s">
        <v>123</v>
      </c>
      <c r="AA147" s="59" t="s">
        <v>123</v>
      </c>
      <c r="AB147" s="59" t="s">
        <v>123</v>
      </c>
      <c r="AC147" s="59" t="s">
        <v>145</v>
      </c>
      <c r="AD147" s="59" t="s">
        <v>145</v>
      </c>
      <c r="AE147" s="59" t="s">
        <v>123</v>
      </c>
      <c r="AF147" s="59" t="s">
        <v>123</v>
      </c>
      <c r="AG147" s="59" t="s">
        <v>123</v>
      </c>
    </row>
    <row r="148" spans="1:33" s="51" customFormat="1" ht="12" customHeight="1" x14ac:dyDescent="0.15">
      <c r="A148" s="143"/>
      <c r="B148" s="34">
        <f t="shared" si="2"/>
        <v>142</v>
      </c>
      <c r="C148" s="132"/>
      <c r="D148" s="132"/>
      <c r="E148" s="65" t="s">
        <v>463</v>
      </c>
      <c r="F148" s="65" t="s">
        <v>507</v>
      </c>
      <c r="G148" s="52" t="s">
        <v>439</v>
      </c>
      <c r="H148" s="137" t="s">
        <v>137</v>
      </c>
      <c r="I148" s="137">
        <v>1</v>
      </c>
      <c r="J148" s="67" t="s">
        <v>232</v>
      </c>
      <c r="K148" s="137" t="s">
        <v>138</v>
      </c>
      <c r="L148" s="137"/>
      <c r="M148" s="137" t="s">
        <v>534</v>
      </c>
      <c r="N148" s="137" t="s">
        <v>384</v>
      </c>
      <c r="O148" s="137" t="s">
        <v>467</v>
      </c>
      <c r="P148" s="137" t="s">
        <v>371</v>
      </c>
      <c r="Q148" s="138" t="s">
        <v>193</v>
      </c>
      <c r="R148" s="138" t="s">
        <v>123</v>
      </c>
      <c r="S148" s="59" t="s">
        <v>123</v>
      </c>
      <c r="T148" s="59" t="s">
        <v>123</v>
      </c>
      <c r="U148" s="59" t="s">
        <v>123</v>
      </c>
      <c r="V148" s="59" t="s">
        <v>123</v>
      </c>
      <c r="W148" s="59" t="s">
        <v>123</v>
      </c>
      <c r="X148" s="59" t="s">
        <v>123</v>
      </c>
      <c r="Y148" s="59" t="s">
        <v>123</v>
      </c>
      <c r="Z148" s="59" t="s">
        <v>123</v>
      </c>
      <c r="AA148" s="59" t="s">
        <v>123</v>
      </c>
      <c r="AB148" s="59" t="s">
        <v>123</v>
      </c>
      <c r="AC148" s="59" t="s">
        <v>145</v>
      </c>
      <c r="AD148" s="59" t="s">
        <v>145</v>
      </c>
      <c r="AE148" s="59" t="s">
        <v>123</v>
      </c>
      <c r="AF148" s="59" t="s">
        <v>123</v>
      </c>
      <c r="AG148" s="59" t="s">
        <v>123</v>
      </c>
    </row>
    <row r="149" spans="1:33" s="51" customFormat="1" ht="12" customHeight="1" x14ac:dyDescent="0.15">
      <c r="A149" s="143"/>
      <c r="B149" s="34">
        <f t="shared" si="2"/>
        <v>143</v>
      </c>
      <c r="C149" s="132"/>
      <c r="D149" s="132"/>
      <c r="E149" s="65" t="s">
        <v>463</v>
      </c>
      <c r="F149" s="65" t="s">
        <v>508</v>
      </c>
      <c r="G149" s="52" t="s">
        <v>439</v>
      </c>
      <c r="H149" s="137" t="s">
        <v>137</v>
      </c>
      <c r="I149" s="137">
        <v>1</v>
      </c>
      <c r="J149" s="67" t="s">
        <v>232</v>
      </c>
      <c r="K149" s="137" t="s">
        <v>138</v>
      </c>
      <c r="L149" s="137"/>
      <c r="M149" s="137" t="s">
        <v>534</v>
      </c>
      <c r="N149" s="137" t="s">
        <v>384</v>
      </c>
      <c r="O149" s="137" t="s">
        <v>467</v>
      </c>
      <c r="P149" s="137" t="s">
        <v>371</v>
      </c>
      <c r="Q149" s="138" t="s">
        <v>193</v>
      </c>
      <c r="R149" s="138" t="s">
        <v>123</v>
      </c>
      <c r="S149" s="59" t="s">
        <v>123</v>
      </c>
      <c r="T149" s="59" t="s">
        <v>123</v>
      </c>
      <c r="U149" s="59" t="s">
        <v>123</v>
      </c>
      <c r="V149" s="59" t="s">
        <v>123</v>
      </c>
      <c r="W149" s="59" t="s">
        <v>123</v>
      </c>
      <c r="X149" s="59" t="s">
        <v>123</v>
      </c>
      <c r="Y149" s="59" t="s">
        <v>123</v>
      </c>
      <c r="Z149" s="59" t="s">
        <v>123</v>
      </c>
      <c r="AA149" s="59" t="s">
        <v>123</v>
      </c>
      <c r="AB149" s="59" t="s">
        <v>123</v>
      </c>
      <c r="AC149" s="59" t="s">
        <v>145</v>
      </c>
      <c r="AD149" s="59" t="s">
        <v>124</v>
      </c>
      <c r="AE149" s="59" t="s">
        <v>123</v>
      </c>
      <c r="AF149" s="59" t="s">
        <v>123</v>
      </c>
      <c r="AG149" s="59" t="s">
        <v>123</v>
      </c>
    </row>
    <row r="150" spans="1:33" s="51" customFormat="1" ht="12" customHeight="1" x14ac:dyDescent="0.15">
      <c r="A150" s="143"/>
      <c r="B150" s="34">
        <f t="shared" si="2"/>
        <v>144</v>
      </c>
      <c r="C150" s="132"/>
      <c r="D150" s="132"/>
      <c r="E150" s="60" t="s">
        <v>464</v>
      </c>
      <c r="F150" s="60" t="s">
        <v>509</v>
      </c>
      <c r="G150" s="60" t="s">
        <v>439</v>
      </c>
      <c r="H150" s="137" t="s">
        <v>137</v>
      </c>
      <c r="I150" s="137">
        <v>1</v>
      </c>
      <c r="J150" s="67" t="s">
        <v>232</v>
      </c>
      <c r="K150" s="137" t="s">
        <v>455</v>
      </c>
      <c r="L150" s="137"/>
      <c r="M150" s="137" t="s">
        <v>534</v>
      </c>
      <c r="N150" s="137" t="s">
        <v>384</v>
      </c>
      <c r="O150" s="137" t="s">
        <v>467</v>
      </c>
      <c r="P150" s="137" t="s">
        <v>371</v>
      </c>
      <c r="Q150" s="138" t="s">
        <v>458</v>
      </c>
      <c r="R150" s="138" t="s">
        <v>123</v>
      </c>
      <c r="S150" s="59" t="s">
        <v>123</v>
      </c>
      <c r="T150" s="59" t="s">
        <v>123</v>
      </c>
      <c r="U150" s="59" t="s">
        <v>123</v>
      </c>
      <c r="V150" s="59" t="s">
        <v>123</v>
      </c>
      <c r="W150" s="59" t="s">
        <v>123</v>
      </c>
      <c r="X150" s="59" t="s">
        <v>123</v>
      </c>
      <c r="Y150" s="59" t="s">
        <v>123</v>
      </c>
      <c r="Z150" s="59" t="s">
        <v>123</v>
      </c>
      <c r="AA150" s="59" t="s">
        <v>123</v>
      </c>
      <c r="AB150" s="59" t="s">
        <v>123</v>
      </c>
      <c r="AC150" s="62" t="s">
        <v>457</v>
      </c>
      <c r="AD150" s="62" t="s">
        <v>123</v>
      </c>
      <c r="AE150" s="59" t="s">
        <v>123</v>
      </c>
      <c r="AF150" s="59" t="s">
        <v>123</v>
      </c>
      <c r="AG150" s="59" t="s">
        <v>123</v>
      </c>
    </row>
    <row r="151" spans="1:33" s="51" customFormat="1" ht="12" customHeight="1" x14ac:dyDescent="0.15">
      <c r="A151" s="143"/>
      <c r="B151" s="34">
        <f t="shared" si="2"/>
        <v>145</v>
      </c>
      <c r="C151" s="132"/>
      <c r="D151" s="132"/>
      <c r="E151" s="65" t="s">
        <v>463</v>
      </c>
      <c r="F151" s="65" t="s">
        <v>510</v>
      </c>
      <c r="G151" s="52" t="s">
        <v>439</v>
      </c>
      <c r="H151" s="137" t="s">
        <v>137</v>
      </c>
      <c r="I151" s="137">
        <v>1</v>
      </c>
      <c r="J151" s="67" t="s">
        <v>232</v>
      </c>
      <c r="K151" s="137" t="s">
        <v>138</v>
      </c>
      <c r="L151" s="137"/>
      <c r="M151" s="137" t="s">
        <v>534</v>
      </c>
      <c r="N151" s="137" t="s">
        <v>384</v>
      </c>
      <c r="O151" s="137" t="s">
        <v>467</v>
      </c>
      <c r="P151" s="137" t="s">
        <v>371</v>
      </c>
      <c r="Q151" s="138" t="s">
        <v>193</v>
      </c>
      <c r="R151" s="138" t="s">
        <v>123</v>
      </c>
      <c r="S151" s="59" t="s">
        <v>123</v>
      </c>
      <c r="T151" s="59" t="s">
        <v>123</v>
      </c>
      <c r="U151" s="59" t="s">
        <v>123</v>
      </c>
      <c r="V151" s="59" t="s">
        <v>123</v>
      </c>
      <c r="W151" s="59" t="s">
        <v>123</v>
      </c>
      <c r="X151" s="59" t="s">
        <v>123</v>
      </c>
      <c r="Y151" s="59" t="s">
        <v>123</v>
      </c>
      <c r="Z151" s="59" t="s">
        <v>123</v>
      </c>
      <c r="AA151" s="59" t="s">
        <v>123</v>
      </c>
      <c r="AB151" s="59" t="s">
        <v>123</v>
      </c>
      <c r="AC151" s="59" t="s">
        <v>145</v>
      </c>
      <c r="AD151" s="59" t="s">
        <v>145</v>
      </c>
      <c r="AE151" s="59" t="s">
        <v>123</v>
      </c>
      <c r="AF151" s="59" t="s">
        <v>123</v>
      </c>
      <c r="AG151" s="59" t="s">
        <v>123</v>
      </c>
    </row>
    <row r="152" spans="1:33" s="51" customFormat="1" ht="12" customHeight="1" x14ac:dyDescent="0.15">
      <c r="A152" s="143"/>
      <c r="B152" s="34">
        <f t="shared" si="2"/>
        <v>146</v>
      </c>
      <c r="C152" s="133"/>
      <c r="D152" s="133"/>
      <c r="E152" s="65" t="s">
        <v>463</v>
      </c>
      <c r="F152" s="65" t="s">
        <v>511</v>
      </c>
      <c r="G152" s="52" t="s">
        <v>439</v>
      </c>
      <c r="H152" s="137" t="s">
        <v>137</v>
      </c>
      <c r="I152" s="137">
        <v>1</v>
      </c>
      <c r="J152" s="67" t="s">
        <v>232</v>
      </c>
      <c r="K152" s="137" t="s">
        <v>138</v>
      </c>
      <c r="L152" s="137"/>
      <c r="M152" s="137" t="s">
        <v>534</v>
      </c>
      <c r="N152" s="137" t="s">
        <v>384</v>
      </c>
      <c r="O152" s="137" t="s">
        <v>467</v>
      </c>
      <c r="P152" s="137" t="s">
        <v>371</v>
      </c>
      <c r="Q152" s="138" t="s">
        <v>193</v>
      </c>
      <c r="R152" s="138" t="s">
        <v>123</v>
      </c>
      <c r="S152" s="59" t="s">
        <v>123</v>
      </c>
      <c r="T152" s="59" t="s">
        <v>123</v>
      </c>
      <c r="U152" s="59" t="s">
        <v>123</v>
      </c>
      <c r="V152" s="59" t="s">
        <v>123</v>
      </c>
      <c r="W152" s="59" t="s">
        <v>123</v>
      </c>
      <c r="X152" s="59" t="s">
        <v>123</v>
      </c>
      <c r="Y152" s="59" t="s">
        <v>123</v>
      </c>
      <c r="Z152" s="59" t="s">
        <v>123</v>
      </c>
      <c r="AA152" s="59" t="s">
        <v>123</v>
      </c>
      <c r="AB152" s="59" t="s">
        <v>123</v>
      </c>
      <c r="AC152" s="59" t="s">
        <v>145</v>
      </c>
      <c r="AD152" s="59" t="s">
        <v>145</v>
      </c>
      <c r="AE152" s="59" t="s">
        <v>123</v>
      </c>
      <c r="AF152" s="59" t="s">
        <v>123</v>
      </c>
      <c r="AG152" s="59" t="s">
        <v>123</v>
      </c>
    </row>
    <row r="153" spans="1:33" ht="12" customHeight="1" x14ac:dyDescent="0.15">
      <c r="A153" s="40"/>
    </row>
  </sheetData>
  <protectedRanges>
    <protectedRange sqref="J18:J152 J7:L15" name="範囲1_3"/>
    <protectedRange sqref="H7:H15" name="範囲1_2_2"/>
    <protectedRange sqref="F54:F56 F71:F73 D53:E152 I18:I152 D18:F52 K18:K152" name="範囲1_3_1"/>
    <protectedRange sqref="G18:H152 G13:G17" name="範囲1_2_2_1"/>
    <protectedRange sqref="F53 F70" name="範囲1_4"/>
  </protectedRanges>
  <mergeCells count="44">
    <mergeCell ref="C18:C152"/>
    <mergeCell ref="D18:D37"/>
    <mergeCell ref="D38:D43"/>
    <mergeCell ref="D45:D49"/>
    <mergeCell ref="D50:D52"/>
    <mergeCell ref="D53:D86"/>
    <mergeCell ref="D87:D114"/>
    <mergeCell ref="D115:D116"/>
    <mergeCell ref="D117:D118"/>
    <mergeCell ref="D119:D120"/>
    <mergeCell ref="D121:D122"/>
    <mergeCell ref="D123:D124"/>
    <mergeCell ref="D125:D126"/>
    <mergeCell ref="D127:D128"/>
    <mergeCell ref="D129:D152"/>
    <mergeCell ref="H11:H12"/>
    <mergeCell ref="B4:B6"/>
    <mergeCell ref="G11:G12"/>
    <mergeCell ref="E11:E12"/>
    <mergeCell ref="F11:F12"/>
    <mergeCell ref="C4:C6"/>
    <mergeCell ref="D4:D6"/>
    <mergeCell ref="E4:E6"/>
    <mergeCell ref="F4:F6"/>
    <mergeCell ref="C7:C9"/>
    <mergeCell ref="C11:C12"/>
    <mergeCell ref="D11:D12"/>
    <mergeCell ref="I4:I6"/>
    <mergeCell ref="J4:J6"/>
    <mergeCell ref="Q4:R5"/>
    <mergeCell ref="G4:G6"/>
    <mergeCell ref="H4:H6"/>
    <mergeCell ref="AF4:AG4"/>
    <mergeCell ref="AC5:AD5"/>
    <mergeCell ref="K4:K6"/>
    <mergeCell ref="M4:M6"/>
    <mergeCell ref="N4:N6"/>
    <mergeCell ref="S4:AE4"/>
    <mergeCell ref="S5:T5"/>
    <mergeCell ref="U5:X5"/>
    <mergeCell ref="Y5:AB5"/>
    <mergeCell ref="P4:P6"/>
    <mergeCell ref="O4:O6"/>
    <mergeCell ref="L4:L6"/>
  </mergeCells>
  <phoneticPr fontId="4"/>
  <conditionalFormatting sqref="H7 H9:H10">
    <cfRule type="expression" dxfId="59" priority="163" stopIfTrue="1">
      <formula>$U7="無"</formula>
    </cfRule>
    <cfRule type="cellIs" dxfId="58" priority="164" stopIfTrue="1" operator="equal">
      <formula>"その他(記入)"</formula>
    </cfRule>
  </conditionalFormatting>
  <conditionalFormatting sqref="H11">
    <cfRule type="expression" dxfId="57" priority="113" stopIfTrue="1">
      <formula>$U11="無"</formula>
    </cfRule>
    <cfRule type="cellIs" dxfId="56" priority="114" stopIfTrue="1" operator="equal">
      <formula>"その他(記入)"</formula>
    </cfRule>
  </conditionalFormatting>
  <conditionalFormatting sqref="H8">
    <cfRule type="expression" dxfId="55" priority="69" stopIfTrue="1">
      <formula>$U8="無"</formula>
    </cfRule>
    <cfRule type="cellIs" dxfId="54" priority="70" stopIfTrue="1" operator="equal">
      <formula>"その他(記入)"</formula>
    </cfRule>
  </conditionalFormatting>
  <conditionalFormatting sqref="H13">
    <cfRule type="expression" dxfId="53" priority="53" stopIfTrue="1">
      <formula>$U13="無"</formula>
    </cfRule>
    <cfRule type="cellIs" dxfId="52" priority="54" stopIfTrue="1" operator="equal">
      <formula>"その他(記入)"</formula>
    </cfRule>
  </conditionalFormatting>
  <conditionalFormatting sqref="H14">
    <cfRule type="expression" dxfId="49" priority="49" stopIfTrue="1">
      <formula>$U14="無"</formula>
    </cfRule>
    <cfRule type="cellIs" dxfId="48" priority="50" stopIfTrue="1" operator="equal">
      <formula>"その他(記入)"</formula>
    </cfRule>
  </conditionalFormatting>
  <conditionalFormatting sqref="G53:H69 G87:H100 G115:H115 G117:H117 G119:H119 G121:H121 G123:H123 G125:H125 G127:H127 G129:H140 G18:H50">
    <cfRule type="expression" dxfId="47" priority="47" stopIfTrue="1">
      <formula>$S18="無"</formula>
    </cfRule>
    <cfRule type="cellIs" dxfId="46" priority="48" stopIfTrue="1" operator="equal">
      <formula>"その他(記入)"</formula>
    </cfRule>
  </conditionalFormatting>
  <conditionalFormatting sqref="G51:H52">
    <cfRule type="expression" dxfId="45" priority="45" stopIfTrue="1">
      <formula>$S51="無"</formula>
    </cfRule>
    <cfRule type="cellIs" dxfId="44" priority="46" stopIfTrue="1" operator="equal">
      <formula>"その他(記入)"</formula>
    </cfRule>
  </conditionalFormatting>
  <conditionalFormatting sqref="G70:H86">
    <cfRule type="expression" dxfId="43" priority="43" stopIfTrue="1">
      <formula>$S70="無"</formula>
    </cfRule>
    <cfRule type="cellIs" dxfId="42" priority="44" stopIfTrue="1" operator="equal">
      <formula>"その他(記入)"</formula>
    </cfRule>
  </conditionalFormatting>
  <conditionalFormatting sqref="G101:H114">
    <cfRule type="expression" dxfId="41" priority="41" stopIfTrue="1">
      <formula>$S101="無"</formula>
    </cfRule>
    <cfRule type="cellIs" dxfId="40" priority="42" stopIfTrue="1" operator="equal">
      <formula>"その他(記入)"</formula>
    </cfRule>
  </conditionalFormatting>
  <conditionalFormatting sqref="G116:H116">
    <cfRule type="expression" dxfId="39" priority="39" stopIfTrue="1">
      <formula>$S116="無"</formula>
    </cfRule>
    <cfRule type="cellIs" dxfId="38" priority="40" stopIfTrue="1" operator="equal">
      <formula>"その他(記入)"</formula>
    </cfRule>
  </conditionalFormatting>
  <conditionalFormatting sqref="G141:H152">
    <cfRule type="expression" dxfId="37" priority="37" stopIfTrue="1">
      <formula>$S141="無"</formula>
    </cfRule>
    <cfRule type="cellIs" dxfId="36" priority="38" stopIfTrue="1" operator="equal">
      <formula>"その他(記入)"</formula>
    </cfRule>
  </conditionalFormatting>
  <conditionalFormatting sqref="G118:H118">
    <cfRule type="expression" dxfId="35" priority="35" stopIfTrue="1">
      <formula>$S118="無"</formula>
    </cfRule>
    <cfRule type="cellIs" dxfId="34" priority="36" stopIfTrue="1" operator="equal">
      <formula>"その他(記入)"</formula>
    </cfRule>
  </conditionalFormatting>
  <conditionalFormatting sqref="G120:H120">
    <cfRule type="expression" dxfId="33" priority="33" stopIfTrue="1">
      <formula>$S120="無"</formula>
    </cfRule>
    <cfRule type="cellIs" dxfId="32" priority="34" stopIfTrue="1" operator="equal">
      <formula>"その他(記入)"</formula>
    </cfRule>
  </conditionalFormatting>
  <conditionalFormatting sqref="G122:H122">
    <cfRule type="expression" dxfId="31" priority="31" stopIfTrue="1">
      <formula>$S122="無"</formula>
    </cfRule>
    <cfRule type="cellIs" dxfId="30" priority="32" stopIfTrue="1" operator="equal">
      <formula>"その他(記入)"</formula>
    </cfRule>
  </conditionalFormatting>
  <conditionalFormatting sqref="G124:H124">
    <cfRule type="expression" dxfId="29" priority="29" stopIfTrue="1">
      <formula>$S124="無"</formula>
    </cfRule>
    <cfRule type="cellIs" dxfId="28" priority="30" stopIfTrue="1" operator="equal">
      <formula>"その他(記入)"</formula>
    </cfRule>
  </conditionalFormatting>
  <conditionalFormatting sqref="G126:H126">
    <cfRule type="expression" dxfId="27" priority="27" stopIfTrue="1">
      <formula>$S126="無"</formula>
    </cfRule>
    <cfRule type="cellIs" dxfId="26" priority="28" stopIfTrue="1" operator="equal">
      <formula>"その他(記入)"</formula>
    </cfRule>
  </conditionalFormatting>
  <conditionalFormatting sqref="G128:H128">
    <cfRule type="expression" dxfId="25" priority="25" stopIfTrue="1">
      <formula>$S128="無"</formula>
    </cfRule>
    <cfRule type="cellIs" dxfId="24" priority="26" stopIfTrue="1" operator="equal">
      <formula>"その他(記入)"</formula>
    </cfRule>
  </conditionalFormatting>
  <conditionalFormatting sqref="G13">
    <cfRule type="expression" dxfId="17" priority="17" stopIfTrue="1">
      <formula>$S13="無"</formula>
    </cfRule>
    <cfRule type="cellIs" dxfId="16" priority="18" stopIfTrue="1" operator="equal">
      <formula>"その他(記入)"</formula>
    </cfRule>
  </conditionalFormatting>
  <conditionalFormatting sqref="G14">
    <cfRule type="expression" dxfId="15" priority="15" stopIfTrue="1">
      <formula>$S14="無"</formula>
    </cfRule>
    <cfRule type="cellIs" dxfId="14" priority="16" stopIfTrue="1" operator="equal">
      <formula>"その他(記入)"</formula>
    </cfRule>
  </conditionalFormatting>
  <conditionalFormatting sqref="H15">
    <cfRule type="expression" dxfId="9" priority="9" stopIfTrue="1">
      <formula>$U15="無"</formula>
    </cfRule>
    <cfRule type="cellIs" dxfId="8" priority="10" stopIfTrue="1" operator="equal">
      <formula>"その他(記入)"</formula>
    </cfRule>
  </conditionalFormatting>
  <conditionalFormatting sqref="G15">
    <cfRule type="expression" dxfId="7" priority="5" stopIfTrue="1">
      <formula>$S15="無"</formula>
    </cfRule>
    <cfRule type="cellIs" dxfId="6" priority="6" stopIfTrue="1" operator="equal">
      <formula>"その他(記入)"</formula>
    </cfRule>
  </conditionalFormatting>
  <conditionalFormatting sqref="G16">
    <cfRule type="expression" dxfId="3" priority="3" stopIfTrue="1">
      <formula>$S16="無"</formula>
    </cfRule>
    <cfRule type="cellIs" dxfId="2" priority="4" stopIfTrue="1" operator="equal">
      <formula>"その他(記入)"</formula>
    </cfRule>
  </conditionalFormatting>
  <conditionalFormatting sqref="G17">
    <cfRule type="expression" dxfId="1" priority="1" stopIfTrue="1">
      <formula>$S17="無"</formula>
    </cfRule>
    <cfRule type="cellIs" dxfId="0" priority="2" stopIfTrue="1" operator="equal">
      <formula>"その他(記入)"</formula>
    </cfRule>
  </conditionalFormatting>
  <dataValidations count="1">
    <dataValidation allowBlank="1" showInputMessage="1" sqref="H7:H11 WVO18:WVP152 G18:H152 JC18:JD152 SY18:SZ152 ACU18:ACV152 AMQ18:AMR152 AWM18:AWN152 BGI18:BGJ152 BQE18:BQF152 CAA18:CAB152 CJW18:CJX152 CTS18:CTT152 DDO18:DDP152 DNK18:DNL152 DXG18:DXH152 EHC18:EHD152 EQY18:EQZ152 FAU18:FAV152 FKQ18:FKR152 FUM18:FUN152 GEI18:GEJ152 GOE18:GOF152 GYA18:GYB152 HHW18:HHX152 HRS18:HRT152 IBO18:IBP152 ILK18:ILL152 IVG18:IVH152 JFC18:JFD152 JOY18:JOZ152 JYU18:JYV152 KIQ18:KIR152 KSM18:KSN152 LCI18:LCJ152 LME18:LMF152 LWA18:LWB152 MFW18:MFX152 MPS18:MPT152 MZO18:MZP152 NJK18:NJL152 NTG18:NTH152 ODC18:ODD152 OMY18:OMZ152 OWU18:OWV152 PGQ18:PGR152 PQM18:PQN152 QAI18:QAJ152 QKE18:QKF152 QUA18:QUB152 RDW18:RDX152 RNS18:RNT152 RXO18:RXP152 SHK18:SHL152 SRG18:SRH152 TBC18:TBD152 TKY18:TKZ152 TUU18:TUV152 UEQ18:UER152 UOM18:UON152 UYI18:UYJ152 VIE18:VIF152 VSA18:VSB152 WBW18:WBX152 WLS18:WLT152 G13:H15 G16:G17" xr:uid="{00000000-0002-0000-0100-000000000000}"/>
  </dataValidations>
  <pageMargins left="0.70866141732283472" right="0.70866141732283472" top="0.74803149606299213" bottom="0.74803149606299213" header="0.31496062992125984" footer="0.31496062992125984"/>
  <pageSetup paperSize="8" scale="63" fitToHeight="0" orientation="landscape" r:id="rId1"/>
  <headerFooter>
    <oddFooter>&amp;L&amp;9Copyright c 2013 The Japan Research Institute, Limited.</oddFooter>
  </headerFooter>
  <ignoredErrors>
    <ignoredError sqref="B7"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5</vt:i4>
      </vt:variant>
    </vt:vector>
  </HeadingPairs>
  <TitlesOfParts>
    <vt:vector size="7" baseType="lpstr">
      <vt:lpstr>08 バックアップ</vt:lpstr>
      <vt:lpstr>バックアップ対象一覧</vt:lpstr>
      <vt:lpstr>バックアップ対象一覧!_FilterDatabase</vt:lpstr>
      <vt:lpstr>'08 バックアップ'!Print_Area</vt:lpstr>
      <vt:lpstr>バックアップ対象一覧!Print_Area</vt:lpstr>
      <vt:lpstr>'08 バックアップ'!Print_Titles</vt:lpstr>
      <vt:lpstr>バックアップ対象一覧!Print_Titles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羽根岡 麻衣</dc:creator>
  <cp:lastModifiedBy>池之上　隆信-MSYS</cp:lastModifiedBy>
  <cp:lastPrinted>2019-04-04T08:46:49Z</cp:lastPrinted>
  <dcterms:created xsi:type="dcterms:W3CDTF">2009-03-21T09:29:46Z</dcterms:created>
  <dcterms:modified xsi:type="dcterms:W3CDTF">2019-04-04T14:16:19Z</dcterms:modified>
</cp:coreProperties>
</file>