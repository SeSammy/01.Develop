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1_基盤基本設計\03_本番環境編（セディナ）\レビュー指摘結果\"/>
    </mc:Choice>
  </mc:AlternateContent>
  <bookViews>
    <workbookView xWindow="0" yWindow="0" windowWidth="20496" windowHeight="7440" firstSheet="1" activeTab="4"/>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4" hidden="1">レビュー指摘表!$A$20:$CI$35</definedName>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52511"/>
</workbook>
</file>

<file path=xl/calcChain.xml><?xml version="1.0" encoding="utf-8"?>
<calcChain xmlns="http://schemas.openxmlformats.org/spreadsheetml/2006/main">
  <c r="A26" i="30" l="1"/>
  <c r="A27" i="30" s="1"/>
  <c r="A28" i="30" s="1"/>
  <c r="A29" i="30" s="1"/>
  <c r="A30" i="30" s="1"/>
  <c r="A31" i="30" s="1"/>
  <c r="A33" i="30" l="1"/>
  <c r="A34" i="30" s="1"/>
  <c r="A35" i="30" s="1"/>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24" i="43"/>
  <c r="J33" i="44"/>
  <c r="J23" i="44"/>
  <c r="F38" i="44"/>
  <c r="M29" i="14"/>
  <c r="N23" i="14" s="1"/>
  <c r="K46" i="23"/>
  <c r="AA43" i="23"/>
  <c r="L37" i="20"/>
  <c r="M34" i="20" s="1"/>
  <c r="J31" i="44"/>
  <c r="O29" i="48"/>
  <c r="P22" i="48" s="1"/>
  <c r="N28" i="13"/>
  <c r="O22" i="13" s="1"/>
  <c r="M22" i="20"/>
  <c r="K33" i="23"/>
  <c r="I30" i="48"/>
  <c r="U54" i="50"/>
  <c r="AE54" i="50"/>
  <c r="M21" i="43" l="1"/>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2.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4.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5.xml><?xml version="1.0" encoding="utf-8"?>
<comments xmlns="http://schemas.openxmlformats.org/spreadsheetml/2006/main">
  <authors>
    <author>品質開発部</author>
    <author xml:space="preserve"> </author>
    <author>t412590</author>
  </authors>
  <commentList>
    <comment ref="A10" authorId="0" shapeId="0">
      <text>
        <r>
          <rPr>
            <b/>
            <sz val="9"/>
            <color indexed="81"/>
            <rFont val="ＭＳ Ｐゴシック"/>
            <family val="3"/>
            <charset val="128"/>
          </rPr>
          <t>#ScopeForm.Defect</t>
        </r>
      </text>
    </comment>
    <comment ref="F11" authorId="1" shapeId="0">
      <text>
        <r>
          <rPr>
            <b/>
            <sz val="9"/>
            <color indexed="81"/>
            <rFont val="ＭＳ Ｐゴシック"/>
            <family val="3"/>
            <charset val="128"/>
          </rPr>
          <t>ReferenceNumber</t>
        </r>
      </text>
    </comment>
    <comment ref="F12" authorId="2" shapeId="0">
      <text>
        <r>
          <rPr>
            <b/>
            <sz val="9"/>
            <color indexed="81"/>
            <rFont val="ＭＳ Ｐゴシック"/>
            <family val="3"/>
            <charset val="128"/>
          </rPr>
          <t>ProjectName</t>
        </r>
      </text>
    </comment>
    <comment ref="F15" authorId="2" shapeId="0">
      <text>
        <r>
          <rPr>
            <b/>
            <sz val="9"/>
            <color indexed="81"/>
            <rFont val="ＭＳ Ｐゴシック"/>
            <family val="3"/>
            <charset val="128"/>
          </rPr>
          <t>CustomFieldText/発見者/会社名</t>
        </r>
      </text>
    </comment>
    <comment ref="J15" authorId="2" shapeId="0">
      <text>
        <r>
          <rPr>
            <b/>
            <sz val="9"/>
            <color indexed="81"/>
            <rFont val="ＭＳ Ｐゴシック"/>
            <family val="3"/>
            <charset val="128"/>
          </rPr>
          <t>CustomFieldText/発見者/所属／チーム名</t>
        </r>
      </text>
    </comment>
    <comment ref="O15" authorId="2" shapeId="0">
      <text>
        <r>
          <rPr>
            <b/>
            <sz val="9"/>
            <color indexed="81"/>
            <rFont val="ＭＳ Ｐゴシック"/>
            <family val="3"/>
            <charset val="128"/>
          </rPr>
          <t>CustomFieldText/発見者/発見者名</t>
        </r>
      </text>
    </comment>
    <comment ref="S15" authorId="2" shapeId="0">
      <text>
        <r>
          <rPr>
            <b/>
            <sz val="9"/>
            <color indexed="81"/>
            <rFont val="ＭＳ Ｐゴシック"/>
            <family val="3"/>
            <charset val="128"/>
          </rPr>
          <t>OccuredDateTime</t>
        </r>
      </text>
    </comment>
    <comment ref="W15" authorId="2" shapeId="0">
      <text>
        <r>
          <rPr>
            <b/>
            <sz val="9"/>
            <color indexed="81"/>
            <rFont val="ＭＳ Ｐゴシック"/>
            <family val="3"/>
            <charset val="128"/>
          </rPr>
          <t>CustomFieldDatafield/発見者/テスト名</t>
        </r>
      </text>
    </comment>
    <comment ref="F16" authorId="2" shapeId="0">
      <text>
        <r>
          <rPr>
            <b/>
            <sz val="9"/>
            <color indexed="81"/>
            <rFont val="ＭＳ Ｐゴシック"/>
            <family val="3"/>
            <charset val="128"/>
          </rPr>
          <t>CustomFieldText/不具合管理情報/サブシステム名</t>
        </r>
      </text>
    </comment>
    <comment ref="F17" authorId="2" shapeId="0">
      <text>
        <r>
          <rPr>
            <b/>
            <sz val="9"/>
            <color indexed="81"/>
            <rFont val="ＭＳ Ｐゴシック"/>
            <family val="3"/>
            <charset val="128"/>
          </rPr>
          <t>CustomFieldText/不具合管理情報/発生対象業務名</t>
        </r>
      </text>
    </comment>
    <comment ref="F18" authorId="2" shapeId="0">
      <text>
        <r>
          <rPr>
            <b/>
            <sz val="9"/>
            <color indexed="81"/>
            <rFont val="ＭＳ Ｐゴシック"/>
            <family val="3"/>
            <charset val="128"/>
          </rPr>
          <t>CustomFieldDatafield/不具合管理情報/不具合現象</t>
        </r>
      </text>
    </comment>
    <comment ref="R18" authorId="2" shapeId="0">
      <text>
        <r>
          <rPr>
            <b/>
            <sz val="9"/>
            <color indexed="81"/>
            <rFont val="ＭＳ Ｐゴシック"/>
            <family val="3"/>
            <charset val="128"/>
          </rPr>
          <t>CustomFieldText/不具合管理情報/その他の内容</t>
        </r>
      </text>
    </comment>
    <comment ref="F19" authorId="2" shapeId="0">
      <text>
        <r>
          <rPr>
            <b/>
            <sz val="9"/>
            <color indexed="81"/>
            <rFont val="ＭＳ Ｐゴシック"/>
            <family val="3"/>
            <charset val="128"/>
          </rPr>
          <t>ScopeName</t>
        </r>
      </text>
    </comment>
    <comment ref="F20" authorId="2" shapeId="0">
      <text>
        <r>
          <rPr>
            <b/>
            <sz val="9"/>
            <color indexed="81"/>
            <rFont val="ＭＳ Ｐゴシック"/>
            <family val="3"/>
            <charset val="128"/>
          </rPr>
          <t>RTF/RTF1</t>
        </r>
      </text>
    </comment>
    <comment ref="O21" authorId="2" shapeId="0">
      <text>
        <r>
          <rPr>
            <b/>
            <sz val="9"/>
            <color indexed="81"/>
            <rFont val="ＭＳ Ｐゴシック"/>
            <family val="3"/>
            <charset val="128"/>
          </rPr>
          <t>Rank</t>
        </r>
      </text>
    </comment>
    <comment ref="AA21" authorId="2" shapeId="0">
      <text>
        <r>
          <rPr>
            <b/>
            <sz val="9"/>
            <color indexed="81"/>
            <rFont val="ＭＳ Ｐゴシック"/>
            <family val="3"/>
            <charset val="128"/>
          </rPr>
          <t>Priority</t>
        </r>
      </text>
    </comment>
    <comment ref="F22" authorId="2" shapeId="0">
      <text>
        <r>
          <rPr>
            <b/>
            <sz val="9"/>
            <color indexed="81"/>
            <rFont val="ＭＳ Ｐゴシック"/>
            <family val="3"/>
            <charset val="128"/>
          </rPr>
          <t>RTF/RTF4</t>
        </r>
      </text>
    </comment>
    <comment ref="AA25" authorId="2" shapeId="0">
      <text>
        <r>
          <rPr>
            <b/>
            <sz val="9"/>
            <color indexed="81"/>
            <rFont val="ＭＳ Ｐゴシック"/>
            <family val="3"/>
            <charset val="128"/>
          </rPr>
          <t>ExternalReferenceNumber</t>
        </r>
      </text>
    </comment>
    <comment ref="AE25" authorId="2" shapeId="0">
      <text>
        <r>
          <rPr>
            <b/>
            <sz val="9"/>
            <color indexed="81"/>
            <rFont val="ＭＳ Ｐゴシック"/>
            <family val="3"/>
            <charset val="128"/>
          </rPr>
          <t>State</t>
        </r>
      </text>
    </comment>
    <comment ref="F27" authorId="2" shapeId="0">
      <text>
        <r>
          <rPr>
            <b/>
            <sz val="9"/>
            <color indexed="81"/>
            <rFont val="ＭＳ Ｐゴシック"/>
            <family val="3"/>
            <charset val="128"/>
          </rPr>
          <t>CustomFieldDatafield/バグ判定/バグ判定</t>
        </r>
      </text>
    </comment>
    <comment ref="F28" authorId="2" shapeId="0">
      <text>
        <r>
          <rPr>
            <b/>
            <sz val="9"/>
            <color indexed="81"/>
            <rFont val="ＭＳ Ｐゴシック"/>
            <family val="3"/>
            <charset val="128"/>
          </rPr>
          <t>CustomFieldDatafield/不具合種別/不具合種別</t>
        </r>
      </text>
    </comment>
    <comment ref="R28" authorId="2" shapeId="0">
      <text>
        <r>
          <rPr>
            <b/>
            <sz val="9"/>
            <color indexed="81"/>
            <rFont val="ＭＳ Ｐゴシック"/>
            <family val="3"/>
            <charset val="128"/>
          </rPr>
          <t>CustomFieldText/不具合種別/その他の内容</t>
        </r>
      </text>
    </comment>
    <comment ref="F31" authorId="2" shapeId="0">
      <text>
        <r>
          <rPr>
            <b/>
            <sz val="9"/>
            <color indexed="81"/>
            <rFont val="ＭＳ Ｐゴシック"/>
            <family val="3"/>
            <charset val="128"/>
          </rPr>
          <t>CustomFieldDatafield/アプリケーションバグ分析/バグ発生機能の分類</t>
        </r>
      </text>
    </comment>
    <comment ref="F32" authorId="2" shapeId="0">
      <text>
        <r>
          <rPr>
            <b/>
            <sz val="9"/>
            <color indexed="81"/>
            <rFont val="ＭＳ Ｐゴシック"/>
            <family val="3"/>
            <charset val="128"/>
          </rPr>
          <t>CustomFieldDatafield/アプリケーションバグ分析/バグ発生原因</t>
        </r>
      </text>
    </comment>
    <comment ref="R32" authorId="2" shapeId="0">
      <text>
        <r>
          <rPr>
            <b/>
            <sz val="9"/>
            <color indexed="81"/>
            <rFont val="ＭＳ Ｐゴシック"/>
            <family val="3"/>
            <charset val="128"/>
          </rPr>
          <t>CustomFieldText/アプリケーションバグ分析/その他の内容</t>
        </r>
      </text>
    </comment>
    <comment ref="F33" authorId="2" shapeId="0">
      <text>
        <r>
          <rPr>
            <b/>
            <sz val="9"/>
            <color indexed="81"/>
            <rFont val="ＭＳ Ｐゴシック"/>
            <family val="3"/>
            <charset val="128"/>
          </rPr>
          <t>CustomFieldDatafield/すり抜け確認/混入工程</t>
        </r>
      </text>
    </comment>
    <comment ref="R33" authorId="2" shapeId="0">
      <text>
        <r>
          <rPr>
            <b/>
            <sz val="9"/>
            <color indexed="81"/>
            <rFont val="ＭＳ Ｐゴシック"/>
            <family val="3"/>
            <charset val="128"/>
          </rPr>
          <t>CustomFieldDatafield/すり抜け確認/混入要因</t>
        </r>
      </text>
    </comment>
    <comment ref="Z33" authorId="2" shapeId="0">
      <text>
        <r>
          <rPr>
            <b/>
            <sz val="9"/>
            <color indexed="81"/>
            <rFont val="ＭＳ Ｐゴシック"/>
            <family val="3"/>
            <charset val="128"/>
          </rPr>
          <t>CustomFieldText/すり抜け確認/その他</t>
        </r>
      </text>
    </comment>
    <comment ref="F34" authorId="2" shapeId="0">
      <text>
        <r>
          <rPr>
            <b/>
            <sz val="9"/>
            <color indexed="81"/>
            <rFont val="ＭＳ Ｐゴシック"/>
            <family val="3"/>
            <charset val="128"/>
          </rPr>
          <t>CustomFieldDatafield/すり抜け確認/本来摘出すべき試験工程</t>
        </r>
      </text>
    </comment>
    <comment ref="R34" authorId="2" shapeId="0">
      <text>
        <r>
          <rPr>
            <b/>
            <sz val="9"/>
            <color indexed="81"/>
            <rFont val="ＭＳ Ｐゴシック"/>
            <family val="3"/>
            <charset val="128"/>
          </rPr>
          <t>CustomFieldDatafield/すり抜け確認/摘出できなかった要因</t>
        </r>
      </text>
    </comment>
    <comment ref="Z34" authorId="2" shapeId="0">
      <text>
        <r>
          <rPr>
            <b/>
            <sz val="9"/>
            <color indexed="81"/>
            <rFont val="ＭＳ Ｐゴシック"/>
            <family val="3"/>
            <charset val="128"/>
          </rPr>
          <t>CustomFieldText/すり抜け確認/その他の内容</t>
        </r>
      </text>
    </comment>
    <comment ref="F35" authorId="2" shapeId="0">
      <text>
        <r>
          <rPr>
            <b/>
            <sz val="9"/>
            <color indexed="81"/>
            <rFont val="ＭＳ Ｐゴシック"/>
            <family val="3"/>
            <charset val="128"/>
          </rPr>
          <t>CustomFieldDatafield/仕様変更/仕様変更関連有無</t>
        </r>
      </text>
    </comment>
    <comment ref="R35" authorId="2" shapeId="0">
      <text>
        <r>
          <rPr>
            <b/>
            <sz val="9"/>
            <color indexed="81"/>
            <rFont val="ＭＳ Ｐゴシック"/>
            <family val="3"/>
            <charset val="128"/>
          </rPr>
          <t>CustomFieldText/仕様変更/関連仕様変更管理番号</t>
        </r>
      </text>
    </comment>
    <comment ref="F37" authorId="2" shapeId="0">
      <text>
        <r>
          <rPr>
            <b/>
            <sz val="9"/>
            <color indexed="81"/>
            <rFont val="ＭＳ Ｐゴシック"/>
            <family val="3"/>
            <charset val="128"/>
          </rPr>
          <t>TargetDate</t>
        </r>
      </text>
    </comment>
    <comment ref="R37" authorId="2" shapeId="0">
      <text>
        <r>
          <rPr>
            <b/>
            <sz val="9"/>
            <color indexed="81"/>
            <rFont val="ＭＳ Ｐゴシック"/>
            <family val="3"/>
            <charset val="128"/>
          </rPr>
          <t>CustomFieldDate/確認日/確認依頼日</t>
        </r>
      </text>
    </comment>
    <comment ref="D38" authorId="2" shapeId="0">
      <text>
        <r>
          <rPr>
            <b/>
            <sz val="9"/>
            <color indexed="81"/>
            <rFont val="ＭＳ Ｐゴシック"/>
            <family val="3"/>
            <charset val="128"/>
          </rPr>
          <t>RTF/RTF2</t>
        </r>
      </text>
    </comment>
    <comment ref="D39" authorId="2" shapeId="0">
      <text>
        <r>
          <rPr>
            <b/>
            <sz val="9"/>
            <color indexed="81"/>
            <rFont val="ＭＳ Ｐゴシック"/>
            <family val="3"/>
            <charset val="128"/>
          </rPr>
          <t>RTF/RTF3</t>
        </r>
      </text>
    </comment>
    <comment ref="AC51" authorId="2" shapeId="0">
      <text>
        <r>
          <rPr>
            <b/>
            <sz val="9"/>
            <color indexed="81"/>
            <rFont val="ＭＳ Ｐゴシック"/>
            <family val="3"/>
            <charset val="128"/>
          </rPr>
          <t>CustomFieldText/確認日/対応確認者</t>
        </r>
      </text>
    </comment>
    <comment ref="AC53" authorId="2" shapeId="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authors>
    <author xml:space="preserve"> </author>
    <author>t501368</author>
  </authors>
  <commentList>
    <comment ref="A6" authorId="0" shapeId="0">
      <text>
        <r>
          <rPr>
            <b/>
            <sz val="9"/>
            <color indexed="81"/>
            <rFont val="ＭＳ Ｐゴシック"/>
            <family val="3"/>
            <charset val="128"/>
          </rPr>
          <t>State</t>
        </r>
      </text>
    </comment>
    <comment ref="B6" authorId="0" shapeId="0">
      <text>
        <r>
          <rPr>
            <b/>
            <sz val="9"/>
            <color indexed="81"/>
            <rFont val="ＭＳ Ｐゴシック"/>
            <family val="3"/>
            <charset val="128"/>
          </rPr>
          <t>ExternalReferenceNumber</t>
        </r>
      </text>
    </comment>
    <comment ref="C6" authorId="0" shapeId="0">
      <text>
        <r>
          <rPr>
            <b/>
            <sz val="9"/>
            <color indexed="81"/>
            <rFont val="ＭＳ Ｐゴシック"/>
            <family val="3"/>
            <charset val="128"/>
          </rPr>
          <t>ScopeName</t>
        </r>
      </text>
    </comment>
    <comment ref="D6" authorId="0" shapeId="0">
      <text>
        <r>
          <rPr>
            <b/>
            <sz val="9"/>
            <color indexed="81"/>
            <rFont val="ＭＳ Ｐゴシック"/>
            <family val="3"/>
            <charset val="128"/>
          </rPr>
          <t>ProposedByName</t>
        </r>
      </text>
    </comment>
    <comment ref="E6" authorId="0" shapeId="0">
      <text>
        <r>
          <rPr>
            <b/>
            <sz val="9"/>
            <color indexed="81"/>
            <rFont val="ＭＳ Ｐゴシック"/>
            <family val="3"/>
            <charset val="128"/>
          </rPr>
          <t>ProposedByDate</t>
        </r>
      </text>
    </comment>
    <comment ref="F6" authorId="0" shapeId="0">
      <text>
        <r>
          <rPr>
            <b/>
            <sz val="9"/>
            <color indexed="81"/>
            <rFont val="ＭＳ Ｐゴシック"/>
            <family val="3"/>
            <charset val="128"/>
          </rPr>
          <t>CustomFieldDate/不具合管理情報/完了日</t>
        </r>
      </text>
    </comment>
    <comment ref="G6" authorId="0" shapeId="0">
      <text>
        <r>
          <rPr>
            <b/>
            <sz val="9"/>
            <color indexed="81"/>
            <rFont val="ＭＳ Ｐゴシック"/>
            <family val="3"/>
            <charset val="128"/>
          </rPr>
          <t>OccuredDateTime</t>
        </r>
      </text>
    </comment>
    <comment ref="H6" authorId="0" shapeId="0">
      <text>
        <r>
          <rPr>
            <b/>
            <sz val="9"/>
            <color indexed="81"/>
            <rFont val="ＭＳ Ｐゴシック"/>
            <family val="3"/>
            <charset val="128"/>
          </rPr>
          <t>CustomFieldText/発見者/発見者名</t>
        </r>
      </text>
    </comment>
    <comment ref="I6" authorId="0" shapeId="0">
      <text>
        <r>
          <rPr>
            <b/>
            <sz val="9"/>
            <color indexed="81"/>
            <rFont val="ＭＳ Ｐゴシック"/>
            <family val="3"/>
            <charset val="128"/>
          </rPr>
          <t>CustomFieldText/発見者/会社名</t>
        </r>
      </text>
    </comment>
    <comment ref="J6" authorId="0" shapeId="0">
      <text>
        <r>
          <rPr>
            <b/>
            <sz val="9"/>
            <color indexed="81"/>
            <rFont val="ＭＳ Ｐゴシック"/>
            <family val="3"/>
            <charset val="128"/>
          </rPr>
          <t>CustomFieldText/発見者/所属／チーム名</t>
        </r>
      </text>
    </comment>
    <comment ref="K6" authorId="0" shapeId="0">
      <text>
        <r>
          <rPr>
            <b/>
            <sz val="9"/>
            <color indexed="81"/>
            <rFont val="ＭＳ Ｐゴシック"/>
            <family val="3"/>
            <charset val="128"/>
          </rPr>
          <t>CustomFieldDatafield/発見者/テスト名</t>
        </r>
      </text>
    </comment>
    <comment ref="L6" authorId="0" shapeId="0">
      <text>
        <r>
          <rPr>
            <b/>
            <sz val="9"/>
            <color indexed="81"/>
            <rFont val="ＭＳ Ｐゴシック"/>
            <family val="3"/>
            <charset val="128"/>
          </rPr>
          <t>CustomFieldText/不具合管理情報/サブシステム名</t>
        </r>
      </text>
    </comment>
    <comment ref="M6" authorId="0" shapeId="0">
      <text>
        <r>
          <rPr>
            <b/>
            <sz val="9"/>
            <color indexed="81"/>
            <rFont val="ＭＳ Ｐゴシック"/>
            <family val="3"/>
            <charset val="128"/>
          </rPr>
          <t>CustomFieldText/不具合管理情報/発生対象業務名</t>
        </r>
      </text>
    </comment>
    <comment ref="N6" authorId="0" shapeId="0">
      <text>
        <r>
          <rPr>
            <b/>
            <sz val="9"/>
            <color indexed="81"/>
            <rFont val="ＭＳ Ｐゴシック"/>
            <family val="3"/>
            <charset val="128"/>
          </rPr>
          <t>CustomFieldDatafield/不具合管理情報/不具合現象</t>
        </r>
      </text>
    </comment>
    <comment ref="O6" authorId="0" shapeId="0">
      <text>
        <r>
          <rPr>
            <b/>
            <sz val="9"/>
            <color indexed="81"/>
            <rFont val="ＭＳ Ｐゴシック"/>
            <family val="3"/>
            <charset val="128"/>
          </rPr>
          <t>CustomFieldText/不具合管理情報/その他の内容</t>
        </r>
      </text>
    </comment>
    <comment ref="P6" authorId="0" shapeId="0">
      <text>
        <r>
          <rPr>
            <b/>
            <sz val="9"/>
            <color indexed="81"/>
            <rFont val="ＭＳ Ｐゴシック"/>
            <family val="3"/>
            <charset val="128"/>
          </rPr>
          <t>Rank</t>
        </r>
      </text>
    </comment>
    <comment ref="Q6" authorId="0" shapeId="0">
      <text>
        <r>
          <rPr>
            <b/>
            <sz val="9"/>
            <color indexed="81"/>
            <rFont val="ＭＳ Ｐゴシック"/>
            <family val="3"/>
            <charset val="128"/>
          </rPr>
          <t>Priority</t>
        </r>
      </text>
    </comment>
    <comment ref="R6" authorId="0" shapeId="0">
      <text>
        <r>
          <rPr>
            <b/>
            <sz val="9"/>
            <color indexed="81"/>
            <rFont val="ＭＳ Ｐゴシック"/>
            <family val="3"/>
            <charset val="128"/>
          </rPr>
          <t>RTF/RTF1</t>
        </r>
      </text>
    </comment>
    <comment ref="S6" authorId="0" shapeId="0">
      <text>
        <r>
          <rPr>
            <b/>
            <sz val="9"/>
            <color indexed="81"/>
            <rFont val="ＭＳ Ｐゴシック"/>
            <family val="3"/>
            <charset val="128"/>
          </rPr>
          <t>CustomFieldDatafield/不具合種別/不具合種別</t>
        </r>
      </text>
    </comment>
    <comment ref="T6" authorId="0" shapeId="0">
      <text>
        <r>
          <rPr>
            <b/>
            <sz val="9"/>
            <color indexed="81"/>
            <rFont val="ＭＳ Ｐゴシック"/>
            <family val="3"/>
            <charset val="128"/>
          </rPr>
          <t>CustomFieldDatafield/バグ判定/バグ判定</t>
        </r>
      </text>
    </comment>
    <comment ref="U6" authorId="0" shapeId="0">
      <text>
        <r>
          <rPr>
            <b/>
            <sz val="9"/>
            <color indexed="81"/>
            <rFont val="ＭＳ Ｐゴシック"/>
            <family val="3"/>
            <charset val="128"/>
          </rPr>
          <t>CustomFieldText/不具合種別/その他の内容</t>
        </r>
      </text>
    </comment>
    <comment ref="V6" authorId="0" shapeId="0">
      <text>
        <r>
          <rPr>
            <b/>
            <sz val="9"/>
            <color indexed="81"/>
            <rFont val="ＭＳ Ｐゴシック"/>
            <family val="3"/>
            <charset val="128"/>
          </rPr>
          <t>CustomFieldDatafield/アプリケーションバグ分析/バグ発生機能の分類</t>
        </r>
      </text>
    </comment>
    <comment ref="W6" authorId="0" shapeId="0">
      <text>
        <r>
          <rPr>
            <b/>
            <sz val="9"/>
            <color indexed="81"/>
            <rFont val="ＭＳ Ｐゴシック"/>
            <family val="3"/>
            <charset val="128"/>
          </rPr>
          <t>CustomFieldDatafield/アプリケーションバグ分析/バグ発生原因</t>
        </r>
      </text>
    </comment>
    <comment ref="X6" authorId="0" shapeId="0">
      <text>
        <r>
          <rPr>
            <b/>
            <sz val="9"/>
            <color indexed="81"/>
            <rFont val="ＭＳ Ｐゴシック"/>
            <family val="3"/>
            <charset val="128"/>
          </rPr>
          <t>CustomFieldText/アプリケーションバグ分析/その他の内容</t>
        </r>
      </text>
    </comment>
    <comment ref="Y6" authorId="0" shapeId="0">
      <text>
        <r>
          <rPr>
            <b/>
            <sz val="9"/>
            <color indexed="81"/>
            <rFont val="ＭＳ Ｐゴシック"/>
            <family val="3"/>
            <charset val="128"/>
          </rPr>
          <t>CustomFieldDatafield/すり抜け確認/本来摘出すべき試験工程</t>
        </r>
      </text>
    </comment>
    <comment ref="Z6" authorId="0" shapeId="0">
      <text>
        <r>
          <rPr>
            <b/>
            <sz val="9"/>
            <color indexed="81"/>
            <rFont val="ＭＳ Ｐゴシック"/>
            <family val="3"/>
            <charset val="128"/>
          </rPr>
          <t>CustomFieldDatafield/すり抜け確認/摘出できなかった要因</t>
        </r>
      </text>
    </comment>
    <comment ref="AA6" authorId="0" shapeId="0">
      <text>
        <r>
          <rPr>
            <b/>
            <sz val="9"/>
            <color indexed="81"/>
            <rFont val="ＭＳ Ｐゴシック"/>
            <family val="3"/>
            <charset val="128"/>
          </rPr>
          <t>CustomFieldText/すり抜け確認/その他の内容</t>
        </r>
      </text>
    </comment>
    <comment ref="AB6" authorId="0" shapeId="0">
      <text>
        <r>
          <rPr>
            <b/>
            <sz val="9"/>
            <color indexed="81"/>
            <rFont val="ＭＳ Ｐゴシック"/>
            <family val="3"/>
            <charset val="128"/>
          </rPr>
          <t>CustomFieldDatafield/すり抜け確認/混入工程</t>
        </r>
      </text>
    </comment>
    <comment ref="AC6" authorId="0" shapeId="0">
      <text>
        <r>
          <rPr>
            <b/>
            <sz val="9"/>
            <color indexed="81"/>
            <rFont val="ＭＳ Ｐゴシック"/>
            <family val="3"/>
            <charset val="128"/>
          </rPr>
          <t>CustomFieldDatafield/すり抜け確認/混入要因</t>
        </r>
      </text>
    </comment>
    <comment ref="AD6" authorId="0" shapeId="0">
      <text>
        <r>
          <rPr>
            <b/>
            <sz val="9"/>
            <color indexed="81"/>
            <rFont val="ＭＳ Ｐゴシック"/>
            <family val="3"/>
            <charset val="128"/>
          </rPr>
          <t>CustomFieldText/すり抜け確認/その他</t>
        </r>
      </text>
    </comment>
    <comment ref="AE6" authorId="0" shapeId="0">
      <text>
        <r>
          <rPr>
            <b/>
            <sz val="9"/>
            <color indexed="81"/>
            <rFont val="ＭＳ Ｐゴシック"/>
            <family val="3"/>
            <charset val="128"/>
          </rPr>
          <t>CustomFieldDatafield/仕様変更/仕様変更関連有無</t>
        </r>
      </text>
    </comment>
    <comment ref="AF6" authorId="0" shapeId="0">
      <text>
        <r>
          <rPr>
            <b/>
            <sz val="9"/>
            <color indexed="81"/>
            <rFont val="ＭＳ Ｐゴシック"/>
            <family val="3"/>
            <charset val="128"/>
          </rPr>
          <t>CustomFieldText/仕様変更/関連仕様変更管理番号</t>
        </r>
      </text>
    </comment>
    <comment ref="AG6" authorId="0" shapeId="0">
      <text>
        <r>
          <rPr>
            <b/>
            <sz val="9"/>
            <color indexed="81"/>
            <rFont val="ＭＳ Ｐゴシック"/>
            <family val="3"/>
            <charset val="128"/>
          </rPr>
          <t>RTF/RTF2</t>
        </r>
      </text>
    </comment>
    <comment ref="AH6" authorId="0" shapeId="0">
      <text>
        <r>
          <rPr>
            <b/>
            <sz val="9"/>
            <color indexed="81"/>
            <rFont val="ＭＳ Ｐゴシック"/>
            <family val="3"/>
            <charset val="128"/>
          </rPr>
          <t>RTF/RTF3</t>
        </r>
      </text>
    </comment>
    <comment ref="AI6" authorId="0" shapeId="0">
      <text>
        <r>
          <rPr>
            <b/>
            <sz val="9"/>
            <color indexed="81"/>
            <rFont val="ＭＳ Ｐゴシック"/>
            <family val="3"/>
            <charset val="128"/>
          </rPr>
          <t>ResponsibleResource</t>
        </r>
      </text>
    </comment>
    <comment ref="AJ6" authorId="0" shapeId="0">
      <text>
        <r>
          <rPr>
            <b/>
            <sz val="9"/>
            <color indexed="81"/>
            <rFont val="ＭＳ Ｐゴシック"/>
            <family val="3"/>
            <charset val="128"/>
          </rPr>
          <t>TargetDate</t>
        </r>
      </text>
    </comment>
    <comment ref="AK6" authorId="0" shapeId="0">
      <text>
        <r>
          <rPr>
            <b/>
            <sz val="9"/>
            <color indexed="81"/>
            <rFont val="ＭＳ Ｐゴシック"/>
            <family val="3"/>
            <charset val="128"/>
          </rPr>
          <t>CustomFieldDate/確認日/確認日</t>
        </r>
      </text>
    </comment>
    <comment ref="AL6" authorId="0" shapeId="0">
      <text>
        <r>
          <rPr>
            <b/>
            <sz val="9"/>
            <color indexed="81"/>
            <rFont val="ＭＳ Ｐゴシック"/>
            <family val="3"/>
            <charset val="128"/>
          </rPr>
          <t>CustomFieldDate/確認日/確認依頼日</t>
        </r>
      </text>
    </comment>
    <comment ref="AM6" authorId="0" shapeId="0">
      <text>
        <r>
          <rPr>
            <b/>
            <sz val="9"/>
            <color indexed="81"/>
            <rFont val="ＭＳ Ｐゴシック"/>
            <family val="3"/>
            <charset val="128"/>
          </rPr>
          <t>CustomFieldText/確認日/対応確認者</t>
        </r>
      </text>
    </comment>
    <comment ref="AN6" authorId="0" shapeId="0">
      <text>
        <r>
          <rPr>
            <b/>
            <sz val="9"/>
            <color indexed="81"/>
            <rFont val="ＭＳ Ｐゴシック"/>
            <family val="3"/>
            <charset val="128"/>
          </rPr>
          <t>InternalID</t>
        </r>
      </text>
    </comment>
    <comment ref="AO6" authorId="0" shapeId="0">
      <text>
        <r>
          <rPr>
            <b/>
            <sz val="9"/>
            <color indexed="81"/>
            <rFont val="ＭＳ Ｐゴシック"/>
            <family val="3"/>
            <charset val="128"/>
          </rPr>
          <t>ReferenceNumber</t>
        </r>
      </text>
    </comment>
    <comment ref="AP6" authorId="0" shapeId="0">
      <text>
        <r>
          <rPr>
            <b/>
            <sz val="9"/>
            <color indexed="81"/>
            <rFont val="ＭＳ Ｐゴシック"/>
            <family val="3"/>
            <charset val="128"/>
          </rPr>
          <t>Number</t>
        </r>
      </text>
    </comment>
    <comment ref="AQ6" authorId="0" shapeId="0">
      <text>
        <r>
          <rPr>
            <b/>
            <sz val="9"/>
            <color indexed="81"/>
            <rFont val="ＭＳ Ｐゴシック"/>
            <family val="3"/>
            <charset val="128"/>
          </rPr>
          <t>ScopeType</t>
        </r>
      </text>
    </comment>
    <comment ref="AR6" authorId="0" shapeId="0">
      <text>
        <r>
          <rPr>
            <b/>
            <sz val="9"/>
            <color indexed="81"/>
            <rFont val="ＭＳ Ｐゴシック"/>
            <family val="3"/>
            <charset val="128"/>
          </rPr>
          <t>RTF/RTF4</t>
        </r>
      </text>
    </comment>
    <comment ref="AS6" authorId="1" shapeId="0">
      <text>
        <r>
          <rPr>
            <b/>
            <sz val="9"/>
            <color indexed="81"/>
            <rFont val="ＭＳ Ｐゴシック"/>
            <family val="3"/>
            <charset val="128"/>
          </rPr>
          <t>CustomFieldText/独自管理項目/項目01</t>
        </r>
      </text>
    </comment>
    <comment ref="AT6" authorId="1" shapeId="0">
      <text>
        <r>
          <rPr>
            <b/>
            <sz val="9"/>
            <color indexed="81"/>
            <rFont val="ＭＳ Ｐゴシック"/>
            <family val="3"/>
            <charset val="128"/>
          </rPr>
          <t>CustomFieldText/独自管理項目/項目02</t>
        </r>
      </text>
    </comment>
    <comment ref="AU6" authorId="1" shapeId="0">
      <text>
        <r>
          <rPr>
            <b/>
            <sz val="9"/>
            <color indexed="81"/>
            <rFont val="ＭＳ Ｐゴシック"/>
            <family val="3"/>
            <charset val="128"/>
          </rPr>
          <t>CustomFieldText/独自管理項目/項目03</t>
        </r>
      </text>
    </comment>
    <comment ref="AV6" authorId="1" shapeId="0">
      <text>
        <r>
          <rPr>
            <b/>
            <sz val="9"/>
            <color indexed="81"/>
            <rFont val="ＭＳ Ｐゴシック"/>
            <family val="3"/>
            <charset val="128"/>
          </rPr>
          <t>CustomFieldText/独自管理項目/項目04</t>
        </r>
      </text>
    </comment>
    <comment ref="AW6" authorId="1" shapeId="0">
      <text>
        <r>
          <rPr>
            <b/>
            <sz val="9"/>
            <color indexed="81"/>
            <rFont val="ＭＳ Ｐゴシック"/>
            <family val="3"/>
            <charset val="128"/>
          </rPr>
          <t>CustomFieldText/独自管理項目/項目05</t>
        </r>
      </text>
    </comment>
    <comment ref="AX6" authorId="1" shapeId="0">
      <text>
        <r>
          <rPr>
            <b/>
            <sz val="9"/>
            <color indexed="81"/>
            <rFont val="ＭＳ Ｐゴシック"/>
            <family val="3"/>
            <charset val="128"/>
          </rPr>
          <t>CustomFieldText/独自管理項目/項目06</t>
        </r>
      </text>
    </comment>
    <comment ref="AY6" authorId="1" shapeId="0">
      <text>
        <r>
          <rPr>
            <b/>
            <sz val="9"/>
            <color indexed="81"/>
            <rFont val="ＭＳ Ｐゴシック"/>
            <family val="3"/>
            <charset val="128"/>
          </rPr>
          <t>CustomFieldText/独自管理項目/項目07</t>
        </r>
      </text>
    </comment>
    <comment ref="AZ6" authorId="1" shapeId="0">
      <text>
        <r>
          <rPr>
            <b/>
            <sz val="9"/>
            <color indexed="81"/>
            <rFont val="ＭＳ Ｐゴシック"/>
            <family val="3"/>
            <charset val="128"/>
          </rPr>
          <t>CustomFieldText/独自管理項目/項目08</t>
        </r>
      </text>
    </comment>
    <comment ref="BA6" authorId="1" shapeId="0">
      <text>
        <r>
          <rPr>
            <b/>
            <sz val="9"/>
            <color indexed="81"/>
            <rFont val="ＭＳ Ｐゴシック"/>
            <family val="3"/>
            <charset val="128"/>
          </rPr>
          <t>CustomFieldText/独自管理項目/項目09</t>
        </r>
      </text>
    </comment>
    <comment ref="BB6" authorId="1" shapeId="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authors>
    <author>品質開発部</author>
    <author>t501368</author>
    <author xml:space="preserve"> </author>
    <author>Administrator</author>
    <author>ovpcpsu16</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S8" authorId="0" shapeId="0">
      <text>
        <r>
          <rPr>
            <b/>
            <sz val="9"/>
            <color indexed="81"/>
            <rFont val="ＭＳ Ｐゴシック"/>
            <family val="3"/>
            <charset val="128"/>
          </rPr>
          <t>down_ReferenceNumber</t>
        </r>
      </text>
    </comment>
    <comment ref="Z8" authorId="1" shapeId="0">
      <text>
        <r>
          <rPr>
            <b/>
            <sz val="9"/>
            <color indexed="81"/>
            <rFont val="ＭＳ Ｐゴシック"/>
            <family val="3"/>
            <charset val="128"/>
          </rPr>
          <t>right_today</t>
        </r>
      </text>
    </comment>
    <comment ref="Z9" authorId="1" shapeId="0">
      <text>
        <r>
          <rPr>
            <b/>
            <sz val="9"/>
            <color indexed="81"/>
            <rFont val="ＭＳ Ｐゴシック"/>
            <family val="3"/>
            <charset val="128"/>
          </rPr>
          <t>right_userID</t>
        </r>
      </text>
    </comment>
    <comment ref="C11" authorId="2" shapeId="0">
      <text>
        <r>
          <rPr>
            <b/>
            <sz val="9"/>
            <color indexed="81"/>
            <rFont val="ＭＳ Ｐゴシック"/>
            <family val="3"/>
            <charset val="128"/>
          </rPr>
          <t>right_対象工程</t>
        </r>
      </text>
    </comment>
    <comment ref="L14" authorId="3" shapeId="0">
      <text>
        <r>
          <rPr>
            <b/>
            <sz val="9"/>
            <color indexed="81"/>
            <rFont val="ＭＳ Ｐゴシック"/>
            <family val="3"/>
            <charset val="128"/>
          </rPr>
          <t>col_品質管理指標/基準値（下限）</t>
        </r>
      </text>
    </comment>
    <comment ref="O14" authorId="3" shapeId="0">
      <text>
        <r>
          <rPr>
            <b/>
            <sz val="9"/>
            <color indexed="81"/>
            <rFont val="ＭＳ Ｐゴシック"/>
            <family val="3"/>
            <charset val="128"/>
          </rPr>
          <t>col_品質管理指標/基準値（上限）</t>
        </r>
      </text>
    </comment>
    <comment ref="Q14" authorId="3" shapeId="0">
      <text>
        <r>
          <rPr>
            <b/>
            <sz val="9"/>
            <color indexed="81"/>
            <rFont val="ＭＳ Ｐゴシック"/>
            <family val="3"/>
            <charset val="128"/>
          </rPr>
          <t>col_品質管理指標/実績値</t>
        </r>
      </text>
    </comment>
    <comment ref="E15" authorId="2" shapeId="0">
      <text>
        <r>
          <rPr>
            <b/>
            <sz val="9"/>
            <color indexed="81"/>
            <rFont val="ＭＳ Ｐゴシック"/>
            <family val="3"/>
            <charset val="128"/>
          </rPr>
          <t>row_品質管理指標/テスト密度/製造</t>
        </r>
      </text>
    </comment>
    <comment ref="E16" authorId="2" shapeId="0">
      <text>
        <r>
          <rPr>
            <b/>
            <sz val="9"/>
            <color indexed="81"/>
            <rFont val="ＭＳ Ｐゴシック"/>
            <family val="3"/>
            <charset val="128"/>
          </rPr>
          <t>row_品質管理指標/バグ摘出密度/製造</t>
        </r>
      </text>
    </comment>
    <comment ref="E17" authorId="2" shapeId="0">
      <text>
        <r>
          <rPr>
            <b/>
            <sz val="9"/>
            <color indexed="81"/>
            <rFont val="ＭＳ Ｐゴシック"/>
            <family val="3"/>
            <charset val="128"/>
          </rPr>
          <t>row_品質管理指標/テスト密度/結合テスト</t>
        </r>
      </text>
    </comment>
    <comment ref="E18" authorId="2" shapeId="0">
      <text>
        <r>
          <rPr>
            <b/>
            <sz val="9"/>
            <color indexed="81"/>
            <rFont val="ＭＳ Ｐゴシック"/>
            <family val="3"/>
            <charset val="128"/>
          </rPr>
          <t>row_品質管理指標/バグ摘出密度/結合テスト</t>
        </r>
      </text>
    </comment>
    <comment ref="E19" authorId="2" shapeId="0">
      <text>
        <r>
          <rPr>
            <b/>
            <sz val="9"/>
            <color indexed="81"/>
            <rFont val="ＭＳ Ｐゴシック"/>
            <family val="3"/>
            <charset val="128"/>
          </rPr>
          <t>row_品質管理指標/テスト密度/システムテスト</t>
        </r>
      </text>
    </comment>
    <comment ref="E20" authorId="2" shapeId="0">
      <text>
        <r>
          <rPr>
            <b/>
            <sz val="9"/>
            <color indexed="81"/>
            <rFont val="ＭＳ Ｐゴシック"/>
            <family val="3"/>
            <charset val="128"/>
          </rPr>
          <t>row_品質管理指標/バグ摘出密度/システムテスト</t>
        </r>
      </text>
    </comment>
    <comment ref="E21" authorId="2" shapeId="0">
      <text>
        <r>
          <rPr>
            <b/>
            <sz val="9"/>
            <color indexed="81"/>
            <rFont val="ＭＳ Ｐゴシック"/>
            <family val="3"/>
            <charset val="128"/>
          </rPr>
          <t>row_品質管理指標/テスト密度/システムテスト</t>
        </r>
      </text>
    </comment>
    <comment ref="E22" authorId="2" shapeId="0">
      <text>
        <r>
          <rPr>
            <b/>
            <sz val="9"/>
            <color indexed="81"/>
            <rFont val="ＭＳ Ｐゴシック"/>
            <family val="3"/>
            <charset val="128"/>
          </rPr>
          <t>row_品質管理指標/バグ摘出密度/システムテスト</t>
        </r>
      </text>
    </comment>
    <comment ref="E45" authorId="1" shapeId="0">
      <text>
        <r>
          <rPr>
            <b/>
            <sz val="9"/>
            <color indexed="81"/>
            <rFont val="ＭＳ Ｐゴシック"/>
            <family val="3"/>
            <charset val="128"/>
          </rPr>
          <t>row_GraphDate</t>
        </r>
      </text>
    </comment>
    <comment ref="F45" authorId="4" shapeId="0">
      <text>
        <r>
          <rPr>
            <b/>
            <sz val="9"/>
            <color indexed="81"/>
            <rFont val="ＭＳ Ｐゴシック"/>
            <family val="3"/>
            <charset val="128"/>
          </rPr>
          <t>col_DataStart</t>
        </r>
      </text>
    </comment>
    <comment ref="E46" authorId="1" shapeId="0">
      <text>
        <r>
          <rPr>
            <b/>
            <sz val="9"/>
            <color indexed="81"/>
            <rFont val="ＭＳ Ｐゴシック"/>
            <family val="3"/>
            <charset val="128"/>
          </rPr>
          <t>row_TestPlan</t>
        </r>
      </text>
    </comment>
    <comment ref="E47" authorId="1" shapeId="0">
      <text>
        <r>
          <rPr>
            <b/>
            <sz val="9"/>
            <color indexed="81"/>
            <rFont val="ＭＳ Ｐゴシック"/>
            <family val="3"/>
            <charset val="128"/>
          </rPr>
          <t>row_TestPlan_Sum</t>
        </r>
      </text>
    </comment>
    <comment ref="E48" authorId="1" shapeId="0">
      <text>
        <r>
          <rPr>
            <b/>
            <sz val="9"/>
            <color indexed="81"/>
            <rFont val="ＭＳ Ｐゴシック"/>
            <family val="3"/>
            <charset val="128"/>
          </rPr>
          <t>row_TestAct</t>
        </r>
      </text>
    </comment>
    <comment ref="E49" authorId="1" shapeId="0">
      <text>
        <r>
          <rPr>
            <b/>
            <sz val="9"/>
            <color indexed="81"/>
            <rFont val="ＭＳ Ｐゴシック"/>
            <family val="3"/>
            <charset val="128"/>
          </rPr>
          <t>row_TestAct_Sum</t>
        </r>
      </text>
    </comment>
    <comment ref="E50" authorId="1" shapeId="0">
      <text>
        <r>
          <rPr>
            <b/>
            <sz val="9"/>
            <color indexed="81"/>
            <rFont val="ＭＳ Ｐゴシック"/>
            <family val="3"/>
            <charset val="128"/>
          </rPr>
          <t>row_Bug</t>
        </r>
      </text>
    </comment>
    <comment ref="E51" authorId="1" shapeId="0">
      <text>
        <r>
          <rPr>
            <b/>
            <sz val="9"/>
            <color indexed="81"/>
            <rFont val="ＭＳ Ｐゴシック"/>
            <family val="3"/>
            <charset val="128"/>
          </rPr>
          <t>row_Bug_Sum</t>
        </r>
      </text>
    </comment>
    <comment ref="E52" authorId="1" shapeId="0">
      <text>
        <r>
          <rPr>
            <b/>
            <sz val="9"/>
            <color indexed="81"/>
            <rFont val="ＭＳ Ｐゴシック"/>
            <family val="3"/>
            <charset val="128"/>
          </rPr>
          <t>row_BugFin</t>
        </r>
      </text>
    </comment>
    <comment ref="E53" authorId="1" shapeId="0">
      <text>
        <r>
          <rPr>
            <b/>
            <sz val="9"/>
            <color indexed="81"/>
            <rFont val="ＭＳ Ｐゴシック"/>
            <family val="3"/>
            <charset val="128"/>
          </rPr>
          <t>row_BugFin_Sum</t>
        </r>
      </text>
    </comment>
    <comment ref="E54" authorId="1" shapeId="0">
      <text>
        <r>
          <rPr>
            <b/>
            <sz val="9"/>
            <color indexed="81"/>
            <rFont val="ＭＳ Ｐゴシック"/>
            <family val="3"/>
            <charset val="128"/>
          </rPr>
          <t>row_BugNotFin</t>
        </r>
      </text>
    </comment>
  </commentList>
</comments>
</file>

<file path=xl/comments8.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E14" authorId="2" shapeId="0">
      <text>
        <r>
          <rPr>
            <b/>
            <sz val="9"/>
            <color indexed="81"/>
            <rFont val="ＭＳ Ｐゴシック"/>
            <family val="3"/>
            <charset val="128"/>
          </rPr>
          <t>right_CustomFieldDatafield/不具合種別/不具合種別_アプリケーション</t>
        </r>
      </text>
    </comment>
    <comment ref="V14" authorId="2" shapeId="0">
      <text>
        <r>
          <rPr>
            <b/>
            <sz val="9"/>
            <color indexed="81"/>
            <rFont val="ＭＳ Ｐゴシック"/>
            <family val="3"/>
            <charset val="128"/>
          </rPr>
          <t>right_Rank_1</t>
        </r>
      </text>
    </comment>
    <comment ref="E15" authorId="2" shapeId="0">
      <text>
        <r>
          <rPr>
            <b/>
            <sz val="9"/>
            <color indexed="81"/>
            <rFont val="ＭＳ Ｐゴシック"/>
            <family val="3"/>
            <charset val="128"/>
          </rPr>
          <t>right_CustomFieldDatafield/不具合種別/不具合種別_基盤</t>
        </r>
      </text>
    </comment>
    <comment ref="V15" authorId="2" shapeId="0">
      <text>
        <r>
          <rPr>
            <b/>
            <sz val="9"/>
            <color indexed="81"/>
            <rFont val="ＭＳ Ｐゴシック"/>
            <family val="3"/>
            <charset val="128"/>
          </rPr>
          <t>right_Rank_2</t>
        </r>
      </text>
    </comment>
    <comment ref="E16" authorId="2" shapeId="0">
      <text>
        <r>
          <rPr>
            <b/>
            <sz val="9"/>
            <color indexed="81"/>
            <rFont val="ＭＳ Ｐゴシック"/>
            <family val="3"/>
            <charset val="128"/>
          </rPr>
          <t>right_CustomFieldDatafield/不具合種別/不具合種別_データ</t>
        </r>
      </text>
    </comment>
    <comment ref="V16" authorId="2" shapeId="0">
      <text>
        <r>
          <rPr>
            <b/>
            <sz val="9"/>
            <color indexed="81"/>
            <rFont val="ＭＳ Ｐゴシック"/>
            <family val="3"/>
            <charset val="128"/>
          </rPr>
          <t>right_Rank_3</t>
        </r>
      </text>
    </comment>
    <comment ref="E17" authorId="2" shapeId="0">
      <text>
        <r>
          <rPr>
            <b/>
            <sz val="9"/>
            <color indexed="81"/>
            <rFont val="ＭＳ Ｐゴシック"/>
            <family val="3"/>
            <charset val="128"/>
          </rPr>
          <t>right_CustomFieldDatafield/不具合種別/不具合種別_その他</t>
        </r>
      </text>
    </comment>
    <comment ref="V17" authorId="2" shapeId="0">
      <text>
        <r>
          <rPr>
            <b/>
            <sz val="9"/>
            <color indexed="81"/>
            <rFont val="ＭＳ Ｐゴシック"/>
            <family val="3"/>
            <charset val="128"/>
          </rPr>
          <t>right_Rank_else</t>
        </r>
      </text>
    </comment>
    <comment ref="E22" authorId="2" shapeId="0">
      <text>
        <r>
          <rPr>
            <b/>
            <sz val="9"/>
            <color indexed="81"/>
            <rFont val="ＭＳ Ｐゴシック"/>
            <family val="3"/>
            <charset val="128"/>
          </rPr>
          <t>right_CustomFieldDatafield/不具合管理情報/不具合現象_システムダウン</t>
        </r>
      </text>
    </comment>
    <comment ref="E23" authorId="2" shapeId="0">
      <text>
        <r>
          <rPr>
            <b/>
            <sz val="9"/>
            <color indexed="81"/>
            <rFont val="ＭＳ Ｐゴシック"/>
            <family val="3"/>
            <charset val="128"/>
          </rPr>
          <t>right_CustomFieldDatafield/不具合管理情報/不具合現象_ABEND</t>
        </r>
      </text>
    </comment>
    <comment ref="V23" authorId="2" shapeId="0">
      <text>
        <r>
          <rPr>
            <b/>
            <sz val="9"/>
            <color indexed="81"/>
            <rFont val="ＭＳ Ｐゴシック"/>
            <family val="3"/>
            <charset val="128"/>
          </rPr>
          <t>right_CustomFieldDatafield/アプリケーションバグ分析/バグ発生原因_仕様書不備：記述漏れ</t>
        </r>
      </text>
    </comment>
    <comment ref="E24" authorId="2" shapeId="0">
      <text>
        <r>
          <rPr>
            <b/>
            <sz val="9"/>
            <color indexed="81"/>
            <rFont val="ＭＳ Ｐゴシック"/>
            <family val="3"/>
            <charset val="128"/>
          </rPr>
          <t>right_CustomFieldDatafield/不具合管理情報/不具合現象_データ内容不正</t>
        </r>
      </text>
    </comment>
    <comment ref="V24" authorId="2" shapeId="0">
      <text>
        <r>
          <rPr>
            <b/>
            <sz val="9"/>
            <color indexed="81"/>
            <rFont val="ＭＳ Ｐゴシック"/>
            <family val="3"/>
            <charset val="128"/>
          </rPr>
          <t>right_CustomFieldDatafield/アプリケーションバグ分析/バグ発生原因_仕様書不備：記述誤り</t>
        </r>
      </text>
    </comment>
    <comment ref="E25" authorId="2" shapeId="0">
      <text>
        <r>
          <rPr>
            <b/>
            <sz val="9"/>
            <color indexed="81"/>
            <rFont val="ＭＳ Ｐゴシック"/>
            <family val="3"/>
            <charset val="128"/>
          </rPr>
          <t>right_CustomFieldDatafield/不具合管理情報/不具合現象_機能障害</t>
        </r>
      </text>
    </comment>
    <comment ref="V25" authorId="2" shapeId="0">
      <text>
        <r>
          <rPr>
            <b/>
            <sz val="9"/>
            <color indexed="81"/>
            <rFont val="ＭＳ Ｐゴシック"/>
            <family val="3"/>
            <charset val="128"/>
          </rPr>
          <t>right_CustomFieldDatafield/アプリケーションバグ分析/バグ発生原因_仕様書不備：不明確（曖昧）</t>
        </r>
      </text>
    </comment>
    <comment ref="E26" authorId="2" shapeId="0">
      <text>
        <r>
          <rPr>
            <b/>
            <sz val="9"/>
            <color indexed="81"/>
            <rFont val="ＭＳ Ｐゴシック"/>
            <family val="3"/>
            <charset val="128"/>
          </rPr>
          <t>right_CustomFieldDatafield/不具合管理情報/不具合現象_形式不正</t>
        </r>
      </text>
    </comment>
    <comment ref="V26" authorId="2" shapeId="0">
      <text>
        <r>
          <rPr>
            <b/>
            <sz val="9"/>
            <color indexed="81"/>
            <rFont val="ＭＳ Ｐゴシック"/>
            <family val="3"/>
            <charset val="128"/>
          </rPr>
          <t>right_CustomFieldDatafield/アプリケーションバグ分析/バグ発生原因_仕様書不備：標準違反</t>
        </r>
      </text>
    </comment>
    <comment ref="E27" authorId="2" shapeId="0">
      <text>
        <r>
          <rPr>
            <b/>
            <sz val="9"/>
            <color indexed="81"/>
            <rFont val="ＭＳ Ｐゴシック"/>
            <family val="3"/>
            <charset val="128"/>
          </rPr>
          <t>right_CustomFieldDatafield/不具合管理情報/不具合現象_その他</t>
        </r>
      </text>
    </comment>
    <comment ref="V27" authorId="2" shapeId="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text>
        <r>
          <rPr>
            <b/>
            <sz val="9"/>
            <color indexed="81"/>
            <rFont val="ＭＳ Ｐゴシック"/>
            <family val="3"/>
            <charset val="128"/>
          </rPr>
          <t>right_CustomFieldDatafield/アプリケーションバグ分析/バグ発生原因_仕様展開問題：仕様の見落とし</t>
        </r>
      </text>
    </comment>
    <comment ref="E30" authorId="2" shapeId="0">
      <text>
        <r>
          <rPr>
            <b/>
            <sz val="9"/>
            <color indexed="81"/>
            <rFont val="ＭＳ Ｐゴシック"/>
            <family val="3"/>
            <charset val="128"/>
          </rPr>
          <t>right_CustomFieldDatafield/すり抜け確認/本来摘出すべき試験工程_製造（単体テスト）</t>
        </r>
      </text>
    </comment>
    <comment ref="V30" authorId="2" shapeId="0">
      <text>
        <r>
          <rPr>
            <b/>
            <sz val="9"/>
            <color indexed="81"/>
            <rFont val="ＭＳ Ｐゴシック"/>
            <family val="3"/>
            <charset val="128"/>
          </rPr>
          <t>right_CustomFieldDatafield/アプリケーションバグ分析/バグ発生原因_仕様展開問題：仕様の理解不足</t>
        </r>
      </text>
    </comment>
    <comment ref="E31" authorId="2" shapeId="0">
      <text>
        <r>
          <rPr>
            <b/>
            <sz val="9"/>
            <color indexed="81"/>
            <rFont val="ＭＳ Ｐゴシック"/>
            <family val="3"/>
            <charset val="128"/>
          </rPr>
          <t>right_CustomFieldDatafield/すり抜け確認/本来摘出すべき試験工程_結合テスト</t>
        </r>
      </text>
    </comment>
    <comment ref="V31" authorId="2" shapeId="0">
      <text>
        <r>
          <rPr>
            <b/>
            <sz val="9"/>
            <color indexed="81"/>
            <rFont val="ＭＳ Ｐゴシック"/>
            <family val="3"/>
            <charset val="128"/>
          </rPr>
          <t>right_CustomFieldDatafield/アプリケーションバグ分析/バグ発生原因_仕様展開問題：仕様の認識不足</t>
        </r>
      </text>
    </comment>
    <comment ref="E32" authorId="2" shapeId="0">
      <text>
        <r>
          <rPr>
            <b/>
            <sz val="9"/>
            <color indexed="81"/>
            <rFont val="ＭＳ Ｐゴシック"/>
            <family val="3"/>
            <charset val="128"/>
          </rPr>
          <t>right_CustomFieldDatafield/すり抜け確認/本来摘出すべき試験工程_システムテスト</t>
        </r>
      </text>
    </comment>
    <comment ref="V32" authorId="2" shapeId="0">
      <text>
        <r>
          <rPr>
            <b/>
            <sz val="9"/>
            <color indexed="81"/>
            <rFont val="ＭＳ Ｐゴシック"/>
            <family val="3"/>
            <charset val="128"/>
          </rPr>
          <t>right_CustomFieldDatafield/アプリケーションバグ分析/バグ発生原因_仕様展開問題：仕様の検討粗漏</t>
        </r>
      </text>
    </comment>
    <comment ref="V33" authorId="2" shapeId="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text>
        <r>
          <rPr>
            <b/>
            <sz val="9"/>
            <color indexed="81"/>
            <rFont val="ＭＳ Ｐゴシック"/>
            <family val="3"/>
            <charset val="128"/>
          </rPr>
          <t>right_CustomFieldDatafield/アプリケーションバグ分析/バグ発生原因_仕様以外問題：周知連絡の不徹底</t>
        </r>
      </text>
    </comment>
    <comment ref="V35" authorId="2" shapeId="0">
      <text>
        <r>
          <rPr>
            <b/>
            <sz val="9"/>
            <color indexed="81"/>
            <rFont val="ＭＳ Ｐゴシック"/>
            <family val="3"/>
            <charset val="128"/>
          </rPr>
          <t>right_CustomFieldDatafield/アプリケーションバグ分析/バグ発生原因_仕様以外問題：標準違反</t>
        </r>
      </text>
    </comment>
    <comment ref="V36" authorId="2" shapeId="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text>
        <r>
          <rPr>
            <b/>
            <sz val="9"/>
            <color indexed="81"/>
            <rFont val="ＭＳ Ｐゴシック"/>
            <family val="3"/>
            <charset val="128"/>
          </rPr>
          <t>right_CustomFieldDatafield/アプリケーションバグ分析/バグ発生原因_仕様以外問題：修正チェック漏れ</t>
        </r>
      </text>
    </comment>
    <comment ref="E38" authorId="2" shapeId="0">
      <text>
        <r>
          <rPr>
            <b/>
            <sz val="9"/>
            <color indexed="81"/>
            <rFont val="ＭＳ Ｐゴシック"/>
            <family val="3"/>
            <charset val="128"/>
          </rPr>
          <t>right_CustomFieldDatafield/すり抜け確認/混入工程_企画支援</t>
        </r>
      </text>
    </comment>
    <comment ref="V38" authorId="2" shapeId="0">
      <text>
        <r>
          <rPr>
            <b/>
            <sz val="9"/>
            <color indexed="81"/>
            <rFont val="ＭＳ Ｐゴシック"/>
            <family val="3"/>
            <charset val="128"/>
          </rPr>
          <t>right_CustomFieldDatafield/アプリケーションバグ分析/バグ発生原因_else</t>
        </r>
      </text>
    </comment>
    <comment ref="E39" authorId="2" shapeId="0">
      <text>
        <r>
          <rPr>
            <b/>
            <sz val="9"/>
            <color indexed="81"/>
            <rFont val="ＭＳ Ｐゴシック"/>
            <family val="3"/>
            <charset val="128"/>
          </rPr>
          <t>right_CustomFieldDatafield/すり抜け確認/混入工程_要件定義</t>
        </r>
      </text>
    </comment>
    <comment ref="E40" authorId="2" shapeId="0">
      <text>
        <r>
          <rPr>
            <b/>
            <sz val="9"/>
            <color indexed="81"/>
            <rFont val="ＭＳ Ｐゴシック"/>
            <family val="3"/>
            <charset val="128"/>
          </rPr>
          <t>right_CustomFieldDatafield/すり抜け確認/混入工程_基本設計</t>
        </r>
      </text>
    </comment>
    <comment ref="E41" authorId="2" shapeId="0">
      <text>
        <r>
          <rPr>
            <b/>
            <sz val="9"/>
            <color indexed="81"/>
            <rFont val="ＭＳ Ｐゴシック"/>
            <family val="3"/>
            <charset val="128"/>
          </rPr>
          <t>right_CustomFieldDatafield/すり抜け確認/混入工程_詳細設計</t>
        </r>
      </text>
    </comment>
    <comment ref="E42" authorId="2" shapeId="0">
      <text>
        <r>
          <rPr>
            <b/>
            <sz val="9"/>
            <color indexed="81"/>
            <rFont val="ＭＳ Ｐゴシック"/>
            <family val="3"/>
            <charset val="128"/>
          </rPr>
          <t>right_CustomFieldDatafield/すり抜け確認/混入工程_製造</t>
        </r>
      </text>
    </comment>
    <comment ref="E43" authorId="2" shapeId="0">
      <text>
        <r>
          <rPr>
            <b/>
            <sz val="9"/>
            <color indexed="81"/>
            <rFont val="ＭＳ Ｐゴシック"/>
            <family val="3"/>
            <charset val="128"/>
          </rPr>
          <t>right_CustomFieldDatafield/すり抜け確認/混入工程_結合テスト</t>
        </r>
      </text>
    </comment>
    <comment ref="E44" authorId="2" shapeId="0">
      <text>
        <r>
          <rPr>
            <b/>
            <sz val="9"/>
            <color indexed="81"/>
            <rFont val="ＭＳ Ｐゴシック"/>
            <family val="3"/>
            <charset val="128"/>
          </rPr>
          <t>right_CustomFieldDatafield/すり抜け確認/混入工程_システムテスト</t>
        </r>
      </text>
    </comment>
    <comment ref="E45" authorId="2" shapeId="0">
      <text>
        <r>
          <rPr>
            <b/>
            <sz val="9"/>
            <color indexed="81"/>
            <rFont val="ＭＳ Ｐゴシック"/>
            <family val="3"/>
            <charset val="128"/>
          </rPr>
          <t>right_CustomFieldDatafield/すり抜け確認/混入工程_移行導入</t>
        </r>
      </text>
    </comment>
    <comment ref="E46" authorId="2" shapeId="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0.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2.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F13" authorId="2" shapeId="0">
      <text>
        <r>
          <rPr>
            <b/>
            <sz val="9"/>
            <color indexed="81"/>
            <rFont val="ＭＳ Ｐゴシック"/>
            <family val="3"/>
            <charset val="128"/>
          </rPr>
          <t>col_CustomFieldDatafield/すり抜け確認/混入工程_企画支援</t>
        </r>
      </text>
    </comment>
    <comment ref="G13" authorId="2" shapeId="0">
      <text>
        <r>
          <rPr>
            <b/>
            <sz val="9"/>
            <color indexed="81"/>
            <rFont val="ＭＳ Ｐゴシック"/>
            <family val="3"/>
            <charset val="128"/>
          </rPr>
          <t>col_CustomFieldDatafield/すり抜け確認/混入工程_要件定義</t>
        </r>
      </text>
    </comment>
    <comment ref="H13" authorId="2" shapeId="0">
      <text>
        <r>
          <rPr>
            <b/>
            <sz val="9"/>
            <color indexed="81"/>
            <rFont val="ＭＳ Ｐゴシック"/>
            <family val="3"/>
            <charset val="128"/>
          </rPr>
          <t>col_CustomFieldDatafield/すり抜け確認/混入工程_基本設計</t>
        </r>
      </text>
    </comment>
    <comment ref="I13" authorId="2" shapeId="0">
      <text>
        <r>
          <rPr>
            <b/>
            <sz val="9"/>
            <color indexed="81"/>
            <rFont val="ＭＳ Ｐゴシック"/>
            <family val="3"/>
            <charset val="128"/>
          </rPr>
          <t>col_CustomFieldDatafield/すり抜け確認/混入工程_詳細設計</t>
        </r>
      </text>
    </comment>
    <comment ref="J13" authorId="2" shapeId="0">
      <text>
        <r>
          <rPr>
            <b/>
            <sz val="9"/>
            <color indexed="81"/>
            <rFont val="ＭＳ Ｐゴシック"/>
            <family val="3"/>
            <charset val="128"/>
          </rPr>
          <t>col_CustomFieldDatafield/すり抜け確認/混入工程_製造</t>
        </r>
      </text>
    </comment>
    <comment ref="K13" authorId="2" shapeId="0">
      <text>
        <r>
          <rPr>
            <b/>
            <sz val="9"/>
            <color indexed="81"/>
            <rFont val="ＭＳ Ｐゴシック"/>
            <family val="3"/>
            <charset val="128"/>
          </rPr>
          <t>col_CustomFieldDatafield/すり抜け確認/混入工程_結合テスト</t>
        </r>
      </text>
    </comment>
    <comment ref="L13" authorId="2" shapeId="0">
      <text>
        <r>
          <rPr>
            <b/>
            <sz val="9"/>
            <color indexed="81"/>
            <rFont val="ＭＳ Ｐゴシック"/>
            <family val="3"/>
            <charset val="128"/>
          </rPr>
          <t>col_CustomFieldDatafield/すり抜け確認/混入工程_システムテスト</t>
        </r>
      </text>
    </comment>
    <comment ref="M13" authorId="2" shapeId="0">
      <text>
        <r>
          <rPr>
            <b/>
            <sz val="9"/>
            <color indexed="81"/>
            <rFont val="ＭＳ Ｐゴシック"/>
            <family val="3"/>
            <charset val="128"/>
          </rPr>
          <t>col_CustomFieldDatafield/すり抜け確認/混入工程_移行導入</t>
        </r>
      </text>
    </comment>
    <comment ref="N13" authorId="2" shapeId="0">
      <text>
        <r>
          <rPr>
            <b/>
            <sz val="9"/>
            <color indexed="81"/>
            <rFont val="ＭＳ Ｐゴシック"/>
            <family val="3"/>
            <charset val="128"/>
          </rPr>
          <t>col_CustomFieldDatafield/すり抜け確認/混入工程_その他</t>
        </r>
      </text>
    </comment>
    <comment ref="E20" authorId="2" shapeId="0">
      <text>
        <r>
          <rPr>
            <b/>
            <sz val="9"/>
            <color indexed="81"/>
            <rFont val="ＭＳ Ｐゴシック"/>
            <family val="3"/>
            <charset val="128"/>
          </rPr>
          <t>row_CustomFieldDatafield/すり抜け確認/混入要因_要求の確認不足</t>
        </r>
      </text>
    </comment>
    <comment ref="E21" authorId="2" shapeId="0">
      <text>
        <r>
          <rPr>
            <b/>
            <sz val="9"/>
            <color indexed="81"/>
            <rFont val="ＭＳ Ｐゴシック"/>
            <family val="3"/>
            <charset val="128"/>
          </rPr>
          <t>row_CustomFieldDatafield/すり抜け確認/混入要因_設計条件の確認不足</t>
        </r>
      </text>
    </comment>
    <comment ref="E22" authorId="2" shapeId="0">
      <text>
        <r>
          <rPr>
            <b/>
            <sz val="9"/>
            <color indexed="81"/>
            <rFont val="ＭＳ Ｐゴシック"/>
            <family val="3"/>
            <charset val="128"/>
          </rPr>
          <t>row_CustomFieldDatafield/すり抜け確認/混入要因_実現方式の検討不足</t>
        </r>
      </text>
    </comment>
    <comment ref="E23" authorId="2" shapeId="0">
      <text>
        <r>
          <rPr>
            <b/>
            <sz val="9"/>
            <color indexed="81"/>
            <rFont val="ＭＳ Ｐゴシック"/>
            <family val="3"/>
            <charset val="128"/>
          </rPr>
          <t>row_CustomFieldDatafield/すり抜け確認/混入要因_設計技術の習熟不足</t>
        </r>
      </text>
    </comment>
    <comment ref="E24" authorId="2" shapeId="0">
      <text>
        <r>
          <rPr>
            <b/>
            <sz val="9"/>
            <color indexed="81"/>
            <rFont val="ＭＳ Ｐゴシック"/>
            <family val="3"/>
            <charset val="128"/>
          </rPr>
          <t>row_CustomFieldDatafield/すり抜け確認/混入要因_業務知識の習熟不足</t>
        </r>
      </text>
    </comment>
    <comment ref="E25" authorId="2" shapeId="0">
      <text>
        <r>
          <rPr>
            <b/>
            <sz val="9"/>
            <color indexed="81"/>
            <rFont val="ＭＳ Ｐゴシック"/>
            <family val="3"/>
            <charset val="128"/>
          </rPr>
          <t>row_CustomFieldDatafield/すり抜け確認/混入要因_周知連絡の不徹底</t>
        </r>
      </text>
    </comment>
    <comment ref="E26" authorId="2" shapeId="0">
      <text>
        <r>
          <rPr>
            <b/>
            <sz val="9"/>
            <color indexed="81"/>
            <rFont val="ＭＳ Ｐゴシック"/>
            <family val="3"/>
            <charset val="128"/>
          </rPr>
          <t>row_CustomFieldDatafield/すり抜け確認/混入要因_表現上の配慮不足</t>
        </r>
      </text>
    </comment>
    <comment ref="E27" authorId="2" shapeId="0">
      <text>
        <r>
          <rPr>
            <b/>
            <sz val="9"/>
            <color indexed="81"/>
            <rFont val="ＭＳ Ｐゴシック"/>
            <family val="3"/>
            <charset val="128"/>
          </rPr>
          <t>row_CustomFieldDatafield/すり抜け確認/混入要因_修正ミス</t>
        </r>
      </text>
    </comment>
    <comment ref="E28" authorId="2" shapeId="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sharedStrings.xml><?xml version="1.0" encoding="utf-8"?>
<sst xmlns="http://schemas.openxmlformats.org/spreadsheetml/2006/main" count="1889" uniqueCount="820">
  <si>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</si>
  <si>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</si>
  <si>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</si>
  <si>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</si>
  <si>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</si>
  <si>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</si>
  <si>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</si>
  <si>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</si>
  <si>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</si>
  <si>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</si>
  <si>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</si>
  <si>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</si>
  <si>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</si>
  <si>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</si>
  <si>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</si>
  <si>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</si>
  <si>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</si>
  <si>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</si>
  <si>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</si>
  <si>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</si>
  <si>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</si>
  <si>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</si>
  <si>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</si>
  <si>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</si>
  <si>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</si>
  <si>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</si>
  <si>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</si>
  <si>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</si>
  <si>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</si>
  <si>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</si>
  <si>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</si>
  <si>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</si>
  <si>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</si>
  <si>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</si>
  <si>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</si>
  <si>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</si>
  <si>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</si>
  <si>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</si>
  <si>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</si>
  <si>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</si>
  <si>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</si>
  <si>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</si>
  <si>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</si>
  <si>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</si>
  <si>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</si>
  <si>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</si>
  <si>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</si>
  <si>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</si>
  <si>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</si>
  <si>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</si>
  <si>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</si>
  <si>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</si>
  <si>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</si>
  <si>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</si>
  <si>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</si>
  <si>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</si>
  <si>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</si>
  <si>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</si>
  <si>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</si>
  <si>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</si>
  <si>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</si>
  <si>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</si>
  <si>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</si>
  <si>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</si>
  <si>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</si>
  <si>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</si>
  <si>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</si>
  <si>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</si>
  <si>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</si>
  <si>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</si>
  <si>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</si>
  <si>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</si>
  <si>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</si>
  <si>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</si>
  <si>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</si>
  <si>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</si>
  <si>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</si>
  <si>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</si>
  <si>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</si>
  <si>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</si>
  <si>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</si>
  <si>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</si>
  <si>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</si>
  <si>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</si>
  <si>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</si>
  <si>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</si>
  <si>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</si>
  <si>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</si>
  <si>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</si>
  <si>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</si>
  <si>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</si>
  <si>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</si>
  <si>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</si>
  <si>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</si>
  <si>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</si>
  <si>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</si>
  <si>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</si>
  <si>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</si>
  <si>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</si>
  <si>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</si>
  <si>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</si>
  <si>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</si>
  <si>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</si>
  <si>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</si>
  <si>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</si>
  <si>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</si>
  <si>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</si>
  <si>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</si>
  <si>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</si>
  <si>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</si>
  <si>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</si>
  <si>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</si>
  <si>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</si>
  <si>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</si>
  <si>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</si>
  <si>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</si>
  <si>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</si>
  <si>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</si>
  <si>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</si>
  <si>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</si>
  <si>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</si>
  <si>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</si>
  <si>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</si>
  <si>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</si>
  <si>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</si>
  <si>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</si>
  <si>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</si>
  <si>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</si>
  <si>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</si>
  <si>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</si>
  <si>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</si>
  <si>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</si>
  <si>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</si>
  <si>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</si>
  <si>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</si>
  <si>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</si>
  <si>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</si>
  <si>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</si>
  <si>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</si>
  <si>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</si>
  <si>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</si>
  <si>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</si>
  <si>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</si>
  <si>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</si>
  <si>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</si>
  <si>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</si>
  <si>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</si>
  <si>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</si>
  <si>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</si>
  <si>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</si>
  <si>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</si>
  <si>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</si>
  <si>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</si>
  <si>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</si>
  <si>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</si>
  <si>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</si>
  <si>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</si>
  <si>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</si>
  <si>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</si>
  <si>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</si>
  <si>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</si>
  <si>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</si>
  <si>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</si>
  <si>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</si>
  <si>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</si>
  <si>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</si>
  <si>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</si>
  <si>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</si>
  <si>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</si>
  <si>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</si>
  <si>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</si>
  <si>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</si>
  <si>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</si>
  <si>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</si>
  <si>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</si>
  <si>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</si>
  <si>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</si>
  <si>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</si>
  <si>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</si>
  <si>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</si>
  <si>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</si>
  <si>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</si>
  <si>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</si>
  <si>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</si>
  <si>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</si>
  <si>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</si>
  <si>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</si>
  <si>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</si>
  <si>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</si>
  <si>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</si>
  <si>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</si>
  <si>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</si>
  <si>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</si>
  <si>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</si>
  <si>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</si>
  <si>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</si>
  <si>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</si>
  <si>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</si>
  <si>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</si>
  <si>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</si>
  <si>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</si>
  <si>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</si>
  <si>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</si>
  <si>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</si>
  <si>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</si>
  <si>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</si>
  <si>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</si>
  <si>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</si>
  <si>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</si>
  <si>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</si>
  <si>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</si>
  <si>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</si>
  <si>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</si>
  <si>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</si>
  <si>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</si>
  <si>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</si>
  <si>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</si>
  <si>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</si>
  <si>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</si>
  <si>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</si>
  <si>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</si>
  <si>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</si>
  <si>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</si>
  <si>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</si>
  <si>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</si>
  <si>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</si>
  <si>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</si>
  <si>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</si>
  <si>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</si>
  <si>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</si>
  <si>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</si>
  <si>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</si>
  <si>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</si>
  <si>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</si>
  <si>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</si>
  <si>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</si>
  <si>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</si>
  <si>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</si>
  <si>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</si>
  <si>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</si>
  <si>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</si>
  <si>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</si>
  <si>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</si>
  <si>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</si>
  <si>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</si>
  <si>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</si>
  <si>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</si>
  <si>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</si>
  <si>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</si>
  <si>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</si>
  <si>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</si>
  <si>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</si>
  <si>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</si>
  <si>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</si>
  <si>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</si>
  <si>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</si>
  <si>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</si>
  <si>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</si>
  <si>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</si>
  <si>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</si>
  <si>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</si>
  <si>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</si>
  <si>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</si>
  <si>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</si>
  <si>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</si>
  <si>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</si>
  <si>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</si>
  <si>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</si>
  <si>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</si>
  <si>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</si>
  <si>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</si>
  <si>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</si>
  <si>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</si>
  <si>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</si>
  <si>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</si>
  <si>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</si>
  <si>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</si>
  <si>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</si>
  <si>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</si>
  <si>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</si>
  <si>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</si>
  <si>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</si>
  <si>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</si>
  <si>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</si>
  <si>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</si>
  <si>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</si>
  <si>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</si>
  <si>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</si>
  <si>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</si>
  <si>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</si>
  <si>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</si>
  <si>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</si>
  <si>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</si>
  <si>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</si>
  <si>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</si>
  <si>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</si>
  <si>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</si>
  <si>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</si>
  <si>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</si>
  <si>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</si>
  <si>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</si>
  <si>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</si>
  <si>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</si>
  <si>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</si>
  <si>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</si>
  <si>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</si>
  <si>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</si>
  <si>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</si>
  <si>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</si>
  <si>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</si>
  <si>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</si>
  <si>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</si>
  <si>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</si>
  <si>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</si>
  <si>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</si>
  <si>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</si>
  <si>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</si>
  <si>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</si>
  <si>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</si>
  <si>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</si>
  <si>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</si>
  <si>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</si>
  <si>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</si>
  <si>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</si>
  <si>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</si>
  <si>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</si>
  <si>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</si>
  <si>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</si>
  <si>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</si>
  <si>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</si>
  <si>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</si>
  <si>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</si>
  <si>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</si>
  <si>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</si>
  <si>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</si>
  <si>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</si>
  <si>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</si>
  <si>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</si>
  <si>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</si>
  <si>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</si>
  <si>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</si>
  <si>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</si>
  <si>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</si>
  <si>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</si>
  <si>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</si>
  <si>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</si>
  <si>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</si>
  <si>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</si>
  <si>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</si>
  <si>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</si>
  <si>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</si>
  <si>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</si>
  <si>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</si>
  <si>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</si>
  <si>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</si>
  <si>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</si>
  <si>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</si>
  <si>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</si>
  <si>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</si>
  <si>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</si>
  <si>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</si>
  <si>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</si>
  <si>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</si>
  <si>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</si>
  <si>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</si>
  <si>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</si>
  <si>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</si>
  <si>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</si>
  <si>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</si>
  <si>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</si>
  <si>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</si>
  <si>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</si>
  <si>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</si>
  <si>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</si>
  <si>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</si>
  <si>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</si>
  <si>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</si>
  <si>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</si>
  <si>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</si>
  <si>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</si>
  <si>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</si>
  <si>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</si>
  <si>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</si>
  <si>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</si>
  <si>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</si>
  <si>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</si>
  <si>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</si>
  <si>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</si>
  <si>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</si>
  <si>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</si>
  <si>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</si>
  <si>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</si>
  <si>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</si>
  <si>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</si>
  <si>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</si>
  <si>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</si>
  <si>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</si>
  <si>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</si>
  <si>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</si>
  <si>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</si>
  <si>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</si>
  <si>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</si>
  <si>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</si>
  <si>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</si>
  <si>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</si>
  <si>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</si>
  <si>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</si>
  <si>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</si>
  <si>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</si>
  <si>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</si>
  <si>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</si>
  <si>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</si>
  <si>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</si>
  <si>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</si>
  <si>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</si>
  <si>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</si>
  <si>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</si>
  <si>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</si>
  <si>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</si>
  <si>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</si>
  <si>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</si>
  <si>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</si>
  <si>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</si>
  <si>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</si>
  <si>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</si>
  <si>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</si>
  <si>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</si>
  <si>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</si>
  <si>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</si>
  <si>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</si>
  <si>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</si>
  <si>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</si>
  <si>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</si>
  <si>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</si>
  <si>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</si>
  <si>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</si>
  <si>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</si>
  <si>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</si>
  <si>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</si>
  <si>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</si>
  <si>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</si>
  <si>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</si>
  <si>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</si>
  <si>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</si>
  <si>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</si>
  <si>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</si>
  <si>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</si>
  <si>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</si>
  <si>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</si>
  <si>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</si>
  <si>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</si>
  <si>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</si>
  <si>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</si>
  <si>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</si>
  <si>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</si>
  <si>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</si>
  <si>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</si>
  <si>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</si>
  <si>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</si>
  <si>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</si>
  <si>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</si>
  <si>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</si>
  <si>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</si>
  <si>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</si>
  <si>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</si>
  <si>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</si>
  <si>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</si>
  <si>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</si>
  <si>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</si>
  <si>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</si>
  <si>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</si>
  <si>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</si>
  <si>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</si>
  <si>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</si>
  <si>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</si>
  <si>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</si>
  <si>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</si>
  <si>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</si>
  <si>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</si>
  <si>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</si>
  <si>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</si>
  <si>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</si>
  <si>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</si>
  <si>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</si>
  <si>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</si>
  <si>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</si>
  <si>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</si>
  <si>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</si>
  <si>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</si>
  <si>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</si>
  <si>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</si>
  <si>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</si>
  <si>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</si>
  <si>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</si>
  <si>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</si>
  <si>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</si>
  <si>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</si>
  <si>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</si>
  <si>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</si>
  <si>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</si>
  <si>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</si>
  <si>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</si>
  <si>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</si>
  <si>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</si>
  <si>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</si>
  <si>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</si>
  <si>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</si>
  <si>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</si>
  <si>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</si>
  <si>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</si>
  <si>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</si>
  <si>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</si>
  <si>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</si>
  <si>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</si>
  <si>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</si>
  <si>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</si>
  <si>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</si>
  <si>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</si>
  <si>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</si>
  <si>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</si>
  <si>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</si>
  <si>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</si>
  <si>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</si>
  <si>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</si>
  <si>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</si>
  <si>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</si>
  <si>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</si>
  <si>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</si>
  <si>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</si>
  <si>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</si>
  <si>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</si>
  <si>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</si>
  <si>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</si>
  <si>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</si>
  <si>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</si>
  <si>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</si>
  <si>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</si>
  <si>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</si>
  <si>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</si>
  <si>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</si>
  <si>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</si>
  <si>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</si>
  <si>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</si>
  <si>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</si>
  <si>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</si>
  <si>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</si>
  <si>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</si>
  <si>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</si>
  <si>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</si>
  <si>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</si>
  <si>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</si>
  <si>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</si>
  <si>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</si>
  <si>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</si>
  <si>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</si>
  <si>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</si>
  <si>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</si>
  <si>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</si>
  <si>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</si>
  <si>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</si>
  <si>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</si>
  <si>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</si>
  <si>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</si>
  <si>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</si>
  <si>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</si>
  <si>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</si>
  <si>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</si>
  <si>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</si>
  <si>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</si>
  <si>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</si>
  <si>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</si>
  <si>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</si>
  <si>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</si>
  <si>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</si>
  <si>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</si>
  <si>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</si>
  <si>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</si>
  <si>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</si>
  <si>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</si>
  <si>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</si>
  <si>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</si>
  <si>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</si>
  <si>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</si>
  <si>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</si>
  <si>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</si>
  <si>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</si>
  <si>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</si>
  <si>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</si>
  <si>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</si>
  <si>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</si>
  <si>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</si>
  <si>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</si>
  <si>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</si>
  <si>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</si>
  <si>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</si>
  <si>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</si>
  <si>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</si>
  <si>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</si>
  <si>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</si>
  <si>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</si>
  <si>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</si>
  <si>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</si>
  <si>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</si>
  <si>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</si>
  <si>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</si>
  <si>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</si>
  <si>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</si>
  <si>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</si>
  <si>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</si>
  <si>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</si>
  <si>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</si>
  <si>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</si>
  <si>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</si>
  <si>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</si>
  <si>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</si>
  <si>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</si>
  <si>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</si>
  <si>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</si>
  <si>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</si>
  <si>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</si>
  <si>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</si>
  <si>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</si>
  <si>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</si>
  <si>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</si>
  <si>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</si>
  <si>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</si>
  <si>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</si>
  <si>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</si>
  <si>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</si>
  <si>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</si>
  <si>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</si>
  <si>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</si>
  <si>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</si>
  <si>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</si>
  <si>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</si>
  <si>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</si>
  <si>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</si>
  <si>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</si>
  <si>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</si>
  <si>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</si>
  <si>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</si>
  <si>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</si>
  <si>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</si>
  <si>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</si>
  <si>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</si>
  <si>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</si>
  <si>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</si>
  <si>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</si>
  <si>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</si>
  <si>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</si>
  <si>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</si>
  <si>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</si>
  <si>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</si>
  <si>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</si>
  <si>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</si>
  <si>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</si>
  <si>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</si>
  <si>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</si>
  <si>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</si>
  <si>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</si>
  <si>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</si>
  <si>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</si>
  <si>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</si>
  <si>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</si>
  <si>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</si>
  <si>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</si>
  <si>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</si>
  <si>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</si>
  <si>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</si>
  <si>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</si>
  <si>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</si>
  <si>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</si>
  <si>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</si>
  <si>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</si>
  <si>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</si>
  <si>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</si>
  <si>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</si>
  <si>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</si>
  <si>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</si>
  <si>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</si>
  <si>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</si>
  <si>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</si>
  <si>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</si>
  <si>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</si>
  <si>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</si>
  <si>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</si>
  <si>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</si>
  <si>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</si>
  <si>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</si>
  <si>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</si>
  <si>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</si>
  <si>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</si>
  <si>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</si>
  <si>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</si>
  <si>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</si>
  <si>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</si>
  <si>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</si>
  <si>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</si>
  <si>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</si>
  <si>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</si>
  <si>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</si>
  <si>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</si>
  <si>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</si>
  <si>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</si>
  <si>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</si>
  <si>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</si>
  <si>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</si>
  <si>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</si>
  <si>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</si>
  <si>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</si>
  <si>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</si>
  <si>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</si>
  <si>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</si>
  <si>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</si>
  <si>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</si>
  <si>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</si>
  <si>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</si>
  <si>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</si>
  <si>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</si>
  <si>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</si>
  <si>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</si>
  <si>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</si>
  <si>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</si>
  <si>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</si>
  <si>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</si>
  <si>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</si>
  <si>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</si>
  <si>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</si>
  <si>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</si>
  <si>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</si>
  <si>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</si>
  <si>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</si>
  <si>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</si>
  <si>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</si>
  <si>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</si>
  <si>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</si>
  <si>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</si>
  <si>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</si>
  <si>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</si>
  <si>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</si>
  <si>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</si>
  <si>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</si>
  <si>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</si>
  <si>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</si>
  <si>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</si>
  <si>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</si>
  <si>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</si>
  <si>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</si>
  <si>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</si>
  <si>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</si>
  <si>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</si>
  <si>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</si>
  <si>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</si>
  <si>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</si>
  <si>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</si>
  <si>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</si>
  <si>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</si>
  <si>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</si>
  <si>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</si>
  <si>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</si>
  <si>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</si>
  <si>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</si>
  <si>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【セディナ】基盤基本設計書_IVR_v0.9_20190116.xlsx</t>
    <phoneticPr fontId="23"/>
  </si>
  <si>
    <t>[0.はじめに」－「0-3.ドキュメントの位置付け」</t>
    <rPh sb="21" eb="23">
      <t>イチ</t>
    </rPh>
    <rPh sb="23" eb="24">
      <t>ツ</t>
    </rPh>
    <phoneticPr fontId="23"/>
  </si>
  <si>
    <t>業務側で記載するドキュメントを参考のため記載することは可能か。</t>
    <rPh sb="0" eb="2">
      <t>ギョウム</t>
    </rPh>
    <rPh sb="2" eb="3">
      <t>ガワ</t>
    </rPh>
    <rPh sb="4" eb="6">
      <t>キサイ</t>
    </rPh>
    <rPh sb="15" eb="17">
      <t>サンコウ</t>
    </rPh>
    <rPh sb="20" eb="22">
      <t>キサイ</t>
    </rPh>
    <rPh sb="27" eb="29">
      <t>カノウ</t>
    </rPh>
    <phoneticPr fontId="23"/>
  </si>
  <si>
    <t>「1.システム概要」－「1-2.システム導入の目的」</t>
    <rPh sb="7" eb="9">
      <t>ガイヨウ</t>
    </rPh>
    <rPh sb="20" eb="22">
      <t>ドウニュウ</t>
    </rPh>
    <rPh sb="23" eb="25">
      <t>モクテキ</t>
    </rPh>
    <phoneticPr fontId="23"/>
  </si>
  <si>
    <t>セディナ_IVRの更改は2020年3月で確定か。</t>
    <rPh sb="9" eb="11">
      <t>コウカイ</t>
    </rPh>
    <rPh sb="16" eb="17">
      <t>ネン</t>
    </rPh>
    <rPh sb="18" eb="19">
      <t>ガツ</t>
    </rPh>
    <rPh sb="20" eb="22">
      <t>カクテイ</t>
    </rPh>
    <phoneticPr fontId="23"/>
  </si>
  <si>
    <t>サーバ台数を削減するとあるが現行構成を教えてください。</t>
    <rPh sb="3" eb="5">
      <t>ダイスウ</t>
    </rPh>
    <rPh sb="6" eb="8">
      <t>サクゲン</t>
    </rPh>
    <rPh sb="14" eb="16">
      <t>ゲンコウ</t>
    </rPh>
    <rPh sb="16" eb="18">
      <t>コウセイ</t>
    </rPh>
    <rPh sb="19" eb="20">
      <t>オシ</t>
    </rPh>
    <phoneticPr fontId="23"/>
  </si>
  <si>
    <t>「1.システム概要」－「1-4.各サーバの役割」</t>
    <rPh sb="7" eb="9">
      <t>ガイヨウ</t>
    </rPh>
    <rPh sb="16" eb="17">
      <t>カク</t>
    </rPh>
    <rPh sb="21" eb="23">
      <t>ヤクワリ</t>
    </rPh>
    <phoneticPr fontId="23"/>
  </si>
  <si>
    <t>SMCCのDBサーバの役割に「IVRの稼動に必要なマスタ情報、IVRシステムの操作履歴等を保持」とあるが、セディナではどこで保持するのか。</t>
    <rPh sb="11" eb="13">
      <t>ヤクワリ</t>
    </rPh>
    <rPh sb="19" eb="21">
      <t>カドウ</t>
    </rPh>
    <rPh sb="22" eb="24">
      <t>ヒツヨウ</t>
    </rPh>
    <rPh sb="28" eb="30">
      <t>ジョウホウ</t>
    </rPh>
    <rPh sb="39" eb="41">
      <t>ソウサ</t>
    </rPh>
    <rPh sb="41" eb="43">
      <t>リレキ</t>
    </rPh>
    <rPh sb="43" eb="44">
      <t>トウ</t>
    </rPh>
    <rPh sb="45" eb="47">
      <t>ホジ</t>
    </rPh>
    <rPh sb="62" eb="64">
      <t>ホジ</t>
    </rPh>
    <phoneticPr fontId="23"/>
  </si>
  <si>
    <t>「3.NW構成」－「3-2.セグメントイメージ図」</t>
    <rPh sb="23" eb="24">
      <t>ズ</t>
    </rPh>
    <phoneticPr fontId="23"/>
  </si>
  <si>
    <t>図に統合監視が存在しないが問題ないか。</t>
    <rPh sb="0" eb="1">
      <t>ズ</t>
    </rPh>
    <rPh sb="2" eb="4">
      <t>トウゴウ</t>
    </rPh>
    <rPh sb="4" eb="6">
      <t>カンシ</t>
    </rPh>
    <rPh sb="7" eb="9">
      <t>ソンザイ</t>
    </rPh>
    <rPh sb="13" eb="15">
      <t>モンダイ</t>
    </rPh>
    <phoneticPr fontId="23"/>
  </si>
  <si>
    <t>「5.ログ管理」－「5-1-2.ログ種別」</t>
    <rPh sb="5" eb="7">
      <t>カンリ</t>
    </rPh>
    <rPh sb="18" eb="20">
      <t>シュベツ</t>
    </rPh>
    <phoneticPr fontId="23"/>
  </si>
  <si>
    <t>アクセスログの記載が「5-2-2.ログ保管」の記載と異なるので正しい記載に修正が必要。</t>
    <rPh sb="7" eb="9">
      <t>キサイ</t>
    </rPh>
    <rPh sb="19" eb="21">
      <t>ホカン</t>
    </rPh>
    <rPh sb="23" eb="25">
      <t>キサイ</t>
    </rPh>
    <rPh sb="26" eb="27">
      <t>コト</t>
    </rPh>
    <rPh sb="31" eb="32">
      <t>タダ</t>
    </rPh>
    <rPh sb="34" eb="36">
      <t>キサイ</t>
    </rPh>
    <rPh sb="37" eb="39">
      <t>シュウセイ</t>
    </rPh>
    <rPh sb="40" eb="42">
      <t>ヒツヨウ</t>
    </rPh>
    <phoneticPr fontId="23"/>
  </si>
  <si>
    <t>「6.バックアップ処理方式設計」</t>
    <rPh sb="9" eb="11">
      <t>ショリ</t>
    </rPh>
    <rPh sb="11" eb="13">
      <t>ホウシキ</t>
    </rPh>
    <rPh sb="13" eb="15">
      <t>セッケイ</t>
    </rPh>
    <phoneticPr fontId="23"/>
  </si>
  <si>
    <t>「6.バックアップ・リストア処理方式設計」へ修正</t>
    <rPh sb="14" eb="16">
      <t>ショリ</t>
    </rPh>
    <rPh sb="16" eb="18">
      <t>ホウシキ</t>
    </rPh>
    <rPh sb="18" eb="20">
      <t>セッケイ</t>
    </rPh>
    <rPh sb="22" eb="24">
      <t>シュウセイ</t>
    </rPh>
    <phoneticPr fontId="23"/>
  </si>
  <si>
    <t>「6-1.バックアップ概要」</t>
    <rPh sb="11" eb="13">
      <t>ガイヨウ</t>
    </rPh>
    <phoneticPr fontId="23"/>
  </si>
  <si>
    <t>アクセスログはバックアップ取得対象外のため記載を削除。以降の項目からも削除をお願いします。</t>
    <rPh sb="13" eb="15">
      <t>シュトク</t>
    </rPh>
    <rPh sb="15" eb="17">
      <t>タイショウ</t>
    </rPh>
    <rPh sb="17" eb="18">
      <t>ガイ</t>
    </rPh>
    <rPh sb="21" eb="23">
      <t>キサイ</t>
    </rPh>
    <rPh sb="24" eb="26">
      <t>サクジョ</t>
    </rPh>
    <rPh sb="27" eb="29">
      <t>イコウ</t>
    </rPh>
    <rPh sb="30" eb="32">
      <t>コウモク</t>
    </rPh>
    <rPh sb="35" eb="37">
      <t>サクジョ</t>
    </rPh>
    <rPh sb="39" eb="40">
      <t>ネガ</t>
    </rPh>
    <phoneticPr fontId="23"/>
  </si>
  <si>
    <t>「4.ミドルウェア設計」</t>
    <rPh sb="9" eb="11">
      <t>セッケイ</t>
    </rPh>
    <phoneticPr fontId="23"/>
  </si>
  <si>
    <t>WeblogicはDB接続しない認識のため、データソースの記載は不要ではないか。</t>
    <rPh sb="11" eb="13">
      <t>セツゾク</t>
    </rPh>
    <rPh sb="16" eb="18">
      <t>ニンシキ</t>
    </rPh>
    <rPh sb="29" eb="31">
      <t>キサイ</t>
    </rPh>
    <rPh sb="32" eb="34">
      <t>フヨウ</t>
    </rPh>
    <phoneticPr fontId="23"/>
  </si>
  <si>
    <t>JRI/濱村</t>
    <rPh sb="4" eb="6">
      <t>ハマムラ</t>
    </rPh>
    <phoneticPr fontId="23"/>
  </si>
  <si>
    <t>「7-8.ネットワークフィルタリング」</t>
    <phoneticPr fontId="23"/>
  </si>
  <si>
    <t>本番運用後については無い想定です。テスト期間中に周辺開発と接続してテストを実施するのであれば、テスト時は開発との接続が必要になる認識ですが、確認は必要となります。</t>
    <rPh sb="0" eb="2">
      <t>ホンバン</t>
    </rPh>
    <rPh sb="2" eb="4">
      <t>ウンヨウ</t>
    </rPh>
    <rPh sb="4" eb="5">
      <t>ゴ</t>
    </rPh>
    <rPh sb="10" eb="11">
      <t>ナ</t>
    </rPh>
    <rPh sb="12" eb="14">
      <t>ソウテイ</t>
    </rPh>
    <rPh sb="20" eb="23">
      <t>キカンチュウ</t>
    </rPh>
    <rPh sb="24" eb="26">
      <t>シュウヘン</t>
    </rPh>
    <rPh sb="26" eb="28">
      <t>カイハツ</t>
    </rPh>
    <rPh sb="29" eb="31">
      <t>セツゾク</t>
    </rPh>
    <rPh sb="37" eb="39">
      <t>ジッシ</t>
    </rPh>
    <rPh sb="50" eb="51">
      <t>ジ</t>
    </rPh>
    <rPh sb="52" eb="54">
      <t>カイハツ</t>
    </rPh>
    <rPh sb="56" eb="58">
      <t>セツゾク</t>
    </rPh>
    <rPh sb="59" eb="61">
      <t>ヒツヨウ</t>
    </rPh>
    <rPh sb="64" eb="66">
      <t>ニンシキ</t>
    </rPh>
    <rPh sb="70" eb="72">
      <t>カクニン</t>
    </rPh>
    <rPh sb="73" eb="75">
      <t>ヒツヨウ</t>
    </rPh>
    <phoneticPr fontId="23"/>
  </si>
  <si>
    <t>「8.拡張性設計」</t>
    <rPh sb="3" eb="6">
      <t>カクチョウセイ</t>
    </rPh>
    <rPh sb="6" eb="8">
      <t>セッケイ</t>
    </rPh>
    <phoneticPr fontId="23"/>
  </si>
  <si>
    <t>全体</t>
    <rPh sb="0" eb="2">
      <t>ゼンタイ</t>
    </rPh>
    <phoneticPr fontId="23"/>
  </si>
  <si>
    <t>SMCC版と同様の指摘取り込みについてもお願いいたします。</t>
    <rPh sb="4" eb="5">
      <t>バン</t>
    </rPh>
    <rPh sb="6" eb="8">
      <t>ドウヨウ</t>
    </rPh>
    <rPh sb="9" eb="11">
      <t>シテキ</t>
    </rPh>
    <rPh sb="11" eb="12">
      <t>ト</t>
    </rPh>
    <rPh sb="13" eb="14">
      <t>コ</t>
    </rPh>
    <rPh sb="21" eb="22">
      <t>ネガ</t>
    </rPh>
    <phoneticPr fontId="23"/>
  </si>
  <si>
    <t>JRI/多度</t>
    <rPh sb="4" eb="6">
      <t>タド</t>
    </rPh>
    <phoneticPr fontId="23"/>
  </si>
  <si>
    <t>「3.NW構成」</t>
    <rPh sb="5" eb="7">
      <t>コウセイ</t>
    </rPh>
    <phoneticPr fontId="23"/>
  </si>
  <si>
    <t>インプット情報を提示してください。</t>
    <rPh sb="5" eb="7">
      <t>ジョウホウ</t>
    </rPh>
    <rPh sb="8" eb="10">
      <t>テイジ</t>
    </rPh>
    <phoneticPr fontId="23"/>
  </si>
  <si>
    <t>章番号が「5」になっている。</t>
    <rPh sb="0" eb="3">
      <t>ショウバンゴウ</t>
    </rPh>
    <phoneticPr fontId="23"/>
  </si>
  <si>
    <t>QAとしておって回答します。</t>
    <rPh sb="8" eb="10">
      <t>カイトウ</t>
    </rPh>
    <phoneticPr fontId="23"/>
  </si>
  <si>
    <t>後から対応させてください。</t>
    <rPh sb="0" eb="1">
      <t>アト</t>
    </rPh>
    <rPh sb="3" eb="5">
      <t>タイオウ</t>
    </rPh>
    <phoneticPr fontId="23"/>
  </si>
  <si>
    <t>セディナリリースはマスケ上も調整中のように見受けられるので多度様と会話の上、3末でまずは記載としました。</t>
    <rPh sb="12" eb="13">
      <t>ジョウ</t>
    </rPh>
    <rPh sb="14" eb="17">
      <t>チョウセイチュウ</t>
    </rPh>
    <rPh sb="21" eb="23">
      <t>ミウ</t>
    </rPh>
    <rPh sb="29" eb="31">
      <t>タド</t>
    </rPh>
    <rPh sb="31" eb="32">
      <t>サマ</t>
    </rPh>
    <rPh sb="33" eb="35">
      <t>カイワ</t>
    </rPh>
    <rPh sb="36" eb="37">
      <t>ウエ</t>
    </rPh>
    <rPh sb="39" eb="40">
      <t>マツ</t>
    </rPh>
    <rPh sb="44" eb="46">
      <t>キサイ</t>
    </rPh>
    <phoneticPr fontId="23"/>
  </si>
  <si>
    <t>失礼いたしました。確認したところ、セディナ側は現行からサーバ台数の削減はないので、記載削除いたしました。</t>
    <rPh sb="0" eb="2">
      <t>シツレイ</t>
    </rPh>
    <rPh sb="9" eb="11">
      <t>カクニン</t>
    </rPh>
    <rPh sb="21" eb="22">
      <t>ガワ</t>
    </rPh>
    <rPh sb="23" eb="25">
      <t>ゲンコウ</t>
    </rPh>
    <rPh sb="30" eb="32">
      <t>ダイスウ</t>
    </rPh>
    <rPh sb="33" eb="35">
      <t>サクゲン</t>
    </rPh>
    <rPh sb="41" eb="43">
      <t>キサイ</t>
    </rPh>
    <rPh sb="43" eb="45">
      <t>サクジョ</t>
    </rPh>
    <phoneticPr fontId="23"/>
  </si>
  <si>
    <t>3-2.の図に統合監視を追加いたします。
また、以下についても統合監視を追加いたします。
1-3 システム全体構成図</t>
    <rPh sb="5" eb="6">
      <t>ズ</t>
    </rPh>
    <rPh sb="7" eb="9">
      <t>トウゴウ</t>
    </rPh>
    <rPh sb="9" eb="11">
      <t>カンシ</t>
    </rPh>
    <rPh sb="12" eb="14">
      <t>ツイカ</t>
    </rPh>
    <rPh sb="24" eb="26">
      <t>イカ</t>
    </rPh>
    <rPh sb="31" eb="33">
      <t>トウゴウ</t>
    </rPh>
    <rPh sb="33" eb="35">
      <t>カンシ</t>
    </rPh>
    <rPh sb="36" eb="38">
      <t>ツイカ</t>
    </rPh>
    <rPh sb="53" eb="55">
      <t>ゼンタイ</t>
    </rPh>
    <rPh sb="55" eb="58">
      <t>コウセイズ</t>
    </rPh>
    <phoneticPr fontId="23"/>
  </si>
  <si>
    <t>ご指摘の通り不要なのでデータソースに関する記載を削除いたします。</t>
    <rPh sb="1" eb="3">
      <t>シテキ</t>
    </rPh>
    <rPh sb="4" eb="5">
      <t>トオ</t>
    </rPh>
    <rPh sb="6" eb="8">
      <t>フヨウ</t>
    </rPh>
    <rPh sb="18" eb="19">
      <t>カン</t>
    </rPh>
    <rPh sb="21" eb="23">
      <t>キサイ</t>
    </rPh>
    <rPh sb="24" eb="26">
      <t>サクジョ</t>
    </rPh>
    <phoneticPr fontId="23"/>
  </si>
  <si>
    <t>承知いたしました。
テスト計画書内で検討いたします。</t>
    <rPh sb="0" eb="2">
      <t>ショウチ</t>
    </rPh>
    <rPh sb="13" eb="15">
      <t>ケイカク</t>
    </rPh>
    <rPh sb="15" eb="16">
      <t>ショ</t>
    </rPh>
    <rPh sb="16" eb="17">
      <t>ナイ</t>
    </rPh>
    <rPh sb="18" eb="20">
      <t>ケントウ</t>
    </rPh>
    <phoneticPr fontId="23"/>
  </si>
  <si>
    <t>要</t>
  </si>
  <si>
    <t>否</t>
  </si>
  <si>
    <t>非指摘扱い</t>
  </si>
  <si>
    <t>低</t>
  </si>
  <si>
    <t>表現上の配慮不足</t>
  </si>
  <si>
    <t>-</t>
    <phoneticPr fontId="23"/>
  </si>
  <si>
    <t>設計</t>
  </si>
  <si>
    <t>表現上の記述不良</t>
  </si>
  <si>
    <t>中</t>
  </si>
  <si>
    <t>MSYS木全/飛鷹</t>
    <rPh sb="4" eb="6">
      <t>キマタ</t>
    </rPh>
    <rPh sb="7" eb="8">
      <t>ヒ</t>
    </rPh>
    <rPh sb="8" eb="9">
      <t>タカ</t>
    </rPh>
    <phoneticPr fontId="23"/>
  </si>
  <si>
    <t>設計誤り</t>
  </si>
  <si>
    <t>設計条件の確認不足</t>
  </si>
  <si>
    <t>ドキュメント化</t>
  </si>
  <si>
    <t>インプット情報が提示されていないため、SMCCベースでNW構成を作成いたしました。</t>
    <rPh sb="5" eb="7">
      <t>ジョウホウ</t>
    </rPh>
    <rPh sb="8" eb="10">
      <t>テイジ</t>
    </rPh>
    <rPh sb="29" eb="31">
      <t>コウセイ</t>
    </rPh>
    <rPh sb="32" eb="34">
      <t>サクセイ</t>
    </rPh>
    <phoneticPr fontId="23"/>
  </si>
  <si>
    <t>周知連絡の不徹底</t>
  </si>
  <si>
    <t>-</t>
    <phoneticPr fontId="23"/>
  </si>
  <si>
    <t>-</t>
    <phoneticPr fontId="23"/>
  </si>
  <si>
    <t>SMCC版の指摘は取込み済みです。</t>
    <rPh sb="4" eb="5">
      <t>バン</t>
    </rPh>
    <rPh sb="6" eb="8">
      <t>シテキ</t>
    </rPh>
    <rPh sb="9" eb="11">
      <t>トリコ</t>
    </rPh>
    <rPh sb="12" eb="13">
      <t>ズ</t>
    </rPh>
    <phoneticPr fontId="23"/>
  </si>
  <si>
    <t>要求の確認不足</t>
  </si>
  <si>
    <t>5-2-2の記載にあわせて、EPM管理画面のログに関する説明を、5-1-1のアクセスログに追記いたします。</t>
    <rPh sb="6" eb="8">
      <t>キサイ</t>
    </rPh>
    <rPh sb="25" eb="26">
      <t>カン</t>
    </rPh>
    <rPh sb="28" eb="30">
      <t>セツメイ</t>
    </rPh>
    <rPh sb="45" eb="47">
      <t>ツイキ</t>
    </rPh>
    <phoneticPr fontId="23"/>
  </si>
  <si>
    <t>ご指摘のとおり章タイトルを修正いたします。
（目次についても同様に修正いたします。）</t>
    <rPh sb="1" eb="3">
      <t>シテキ</t>
    </rPh>
    <rPh sb="7" eb="8">
      <t>ショウ</t>
    </rPh>
    <rPh sb="13" eb="15">
      <t>シュウセイ</t>
    </rPh>
    <rPh sb="23" eb="25">
      <t>モクジ</t>
    </rPh>
    <rPh sb="30" eb="32">
      <t>ドウヨウ</t>
    </rPh>
    <rPh sb="33" eb="35">
      <t>シュウセイ</t>
    </rPh>
    <phoneticPr fontId="23"/>
  </si>
  <si>
    <t>アクセスログのバックアップに関する記載を、以下の項目から削除いたします。
[修正箇所]
6-1
6-2 (2)
6-3-2　※項目ごと削除
6-4</t>
    <rPh sb="14" eb="15">
      <t>カン</t>
    </rPh>
    <rPh sb="17" eb="19">
      <t>キサイ</t>
    </rPh>
    <rPh sb="21" eb="23">
      <t>イカ</t>
    </rPh>
    <rPh sb="24" eb="26">
      <t>コウモク</t>
    </rPh>
    <rPh sb="28" eb="30">
      <t>サクジョ</t>
    </rPh>
    <rPh sb="39" eb="41">
      <t>シュウセイ</t>
    </rPh>
    <rPh sb="41" eb="43">
      <t>カショ</t>
    </rPh>
    <rPh sb="64" eb="66">
      <t>コウモク</t>
    </rPh>
    <rPh sb="68" eb="70">
      <t>サクジョ</t>
    </rPh>
    <phoneticPr fontId="23"/>
  </si>
  <si>
    <t>誤記のため、章番号を「5」→「8」に修正いたします。</t>
    <rPh sb="0" eb="2">
      <t>ゴキ</t>
    </rPh>
    <rPh sb="18" eb="20">
      <t>シュウセイ</t>
    </rPh>
    <phoneticPr fontId="23"/>
  </si>
</sst>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4"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s>
  <fills count="44">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
      <patternFill patternType="solid">
        <fgColor theme="0" tint="-0.249977111117893"/>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37">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0" borderId="16" xfId="0" applyFill="1" applyBorder="1" applyAlignment="1">
      <alignment horizontal="center" vertical="center" wrapText="1"/>
    </xf>
    <xf numFmtId="0" fontId="38" fillId="24" borderId="120" xfId="0" applyFont="1" applyFill="1" applyBorder="1" applyAlignment="1">
      <alignment horizontal="center" vertical="center"/>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16" xfId="0" applyBorder="1" applyAlignment="1">
      <alignment horizontal="center" vertical="center" wrapText="1"/>
    </xf>
    <xf numFmtId="176" fontId="0" fillId="0" borderId="16" xfId="0" applyNumberFormat="1" applyBorder="1" applyAlignment="1">
      <alignment horizontal="center" vertical="center" wrapText="1"/>
    </xf>
    <xf numFmtId="14" fontId="0" fillId="0" borderId="16" xfId="0" applyNumberFormat="1"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xf>
    <xf numFmtId="14" fontId="0" fillId="0" borderId="16" xfId="0" applyNumberFormat="1" applyFont="1" applyBorder="1" applyAlignment="1">
      <alignment horizontal="center" vertical="center" wrapText="1"/>
    </xf>
    <xf numFmtId="0" fontId="0" fillId="0" borderId="16" xfId="0" applyFont="1" applyBorder="1" applyAlignment="1">
      <alignment horizontal="center" vertical="center" wrapText="1"/>
    </xf>
    <xf numFmtId="0" fontId="0" fillId="0" borderId="16" xfId="0" applyFill="1" applyBorder="1" applyAlignment="1">
      <alignment horizontal="left" vertical="center" wrapText="1"/>
    </xf>
    <xf numFmtId="0" fontId="0" fillId="0" borderId="16" xfId="0" applyFont="1" applyFill="1" applyBorder="1" applyAlignment="1">
      <alignment horizontal="left" vertical="center" wrapText="1"/>
    </xf>
    <xf numFmtId="0" fontId="0" fillId="0" borderId="16" xfId="0" applyFont="1" applyBorder="1" applyAlignment="1">
      <alignment horizontal="left" vertical="center" wrapText="1"/>
    </xf>
    <xf numFmtId="0" fontId="0" fillId="43" borderId="16" xfId="0" applyFill="1" applyBorder="1" applyAlignment="1">
      <alignment horizontal="left"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25"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180" fontId="0" fillId="29" borderId="16" xfId="0" applyNumberFormat="1" applyFill="1" applyBorder="1" applyAlignment="1">
      <alignment horizontal="right"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176" fontId="0" fillId="0" borderId="16" xfId="0" applyNumberFormat="1" applyFill="1" applyBorder="1" applyAlignment="1">
      <alignment horizontal="center"/>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14" fontId="0" fillId="0" borderId="16" xfId="0" applyNumberFormat="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0" fontId="0" fillId="0" borderId="16" xfId="0" applyBorder="1" applyAlignment="1">
      <alignment horizontal="left"/>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6"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0" fillId="0" borderId="17" xfId="54" applyFont="1" applyBorder="1" applyAlignment="1">
      <alignment horizontal="center" vertical="center"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8" fillId="0" borderId="16" xfId="61" applyFont="1" applyBorder="1" applyAlignment="1">
      <alignment horizontal="center" vertical="center"/>
    </xf>
    <xf numFmtId="14"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176" fontId="8" fillId="0" borderId="16" xfId="61" applyNumberFormat="1" applyFont="1" applyBorder="1" applyAlignment="1">
      <alignment horizontal="center" vertical="center"/>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61" xfId="61" applyFont="1" applyFill="1" applyBorder="1" applyAlignment="1">
      <alignment horizontal="center" vertical="center" wrapText="1"/>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0" fontId="31" fillId="25" borderId="152" xfId="61" applyFont="1" applyFill="1" applyBorder="1" applyAlignment="1">
      <alignment horizontal="center" vertical="center"/>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0" borderId="12" xfId="61" applyFont="1" applyFill="1" applyBorder="1" applyAlignment="1">
      <alignment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56" xfId="61" applyFont="1" applyFill="1" applyBorder="1" applyAlignment="1">
      <alignment vertical="center" wrapText="1"/>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0" fontId="31" fillId="0" borderId="12" xfId="61" applyFont="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5" borderId="11"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61"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4" xfId="61" applyFont="1" applyFill="1" applyBorder="1" applyAlignment="1">
      <alignment horizontal="center" vertical="center" wrapText="1"/>
    </xf>
    <xf numFmtId="0" fontId="31" fillId="27" borderId="87" xfId="61" applyFont="1" applyFill="1" applyBorder="1" applyAlignment="1">
      <alignment horizontal="center" vertical="center"/>
    </xf>
    <xf numFmtId="0" fontId="31" fillId="0" borderId="154" xfId="61" applyFont="1" applyFill="1" applyBorder="1" applyAlignment="1">
      <alignment vertical="center"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0" fontId="31" fillId="27" borderId="12" xfId="61" applyFont="1" applyFill="1" applyBorder="1" applyAlignment="1">
      <alignment horizontal="center" vertical="center"/>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0" fontId="8" fillId="0" borderId="16" xfId="0" applyFont="1" applyBorder="1" applyAlignment="1">
      <alignment horizontal="center" vertical="center"/>
    </xf>
    <xf numFmtId="0" fontId="8" fillId="0" borderId="16" xfId="86" applyFont="1" applyBorder="1" applyAlignment="1">
      <alignment horizontal="center" vertical="center"/>
    </xf>
    <xf numFmtId="0" fontId="0" fillId="0" borderId="16" xfId="86" applyFont="1" applyBorder="1" applyAlignment="1">
      <alignment horizontal="center" vertical="center"/>
    </xf>
    <xf numFmtId="14"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Border="1" applyAlignment="1">
      <alignment horizontal="center" vertical="center"/>
    </xf>
    <xf numFmtId="191" fontId="31" fillId="0" borderId="53"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80" fontId="0" fillId="0" borderId="167" xfId="0" applyNumberFormat="1" applyBorder="1" applyAlignment="1">
      <alignment horizontal="left" vertical="center" wrapText="1"/>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0" xfId="0" applyBorder="1" applyAlignment="1">
      <alignment vertical="center"/>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6" xfId="0" applyFont="1" applyFill="1" applyBorder="1" applyAlignment="1">
      <alignment horizontal="center" vertical="center" wrapText="1"/>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8" fillId="0" borderId="16"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14" fontId="8" fillId="0" borderId="16" xfId="48"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8" fillId="0" borderId="16" xfId="51" applyFont="1" applyBorder="1" applyAlignment="1">
      <alignment horizontal="center" vertical="center"/>
    </xf>
    <xf numFmtId="14" fontId="8" fillId="0" borderId="16" xfId="51" applyNumberFormat="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8" fillId="0" borderId="16" xfId="52" applyFont="1" applyBorder="1" applyAlignment="1">
      <alignment horizontal="center" vertical="center"/>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1" fillId="0" borderId="16" xfId="52" applyFont="1" applyBorder="1" applyAlignment="1">
      <alignment horizontal="center" vertical="center"/>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14" fontId="8" fillId="0" borderId="16" xfId="52" applyNumberFormat="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178" fontId="23" fillId="29" borderId="168"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0" fontId="8" fillId="0" borderId="16"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4" fontId="8" fillId="0" borderId="16" xfId="55" applyNumberFormat="1"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cellXfs>
  <cellStyles count="89">
    <cellStyle name="?" xfId="1"/>
    <cellStyle name="?_テスト状況管理表20091211" xfId="2"/>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cellStyle name="入力" xfId="44" builtinId="20" customBuiltin="1"/>
    <cellStyle name="標準" xfId="0" builtinId="0"/>
    <cellStyle name="標準 2" xfId="45"/>
    <cellStyle name="標準 3" xfId="46"/>
    <cellStyle name="標準_（エ済）不具合管理一覧表_ver2.0.3" xfId="47"/>
    <cellStyle name="標準_~3481693" xfId="48"/>
    <cellStyle name="標準_pmformat_reituki_1_091001" xfId="49"/>
    <cellStyle name="標準_WBS_GANTT_GANTT受入確認テスト(monthly)_20090327143436" xfId="50"/>
    <cellStyle name="標準_ﾃｽﾄｴﾗｰ分析図ver1.0.5" xfId="51"/>
    <cellStyle name="標準_ﾃｽﾄｴﾗｰ分析図ver1.0.7" xfId="52"/>
    <cellStyle name="標準_テスト状況管理表20091211" xfId="53"/>
    <cellStyle name="標準_設計書指摘分析図ver1.0.5" xfId="54"/>
    <cellStyle name="標準_品質管理分析サマリver1.0.6" xfId="55"/>
    <cellStyle name="標準_不具合管理一覧表_ver2.0.＿" xfId="56"/>
    <cellStyle name="標準_不具合管理票雛型_ver1.0.4" xfId="57"/>
    <cellStyle name="標準_別紙2-3：問題記述表_プロジェクト管理様式総合0206a" xfId="58"/>
    <cellStyle name="標準_別紙2-3：問題記述表_プロジェクト管理様式総合0206a_コピーpmformat_1_090401" xfId="59"/>
    <cellStyle name="標準_別紙2-3：問題記述表_様式修正_湯川_0207" xfId="60"/>
    <cellStyle name="標準_様式_問題管理票" xfId="61"/>
    <cellStyle name="良い" xfId="62" builtinId="26" customBuiltin="1"/>
    <cellStyle name="㼿" xfId="63"/>
    <cellStyle name="㼿?" xfId="64"/>
    <cellStyle name="㼿_（営業秘密作成）プロジェクト状況報告書(週次)_v3" xfId="65"/>
    <cellStyle name="㼿_pmformat_3_100301" xfId="66"/>
    <cellStyle name="㼿_pmformat_4_100315" xfId="67"/>
    <cellStyle name="㼿_pmformat_partner_reituki_2_100301" xfId="68"/>
    <cellStyle name="㼿_pmformat_reituki_1_091225" xfId="69"/>
    <cellStyle name="㼿_pmformat_reituki_1_100115" xfId="70"/>
    <cellStyle name="㼿_pmformat_reituki_4_100315" xfId="71"/>
    <cellStyle name="㼿_コピー ～ pmformat_reituki_4_100315" xfId="72"/>
    <cellStyle name="㼿_プロジェクト状況報告書_最終提示案" xfId="73"/>
    <cellStyle name="㼿㼿" xfId="74"/>
    <cellStyle name="㼿㼿?" xfId="75"/>
    <cellStyle name="㼿㼿_pmformat_3_100301" xfId="76"/>
    <cellStyle name="㼿㼿㼿" xfId="77"/>
    <cellStyle name="㼿㼿㼿?" xfId="78"/>
    <cellStyle name="㼿㼿㼿㼿㼿㼿?" xfId="79"/>
    <cellStyle name="㼿㼿㼿㼿㼿㼿㼿㼿㼿㼿㼿㼿" xfId="80"/>
    <cellStyle name="㼿㼿㼿㼿㼿㼿㼿㼿㼿㼿㼿㼿?" xfId="81"/>
    <cellStyle name="㼿㼿㼿㼿㼿㼿㼿㼿㼿㼿㼿㼿㼿" xfId="82"/>
    <cellStyle name="㼿㼿㼿㼿㼿㼿㼿㼿㼿㼿㼿㼿㼿㼿㼿?" xfId="83"/>
    <cellStyle name="㼿㼿㼿㼿㼿㼿㼿㼿㼿㼿㼿㼿㼿㼿㼿㼿㼿㼿㼿㼿㼿㼿㼿?" xfId="84"/>
    <cellStyle name="㼿㼿㼿㼿㼿㼿㼿㼿㼿㼿㼿㼿㼿㼿㼿㼿㼿㼿㼿㼿㼿㼿㼿㼿" xfId="85"/>
    <cellStyle name="㼿㼿㼿㼿㼿㼿㼿㼿㼿㼿㼿㼿㼿㼿㼿㼿㼿㼿㼿㼿㼿㼿㼿㼿?" xfId="86"/>
    <cellStyle name="㼿㼿㼿㼿㼿㼿㼿㼿㼿㼿㼿㼿㼿㼿㼿㼿㼿㼿㼿㼿㼿㼿㼿㼿㼿㼿" xfId="87"/>
    <cellStyle name="㼿㼿㼿㼿㼿㼿㼿㼿㼿㼿㼿㼿㼿㼿㼿㼿㼿㼿㼿㼿㼿㼿㼿㼿㼿㼿㼿㼿㼿㼿㼿㼿㼿?" xfId="88"/>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xmlns:c16r2="http://schemas.microsoft.com/office/drawing/2015/06/char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xmlns:c16r2="http://schemas.microsoft.com/office/drawing/2015/06/char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xmlns:c16r2="http://schemas.microsoft.com/office/drawing/2015/06/char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xmlns:c16r2="http://schemas.microsoft.com/office/drawing/2015/06/char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xmlns:c16r2="http://schemas.microsoft.com/office/drawing/2015/06/char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xmlns:c16r2="http://schemas.microsoft.com/office/drawing/2015/06/char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xmlns:c16r2="http://schemas.microsoft.com/office/drawing/2015/06/char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xmlns:c16r2="http://schemas.microsoft.com/office/drawing/2015/06/char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531079144"/>
        <c:axId val="531084240"/>
      </c:barChart>
      <c:catAx>
        <c:axId val="53107914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1084240"/>
        <c:crosses val="autoZero"/>
        <c:auto val="1"/>
        <c:lblAlgn val="ctr"/>
        <c:lblOffset val="100"/>
        <c:tickLblSkip val="1"/>
        <c:tickMarkSkip val="1"/>
        <c:noMultiLvlLbl val="0"/>
      </c:catAx>
      <c:valAx>
        <c:axId val="53108424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79144"/>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xmlns:c16r2="http://schemas.microsoft.com/office/drawing/2015/06/char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xmlns:c16r2="http://schemas.microsoft.com/office/drawing/2015/06/char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xmlns:c16r2="http://schemas.microsoft.com/office/drawing/2015/06/char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xmlns:c16r2="http://schemas.microsoft.com/office/drawing/2015/06/char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xmlns:c16r2="http://schemas.microsoft.com/office/drawing/2015/06/char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xmlns:c16r2="http://schemas.microsoft.com/office/drawing/2015/06/char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xmlns:c16r2="http://schemas.microsoft.com/office/drawing/2015/06/char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xmlns:c16r2="http://schemas.microsoft.com/office/drawing/2015/06/char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xmlns:c16r2="http://schemas.microsoft.com/office/drawing/2015/06/char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531079928"/>
        <c:axId val="531081496"/>
      </c:barChart>
      <c:catAx>
        <c:axId val="53107992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1081496"/>
        <c:crosses val="autoZero"/>
        <c:auto val="1"/>
        <c:lblAlgn val="ctr"/>
        <c:lblOffset val="100"/>
        <c:tickLblSkip val="1"/>
        <c:tickMarkSkip val="1"/>
        <c:noMultiLvlLbl val="0"/>
      </c:catAx>
      <c:valAx>
        <c:axId val="53108149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79928"/>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xmlns:c16r2="http://schemas.microsoft.com/office/drawing/2015/06/char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xmlns:c16r2="http://schemas.microsoft.com/office/drawing/2015/06/char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531074048"/>
        <c:axId val="531082672"/>
      </c:barChart>
      <c:catAx>
        <c:axId val="53107404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1082672"/>
        <c:crosses val="autoZero"/>
        <c:auto val="1"/>
        <c:lblAlgn val="ctr"/>
        <c:lblOffset val="100"/>
        <c:tickLblSkip val="1"/>
        <c:tickMarkSkip val="1"/>
        <c:noMultiLvlLbl val="0"/>
      </c:catAx>
      <c:valAx>
        <c:axId val="531082672"/>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74048"/>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xmlns:c16r2="http://schemas.microsoft.com/office/drawing/2015/06/char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xmlns:c16r2="http://schemas.microsoft.com/office/drawing/2015/06/char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531084632"/>
        <c:axId val="531085416"/>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xmlns:c16r2="http://schemas.microsoft.com/office/drawing/2015/06/char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xmlns:c16r2="http://schemas.microsoft.com/office/drawing/2015/06/char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531079536"/>
        <c:axId val="531080320"/>
      </c:lineChart>
      <c:catAx>
        <c:axId val="531084632"/>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85416"/>
        <c:crosses val="autoZero"/>
        <c:auto val="0"/>
        <c:lblAlgn val="ctr"/>
        <c:lblOffset val="100"/>
        <c:tickLblSkip val="1"/>
        <c:tickMarkSkip val="1"/>
        <c:noMultiLvlLbl val="0"/>
      </c:catAx>
      <c:valAx>
        <c:axId val="531085416"/>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84632"/>
        <c:crosses val="autoZero"/>
        <c:crossBetween val="between"/>
        <c:minorUnit val="7.2723000000000004"/>
      </c:valAx>
      <c:catAx>
        <c:axId val="531079536"/>
        <c:scaling>
          <c:orientation val="minMax"/>
        </c:scaling>
        <c:delete val="1"/>
        <c:axPos val="b"/>
        <c:numFmt formatCode="m/d;@" sourceLinked="1"/>
        <c:majorTickMark val="out"/>
        <c:minorTickMark val="none"/>
        <c:tickLblPos val="none"/>
        <c:crossAx val="531080320"/>
        <c:crosses val="autoZero"/>
        <c:auto val="0"/>
        <c:lblAlgn val="ctr"/>
        <c:lblOffset val="100"/>
        <c:noMultiLvlLbl val="0"/>
      </c:catAx>
      <c:valAx>
        <c:axId val="53108032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79536"/>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531073264"/>
        <c:axId val="531073656"/>
      </c:scatterChart>
      <c:valAx>
        <c:axId val="531073264"/>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73656"/>
        <c:crosses val="autoZero"/>
        <c:crossBetween val="midCat"/>
        <c:minorUnit val="3.2486999999999999"/>
      </c:valAx>
      <c:valAx>
        <c:axId val="531073656"/>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73264"/>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xmlns:c16r2="http://schemas.microsoft.com/office/drawing/2015/06/char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xmlns:c16r2="http://schemas.microsoft.com/office/drawing/2015/06/char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xmlns:c16r2="http://schemas.microsoft.com/office/drawing/2015/06/char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xmlns:c16r2="http://schemas.microsoft.com/office/drawing/2015/06/char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xmlns:c16r2="http://schemas.microsoft.com/office/drawing/2015/06/char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xmlns:c16r2="http://schemas.microsoft.com/office/drawing/2015/06/char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xmlns:c16r2="http://schemas.microsoft.com/office/drawing/2015/06/char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xmlns:c16r2="http://schemas.microsoft.com/office/drawing/2015/06/char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xmlns:c16r2="http://schemas.microsoft.com/office/drawing/2015/06/char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xmlns:c16r2="http://schemas.microsoft.com/office/drawing/2015/06/char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xmlns:c16r2="http://schemas.microsoft.com/office/drawing/2015/06/char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xmlns:c16r2="http://schemas.microsoft.com/office/drawing/2015/06/char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xmlns:c16r2="http://schemas.microsoft.com/office/drawing/2015/06/char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xmlns:c16r2="http://schemas.microsoft.com/office/drawing/2015/06/char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xmlns:c16r2="http://schemas.microsoft.com/office/drawing/2015/06/char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xmlns:c16r2="http://schemas.microsoft.com/office/drawing/2015/06/char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xmlns:c16r2="http://schemas.microsoft.com/office/drawing/2015/06/char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xmlns:c16r2="http://schemas.microsoft.com/office/drawing/2015/06/char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531088552"/>
        <c:axId val="531088944"/>
      </c:barChart>
      <c:catAx>
        <c:axId val="531088552"/>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1088944"/>
        <c:crosses val="autoZero"/>
        <c:auto val="1"/>
        <c:lblAlgn val="ctr"/>
        <c:lblOffset val="100"/>
        <c:tickLblSkip val="1"/>
        <c:tickMarkSkip val="1"/>
        <c:noMultiLvlLbl val="0"/>
      </c:catAx>
      <c:valAx>
        <c:axId val="53108894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8855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xmlns:c16r2="http://schemas.microsoft.com/office/drawing/2015/06/char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xmlns:c16r2="http://schemas.microsoft.com/office/drawing/2015/06/char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xmlns:c16r2="http://schemas.microsoft.com/office/drawing/2015/06/char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531086984"/>
        <c:axId val="531087376"/>
      </c:barChart>
      <c:catAx>
        <c:axId val="53108698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1087376"/>
        <c:crosses val="autoZero"/>
        <c:auto val="1"/>
        <c:lblAlgn val="ctr"/>
        <c:lblOffset val="100"/>
        <c:tickLblSkip val="1"/>
        <c:tickMarkSkip val="1"/>
        <c:noMultiLvlLbl val="0"/>
      </c:catAx>
      <c:valAx>
        <c:axId val="53108737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869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xmlns:c16r2="http://schemas.microsoft.com/office/drawing/2015/06/char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xmlns:c16r2="http://schemas.microsoft.com/office/drawing/2015/06/char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xmlns:c16r2="http://schemas.microsoft.com/office/drawing/2015/06/char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xmlns:c16r2="http://schemas.microsoft.com/office/drawing/2015/06/char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531087768"/>
        <c:axId val="531088160"/>
      </c:barChart>
      <c:catAx>
        <c:axId val="53108776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1088160"/>
        <c:crosses val="autoZero"/>
        <c:auto val="1"/>
        <c:lblAlgn val="ctr"/>
        <c:lblOffset val="100"/>
        <c:tickLblSkip val="1"/>
        <c:tickMarkSkip val="1"/>
        <c:noMultiLvlLbl val="0"/>
      </c:catAx>
      <c:valAx>
        <c:axId val="53108816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8776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xmlns:c16r2="http://schemas.microsoft.com/office/drawing/2015/06/char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xmlns:c16r2="http://schemas.microsoft.com/office/drawing/2015/06/char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xmlns:c16r2="http://schemas.microsoft.com/office/drawing/2015/06/char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531086592"/>
        <c:axId val="617738128"/>
      </c:barChart>
      <c:catAx>
        <c:axId val="531086592"/>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617738128"/>
        <c:crosses val="autoZero"/>
        <c:auto val="1"/>
        <c:lblAlgn val="ctr"/>
        <c:lblOffset val="100"/>
        <c:tickLblSkip val="1"/>
        <c:tickMarkSkip val="1"/>
        <c:noMultiLvlLbl val="0"/>
      </c:catAx>
      <c:valAx>
        <c:axId val="617738128"/>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53108659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xmlns:c16r2="http://schemas.microsoft.com/office/drawing/2015/06/char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617737736"/>
        <c:axId val="617735776"/>
      </c:barChart>
      <c:catAx>
        <c:axId val="61773773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17735776"/>
        <c:crosses val="autoZero"/>
        <c:auto val="1"/>
        <c:lblAlgn val="ctr"/>
        <c:lblOffset val="100"/>
        <c:tickLblSkip val="1"/>
        <c:tickMarkSkip val="1"/>
        <c:noMultiLvlLbl val="0"/>
      </c:catAx>
      <c:valAx>
        <c:axId val="61773577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1773773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xmlns:c16r2="http://schemas.microsoft.com/office/drawing/2015/06/char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xmlns:c16r2="http://schemas.microsoft.com/office/drawing/2015/06/char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xmlns:c16r2="http://schemas.microsoft.com/office/drawing/2015/06/char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xmlns:c16r2="http://schemas.microsoft.com/office/drawing/2015/06/char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xmlns:c16r2="http://schemas.microsoft.com/office/drawing/2015/06/char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xmlns:c16r2="http://schemas.microsoft.com/office/drawing/2015/06/char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617735384"/>
        <c:axId val="617738520"/>
      </c:barChart>
      <c:catAx>
        <c:axId val="6177353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17738520"/>
        <c:crosses val="autoZero"/>
        <c:auto val="1"/>
        <c:lblAlgn val="ctr"/>
        <c:lblOffset val="100"/>
        <c:tickLblSkip val="1"/>
        <c:tickMarkSkip val="1"/>
        <c:noMultiLvlLbl val="0"/>
      </c:catAx>
      <c:valAx>
        <c:axId val="61773852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177353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xmlns:c16r2="http://schemas.microsoft.com/office/drawing/2015/06/char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xmlns:c16r2="http://schemas.microsoft.com/office/drawing/2015/06/char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xmlns:c16r2="http://schemas.microsoft.com/office/drawing/2015/06/char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xmlns:c16r2="http://schemas.microsoft.com/office/drawing/2015/06/char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xmlns:c16r2="http://schemas.microsoft.com/office/drawing/2015/06/char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xmlns:c16r2="http://schemas.microsoft.com/office/drawing/2015/06/char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617734208"/>
        <c:axId val="617739304"/>
      </c:barChart>
      <c:catAx>
        <c:axId val="6177342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617739304"/>
        <c:crosses val="autoZero"/>
        <c:auto val="1"/>
        <c:lblAlgn val="ctr"/>
        <c:lblOffset val="100"/>
        <c:tickLblSkip val="1"/>
        <c:tickMarkSkip val="1"/>
        <c:noMultiLvlLbl val="0"/>
      </c:catAx>
      <c:valAx>
        <c:axId val="617739304"/>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61773420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xmlns:c16r2="http://schemas.microsoft.com/office/drawing/2015/06/char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xmlns:c16r2="http://schemas.microsoft.com/office/drawing/2015/06/char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xmlns:c16r2="http://schemas.microsoft.com/office/drawing/2015/06/char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xmlns:c16r2="http://schemas.microsoft.com/office/drawing/2015/06/char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xmlns:c16r2="http://schemas.microsoft.com/office/drawing/2015/06/char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xmlns:c16r2="http://schemas.microsoft.com/office/drawing/2015/06/char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617740088"/>
        <c:axId val="617740480"/>
      </c:barChart>
      <c:catAx>
        <c:axId val="61774008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17740480"/>
        <c:crosses val="autoZero"/>
        <c:auto val="1"/>
        <c:lblAlgn val="ctr"/>
        <c:lblOffset val="100"/>
        <c:tickLblSkip val="1"/>
        <c:tickMarkSkip val="1"/>
        <c:noMultiLvlLbl val="0"/>
      </c:catAx>
      <c:valAx>
        <c:axId val="61774048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61774008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 xmlns:a16="http://schemas.microsoft.com/office/drawing/2014/main"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 xmlns:a16="http://schemas.microsoft.com/office/drawing/2014/main"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 xmlns:a16="http://schemas.microsoft.com/office/drawing/2014/main"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 xmlns:a16="http://schemas.microsoft.com/office/drawing/2014/main"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 xmlns:a16="http://schemas.microsoft.com/office/drawing/2014/main"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 xmlns:a16="http://schemas.microsoft.com/office/drawing/2014/main"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 xmlns:a16="http://schemas.microsoft.com/office/drawing/2014/main"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 xmlns:a16="http://schemas.microsoft.com/office/drawing/2014/main"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 xmlns:a16="http://schemas.microsoft.com/office/drawing/2014/main"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 xmlns:a16="http://schemas.microsoft.com/office/drawing/2014/main"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 xmlns:a16="http://schemas.microsoft.com/office/drawing/2014/main"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 xmlns:a16="http://schemas.microsoft.com/office/drawing/2014/main"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 xmlns:a16="http://schemas.microsoft.com/office/drawing/2014/main"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 xmlns:a16="http://schemas.microsoft.com/office/drawing/2014/main"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 xmlns:a16="http://schemas.microsoft.com/office/drawing/2014/main"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 xmlns:a16="http://schemas.microsoft.com/office/drawing/2014/main"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 xmlns:a16="http://schemas.microsoft.com/office/drawing/2014/main"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 xmlns:a16="http://schemas.microsoft.com/office/drawing/2014/main"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 xmlns:a16="http://schemas.microsoft.com/office/drawing/2014/main"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 xmlns:a16="http://schemas.microsoft.com/office/drawing/2014/main"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 xmlns:a16="http://schemas.microsoft.com/office/drawing/2014/main"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 xmlns:a16="http://schemas.microsoft.com/office/drawing/2014/main"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 xmlns:a16="http://schemas.microsoft.com/office/drawing/2014/main"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 xmlns:a16="http://schemas.microsoft.com/office/drawing/2014/main"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 xmlns:a16="http://schemas.microsoft.com/office/drawing/2014/main"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 xmlns:a16="http://schemas.microsoft.com/office/drawing/2014/main"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 xmlns:a16="http://schemas.microsoft.com/office/drawing/2014/main"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 xmlns:a16="http://schemas.microsoft.com/office/drawing/2014/main"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 xmlns:a16="http://schemas.microsoft.com/office/drawing/2014/main"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 xmlns:a16="http://schemas.microsoft.com/office/drawing/2014/main"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 xmlns:a16="http://schemas.microsoft.com/office/drawing/2014/main"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 xmlns:a16="http://schemas.microsoft.com/office/drawing/2014/main"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 xmlns:a16="http://schemas.microsoft.com/office/drawing/2014/main"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 xmlns:a16="http://schemas.microsoft.com/office/drawing/2014/main"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 xmlns:a16="http://schemas.microsoft.com/office/drawing/2014/main"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 xmlns:a16="http://schemas.microsoft.com/office/drawing/2014/main"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 xmlns:a16="http://schemas.microsoft.com/office/drawing/2014/main"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 xmlns:a16="http://schemas.microsoft.com/office/drawing/2014/main"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 xmlns:a16="http://schemas.microsoft.com/office/drawing/2014/main"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 xmlns:a16="http://schemas.microsoft.com/office/drawing/2014/main"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 xmlns:a16="http://schemas.microsoft.com/office/drawing/2014/main"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 xmlns:a16="http://schemas.microsoft.com/office/drawing/2014/main"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 xmlns:a16="http://schemas.microsoft.com/office/drawing/2014/main"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 xmlns:a16="http://schemas.microsoft.com/office/drawing/2014/main"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 xmlns:a16="http://schemas.microsoft.com/office/drawing/2014/main"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 xmlns:a16="http://schemas.microsoft.com/office/drawing/2014/main"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 xmlns:a16="http://schemas.microsoft.com/office/drawing/2014/main"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 xmlns:a16="http://schemas.microsoft.com/office/drawing/2014/main"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 xmlns:a16="http://schemas.microsoft.com/office/drawing/2014/main"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 xmlns:a16="http://schemas.microsoft.com/office/drawing/2014/main"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 xmlns:a16="http://schemas.microsoft.com/office/drawing/2014/main"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 xmlns:a16="http://schemas.microsoft.com/office/drawing/2014/main"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 xmlns:a16="http://schemas.microsoft.com/office/drawing/2014/main"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 xmlns:a16="http://schemas.microsoft.com/office/drawing/2014/main"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 xmlns:a16="http://schemas.microsoft.com/office/drawing/2014/main"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 xmlns:a16="http://schemas.microsoft.com/office/drawing/2014/main"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 xmlns:a16="http://schemas.microsoft.com/office/drawing/2014/main"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 xmlns:a16="http://schemas.microsoft.com/office/drawing/2014/main"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 xmlns:a16="http://schemas.microsoft.com/office/drawing/2014/main"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 xmlns:a16="http://schemas.microsoft.com/office/drawing/2014/main"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 xmlns:a16="http://schemas.microsoft.com/office/drawing/2014/main"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 xmlns:a16="http://schemas.microsoft.com/office/drawing/2014/main"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 xmlns:a16="http://schemas.microsoft.com/office/drawing/2014/main"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 xmlns:a16="http://schemas.microsoft.com/office/drawing/2014/main"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 xmlns:a16="http://schemas.microsoft.com/office/drawing/2014/main"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 xmlns:a16="http://schemas.microsoft.com/office/drawing/2014/main"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 xmlns:a16="http://schemas.microsoft.com/office/drawing/2014/main"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 xmlns:a16="http://schemas.microsoft.com/office/drawing/2014/main"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 xmlns:a16="http://schemas.microsoft.com/office/drawing/2014/main"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 xmlns:a16="http://schemas.microsoft.com/office/drawing/2014/main"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 xmlns:a16="http://schemas.microsoft.com/office/drawing/2014/main"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 xmlns:a16="http://schemas.microsoft.com/office/drawing/2014/main"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 xmlns:a16="http://schemas.microsoft.com/office/drawing/2014/main"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 xmlns:a16="http://schemas.microsoft.com/office/drawing/2014/main"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 xmlns:a16="http://schemas.microsoft.com/office/drawing/2014/main"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 xmlns:a16="http://schemas.microsoft.com/office/drawing/2014/main"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 xmlns:a16="http://schemas.microsoft.com/office/drawing/2014/main"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 xmlns:a16="http://schemas.microsoft.com/office/drawing/2014/main"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 xmlns:a16="http://schemas.microsoft.com/office/drawing/2014/main"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 xmlns:a16="http://schemas.microsoft.com/office/drawing/2014/main"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 xmlns:a16="http://schemas.microsoft.com/office/drawing/2014/main"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 xmlns:a16="http://schemas.microsoft.com/office/drawing/2014/main"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 xmlns:a16="http://schemas.microsoft.com/office/drawing/2014/main"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 xmlns:a16="http://schemas.microsoft.com/office/drawing/2014/main"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 xmlns:a16="http://schemas.microsoft.com/office/drawing/2014/main"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 xmlns:a16="http://schemas.microsoft.com/office/drawing/2014/main"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 xmlns:a16="http://schemas.microsoft.com/office/drawing/2014/main"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 xmlns:a16="http://schemas.microsoft.com/office/drawing/2014/main"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 xmlns:a16="http://schemas.microsoft.com/office/drawing/2014/main"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 xmlns:a16="http://schemas.microsoft.com/office/drawing/2014/main"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 xmlns:a16="http://schemas.microsoft.com/office/drawing/2014/main"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 xmlns:a16="http://schemas.microsoft.com/office/drawing/2014/main"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 xmlns:a16="http://schemas.microsoft.com/office/drawing/2014/main"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 xmlns:a16="http://schemas.microsoft.com/office/drawing/2014/main"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 xmlns:a16="http://schemas.microsoft.com/office/drawing/2014/main"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 xmlns:a16="http://schemas.microsoft.com/office/drawing/2014/main"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 xmlns:a16="http://schemas.microsoft.com/office/drawing/2014/main"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 xmlns:a16="http://schemas.microsoft.com/office/drawing/2014/main"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 xmlns:a16="http://schemas.microsoft.com/office/drawing/2014/main"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 xmlns:a16="http://schemas.microsoft.com/office/drawing/2014/main"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 xmlns:a16="http://schemas.microsoft.com/office/drawing/2014/main"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 xmlns:a16="http://schemas.microsoft.com/office/drawing/2014/main"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 xmlns:a16="http://schemas.microsoft.com/office/drawing/2014/main"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 xmlns:a16="http://schemas.microsoft.com/office/drawing/2014/main"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 xmlns:a16="http://schemas.microsoft.com/office/drawing/2014/main"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 xmlns:a16="http://schemas.microsoft.com/office/drawing/2014/main"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 xmlns:a16="http://schemas.microsoft.com/office/drawing/2014/main"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 xmlns:a16="http://schemas.microsoft.com/office/drawing/2014/main"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 xmlns:a16="http://schemas.microsoft.com/office/drawing/2014/main"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 xmlns:a16="http://schemas.microsoft.com/office/drawing/2014/main"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 xmlns:a16="http://schemas.microsoft.com/office/drawing/2014/main"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 xmlns:a16="http://schemas.microsoft.com/office/drawing/2014/main"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 xmlns:a16="http://schemas.microsoft.com/office/drawing/2014/main"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 xmlns:a16="http://schemas.microsoft.com/office/drawing/2014/main"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 xmlns:a16="http://schemas.microsoft.com/office/drawing/2014/main"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 xmlns:a16="http://schemas.microsoft.com/office/drawing/2014/main"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 xmlns:a16="http://schemas.microsoft.com/office/drawing/2014/main"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 xmlns:a16="http://schemas.microsoft.com/office/drawing/2014/main"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 xmlns:a16="http://schemas.microsoft.com/office/drawing/2014/main"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 xmlns:a16="http://schemas.microsoft.com/office/drawing/2014/main"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 xmlns:a16="http://schemas.microsoft.com/office/drawing/2014/main"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 xmlns:a16="http://schemas.microsoft.com/office/drawing/2014/main"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 xmlns:a16="http://schemas.microsoft.com/office/drawing/2014/main"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 xmlns:a16="http://schemas.microsoft.com/office/drawing/2014/main"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 xmlns:a16="http://schemas.microsoft.com/office/drawing/2014/main"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 xmlns:a16="http://schemas.microsoft.com/office/drawing/2014/main"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 xmlns:a16="http://schemas.microsoft.com/office/drawing/2014/main"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 xmlns:a16="http://schemas.microsoft.com/office/drawing/2014/main"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 xmlns:a16="http://schemas.microsoft.com/office/drawing/2014/main"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 xmlns:a16="http://schemas.microsoft.com/office/drawing/2014/main"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 xmlns:a16="http://schemas.microsoft.com/office/drawing/2014/main"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 xmlns:a16="http://schemas.microsoft.com/office/drawing/2014/main"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 xmlns:a16="http://schemas.microsoft.com/office/drawing/2014/main"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 xmlns:a16="http://schemas.microsoft.com/office/drawing/2014/main"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 xmlns:a16="http://schemas.microsoft.com/office/drawing/2014/main"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 xmlns:a16="http://schemas.microsoft.com/office/drawing/2014/main"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 xmlns:a16="http://schemas.microsoft.com/office/drawing/2014/main"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 xmlns:a16="http://schemas.microsoft.com/office/drawing/2014/main"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 xmlns:a16="http://schemas.microsoft.com/office/drawing/2014/main"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 xmlns:a16="http://schemas.microsoft.com/office/drawing/2014/main"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 xmlns:a16="http://schemas.microsoft.com/office/drawing/2014/main"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 xmlns:a16="http://schemas.microsoft.com/office/drawing/2014/main"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 xmlns:a16="http://schemas.microsoft.com/office/drawing/2014/main"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 xmlns:a16="http://schemas.microsoft.com/office/drawing/2014/main"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 xmlns:a16="http://schemas.microsoft.com/office/drawing/2014/main"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 xmlns:a16="http://schemas.microsoft.com/office/drawing/2014/main"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 xmlns:a16="http://schemas.microsoft.com/office/drawing/2014/main"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 xmlns:a16="http://schemas.microsoft.com/office/drawing/2014/main"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 xmlns:a16="http://schemas.microsoft.com/office/drawing/2014/main"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 xmlns:a16="http://schemas.microsoft.com/office/drawing/2014/main"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 xmlns:a16="http://schemas.microsoft.com/office/drawing/2014/main"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 xmlns:a16="http://schemas.microsoft.com/office/drawing/2014/main"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 xmlns:a16="http://schemas.microsoft.com/office/drawing/2014/main"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 xmlns:a16="http://schemas.microsoft.com/office/drawing/2014/main"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 xmlns:a16="http://schemas.microsoft.com/office/drawing/2014/main"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 xmlns:a16="http://schemas.microsoft.com/office/drawing/2014/main"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 xmlns:a16="http://schemas.microsoft.com/office/drawing/2014/main"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 xmlns:a16="http://schemas.microsoft.com/office/drawing/2014/main"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 xmlns:a16="http://schemas.microsoft.com/office/drawing/2014/main"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 xmlns:a16="http://schemas.microsoft.com/office/drawing/2014/main"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 xmlns:a16="http://schemas.microsoft.com/office/drawing/2014/main"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 xmlns:a16="http://schemas.microsoft.com/office/drawing/2014/main"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 xmlns:a16="http://schemas.microsoft.com/office/drawing/2014/main"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 xmlns:a16="http://schemas.microsoft.com/office/drawing/2014/main"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 xmlns:a16="http://schemas.microsoft.com/office/drawing/2014/main"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 xmlns:a16="http://schemas.microsoft.com/office/drawing/2014/main"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 xmlns:a16="http://schemas.microsoft.com/office/drawing/2014/main"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 xmlns:a16="http://schemas.microsoft.com/office/drawing/2014/main"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 xmlns:a16="http://schemas.microsoft.com/office/drawing/2014/main"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 xmlns:a16="http://schemas.microsoft.com/office/drawing/2014/main"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 xmlns:a16="http://schemas.microsoft.com/office/drawing/2014/main"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 xmlns:a16="http://schemas.microsoft.com/office/drawing/2014/main"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 xmlns:a16="http://schemas.microsoft.com/office/drawing/2014/main"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 xmlns:a16="http://schemas.microsoft.com/office/drawing/2014/main"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 xmlns:a16="http://schemas.microsoft.com/office/drawing/2014/main"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 xmlns:a16="http://schemas.microsoft.com/office/drawing/2014/main"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 xmlns:a16="http://schemas.microsoft.com/office/drawing/2014/main"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 xmlns:a16="http://schemas.microsoft.com/office/drawing/2014/main"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 xmlns:a16="http://schemas.microsoft.com/office/drawing/2014/main"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 xmlns:a16="http://schemas.microsoft.com/office/drawing/2014/main"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 xmlns:a16="http://schemas.microsoft.com/office/drawing/2014/main"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 xmlns:a16="http://schemas.microsoft.com/office/drawing/2014/main"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 xmlns:a16="http://schemas.microsoft.com/office/drawing/2014/main"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 xmlns:a16="http://schemas.microsoft.com/office/drawing/2014/main"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 xmlns:a16="http://schemas.microsoft.com/office/drawing/2014/main"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 xmlns:a16="http://schemas.microsoft.com/office/drawing/2014/main"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g-fs01\projec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tg-fs01\projec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R75"/>
  <sheetViews>
    <sheetView view="pageBreakPreview" zoomScale="85" zoomScaleNormal="55" zoomScaleSheetLayoutView="85" workbookViewId="0">
      <selection activeCell="CD18" sqref="CD18"/>
    </sheetView>
  </sheetViews>
  <sheetFormatPr defaultColWidth="2.109375" defaultRowHeight="13.2" x14ac:dyDescent="0.2"/>
  <cols>
    <col min="1" max="1" width="9" style="277" customWidth="1"/>
    <col min="2" max="60" width="2.109375" style="277"/>
    <col min="61" max="61" width="2.109375" style="277" customWidth="1"/>
    <col min="62" max="16384" width="2.109375" style="277"/>
  </cols>
  <sheetData>
    <row r="1" spans="5:53" ht="34.5" customHeight="1" x14ac:dyDescent="0.2">
      <c r="T1" s="278" t="s">
        <v>521</v>
      </c>
    </row>
    <row r="2" spans="5:53" ht="15.75" customHeight="1" x14ac:dyDescent="0.25">
      <c r="E2" s="279"/>
    </row>
    <row r="3" spans="5:53" ht="13.8" thickBot="1" x14ac:dyDescent="0.25">
      <c r="F3" s="280"/>
      <c r="G3" s="280"/>
      <c r="H3" s="280"/>
      <c r="I3" s="280"/>
      <c r="J3" s="280"/>
      <c r="K3" s="280"/>
      <c r="N3" s="280"/>
      <c r="O3" s="280"/>
      <c r="P3" s="280"/>
      <c r="Q3" s="280"/>
      <c r="R3" s="280"/>
      <c r="S3" s="280"/>
      <c r="T3" s="280"/>
      <c r="U3" s="280"/>
      <c r="V3" s="280"/>
      <c r="W3" s="280"/>
      <c r="X3" s="280"/>
      <c r="Y3" s="280"/>
    </row>
    <row r="4" spans="5:53" ht="27.9" customHeight="1" thickBot="1" x14ac:dyDescent="0.3">
      <c r="G4" s="281"/>
      <c r="H4" s="280"/>
      <c r="I4" s="280"/>
      <c r="J4" s="280"/>
      <c r="K4" s="280"/>
      <c r="L4" s="280"/>
      <c r="M4" s="280"/>
      <c r="N4" s="547" t="s">
        <v>234</v>
      </c>
      <c r="O4" s="548"/>
      <c r="P4" s="548"/>
      <c r="Q4" s="548"/>
      <c r="R4" s="548"/>
      <c r="S4" s="548"/>
      <c r="T4" s="548"/>
      <c r="U4" s="548"/>
      <c r="V4" s="548"/>
      <c r="W4" s="548"/>
      <c r="X4" s="549"/>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3">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 customHeight="1" thickBot="1" x14ac:dyDescent="0.25">
      <c r="K6" s="280"/>
      <c r="L6" s="280"/>
      <c r="M6" s="280"/>
      <c r="N6" s="543" t="s">
        <v>500</v>
      </c>
      <c r="O6" s="543"/>
      <c r="P6" s="543"/>
      <c r="Q6" s="543"/>
      <c r="R6" s="543"/>
      <c r="S6" s="543"/>
      <c r="T6" s="543"/>
      <c r="U6" s="544" t="s">
        <v>128</v>
      </c>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6"/>
    </row>
    <row r="7" spans="5:53" ht="27.9" customHeight="1" thickBot="1" x14ac:dyDescent="0.25">
      <c r="K7" s="280"/>
      <c r="L7" s="280"/>
      <c r="M7" s="280"/>
      <c r="N7" s="543" t="s">
        <v>501</v>
      </c>
      <c r="O7" s="543"/>
      <c r="P7" s="543"/>
      <c r="Q7" s="543"/>
      <c r="R7" s="543"/>
      <c r="S7" s="543"/>
      <c r="T7" s="543"/>
      <c r="U7" s="544" t="s">
        <v>131</v>
      </c>
      <c r="V7" s="545"/>
      <c r="W7" s="545"/>
      <c r="X7" s="545"/>
      <c r="Y7" s="545"/>
      <c r="Z7" s="545"/>
      <c r="AA7" s="545"/>
      <c r="AB7" s="545"/>
      <c r="AC7" s="545"/>
      <c r="AD7" s="545"/>
      <c r="AE7" s="545"/>
      <c r="AF7" s="545"/>
      <c r="AG7" s="545"/>
      <c r="AH7" s="545"/>
      <c r="AI7" s="545"/>
      <c r="AJ7" s="545"/>
      <c r="AK7" s="545"/>
      <c r="AL7" s="545"/>
      <c r="AM7" s="545"/>
      <c r="AN7" s="545"/>
      <c r="AO7" s="545"/>
      <c r="AP7" s="545"/>
      <c r="AQ7" s="545"/>
      <c r="AR7" s="545"/>
      <c r="AS7" s="545"/>
      <c r="AT7" s="545"/>
      <c r="AU7" s="545"/>
      <c r="AV7" s="545"/>
      <c r="AW7" s="545"/>
      <c r="AX7" s="545"/>
      <c r="AY7" s="545"/>
      <c r="AZ7" s="545"/>
      <c r="BA7" s="546"/>
    </row>
    <row r="8" spans="5:53" ht="27.9" customHeight="1" thickBot="1" x14ac:dyDescent="0.25">
      <c r="K8" s="280"/>
      <c r="L8" s="280"/>
      <c r="M8" s="280"/>
      <c r="N8" s="543" t="s">
        <v>502</v>
      </c>
      <c r="O8" s="543"/>
      <c r="P8" s="543"/>
      <c r="Q8" s="543"/>
      <c r="R8" s="543"/>
      <c r="S8" s="543"/>
      <c r="T8" s="543"/>
      <c r="U8" s="544" t="s">
        <v>503</v>
      </c>
      <c r="V8" s="545"/>
      <c r="W8" s="545"/>
      <c r="X8" s="545"/>
      <c r="Y8" s="545"/>
      <c r="Z8" s="545"/>
      <c r="AA8" s="545"/>
      <c r="AB8" s="545"/>
      <c r="AC8" s="545"/>
      <c r="AD8" s="545"/>
      <c r="AE8" s="545"/>
      <c r="AF8" s="545"/>
      <c r="AG8" s="545"/>
      <c r="AH8" s="545"/>
      <c r="AI8" s="545"/>
      <c r="AJ8" s="545"/>
      <c r="AK8" s="545"/>
      <c r="AL8" s="545"/>
      <c r="AM8" s="545"/>
      <c r="AN8" s="545"/>
      <c r="AO8" s="545"/>
      <c r="AP8" s="545"/>
      <c r="AQ8" s="545"/>
      <c r="AR8" s="545"/>
      <c r="AS8" s="545"/>
      <c r="AT8" s="545"/>
      <c r="AU8" s="545"/>
      <c r="AV8" s="545"/>
      <c r="AW8" s="545"/>
      <c r="AX8" s="545"/>
      <c r="AY8" s="545"/>
      <c r="AZ8" s="545"/>
      <c r="BA8" s="546"/>
    </row>
    <row r="9" spans="5:53" ht="27.9" customHeight="1" thickBot="1" x14ac:dyDescent="0.25">
      <c r="K9" s="280"/>
      <c r="L9" s="280"/>
      <c r="M9" s="280"/>
      <c r="N9" s="543" t="s">
        <v>504</v>
      </c>
      <c r="O9" s="543"/>
      <c r="P9" s="543"/>
      <c r="Q9" s="543"/>
      <c r="R9" s="543"/>
      <c r="S9" s="543"/>
      <c r="T9" s="543"/>
      <c r="U9" s="544" t="s">
        <v>235</v>
      </c>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545"/>
      <c r="AU9" s="545"/>
      <c r="AV9" s="545"/>
      <c r="AW9" s="545"/>
      <c r="AX9" s="545"/>
      <c r="AY9" s="545"/>
      <c r="AZ9" s="545"/>
      <c r="BA9" s="546"/>
    </row>
    <row r="10" spans="5:53" ht="27.9" customHeight="1" thickBot="1" x14ac:dyDescent="0.25">
      <c r="K10" s="280"/>
      <c r="L10" s="280"/>
      <c r="M10" s="280"/>
      <c r="N10" s="543" t="s">
        <v>505</v>
      </c>
      <c r="O10" s="543"/>
      <c r="P10" s="543"/>
      <c r="Q10" s="543"/>
      <c r="R10" s="543"/>
      <c r="S10" s="543"/>
      <c r="T10" s="543"/>
      <c r="U10" s="544" t="s">
        <v>137</v>
      </c>
      <c r="V10" s="545"/>
      <c r="W10" s="545"/>
      <c r="X10" s="545"/>
      <c r="Y10" s="545"/>
      <c r="Z10" s="545"/>
      <c r="AA10" s="545"/>
      <c r="AB10" s="545"/>
      <c r="AC10" s="545"/>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c r="AZ10" s="545"/>
      <c r="BA10" s="546"/>
    </row>
    <row r="11" spans="5:53" ht="27.9" customHeight="1" thickBot="1" x14ac:dyDescent="0.25">
      <c r="N11" s="543" t="s">
        <v>506</v>
      </c>
      <c r="O11" s="543"/>
      <c r="P11" s="543"/>
      <c r="Q11" s="543"/>
      <c r="R11" s="543"/>
      <c r="S11" s="543"/>
      <c r="T11" s="543"/>
      <c r="U11" s="544" t="s">
        <v>42</v>
      </c>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5"/>
      <c r="AT11" s="545"/>
      <c r="AU11" s="545"/>
      <c r="AV11" s="545"/>
      <c r="AW11" s="545"/>
      <c r="AX11" s="545"/>
      <c r="AY11" s="545"/>
      <c r="AZ11" s="545"/>
      <c r="BA11" s="546"/>
    </row>
    <row r="12" spans="5:53" ht="27.9" customHeight="1" thickBot="1" x14ac:dyDescent="0.25">
      <c r="N12" s="543" t="s">
        <v>507</v>
      </c>
      <c r="O12" s="543"/>
      <c r="P12" s="543"/>
      <c r="Q12" s="543"/>
      <c r="R12" s="543"/>
      <c r="S12" s="543"/>
      <c r="T12" s="543"/>
      <c r="U12" s="544" t="s">
        <v>45</v>
      </c>
      <c r="V12" s="545"/>
      <c r="W12" s="545"/>
      <c r="X12" s="545"/>
      <c r="Y12" s="545"/>
      <c r="Z12" s="545"/>
      <c r="AA12" s="545"/>
      <c r="AB12" s="545"/>
      <c r="AC12" s="545"/>
      <c r="AD12" s="545"/>
      <c r="AE12" s="545"/>
      <c r="AF12" s="545"/>
      <c r="AG12" s="545"/>
      <c r="AH12" s="545"/>
      <c r="AI12" s="545"/>
      <c r="AJ12" s="545"/>
      <c r="AK12" s="545"/>
      <c r="AL12" s="545"/>
      <c r="AM12" s="545"/>
      <c r="AN12" s="545"/>
      <c r="AO12" s="545"/>
      <c r="AP12" s="545"/>
      <c r="AQ12" s="545"/>
      <c r="AR12" s="545"/>
      <c r="AS12" s="545"/>
      <c r="AT12" s="545"/>
      <c r="AU12" s="545"/>
      <c r="AV12" s="545"/>
      <c r="AW12" s="545"/>
      <c r="AX12" s="545"/>
      <c r="AY12" s="545"/>
      <c r="AZ12" s="545"/>
      <c r="BA12" s="546"/>
    </row>
    <row r="13" spans="5:53" ht="27.9" customHeight="1" thickBot="1" x14ac:dyDescent="0.25">
      <c r="N13" s="543" t="s">
        <v>508</v>
      </c>
      <c r="O13" s="543"/>
      <c r="P13" s="543"/>
      <c r="Q13" s="543"/>
      <c r="R13" s="543"/>
      <c r="S13" s="543"/>
      <c r="T13" s="543"/>
      <c r="U13" s="544" t="s">
        <v>48</v>
      </c>
      <c r="V13" s="545"/>
      <c r="W13" s="545"/>
      <c r="X13" s="545"/>
      <c r="Y13" s="545"/>
      <c r="Z13" s="545"/>
      <c r="AA13" s="545"/>
      <c r="AB13" s="545"/>
      <c r="AC13" s="545"/>
      <c r="AD13" s="545"/>
      <c r="AE13" s="545"/>
      <c r="AF13" s="545"/>
      <c r="AG13" s="545"/>
      <c r="AH13" s="545"/>
      <c r="AI13" s="545"/>
      <c r="AJ13" s="545"/>
      <c r="AK13" s="545"/>
      <c r="AL13" s="545"/>
      <c r="AM13" s="545"/>
      <c r="AN13" s="545"/>
      <c r="AO13" s="545"/>
      <c r="AP13" s="545"/>
      <c r="AQ13" s="545"/>
      <c r="AR13" s="545"/>
      <c r="AS13" s="545"/>
      <c r="AT13" s="545"/>
      <c r="AU13" s="545"/>
      <c r="AV13" s="545"/>
      <c r="AW13" s="545"/>
      <c r="AX13" s="545"/>
      <c r="AY13" s="545"/>
      <c r="AZ13" s="545"/>
      <c r="BA13" s="546"/>
    </row>
    <row r="14" spans="5:53" ht="27.9" customHeight="1" thickBot="1" x14ac:dyDescent="0.25">
      <c r="N14" s="543" t="s">
        <v>509</v>
      </c>
      <c r="O14" s="543"/>
      <c r="P14" s="543"/>
      <c r="Q14" s="543"/>
      <c r="R14" s="543"/>
      <c r="S14" s="543"/>
      <c r="T14" s="543"/>
      <c r="U14" s="544" t="s">
        <v>51</v>
      </c>
      <c r="V14" s="545"/>
      <c r="W14" s="545"/>
      <c r="X14" s="545"/>
      <c r="Y14" s="545"/>
      <c r="Z14" s="545"/>
      <c r="AA14" s="545"/>
      <c r="AB14" s="545"/>
      <c r="AC14" s="545"/>
      <c r="AD14" s="545"/>
      <c r="AE14" s="545"/>
      <c r="AF14" s="545"/>
      <c r="AG14" s="545"/>
      <c r="AH14" s="545"/>
      <c r="AI14" s="545"/>
      <c r="AJ14" s="545"/>
      <c r="AK14" s="545"/>
      <c r="AL14" s="545"/>
      <c r="AM14" s="545"/>
      <c r="AN14" s="545"/>
      <c r="AO14" s="545"/>
      <c r="AP14" s="545"/>
      <c r="AQ14" s="545"/>
      <c r="AR14" s="545"/>
      <c r="AS14" s="545"/>
      <c r="AT14" s="545"/>
      <c r="AU14" s="545"/>
      <c r="AV14" s="545"/>
      <c r="AW14" s="545"/>
      <c r="AX14" s="545"/>
      <c r="AY14" s="545"/>
      <c r="AZ14" s="545"/>
      <c r="BA14" s="546"/>
    </row>
    <row r="15" spans="5:53" ht="27.9" customHeight="1" thickBot="1" x14ac:dyDescent="0.25">
      <c r="N15" s="543" t="s">
        <v>510</v>
      </c>
      <c r="O15" s="543"/>
      <c r="P15" s="543"/>
      <c r="Q15" s="543"/>
      <c r="R15" s="543"/>
      <c r="S15" s="543"/>
      <c r="T15" s="543"/>
      <c r="U15" s="544" t="s">
        <v>54</v>
      </c>
      <c r="V15" s="545"/>
      <c r="W15" s="545"/>
      <c r="X15" s="545"/>
      <c r="Y15" s="545"/>
      <c r="Z15" s="545"/>
      <c r="AA15" s="545"/>
      <c r="AB15" s="545"/>
      <c r="AC15" s="545"/>
      <c r="AD15" s="545"/>
      <c r="AE15" s="545"/>
      <c r="AF15" s="545"/>
      <c r="AG15" s="545"/>
      <c r="AH15" s="545"/>
      <c r="AI15" s="545"/>
      <c r="AJ15" s="545"/>
      <c r="AK15" s="545"/>
      <c r="AL15" s="545"/>
      <c r="AM15" s="545"/>
      <c r="AN15" s="545"/>
      <c r="AO15" s="545"/>
      <c r="AP15" s="545"/>
      <c r="AQ15" s="545"/>
      <c r="AR15" s="545"/>
      <c r="AS15" s="545"/>
      <c r="AT15" s="545"/>
      <c r="AU15" s="545"/>
      <c r="AV15" s="545"/>
      <c r="AW15" s="545"/>
      <c r="AX15" s="545"/>
      <c r="AY15" s="545"/>
      <c r="AZ15" s="545"/>
      <c r="BA15" s="546"/>
    </row>
    <row r="16" spans="5:53" ht="27.9" customHeight="1" thickBot="1" x14ac:dyDescent="0.25">
      <c r="N16" s="543" t="s">
        <v>56</v>
      </c>
      <c r="O16" s="543"/>
      <c r="P16" s="543"/>
      <c r="Q16" s="543"/>
      <c r="R16" s="543"/>
      <c r="S16" s="543"/>
      <c r="T16" s="543"/>
      <c r="U16" s="544" t="s">
        <v>57</v>
      </c>
      <c r="V16" s="545"/>
      <c r="W16" s="545"/>
      <c r="X16" s="545"/>
      <c r="Y16" s="545"/>
      <c r="Z16" s="545"/>
      <c r="AA16" s="545"/>
      <c r="AB16" s="545"/>
      <c r="AC16" s="545"/>
      <c r="AD16" s="545"/>
      <c r="AE16" s="545"/>
      <c r="AF16" s="545"/>
      <c r="AG16" s="545"/>
      <c r="AH16" s="545"/>
      <c r="AI16" s="545"/>
      <c r="AJ16" s="545"/>
      <c r="AK16" s="545"/>
      <c r="AL16" s="545"/>
      <c r="AM16" s="545"/>
      <c r="AN16" s="545"/>
      <c r="AO16" s="545"/>
      <c r="AP16" s="545"/>
      <c r="AQ16" s="545"/>
      <c r="AR16" s="545"/>
      <c r="AS16" s="545"/>
      <c r="AT16" s="545"/>
      <c r="AU16" s="545"/>
      <c r="AV16" s="545"/>
      <c r="AW16" s="545"/>
      <c r="AX16" s="545"/>
      <c r="AY16" s="545"/>
      <c r="AZ16" s="545"/>
      <c r="BA16" s="546"/>
    </row>
    <row r="17" spans="2:69" ht="27.9" customHeight="1" thickBot="1" x14ac:dyDescent="0.25">
      <c r="N17" s="543" t="s">
        <v>511</v>
      </c>
      <c r="O17" s="543"/>
      <c r="P17" s="543"/>
      <c r="Q17" s="543"/>
      <c r="R17" s="543"/>
      <c r="S17" s="543"/>
      <c r="T17" s="543"/>
      <c r="U17" s="544" t="s">
        <v>60</v>
      </c>
      <c r="V17" s="545"/>
      <c r="W17" s="545"/>
      <c r="X17" s="545"/>
      <c r="Y17" s="545"/>
      <c r="Z17" s="545"/>
      <c r="AA17" s="545"/>
      <c r="AB17" s="545"/>
      <c r="AC17" s="545"/>
      <c r="AD17" s="545"/>
      <c r="AE17" s="545"/>
      <c r="AF17" s="545"/>
      <c r="AG17" s="545"/>
      <c r="AH17" s="545"/>
      <c r="AI17" s="545"/>
      <c r="AJ17" s="545"/>
      <c r="AK17" s="545"/>
      <c r="AL17" s="545"/>
      <c r="AM17" s="545"/>
      <c r="AN17" s="545"/>
      <c r="AO17" s="545"/>
      <c r="AP17" s="545"/>
      <c r="AQ17" s="545"/>
      <c r="AR17" s="545"/>
      <c r="AS17" s="545"/>
      <c r="AT17" s="545"/>
      <c r="AU17" s="545"/>
      <c r="AV17" s="545"/>
      <c r="AW17" s="545"/>
      <c r="AX17" s="545"/>
      <c r="AY17" s="545"/>
      <c r="AZ17" s="545"/>
      <c r="BA17" s="546"/>
    </row>
    <row r="18" spans="2:69" ht="27.9" customHeight="1" thickBot="1" x14ac:dyDescent="0.25">
      <c r="J18" s="285"/>
      <c r="N18" s="543" t="s">
        <v>512</v>
      </c>
      <c r="O18" s="543"/>
      <c r="P18" s="543"/>
      <c r="Q18" s="543"/>
      <c r="R18" s="543"/>
      <c r="S18" s="543"/>
      <c r="T18" s="543"/>
      <c r="U18" s="544" t="s">
        <v>309</v>
      </c>
      <c r="V18" s="545"/>
      <c r="W18" s="545"/>
      <c r="X18" s="545"/>
      <c r="Y18" s="545"/>
      <c r="Z18" s="545"/>
      <c r="AA18" s="545"/>
      <c r="AB18" s="545"/>
      <c r="AC18" s="545"/>
      <c r="AD18" s="545"/>
      <c r="AE18" s="545"/>
      <c r="AF18" s="545"/>
      <c r="AG18" s="545"/>
      <c r="AH18" s="545"/>
      <c r="AI18" s="545"/>
      <c r="AJ18" s="545"/>
      <c r="AK18" s="545"/>
      <c r="AL18" s="545"/>
      <c r="AM18" s="545"/>
      <c r="AN18" s="545"/>
      <c r="AO18" s="545"/>
      <c r="AP18" s="545"/>
      <c r="AQ18" s="545"/>
      <c r="AR18" s="545"/>
      <c r="AS18" s="545"/>
      <c r="AT18" s="545"/>
      <c r="AU18" s="545"/>
      <c r="AV18" s="545"/>
      <c r="AW18" s="545"/>
      <c r="AX18" s="545"/>
      <c r="AY18" s="545"/>
      <c r="AZ18" s="545"/>
      <c r="BA18" s="546"/>
    </row>
    <row r="19" spans="2:69" ht="27.9" customHeight="1" thickBot="1" x14ac:dyDescent="0.25">
      <c r="J19" s="285"/>
      <c r="N19" s="543" t="s">
        <v>513</v>
      </c>
      <c r="O19" s="543"/>
      <c r="P19" s="543"/>
      <c r="Q19" s="543"/>
      <c r="R19" s="543"/>
      <c r="S19" s="543"/>
      <c r="T19" s="543"/>
      <c r="U19" s="544" t="s">
        <v>368</v>
      </c>
      <c r="V19" s="545"/>
      <c r="W19" s="545"/>
      <c r="X19" s="545"/>
      <c r="Y19" s="545"/>
      <c r="Z19" s="545"/>
      <c r="AA19" s="545"/>
      <c r="AB19" s="545"/>
      <c r="AC19" s="545"/>
      <c r="AD19" s="545"/>
      <c r="AE19" s="545"/>
      <c r="AF19" s="545"/>
      <c r="AG19" s="545"/>
      <c r="AH19" s="545"/>
      <c r="AI19" s="545"/>
      <c r="AJ19" s="545"/>
      <c r="AK19" s="545"/>
      <c r="AL19" s="545"/>
      <c r="AM19" s="545"/>
      <c r="AN19" s="545"/>
      <c r="AO19" s="545"/>
      <c r="AP19" s="545"/>
      <c r="AQ19" s="545"/>
      <c r="AR19" s="545"/>
      <c r="AS19" s="545"/>
      <c r="AT19" s="545"/>
      <c r="AU19" s="545"/>
      <c r="AV19" s="545"/>
      <c r="AW19" s="545"/>
      <c r="AX19" s="545"/>
      <c r="AY19" s="545"/>
      <c r="AZ19" s="545"/>
      <c r="BA19" s="546"/>
    </row>
    <row r="20" spans="2:69" ht="27.9" customHeight="1" thickBot="1" x14ac:dyDescent="0.25">
      <c r="N20" s="543" t="s">
        <v>67</v>
      </c>
      <c r="O20" s="543"/>
      <c r="P20" s="543"/>
      <c r="Q20" s="543"/>
      <c r="R20" s="543"/>
      <c r="S20" s="543"/>
      <c r="T20" s="543"/>
      <c r="U20" s="544" t="s">
        <v>68</v>
      </c>
      <c r="V20" s="545"/>
      <c r="W20" s="545"/>
      <c r="X20" s="545"/>
      <c r="Y20" s="545"/>
      <c r="Z20" s="545"/>
      <c r="AA20" s="545"/>
      <c r="AB20" s="545"/>
      <c r="AC20" s="545"/>
      <c r="AD20" s="545"/>
      <c r="AE20" s="545"/>
      <c r="AF20" s="545"/>
      <c r="AG20" s="545"/>
      <c r="AH20" s="545"/>
      <c r="AI20" s="545"/>
      <c r="AJ20" s="545"/>
      <c r="AK20" s="545"/>
      <c r="AL20" s="545"/>
      <c r="AM20" s="545"/>
      <c r="AN20" s="545"/>
      <c r="AO20" s="545"/>
      <c r="AP20" s="545"/>
      <c r="AQ20" s="545"/>
      <c r="AR20" s="545"/>
      <c r="AS20" s="545"/>
      <c r="AT20" s="545"/>
      <c r="AU20" s="545"/>
      <c r="AV20" s="545"/>
      <c r="AW20" s="545"/>
      <c r="AX20" s="545"/>
      <c r="AY20" s="545"/>
      <c r="AZ20" s="545"/>
      <c r="BA20" s="546"/>
    </row>
    <row r="21" spans="2:69" ht="27.9" customHeight="1" thickBot="1" x14ac:dyDescent="0.25">
      <c r="N21" s="543" t="s">
        <v>514</v>
      </c>
      <c r="O21" s="543"/>
      <c r="P21" s="543"/>
      <c r="Q21" s="543"/>
      <c r="R21" s="543"/>
      <c r="S21" s="543"/>
      <c r="T21" s="543"/>
      <c r="U21" s="544" t="s">
        <v>71</v>
      </c>
      <c r="V21" s="545"/>
      <c r="W21" s="545"/>
      <c r="X21" s="545"/>
      <c r="Y21" s="545"/>
      <c r="Z21" s="545"/>
      <c r="AA21" s="545"/>
      <c r="AB21" s="545"/>
      <c r="AC21" s="545"/>
      <c r="AD21" s="545"/>
      <c r="AE21" s="545"/>
      <c r="AF21" s="545"/>
      <c r="AG21" s="545"/>
      <c r="AH21" s="545"/>
      <c r="AI21" s="545"/>
      <c r="AJ21" s="545"/>
      <c r="AK21" s="545"/>
      <c r="AL21" s="545"/>
      <c r="AM21" s="545"/>
      <c r="AN21" s="545"/>
      <c r="AO21" s="545"/>
      <c r="AP21" s="545"/>
      <c r="AQ21" s="545"/>
      <c r="AR21" s="545"/>
      <c r="AS21" s="545"/>
      <c r="AT21" s="545"/>
      <c r="AU21" s="545"/>
      <c r="AV21" s="545"/>
      <c r="AW21" s="545"/>
      <c r="AX21" s="545"/>
      <c r="AY21" s="545"/>
      <c r="AZ21" s="545"/>
      <c r="BA21" s="546"/>
    </row>
    <row r="22" spans="2:69" ht="27.9" customHeight="1" thickBot="1" x14ac:dyDescent="0.25">
      <c r="N22" s="543" t="s">
        <v>515</v>
      </c>
      <c r="O22" s="543"/>
      <c r="P22" s="543"/>
      <c r="Q22" s="543"/>
      <c r="R22" s="543"/>
      <c r="S22" s="543"/>
      <c r="T22" s="543"/>
      <c r="U22" s="544" t="s">
        <v>73</v>
      </c>
      <c r="V22" s="545"/>
      <c r="W22" s="545"/>
      <c r="X22" s="545"/>
      <c r="Y22" s="545"/>
      <c r="Z22" s="545"/>
      <c r="AA22" s="545"/>
      <c r="AB22" s="545"/>
      <c r="AC22" s="545"/>
      <c r="AD22" s="545"/>
      <c r="AE22" s="545"/>
      <c r="AF22" s="545"/>
      <c r="AG22" s="545"/>
      <c r="AH22" s="545"/>
      <c r="AI22" s="545"/>
      <c r="AJ22" s="545"/>
      <c r="AK22" s="545"/>
      <c r="AL22" s="545"/>
      <c r="AM22" s="545"/>
      <c r="AN22" s="545"/>
      <c r="AO22" s="545"/>
      <c r="AP22" s="545"/>
      <c r="AQ22" s="545"/>
      <c r="AR22" s="545"/>
      <c r="AS22" s="545"/>
      <c r="AT22" s="545"/>
      <c r="AU22" s="545"/>
      <c r="AV22" s="545"/>
      <c r="AW22" s="545"/>
      <c r="AX22" s="545"/>
      <c r="AY22" s="545"/>
      <c r="AZ22" s="545"/>
      <c r="BA22" s="546"/>
    </row>
    <row r="23" spans="2:69" ht="27.9" customHeight="1" thickBot="1" x14ac:dyDescent="0.25">
      <c r="N23" s="543" t="s">
        <v>75</v>
      </c>
      <c r="O23" s="543"/>
      <c r="P23" s="543"/>
      <c r="Q23" s="543"/>
      <c r="R23" s="543"/>
      <c r="S23" s="543"/>
      <c r="T23" s="543"/>
      <c r="U23" s="544" t="s">
        <v>76</v>
      </c>
      <c r="V23" s="545"/>
      <c r="W23" s="545"/>
      <c r="X23" s="545"/>
      <c r="Y23" s="545"/>
      <c r="Z23" s="545"/>
      <c r="AA23" s="545"/>
      <c r="AB23" s="545"/>
      <c r="AC23" s="545"/>
      <c r="AD23" s="545"/>
      <c r="AE23" s="545"/>
      <c r="AF23" s="545"/>
      <c r="AG23" s="545"/>
      <c r="AH23" s="545"/>
      <c r="AI23" s="545"/>
      <c r="AJ23" s="545"/>
      <c r="AK23" s="545"/>
      <c r="AL23" s="545"/>
      <c r="AM23" s="545"/>
      <c r="AN23" s="545"/>
      <c r="AO23" s="545"/>
      <c r="AP23" s="545"/>
      <c r="AQ23" s="545"/>
      <c r="AR23" s="545"/>
      <c r="AS23" s="545"/>
      <c r="AT23" s="545"/>
      <c r="AU23" s="545"/>
      <c r="AV23" s="545"/>
      <c r="AW23" s="545"/>
      <c r="AX23" s="545"/>
      <c r="AY23" s="545"/>
      <c r="AZ23" s="545"/>
      <c r="BA23" s="546"/>
    </row>
    <row r="24" spans="2:69" ht="27.9" customHeight="1" thickBot="1" x14ac:dyDescent="0.25">
      <c r="N24" s="543" t="s">
        <v>516</v>
      </c>
      <c r="O24" s="543"/>
      <c r="P24" s="543"/>
      <c r="Q24" s="543"/>
      <c r="R24" s="543"/>
      <c r="S24" s="543"/>
      <c r="T24" s="543"/>
      <c r="U24" s="544" t="s">
        <v>629</v>
      </c>
      <c r="V24" s="545"/>
      <c r="W24" s="545"/>
      <c r="X24" s="545"/>
      <c r="Y24" s="545"/>
      <c r="Z24" s="545"/>
      <c r="AA24" s="545"/>
      <c r="AB24" s="545"/>
      <c r="AC24" s="545"/>
      <c r="AD24" s="545"/>
      <c r="AE24" s="545"/>
      <c r="AF24" s="545"/>
      <c r="AG24" s="545"/>
      <c r="AH24" s="545"/>
      <c r="AI24" s="545"/>
      <c r="AJ24" s="545"/>
      <c r="AK24" s="545"/>
      <c r="AL24" s="545"/>
      <c r="AM24" s="545"/>
      <c r="AN24" s="545"/>
      <c r="AO24" s="545"/>
      <c r="AP24" s="545"/>
      <c r="AQ24" s="545"/>
      <c r="AR24" s="545"/>
      <c r="AS24" s="545"/>
      <c r="AT24" s="545"/>
      <c r="AU24" s="545"/>
      <c r="AV24" s="545"/>
      <c r="AW24" s="545"/>
      <c r="AX24" s="545"/>
      <c r="AY24" s="545"/>
      <c r="AZ24" s="545"/>
      <c r="BA24" s="546"/>
    </row>
    <row r="25" spans="2:69" ht="27.9" customHeight="1" thickBot="1" x14ac:dyDescent="0.25">
      <c r="N25" s="543" t="s">
        <v>517</v>
      </c>
      <c r="O25" s="543"/>
      <c r="P25" s="543"/>
      <c r="Q25" s="543"/>
      <c r="R25" s="543"/>
      <c r="S25" s="543"/>
      <c r="T25" s="543"/>
      <c r="U25" s="544" t="s">
        <v>630</v>
      </c>
      <c r="V25" s="545"/>
      <c r="W25" s="545"/>
      <c r="X25" s="545"/>
      <c r="Y25" s="545"/>
      <c r="Z25" s="545"/>
      <c r="AA25" s="545"/>
      <c r="AB25" s="545"/>
      <c r="AC25" s="545"/>
      <c r="AD25" s="545"/>
      <c r="AE25" s="545"/>
      <c r="AF25" s="545"/>
      <c r="AG25" s="545"/>
      <c r="AH25" s="545"/>
      <c r="AI25" s="545"/>
      <c r="AJ25" s="545"/>
      <c r="AK25" s="545"/>
      <c r="AL25" s="545"/>
      <c r="AM25" s="545"/>
      <c r="AN25" s="545"/>
      <c r="AO25" s="545"/>
      <c r="AP25" s="545"/>
      <c r="AQ25" s="545"/>
      <c r="AR25" s="545"/>
      <c r="AS25" s="545"/>
      <c r="AT25" s="545"/>
      <c r="AU25" s="545"/>
      <c r="AV25" s="545"/>
      <c r="AW25" s="545"/>
      <c r="AX25" s="545"/>
      <c r="AY25" s="545"/>
      <c r="AZ25" s="545"/>
      <c r="BA25" s="546"/>
    </row>
    <row r="26" spans="2:69" ht="27.9" customHeight="1" thickBot="1" x14ac:dyDescent="0.25">
      <c r="N26" s="543" t="s">
        <v>690</v>
      </c>
      <c r="O26" s="543"/>
      <c r="P26" s="543"/>
      <c r="Q26" s="543"/>
      <c r="R26" s="543"/>
      <c r="S26" s="543"/>
      <c r="T26" s="543"/>
      <c r="U26" s="544" t="s">
        <v>691</v>
      </c>
      <c r="V26" s="545"/>
      <c r="W26" s="545"/>
      <c r="X26" s="545"/>
      <c r="Y26" s="545"/>
      <c r="Z26" s="545"/>
      <c r="AA26" s="545"/>
      <c r="AB26" s="545"/>
      <c r="AC26" s="545"/>
      <c r="AD26" s="545"/>
      <c r="AE26" s="545"/>
      <c r="AF26" s="545"/>
      <c r="AG26" s="545"/>
      <c r="AH26" s="545"/>
      <c r="AI26" s="545"/>
      <c r="AJ26" s="545"/>
      <c r="AK26" s="545"/>
      <c r="AL26" s="545"/>
      <c r="AM26" s="545"/>
      <c r="AN26" s="545"/>
      <c r="AO26" s="545"/>
      <c r="AP26" s="545"/>
      <c r="AQ26" s="545"/>
      <c r="AR26" s="545"/>
      <c r="AS26" s="545"/>
      <c r="AT26" s="545"/>
      <c r="AU26" s="545"/>
      <c r="AV26" s="545"/>
      <c r="AW26" s="545"/>
      <c r="AX26" s="545"/>
      <c r="AY26" s="545"/>
      <c r="AZ26" s="545"/>
      <c r="BA26" s="546"/>
    </row>
    <row r="27" spans="2:69" ht="27.9" customHeight="1" thickBot="1" x14ac:dyDescent="0.25">
      <c r="N27" s="543" t="s">
        <v>518</v>
      </c>
      <c r="O27" s="543"/>
      <c r="P27" s="543"/>
      <c r="Q27" s="543"/>
      <c r="R27" s="543"/>
      <c r="S27" s="543"/>
      <c r="T27" s="543"/>
      <c r="U27" s="544" t="s">
        <v>83</v>
      </c>
      <c r="V27" s="545"/>
      <c r="W27" s="545"/>
      <c r="X27" s="545"/>
      <c r="Y27" s="545"/>
      <c r="Z27" s="545"/>
      <c r="AA27" s="545"/>
      <c r="AB27" s="545"/>
      <c r="AC27" s="545"/>
      <c r="AD27" s="545"/>
      <c r="AE27" s="545"/>
      <c r="AF27" s="545"/>
      <c r="AG27" s="545"/>
      <c r="AH27" s="545"/>
      <c r="AI27" s="545"/>
      <c r="AJ27" s="545"/>
      <c r="AK27" s="545"/>
      <c r="AL27" s="545"/>
      <c r="AM27" s="545"/>
      <c r="AN27" s="545"/>
      <c r="AO27" s="545"/>
      <c r="AP27" s="545"/>
      <c r="AQ27" s="545"/>
      <c r="AR27" s="545"/>
      <c r="AS27" s="545"/>
      <c r="AT27" s="545"/>
      <c r="AU27" s="545"/>
      <c r="AV27" s="545"/>
      <c r="AW27" s="545"/>
      <c r="AX27" s="545"/>
      <c r="AY27" s="545"/>
      <c r="AZ27" s="545"/>
      <c r="BA27" s="546"/>
    </row>
    <row r="28" spans="2:69" x14ac:dyDescent="0.2">
      <c r="U28" s="280"/>
      <c r="V28" s="280"/>
    </row>
    <row r="29" spans="2:69" x14ac:dyDescent="0.2">
      <c r="U29" s="280"/>
      <c r="V29" s="280"/>
    </row>
    <row r="30" spans="2:69" ht="14.4" x14ac:dyDescent="0.2">
      <c r="C30" s="286"/>
      <c r="N30" s="286" t="s">
        <v>522</v>
      </c>
      <c r="O30" s="286"/>
      <c r="P30" s="286"/>
      <c r="Q30" s="286"/>
      <c r="R30" s="286"/>
      <c r="S30" s="286"/>
      <c r="T30" s="286"/>
      <c r="U30" s="290"/>
      <c r="V30" s="290"/>
      <c r="W30" s="286"/>
      <c r="AG30" s="286"/>
    </row>
    <row r="31" spans="2:69" ht="14.4" x14ac:dyDescent="0.2">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3.8" thickBot="1" x14ac:dyDescent="0.25">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2">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2">
      <c r="A34" s="289"/>
      <c r="B34" s="289"/>
      <c r="C34" s="291"/>
      <c r="D34" s="550" t="s">
        <v>519</v>
      </c>
      <c r="E34" s="551"/>
      <c r="F34" s="551"/>
      <c r="G34" s="551"/>
      <c r="H34" s="551"/>
      <c r="I34" s="551"/>
      <c r="J34" s="552"/>
      <c r="K34" s="292"/>
      <c r="L34" s="292"/>
      <c r="M34" s="292"/>
      <c r="N34" s="292"/>
      <c r="O34" s="292"/>
      <c r="P34" s="292"/>
      <c r="Q34" s="292"/>
      <c r="R34" s="293"/>
      <c r="S34" s="293"/>
      <c r="T34" s="293"/>
      <c r="U34" s="293"/>
      <c r="V34" s="293"/>
      <c r="W34" s="550" t="s">
        <v>520</v>
      </c>
      <c r="X34" s="551"/>
      <c r="Y34" s="551"/>
      <c r="Z34" s="551"/>
      <c r="AA34" s="551"/>
      <c r="AB34" s="551"/>
      <c r="AC34" s="551"/>
      <c r="AD34" s="551"/>
      <c r="AE34" s="551"/>
      <c r="AF34" s="551"/>
      <c r="AG34" s="552"/>
      <c r="AH34" s="293"/>
      <c r="AI34" s="293"/>
      <c r="AJ34" s="293"/>
      <c r="AK34" s="293"/>
      <c r="AL34" s="293"/>
      <c r="AM34" s="292"/>
      <c r="AN34" s="292"/>
      <c r="AO34" s="292"/>
      <c r="AP34" s="292"/>
      <c r="AQ34" s="292"/>
      <c r="AR34" s="292"/>
      <c r="AS34" s="292"/>
      <c r="AT34" s="293"/>
      <c r="AU34" s="293"/>
      <c r="AV34" s="293"/>
      <c r="AW34" s="293"/>
      <c r="AX34" s="550" t="s">
        <v>81</v>
      </c>
      <c r="AY34" s="551"/>
      <c r="AZ34" s="551"/>
      <c r="BA34" s="551"/>
      <c r="BB34" s="551"/>
      <c r="BC34" s="552"/>
      <c r="BD34" s="293"/>
      <c r="BE34" s="293"/>
      <c r="BF34" s="293"/>
      <c r="BG34" s="293"/>
      <c r="BH34" s="293"/>
      <c r="BI34" s="293"/>
      <c r="BJ34" s="293"/>
      <c r="BK34" s="293"/>
      <c r="BL34" s="293"/>
      <c r="BM34" s="293"/>
      <c r="BN34" s="293"/>
      <c r="BO34" s="293"/>
      <c r="BP34" s="293"/>
      <c r="BQ34" s="293"/>
      <c r="BR34" s="293"/>
    </row>
    <row r="35" spans="1:70" x14ac:dyDescent="0.2">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2">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2">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2">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50" t="s">
        <v>496</v>
      </c>
      <c r="AY38" s="551"/>
      <c r="AZ38" s="551"/>
      <c r="BA38" s="551"/>
      <c r="BB38" s="551"/>
      <c r="BC38" s="552"/>
      <c r="BD38" s="293"/>
      <c r="BE38" s="293"/>
      <c r="BF38" s="293"/>
      <c r="BG38" s="293"/>
      <c r="BH38" s="293"/>
      <c r="BI38" s="293"/>
      <c r="BJ38" s="293"/>
      <c r="BK38" s="293"/>
      <c r="BL38" s="293"/>
      <c r="BM38" s="293"/>
      <c r="BN38" s="293"/>
      <c r="BO38" s="293"/>
      <c r="BP38" s="293"/>
      <c r="BQ38" s="293"/>
      <c r="BR38" s="293"/>
    </row>
    <row r="39" spans="1:70" x14ac:dyDescent="0.2">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2">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2">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2">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2">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2">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2">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2">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2">
      <c r="A47" s="293"/>
      <c r="B47" s="292"/>
      <c r="C47" s="292"/>
      <c r="D47" s="550" t="s">
        <v>53</v>
      </c>
      <c r="E47" s="551"/>
      <c r="F47" s="551"/>
      <c r="G47" s="551"/>
      <c r="H47" s="551"/>
      <c r="I47" s="552"/>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2">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2">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2">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2">
      <c r="A51" s="293"/>
      <c r="B51" s="293"/>
      <c r="C51" s="292"/>
      <c r="D51" s="550" t="s">
        <v>64</v>
      </c>
      <c r="E51" s="551"/>
      <c r="F51" s="551"/>
      <c r="G51" s="551"/>
      <c r="H51" s="551"/>
      <c r="I51" s="552"/>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2">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2">
      <c r="A53" s="293"/>
      <c r="B53" s="292"/>
      <c r="C53" s="292"/>
      <c r="D53" s="550" t="s">
        <v>70</v>
      </c>
      <c r="E53" s="551"/>
      <c r="F53" s="551"/>
      <c r="G53" s="551"/>
      <c r="H53" s="551"/>
      <c r="I53" s="552"/>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2">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2">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2">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2">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2">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2">
      <c r="A59" s="293"/>
      <c r="B59" s="294"/>
      <c r="C59" s="292"/>
      <c r="D59" s="550" t="s">
        <v>126</v>
      </c>
      <c r="E59" s="551"/>
      <c r="F59" s="551"/>
      <c r="G59" s="551"/>
      <c r="H59" s="551"/>
      <c r="I59" s="552"/>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2">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2">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2">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2">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2">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2">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2">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2">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2">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2">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2">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2">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2">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2">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2">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2">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 ref="N4:X4"/>
    <mergeCell ref="N6:T6"/>
    <mergeCell ref="N7:T7"/>
    <mergeCell ref="N8:T8"/>
    <mergeCell ref="U6:BA6"/>
    <mergeCell ref="U7:BA7"/>
    <mergeCell ref="U10:BA10"/>
    <mergeCell ref="U14:BA14"/>
    <mergeCell ref="U15:BA15"/>
    <mergeCell ref="U16:BA16"/>
    <mergeCell ref="U11:BA11"/>
    <mergeCell ref="U12:BA12"/>
    <mergeCell ref="N9:T9"/>
    <mergeCell ref="N10:T10"/>
    <mergeCell ref="N11:T11"/>
    <mergeCell ref="N12:T12"/>
    <mergeCell ref="N18:T18"/>
    <mergeCell ref="N13:T13"/>
    <mergeCell ref="U27:BA27"/>
    <mergeCell ref="U21:BA21"/>
    <mergeCell ref="U22:BA22"/>
    <mergeCell ref="U23:BA23"/>
    <mergeCell ref="U24:BA24"/>
    <mergeCell ref="U25:BA25"/>
    <mergeCell ref="U26:BA26"/>
    <mergeCell ref="N27:T27"/>
    <mergeCell ref="N23:T23"/>
    <mergeCell ref="N25:T25"/>
    <mergeCell ref="N24:T24"/>
    <mergeCell ref="N26:T26"/>
    <mergeCell ref="N21:T21"/>
    <mergeCell ref="N22:T22"/>
    <mergeCell ref="N15:T15"/>
    <mergeCell ref="N16:T16"/>
    <mergeCell ref="N17:T17"/>
    <mergeCell ref="N19:T19"/>
    <mergeCell ref="N20:T20"/>
  </mergeCells>
  <phoneticPr fontId="23"/>
  <hyperlinks>
    <hyperlink ref="U7" location="'品質基準管理表（定性的観点）'!Print_Titles" display="品質基準管理表（定性的観点）"/>
    <hyperlink ref="U8" location="レビューチェックリスト!Print_Titles" display="レビューチェックリスト"/>
    <hyperlink ref="U9" location="レビュー指摘表!Print_Titles" display="レビュー指摘表"/>
    <hyperlink ref="U10" location="'レビュー状況管理表(統一）'!A1" display="レビュー状況管理表（統一）"/>
    <hyperlink ref="U11" location="'レビュー状況管理表(チームレビュー)'!Print_Titles" display="レビュー状況管理表（チームレビュー）"/>
    <hyperlink ref="U12" location="'レビュー状況管理表(プロジェクトレビュー)'!Print_Titles" display="レビュー状況管理表（プロジェクトレビュー）"/>
    <hyperlink ref="U13" location="'レビュー状況管理表(顧客レビュー)'!Print_Titles" display="レビュー状況管理表（顧客レビュー）"/>
    <hyperlink ref="U14" location="'設計書指摘分析図（サマリ）'!Print_Titles" display="設計書指摘分析図（サマリ）"/>
    <hyperlink ref="U15" location="'設計書指摘分析図（指摘現象-指摘原因）'!Print_Titles" display="設計書指摘分析図（指摘現象‐指摘原因）"/>
    <hyperlink ref="U16" location="'設計書指摘分析図（指摘現象-混入工程）'!Print_Titles" display="設計書指摘分析図（指摘現象‐混入工程）"/>
    <hyperlink ref="U17" location="'設計書指摘分析図（混入工程-指摘原因）'!Print_Titles" display="設計書指摘分析図（混入工程‐指摘原因）"/>
    <hyperlink ref="U20" location="テスト状況管理表!A1" display="テスト状況管理表"/>
    <hyperlink ref="U21" location="テスト詳細管理表!Print_Titles" display="テスト詳細管理表"/>
    <hyperlink ref="U22" location="'テストエラー分析図（サマリ）'!Print_Titles" display="テストエラー分析図（サマリ）"/>
    <hyperlink ref="U23" location="'テストエラー分析図（エラー現象‐エラー原因）'!A1" display="テストエラー分析図（エラー現象‐エラー原因）"/>
    <hyperlink ref="U24" location="'テストエラー分析図（エラー現象‐摘出すべき工程）'!Print_Titles" display="テストエラー分析図（エラー現象‐摘出すべき工程）"/>
    <hyperlink ref="U25" location="'テストエラー分析図（摘出すべき工程‐エラー原因）'!Print_Titles" display="テストエラー分析図（摘出すべき工程‐エラー原因）"/>
    <hyperlink ref="U27" location="'品質管理（分析サマリ）'!Print_Titles" display="品質管理（分析サマリ）"/>
    <hyperlink ref="U18" location="不具合管理票!A1" display="不具合管理票"/>
    <hyperlink ref="U19" location="'不具合管理 '!Print_Titles" display="不具合管理一覧表"/>
    <hyperlink ref="U6:AZ6" location="'品質基準管理票（定量的観点）'!A1" display="品質基準管理表（定量的観点）"/>
    <hyperlink ref="U7:AZ7" location="'品質基準管理票（定性的観点）'!A1" display="品質基準管理表（定性的観点）"/>
    <hyperlink ref="U8:AZ8" location="レビューチェックリスト!A1" display="レビューチェックリスト"/>
    <hyperlink ref="U9:AZ9" location="レビュー指摘表!A1" display="レビュー指摘表"/>
    <hyperlink ref="U11:AZ11" location="'レビュー状況管理表(チームレビュー)'!A1" display="レビュー状況管理表（チームレビュー）"/>
    <hyperlink ref="U12:AZ12" location="'レビュー状況管理表(プロジェクトレビュー)'!A1" display="レビュー状況管理表（プロジェクトレビュー）"/>
    <hyperlink ref="U13:AZ13" location="'レビュー状況管理表(顧客レビュー)'!A1" display="レビュー状況管理表（顧客レビュー）"/>
    <hyperlink ref="U14:AZ14" location="'設計書指摘分析図（サマリ）'!A1" display="設計書指摘分析図（サマリ）"/>
    <hyperlink ref="U15:AZ15" location="'設計書指摘分析図（指摘現象-指摘原因）'!A1" display="設計書指摘分析図（指摘現象‐指摘原因）"/>
    <hyperlink ref="U16:AZ16" location="'設計書指摘分析図（指摘現象-混入工程）'!A1" display="設計書指摘分析図（指摘現象‐混入工程）"/>
    <hyperlink ref="U17:AZ17" location="'設計書指摘分析図（混入工程-指摘原因）'!A1" display="設計書指摘分析図（混入工程‐指摘原因）"/>
    <hyperlink ref="U19:AZ19" location="不具合管理!A1" display="不具合管理一覧表"/>
    <hyperlink ref="U21:AZ21" location="テスト詳細管理表!A1" display="テスト詳細管理表"/>
    <hyperlink ref="U22:AZ22" location="'テストエラー分析図（サマリ）'!A1" display="テストエラー分析図（サマリ）"/>
    <hyperlink ref="U25:AZ25" location="'テストエラー分析図（摘出すべき工程‐エラー原因）'!A1" display="テストエラー分析図（摘出すべき工程‐エラー原因）"/>
    <hyperlink ref="U27:AZ27" location="'品質管理（分析サマリ）'!A1" display="品質管理（分析サマリ）"/>
    <hyperlink ref="U20:AZ20" location="テスト状況管理表!A1" display="テスト状況管理表"/>
    <hyperlink ref="N31:AG31" r:id="rId1" display="https://smfg.sharepoint.com/sites/jri/prjmng-std/JPAT/official/JPAT-PMOT.xls"/>
    <hyperlink ref="U24:AZ24" location="'テストエラー分析図（エラー現象‐摘出すべき工程）'!A1" display="テストエラー分析図（エラー現象‐摘出すべき工程）"/>
    <hyperlink ref="U26" location="'テストエラー分析図（摘出すべき工程‐エラー原因）'!Print_Titles" display="テストエラー分析図（摘出すべき工程‐エラー原因）"/>
    <hyperlink ref="U26:AZ26" location="'テストエラー分析図（混入工程-混入要因）'!A1" display="テストエラー分析図（混入工程‐混入要因）"/>
    <hyperlink ref="N31" r:id="rId2"/>
  </hyperlinks>
  <pageMargins left="0.43307086614173229" right="0.43307086614173229" top="0.98425196850393704" bottom="0.98425196850393704" header="0.51181102362204722" footer="0.51181102362204722"/>
  <pageSetup paperSize="9" scale="53"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R52"/>
  <sheetViews>
    <sheetView zoomScale="85" zoomScaleNormal="85" zoomScaleSheetLayoutView="85" workbookViewId="0">
      <selection sqref="A1:F5"/>
    </sheetView>
  </sheetViews>
  <sheetFormatPr defaultColWidth="2.6640625" defaultRowHeight="13.2" x14ac:dyDescent="0.2"/>
  <cols>
    <col min="1" max="51" width="2.6640625" customWidth="1"/>
    <col min="52" max="52" width="3" customWidth="1"/>
  </cols>
  <sheetData>
    <row r="1" spans="1:70" ht="13.5" customHeight="1" x14ac:dyDescent="0.2">
      <c r="A1" s="601" t="s">
        <v>563</v>
      </c>
      <c r="B1" s="602"/>
      <c r="C1" s="602"/>
      <c r="D1" s="602"/>
      <c r="E1" s="602"/>
      <c r="F1" s="603"/>
      <c r="G1" s="601" t="s">
        <v>564</v>
      </c>
      <c r="H1" s="602"/>
      <c r="I1" s="602"/>
      <c r="J1" s="602"/>
      <c r="K1" s="602"/>
      <c r="L1" s="602"/>
      <c r="M1" s="602"/>
      <c r="N1" s="602"/>
      <c r="O1" s="602"/>
      <c r="P1" s="602"/>
      <c r="Q1" s="602"/>
      <c r="R1" s="602"/>
      <c r="S1" s="603"/>
      <c r="T1" s="610" t="s">
        <v>565</v>
      </c>
      <c r="U1" s="611"/>
      <c r="V1" s="611"/>
      <c r="W1" s="611"/>
      <c r="X1" s="611"/>
      <c r="Y1" s="611"/>
      <c r="Z1" s="611"/>
      <c r="AA1" s="611"/>
      <c r="AB1" s="611"/>
      <c r="AC1" s="611"/>
      <c r="AD1" s="611"/>
      <c r="AE1" s="611"/>
      <c r="AF1" s="611"/>
      <c r="AG1" s="611"/>
      <c r="AH1" s="611"/>
      <c r="AI1" s="611"/>
      <c r="AJ1" s="611"/>
      <c r="AK1" s="611"/>
      <c r="AL1" s="611"/>
      <c r="AM1" s="612"/>
      <c r="AN1" s="583" t="s">
        <v>305</v>
      </c>
      <c r="AO1" s="584"/>
      <c r="AP1" s="584"/>
      <c r="AQ1" s="584"/>
      <c r="AR1" s="585"/>
      <c r="AS1" s="583" t="s">
        <v>306</v>
      </c>
      <c r="AT1" s="584"/>
      <c r="AU1" s="584"/>
      <c r="AV1" s="584"/>
      <c r="AW1" s="585"/>
      <c r="AX1" s="583" t="s">
        <v>237</v>
      </c>
      <c r="AY1" s="584"/>
      <c r="AZ1" s="584"/>
      <c r="BA1" s="584"/>
      <c r="BB1" s="585"/>
      <c r="BC1" s="586" t="s">
        <v>566</v>
      </c>
      <c r="BD1" s="587"/>
      <c r="BE1" s="587"/>
      <c r="BF1" s="587"/>
      <c r="BG1" s="587"/>
      <c r="BH1" s="587"/>
      <c r="BI1" s="587"/>
      <c r="BJ1" s="587"/>
      <c r="BK1" s="587"/>
      <c r="BL1" s="587"/>
      <c r="BM1" s="587"/>
      <c r="BN1" s="587"/>
      <c r="BO1" s="587"/>
      <c r="BP1" s="587"/>
      <c r="BQ1" s="587"/>
      <c r="BR1" s="588"/>
    </row>
    <row r="2" spans="1:70" ht="13.5" customHeight="1" x14ac:dyDescent="0.2">
      <c r="A2" s="604"/>
      <c r="B2" s="605"/>
      <c r="C2" s="605"/>
      <c r="D2" s="605"/>
      <c r="E2" s="605"/>
      <c r="F2" s="606"/>
      <c r="G2" s="604"/>
      <c r="H2" s="605"/>
      <c r="I2" s="605"/>
      <c r="J2" s="605"/>
      <c r="K2" s="605"/>
      <c r="L2" s="605"/>
      <c r="M2" s="605"/>
      <c r="N2" s="605"/>
      <c r="O2" s="605"/>
      <c r="P2" s="605"/>
      <c r="Q2" s="605"/>
      <c r="R2" s="605"/>
      <c r="S2" s="606"/>
      <c r="T2" s="613"/>
      <c r="U2" s="614"/>
      <c r="V2" s="614"/>
      <c r="W2" s="614"/>
      <c r="X2" s="614"/>
      <c r="Y2" s="614"/>
      <c r="Z2" s="614"/>
      <c r="AA2" s="614"/>
      <c r="AB2" s="614"/>
      <c r="AC2" s="614"/>
      <c r="AD2" s="614"/>
      <c r="AE2" s="614"/>
      <c r="AF2" s="614"/>
      <c r="AG2" s="614"/>
      <c r="AH2" s="614"/>
      <c r="AI2" s="614"/>
      <c r="AJ2" s="614"/>
      <c r="AK2" s="614"/>
      <c r="AL2" s="614"/>
      <c r="AM2" s="615"/>
      <c r="AN2" s="583" t="s">
        <v>494</v>
      </c>
      <c r="AO2" s="584"/>
      <c r="AP2" s="584"/>
      <c r="AQ2" s="584"/>
      <c r="AR2" s="585"/>
      <c r="AS2" s="583" t="s">
        <v>494</v>
      </c>
      <c r="AT2" s="584"/>
      <c r="AU2" s="584"/>
      <c r="AV2" s="584"/>
      <c r="AW2" s="585"/>
      <c r="AX2" s="583" t="s">
        <v>494</v>
      </c>
      <c r="AY2" s="584"/>
      <c r="AZ2" s="584"/>
      <c r="BA2" s="584"/>
      <c r="BB2" s="585"/>
      <c r="BC2" s="586" t="s">
        <v>308</v>
      </c>
      <c r="BD2" s="587"/>
      <c r="BE2" s="587"/>
      <c r="BF2" s="587"/>
      <c r="BG2" s="587"/>
      <c r="BH2" s="588"/>
      <c r="BI2" s="583" t="s">
        <v>306</v>
      </c>
      <c r="BJ2" s="584"/>
      <c r="BK2" s="584"/>
      <c r="BL2" s="584"/>
      <c r="BM2" s="585"/>
      <c r="BN2" s="583" t="s">
        <v>617</v>
      </c>
      <c r="BO2" s="584"/>
      <c r="BP2" s="584"/>
      <c r="BQ2" s="584"/>
      <c r="BR2" s="585"/>
    </row>
    <row r="3" spans="1:70" ht="13.5" customHeight="1" x14ac:dyDescent="0.2">
      <c r="A3" s="604"/>
      <c r="B3" s="605"/>
      <c r="C3" s="605"/>
      <c r="D3" s="605"/>
      <c r="E3" s="605"/>
      <c r="F3" s="606"/>
      <c r="G3" s="604"/>
      <c r="H3" s="605"/>
      <c r="I3" s="605"/>
      <c r="J3" s="605"/>
      <c r="K3" s="605"/>
      <c r="L3" s="605"/>
      <c r="M3" s="605"/>
      <c r="N3" s="605"/>
      <c r="O3" s="605"/>
      <c r="P3" s="605"/>
      <c r="Q3" s="605"/>
      <c r="R3" s="605"/>
      <c r="S3" s="606"/>
      <c r="T3" s="613"/>
      <c r="U3" s="614"/>
      <c r="V3" s="614"/>
      <c r="W3" s="614"/>
      <c r="X3" s="614"/>
      <c r="Y3" s="614"/>
      <c r="Z3" s="614"/>
      <c r="AA3" s="614"/>
      <c r="AB3" s="614"/>
      <c r="AC3" s="614"/>
      <c r="AD3" s="614"/>
      <c r="AE3" s="614"/>
      <c r="AF3" s="614"/>
      <c r="AG3" s="614"/>
      <c r="AH3" s="614"/>
      <c r="AI3" s="614"/>
      <c r="AJ3" s="614"/>
      <c r="AK3" s="614"/>
      <c r="AL3" s="614"/>
      <c r="AM3" s="615"/>
      <c r="AN3" s="598"/>
      <c r="AO3" s="598"/>
      <c r="AP3" s="598"/>
      <c r="AQ3" s="598"/>
      <c r="AR3" s="598"/>
      <c r="AS3" s="598"/>
      <c r="AT3" s="598"/>
      <c r="AU3" s="598"/>
      <c r="AV3" s="598"/>
      <c r="AW3" s="598"/>
      <c r="AX3" s="598"/>
      <c r="AY3" s="598"/>
      <c r="AZ3" s="598"/>
      <c r="BA3" s="598"/>
      <c r="BB3" s="598"/>
      <c r="BC3" s="589"/>
      <c r="BD3" s="590"/>
      <c r="BE3" s="590"/>
      <c r="BF3" s="590"/>
      <c r="BG3" s="590"/>
      <c r="BH3" s="591"/>
      <c r="BI3" s="584" t="s">
        <v>495</v>
      </c>
      <c r="BJ3" s="584"/>
      <c r="BK3" s="584"/>
      <c r="BL3" s="584"/>
      <c r="BM3" s="585"/>
      <c r="BN3" s="583" t="s">
        <v>495</v>
      </c>
      <c r="BO3" s="584"/>
      <c r="BP3" s="584"/>
      <c r="BQ3" s="584"/>
      <c r="BR3" s="585"/>
    </row>
    <row r="4" spans="1:70" ht="13.5" customHeight="1" x14ac:dyDescent="0.2">
      <c r="A4" s="604"/>
      <c r="B4" s="605"/>
      <c r="C4" s="605"/>
      <c r="D4" s="605"/>
      <c r="E4" s="605"/>
      <c r="F4" s="606"/>
      <c r="G4" s="604"/>
      <c r="H4" s="605"/>
      <c r="I4" s="605"/>
      <c r="J4" s="605"/>
      <c r="K4" s="605"/>
      <c r="L4" s="605"/>
      <c r="M4" s="605"/>
      <c r="N4" s="605"/>
      <c r="O4" s="605"/>
      <c r="P4" s="605"/>
      <c r="Q4" s="605"/>
      <c r="R4" s="605"/>
      <c r="S4" s="606"/>
      <c r="T4" s="613"/>
      <c r="U4" s="614"/>
      <c r="V4" s="614"/>
      <c r="W4" s="614"/>
      <c r="X4" s="614"/>
      <c r="Y4" s="614"/>
      <c r="Z4" s="614"/>
      <c r="AA4" s="614"/>
      <c r="AB4" s="614"/>
      <c r="AC4" s="614"/>
      <c r="AD4" s="614"/>
      <c r="AE4" s="614"/>
      <c r="AF4" s="614"/>
      <c r="AG4" s="614"/>
      <c r="AH4" s="614"/>
      <c r="AI4" s="614"/>
      <c r="AJ4" s="614"/>
      <c r="AK4" s="614"/>
      <c r="AL4" s="614"/>
      <c r="AM4" s="615"/>
      <c r="AN4" s="598"/>
      <c r="AO4" s="598"/>
      <c r="AP4" s="598"/>
      <c r="AQ4" s="598"/>
      <c r="AR4" s="598"/>
      <c r="AS4" s="598"/>
      <c r="AT4" s="598"/>
      <c r="AU4" s="598"/>
      <c r="AV4" s="598"/>
      <c r="AW4" s="598"/>
      <c r="AX4" s="598"/>
      <c r="AY4" s="598"/>
      <c r="AZ4" s="598"/>
      <c r="BA4" s="598"/>
      <c r="BB4" s="598"/>
      <c r="BC4" s="592"/>
      <c r="BD4" s="593"/>
      <c r="BE4" s="593"/>
      <c r="BF4" s="593"/>
      <c r="BG4" s="593"/>
      <c r="BH4" s="594"/>
      <c r="BI4" s="568"/>
      <c r="BJ4" s="569"/>
      <c r="BK4" s="569"/>
      <c r="BL4" s="569"/>
      <c r="BM4" s="570"/>
      <c r="BN4" s="568"/>
      <c r="BO4" s="569"/>
      <c r="BP4" s="569"/>
      <c r="BQ4" s="569"/>
      <c r="BR4" s="570"/>
    </row>
    <row r="5" spans="1:70" ht="13.5" customHeight="1" x14ac:dyDescent="0.2">
      <c r="A5" s="607"/>
      <c r="B5" s="608"/>
      <c r="C5" s="608"/>
      <c r="D5" s="608"/>
      <c r="E5" s="608"/>
      <c r="F5" s="609"/>
      <c r="G5" s="607"/>
      <c r="H5" s="608"/>
      <c r="I5" s="608"/>
      <c r="J5" s="608"/>
      <c r="K5" s="608"/>
      <c r="L5" s="608"/>
      <c r="M5" s="608"/>
      <c r="N5" s="608"/>
      <c r="O5" s="608"/>
      <c r="P5" s="608"/>
      <c r="Q5" s="608"/>
      <c r="R5" s="608"/>
      <c r="S5" s="609"/>
      <c r="T5" s="616"/>
      <c r="U5" s="617"/>
      <c r="V5" s="617"/>
      <c r="W5" s="617"/>
      <c r="X5" s="617"/>
      <c r="Y5" s="617"/>
      <c r="Z5" s="617"/>
      <c r="AA5" s="617"/>
      <c r="AB5" s="617"/>
      <c r="AC5" s="617"/>
      <c r="AD5" s="617"/>
      <c r="AE5" s="617"/>
      <c r="AF5" s="617"/>
      <c r="AG5" s="617"/>
      <c r="AH5" s="617"/>
      <c r="AI5" s="617"/>
      <c r="AJ5" s="617"/>
      <c r="AK5" s="617"/>
      <c r="AL5" s="617"/>
      <c r="AM5" s="618"/>
      <c r="AN5" s="598"/>
      <c r="AO5" s="598"/>
      <c r="AP5" s="598"/>
      <c r="AQ5" s="598"/>
      <c r="AR5" s="598"/>
      <c r="AS5" s="598"/>
      <c r="AT5" s="598"/>
      <c r="AU5" s="598"/>
      <c r="AV5" s="598"/>
      <c r="AW5" s="598"/>
      <c r="AX5" s="598"/>
      <c r="AY5" s="598"/>
      <c r="AZ5" s="598"/>
      <c r="BA5" s="598"/>
      <c r="BB5" s="598"/>
      <c r="BC5" s="592"/>
      <c r="BD5" s="593"/>
      <c r="BE5" s="593"/>
      <c r="BF5" s="593"/>
      <c r="BG5" s="593"/>
      <c r="BH5" s="594"/>
      <c r="BI5" s="571"/>
      <c r="BJ5" s="572"/>
      <c r="BK5" s="572"/>
      <c r="BL5" s="572"/>
      <c r="BM5" s="573"/>
      <c r="BN5" s="571"/>
      <c r="BO5" s="572"/>
      <c r="BP5" s="572"/>
      <c r="BQ5" s="572"/>
      <c r="BR5" s="573"/>
    </row>
    <row r="6" spans="1:70" ht="13.5" customHeight="1" x14ac:dyDescent="0.2">
      <c r="A6" s="598" t="s">
        <v>465</v>
      </c>
      <c r="B6" s="598"/>
      <c r="C6" s="598"/>
      <c r="D6" s="598"/>
      <c r="E6" s="598"/>
      <c r="F6" s="598"/>
      <c r="G6" s="598"/>
      <c r="H6" s="598"/>
      <c r="I6" s="598"/>
      <c r="J6" s="598"/>
      <c r="K6" s="598"/>
      <c r="L6" s="598"/>
      <c r="M6" s="598"/>
      <c r="N6" s="598"/>
      <c r="O6" s="598"/>
      <c r="P6" s="598"/>
      <c r="Q6" s="598"/>
      <c r="R6" s="598"/>
      <c r="S6" s="598"/>
      <c r="T6" s="600" t="s">
        <v>466</v>
      </c>
      <c r="U6" s="600"/>
      <c r="V6" s="600"/>
      <c r="W6" s="600"/>
      <c r="X6" s="600"/>
      <c r="Y6" s="600"/>
      <c r="Z6" s="600"/>
      <c r="AA6" s="600"/>
      <c r="AB6" s="600"/>
      <c r="AC6" s="600"/>
      <c r="AD6" s="600"/>
      <c r="AE6" s="600"/>
      <c r="AF6" s="600"/>
      <c r="AG6" s="600"/>
      <c r="AH6" s="600"/>
      <c r="AI6" s="600"/>
      <c r="AJ6" s="600"/>
      <c r="AK6" s="600"/>
      <c r="AL6" s="600"/>
      <c r="AM6" s="600"/>
      <c r="AN6" s="598"/>
      <c r="AO6" s="598"/>
      <c r="AP6" s="598"/>
      <c r="AQ6" s="598"/>
      <c r="AR6" s="598"/>
      <c r="AS6" s="598"/>
      <c r="AT6" s="598"/>
      <c r="AU6" s="598"/>
      <c r="AV6" s="598"/>
      <c r="AW6" s="598"/>
      <c r="AX6" s="598"/>
      <c r="AY6" s="598"/>
      <c r="AZ6" s="598"/>
      <c r="BA6" s="598"/>
      <c r="BB6" s="598"/>
      <c r="BC6" s="592"/>
      <c r="BD6" s="593"/>
      <c r="BE6" s="593"/>
      <c r="BF6" s="593"/>
      <c r="BG6" s="593"/>
      <c r="BH6" s="594"/>
      <c r="BI6" s="571"/>
      <c r="BJ6" s="572"/>
      <c r="BK6" s="572"/>
      <c r="BL6" s="572"/>
      <c r="BM6" s="573"/>
      <c r="BN6" s="571"/>
      <c r="BO6" s="572"/>
      <c r="BP6" s="572"/>
      <c r="BQ6" s="572"/>
      <c r="BR6" s="573"/>
    </row>
    <row r="7" spans="1:70" x14ac:dyDescent="0.2">
      <c r="A7" s="598"/>
      <c r="B7" s="598"/>
      <c r="C7" s="598"/>
      <c r="D7" s="598"/>
      <c r="E7" s="598"/>
      <c r="F7" s="598"/>
      <c r="G7" s="598"/>
      <c r="H7" s="598"/>
      <c r="I7" s="598"/>
      <c r="J7" s="598"/>
      <c r="K7" s="598"/>
      <c r="L7" s="598"/>
      <c r="M7" s="598"/>
      <c r="N7" s="598"/>
      <c r="O7" s="598"/>
      <c r="P7" s="598"/>
      <c r="Q7" s="598"/>
      <c r="R7" s="598"/>
      <c r="S7" s="598"/>
      <c r="T7" s="600"/>
      <c r="U7" s="600"/>
      <c r="V7" s="600"/>
      <c r="W7" s="600"/>
      <c r="X7" s="600"/>
      <c r="Y7" s="600"/>
      <c r="Z7" s="600"/>
      <c r="AA7" s="600"/>
      <c r="AB7" s="600"/>
      <c r="AC7" s="600"/>
      <c r="AD7" s="600"/>
      <c r="AE7" s="600"/>
      <c r="AF7" s="600"/>
      <c r="AG7" s="600"/>
      <c r="AH7" s="600"/>
      <c r="AI7" s="600"/>
      <c r="AJ7" s="600"/>
      <c r="AK7" s="600"/>
      <c r="AL7" s="600"/>
      <c r="AM7" s="600"/>
      <c r="AN7" s="598"/>
      <c r="AO7" s="598"/>
      <c r="AP7" s="598"/>
      <c r="AQ7" s="598"/>
      <c r="AR7" s="598"/>
      <c r="AS7" s="598"/>
      <c r="AT7" s="598"/>
      <c r="AU7" s="598"/>
      <c r="AV7" s="598"/>
      <c r="AW7" s="598"/>
      <c r="AX7" s="598"/>
      <c r="AY7" s="598"/>
      <c r="AZ7" s="598"/>
      <c r="BA7" s="598"/>
      <c r="BB7" s="598"/>
      <c r="BC7" s="595"/>
      <c r="BD7" s="596"/>
      <c r="BE7" s="596"/>
      <c r="BF7" s="596"/>
      <c r="BG7" s="596"/>
      <c r="BH7" s="597"/>
      <c r="BI7" s="580"/>
      <c r="BJ7" s="581"/>
      <c r="BK7" s="581"/>
      <c r="BL7" s="581"/>
      <c r="BM7" s="582"/>
      <c r="BN7" s="580"/>
      <c r="BO7" s="581"/>
      <c r="BP7" s="581"/>
      <c r="BQ7" s="581"/>
      <c r="BR7" s="582"/>
    </row>
    <row r="8" spans="1:70" ht="13.5" customHeight="1" x14ac:dyDescent="0.2">
      <c r="A8" s="598" t="s">
        <v>310</v>
      </c>
      <c r="B8" s="598"/>
      <c r="C8" s="598"/>
      <c r="D8" s="598"/>
      <c r="E8" s="598"/>
      <c r="F8" s="598"/>
      <c r="G8" s="598"/>
      <c r="H8" s="598"/>
      <c r="I8" s="598"/>
      <c r="J8" s="598"/>
      <c r="K8" s="598"/>
      <c r="L8" s="598"/>
      <c r="M8" s="598"/>
      <c r="N8" s="598"/>
      <c r="O8" s="598"/>
      <c r="P8" s="598"/>
      <c r="Q8" s="598"/>
      <c r="R8" s="598"/>
      <c r="S8" s="598"/>
      <c r="T8" s="600" t="s">
        <v>311</v>
      </c>
      <c r="U8" s="600"/>
      <c r="V8" s="600"/>
      <c r="W8" s="600"/>
      <c r="X8" s="600"/>
      <c r="Y8" s="600"/>
      <c r="Z8" s="600"/>
      <c r="AA8" s="600"/>
      <c r="AB8" s="600"/>
      <c r="AC8" s="600"/>
      <c r="AD8" s="600"/>
      <c r="AE8" s="600"/>
      <c r="AF8" s="600"/>
      <c r="AG8" s="600"/>
      <c r="AH8" s="600"/>
      <c r="AI8" s="600"/>
      <c r="AJ8" s="600"/>
      <c r="AK8" s="600"/>
      <c r="AL8" s="600"/>
      <c r="AM8" s="600"/>
      <c r="AN8" s="600" t="s">
        <v>312</v>
      </c>
      <c r="AO8" s="600"/>
      <c r="AP8" s="600"/>
      <c r="AQ8" s="600"/>
      <c r="AR8" s="600"/>
      <c r="AS8" s="600"/>
      <c r="AT8" s="600"/>
      <c r="AU8" s="600"/>
      <c r="AV8" s="600"/>
      <c r="AW8" s="600"/>
      <c r="AX8" s="600"/>
      <c r="AY8" s="600"/>
      <c r="AZ8" s="600"/>
      <c r="BA8" s="600"/>
      <c r="BB8" s="600" t="s">
        <v>313</v>
      </c>
      <c r="BC8" s="600"/>
      <c r="BD8" s="600"/>
      <c r="BE8" s="600"/>
      <c r="BF8" s="600"/>
      <c r="BG8" s="600"/>
      <c r="BH8" s="600"/>
      <c r="BI8" s="600"/>
      <c r="BJ8" s="600"/>
      <c r="BK8" s="600"/>
      <c r="BL8" s="600"/>
      <c r="BM8" s="600"/>
      <c r="BN8" s="600"/>
      <c r="BO8" s="600"/>
      <c r="BP8" s="598" t="s">
        <v>567</v>
      </c>
      <c r="BQ8" s="598"/>
      <c r="BR8" s="598"/>
    </row>
    <row r="9" spans="1:70" ht="13.5" customHeight="1" x14ac:dyDescent="0.2">
      <c r="A9" s="598"/>
      <c r="B9" s="598"/>
      <c r="C9" s="598"/>
      <c r="D9" s="598"/>
      <c r="E9" s="598"/>
      <c r="F9" s="598"/>
      <c r="G9" s="598"/>
      <c r="H9" s="598"/>
      <c r="I9" s="598"/>
      <c r="J9" s="598"/>
      <c r="K9" s="598"/>
      <c r="L9" s="598"/>
      <c r="M9" s="598"/>
      <c r="N9" s="598"/>
      <c r="O9" s="598"/>
      <c r="P9" s="598"/>
      <c r="Q9" s="598"/>
      <c r="R9" s="598"/>
      <c r="S9" s="598"/>
      <c r="T9" s="600"/>
      <c r="U9" s="600"/>
      <c r="V9" s="600"/>
      <c r="W9" s="600"/>
      <c r="X9" s="600"/>
      <c r="Y9" s="600"/>
      <c r="Z9" s="600"/>
      <c r="AA9" s="600"/>
      <c r="AB9" s="600"/>
      <c r="AC9" s="600"/>
      <c r="AD9" s="600"/>
      <c r="AE9" s="600"/>
      <c r="AF9" s="600"/>
      <c r="AG9" s="600"/>
      <c r="AH9" s="600"/>
      <c r="AI9" s="600"/>
      <c r="AJ9" s="600"/>
      <c r="AK9" s="600"/>
      <c r="AL9" s="600"/>
      <c r="AM9" s="600"/>
      <c r="AN9" s="600" t="s">
        <v>568</v>
      </c>
      <c r="AO9" s="600"/>
      <c r="AP9" s="600"/>
      <c r="AQ9" s="600"/>
      <c r="AR9" s="600"/>
      <c r="AS9" s="600"/>
      <c r="AT9" s="600"/>
      <c r="AU9" s="598"/>
      <c r="AV9" s="598"/>
      <c r="AW9" s="598"/>
      <c r="AX9" s="598"/>
      <c r="AY9" s="598"/>
      <c r="AZ9" s="598"/>
      <c r="BA9" s="598"/>
      <c r="BB9" s="600" t="s">
        <v>315</v>
      </c>
      <c r="BC9" s="600"/>
      <c r="BD9" s="600"/>
      <c r="BE9" s="600"/>
      <c r="BF9" s="600"/>
      <c r="BG9" s="600"/>
      <c r="BH9" s="600"/>
      <c r="BI9" s="598"/>
      <c r="BJ9" s="598"/>
      <c r="BK9" s="598"/>
      <c r="BL9" s="598"/>
      <c r="BM9" s="598"/>
      <c r="BN9" s="598"/>
      <c r="BO9" s="598"/>
      <c r="BP9" s="599"/>
      <c r="BQ9" s="599"/>
      <c r="BR9" s="599"/>
    </row>
    <row r="10" spans="1:70" x14ac:dyDescent="0.2">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2">
      <c r="A11" s="574" t="s">
        <v>186</v>
      </c>
      <c r="B11" s="575"/>
      <c r="C11" s="575"/>
      <c r="D11" s="575"/>
      <c r="E11" s="575"/>
      <c r="F11" s="575"/>
      <c r="G11" s="576"/>
      <c r="H11" s="574" t="s">
        <v>569</v>
      </c>
      <c r="I11" s="575"/>
      <c r="J11" s="575"/>
      <c r="K11" s="575"/>
      <c r="L11" s="575"/>
      <c r="M11" s="575"/>
      <c r="N11" s="575"/>
      <c r="O11" s="576"/>
      <c r="P11" s="574" t="s">
        <v>187</v>
      </c>
      <c r="Q11" s="575"/>
      <c r="R11" s="575"/>
      <c r="S11" s="575"/>
      <c r="T11" s="575"/>
      <c r="U11" s="575"/>
      <c r="V11" s="576"/>
      <c r="W11" s="574" t="s">
        <v>188</v>
      </c>
      <c r="X11" s="575"/>
      <c r="Y11" s="575"/>
      <c r="Z11" s="575"/>
      <c r="AA11" s="575"/>
      <c r="AB11" s="575"/>
      <c r="AC11" s="575"/>
      <c r="AD11" s="575"/>
      <c r="AE11" s="575"/>
      <c r="AF11" s="575"/>
      <c r="AG11" s="575"/>
      <c r="AH11" s="575"/>
      <c r="AI11" s="575"/>
      <c r="AJ11" s="575"/>
      <c r="AK11" s="575"/>
      <c r="AL11" s="575"/>
      <c r="AM11" s="576"/>
      <c r="AN11" s="574" t="s">
        <v>189</v>
      </c>
      <c r="AO11" s="575"/>
      <c r="AP11" s="575"/>
      <c r="AQ11" s="575"/>
      <c r="AR11" s="575"/>
      <c r="AS11" s="575"/>
      <c r="AT11" s="576"/>
      <c r="AU11" s="574" t="s">
        <v>190</v>
      </c>
      <c r="AV11" s="575"/>
      <c r="AW11" s="575"/>
      <c r="AX11" s="575"/>
      <c r="AY11" s="575"/>
      <c r="AZ11" s="575"/>
      <c r="BA11" s="576"/>
      <c r="BB11" s="574" t="s">
        <v>191</v>
      </c>
      <c r="BC11" s="575"/>
      <c r="BD11" s="575"/>
      <c r="BE11" s="575"/>
      <c r="BF11" s="575"/>
      <c r="BG11" s="575"/>
      <c r="BH11" s="576"/>
      <c r="BI11" s="574" t="s">
        <v>192</v>
      </c>
      <c r="BJ11" s="575"/>
      <c r="BK11" s="575"/>
      <c r="BL11" s="575"/>
      <c r="BM11" s="575"/>
      <c r="BN11" s="575"/>
      <c r="BO11" s="575"/>
      <c r="BP11" s="575"/>
      <c r="BQ11" s="575"/>
      <c r="BR11" s="576"/>
    </row>
    <row r="12" spans="1:70" x14ac:dyDescent="0.2">
      <c r="A12" s="577"/>
      <c r="B12" s="578"/>
      <c r="C12" s="578"/>
      <c r="D12" s="578"/>
      <c r="E12" s="578"/>
      <c r="F12" s="578"/>
      <c r="G12" s="579"/>
      <c r="H12" s="577"/>
      <c r="I12" s="578"/>
      <c r="J12" s="578"/>
      <c r="K12" s="578"/>
      <c r="L12" s="578"/>
      <c r="M12" s="578"/>
      <c r="N12" s="578"/>
      <c r="O12" s="579"/>
      <c r="P12" s="577"/>
      <c r="Q12" s="578"/>
      <c r="R12" s="578"/>
      <c r="S12" s="578"/>
      <c r="T12" s="578"/>
      <c r="U12" s="578"/>
      <c r="V12" s="579"/>
      <c r="W12" s="577"/>
      <c r="X12" s="578"/>
      <c r="Y12" s="578"/>
      <c r="Z12" s="578"/>
      <c r="AA12" s="578"/>
      <c r="AB12" s="578"/>
      <c r="AC12" s="578"/>
      <c r="AD12" s="578"/>
      <c r="AE12" s="578"/>
      <c r="AF12" s="578"/>
      <c r="AG12" s="578"/>
      <c r="AH12" s="578"/>
      <c r="AI12" s="578"/>
      <c r="AJ12" s="578"/>
      <c r="AK12" s="578"/>
      <c r="AL12" s="578"/>
      <c r="AM12" s="579"/>
      <c r="AN12" s="577"/>
      <c r="AO12" s="578"/>
      <c r="AP12" s="578"/>
      <c r="AQ12" s="578"/>
      <c r="AR12" s="578"/>
      <c r="AS12" s="578"/>
      <c r="AT12" s="579"/>
      <c r="AU12" s="577"/>
      <c r="AV12" s="578"/>
      <c r="AW12" s="578"/>
      <c r="AX12" s="578"/>
      <c r="AY12" s="578"/>
      <c r="AZ12" s="578"/>
      <c r="BA12" s="579"/>
      <c r="BB12" s="577"/>
      <c r="BC12" s="578"/>
      <c r="BD12" s="578"/>
      <c r="BE12" s="578"/>
      <c r="BF12" s="578"/>
      <c r="BG12" s="578"/>
      <c r="BH12" s="579"/>
      <c r="BI12" s="577"/>
      <c r="BJ12" s="578"/>
      <c r="BK12" s="578"/>
      <c r="BL12" s="578"/>
      <c r="BM12" s="578"/>
      <c r="BN12" s="578"/>
      <c r="BO12" s="578"/>
      <c r="BP12" s="578"/>
      <c r="BQ12" s="578"/>
      <c r="BR12" s="579"/>
    </row>
    <row r="13" spans="1:70" x14ac:dyDescent="0.2">
      <c r="A13" s="553" t="s">
        <v>570</v>
      </c>
      <c r="B13" s="554"/>
      <c r="C13" s="554"/>
      <c r="D13" s="554"/>
      <c r="E13" s="554"/>
      <c r="F13" s="554"/>
      <c r="G13" s="555"/>
      <c r="H13" s="553" t="s">
        <v>571</v>
      </c>
      <c r="I13" s="554"/>
      <c r="J13" s="554"/>
      <c r="K13" s="554"/>
      <c r="L13" s="554"/>
      <c r="M13" s="554"/>
      <c r="N13" s="554"/>
      <c r="O13" s="555"/>
      <c r="P13" s="553" t="s">
        <v>572</v>
      </c>
      <c r="Q13" s="554"/>
      <c r="R13" s="554"/>
      <c r="S13" s="554"/>
      <c r="T13" s="554"/>
      <c r="U13" s="554"/>
      <c r="V13" s="555"/>
      <c r="W13" s="553" t="s">
        <v>573</v>
      </c>
      <c r="X13" s="554"/>
      <c r="Y13" s="554"/>
      <c r="Z13" s="554"/>
      <c r="AA13" s="554"/>
      <c r="AB13" s="554"/>
      <c r="AC13" s="554"/>
      <c r="AD13" s="554"/>
      <c r="AE13" s="554"/>
      <c r="AF13" s="554"/>
      <c r="AG13" s="554"/>
      <c r="AH13" s="554"/>
      <c r="AI13" s="554"/>
      <c r="AJ13" s="554"/>
      <c r="AK13" s="554"/>
      <c r="AL13" s="554"/>
      <c r="AM13" s="555"/>
      <c r="AN13" s="562"/>
      <c r="AO13" s="563"/>
      <c r="AP13" s="563"/>
      <c r="AQ13" s="563"/>
      <c r="AR13" s="563"/>
      <c r="AS13" s="563"/>
      <c r="AT13" s="564"/>
      <c r="AU13" s="562"/>
      <c r="AV13" s="563"/>
      <c r="AW13" s="563"/>
      <c r="AX13" s="563"/>
      <c r="AY13" s="563"/>
      <c r="AZ13" s="563"/>
      <c r="BA13" s="564"/>
      <c r="BB13" s="568"/>
      <c r="BC13" s="569"/>
      <c r="BD13" s="569"/>
      <c r="BE13" s="569"/>
      <c r="BF13" s="569"/>
      <c r="BG13" s="569"/>
      <c r="BH13" s="570"/>
      <c r="BI13" s="553" t="s">
        <v>574</v>
      </c>
      <c r="BJ13" s="554"/>
      <c r="BK13" s="554"/>
      <c r="BL13" s="554"/>
      <c r="BM13" s="554"/>
      <c r="BN13" s="554"/>
      <c r="BO13" s="554"/>
      <c r="BP13" s="554"/>
      <c r="BQ13" s="554"/>
      <c r="BR13" s="555"/>
    </row>
    <row r="14" spans="1:70" x14ac:dyDescent="0.2">
      <c r="A14" s="556"/>
      <c r="B14" s="557"/>
      <c r="C14" s="557"/>
      <c r="D14" s="557"/>
      <c r="E14" s="557"/>
      <c r="F14" s="557"/>
      <c r="G14" s="558"/>
      <c r="H14" s="556"/>
      <c r="I14" s="557"/>
      <c r="J14" s="557"/>
      <c r="K14" s="557"/>
      <c r="L14" s="557"/>
      <c r="M14" s="557"/>
      <c r="N14" s="557"/>
      <c r="O14" s="558"/>
      <c r="P14" s="559"/>
      <c r="Q14" s="560"/>
      <c r="R14" s="560"/>
      <c r="S14" s="560"/>
      <c r="T14" s="560"/>
      <c r="U14" s="560"/>
      <c r="V14" s="561"/>
      <c r="W14" s="559"/>
      <c r="X14" s="560"/>
      <c r="Y14" s="560"/>
      <c r="Z14" s="560"/>
      <c r="AA14" s="560"/>
      <c r="AB14" s="560"/>
      <c r="AC14" s="560"/>
      <c r="AD14" s="560"/>
      <c r="AE14" s="560"/>
      <c r="AF14" s="560"/>
      <c r="AG14" s="560"/>
      <c r="AH14" s="560"/>
      <c r="AI14" s="560"/>
      <c r="AJ14" s="560"/>
      <c r="AK14" s="560"/>
      <c r="AL14" s="560"/>
      <c r="AM14" s="561"/>
      <c r="AN14" s="565"/>
      <c r="AO14" s="566"/>
      <c r="AP14" s="566"/>
      <c r="AQ14" s="566"/>
      <c r="AR14" s="566"/>
      <c r="AS14" s="566"/>
      <c r="AT14" s="567"/>
      <c r="AU14" s="565"/>
      <c r="AV14" s="566"/>
      <c r="AW14" s="566"/>
      <c r="AX14" s="566"/>
      <c r="AY14" s="566"/>
      <c r="AZ14" s="566"/>
      <c r="BA14" s="567"/>
      <c r="BB14" s="571"/>
      <c r="BC14" s="572"/>
      <c r="BD14" s="572"/>
      <c r="BE14" s="572"/>
      <c r="BF14" s="572"/>
      <c r="BG14" s="572"/>
      <c r="BH14" s="573"/>
      <c r="BI14" s="559"/>
      <c r="BJ14" s="560"/>
      <c r="BK14" s="560"/>
      <c r="BL14" s="560"/>
      <c r="BM14" s="560"/>
      <c r="BN14" s="560"/>
      <c r="BO14" s="560"/>
      <c r="BP14" s="560"/>
      <c r="BQ14" s="560"/>
      <c r="BR14" s="561"/>
    </row>
    <row r="15" spans="1:70" x14ac:dyDescent="0.2">
      <c r="A15" s="556"/>
      <c r="B15" s="557"/>
      <c r="C15" s="557"/>
      <c r="D15" s="557"/>
      <c r="E15" s="557"/>
      <c r="F15" s="557"/>
      <c r="G15" s="558"/>
      <c r="H15" s="556"/>
      <c r="I15" s="557"/>
      <c r="J15" s="557"/>
      <c r="K15" s="557"/>
      <c r="L15" s="557"/>
      <c r="M15" s="557"/>
      <c r="N15" s="557"/>
      <c r="O15" s="558"/>
      <c r="P15" s="553" t="s">
        <v>575</v>
      </c>
      <c r="Q15" s="554"/>
      <c r="R15" s="554"/>
      <c r="S15" s="554"/>
      <c r="T15" s="554"/>
      <c r="U15" s="554"/>
      <c r="V15" s="555"/>
      <c r="W15" s="553" t="s">
        <v>576</v>
      </c>
      <c r="X15" s="554"/>
      <c r="Y15" s="554"/>
      <c r="Z15" s="554"/>
      <c r="AA15" s="554"/>
      <c r="AB15" s="554"/>
      <c r="AC15" s="554"/>
      <c r="AD15" s="554"/>
      <c r="AE15" s="554"/>
      <c r="AF15" s="554"/>
      <c r="AG15" s="554"/>
      <c r="AH15" s="554"/>
      <c r="AI15" s="554"/>
      <c r="AJ15" s="554"/>
      <c r="AK15" s="554"/>
      <c r="AL15" s="554"/>
      <c r="AM15" s="555"/>
      <c r="AN15" s="562"/>
      <c r="AO15" s="563"/>
      <c r="AP15" s="563"/>
      <c r="AQ15" s="563"/>
      <c r="AR15" s="563"/>
      <c r="AS15" s="563"/>
      <c r="AT15" s="564"/>
      <c r="AU15" s="562"/>
      <c r="AV15" s="563"/>
      <c r="AW15" s="563"/>
      <c r="AX15" s="563"/>
      <c r="AY15" s="563"/>
      <c r="AZ15" s="563"/>
      <c r="BA15" s="564"/>
      <c r="BB15" s="568"/>
      <c r="BC15" s="569"/>
      <c r="BD15" s="569"/>
      <c r="BE15" s="569"/>
      <c r="BF15" s="569"/>
      <c r="BG15" s="569"/>
      <c r="BH15" s="570"/>
      <c r="BI15" s="553" t="s">
        <v>574</v>
      </c>
      <c r="BJ15" s="554"/>
      <c r="BK15" s="554"/>
      <c r="BL15" s="554"/>
      <c r="BM15" s="554"/>
      <c r="BN15" s="554"/>
      <c r="BO15" s="554"/>
      <c r="BP15" s="554"/>
      <c r="BQ15" s="554"/>
      <c r="BR15" s="555"/>
    </row>
    <row r="16" spans="1:70" x14ac:dyDescent="0.2">
      <c r="A16" s="559"/>
      <c r="B16" s="560"/>
      <c r="C16" s="560"/>
      <c r="D16" s="560"/>
      <c r="E16" s="560"/>
      <c r="F16" s="560"/>
      <c r="G16" s="561"/>
      <c r="H16" s="559"/>
      <c r="I16" s="560"/>
      <c r="J16" s="560"/>
      <c r="K16" s="560"/>
      <c r="L16" s="560"/>
      <c r="M16" s="560"/>
      <c r="N16" s="560"/>
      <c r="O16" s="561"/>
      <c r="P16" s="559"/>
      <c r="Q16" s="560"/>
      <c r="R16" s="560"/>
      <c r="S16" s="560"/>
      <c r="T16" s="560"/>
      <c r="U16" s="560"/>
      <c r="V16" s="561"/>
      <c r="W16" s="559"/>
      <c r="X16" s="560"/>
      <c r="Y16" s="560"/>
      <c r="Z16" s="560"/>
      <c r="AA16" s="560"/>
      <c r="AB16" s="560"/>
      <c r="AC16" s="560"/>
      <c r="AD16" s="560"/>
      <c r="AE16" s="560"/>
      <c r="AF16" s="560"/>
      <c r="AG16" s="560"/>
      <c r="AH16" s="560"/>
      <c r="AI16" s="560"/>
      <c r="AJ16" s="560"/>
      <c r="AK16" s="560"/>
      <c r="AL16" s="560"/>
      <c r="AM16" s="561"/>
      <c r="AN16" s="565"/>
      <c r="AO16" s="566"/>
      <c r="AP16" s="566"/>
      <c r="AQ16" s="566"/>
      <c r="AR16" s="566"/>
      <c r="AS16" s="566"/>
      <c r="AT16" s="567"/>
      <c r="AU16" s="565"/>
      <c r="AV16" s="566"/>
      <c r="AW16" s="566"/>
      <c r="AX16" s="566"/>
      <c r="AY16" s="566"/>
      <c r="AZ16" s="566"/>
      <c r="BA16" s="567"/>
      <c r="BB16" s="571"/>
      <c r="BC16" s="572"/>
      <c r="BD16" s="572"/>
      <c r="BE16" s="572"/>
      <c r="BF16" s="572"/>
      <c r="BG16" s="572"/>
      <c r="BH16" s="573"/>
      <c r="BI16" s="559"/>
      <c r="BJ16" s="560"/>
      <c r="BK16" s="560"/>
      <c r="BL16" s="560"/>
      <c r="BM16" s="560"/>
      <c r="BN16" s="560"/>
      <c r="BO16" s="560"/>
      <c r="BP16" s="560"/>
      <c r="BQ16" s="560"/>
      <c r="BR16" s="561"/>
    </row>
    <row r="17" spans="1:70" x14ac:dyDescent="0.2">
      <c r="A17" s="553" t="s">
        <v>577</v>
      </c>
      <c r="B17" s="554"/>
      <c r="C17" s="554"/>
      <c r="D17" s="554"/>
      <c r="E17" s="554"/>
      <c r="F17" s="554"/>
      <c r="G17" s="555"/>
      <c r="H17" s="553" t="s">
        <v>193</v>
      </c>
      <c r="I17" s="554"/>
      <c r="J17" s="554"/>
      <c r="K17" s="554"/>
      <c r="L17" s="554"/>
      <c r="M17" s="554"/>
      <c r="N17" s="554"/>
      <c r="O17" s="555"/>
      <c r="P17" s="553" t="s">
        <v>572</v>
      </c>
      <c r="Q17" s="554"/>
      <c r="R17" s="554"/>
      <c r="S17" s="554"/>
      <c r="T17" s="554"/>
      <c r="U17" s="554"/>
      <c r="V17" s="555"/>
      <c r="W17" s="553" t="s">
        <v>194</v>
      </c>
      <c r="X17" s="554"/>
      <c r="Y17" s="554"/>
      <c r="Z17" s="554"/>
      <c r="AA17" s="554"/>
      <c r="AB17" s="554"/>
      <c r="AC17" s="554"/>
      <c r="AD17" s="554"/>
      <c r="AE17" s="554"/>
      <c r="AF17" s="554"/>
      <c r="AG17" s="554"/>
      <c r="AH17" s="554"/>
      <c r="AI17" s="554"/>
      <c r="AJ17" s="554"/>
      <c r="AK17" s="554"/>
      <c r="AL17" s="554"/>
      <c r="AM17" s="555"/>
      <c r="AN17" s="562">
        <v>6.4000000000000001E-2</v>
      </c>
      <c r="AO17" s="563"/>
      <c r="AP17" s="563"/>
      <c r="AQ17" s="563"/>
      <c r="AR17" s="563"/>
      <c r="AS17" s="563"/>
      <c r="AT17" s="564"/>
      <c r="AU17" s="562">
        <v>0.55000000000000004</v>
      </c>
      <c r="AV17" s="563"/>
      <c r="AW17" s="563"/>
      <c r="AX17" s="563"/>
      <c r="AY17" s="563"/>
      <c r="AZ17" s="563"/>
      <c r="BA17" s="564"/>
      <c r="BB17" s="568" t="s">
        <v>562</v>
      </c>
      <c r="BC17" s="569"/>
      <c r="BD17" s="569"/>
      <c r="BE17" s="569"/>
      <c r="BF17" s="569"/>
      <c r="BG17" s="569"/>
      <c r="BH17" s="570"/>
      <c r="BI17" s="553" t="s">
        <v>574</v>
      </c>
      <c r="BJ17" s="554"/>
      <c r="BK17" s="554"/>
      <c r="BL17" s="554"/>
      <c r="BM17" s="554"/>
      <c r="BN17" s="554"/>
      <c r="BO17" s="554"/>
      <c r="BP17" s="554"/>
      <c r="BQ17" s="554"/>
      <c r="BR17" s="555"/>
    </row>
    <row r="18" spans="1:70" x14ac:dyDescent="0.2">
      <c r="A18" s="556"/>
      <c r="B18" s="557"/>
      <c r="C18" s="557"/>
      <c r="D18" s="557"/>
      <c r="E18" s="557"/>
      <c r="F18" s="557"/>
      <c r="G18" s="558"/>
      <c r="H18" s="556"/>
      <c r="I18" s="557"/>
      <c r="J18" s="557"/>
      <c r="K18" s="557"/>
      <c r="L18" s="557"/>
      <c r="M18" s="557"/>
      <c r="N18" s="557"/>
      <c r="O18" s="558"/>
      <c r="P18" s="559"/>
      <c r="Q18" s="560"/>
      <c r="R18" s="560"/>
      <c r="S18" s="560"/>
      <c r="T18" s="560"/>
      <c r="U18" s="560"/>
      <c r="V18" s="561"/>
      <c r="W18" s="559"/>
      <c r="X18" s="560"/>
      <c r="Y18" s="560"/>
      <c r="Z18" s="560"/>
      <c r="AA18" s="560"/>
      <c r="AB18" s="560"/>
      <c r="AC18" s="560"/>
      <c r="AD18" s="560"/>
      <c r="AE18" s="560"/>
      <c r="AF18" s="560"/>
      <c r="AG18" s="560"/>
      <c r="AH18" s="560"/>
      <c r="AI18" s="560"/>
      <c r="AJ18" s="560"/>
      <c r="AK18" s="560"/>
      <c r="AL18" s="560"/>
      <c r="AM18" s="561"/>
      <c r="AN18" s="565"/>
      <c r="AO18" s="566"/>
      <c r="AP18" s="566"/>
      <c r="AQ18" s="566"/>
      <c r="AR18" s="566"/>
      <c r="AS18" s="566"/>
      <c r="AT18" s="567"/>
      <c r="AU18" s="565"/>
      <c r="AV18" s="566"/>
      <c r="AW18" s="566"/>
      <c r="AX18" s="566"/>
      <c r="AY18" s="566"/>
      <c r="AZ18" s="566"/>
      <c r="BA18" s="567"/>
      <c r="BB18" s="571"/>
      <c r="BC18" s="572"/>
      <c r="BD18" s="572"/>
      <c r="BE18" s="572"/>
      <c r="BF18" s="572"/>
      <c r="BG18" s="572"/>
      <c r="BH18" s="573"/>
      <c r="BI18" s="559"/>
      <c r="BJ18" s="560"/>
      <c r="BK18" s="560"/>
      <c r="BL18" s="560"/>
      <c r="BM18" s="560"/>
      <c r="BN18" s="560"/>
      <c r="BO18" s="560"/>
      <c r="BP18" s="560"/>
      <c r="BQ18" s="560"/>
      <c r="BR18" s="561"/>
    </row>
    <row r="19" spans="1:70" x14ac:dyDescent="0.2">
      <c r="A19" s="556"/>
      <c r="B19" s="557"/>
      <c r="C19" s="557"/>
      <c r="D19" s="557"/>
      <c r="E19" s="557"/>
      <c r="F19" s="557"/>
      <c r="G19" s="558"/>
      <c r="H19" s="556"/>
      <c r="I19" s="557"/>
      <c r="J19" s="557"/>
      <c r="K19" s="557"/>
      <c r="L19" s="557"/>
      <c r="M19" s="557"/>
      <c r="N19" s="557"/>
      <c r="O19" s="558"/>
      <c r="P19" s="553" t="s">
        <v>575</v>
      </c>
      <c r="Q19" s="554"/>
      <c r="R19" s="554"/>
      <c r="S19" s="554"/>
      <c r="T19" s="554"/>
      <c r="U19" s="554"/>
      <c r="V19" s="555"/>
      <c r="W19" s="553" t="s">
        <v>576</v>
      </c>
      <c r="X19" s="554"/>
      <c r="Y19" s="554"/>
      <c r="Z19" s="554"/>
      <c r="AA19" s="554"/>
      <c r="AB19" s="554"/>
      <c r="AC19" s="554"/>
      <c r="AD19" s="554"/>
      <c r="AE19" s="554"/>
      <c r="AF19" s="554"/>
      <c r="AG19" s="554"/>
      <c r="AH19" s="554"/>
      <c r="AI19" s="554"/>
      <c r="AJ19" s="554"/>
      <c r="AK19" s="554"/>
      <c r="AL19" s="554"/>
      <c r="AM19" s="555"/>
      <c r="AN19" s="562">
        <v>8.7999999999999995E-2</v>
      </c>
      <c r="AO19" s="563"/>
      <c r="AP19" s="563"/>
      <c r="AQ19" s="563"/>
      <c r="AR19" s="563"/>
      <c r="AS19" s="563"/>
      <c r="AT19" s="564"/>
      <c r="AU19" s="562">
        <v>0.48899999999999999</v>
      </c>
      <c r="AV19" s="563"/>
      <c r="AW19" s="563"/>
      <c r="AX19" s="563"/>
      <c r="AY19" s="563"/>
      <c r="AZ19" s="563"/>
      <c r="BA19" s="564"/>
      <c r="BB19" s="568" t="s">
        <v>562</v>
      </c>
      <c r="BC19" s="569"/>
      <c r="BD19" s="569"/>
      <c r="BE19" s="569"/>
      <c r="BF19" s="569"/>
      <c r="BG19" s="569"/>
      <c r="BH19" s="570"/>
      <c r="BI19" s="553" t="s">
        <v>574</v>
      </c>
      <c r="BJ19" s="554"/>
      <c r="BK19" s="554"/>
      <c r="BL19" s="554"/>
      <c r="BM19" s="554"/>
      <c r="BN19" s="554"/>
      <c r="BO19" s="554"/>
      <c r="BP19" s="554"/>
      <c r="BQ19" s="554"/>
      <c r="BR19" s="555"/>
    </row>
    <row r="20" spans="1:70" x14ac:dyDescent="0.2">
      <c r="A20" s="559"/>
      <c r="B20" s="560"/>
      <c r="C20" s="560"/>
      <c r="D20" s="560"/>
      <c r="E20" s="560"/>
      <c r="F20" s="560"/>
      <c r="G20" s="561"/>
      <c r="H20" s="559"/>
      <c r="I20" s="560"/>
      <c r="J20" s="560"/>
      <c r="K20" s="560"/>
      <c r="L20" s="560"/>
      <c r="M20" s="560"/>
      <c r="N20" s="560"/>
      <c r="O20" s="561"/>
      <c r="P20" s="559"/>
      <c r="Q20" s="560"/>
      <c r="R20" s="560"/>
      <c r="S20" s="560"/>
      <c r="T20" s="560"/>
      <c r="U20" s="560"/>
      <c r="V20" s="561"/>
      <c r="W20" s="559"/>
      <c r="X20" s="560"/>
      <c r="Y20" s="560"/>
      <c r="Z20" s="560"/>
      <c r="AA20" s="560"/>
      <c r="AB20" s="560"/>
      <c r="AC20" s="560"/>
      <c r="AD20" s="560"/>
      <c r="AE20" s="560"/>
      <c r="AF20" s="560"/>
      <c r="AG20" s="560"/>
      <c r="AH20" s="560"/>
      <c r="AI20" s="560"/>
      <c r="AJ20" s="560"/>
      <c r="AK20" s="560"/>
      <c r="AL20" s="560"/>
      <c r="AM20" s="561"/>
      <c r="AN20" s="565"/>
      <c r="AO20" s="566"/>
      <c r="AP20" s="566"/>
      <c r="AQ20" s="566"/>
      <c r="AR20" s="566"/>
      <c r="AS20" s="566"/>
      <c r="AT20" s="567"/>
      <c r="AU20" s="565"/>
      <c r="AV20" s="566"/>
      <c r="AW20" s="566"/>
      <c r="AX20" s="566"/>
      <c r="AY20" s="566"/>
      <c r="AZ20" s="566"/>
      <c r="BA20" s="567"/>
      <c r="BB20" s="571"/>
      <c r="BC20" s="572"/>
      <c r="BD20" s="572"/>
      <c r="BE20" s="572"/>
      <c r="BF20" s="572"/>
      <c r="BG20" s="572"/>
      <c r="BH20" s="573"/>
      <c r="BI20" s="559"/>
      <c r="BJ20" s="560"/>
      <c r="BK20" s="560"/>
      <c r="BL20" s="560"/>
      <c r="BM20" s="560"/>
      <c r="BN20" s="560"/>
      <c r="BO20" s="560"/>
      <c r="BP20" s="560"/>
      <c r="BQ20" s="560"/>
      <c r="BR20" s="561"/>
    </row>
    <row r="21" spans="1:70" x14ac:dyDescent="0.2">
      <c r="A21" s="553" t="s">
        <v>578</v>
      </c>
      <c r="B21" s="554"/>
      <c r="C21" s="554"/>
      <c r="D21" s="554"/>
      <c r="E21" s="554"/>
      <c r="F21" s="554"/>
      <c r="G21" s="555"/>
      <c r="H21" s="553" t="s">
        <v>195</v>
      </c>
      <c r="I21" s="554"/>
      <c r="J21" s="554"/>
      <c r="K21" s="554"/>
      <c r="L21" s="554"/>
      <c r="M21" s="554"/>
      <c r="N21" s="554"/>
      <c r="O21" s="555"/>
      <c r="P21" s="553" t="s">
        <v>572</v>
      </c>
      <c r="Q21" s="554"/>
      <c r="R21" s="554"/>
      <c r="S21" s="554"/>
      <c r="T21" s="554"/>
      <c r="U21" s="554"/>
      <c r="V21" s="555"/>
      <c r="W21" s="553" t="s">
        <v>196</v>
      </c>
      <c r="X21" s="554"/>
      <c r="Y21" s="554"/>
      <c r="Z21" s="554"/>
      <c r="AA21" s="554"/>
      <c r="AB21" s="554"/>
      <c r="AC21" s="554"/>
      <c r="AD21" s="554"/>
      <c r="AE21" s="554"/>
      <c r="AF21" s="554"/>
      <c r="AG21" s="554"/>
      <c r="AH21" s="554"/>
      <c r="AI21" s="554"/>
      <c r="AJ21" s="554"/>
      <c r="AK21" s="554"/>
      <c r="AL21" s="554"/>
      <c r="AM21" s="555"/>
      <c r="AN21" s="562"/>
      <c r="AO21" s="563"/>
      <c r="AP21" s="563"/>
      <c r="AQ21" s="563"/>
      <c r="AR21" s="563"/>
      <c r="AS21" s="563"/>
      <c r="AT21" s="564"/>
      <c r="AU21" s="562"/>
      <c r="AV21" s="563"/>
      <c r="AW21" s="563"/>
      <c r="AX21" s="563"/>
      <c r="AY21" s="563"/>
      <c r="AZ21" s="563"/>
      <c r="BA21" s="564"/>
      <c r="BB21" s="568" t="s">
        <v>562</v>
      </c>
      <c r="BC21" s="569"/>
      <c r="BD21" s="569"/>
      <c r="BE21" s="569"/>
      <c r="BF21" s="569"/>
      <c r="BG21" s="569"/>
      <c r="BH21" s="570"/>
      <c r="BI21" s="553" t="s">
        <v>574</v>
      </c>
      <c r="BJ21" s="554"/>
      <c r="BK21" s="554"/>
      <c r="BL21" s="554"/>
      <c r="BM21" s="554"/>
      <c r="BN21" s="554"/>
      <c r="BO21" s="554"/>
      <c r="BP21" s="554"/>
      <c r="BQ21" s="554"/>
      <c r="BR21" s="555"/>
    </row>
    <row r="22" spans="1:70" x14ac:dyDescent="0.2">
      <c r="A22" s="556"/>
      <c r="B22" s="557"/>
      <c r="C22" s="557"/>
      <c r="D22" s="557"/>
      <c r="E22" s="557"/>
      <c r="F22" s="557"/>
      <c r="G22" s="558"/>
      <c r="H22" s="556"/>
      <c r="I22" s="557"/>
      <c r="J22" s="557"/>
      <c r="K22" s="557"/>
      <c r="L22" s="557"/>
      <c r="M22" s="557"/>
      <c r="N22" s="557"/>
      <c r="O22" s="558"/>
      <c r="P22" s="559"/>
      <c r="Q22" s="560"/>
      <c r="R22" s="560"/>
      <c r="S22" s="560"/>
      <c r="T22" s="560"/>
      <c r="U22" s="560"/>
      <c r="V22" s="561"/>
      <c r="W22" s="559"/>
      <c r="X22" s="560"/>
      <c r="Y22" s="560"/>
      <c r="Z22" s="560"/>
      <c r="AA22" s="560"/>
      <c r="AB22" s="560"/>
      <c r="AC22" s="560"/>
      <c r="AD22" s="560"/>
      <c r="AE22" s="560"/>
      <c r="AF22" s="560"/>
      <c r="AG22" s="560"/>
      <c r="AH22" s="560"/>
      <c r="AI22" s="560"/>
      <c r="AJ22" s="560"/>
      <c r="AK22" s="560"/>
      <c r="AL22" s="560"/>
      <c r="AM22" s="561"/>
      <c r="AN22" s="565"/>
      <c r="AO22" s="566"/>
      <c r="AP22" s="566"/>
      <c r="AQ22" s="566"/>
      <c r="AR22" s="566"/>
      <c r="AS22" s="566"/>
      <c r="AT22" s="567"/>
      <c r="AU22" s="565"/>
      <c r="AV22" s="566"/>
      <c r="AW22" s="566"/>
      <c r="AX22" s="566"/>
      <c r="AY22" s="566"/>
      <c r="AZ22" s="566"/>
      <c r="BA22" s="567"/>
      <c r="BB22" s="571"/>
      <c r="BC22" s="572"/>
      <c r="BD22" s="572"/>
      <c r="BE22" s="572"/>
      <c r="BF22" s="572"/>
      <c r="BG22" s="572"/>
      <c r="BH22" s="573"/>
      <c r="BI22" s="559"/>
      <c r="BJ22" s="560"/>
      <c r="BK22" s="560"/>
      <c r="BL22" s="560"/>
      <c r="BM22" s="560"/>
      <c r="BN22" s="560"/>
      <c r="BO22" s="560"/>
      <c r="BP22" s="560"/>
      <c r="BQ22" s="560"/>
      <c r="BR22" s="561"/>
    </row>
    <row r="23" spans="1:70" x14ac:dyDescent="0.2">
      <c r="A23" s="556"/>
      <c r="B23" s="557"/>
      <c r="C23" s="557"/>
      <c r="D23" s="557"/>
      <c r="E23" s="557"/>
      <c r="F23" s="557"/>
      <c r="G23" s="558"/>
      <c r="H23" s="556"/>
      <c r="I23" s="557"/>
      <c r="J23" s="557"/>
      <c r="K23" s="557"/>
      <c r="L23" s="557"/>
      <c r="M23" s="557"/>
      <c r="N23" s="557"/>
      <c r="O23" s="558"/>
      <c r="P23" s="553" t="s">
        <v>575</v>
      </c>
      <c r="Q23" s="554"/>
      <c r="R23" s="554"/>
      <c r="S23" s="554"/>
      <c r="T23" s="554"/>
      <c r="U23" s="554"/>
      <c r="V23" s="555"/>
      <c r="W23" s="553" t="s">
        <v>576</v>
      </c>
      <c r="X23" s="554"/>
      <c r="Y23" s="554"/>
      <c r="Z23" s="554"/>
      <c r="AA23" s="554"/>
      <c r="AB23" s="554"/>
      <c r="AC23" s="554"/>
      <c r="AD23" s="554"/>
      <c r="AE23" s="554"/>
      <c r="AF23" s="554"/>
      <c r="AG23" s="554"/>
      <c r="AH23" s="554"/>
      <c r="AI23" s="554"/>
      <c r="AJ23" s="554"/>
      <c r="AK23" s="554"/>
      <c r="AL23" s="554"/>
      <c r="AM23" s="555"/>
      <c r="AN23" s="562"/>
      <c r="AO23" s="563"/>
      <c r="AP23" s="563"/>
      <c r="AQ23" s="563"/>
      <c r="AR23" s="563"/>
      <c r="AS23" s="563"/>
      <c r="AT23" s="564"/>
      <c r="AU23" s="562"/>
      <c r="AV23" s="563"/>
      <c r="AW23" s="563"/>
      <c r="AX23" s="563"/>
      <c r="AY23" s="563"/>
      <c r="AZ23" s="563"/>
      <c r="BA23" s="564"/>
      <c r="BB23" s="568" t="s">
        <v>562</v>
      </c>
      <c r="BC23" s="569"/>
      <c r="BD23" s="569"/>
      <c r="BE23" s="569"/>
      <c r="BF23" s="569"/>
      <c r="BG23" s="569"/>
      <c r="BH23" s="570"/>
      <c r="BI23" s="553" t="s">
        <v>574</v>
      </c>
      <c r="BJ23" s="554"/>
      <c r="BK23" s="554"/>
      <c r="BL23" s="554"/>
      <c r="BM23" s="554"/>
      <c r="BN23" s="554"/>
      <c r="BO23" s="554"/>
      <c r="BP23" s="554"/>
      <c r="BQ23" s="554"/>
      <c r="BR23" s="555"/>
    </row>
    <row r="24" spans="1:70" x14ac:dyDescent="0.2">
      <c r="A24" s="559"/>
      <c r="B24" s="560"/>
      <c r="C24" s="560"/>
      <c r="D24" s="560"/>
      <c r="E24" s="560"/>
      <c r="F24" s="560"/>
      <c r="G24" s="561"/>
      <c r="H24" s="559"/>
      <c r="I24" s="560"/>
      <c r="J24" s="560"/>
      <c r="K24" s="560"/>
      <c r="L24" s="560"/>
      <c r="M24" s="560"/>
      <c r="N24" s="560"/>
      <c r="O24" s="561"/>
      <c r="P24" s="559"/>
      <c r="Q24" s="560"/>
      <c r="R24" s="560"/>
      <c r="S24" s="560"/>
      <c r="T24" s="560"/>
      <c r="U24" s="560"/>
      <c r="V24" s="561"/>
      <c r="W24" s="559"/>
      <c r="X24" s="560"/>
      <c r="Y24" s="560"/>
      <c r="Z24" s="560"/>
      <c r="AA24" s="560"/>
      <c r="AB24" s="560"/>
      <c r="AC24" s="560"/>
      <c r="AD24" s="560"/>
      <c r="AE24" s="560"/>
      <c r="AF24" s="560"/>
      <c r="AG24" s="560"/>
      <c r="AH24" s="560"/>
      <c r="AI24" s="560"/>
      <c r="AJ24" s="560"/>
      <c r="AK24" s="560"/>
      <c r="AL24" s="560"/>
      <c r="AM24" s="561"/>
      <c r="AN24" s="565"/>
      <c r="AO24" s="566"/>
      <c r="AP24" s="566"/>
      <c r="AQ24" s="566"/>
      <c r="AR24" s="566"/>
      <c r="AS24" s="566"/>
      <c r="AT24" s="567"/>
      <c r="AU24" s="565"/>
      <c r="AV24" s="566"/>
      <c r="AW24" s="566"/>
      <c r="AX24" s="566"/>
      <c r="AY24" s="566"/>
      <c r="AZ24" s="566"/>
      <c r="BA24" s="567"/>
      <c r="BB24" s="571"/>
      <c r="BC24" s="572"/>
      <c r="BD24" s="572"/>
      <c r="BE24" s="572"/>
      <c r="BF24" s="572"/>
      <c r="BG24" s="572"/>
      <c r="BH24" s="573"/>
      <c r="BI24" s="559"/>
      <c r="BJ24" s="560"/>
      <c r="BK24" s="560"/>
      <c r="BL24" s="560"/>
      <c r="BM24" s="560"/>
      <c r="BN24" s="560"/>
      <c r="BO24" s="560"/>
      <c r="BP24" s="560"/>
      <c r="BQ24" s="560"/>
      <c r="BR24" s="561"/>
    </row>
    <row r="25" spans="1:70" x14ac:dyDescent="0.2">
      <c r="A25" s="553" t="s">
        <v>197</v>
      </c>
      <c r="B25" s="554"/>
      <c r="C25" s="554"/>
      <c r="D25" s="554"/>
      <c r="E25" s="554"/>
      <c r="F25" s="554"/>
      <c r="G25" s="555"/>
      <c r="H25" s="553" t="s">
        <v>198</v>
      </c>
      <c r="I25" s="554"/>
      <c r="J25" s="554"/>
      <c r="K25" s="554"/>
      <c r="L25" s="554"/>
      <c r="M25" s="554"/>
      <c r="N25" s="554"/>
      <c r="O25" s="555"/>
      <c r="P25" s="553" t="s">
        <v>572</v>
      </c>
      <c r="Q25" s="554"/>
      <c r="R25" s="554"/>
      <c r="S25" s="554"/>
      <c r="T25" s="554"/>
      <c r="U25" s="554"/>
      <c r="V25" s="555"/>
      <c r="W25" s="553" t="s">
        <v>199</v>
      </c>
      <c r="X25" s="554"/>
      <c r="Y25" s="554"/>
      <c r="Z25" s="554"/>
      <c r="AA25" s="554"/>
      <c r="AB25" s="554"/>
      <c r="AC25" s="554"/>
      <c r="AD25" s="554"/>
      <c r="AE25" s="554"/>
      <c r="AF25" s="554"/>
      <c r="AG25" s="554"/>
      <c r="AH25" s="554"/>
      <c r="AI25" s="554"/>
      <c r="AJ25" s="554"/>
      <c r="AK25" s="554"/>
      <c r="AL25" s="554"/>
      <c r="AM25" s="555"/>
      <c r="AN25" s="562"/>
      <c r="AO25" s="563"/>
      <c r="AP25" s="563"/>
      <c r="AQ25" s="563"/>
      <c r="AR25" s="563"/>
      <c r="AS25" s="563"/>
      <c r="AT25" s="564"/>
      <c r="AU25" s="562"/>
      <c r="AV25" s="563"/>
      <c r="AW25" s="563"/>
      <c r="AX25" s="563"/>
      <c r="AY25" s="563"/>
      <c r="AZ25" s="563"/>
      <c r="BA25" s="564"/>
      <c r="BB25" s="568"/>
      <c r="BC25" s="569"/>
      <c r="BD25" s="569"/>
      <c r="BE25" s="569"/>
      <c r="BF25" s="569"/>
      <c r="BG25" s="569"/>
      <c r="BH25" s="570"/>
      <c r="BI25" s="553" t="s">
        <v>574</v>
      </c>
      <c r="BJ25" s="554"/>
      <c r="BK25" s="554"/>
      <c r="BL25" s="554"/>
      <c r="BM25" s="554"/>
      <c r="BN25" s="554"/>
      <c r="BO25" s="554"/>
      <c r="BP25" s="554"/>
      <c r="BQ25" s="554"/>
      <c r="BR25" s="555"/>
    </row>
    <row r="26" spans="1:70" x14ac:dyDescent="0.2">
      <c r="A26" s="556"/>
      <c r="B26" s="557"/>
      <c r="C26" s="557"/>
      <c r="D26" s="557"/>
      <c r="E26" s="557"/>
      <c r="F26" s="557"/>
      <c r="G26" s="558"/>
      <c r="H26" s="556"/>
      <c r="I26" s="557"/>
      <c r="J26" s="557"/>
      <c r="K26" s="557"/>
      <c r="L26" s="557"/>
      <c r="M26" s="557"/>
      <c r="N26" s="557"/>
      <c r="O26" s="558"/>
      <c r="P26" s="559"/>
      <c r="Q26" s="560"/>
      <c r="R26" s="560"/>
      <c r="S26" s="560"/>
      <c r="T26" s="560"/>
      <c r="U26" s="560"/>
      <c r="V26" s="561"/>
      <c r="W26" s="559"/>
      <c r="X26" s="560"/>
      <c r="Y26" s="560"/>
      <c r="Z26" s="560"/>
      <c r="AA26" s="560"/>
      <c r="AB26" s="560"/>
      <c r="AC26" s="560"/>
      <c r="AD26" s="560"/>
      <c r="AE26" s="560"/>
      <c r="AF26" s="560"/>
      <c r="AG26" s="560"/>
      <c r="AH26" s="560"/>
      <c r="AI26" s="560"/>
      <c r="AJ26" s="560"/>
      <c r="AK26" s="560"/>
      <c r="AL26" s="560"/>
      <c r="AM26" s="561"/>
      <c r="AN26" s="565"/>
      <c r="AO26" s="566"/>
      <c r="AP26" s="566"/>
      <c r="AQ26" s="566"/>
      <c r="AR26" s="566"/>
      <c r="AS26" s="566"/>
      <c r="AT26" s="567"/>
      <c r="AU26" s="565"/>
      <c r="AV26" s="566"/>
      <c r="AW26" s="566"/>
      <c r="AX26" s="566"/>
      <c r="AY26" s="566"/>
      <c r="AZ26" s="566"/>
      <c r="BA26" s="567"/>
      <c r="BB26" s="571"/>
      <c r="BC26" s="572"/>
      <c r="BD26" s="572"/>
      <c r="BE26" s="572"/>
      <c r="BF26" s="572"/>
      <c r="BG26" s="572"/>
      <c r="BH26" s="573"/>
      <c r="BI26" s="559"/>
      <c r="BJ26" s="560"/>
      <c r="BK26" s="560"/>
      <c r="BL26" s="560"/>
      <c r="BM26" s="560"/>
      <c r="BN26" s="560"/>
      <c r="BO26" s="560"/>
      <c r="BP26" s="560"/>
      <c r="BQ26" s="560"/>
      <c r="BR26" s="561"/>
    </row>
    <row r="27" spans="1:70" x14ac:dyDescent="0.2">
      <c r="A27" s="556"/>
      <c r="B27" s="557"/>
      <c r="C27" s="557"/>
      <c r="D27" s="557"/>
      <c r="E27" s="557"/>
      <c r="F27" s="557"/>
      <c r="G27" s="558"/>
      <c r="H27" s="556"/>
      <c r="I27" s="557"/>
      <c r="J27" s="557"/>
      <c r="K27" s="557"/>
      <c r="L27" s="557"/>
      <c r="M27" s="557"/>
      <c r="N27" s="557"/>
      <c r="O27" s="558"/>
      <c r="P27" s="553" t="s">
        <v>575</v>
      </c>
      <c r="Q27" s="554"/>
      <c r="R27" s="554"/>
      <c r="S27" s="554"/>
      <c r="T27" s="554"/>
      <c r="U27" s="554"/>
      <c r="V27" s="555"/>
      <c r="W27" s="553" t="s">
        <v>576</v>
      </c>
      <c r="X27" s="554"/>
      <c r="Y27" s="554"/>
      <c r="Z27" s="554"/>
      <c r="AA27" s="554"/>
      <c r="AB27" s="554"/>
      <c r="AC27" s="554"/>
      <c r="AD27" s="554"/>
      <c r="AE27" s="554"/>
      <c r="AF27" s="554"/>
      <c r="AG27" s="554"/>
      <c r="AH27" s="554"/>
      <c r="AI27" s="554"/>
      <c r="AJ27" s="554"/>
      <c r="AK27" s="554"/>
      <c r="AL27" s="554"/>
      <c r="AM27" s="555"/>
      <c r="AN27" s="562"/>
      <c r="AO27" s="563"/>
      <c r="AP27" s="563"/>
      <c r="AQ27" s="563"/>
      <c r="AR27" s="563"/>
      <c r="AS27" s="563"/>
      <c r="AT27" s="564"/>
      <c r="AU27" s="562"/>
      <c r="AV27" s="563"/>
      <c r="AW27" s="563"/>
      <c r="AX27" s="563"/>
      <c r="AY27" s="563"/>
      <c r="AZ27" s="563"/>
      <c r="BA27" s="564"/>
      <c r="BB27" s="568"/>
      <c r="BC27" s="569"/>
      <c r="BD27" s="569"/>
      <c r="BE27" s="569"/>
      <c r="BF27" s="569"/>
      <c r="BG27" s="569"/>
      <c r="BH27" s="570"/>
      <c r="BI27" s="553" t="s">
        <v>574</v>
      </c>
      <c r="BJ27" s="554"/>
      <c r="BK27" s="554"/>
      <c r="BL27" s="554"/>
      <c r="BM27" s="554"/>
      <c r="BN27" s="554"/>
      <c r="BO27" s="554"/>
      <c r="BP27" s="554"/>
      <c r="BQ27" s="554"/>
      <c r="BR27" s="555"/>
    </row>
    <row r="28" spans="1:70" x14ac:dyDescent="0.2">
      <c r="A28" s="556"/>
      <c r="B28" s="557"/>
      <c r="C28" s="557"/>
      <c r="D28" s="557"/>
      <c r="E28" s="557"/>
      <c r="F28" s="557"/>
      <c r="G28" s="558"/>
      <c r="H28" s="559"/>
      <c r="I28" s="560"/>
      <c r="J28" s="560"/>
      <c r="K28" s="560"/>
      <c r="L28" s="560"/>
      <c r="M28" s="560"/>
      <c r="N28" s="560"/>
      <c r="O28" s="561"/>
      <c r="P28" s="559"/>
      <c r="Q28" s="560"/>
      <c r="R28" s="560"/>
      <c r="S28" s="560"/>
      <c r="T28" s="560"/>
      <c r="U28" s="560"/>
      <c r="V28" s="561"/>
      <c r="W28" s="559"/>
      <c r="X28" s="560"/>
      <c r="Y28" s="560"/>
      <c r="Z28" s="560"/>
      <c r="AA28" s="560"/>
      <c r="AB28" s="560"/>
      <c r="AC28" s="560"/>
      <c r="AD28" s="560"/>
      <c r="AE28" s="560"/>
      <c r="AF28" s="560"/>
      <c r="AG28" s="560"/>
      <c r="AH28" s="560"/>
      <c r="AI28" s="560"/>
      <c r="AJ28" s="560"/>
      <c r="AK28" s="560"/>
      <c r="AL28" s="560"/>
      <c r="AM28" s="561"/>
      <c r="AN28" s="565"/>
      <c r="AO28" s="566"/>
      <c r="AP28" s="566"/>
      <c r="AQ28" s="566"/>
      <c r="AR28" s="566"/>
      <c r="AS28" s="566"/>
      <c r="AT28" s="567"/>
      <c r="AU28" s="565"/>
      <c r="AV28" s="566"/>
      <c r="AW28" s="566"/>
      <c r="AX28" s="566"/>
      <c r="AY28" s="566"/>
      <c r="AZ28" s="566"/>
      <c r="BA28" s="567"/>
      <c r="BB28" s="571"/>
      <c r="BC28" s="572"/>
      <c r="BD28" s="572"/>
      <c r="BE28" s="572"/>
      <c r="BF28" s="572"/>
      <c r="BG28" s="572"/>
      <c r="BH28" s="573"/>
      <c r="BI28" s="559"/>
      <c r="BJ28" s="560"/>
      <c r="BK28" s="560"/>
      <c r="BL28" s="560"/>
      <c r="BM28" s="560"/>
      <c r="BN28" s="560"/>
      <c r="BO28" s="560"/>
      <c r="BP28" s="560"/>
      <c r="BQ28" s="560"/>
      <c r="BR28" s="561"/>
    </row>
    <row r="29" spans="1:70" x14ac:dyDescent="0.2">
      <c r="A29" s="556"/>
      <c r="B29" s="557"/>
      <c r="C29" s="557"/>
      <c r="D29" s="557"/>
      <c r="E29" s="557"/>
      <c r="F29" s="557"/>
      <c r="G29" s="558"/>
      <c r="H29" s="553" t="s">
        <v>579</v>
      </c>
      <c r="I29" s="554"/>
      <c r="J29" s="554"/>
      <c r="K29" s="554"/>
      <c r="L29" s="554"/>
      <c r="M29" s="554"/>
      <c r="N29" s="554"/>
      <c r="O29" s="555"/>
      <c r="P29" s="553" t="s">
        <v>395</v>
      </c>
      <c r="Q29" s="554"/>
      <c r="R29" s="554"/>
      <c r="S29" s="554"/>
      <c r="T29" s="554"/>
      <c r="U29" s="554"/>
      <c r="V29" s="555"/>
      <c r="W29" s="553" t="s">
        <v>580</v>
      </c>
      <c r="X29" s="554"/>
      <c r="Y29" s="554"/>
      <c r="Z29" s="554"/>
      <c r="AA29" s="554"/>
      <c r="AB29" s="554"/>
      <c r="AC29" s="554"/>
      <c r="AD29" s="554"/>
      <c r="AE29" s="554"/>
      <c r="AF29" s="554"/>
      <c r="AG29" s="554"/>
      <c r="AH29" s="554"/>
      <c r="AI29" s="554"/>
      <c r="AJ29" s="554"/>
      <c r="AK29" s="554"/>
      <c r="AL29" s="554"/>
      <c r="AM29" s="555"/>
      <c r="AN29" s="562"/>
      <c r="AO29" s="563"/>
      <c r="AP29" s="563"/>
      <c r="AQ29" s="563"/>
      <c r="AR29" s="563"/>
      <c r="AS29" s="563"/>
      <c r="AT29" s="564"/>
      <c r="AU29" s="562"/>
      <c r="AV29" s="563"/>
      <c r="AW29" s="563"/>
      <c r="AX29" s="563"/>
      <c r="AY29" s="563"/>
      <c r="AZ29" s="563"/>
      <c r="BA29" s="564"/>
      <c r="BB29" s="568"/>
      <c r="BC29" s="569"/>
      <c r="BD29" s="569"/>
      <c r="BE29" s="569"/>
      <c r="BF29" s="569"/>
      <c r="BG29" s="569"/>
      <c r="BH29" s="570"/>
      <c r="BI29" s="553" t="s">
        <v>581</v>
      </c>
      <c r="BJ29" s="554"/>
      <c r="BK29" s="554"/>
      <c r="BL29" s="554"/>
      <c r="BM29" s="554"/>
      <c r="BN29" s="554"/>
      <c r="BO29" s="554"/>
      <c r="BP29" s="554"/>
      <c r="BQ29" s="554"/>
      <c r="BR29" s="555"/>
    </row>
    <row r="30" spans="1:70" x14ac:dyDescent="0.2">
      <c r="A30" s="556"/>
      <c r="B30" s="557"/>
      <c r="C30" s="557"/>
      <c r="D30" s="557"/>
      <c r="E30" s="557"/>
      <c r="F30" s="557"/>
      <c r="G30" s="558"/>
      <c r="H30" s="556"/>
      <c r="I30" s="557"/>
      <c r="J30" s="557"/>
      <c r="K30" s="557"/>
      <c r="L30" s="557"/>
      <c r="M30" s="557"/>
      <c r="N30" s="557"/>
      <c r="O30" s="558"/>
      <c r="P30" s="559"/>
      <c r="Q30" s="560"/>
      <c r="R30" s="560"/>
      <c r="S30" s="560"/>
      <c r="T30" s="560"/>
      <c r="U30" s="560"/>
      <c r="V30" s="561"/>
      <c r="W30" s="559"/>
      <c r="X30" s="560"/>
      <c r="Y30" s="560"/>
      <c r="Z30" s="560"/>
      <c r="AA30" s="560"/>
      <c r="AB30" s="560"/>
      <c r="AC30" s="560"/>
      <c r="AD30" s="560"/>
      <c r="AE30" s="560"/>
      <c r="AF30" s="560"/>
      <c r="AG30" s="560"/>
      <c r="AH30" s="560"/>
      <c r="AI30" s="560"/>
      <c r="AJ30" s="560"/>
      <c r="AK30" s="560"/>
      <c r="AL30" s="560"/>
      <c r="AM30" s="561"/>
      <c r="AN30" s="565"/>
      <c r="AO30" s="566"/>
      <c r="AP30" s="566"/>
      <c r="AQ30" s="566"/>
      <c r="AR30" s="566"/>
      <c r="AS30" s="566"/>
      <c r="AT30" s="567"/>
      <c r="AU30" s="565"/>
      <c r="AV30" s="566"/>
      <c r="AW30" s="566"/>
      <c r="AX30" s="566"/>
      <c r="AY30" s="566"/>
      <c r="AZ30" s="566"/>
      <c r="BA30" s="567"/>
      <c r="BB30" s="571"/>
      <c r="BC30" s="572"/>
      <c r="BD30" s="572"/>
      <c r="BE30" s="572"/>
      <c r="BF30" s="572"/>
      <c r="BG30" s="572"/>
      <c r="BH30" s="573"/>
      <c r="BI30" s="559"/>
      <c r="BJ30" s="560"/>
      <c r="BK30" s="560"/>
      <c r="BL30" s="560"/>
      <c r="BM30" s="560"/>
      <c r="BN30" s="560"/>
      <c r="BO30" s="560"/>
      <c r="BP30" s="560"/>
      <c r="BQ30" s="560"/>
      <c r="BR30" s="561"/>
    </row>
    <row r="31" spans="1:70" x14ac:dyDescent="0.2">
      <c r="A31" s="556"/>
      <c r="B31" s="557"/>
      <c r="C31" s="557"/>
      <c r="D31" s="557"/>
      <c r="E31" s="557"/>
      <c r="F31" s="557"/>
      <c r="G31" s="558"/>
      <c r="H31" s="556"/>
      <c r="I31" s="557"/>
      <c r="J31" s="557"/>
      <c r="K31" s="557"/>
      <c r="L31" s="557"/>
      <c r="M31" s="557"/>
      <c r="N31" s="557"/>
      <c r="O31" s="558"/>
      <c r="P31" s="553" t="s">
        <v>396</v>
      </c>
      <c r="Q31" s="554"/>
      <c r="R31" s="554"/>
      <c r="S31" s="554"/>
      <c r="T31" s="554"/>
      <c r="U31" s="554"/>
      <c r="V31" s="555"/>
      <c r="W31" s="553" t="s">
        <v>582</v>
      </c>
      <c r="X31" s="554"/>
      <c r="Y31" s="554"/>
      <c r="Z31" s="554"/>
      <c r="AA31" s="554"/>
      <c r="AB31" s="554"/>
      <c r="AC31" s="554"/>
      <c r="AD31" s="554"/>
      <c r="AE31" s="554"/>
      <c r="AF31" s="554"/>
      <c r="AG31" s="554"/>
      <c r="AH31" s="554"/>
      <c r="AI31" s="554"/>
      <c r="AJ31" s="554"/>
      <c r="AK31" s="554"/>
      <c r="AL31" s="554"/>
      <c r="AM31" s="555"/>
      <c r="AN31" s="562"/>
      <c r="AO31" s="563"/>
      <c r="AP31" s="563"/>
      <c r="AQ31" s="563"/>
      <c r="AR31" s="563"/>
      <c r="AS31" s="563"/>
      <c r="AT31" s="564"/>
      <c r="AU31" s="562"/>
      <c r="AV31" s="563"/>
      <c r="AW31" s="563"/>
      <c r="AX31" s="563"/>
      <c r="AY31" s="563"/>
      <c r="AZ31" s="563"/>
      <c r="BA31" s="564"/>
      <c r="BB31" s="568"/>
      <c r="BC31" s="569"/>
      <c r="BD31" s="569"/>
      <c r="BE31" s="569"/>
      <c r="BF31" s="569"/>
      <c r="BG31" s="569"/>
      <c r="BH31" s="570"/>
      <c r="BI31" s="553" t="s">
        <v>581</v>
      </c>
      <c r="BJ31" s="554"/>
      <c r="BK31" s="554"/>
      <c r="BL31" s="554"/>
      <c r="BM31" s="554"/>
      <c r="BN31" s="554"/>
      <c r="BO31" s="554"/>
      <c r="BP31" s="554"/>
      <c r="BQ31" s="554"/>
      <c r="BR31" s="555"/>
    </row>
    <row r="32" spans="1:70" x14ac:dyDescent="0.2">
      <c r="A32" s="556"/>
      <c r="B32" s="557"/>
      <c r="C32" s="557"/>
      <c r="D32" s="557"/>
      <c r="E32" s="557"/>
      <c r="F32" s="557"/>
      <c r="G32" s="558"/>
      <c r="H32" s="559"/>
      <c r="I32" s="560"/>
      <c r="J32" s="560"/>
      <c r="K32" s="560"/>
      <c r="L32" s="560"/>
      <c r="M32" s="560"/>
      <c r="N32" s="560"/>
      <c r="O32" s="561"/>
      <c r="P32" s="559"/>
      <c r="Q32" s="560"/>
      <c r="R32" s="560"/>
      <c r="S32" s="560"/>
      <c r="T32" s="560"/>
      <c r="U32" s="560"/>
      <c r="V32" s="561"/>
      <c r="W32" s="559"/>
      <c r="X32" s="560"/>
      <c r="Y32" s="560"/>
      <c r="Z32" s="560"/>
      <c r="AA32" s="560"/>
      <c r="AB32" s="560"/>
      <c r="AC32" s="560"/>
      <c r="AD32" s="560"/>
      <c r="AE32" s="560"/>
      <c r="AF32" s="560"/>
      <c r="AG32" s="560"/>
      <c r="AH32" s="560"/>
      <c r="AI32" s="560"/>
      <c r="AJ32" s="560"/>
      <c r="AK32" s="560"/>
      <c r="AL32" s="560"/>
      <c r="AM32" s="561"/>
      <c r="AN32" s="565"/>
      <c r="AO32" s="566"/>
      <c r="AP32" s="566"/>
      <c r="AQ32" s="566"/>
      <c r="AR32" s="566"/>
      <c r="AS32" s="566"/>
      <c r="AT32" s="567"/>
      <c r="AU32" s="565"/>
      <c r="AV32" s="566"/>
      <c r="AW32" s="566"/>
      <c r="AX32" s="566"/>
      <c r="AY32" s="566"/>
      <c r="AZ32" s="566"/>
      <c r="BA32" s="567"/>
      <c r="BB32" s="571"/>
      <c r="BC32" s="572"/>
      <c r="BD32" s="572"/>
      <c r="BE32" s="572"/>
      <c r="BF32" s="572"/>
      <c r="BG32" s="572"/>
      <c r="BH32" s="573"/>
      <c r="BI32" s="559"/>
      <c r="BJ32" s="560"/>
      <c r="BK32" s="560"/>
      <c r="BL32" s="560"/>
      <c r="BM32" s="560"/>
      <c r="BN32" s="560"/>
      <c r="BO32" s="560"/>
      <c r="BP32" s="560"/>
      <c r="BQ32" s="560"/>
      <c r="BR32" s="561"/>
    </row>
    <row r="33" spans="1:70" x14ac:dyDescent="0.2">
      <c r="A33" s="553" t="s">
        <v>583</v>
      </c>
      <c r="B33" s="554"/>
      <c r="C33" s="554"/>
      <c r="D33" s="554"/>
      <c r="E33" s="554"/>
      <c r="F33" s="554"/>
      <c r="G33" s="555"/>
      <c r="H33" s="553" t="s">
        <v>200</v>
      </c>
      <c r="I33" s="554"/>
      <c r="J33" s="554"/>
      <c r="K33" s="554"/>
      <c r="L33" s="554"/>
      <c r="M33" s="554"/>
      <c r="N33" s="554"/>
      <c r="O33" s="555"/>
      <c r="P33" s="553" t="s">
        <v>572</v>
      </c>
      <c r="Q33" s="554"/>
      <c r="R33" s="554"/>
      <c r="S33" s="554"/>
      <c r="T33" s="554"/>
      <c r="U33" s="554"/>
      <c r="V33" s="555"/>
      <c r="W33" s="553" t="s">
        <v>199</v>
      </c>
      <c r="X33" s="554"/>
      <c r="Y33" s="554"/>
      <c r="Z33" s="554"/>
      <c r="AA33" s="554"/>
      <c r="AB33" s="554"/>
      <c r="AC33" s="554"/>
      <c r="AD33" s="554"/>
      <c r="AE33" s="554"/>
      <c r="AF33" s="554"/>
      <c r="AG33" s="554"/>
      <c r="AH33" s="554"/>
      <c r="AI33" s="554"/>
      <c r="AJ33" s="554"/>
      <c r="AK33" s="554"/>
      <c r="AL33" s="554"/>
      <c r="AM33" s="555"/>
      <c r="AN33" s="562"/>
      <c r="AO33" s="563"/>
      <c r="AP33" s="563"/>
      <c r="AQ33" s="563"/>
      <c r="AR33" s="563"/>
      <c r="AS33" s="563"/>
      <c r="AT33" s="564"/>
      <c r="AU33" s="562"/>
      <c r="AV33" s="563"/>
      <c r="AW33" s="563"/>
      <c r="AX33" s="563"/>
      <c r="AY33" s="563"/>
      <c r="AZ33" s="563"/>
      <c r="BA33" s="564"/>
      <c r="BB33" s="568" t="s">
        <v>562</v>
      </c>
      <c r="BC33" s="569"/>
      <c r="BD33" s="569"/>
      <c r="BE33" s="569"/>
      <c r="BF33" s="569"/>
      <c r="BG33" s="569"/>
      <c r="BH33" s="570"/>
      <c r="BI33" s="553" t="s">
        <v>574</v>
      </c>
      <c r="BJ33" s="554"/>
      <c r="BK33" s="554"/>
      <c r="BL33" s="554"/>
      <c r="BM33" s="554"/>
      <c r="BN33" s="554"/>
      <c r="BO33" s="554"/>
      <c r="BP33" s="554"/>
      <c r="BQ33" s="554"/>
      <c r="BR33" s="555"/>
    </row>
    <row r="34" spans="1:70" x14ac:dyDescent="0.2">
      <c r="A34" s="556"/>
      <c r="B34" s="557"/>
      <c r="C34" s="557"/>
      <c r="D34" s="557"/>
      <c r="E34" s="557"/>
      <c r="F34" s="557"/>
      <c r="G34" s="558"/>
      <c r="H34" s="556"/>
      <c r="I34" s="557"/>
      <c r="J34" s="557"/>
      <c r="K34" s="557"/>
      <c r="L34" s="557"/>
      <c r="M34" s="557"/>
      <c r="N34" s="557"/>
      <c r="O34" s="558"/>
      <c r="P34" s="559"/>
      <c r="Q34" s="560"/>
      <c r="R34" s="560"/>
      <c r="S34" s="560"/>
      <c r="T34" s="560"/>
      <c r="U34" s="560"/>
      <c r="V34" s="561"/>
      <c r="W34" s="559"/>
      <c r="X34" s="560"/>
      <c r="Y34" s="560"/>
      <c r="Z34" s="560"/>
      <c r="AA34" s="560"/>
      <c r="AB34" s="560"/>
      <c r="AC34" s="560"/>
      <c r="AD34" s="560"/>
      <c r="AE34" s="560"/>
      <c r="AF34" s="560"/>
      <c r="AG34" s="560"/>
      <c r="AH34" s="560"/>
      <c r="AI34" s="560"/>
      <c r="AJ34" s="560"/>
      <c r="AK34" s="560"/>
      <c r="AL34" s="560"/>
      <c r="AM34" s="561"/>
      <c r="AN34" s="565"/>
      <c r="AO34" s="566"/>
      <c r="AP34" s="566"/>
      <c r="AQ34" s="566"/>
      <c r="AR34" s="566"/>
      <c r="AS34" s="566"/>
      <c r="AT34" s="567"/>
      <c r="AU34" s="565"/>
      <c r="AV34" s="566"/>
      <c r="AW34" s="566"/>
      <c r="AX34" s="566"/>
      <c r="AY34" s="566"/>
      <c r="AZ34" s="566"/>
      <c r="BA34" s="567"/>
      <c r="BB34" s="571"/>
      <c r="BC34" s="572"/>
      <c r="BD34" s="572"/>
      <c r="BE34" s="572"/>
      <c r="BF34" s="572"/>
      <c r="BG34" s="572"/>
      <c r="BH34" s="573"/>
      <c r="BI34" s="559"/>
      <c r="BJ34" s="560"/>
      <c r="BK34" s="560"/>
      <c r="BL34" s="560"/>
      <c r="BM34" s="560"/>
      <c r="BN34" s="560"/>
      <c r="BO34" s="560"/>
      <c r="BP34" s="560"/>
      <c r="BQ34" s="560"/>
      <c r="BR34" s="561"/>
    </row>
    <row r="35" spans="1:70" x14ac:dyDescent="0.2">
      <c r="A35" s="556"/>
      <c r="B35" s="557"/>
      <c r="C35" s="557"/>
      <c r="D35" s="557"/>
      <c r="E35" s="557"/>
      <c r="F35" s="557"/>
      <c r="G35" s="558"/>
      <c r="H35" s="556"/>
      <c r="I35" s="557"/>
      <c r="J35" s="557"/>
      <c r="K35" s="557"/>
      <c r="L35" s="557"/>
      <c r="M35" s="557"/>
      <c r="N35" s="557"/>
      <c r="O35" s="558"/>
      <c r="P35" s="553" t="s">
        <v>575</v>
      </c>
      <c r="Q35" s="554"/>
      <c r="R35" s="554"/>
      <c r="S35" s="554"/>
      <c r="T35" s="554"/>
      <c r="U35" s="554"/>
      <c r="V35" s="555"/>
      <c r="W35" s="553" t="s">
        <v>576</v>
      </c>
      <c r="X35" s="554"/>
      <c r="Y35" s="554"/>
      <c r="Z35" s="554"/>
      <c r="AA35" s="554"/>
      <c r="AB35" s="554"/>
      <c r="AC35" s="554"/>
      <c r="AD35" s="554"/>
      <c r="AE35" s="554"/>
      <c r="AF35" s="554"/>
      <c r="AG35" s="554"/>
      <c r="AH35" s="554"/>
      <c r="AI35" s="554"/>
      <c r="AJ35" s="554"/>
      <c r="AK35" s="554"/>
      <c r="AL35" s="554"/>
      <c r="AM35" s="555"/>
      <c r="AN35" s="562"/>
      <c r="AO35" s="563"/>
      <c r="AP35" s="563"/>
      <c r="AQ35" s="563"/>
      <c r="AR35" s="563"/>
      <c r="AS35" s="563"/>
      <c r="AT35" s="564"/>
      <c r="AU35" s="562"/>
      <c r="AV35" s="563"/>
      <c r="AW35" s="563"/>
      <c r="AX35" s="563"/>
      <c r="AY35" s="563"/>
      <c r="AZ35" s="563"/>
      <c r="BA35" s="564"/>
      <c r="BB35" s="568" t="s">
        <v>562</v>
      </c>
      <c r="BC35" s="569"/>
      <c r="BD35" s="569"/>
      <c r="BE35" s="569"/>
      <c r="BF35" s="569"/>
      <c r="BG35" s="569"/>
      <c r="BH35" s="570"/>
      <c r="BI35" s="553" t="s">
        <v>574</v>
      </c>
      <c r="BJ35" s="554"/>
      <c r="BK35" s="554"/>
      <c r="BL35" s="554"/>
      <c r="BM35" s="554"/>
      <c r="BN35" s="554"/>
      <c r="BO35" s="554"/>
      <c r="BP35" s="554"/>
      <c r="BQ35" s="554"/>
      <c r="BR35" s="555"/>
    </row>
    <row r="36" spans="1:70" x14ac:dyDescent="0.2">
      <c r="A36" s="556"/>
      <c r="B36" s="557"/>
      <c r="C36" s="557"/>
      <c r="D36" s="557"/>
      <c r="E36" s="557"/>
      <c r="F36" s="557"/>
      <c r="G36" s="558"/>
      <c r="H36" s="559"/>
      <c r="I36" s="560"/>
      <c r="J36" s="560"/>
      <c r="K36" s="560"/>
      <c r="L36" s="560"/>
      <c r="M36" s="560"/>
      <c r="N36" s="560"/>
      <c r="O36" s="561"/>
      <c r="P36" s="559"/>
      <c r="Q36" s="560"/>
      <c r="R36" s="560"/>
      <c r="S36" s="560"/>
      <c r="T36" s="560"/>
      <c r="U36" s="560"/>
      <c r="V36" s="561"/>
      <c r="W36" s="559"/>
      <c r="X36" s="560"/>
      <c r="Y36" s="560"/>
      <c r="Z36" s="560"/>
      <c r="AA36" s="560"/>
      <c r="AB36" s="560"/>
      <c r="AC36" s="560"/>
      <c r="AD36" s="560"/>
      <c r="AE36" s="560"/>
      <c r="AF36" s="560"/>
      <c r="AG36" s="560"/>
      <c r="AH36" s="560"/>
      <c r="AI36" s="560"/>
      <c r="AJ36" s="560"/>
      <c r="AK36" s="560"/>
      <c r="AL36" s="560"/>
      <c r="AM36" s="561"/>
      <c r="AN36" s="565"/>
      <c r="AO36" s="566"/>
      <c r="AP36" s="566"/>
      <c r="AQ36" s="566"/>
      <c r="AR36" s="566"/>
      <c r="AS36" s="566"/>
      <c r="AT36" s="567"/>
      <c r="AU36" s="565"/>
      <c r="AV36" s="566"/>
      <c r="AW36" s="566"/>
      <c r="AX36" s="566"/>
      <c r="AY36" s="566"/>
      <c r="AZ36" s="566"/>
      <c r="BA36" s="567"/>
      <c r="BB36" s="571"/>
      <c r="BC36" s="572"/>
      <c r="BD36" s="572"/>
      <c r="BE36" s="572"/>
      <c r="BF36" s="572"/>
      <c r="BG36" s="572"/>
      <c r="BH36" s="573"/>
      <c r="BI36" s="559"/>
      <c r="BJ36" s="560"/>
      <c r="BK36" s="560"/>
      <c r="BL36" s="560"/>
      <c r="BM36" s="560"/>
      <c r="BN36" s="560"/>
      <c r="BO36" s="560"/>
      <c r="BP36" s="560"/>
      <c r="BQ36" s="560"/>
      <c r="BR36" s="561"/>
    </row>
    <row r="37" spans="1:70" x14ac:dyDescent="0.2">
      <c r="A37" s="556"/>
      <c r="B37" s="557"/>
      <c r="C37" s="557"/>
      <c r="D37" s="557"/>
      <c r="E37" s="557"/>
      <c r="F37" s="557"/>
      <c r="G37" s="558"/>
      <c r="H37" s="553" t="s">
        <v>288</v>
      </c>
      <c r="I37" s="554"/>
      <c r="J37" s="554"/>
      <c r="K37" s="554"/>
      <c r="L37" s="554"/>
      <c r="M37" s="554"/>
      <c r="N37" s="554"/>
      <c r="O37" s="555"/>
      <c r="P37" s="553" t="s">
        <v>395</v>
      </c>
      <c r="Q37" s="554"/>
      <c r="R37" s="554"/>
      <c r="S37" s="554"/>
      <c r="T37" s="554"/>
      <c r="U37" s="554"/>
      <c r="V37" s="555"/>
      <c r="W37" s="553" t="s">
        <v>580</v>
      </c>
      <c r="X37" s="554"/>
      <c r="Y37" s="554"/>
      <c r="Z37" s="554"/>
      <c r="AA37" s="554"/>
      <c r="AB37" s="554"/>
      <c r="AC37" s="554"/>
      <c r="AD37" s="554"/>
      <c r="AE37" s="554"/>
      <c r="AF37" s="554"/>
      <c r="AG37" s="554"/>
      <c r="AH37" s="554"/>
      <c r="AI37" s="554"/>
      <c r="AJ37" s="554"/>
      <c r="AK37" s="554"/>
      <c r="AL37" s="554"/>
      <c r="AM37" s="555"/>
      <c r="AN37" s="562"/>
      <c r="AO37" s="563"/>
      <c r="AP37" s="563"/>
      <c r="AQ37" s="563"/>
      <c r="AR37" s="563"/>
      <c r="AS37" s="563"/>
      <c r="AT37" s="564"/>
      <c r="AU37" s="562"/>
      <c r="AV37" s="563"/>
      <c r="AW37" s="563"/>
      <c r="AX37" s="563"/>
      <c r="AY37" s="563"/>
      <c r="AZ37" s="563"/>
      <c r="BA37" s="564"/>
      <c r="BB37" s="568" t="s">
        <v>562</v>
      </c>
      <c r="BC37" s="569"/>
      <c r="BD37" s="569"/>
      <c r="BE37" s="569"/>
      <c r="BF37" s="569"/>
      <c r="BG37" s="569"/>
      <c r="BH37" s="570"/>
      <c r="BI37" s="553" t="s">
        <v>581</v>
      </c>
      <c r="BJ37" s="554"/>
      <c r="BK37" s="554"/>
      <c r="BL37" s="554"/>
      <c r="BM37" s="554"/>
      <c r="BN37" s="554"/>
      <c r="BO37" s="554"/>
      <c r="BP37" s="554"/>
      <c r="BQ37" s="554"/>
      <c r="BR37" s="555"/>
    </row>
    <row r="38" spans="1:70" x14ac:dyDescent="0.2">
      <c r="A38" s="556"/>
      <c r="B38" s="557"/>
      <c r="C38" s="557"/>
      <c r="D38" s="557"/>
      <c r="E38" s="557"/>
      <c r="F38" s="557"/>
      <c r="G38" s="558"/>
      <c r="H38" s="556"/>
      <c r="I38" s="557"/>
      <c r="J38" s="557"/>
      <c r="K38" s="557"/>
      <c r="L38" s="557"/>
      <c r="M38" s="557"/>
      <c r="N38" s="557"/>
      <c r="O38" s="558"/>
      <c r="P38" s="559"/>
      <c r="Q38" s="560"/>
      <c r="R38" s="560"/>
      <c r="S38" s="560"/>
      <c r="T38" s="560"/>
      <c r="U38" s="560"/>
      <c r="V38" s="561"/>
      <c r="W38" s="559"/>
      <c r="X38" s="560"/>
      <c r="Y38" s="560"/>
      <c r="Z38" s="560"/>
      <c r="AA38" s="560"/>
      <c r="AB38" s="560"/>
      <c r="AC38" s="560"/>
      <c r="AD38" s="560"/>
      <c r="AE38" s="560"/>
      <c r="AF38" s="560"/>
      <c r="AG38" s="560"/>
      <c r="AH38" s="560"/>
      <c r="AI38" s="560"/>
      <c r="AJ38" s="560"/>
      <c r="AK38" s="560"/>
      <c r="AL38" s="560"/>
      <c r="AM38" s="561"/>
      <c r="AN38" s="565"/>
      <c r="AO38" s="566"/>
      <c r="AP38" s="566"/>
      <c r="AQ38" s="566"/>
      <c r="AR38" s="566"/>
      <c r="AS38" s="566"/>
      <c r="AT38" s="567"/>
      <c r="AU38" s="565"/>
      <c r="AV38" s="566"/>
      <c r="AW38" s="566"/>
      <c r="AX38" s="566"/>
      <c r="AY38" s="566"/>
      <c r="AZ38" s="566"/>
      <c r="BA38" s="567"/>
      <c r="BB38" s="571"/>
      <c r="BC38" s="572"/>
      <c r="BD38" s="572"/>
      <c r="BE38" s="572"/>
      <c r="BF38" s="572"/>
      <c r="BG38" s="572"/>
      <c r="BH38" s="573"/>
      <c r="BI38" s="559"/>
      <c r="BJ38" s="560"/>
      <c r="BK38" s="560"/>
      <c r="BL38" s="560"/>
      <c r="BM38" s="560"/>
      <c r="BN38" s="560"/>
      <c r="BO38" s="560"/>
      <c r="BP38" s="560"/>
      <c r="BQ38" s="560"/>
      <c r="BR38" s="561"/>
    </row>
    <row r="39" spans="1:70" x14ac:dyDescent="0.2">
      <c r="A39" s="556"/>
      <c r="B39" s="557"/>
      <c r="C39" s="557"/>
      <c r="D39" s="557"/>
      <c r="E39" s="557"/>
      <c r="F39" s="557"/>
      <c r="G39" s="558"/>
      <c r="H39" s="556"/>
      <c r="I39" s="557"/>
      <c r="J39" s="557"/>
      <c r="K39" s="557"/>
      <c r="L39" s="557"/>
      <c r="M39" s="557"/>
      <c r="N39" s="557"/>
      <c r="O39" s="558"/>
      <c r="P39" s="553" t="s">
        <v>396</v>
      </c>
      <c r="Q39" s="554"/>
      <c r="R39" s="554"/>
      <c r="S39" s="554"/>
      <c r="T39" s="554"/>
      <c r="U39" s="554"/>
      <c r="V39" s="555"/>
      <c r="W39" s="553" t="s">
        <v>582</v>
      </c>
      <c r="X39" s="554"/>
      <c r="Y39" s="554"/>
      <c r="Z39" s="554"/>
      <c r="AA39" s="554"/>
      <c r="AB39" s="554"/>
      <c r="AC39" s="554"/>
      <c r="AD39" s="554"/>
      <c r="AE39" s="554"/>
      <c r="AF39" s="554"/>
      <c r="AG39" s="554"/>
      <c r="AH39" s="554"/>
      <c r="AI39" s="554"/>
      <c r="AJ39" s="554"/>
      <c r="AK39" s="554"/>
      <c r="AL39" s="554"/>
      <c r="AM39" s="555"/>
      <c r="AN39" s="562"/>
      <c r="AO39" s="563"/>
      <c r="AP39" s="563"/>
      <c r="AQ39" s="563"/>
      <c r="AR39" s="563"/>
      <c r="AS39" s="563"/>
      <c r="AT39" s="564"/>
      <c r="AU39" s="562"/>
      <c r="AV39" s="563"/>
      <c r="AW39" s="563"/>
      <c r="AX39" s="563"/>
      <c r="AY39" s="563"/>
      <c r="AZ39" s="563"/>
      <c r="BA39" s="564"/>
      <c r="BB39" s="568" t="s">
        <v>562</v>
      </c>
      <c r="BC39" s="569"/>
      <c r="BD39" s="569"/>
      <c r="BE39" s="569"/>
      <c r="BF39" s="569"/>
      <c r="BG39" s="569"/>
      <c r="BH39" s="570"/>
      <c r="BI39" s="553" t="s">
        <v>581</v>
      </c>
      <c r="BJ39" s="554"/>
      <c r="BK39" s="554"/>
      <c r="BL39" s="554"/>
      <c r="BM39" s="554"/>
      <c r="BN39" s="554"/>
      <c r="BO39" s="554"/>
      <c r="BP39" s="554"/>
      <c r="BQ39" s="554"/>
      <c r="BR39" s="555"/>
    </row>
    <row r="40" spans="1:70" x14ac:dyDescent="0.2">
      <c r="A40" s="556"/>
      <c r="B40" s="557"/>
      <c r="C40" s="557"/>
      <c r="D40" s="557"/>
      <c r="E40" s="557"/>
      <c r="F40" s="557"/>
      <c r="G40" s="558"/>
      <c r="H40" s="559"/>
      <c r="I40" s="560"/>
      <c r="J40" s="560"/>
      <c r="K40" s="560"/>
      <c r="L40" s="560"/>
      <c r="M40" s="560"/>
      <c r="N40" s="560"/>
      <c r="O40" s="561"/>
      <c r="P40" s="559"/>
      <c r="Q40" s="560"/>
      <c r="R40" s="560"/>
      <c r="S40" s="560"/>
      <c r="T40" s="560"/>
      <c r="U40" s="560"/>
      <c r="V40" s="561"/>
      <c r="W40" s="559"/>
      <c r="X40" s="560"/>
      <c r="Y40" s="560"/>
      <c r="Z40" s="560"/>
      <c r="AA40" s="560"/>
      <c r="AB40" s="560"/>
      <c r="AC40" s="560"/>
      <c r="AD40" s="560"/>
      <c r="AE40" s="560"/>
      <c r="AF40" s="560"/>
      <c r="AG40" s="560"/>
      <c r="AH40" s="560"/>
      <c r="AI40" s="560"/>
      <c r="AJ40" s="560"/>
      <c r="AK40" s="560"/>
      <c r="AL40" s="560"/>
      <c r="AM40" s="561"/>
      <c r="AN40" s="565"/>
      <c r="AO40" s="566"/>
      <c r="AP40" s="566"/>
      <c r="AQ40" s="566"/>
      <c r="AR40" s="566"/>
      <c r="AS40" s="566"/>
      <c r="AT40" s="567"/>
      <c r="AU40" s="565"/>
      <c r="AV40" s="566"/>
      <c r="AW40" s="566"/>
      <c r="AX40" s="566"/>
      <c r="AY40" s="566"/>
      <c r="AZ40" s="566"/>
      <c r="BA40" s="567"/>
      <c r="BB40" s="571"/>
      <c r="BC40" s="572"/>
      <c r="BD40" s="572"/>
      <c r="BE40" s="572"/>
      <c r="BF40" s="572"/>
      <c r="BG40" s="572"/>
      <c r="BH40" s="573"/>
      <c r="BI40" s="559"/>
      <c r="BJ40" s="560"/>
      <c r="BK40" s="560"/>
      <c r="BL40" s="560"/>
      <c r="BM40" s="560"/>
      <c r="BN40" s="560"/>
      <c r="BO40" s="560"/>
      <c r="BP40" s="560"/>
      <c r="BQ40" s="560"/>
      <c r="BR40" s="561"/>
    </row>
    <row r="41" spans="1:70" x14ac:dyDescent="0.2">
      <c r="A41" s="553" t="s">
        <v>584</v>
      </c>
      <c r="B41" s="554"/>
      <c r="C41" s="554"/>
      <c r="D41" s="554"/>
      <c r="E41" s="554"/>
      <c r="F41" s="554"/>
      <c r="G41" s="555"/>
      <c r="H41" s="553" t="s">
        <v>201</v>
      </c>
      <c r="I41" s="554"/>
      <c r="J41" s="554"/>
      <c r="K41" s="554"/>
      <c r="L41" s="554"/>
      <c r="M41" s="554"/>
      <c r="N41" s="554"/>
      <c r="O41" s="555"/>
      <c r="P41" s="553" t="s">
        <v>572</v>
      </c>
      <c r="Q41" s="554"/>
      <c r="R41" s="554"/>
      <c r="S41" s="554"/>
      <c r="T41" s="554"/>
      <c r="U41" s="554"/>
      <c r="V41" s="555"/>
      <c r="W41" s="553" t="s">
        <v>202</v>
      </c>
      <c r="X41" s="554"/>
      <c r="Y41" s="554"/>
      <c r="Z41" s="554"/>
      <c r="AA41" s="554"/>
      <c r="AB41" s="554"/>
      <c r="AC41" s="554"/>
      <c r="AD41" s="554"/>
      <c r="AE41" s="554"/>
      <c r="AF41" s="554"/>
      <c r="AG41" s="554"/>
      <c r="AH41" s="554"/>
      <c r="AI41" s="554"/>
      <c r="AJ41" s="554"/>
      <c r="AK41" s="554"/>
      <c r="AL41" s="554"/>
      <c r="AM41" s="555"/>
      <c r="AN41" s="562"/>
      <c r="AO41" s="563"/>
      <c r="AP41" s="563"/>
      <c r="AQ41" s="563"/>
      <c r="AR41" s="563"/>
      <c r="AS41" s="563"/>
      <c r="AT41" s="564"/>
      <c r="AU41" s="562"/>
      <c r="AV41" s="563"/>
      <c r="AW41" s="563"/>
      <c r="AX41" s="563"/>
      <c r="AY41" s="563"/>
      <c r="AZ41" s="563"/>
      <c r="BA41" s="564"/>
      <c r="BB41" s="568" t="s">
        <v>562</v>
      </c>
      <c r="BC41" s="569"/>
      <c r="BD41" s="569"/>
      <c r="BE41" s="569"/>
      <c r="BF41" s="569"/>
      <c r="BG41" s="569"/>
      <c r="BH41" s="570"/>
      <c r="BI41" s="553" t="s">
        <v>574</v>
      </c>
      <c r="BJ41" s="554"/>
      <c r="BK41" s="554"/>
      <c r="BL41" s="554"/>
      <c r="BM41" s="554"/>
      <c r="BN41" s="554"/>
      <c r="BO41" s="554"/>
      <c r="BP41" s="554"/>
      <c r="BQ41" s="554"/>
      <c r="BR41" s="555"/>
    </row>
    <row r="42" spans="1:70" x14ac:dyDescent="0.2">
      <c r="A42" s="556"/>
      <c r="B42" s="557"/>
      <c r="C42" s="557"/>
      <c r="D42" s="557"/>
      <c r="E42" s="557"/>
      <c r="F42" s="557"/>
      <c r="G42" s="558"/>
      <c r="H42" s="556"/>
      <c r="I42" s="557"/>
      <c r="J42" s="557"/>
      <c r="K42" s="557"/>
      <c r="L42" s="557"/>
      <c r="M42" s="557"/>
      <c r="N42" s="557"/>
      <c r="O42" s="558"/>
      <c r="P42" s="559"/>
      <c r="Q42" s="560"/>
      <c r="R42" s="560"/>
      <c r="S42" s="560"/>
      <c r="T42" s="560"/>
      <c r="U42" s="560"/>
      <c r="V42" s="561"/>
      <c r="W42" s="559"/>
      <c r="X42" s="560"/>
      <c r="Y42" s="560"/>
      <c r="Z42" s="560"/>
      <c r="AA42" s="560"/>
      <c r="AB42" s="560"/>
      <c r="AC42" s="560"/>
      <c r="AD42" s="560"/>
      <c r="AE42" s="560"/>
      <c r="AF42" s="560"/>
      <c r="AG42" s="560"/>
      <c r="AH42" s="560"/>
      <c r="AI42" s="560"/>
      <c r="AJ42" s="560"/>
      <c r="AK42" s="560"/>
      <c r="AL42" s="560"/>
      <c r="AM42" s="561"/>
      <c r="AN42" s="565"/>
      <c r="AO42" s="566"/>
      <c r="AP42" s="566"/>
      <c r="AQ42" s="566"/>
      <c r="AR42" s="566"/>
      <c r="AS42" s="566"/>
      <c r="AT42" s="567"/>
      <c r="AU42" s="565"/>
      <c r="AV42" s="566"/>
      <c r="AW42" s="566"/>
      <c r="AX42" s="566"/>
      <c r="AY42" s="566"/>
      <c r="AZ42" s="566"/>
      <c r="BA42" s="567"/>
      <c r="BB42" s="571"/>
      <c r="BC42" s="572"/>
      <c r="BD42" s="572"/>
      <c r="BE42" s="572"/>
      <c r="BF42" s="572"/>
      <c r="BG42" s="572"/>
      <c r="BH42" s="573"/>
      <c r="BI42" s="559"/>
      <c r="BJ42" s="560"/>
      <c r="BK42" s="560"/>
      <c r="BL42" s="560"/>
      <c r="BM42" s="560"/>
      <c r="BN42" s="560"/>
      <c r="BO42" s="560"/>
      <c r="BP42" s="560"/>
      <c r="BQ42" s="560"/>
      <c r="BR42" s="561"/>
    </row>
    <row r="43" spans="1:70" x14ac:dyDescent="0.2">
      <c r="A43" s="556"/>
      <c r="B43" s="557"/>
      <c r="C43" s="557"/>
      <c r="D43" s="557"/>
      <c r="E43" s="557"/>
      <c r="F43" s="557"/>
      <c r="G43" s="558"/>
      <c r="H43" s="556"/>
      <c r="I43" s="557"/>
      <c r="J43" s="557"/>
      <c r="K43" s="557"/>
      <c r="L43" s="557"/>
      <c r="M43" s="557"/>
      <c r="N43" s="557"/>
      <c r="O43" s="558"/>
      <c r="P43" s="553" t="s">
        <v>575</v>
      </c>
      <c r="Q43" s="554"/>
      <c r="R43" s="554"/>
      <c r="S43" s="554"/>
      <c r="T43" s="554"/>
      <c r="U43" s="554"/>
      <c r="V43" s="555"/>
      <c r="W43" s="553" t="s">
        <v>576</v>
      </c>
      <c r="X43" s="554"/>
      <c r="Y43" s="554"/>
      <c r="Z43" s="554"/>
      <c r="AA43" s="554"/>
      <c r="AB43" s="554"/>
      <c r="AC43" s="554"/>
      <c r="AD43" s="554"/>
      <c r="AE43" s="554"/>
      <c r="AF43" s="554"/>
      <c r="AG43" s="554"/>
      <c r="AH43" s="554"/>
      <c r="AI43" s="554"/>
      <c r="AJ43" s="554"/>
      <c r="AK43" s="554"/>
      <c r="AL43" s="554"/>
      <c r="AM43" s="555"/>
      <c r="AN43" s="562"/>
      <c r="AO43" s="563"/>
      <c r="AP43" s="563"/>
      <c r="AQ43" s="563"/>
      <c r="AR43" s="563"/>
      <c r="AS43" s="563"/>
      <c r="AT43" s="564"/>
      <c r="AU43" s="562"/>
      <c r="AV43" s="563"/>
      <c r="AW43" s="563"/>
      <c r="AX43" s="563"/>
      <c r="AY43" s="563"/>
      <c r="AZ43" s="563"/>
      <c r="BA43" s="564"/>
      <c r="BB43" s="568" t="s">
        <v>562</v>
      </c>
      <c r="BC43" s="569"/>
      <c r="BD43" s="569"/>
      <c r="BE43" s="569"/>
      <c r="BF43" s="569"/>
      <c r="BG43" s="569"/>
      <c r="BH43" s="570"/>
      <c r="BI43" s="553" t="s">
        <v>574</v>
      </c>
      <c r="BJ43" s="554"/>
      <c r="BK43" s="554"/>
      <c r="BL43" s="554"/>
      <c r="BM43" s="554"/>
      <c r="BN43" s="554"/>
      <c r="BO43" s="554"/>
      <c r="BP43" s="554"/>
      <c r="BQ43" s="554"/>
      <c r="BR43" s="555"/>
    </row>
    <row r="44" spans="1:70" x14ac:dyDescent="0.2">
      <c r="A44" s="556"/>
      <c r="B44" s="557"/>
      <c r="C44" s="557"/>
      <c r="D44" s="557"/>
      <c r="E44" s="557"/>
      <c r="F44" s="557"/>
      <c r="G44" s="558"/>
      <c r="H44" s="559"/>
      <c r="I44" s="560"/>
      <c r="J44" s="560"/>
      <c r="K44" s="560"/>
      <c r="L44" s="560"/>
      <c r="M44" s="560"/>
      <c r="N44" s="560"/>
      <c r="O44" s="561"/>
      <c r="P44" s="559"/>
      <c r="Q44" s="560"/>
      <c r="R44" s="560"/>
      <c r="S44" s="560"/>
      <c r="T44" s="560"/>
      <c r="U44" s="560"/>
      <c r="V44" s="561"/>
      <c r="W44" s="559"/>
      <c r="X44" s="560"/>
      <c r="Y44" s="560"/>
      <c r="Z44" s="560"/>
      <c r="AA44" s="560"/>
      <c r="AB44" s="560"/>
      <c r="AC44" s="560"/>
      <c r="AD44" s="560"/>
      <c r="AE44" s="560"/>
      <c r="AF44" s="560"/>
      <c r="AG44" s="560"/>
      <c r="AH44" s="560"/>
      <c r="AI44" s="560"/>
      <c r="AJ44" s="560"/>
      <c r="AK44" s="560"/>
      <c r="AL44" s="560"/>
      <c r="AM44" s="561"/>
      <c r="AN44" s="565"/>
      <c r="AO44" s="566"/>
      <c r="AP44" s="566"/>
      <c r="AQ44" s="566"/>
      <c r="AR44" s="566"/>
      <c r="AS44" s="566"/>
      <c r="AT44" s="567"/>
      <c r="AU44" s="565"/>
      <c r="AV44" s="566"/>
      <c r="AW44" s="566"/>
      <c r="AX44" s="566"/>
      <c r="AY44" s="566"/>
      <c r="AZ44" s="566"/>
      <c r="BA44" s="567"/>
      <c r="BB44" s="571"/>
      <c r="BC44" s="572"/>
      <c r="BD44" s="572"/>
      <c r="BE44" s="572"/>
      <c r="BF44" s="572"/>
      <c r="BG44" s="572"/>
      <c r="BH44" s="573"/>
      <c r="BI44" s="559"/>
      <c r="BJ44" s="560"/>
      <c r="BK44" s="560"/>
      <c r="BL44" s="560"/>
      <c r="BM44" s="560"/>
      <c r="BN44" s="560"/>
      <c r="BO44" s="560"/>
      <c r="BP44" s="560"/>
      <c r="BQ44" s="560"/>
      <c r="BR44" s="561"/>
    </row>
    <row r="45" spans="1:70" x14ac:dyDescent="0.2">
      <c r="A45" s="556"/>
      <c r="B45" s="557"/>
      <c r="C45" s="557"/>
      <c r="D45" s="557"/>
      <c r="E45" s="557"/>
      <c r="F45" s="557"/>
      <c r="G45" s="558"/>
      <c r="H45" s="553" t="s">
        <v>585</v>
      </c>
      <c r="I45" s="554"/>
      <c r="J45" s="554"/>
      <c r="K45" s="554"/>
      <c r="L45" s="554"/>
      <c r="M45" s="554"/>
      <c r="N45" s="554"/>
      <c r="O45" s="555"/>
      <c r="P45" s="553" t="s">
        <v>395</v>
      </c>
      <c r="Q45" s="554"/>
      <c r="R45" s="554"/>
      <c r="S45" s="554"/>
      <c r="T45" s="554"/>
      <c r="U45" s="554"/>
      <c r="V45" s="555"/>
      <c r="W45" s="553" t="s">
        <v>586</v>
      </c>
      <c r="X45" s="554"/>
      <c r="Y45" s="554"/>
      <c r="Z45" s="554"/>
      <c r="AA45" s="554"/>
      <c r="AB45" s="554"/>
      <c r="AC45" s="554"/>
      <c r="AD45" s="554"/>
      <c r="AE45" s="554"/>
      <c r="AF45" s="554"/>
      <c r="AG45" s="554"/>
      <c r="AH45" s="554"/>
      <c r="AI45" s="554"/>
      <c r="AJ45" s="554"/>
      <c r="AK45" s="554"/>
      <c r="AL45" s="554"/>
      <c r="AM45" s="555"/>
      <c r="AN45" s="562">
        <v>4.0419999999999998</v>
      </c>
      <c r="AO45" s="563"/>
      <c r="AP45" s="563"/>
      <c r="AQ45" s="563"/>
      <c r="AR45" s="563"/>
      <c r="AS45" s="563"/>
      <c r="AT45" s="564"/>
      <c r="AU45" s="562">
        <v>33.165999999999997</v>
      </c>
      <c r="AV45" s="563"/>
      <c r="AW45" s="563"/>
      <c r="AX45" s="563"/>
      <c r="AY45" s="563"/>
      <c r="AZ45" s="563"/>
      <c r="BA45" s="564"/>
      <c r="BB45" s="568" t="s">
        <v>562</v>
      </c>
      <c r="BC45" s="569"/>
      <c r="BD45" s="569"/>
      <c r="BE45" s="569"/>
      <c r="BF45" s="569"/>
      <c r="BG45" s="569"/>
      <c r="BH45" s="570"/>
      <c r="BI45" s="553" t="s">
        <v>581</v>
      </c>
      <c r="BJ45" s="554"/>
      <c r="BK45" s="554"/>
      <c r="BL45" s="554"/>
      <c r="BM45" s="554"/>
      <c r="BN45" s="554"/>
      <c r="BO45" s="554"/>
      <c r="BP45" s="554"/>
      <c r="BQ45" s="554"/>
      <c r="BR45" s="555"/>
    </row>
    <row r="46" spans="1:70" x14ac:dyDescent="0.2">
      <c r="A46" s="556"/>
      <c r="B46" s="557"/>
      <c r="C46" s="557"/>
      <c r="D46" s="557"/>
      <c r="E46" s="557"/>
      <c r="F46" s="557"/>
      <c r="G46" s="558"/>
      <c r="H46" s="556"/>
      <c r="I46" s="557"/>
      <c r="J46" s="557"/>
      <c r="K46" s="557"/>
      <c r="L46" s="557"/>
      <c r="M46" s="557"/>
      <c r="N46" s="557"/>
      <c r="O46" s="558"/>
      <c r="P46" s="559"/>
      <c r="Q46" s="560"/>
      <c r="R46" s="560"/>
      <c r="S46" s="560"/>
      <c r="T46" s="560"/>
      <c r="U46" s="560"/>
      <c r="V46" s="561"/>
      <c r="W46" s="559"/>
      <c r="X46" s="560"/>
      <c r="Y46" s="560"/>
      <c r="Z46" s="560"/>
      <c r="AA46" s="560"/>
      <c r="AB46" s="560"/>
      <c r="AC46" s="560"/>
      <c r="AD46" s="560"/>
      <c r="AE46" s="560"/>
      <c r="AF46" s="560"/>
      <c r="AG46" s="560"/>
      <c r="AH46" s="560"/>
      <c r="AI46" s="560"/>
      <c r="AJ46" s="560"/>
      <c r="AK46" s="560"/>
      <c r="AL46" s="560"/>
      <c r="AM46" s="561"/>
      <c r="AN46" s="565"/>
      <c r="AO46" s="566"/>
      <c r="AP46" s="566"/>
      <c r="AQ46" s="566"/>
      <c r="AR46" s="566"/>
      <c r="AS46" s="566"/>
      <c r="AT46" s="567"/>
      <c r="AU46" s="565"/>
      <c r="AV46" s="566"/>
      <c r="AW46" s="566"/>
      <c r="AX46" s="566"/>
      <c r="AY46" s="566"/>
      <c r="AZ46" s="566"/>
      <c r="BA46" s="567"/>
      <c r="BB46" s="571"/>
      <c r="BC46" s="572"/>
      <c r="BD46" s="572"/>
      <c r="BE46" s="572"/>
      <c r="BF46" s="572"/>
      <c r="BG46" s="572"/>
      <c r="BH46" s="573"/>
      <c r="BI46" s="559"/>
      <c r="BJ46" s="560"/>
      <c r="BK46" s="560"/>
      <c r="BL46" s="560"/>
      <c r="BM46" s="560"/>
      <c r="BN46" s="560"/>
      <c r="BO46" s="560"/>
      <c r="BP46" s="560"/>
      <c r="BQ46" s="560"/>
      <c r="BR46" s="561"/>
    </row>
    <row r="47" spans="1:70" x14ac:dyDescent="0.2">
      <c r="A47" s="556"/>
      <c r="B47" s="557"/>
      <c r="C47" s="557"/>
      <c r="D47" s="557"/>
      <c r="E47" s="557"/>
      <c r="F47" s="557"/>
      <c r="G47" s="558"/>
      <c r="H47" s="556"/>
      <c r="I47" s="557"/>
      <c r="J47" s="557"/>
      <c r="K47" s="557"/>
      <c r="L47" s="557"/>
      <c r="M47" s="557"/>
      <c r="N47" s="557"/>
      <c r="O47" s="558"/>
      <c r="P47" s="553" t="s">
        <v>396</v>
      </c>
      <c r="Q47" s="554"/>
      <c r="R47" s="554"/>
      <c r="S47" s="554"/>
      <c r="T47" s="554"/>
      <c r="U47" s="554"/>
      <c r="V47" s="555"/>
      <c r="W47" s="553" t="s">
        <v>582</v>
      </c>
      <c r="X47" s="554"/>
      <c r="Y47" s="554"/>
      <c r="Z47" s="554"/>
      <c r="AA47" s="554"/>
      <c r="AB47" s="554"/>
      <c r="AC47" s="554"/>
      <c r="AD47" s="554"/>
      <c r="AE47" s="554"/>
      <c r="AF47" s="554"/>
      <c r="AG47" s="554"/>
      <c r="AH47" s="554"/>
      <c r="AI47" s="554"/>
      <c r="AJ47" s="554"/>
      <c r="AK47" s="554"/>
      <c r="AL47" s="554"/>
      <c r="AM47" s="555"/>
      <c r="AN47" s="562">
        <v>3.5999999999999997E-2</v>
      </c>
      <c r="AO47" s="563"/>
      <c r="AP47" s="563"/>
      <c r="AQ47" s="563"/>
      <c r="AR47" s="563"/>
      <c r="AS47" s="563"/>
      <c r="AT47" s="564"/>
      <c r="AU47" s="562">
        <v>0.76200000000000001</v>
      </c>
      <c r="AV47" s="563"/>
      <c r="AW47" s="563"/>
      <c r="AX47" s="563"/>
      <c r="AY47" s="563"/>
      <c r="AZ47" s="563"/>
      <c r="BA47" s="564"/>
      <c r="BB47" s="568" t="s">
        <v>562</v>
      </c>
      <c r="BC47" s="569"/>
      <c r="BD47" s="569"/>
      <c r="BE47" s="569"/>
      <c r="BF47" s="569"/>
      <c r="BG47" s="569"/>
      <c r="BH47" s="570"/>
      <c r="BI47" s="553" t="s">
        <v>581</v>
      </c>
      <c r="BJ47" s="554"/>
      <c r="BK47" s="554"/>
      <c r="BL47" s="554"/>
      <c r="BM47" s="554"/>
      <c r="BN47" s="554"/>
      <c r="BO47" s="554"/>
      <c r="BP47" s="554"/>
      <c r="BQ47" s="554"/>
      <c r="BR47" s="555"/>
    </row>
    <row r="48" spans="1:70" x14ac:dyDescent="0.2">
      <c r="A48" s="556"/>
      <c r="B48" s="557"/>
      <c r="C48" s="557"/>
      <c r="D48" s="557"/>
      <c r="E48" s="557"/>
      <c r="F48" s="557"/>
      <c r="G48" s="558"/>
      <c r="H48" s="559"/>
      <c r="I48" s="560"/>
      <c r="J48" s="560"/>
      <c r="K48" s="560"/>
      <c r="L48" s="560"/>
      <c r="M48" s="560"/>
      <c r="N48" s="560"/>
      <c r="O48" s="561"/>
      <c r="P48" s="559"/>
      <c r="Q48" s="560"/>
      <c r="R48" s="560"/>
      <c r="S48" s="560"/>
      <c r="T48" s="560"/>
      <c r="U48" s="560"/>
      <c r="V48" s="561"/>
      <c r="W48" s="559"/>
      <c r="X48" s="560"/>
      <c r="Y48" s="560"/>
      <c r="Z48" s="560"/>
      <c r="AA48" s="560"/>
      <c r="AB48" s="560"/>
      <c r="AC48" s="560"/>
      <c r="AD48" s="560"/>
      <c r="AE48" s="560"/>
      <c r="AF48" s="560"/>
      <c r="AG48" s="560"/>
      <c r="AH48" s="560"/>
      <c r="AI48" s="560"/>
      <c r="AJ48" s="560"/>
      <c r="AK48" s="560"/>
      <c r="AL48" s="560"/>
      <c r="AM48" s="561"/>
      <c r="AN48" s="565"/>
      <c r="AO48" s="566"/>
      <c r="AP48" s="566"/>
      <c r="AQ48" s="566"/>
      <c r="AR48" s="566"/>
      <c r="AS48" s="566"/>
      <c r="AT48" s="567"/>
      <c r="AU48" s="565"/>
      <c r="AV48" s="566"/>
      <c r="AW48" s="566"/>
      <c r="AX48" s="566"/>
      <c r="AY48" s="566"/>
      <c r="AZ48" s="566"/>
      <c r="BA48" s="567"/>
      <c r="BB48" s="571"/>
      <c r="BC48" s="572"/>
      <c r="BD48" s="572"/>
      <c r="BE48" s="572"/>
      <c r="BF48" s="572"/>
      <c r="BG48" s="572"/>
      <c r="BH48" s="573"/>
      <c r="BI48" s="559"/>
      <c r="BJ48" s="560"/>
      <c r="BK48" s="560"/>
      <c r="BL48" s="560"/>
      <c r="BM48" s="560"/>
      <c r="BN48" s="560"/>
      <c r="BO48" s="560"/>
      <c r="BP48" s="560"/>
      <c r="BQ48" s="560"/>
      <c r="BR48" s="561"/>
    </row>
    <row r="49" spans="1:70" x14ac:dyDescent="0.2">
      <c r="A49" s="553" t="s">
        <v>587</v>
      </c>
      <c r="B49" s="554"/>
      <c r="C49" s="554"/>
      <c r="D49" s="554"/>
      <c r="E49" s="554"/>
      <c r="F49" s="554"/>
      <c r="G49" s="555"/>
      <c r="H49" s="553" t="s">
        <v>203</v>
      </c>
      <c r="I49" s="554"/>
      <c r="J49" s="554"/>
      <c r="K49" s="554"/>
      <c r="L49" s="554"/>
      <c r="M49" s="554"/>
      <c r="N49" s="554"/>
      <c r="O49" s="555"/>
      <c r="P49" s="553" t="s">
        <v>572</v>
      </c>
      <c r="Q49" s="554"/>
      <c r="R49" s="554"/>
      <c r="S49" s="554"/>
      <c r="T49" s="554"/>
      <c r="U49" s="554"/>
      <c r="V49" s="555"/>
      <c r="W49" s="553" t="s">
        <v>194</v>
      </c>
      <c r="X49" s="554"/>
      <c r="Y49" s="554"/>
      <c r="Z49" s="554"/>
      <c r="AA49" s="554"/>
      <c r="AB49" s="554"/>
      <c r="AC49" s="554"/>
      <c r="AD49" s="554"/>
      <c r="AE49" s="554"/>
      <c r="AF49" s="554"/>
      <c r="AG49" s="554"/>
      <c r="AH49" s="554"/>
      <c r="AI49" s="554"/>
      <c r="AJ49" s="554"/>
      <c r="AK49" s="554"/>
      <c r="AL49" s="554"/>
      <c r="AM49" s="555"/>
      <c r="AN49" s="562"/>
      <c r="AO49" s="563"/>
      <c r="AP49" s="563"/>
      <c r="AQ49" s="563"/>
      <c r="AR49" s="563"/>
      <c r="AS49" s="563"/>
      <c r="AT49" s="564"/>
      <c r="AU49" s="562"/>
      <c r="AV49" s="563"/>
      <c r="AW49" s="563"/>
      <c r="AX49" s="563"/>
      <c r="AY49" s="563"/>
      <c r="AZ49" s="563"/>
      <c r="BA49" s="564"/>
      <c r="BB49" s="568"/>
      <c r="BC49" s="569"/>
      <c r="BD49" s="569"/>
      <c r="BE49" s="569"/>
      <c r="BF49" s="569"/>
      <c r="BG49" s="569"/>
      <c r="BH49" s="570"/>
      <c r="BI49" s="553" t="s">
        <v>574</v>
      </c>
      <c r="BJ49" s="554"/>
      <c r="BK49" s="554"/>
      <c r="BL49" s="554"/>
      <c r="BM49" s="554"/>
      <c r="BN49" s="554"/>
      <c r="BO49" s="554"/>
      <c r="BP49" s="554"/>
      <c r="BQ49" s="554"/>
      <c r="BR49" s="555"/>
    </row>
    <row r="50" spans="1:70" x14ac:dyDescent="0.2">
      <c r="A50" s="556"/>
      <c r="B50" s="557"/>
      <c r="C50" s="557"/>
      <c r="D50" s="557"/>
      <c r="E50" s="557"/>
      <c r="F50" s="557"/>
      <c r="G50" s="558"/>
      <c r="H50" s="556"/>
      <c r="I50" s="557"/>
      <c r="J50" s="557"/>
      <c r="K50" s="557"/>
      <c r="L50" s="557"/>
      <c r="M50" s="557"/>
      <c r="N50" s="557"/>
      <c r="O50" s="558"/>
      <c r="P50" s="559"/>
      <c r="Q50" s="560"/>
      <c r="R50" s="560"/>
      <c r="S50" s="560"/>
      <c r="T50" s="560"/>
      <c r="U50" s="560"/>
      <c r="V50" s="561"/>
      <c r="W50" s="559"/>
      <c r="X50" s="560"/>
      <c r="Y50" s="560"/>
      <c r="Z50" s="560"/>
      <c r="AA50" s="560"/>
      <c r="AB50" s="560"/>
      <c r="AC50" s="560"/>
      <c r="AD50" s="560"/>
      <c r="AE50" s="560"/>
      <c r="AF50" s="560"/>
      <c r="AG50" s="560"/>
      <c r="AH50" s="560"/>
      <c r="AI50" s="560"/>
      <c r="AJ50" s="560"/>
      <c r="AK50" s="560"/>
      <c r="AL50" s="560"/>
      <c r="AM50" s="561"/>
      <c r="AN50" s="565"/>
      <c r="AO50" s="566"/>
      <c r="AP50" s="566"/>
      <c r="AQ50" s="566"/>
      <c r="AR50" s="566"/>
      <c r="AS50" s="566"/>
      <c r="AT50" s="567"/>
      <c r="AU50" s="565"/>
      <c r="AV50" s="566"/>
      <c r="AW50" s="566"/>
      <c r="AX50" s="566"/>
      <c r="AY50" s="566"/>
      <c r="AZ50" s="566"/>
      <c r="BA50" s="567"/>
      <c r="BB50" s="571"/>
      <c r="BC50" s="572"/>
      <c r="BD50" s="572"/>
      <c r="BE50" s="572"/>
      <c r="BF50" s="572"/>
      <c r="BG50" s="572"/>
      <c r="BH50" s="573"/>
      <c r="BI50" s="559"/>
      <c r="BJ50" s="560"/>
      <c r="BK50" s="560"/>
      <c r="BL50" s="560"/>
      <c r="BM50" s="560"/>
      <c r="BN50" s="560"/>
      <c r="BO50" s="560"/>
      <c r="BP50" s="560"/>
      <c r="BQ50" s="560"/>
      <c r="BR50" s="561"/>
    </row>
    <row r="51" spans="1:70" x14ac:dyDescent="0.2">
      <c r="A51" s="556"/>
      <c r="B51" s="557"/>
      <c r="C51" s="557"/>
      <c r="D51" s="557"/>
      <c r="E51" s="557"/>
      <c r="F51" s="557"/>
      <c r="G51" s="558"/>
      <c r="H51" s="556"/>
      <c r="I51" s="557"/>
      <c r="J51" s="557"/>
      <c r="K51" s="557"/>
      <c r="L51" s="557"/>
      <c r="M51" s="557"/>
      <c r="N51" s="557"/>
      <c r="O51" s="558"/>
      <c r="P51" s="553" t="s">
        <v>575</v>
      </c>
      <c r="Q51" s="554"/>
      <c r="R51" s="554"/>
      <c r="S51" s="554"/>
      <c r="T51" s="554"/>
      <c r="U51" s="554"/>
      <c r="V51" s="555"/>
      <c r="W51" s="553" t="s">
        <v>576</v>
      </c>
      <c r="X51" s="554"/>
      <c r="Y51" s="554"/>
      <c r="Z51" s="554"/>
      <c r="AA51" s="554"/>
      <c r="AB51" s="554"/>
      <c r="AC51" s="554"/>
      <c r="AD51" s="554"/>
      <c r="AE51" s="554"/>
      <c r="AF51" s="554"/>
      <c r="AG51" s="554"/>
      <c r="AH51" s="554"/>
      <c r="AI51" s="554"/>
      <c r="AJ51" s="554"/>
      <c r="AK51" s="554"/>
      <c r="AL51" s="554"/>
      <c r="AM51" s="555"/>
      <c r="AN51" s="562"/>
      <c r="AO51" s="563"/>
      <c r="AP51" s="563"/>
      <c r="AQ51" s="563"/>
      <c r="AR51" s="563"/>
      <c r="AS51" s="563"/>
      <c r="AT51" s="564"/>
      <c r="AU51" s="562"/>
      <c r="AV51" s="563"/>
      <c r="AW51" s="563"/>
      <c r="AX51" s="563"/>
      <c r="AY51" s="563"/>
      <c r="AZ51" s="563"/>
      <c r="BA51" s="564"/>
      <c r="BB51" s="568"/>
      <c r="BC51" s="569"/>
      <c r="BD51" s="569"/>
      <c r="BE51" s="569"/>
      <c r="BF51" s="569"/>
      <c r="BG51" s="569"/>
      <c r="BH51" s="570"/>
      <c r="BI51" s="553" t="s">
        <v>574</v>
      </c>
      <c r="BJ51" s="554"/>
      <c r="BK51" s="554"/>
      <c r="BL51" s="554"/>
      <c r="BM51" s="554"/>
      <c r="BN51" s="554"/>
      <c r="BO51" s="554"/>
      <c r="BP51" s="554"/>
      <c r="BQ51" s="554"/>
      <c r="BR51" s="555"/>
    </row>
    <row r="52" spans="1:70" x14ac:dyDescent="0.2">
      <c r="A52" s="559"/>
      <c r="B52" s="560"/>
      <c r="C52" s="560"/>
      <c r="D52" s="560"/>
      <c r="E52" s="560"/>
      <c r="F52" s="560"/>
      <c r="G52" s="561"/>
      <c r="H52" s="559"/>
      <c r="I52" s="560"/>
      <c r="J52" s="560"/>
      <c r="K52" s="560"/>
      <c r="L52" s="560"/>
      <c r="M52" s="560"/>
      <c r="N52" s="560"/>
      <c r="O52" s="561"/>
      <c r="P52" s="559"/>
      <c r="Q52" s="560"/>
      <c r="R52" s="560"/>
      <c r="S52" s="560"/>
      <c r="T52" s="560"/>
      <c r="U52" s="560"/>
      <c r="V52" s="561"/>
      <c r="W52" s="559"/>
      <c r="X52" s="560"/>
      <c r="Y52" s="560"/>
      <c r="Z52" s="560"/>
      <c r="AA52" s="560"/>
      <c r="AB52" s="560"/>
      <c r="AC52" s="560"/>
      <c r="AD52" s="560"/>
      <c r="AE52" s="560"/>
      <c r="AF52" s="560"/>
      <c r="AG52" s="560"/>
      <c r="AH52" s="560"/>
      <c r="AI52" s="560"/>
      <c r="AJ52" s="560"/>
      <c r="AK52" s="560"/>
      <c r="AL52" s="560"/>
      <c r="AM52" s="561"/>
      <c r="AN52" s="565"/>
      <c r="AO52" s="566"/>
      <c r="AP52" s="566"/>
      <c r="AQ52" s="566"/>
      <c r="AR52" s="566"/>
      <c r="AS52" s="566"/>
      <c r="AT52" s="567"/>
      <c r="AU52" s="565"/>
      <c r="AV52" s="566"/>
      <c r="AW52" s="566"/>
      <c r="AX52" s="566"/>
      <c r="AY52" s="566"/>
      <c r="AZ52" s="566"/>
      <c r="BA52" s="567"/>
      <c r="BB52" s="580"/>
      <c r="BC52" s="581"/>
      <c r="BD52" s="581"/>
      <c r="BE52" s="581"/>
      <c r="BF52" s="581"/>
      <c r="BG52" s="581"/>
      <c r="BH52" s="582"/>
      <c r="BI52" s="559"/>
      <c r="BJ52" s="560"/>
      <c r="BK52" s="560"/>
      <c r="BL52" s="560"/>
      <c r="BM52" s="560"/>
      <c r="BN52" s="560"/>
      <c r="BO52" s="560"/>
      <c r="BP52" s="560"/>
      <c r="BQ52" s="560"/>
      <c r="BR52" s="561"/>
    </row>
  </sheetData>
  <mergeCells count="184">
    <mergeCell ref="BB9:BH9"/>
    <mergeCell ref="BI9:BO9"/>
    <mergeCell ref="A8:S8"/>
    <mergeCell ref="A9:S9"/>
    <mergeCell ref="T8:AM8"/>
    <mergeCell ref="T9:AM9"/>
    <mergeCell ref="AN8:AT8"/>
    <mergeCell ref="AN9:AT9"/>
    <mergeCell ref="AU8:BA8"/>
    <mergeCell ref="AU9:BA9"/>
    <mergeCell ref="A7:S7"/>
    <mergeCell ref="T6:AM6"/>
    <mergeCell ref="T7:AM7"/>
    <mergeCell ref="AS3:AW7"/>
    <mergeCell ref="A1:F5"/>
    <mergeCell ref="G1:S5"/>
    <mergeCell ref="T1:AM5"/>
    <mergeCell ref="A6:S6"/>
    <mergeCell ref="AN3:AR7"/>
    <mergeCell ref="AN1:AR1"/>
    <mergeCell ref="AS1:AW1"/>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BB19:BH20"/>
    <mergeCell ref="BB21:BH22"/>
    <mergeCell ref="BB23:BH24"/>
    <mergeCell ref="BB25:BH26"/>
    <mergeCell ref="BB27:BH28"/>
    <mergeCell ref="BB49:BH50"/>
    <mergeCell ref="BB51:BH52"/>
    <mergeCell ref="BB37:BH38"/>
    <mergeCell ref="BB39:BH40"/>
    <mergeCell ref="BB41:BH42"/>
    <mergeCell ref="BB43:BH44"/>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P31:V32"/>
    <mergeCell ref="P33:V34"/>
    <mergeCell ref="P35:V36"/>
    <mergeCell ref="P25:V26"/>
    <mergeCell ref="P27:V28"/>
    <mergeCell ref="P13:V14"/>
    <mergeCell ref="P15:V16"/>
    <mergeCell ref="P17:V18"/>
    <mergeCell ref="P19:V20"/>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37:BR38"/>
    <mergeCell ref="BI39:BR40"/>
    <mergeCell ref="BI41:BR42"/>
    <mergeCell ref="BI43:BR44"/>
    <mergeCell ref="BI45:BR46"/>
    <mergeCell ref="BI47:BR48"/>
    <mergeCell ref="BI25:BR26"/>
    <mergeCell ref="BI27:BR28"/>
    <mergeCell ref="BI29:BR30"/>
    <mergeCell ref="BI31:BR32"/>
    <mergeCell ref="BI33:BR34"/>
    <mergeCell ref="BI35:BR36"/>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s>
  <phoneticPr fontId="23"/>
  <dataValidations count="1">
    <dataValidation type="list" allowBlank="1" showInputMessage="1" showErrorMessage="1" sqref="BB13:BH52">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zoomScale="85" zoomScaleNormal="85" zoomScaleSheetLayoutView="85" workbookViewId="0">
      <selection activeCell="A13" sqref="A13:H15"/>
    </sheetView>
  </sheetViews>
  <sheetFormatPr defaultColWidth="2.6640625" defaultRowHeight="13.2" x14ac:dyDescent="0.2"/>
  <cols>
    <col min="1" max="47" width="2.6640625" customWidth="1"/>
    <col min="48" max="48" width="3" customWidth="1"/>
  </cols>
  <sheetData>
    <row r="1" spans="1:66" x14ac:dyDescent="0.2">
      <c r="A1" s="601" t="s">
        <v>590</v>
      </c>
      <c r="B1" s="602"/>
      <c r="C1" s="602"/>
      <c r="D1" s="602"/>
      <c r="E1" s="602"/>
      <c r="F1" s="603"/>
      <c r="G1" s="601" t="s">
        <v>564</v>
      </c>
      <c r="H1" s="602"/>
      <c r="I1" s="602"/>
      <c r="J1" s="602"/>
      <c r="K1" s="602"/>
      <c r="L1" s="602"/>
      <c r="M1" s="602"/>
      <c r="N1" s="602"/>
      <c r="O1" s="602"/>
      <c r="P1" s="602"/>
      <c r="Q1" s="603"/>
      <c r="R1" s="610" t="s">
        <v>591</v>
      </c>
      <c r="S1" s="611"/>
      <c r="T1" s="611"/>
      <c r="U1" s="611"/>
      <c r="V1" s="611"/>
      <c r="W1" s="611"/>
      <c r="X1" s="611"/>
      <c r="Y1" s="611"/>
      <c r="Z1" s="611"/>
      <c r="AA1" s="611"/>
      <c r="AB1" s="611"/>
      <c r="AC1" s="611"/>
      <c r="AD1" s="611"/>
      <c r="AE1" s="611"/>
      <c r="AF1" s="611"/>
      <c r="AG1" s="611"/>
      <c r="AH1" s="611"/>
      <c r="AI1" s="612"/>
      <c r="AJ1" s="583" t="s">
        <v>305</v>
      </c>
      <c r="AK1" s="584"/>
      <c r="AL1" s="584"/>
      <c r="AM1" s="584"/>
      <c r="AN1" s="585"/>
      <c r="AO1" s="583" t="s">
        <v>306</v>
      </c>
      <c r="AP1" s="584"/>
      <c r="AQ1" s="584"/>
      <c r="AR1" s="584"/>
      <c r="AS1" s="585"/>
      <c r="AT1" s="583" t="s">
        <v>237</v>
      </c>
      <c r="AU1" s="584"/>
      <c r="AV1" s="584"/>
      <c r="AW1" s="584"/>
      <c r="AX1" s="585"/>
      <c r="AY1" s="586" t="s">
        <v>566</v>
      </c>
      <c r="AZ1" s="587"/>
      <c r="BA1" s="587"/>
      <c r="BB1" s="587"/>
      <c r="BC1" s="587"/>
      <c r="BD1" s="587"/>
      <c r="BE1" s="587"/>
      <c r="BF1" s="587"/>
      <c r="BG1" s="587"/>
      <c r="BH1" s="587"/>
      <c r="BI1" s="587"/>
      <c r="BJ1" s="587"/>
      <c r="BK1" s="587"/>
      <c r="BL1" s="587"/>
      <c r="BM1" s="587"/>
      <c r="BN1" s="588"/>
    </row>
    <row r="2" spans="1:66" x14ac:dyDescent="0.2">
      <c r="A2" s="604"/>
      <c r="B2" s="605"/>
      <c r="C2" s="605"/>
      <c r="D2" s="605"/>
      <c r="E2" s="605"/>
      <c r="F2" s="606"/>
      <c r="G2" s="604"/>
      <c r="H2" s="605"/>
      <c r="I2" s="605"/>
      <c r="J2" s="605"/>
      <c r="K2" s="605"/>
      <c r="L2" s="605"/>
      <c r="M2" s="605"/>
      <c r="N2" s="605"/>
      <c r="O2" s="605"/>
      <c r="P2" s="605"/>
      <c r="Q2" s="606"/>
      <c r="R2" s="613"/>
      <c r="S2" s="614"/>
      <c r="T2" s="614"/>
      <c r="U2" s="614"/>
      <c r="V2" s="614"/>
      <c r="W2" s="614"/>
      <c r="X2" s="614"/>
      <c r="Y2" s="614"/>
      <c r="Z2" s="614"/>
      <c r="AA2" s="614"/>
      <c r="AB2" s="614"/>
      <c r="AC2" s="614"/>
      <c r="AD2" s="614"/>
      <c r="AE2" s="614"/>
      <c r="AF2" s="614"/>
      <c r="AG2" s="614"/>
      <c r="AH2" s="614"/>
      <c r="AI2" s="615"/>
      <c r="AJ2" s="583" t="s">
        <v>494</v>
      </c>
      <c r="AK2" s="584"/>
      <c r="AL2" s="584"/>
      <c r="AM2" s="584"/>
      <c r="AN2" s="585"/>
      <c r="AO2" s="583" t="s">
        <v>494</v>
      </c>
      <c r="AP2" s="584"/>
      <c r="AQ2" s="584"/>
      <c r="AR2" s="584"/>
      <c r="AS2" s="585"/>
      <c r="AT2" s="583" t="s">
        <v>494</v>
      </c>
      <c r="AU2" s="584"/>
      <c r="AV2" s="584"/>
      <c r="AW2" s="584"/>
      <c r="AX2" s="585"/>
      <c r="AY2" s="586" t="s">
        <v>308</v>
      </c>
      <c r="AZ2" s="587"/>
      <c r="BA2" s="587"/>
      <c r="BB2" s="587"/>
      <c r="BC2" s="587"/>
      <c r="BD2" s="588"/>
      <c r="BE2" s="583" t="s">
        <v>306</v>
      </c>
      <c r="BF2" s="584"/>
      <c r="BG2" s="584"/>
      <c r="BH2" s="584"/>
      <c r="BI2" s="585"/>
      <c r="BJ2" s="583" t="s">
        <v>617</v>
      </c>
      <c r="BK2" s="584"/>
      <c r="BL2" s="584"/>
      <c r="BM2" s="584"/>
      <c r="BN2" s="585"/>
    </row>
    <row r="3" spans="1:66" x14ac:dyDescent="0.2">
      <c r="A3" s="604"/>
      <c r="B3" s="605"/>
      <c r="C3" s="605"/>
      <c r="D3" s="605"/>
      <c r="E3" s="605"/>
      <c r="F3" s="606"/>
      <c r="G3" s="604"/>
      <c r="H3" s="605"/>
      <c r="I3" s="605"/>
      <c r="J3" s="605"/>
      <c r="K3" s="605"/>
      <c r="L3" s="605"/>
      <c r="M3" s="605"/>
      <c r="N3" s="605"/>
      <c r="O3" s="605"/>
      <c r="P3" s="605"/>
      <c r="Q3" s="606"/>
      <c r="R3" s="613"/>
      <c r="S3" s="614"/>
      <c r="T3" s="614"/>
      <c r="U3" s="614"/>
      <c r="V3" s="614"/>
      <c r="W3" s="614"/>
      <c r="X3" s="614"/>
      <c r="Y3" s="614"/>
      <c r="Z3" s="614"/>
      <c r="AA3" s="614"/>
      <c r="AB3" s="614"/>
      <c r="AC3" s="614"/>
      <c r="AD3" s="614"/>
      <c r="AE3" s="614"/>
      <c r="AF3" s="614"/>
      <c r="AG3" s="614"/>
      <c r="AH3" s="614"/>
      <c r="AI3" s="615"/>
      <c r="AJ3" s="598"/>
      <c r="AK3" s="598"/>
      <c r="AL3" s="598"/>
      <c r="AM3" s="598"/>
      <c r="AN3" s="598"/>
      <c r="AO3" s="598"/>
      <c r="AP3" s="598"/>
      <c r="AQ3" s="598"/>
      <c r="AR3" s="598"/>
      <c r="AS3" s="598"/>
      <c r="AT3" s="598"/>
      <c r="AU3" s="598"/>
      <c r="AV3" s="598"/>
      <c r="AW3" s="598"/>
      <c r="AX3" s="598"/>
      <c r="AY3" s="589"/>
      <c r="AZ3" s="590"/>
      <c r="BA3" s="590"/>
      <c r="BB3" s="590"/>
      <c r="BC3" s="590"/>
      <c r="BD3" s="591"/>
      <c r="BE3" s="584" t="s">
        <v>495</v>
      </c>
      <c r="BF3" s="584"/>
      <c r="BG3" s="584"/>
      <c r="BH3" s="584"/>
      <c r="BI3" s="585"/>
      <c r="BJ3" s="583" t="s">
        <v>495</v>
      </c>
      <c r="BK3" s="584"/>
      <c r="BL3" s="584"/>
      <c r="BM3" s="584"/>
      <c r="BN3" s="585"/>
    </row>
    <row r="4" spans="1:66" x14ac:dyDescent="0.2">
      <c r="A4" s="604"/>
      <c r="B4" s="605"/>
      <c r="C4" s="605"/>
      <c r="D4" s="605"/>
      <c r="E4" s="605"/>
      <c r="F4" s="606"/>
      <c r="G4" s="604"/>
      <c r="H4" s="605"/>
      <c r="I4" s="605"/>
      <c r="J4" s="605"/>
      <c r="K4" s="605"/>
      <c r="L4" s="605"/>
      <c r="M4" s="605"/>
      <c r="N4" s="605"/>
      <c r="O4" s="605"/>
      <c r="P4" s="605"/>
      <c r="Q4" s="606"/>
      <c r="R4" s="613"/>
      <c r="S4" s="614"/>
      <c r="T4" s="614"/>
      <c r="U4" s="614"/>
      <c r="V4" s="614"/>
      <c r="W4" s="614"/>
      <c r="X4" s="614"/>
      <c r="Y4" s="614"/>
      <c r="Z4" s="614"/>
      <c r="AA4" s="614"/>
      <c r="AB4" s="614"/>
      <c r="AC4" s="614"/>
      <c r="AD4" s="614"/>
      <c r="AE4" s="614"/>
      <c r="AF4" s="614"/>
      <c r="AG4" s="614"/>
      <c r="AH4" s="614"/>
      <c r="AI4" s="615"/>
      <c r="AJ4" s="598"/>
      <c r="AK4" s="598"/>
      <c r="AL4" s="598"/>
      <c r="AM4" s="598"/>
      <c r="AN4" s="598"/>
      <c r="AO4" s="598"/>
      <c r="AP4" s="598"/>
      <c r="AQ4" s="598"/>
      <c r="AR4" s="598"/>
      <c r="AS4" s="598"/>
      <c r="AT4" s="598"/>
      <c r="AU4" s="598"/>
      <c r="AV4" s="598"/>
      <c r="AW4" s="598"/>
      <c r="AX4" s="598"/>
      <c r="AY4" s="592"/>
      <c r="AZ4" s="593"/>
      <c r="BA4" s="593"/>
      <c r="BB4" s="593"/>
      <c r="BC4" s="593"/>
      <c r="BD4" s="594"/>
      <c r="BE4" s="568"/>
      <c r="BF4" s="569"/>
      <c r="BG4" s="569"/>
      <c r="BH4" s="569"/>
      <c r="BI4" s="570"/>
      <c r="BJ4" s="568"/>
      <c r="BK4" s="569"/>
      <c r="BL4" s="569"/>
      <c r="BM4" s="569"/>
      <c r="BN4" s="570"/>
    </row>
    <row r="5" spans="1:66" x14ac:dyDescent="0.2">
      <c r="A5" s="607"/>
      <c r="B5" s="608"/>
      <c r="C5" s="608"/>
      <c r="D5" s="608"/>
      <c r="E5" s="608"/>
      <c r="F5" s="609"/>
      <c r="G5" s="607"/>
      <c r="H5" s="608"/>
      <c r="I5" s="608"/>
      <c r="J5" s="608"/>
      <c r="K5" s="608"/>
      <c r="L5" s="608"/>
      <c r="M5" s="608"/>
      <c r="N5" s="608"/>
      <c r="O5" s="608"/>
      <c r="P5" s="608"/>
      <c r="Q5" s="609"/>
      <c r="R5" s="616"/>
      <c r="S5" s="617"/>
      <c r="T5" s="617"/>
      <c r="U5" s="617"/>
      <c r="V5" s="617"/>
      <c r="W5" s="617"/>
      <c r="X5" s="617"/>
      <c r="Y5" s="617"/>
      <c r="Z5" s="617"/>
      <c r="AA5" s="617"/>
      <c r="AB5" s="617"/>
      <c r="AC5" s="617"/>
      <c r="AD5" s="617"/>
      <c r="AE5" s="617"/>
      <c r="AF5" s="617"/>
      <c r="AG5" s="617"/>
      <c r="AH5" s="617"/>
      <c r="AI5" s="618"/>
      <c r="AJ5" s="598"/>
      <c r="AK5" s="598"/>
      <c r="AL5" s="598"/>
      <c r="AM5" s="598"/>
      <c r="AN5" s="598"/>
      <c r="AO5" s="598"/>
      <c r="AP5" s="598"/>
      <c r="AQ5" s="598"/>
      <c r="AR5" s="598"/>
      <c r="AS5" s="598"/>
      <c r="AT5" s="598"/>
      <c r="AU5" s="598"/>
      <c r="AV5" s="598"/>
      <c r="AW5" s="598"/>
      <c r="AX5" s="598"/>
      <c r="AY5" s="592"/>
      <c r="AZ5" s="593"/>
      <c r="BA5" s="593"/>
      <c r="BB5" s="593"/>
      <c r="BC5" s="593"/>
      <c r="BD5" s="594"/>
      <c r="BE5" s="571"/>
      <c r="BF5" s="572"/>
      <c r="BG5" s="572"/>
      <c r="BH5" s="572"/>
      <c r="BI5" s="573"/>
      <c r="BJ5" s="571"/>
      <c r="BK5" s="572"/>
      <c r="BL5" s="572"/>
      <c r="BM5" s="572"/>
      <c r="BN5" s="573"/>
    </row>
    <row r="6" spans="1:66" x14ac:dyDescent="0.2">
      <c r="A6" s="598" t="s">
        <v>465</v>
      </c>
      <c r="B6" s="598"/>
      <c r="C6" s="598"/>
      <c r="D6" s="598"/>
      <c r="E6" s="598"/>
      <c r="F6" s="598"/>
      <c r="G6" s="598"/>
      <c r="H6" s="598"/>
      <c r="I6" s="598"/>
      <c r="J6" s="598"/>
      <c r="K6" s="598"/>
      <c r="L6" s="598"/>
      <c r="M6" s="598"/>
      <c r="N6" s="598"/>
      <c r="O6" s="598"/>
      <c r="P6" s="598"/>
      <c r="Q6" s="598"/>
      <c r="R6" s="600" t="s">
        <v>466</v>
      </c>
      <c r="S6" s="600"/>
      <c r="T6" s="600"/>
      <c r="U6" s="600"/>
      <c r="V6" s="600"/>
      <c r="W6" s="600"/>
      <c r="X6" s="600"/>
      <c r="Y6" s="600"/>
      <c r="Z6" s="600"/>
      <c r="AA6" s="600"/>
      <c r="AB6" s="600"/>
      <c r="AC6" s="600"/>
      <c r="AD6" s="600"/>
      <c r="AE6" s="600"/>
      <c r="AF6" s="600"/>
      <c r="AG6" s="600"/>
      <c r="AH6" s="600"/>
      <c r="AI6" s="600"/>
      <c r="AJ6" s="598"/>
      <c r="AK6" s="598"/>
      <c r="AL6" s="598"/>
      <c r="AM6" s="598"/>
      <c r="AN6" s="598"/>
      <c r="AO6" s="598"/>
      <c r="AP6" s="598"/>
      <c r="AQ6" s="598"/>
      <c r="AR6" s="598"/>
      <c r="AS6" s="598"/>
      <c r="AT6" s="598"/>
      <c r="AU6" s="598"/>
      <c r="AV6" s="598"/>
      <c r="AW6" s="598"/>
      <c r="AX6" s="598"/>
      <c r="AY6" s="592"/>
      <c r="AZ6" s="593"/>
      <c r="BA6" s="593"/>
      <c r="BB6" s="593"/>
      <c r="BC6" s="593"/>
      <c r="BD6" s="594"/>
      <c r="BE6" s="571"/>
      <c r="BF6" s="572"/>
      <c r="BG6" s="572"/>
      <c r="BH6" s="572"/>
      <c r="BI6" s="573"/>
      <c r="BJ6" s="571"/>
      <c r="BK6" s="572"/>
      <c r="BL6" s="572"/>
      <c r="BM6" s="572"/>
      <c r="BN6" s="573"/>
    </row>
    <row r="7" spans="1:66" x14ac:dyDescent="0.2">
      <c r="A7" s="598"/>
      <c r="B7" s="598"/>
      <c r="C7" s="598"/>
      <c r="D7" s="598"/>
      <c r="E7" s="598"/>
      <c r="F7" s="598"/>
      <c r="G7" s="598"/>
      <c r="H7" s="598"/>
      <c r="I7" s="598"/>
      <c r="J7" s="598"/>
      <c r="K7" s="598"/>
      <c r="L7" s="598"/>
      <c r="M7" s="598"/>
      <c r="N7" s="598"/>
      <c r="O7" s="598"/>
      <c r="P7" s="598"/>
      <c r="Q7" s="598"/>
      <c r="R7" s="600"/>
      <c r="S7" s="600"/>
      <c r="T7" s="600"/>
      <c r="U7" s="600"/>
      <c r="V7" s="600"/>
      <c r="W7" s="600"/>
      <c r="X7" s="600"/>
      <c r="Y7" s="600"/>
      <c r="Z7" s="600"/>
      <c r="AA7" s="600"/>
      <c r="AB7" s="600"/>
      <c r="AC7" s="600"/>
      <c r="AD7" s="600"/>
      <c r="AE7" s="600"/>
      <c r="AF7" s="600"/>
      <c r="AG7" s="600"/>
      <c r="AH7" s="600"/>
      <c r="AI7" s="600"/>
      <c r="AJ7" s="598"/>
      <c r="AK7" s="598"/>
      <c r="AL7" s="598"/>
      <c r="AM7" s="598"/>
      <c r="AN7" s="598"/>
      <c r="AO7" s="598"/>
      <c r="AP7" s="598"/>
      <c r="AQ7" s="598"/>
      <c r="AR7" s="598"/>
      <c r="AS7" s="598"/>
      <c r="AT7" s="598"/>
      <c r="AU7" s="598"/>
      <c r="AV7" s="598"/>
      <c r="AW7" s="598"/>
      <c r="AX7" s="598"/>
      <c r="AY7" s="595"/>
      <c r="AZ7" s="596"/>
      <c r="BA7" s="596"/>
      <c r="BB7" s="596"/>
      <c r="BC7" s="596"/>
      <c r="BD7" s="597"/>
      <c r="BE7" s="580"/>
      <c r="BF7" s="581"/>
      <c r="BG7" s="581"/>
      <c r="BH7" s="581"/>
      <c r="BI7" s="582"/>
      <c r="BJ7" s="580"/>
      <c r="BK7" s="581"/>
      <c r="BL7" s="581"/>
      <c r="BM7" s="581"/>
      <c r="BN7" s="582"/>
    </row>
    <row r="8" spans="1:66" x14ac:dyDescent="0.2">
      <c r="A8" s="598" t="s">
        <v>310</v>
      </c>
      <c r="B8" s="598"/>
      <c r="C8" s="598"/>
      <c r="D8" s="598"/>
      <c r="E8" s="598"/>
      <c r="F8" s="598"/>
      <c r="G8" s="598"/>
      <c r="H8" s="598"/>
      <c r="I8" s="598"/>
      <c r="J8" s="598"/>
      <c r="K8" s="598"/>
      <c r="L8" s="598"/>
      <c r="M8" s="598"/>
      <c r="N8" s="598"/>
      <c r="O8" s="598"/>
      <c r="P8" s="598"/>
      <c r="Q8" s="598"/>
      <c r="R8" s="600" t="s">
        <v>311</v>
      </c>
      <c r="S8" s="600"/>
      <c r="T8" s="600"/>
      <c r="U8" s="600"/>
      <c r="V8" s="600"/>
      <c r="W8" s="600"/>
      <c r="X8" s="600"/>
      <c r="Y8" s="600"/>
      <c r="Z8" s="600"/>
      <c r="AA8" s="600"/>
      <c r="AB8" s="600"/>
      <c r="AC8" s="600"/>
      <c r="AD8" s="600"/>
      <c r="AE8" s="600"/>
      <c r="AF8" s="600"/>
      <c r="AG8" s="600"/>
      <c r="AH8" s="600"/>
      <c r="AI8" s="600"/>
      <c r="AJ8" s="600" t="s">
        <v>312</v>
      </c>
      <c r="AK8" s="600"/>
      <c r="AL8" s="600"/>
      <c r="AM8" s="600"/>
      <c r="AN8" s="600"/>
      <c r="AO8" s="600"/>
      <c r="AP8" s="600"/>
      <c r="AQ8" s="600"/>
      <c r="AR8" s="600"/>
      <c r="AS8" s="600"/>
      <c r="AT8" s="600"/>
      <c r="AU8" s="600"/>
      <c r="AV8" s="600"/>
      <c r="AW8" s="600"/>
      <c r="AX8" s="600" t="s">
        <v>313</v>
      </c>
      <c r="AY8" s="600"/>
      <c r="AZ8" s="600"/>
      <c r="BA8" s="600"/>
      <c r="BB8" s="600"/>
      <c r="BC8" s="600"/>
      <c r="BD8" s="600"/>
      <c r="BE8" s="600"/>
      <c r="BF8" s="600"/>
      <c r="BG8" s="600"/>
      <c r="BH8" s="600"/>
      <c r="BI8" s="600"/>
      <c r="BJ8" s="600"/>
      <c r="BK8" s="600"/>
      <c r="BL8" s="598" t="s">
        <v>592</v>
      </c>
      <c r="BM8" s="598"/>
      <c r="BN8" s="598"/>
    </row>
    <row r="9" spans="1:66" x14ac:dyDescent="0.2">
      <c r="A9" s="598"/>
      <c r="B9" s="598"/>
      <c r="C9" s="598"/>
      <c r="D9" s="598"/>
      <c r="E9" s="598"/>
      <c r="F9" s="598"/>
      <c r="G9" s="598"/>
      <c r="H9" s="598"/>
      <c r="I9" s="598"/>
      <c r="J9" s="598"/>
      <c r="K9" s="598"/>
      <c r="L9" s="598"/>
      <c r="M9" s="598"/>
      <c r="N9" s="598"/>
      <c r="O9" s="598"/>
      <c r="P9" s="598"/>
      <c r="Q9" s="598"/>
      <c r="R9" s="600"/>
      <c r="S9" s="600"/>
      <c r="T9" s="600"/>
      <c r="U9" s="600"/>
      <c r="V9" s="600"/>
      <c r="W9" s="600"/>
      <c r="X9" s="600"/>
      <c r="Y9" s="600"/>
      <c r="Z9" s="600"/>
      <c r="AA9" s="600"/>
      <c r="AB9" s="600"/>
      <c r="AC9" s="600"/>
      <c r="AD9" s="600"/>
      <c r="AE9" s="600"/>
      <c r="AF9" s="600"/>
      <c r="AG9" s="600"/>
      <c r="AH9" s="600"/>
      <c r="AI9" s="600"/>
      <c r="AJ9" s="600" t="s">
        <v>568</v>
      </c>
      <c r="AK9" s="600"/>
      <c r="AL9" s="600"/>
      <c r="AM9" s="600"/>
      <c r="AN9" s="600"/>
      <c r="AO9" s="600"/>
      <c r="AP9" s="600"/>
      <c r="AQ9" s="598"/>
      <c r="AR9" s="598"/>
      <c r="AS9" s="598"/>
      <c r="AT9" s="598"/>
      <c r="AU9" s="598"/>
      <c r="AV9" s="598"/>
      <c r="AW9" s="598"/>
      <c r="AX9" s="600" t="s">
        <v>315</v>
      </c>
      <c r="AY9" s="600"/>
      <c r="AZ9" s="600"/>
      <c r="BA9" s="600"/>
      <c r="BB9" s="600"/>
      <c r="BC9" s="600"/>
      <c r="BD9" s="600"/>
      <c r="BE9" s="598"/>
      <c r="BF9" s="598"/>
      <c r="BG9" s="598"/>
      <c r="BH9" s="598"/>
      <c r="BI9" s="598"/>
      <c r="BJ9" s="598"/>
      <c r="BK9" s="598"/>
      <c r="BL9" s="599"/>
      <c r="BM9" s="599"/>
      <c r="BN9" s="599"/>
    </row>
    <row r="11" spans="1:66" x14ac:dyDescent="0.2">
      <c r="A11" s="574" t="s">
        <v>186</v>
      </c>
      <c r="B11" s="575"/>
      <c r="C11" s="575"/>
      <c r="D11" s="575"/>
      <c r="E11" s="575"/>
      <c r="F11" s="575"/>
      <c r="G11" s="575"/>
      <c r="H11" s="576"/>
      <c r="I11" s="574" t="s">
        <v>569</v>
      </c>
      <c r="J11" s="575"/>
      <c r="K11" s="575"/>
      <c r="L11" s="575"/>
      <c r="M11" s="575"/>
      <c r="N11" s="575"/>
      <c r="O11" s="575"/>
      <c r="P11" s="575"/>
      <c r="Q11" s="575"/>
      <c r="R11" s="575"/>
      <c r="S11" s="575"/>
      <c r="T11" s="576"/>
      <c r="U11" s="574" t="s">
        <v>204</v>
      </c>
      <c r="V11" s="575"/>
      <c r="W11" s="575"/>
      <c r="X11" s="575"/>
      <c r="Y11" s="575"/>
      <c r="Z11" s="575"/>
      <c r="AA11" s="575"/>
      <c r="AB11" s="575"/>
      <c r="AC11" s="575"/>
      <c r="AD11" s="575"/>
      <c r="AE11" s="575"/>
      <c r="AF11" s="575"/>
      <c r="AG11" s="575"/>
      <c r="AH11" s="575"/>
      <c r="AI11" s="575"/>
      <c r="AJ11" s="575"/>
      <c r="AK11" s="575"/>
      <c r="AL11" s="575"/>
      <c r="AM11" s="575"/>
      <c r="AN11" s="575"/>
      <c r="AO11" s="575"/>
      <c r="AP11" s="575"/>
      <c r="AQ11" s="575"/>
      <c r="AR11" s="575"/>
      <c r="AS11" s="575"/>
      <c r="AT11" s="575"/>
      <c r="AU11" s="575"/>
      <c r="AV11" s="575"/>
      <c r="AW11" s="575"/>
      <c r="AX11" s="575"/>
      <c r="AY11" s="575"/>
      <c r="AZ11" s="575"/>
      <c r="BA11" s="575"/>
      <c r="BB11" s="575"/>
      <c r="BC11" s="575"/>
      <c r="BD11" s="575"/>
      <c r="BE11" s="575"/>
      <c r="BF11" s="575"/>
      <c r="BG11" s="575"/>
      <c r="BH11" s="575"/>
      <c r="BI11" s="575"/>
      <c r="BJ11" s="575"/>
      <c r="BK11" s="575"/>
      <c r="BL11" s="575"/>
      <c r="BM11" s="575"/>
      <c r="BN11" s="576"/>
    </row>
    <row r="12" spans="1:66" x14ac:dyDescent="0.2">
      <c r="A12" s="577"/>
      <c r="B12" s="578"/>
      <c r="C12" s="578"/>
      <c r="D12" s="578"/>
      <c r="E12" s="578"/>
      <c r="F12" s="578"/>
      <c r="G12" s="578"/>
      <c r="H12" s="579"/>
      <c r="I12" s="577"/>
      <c r="J12" s="578"/>
      <c r="K12" s="578"/>
      <c r="L12" s="578"/>
      <c r="M12" s="578"/>
      <c r="N12" s="578"/>
      <c r="O12" s="578"/>
      <c r="P12" s="578"/>
      <c r="Q12" s="578"/>
      <c r="R12" s="578"/>
      <c r="S12" s="578"/>
      <c r="T12" s="579"/>
      <c r="U12" s="577"/>
      <c r="V12" s="578"/>
      <c r="W12" s="578"/>
      <c r="X12" s="578"/>
      <c r="Y12" s="578"/>
      <c r="Z12" s="578"/>
      <c r="AA12" s="578"/>
      <c r="AB12" s="578"/>
      <c r="AC12" s="578"/>
      <c r="AD12" s="578"/>
      <c r="AE12" s="578"/>
      <c r="AF12" s="578"/>
      <c r="AG12" s="578"/>
      <c r="AH12" s="578"/>
      <c r="AI12" s="578"/>
      <c r="AJ12" s="578"/>
      <c r="AK12" s="578"/>
      <c r="AL12" s="578"/>
      <c r="AM12" s="578"/>
      <c r="AN12" s="578"/>
      <c r="AO12" s="578"/>
      <c r="AP12" s="578"/>
      <c r="AQ12" s="578"/>
      <c r="AR12" s="578"/>
      <c r="AS12" s="578"/>
      <c r="AT12" s="578"/>
      <c r="AU12" s="578"/>
      <c r="AV12" s="578"/>
      <c r="AW12" s="578"/>
      <c r="AX12" s="578"/>
      <c r="AY12" s="578"/>
      <c r="AZ12" s="578"/>
      <c r="BA12" s="578"/>
      <c r="BB12" s="578"/>
      <c r="BC12" s="578"/>
      <c r="BD12" s="578"/>
      <c r="BE12" s="578"/>
      <c r="BF12" s="578"/>
      <c r="BG12" s="578"/>
      <c r="BH12" s="578"/>
      <c r="BI12" s="578"/>
      <c r="BJ12" s="578"/>
      <c r="BK12" s="578"/>
      <c r="BL12" s="578"/>
      <c r="BM12" s="578"/>
      <c r="BN12" s="579"/>
    </row>
    <row r="13" spans="1:66" x14ac:dyDescent="0.2">
      <c r="A13" s="619" t="s">
        <v>588</v>
      </c>
      <c r="B13" s="619"/>
      <c r="C13" s="619"/>
      <c r="D13" s="619"/>
      <c r="E13" s="619"/>
      <c r="F13" s="619"/>
      <c r="G13" s="619"/>
      <c r="H13" s="619"/>
      <c r="I13" s="619" t="s">
        <v>593</v>
      </c>
      <c r="J13" s="619"/>
      <c r="K13" s="619"/>
      <c r="L13" s="619"/>
      <c r="M13" s="619"/>
      <c r="N13" s="619"/>
      <c r="O13" s="619"/>
      <c r="P13" s="619"/>
      <c r="Q13" s="619"/>
      <c r="R13" s="619"/>
      <c r="S13" s="619"/>
      <c r="T13" s="619"/>
      <c r="U13" s="619" t="s">
        <v>594</v>
      </c>
      <c r="V13" s="619"/>
      <c r="W13" s="619"/>
      <c r="X13" s="619"/>
      <c r="Y13" s="619"/>
      <c r="Z13" s="619"/>
      <c r="AA13" s="619"/>
      <c r="AB13" s="619"/>
      <c r="AC13" s="619"/>
      <c r="AD13" s="619"/>
      <c r="AE13" s="619"/>
      <c r="AF13" s="619"/>
      <c r="AG13" s="619"/>
      <c r="AH13" s="619"/>
      <c r="AI13" s="619"/>
      <c r="AJ13" s="619"/>
      <c r="AK13" s="619"/>
      <c r="AL13" s="619"/>
      <c r="AM13" s="619"/>
      <c r="AN13" s="619"/>
      <c r="AO13" s="619"/>
      <c r="AP13" s="619"/>
      <c r="AQ13" s="619"/>
      <c r="AR13" s="619"/>
      <c r="AS13" s="619"/>
      <c r="AT13" s="619"/>
      <c r="AU13" s="619"/>
      <c r="AV13" s="619"/>
      <c r="AW13" s="619"/>
      <c r="AX13" s="619"/>
      <c r="AY13" s="619"/>
      <c r="AZ13" s="619"/>
      <c r="BA13" s="619"/>
      <c r="BB13" s="619"/>
      <c r="BC13" s="619"/>
      <c r="BD13" s="619"/>
      <c r="BE13" s="619"/>
      <c r="BF13" s="619"/>
      <c r="BG13" s="619"/>
      <c r="BH13" s="619"/>
      <c r="BI13" s="619"/>
      <c r="BJ13" s="619"/>
      <c r="BK13" s="619"/>
      <c r="BL13" s="619"/>
      <c r="BM13" s="619"/>
      <c r="BN13" s="619"/>
    </row>
    <row r="14" spans="1:66" x14ac:dyDescent="0.2">
      <c r="A14" s="619"/>
      <c r="B14" s="619"/>
      <c r="C14" s="619"/>
      <c r="D14" s="619"/>
      <c r="E14" s="619"/>
      <c r="F14" s="619"/>
      <c r="G14" s="619"/>
      <c r="H14" s="619"/>
      <c r="I14" s="619"/>
      <c r="J14" s="619"/>
      <c r="K14" s="619"/>
      <c r="L14" s="619"/>
      <c r="M14" s="619"/>
      <c r="N14" s="619"/>
      <c r="O14" s="619"/>
      <c r="P14" s="619"/>
      <c r="Q14" s="619"/>
      <c r="R14" s="619"/>
      <c r="S14" s="619"/>
      <c r="T14" s="619"/>
      <c r="U14" s="619"/>
      <c r="V14" s="619"/>
      <c r="W14" s="619"/>
      <c r="X14" s="619"/>
      <c r="Y14" s="619"/>
      <c r="Z14" s="619"/>
      <c r="AA14" s="619"/>
      <c r="AB14" s="619"/>
      <c r="AC14" s="619"/>
      <c r="AD14" s="619"/>
      <c r="AE14" s="619"/>
      <c r="AF14" s="619"/>
      <c r="AG14" s="619"/>
      <c r="AH14" s="619"/>
      <c r="AI14" s="619"/>
      <c r="AJ14" s="619"/>
      <c r="AK14" s="619"/>
      <c r="AL14" s="619"/>
      <c r="AM14" s="619"/>
      <c r="AN14" s="619"/>
      <c r="AO14" s="619"/>
      <c r="AP14" s="619"/>
      <c r="AQ14" s="619"/>
      <c r="AR14" s="619"/>
      <c r="AS14" s="619"/>
      <c r="AT14" s="619"/>
      <c r="AU14" s="619"/>
      <c r="AV14" s="619"/>
      <c r="AW14" s="619"/>
      <c r="AX14" s="619"/>
      <c r="AY14" s="619"/>
      <c r="AZ14" s="619"/>
      <c r="BA14" s="619"/>
      <c r="BB14" s="619"/>
      <c r="BC14" s="619"/>
      <c r="BD14" s="619"/>
      <c r="BE14" s="619"/>
      <c r="BF14" s="619"/>
      <c r="BG14" s="619"/>
      <c r="BH14" s="619"/>
      <c r="BI14" s="619"/>
      <c r="BJ14" s="619"/>
      <c r="BK14" s="619"/>
      <c r="BL14" s="619"/>
      <c r="BM14" s="619"/>
      <c r="BN14" s="619"/>
    </row>
    <row r="15" spans="1:66" x14ac:dyDescent="0.2">
      <c r="A15" s="619"/>
      <c r="B15" s="619"/>
      <c r="C15" s="619"/>
      <c r="D15" s="619"/>
      <c r="E15" s="619"/>
      <c r="F15" s="619"/>
      <c r="G15" s="619"/>
      <c r="H15" s="619"/>
      <c r="I15" s="619"/>
      <c r="J15" s="619"/>
      <c r="K15" s="619"/>
      <c r="L15" s="619"/>
      <c r="M15" s="619"/>
      <c r="N15" s="619"/>
      <c r="O15" s="619"/>
      <c r="P15" s="619"/>
      <c r="Q15" s="619"/>
      <c r="R15" s="619"/>
      <c r="S15" s="619"/>
      <c r="T15" s="619"/>
      <c r="U15" s="619"/>
      <c r="V15" s="619"/>
      <c r="W15" s="619"/>
      <c r="X15" s="619"/>
      <c r="Y15" s="619"/>
      <c r="Z15" s="619"/>
      <c r="AA15" s="619"/>
      <c r="AB15" s="619"/>
      <c r="AC15" s="619"/>
      <c r="AD15" s="619"/>
      <c r="AE15" s="619"/>
      <c r="AF15" s="619"/>
      <c r="AG15" s="619"/>
      <c r="AH15" s="619"/>
      <c r="AI15" s="619"/>
      <c r="AJ15" s="619"/>
      <c r="AK15" s="619"/>
      <c r="AL15" s="619"/>
      <c r="AM15" s="619"/>
      <c r="AN15" s="619"/>
      <c r="AO15" s="619"/>
      <c r="AP15" s="619"/>
      <c r="AQ15" s="619"/>
      <c r="AR15" s="619"/>
      <c r="AS15" s="619"/>
      <c r="AT15" s="619"/>
      <c r="AU15" s="619"/>
      <c r="AV15" s="619"/>
      <c r="AW15" s="619"/>
      <c r="AX15" s="619"/>
      <c r="AY15" s="619"/>
      <c r="AZ15" s="619"/>
      <c r="BA15" s="619"/>
      <c r="BB15" s="619"/>
      <c r="BC15" s="619"/>
      <c r="BD15" s="619"/>
      <c r="BE15" s="619"/>
      <c r="BF15" s="619"/>
      <c r="BG15" s="619"/>
      <c r="BH15" s="619"/>
      <c r="BI15" s="619"/>
      <c r="BJ15" s="619"/>
      <c r="BK15" s="619"/>
      <c r="BL15" s="619"/>
      <c r="BM15" s="619"/>
      <c r="BN15" s="619"/>
    </row>
    <row r="16" spans="1:66" ht="13.5" customHeight="1" x14ac:dyDescent="0.2">
      <c r="A16" s="619" t="s">
        <v>588</v>
      </c>
      <c r="B16" s="619"/>
      <c r="C16" s="619"/>
      <c r="D16" s="619"/>
      <c r="E16" s="619"/>
      <c r="F16" s="619"/>
      <c r="G16" s="619"/>
      <c r="H16" s="619"/>
      <c r="I16" s="619" t="s">
        <v>205</v>
      </c>
      <c r="J16" s="619"/>
      <c r="K16" s="619"/>
      <c r="L16" s="619"/>
      <c r="M16" s="619"/>
      <c r="N16" s="619"/>
      <c r="O16" s="619"/>
      <c r="P16" s="619"/>
      <c r="Q16" s="619"/>
      <c r="R16" s="619"/>
      <c r="S16" s="619"/>
      <c r="T16" s="619"/>
      <c r="U16" s="619" t="s">
        <v>595</v>
      </c>
      <c r="V16" s="619"/>
      <c r="W16" s="619"/>
      <c r="X16" s="619"/>
      <c r="Y16" s="619"/>
      <c r="Z16" s="619"/>
      <c r="AA16" s="619"/>
      <c r="AB16" s="619"/>
      <c r="AC16" s="619"/>
      <c r="AD16" s="619"/>
      <c r="AE16" s="619"/>
      <c r="AF16" s="619"/>
      <c r="AG16" s="619"/>
      <c r="AH16" s="619"/>
      <c r="AI16" s="619"/>
      <c r="AJ16" s="619"/>
      <c r="AK16" s="619"/>
      <c r="AL16" s="619"/>
      <c r="AM16" s="619"/>
      <c r="AN16" s="619"/>
      <c r="AO16" s="619"/>
      <c r="AP16" s="619"/>
      <c r="AQ16" s="619"/>
      <c r="AR16" s="619"/>
      <c r="AS16" s="619"/>
      <c r="AT16" s="619"/>
      <c r="AU16" s="619"/>
      <c r="AV16" s="619"/>
      <c r="AW16" s="619"/>
      <c r="AX16" s="619"/>
      <c r="AY16" s="619"/>
      <c r="AZ16" s="619"/>
      <c r="BA16" s="619"/>
      <c r="BB16" s="619"/>
      <c r="BC16" s="619"/>
      <c r="BD16" s="619"/>
      <c r="BE16" s="619"/>
      <c r="BF16" s="619"/>
      <c r="BG16" s="619"/>
      <c r="BH16" s="619"/>
      <c r="BI16" s="619"/>
      <c r="BJ16" s="619"/>
      <c r="BK16" s="619"/>
      <c r="BL16" s="619"/>
      <c r="BM16" s="619"/>
      <c r="BN16" s="619"/>
    </row>
    <row r="17" spans="1:66" x14ac:dyDescent="0.2">
      <c r="A17" s="619"/>
      <c r="B17" s="619"/>
      <c r="C17" s="619"/>
      <c r="D17" s="619"/>
      <c r="E17" s="619"/>
      <c r="F17" s="619"/>
      <c r="G17" s="619"/>
      <c r="H17" s="619"/>
      <c r="I17" s="619"/>
      <c r="J17" s="619"/>
      <c r="K17" s="619"/>
      <c r="L17" s="619"/>
      <c r="M17" s="619"/>
      <c r="N17" s="619"/>
      <c r="O17" s="619"/>
      <c r="P17" s="619"/>
      <c r="Q17" s="619"/>
      <c r="R17" s="619"/>
      <c r="S17" s="619"/>
      <c r="T17" s="619"/>
      <c r="U17" s="619"/>
      <c r="V17" s="619"/>
      <c r="W17" s="619"/>
      <c r="X17" s="619"/>
      <c r="Y17" s="619"/>
      <c r="Z17" s="619"/>
      <c r="AA17" s="619"/>
      <c r="AB17" s="619"/>
      <c r="AC17" s="619"/>
      <c r="AD17" s="619"/>
      <c r="AE17" s="619"/>
      <c r="AF17" s="619"/>
      <c r="AG17" s="619"/>
      <c r="AH17" s="619"/>
      <c r="AI17" s="619"/>
      <c r="AJ17" s="619"/>
      <c r="AK17" s="619"/>
      <c r="AL17" s="619"/>
      <c r="AM17" s="619"/>
      <c r="AN17" s="619"/>
      <c r="AO17" s="619"/>
      <c r="AP17" s="619"/>
      <c r="AQ17" s="619"/>
      <c r="AR17" s="619"/>
      <c r="AS17" s="619"/>
      <c r="AT17" s="619"/>
      <c r="AU17" s="619"/>
      <c r="AV17" s="619"/>
      <c r="AW17" s="619"/>
      <c r="AX17" s="619"/>
      <c r="AY17" s="619"/>
      <c r="AZ17" s="619"/>
      <c r="BA17" s="619"/>
      <c r="BB17" s="619"/>
      <c r="BC17" s="619"/>
      <c r="BD17" s="619"/>
      <c r="BE17" s="619"/>
      <c r="BF17" s="619"/>
      <c r="BG17" s="619"/>
      <c r="BH17" s="619"/>
      <c r="BI17" s="619"/>
      <c r="BJ17" s="619"/>
      <c r="BK17" s="619"/>
      <c r="BL17" s="619"/>
      <c r="BM17" s="619"/>
      <c r="BN17" s="619"/>
    </row>
    <row r="18" spans="1:66" x14ac:dyDescent="0.2">
      <c r="A18" s="619"/>
      <c r="B18" s="619"/>
      <c r="C18" s="619"/>
      <c r="D18" s="619"/>
      <c r="E18" s="619"/>
      <c r="F18" s="619"/>
      <c r="G18" s="619"/>
      <c r="H18" s="619"/>
      <c r="I18" s="619"/>
      <c r="J18" s="619"/>
      <c r="K18" s="619"/>
      <c r="L18" s="619"/>
      <c r="M18" s="619"/>
      <c r="N18" s="619"/>
      <c r="O18" s="619"/>
      <c r="P18" s="619"/>
      <c r="Q18" s="619"/>
      <c r="R18" s="619"/>
      <c r="S18" s="619"/>
      <c r="T18" s="619"/>
      <c r="U18" s="619"/>
      <c r="V18" s="619"/>
      <c r="W18" s="619"/>
      <c r="X18" s="619"/>
      <c r="Y18" s="619"/>
      <c r="Z18" s="619"/>
      <c r="AA18" s="619"/>
      <c r="AB18" s="619"/>
      <c r="AC18" s="619"/>
      <c r="AD18" s="619"/>
      <c r="AE18" s="619"/>
      <c r="AF18" s="619"/>
      <c r="AG18" s="619"/>
      <c r="AH18" s="619"/>
      <c r="AI18" s="619"/>
      <c r="AJ18" s="619"/>
      <c r="AK18" s="619"/>
      <c r="AL18" s="619"/>
      <c r="AM18" s="619"/>
      <c r="AN18" s="619"/>
      <c r="AO18" s="619"/>
      <c r="AP18" s="619"/>
      <c r="AQ18" s="619"/>
      <c r="AR18" s="619"/>
      <c r="AS18" s="619"/>
      <c r="AT18" s="619"/>
      <c r="AU18" s="619"/>
      <c r="AV18" s="619"/>
      <c r="AW18" s="619"/>
      <c r="AX18" s="619"/>
      <c r="AY18" s="619"/>
      <c r="AZ18" s="619"/>
      <c r="BA18" s="619"/>
      <c r="BB18" s="619"/>
      <c r="BC18" s="619"/>
      <c r="BD18" s="619"/>
      <c r="BE18" s="619"/>
      <c r="BF18" s="619"/>
      <c r="BG18" s="619"/>
      <c r="BH18" s="619"/>
      <c r="BI18" s="619"/>
      <c r="BJ18" s="619"/>
      <c r="BK18" s="619"/>
      <c r="BL18" s="619"/>
      <c r="BM18" s="619"/>
      <c r="BN18" s="619"/>
    </row>
    <row r="19" spans="1:66" ht="13.5" customHeight="1" x14ac:dyDescent="0.2">
      <c r="A19" s="619" t="s">
        <v>588</v>
      </c>
      <c r="B19" s="619"/>
      <c r="C19" s="619"/>
      <c r="D19" s="619"/>
      <c r="E19" s="619"/>
      <c r="F19" s="619"/>
      <c r="G19" s="619"/>
      <c r="H19" s="619"/>
      <c r="I19" s="619" t="s">
        <v>207</v>
      </c>
      <c r="J19" s="619"/>
      <c r="K19" s="619"/>
      <c r="L19" s="619"/>
      <c r="M19" s="619"/>
      <c r="N19" s="619"/>
      <c r="O19" s="619"/>
      <c r="P19" s="619"/>
      <c r="Q19" s="619"/>
      <c r="R19" s="619"/>
      <c r="S19" s="619"/>
      <c r="T19" s="619"/>
      <c r="U19" s="619" t="s">
        <v>596</v>
      </c>
      <c r="V19" s="619"/>
      <c r="W19" s="619"/>
      <c r="X19" s="619"/>
      <c r="Y19" s="619"/>
      <c r="Z19" s="619"/>
      <c r="AA19" s="619"/>
      <c r="AB19" s="619"/>
      <c r="AC19" s="619"/>
      <c r="AD19" s="619"/>
      <c r="AE19" s="619"/>
      <c r="AF19" s="619"/>
      <c r="AG19" s="619"/>
      <c r="AH19" s="619"/>
      <c r="AI19" s="619"/>
      <c r="AJ19" s="619"/>
      <c r="AK19" s="619"/>
      <c r="AL19" s="619"/>
      <c r="AM19" s="619"/>
      <c r="AN19" s="619"/>
      <c r="AO19" s="619"/>
      <c r="AP19" s="619"/>
      <c r="AQ19" s="619"/>
      <c r="AR19" s="619"/>
      <c r="AS19" s="619"/>
      <c r="AT19" s="619"/>
      <c r="AU19" s="619"/>
      <c r="AV19" s="619"/>
      <c r="AW19" s="619"/>
      <c r="AX19" s="619"/>
      <c r="AY19" s="619"/>
      <c r="AZ19" s="619"/>
      <c r="BA19" s="619"/>
      <c r="BB19" s="619"/>
      <c r="BC19" s="619"/>
      <c r="BD19" s="619"/>
      <c r="BE19" s="619"/>
      <c r="BF19" s="619"/>
      <c r="BG19" s="619"/>
      <c r="BH19" s="619"/>
      <c r="BI19" s="619"/>
      <c r="BJ19" s="619"/>
      <c r="BK19" s="619"/>
      <c r="BL19" s="619"/>
      <c r="BM19" s="619"/>
      <c r="BN19" s="619"/>
    </row>
    <row r="20" spans="1:66" x14ac:dyDescent="0.2">
      <c r="A20" s="619"/>
      <c r="B20" s="619"/>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19"/>
      <c r="AI20" s="619"/>
      <c r="AJ20" s="619"/>
      <c r="AK20" s="619"/>
      <c r="AL20" s="619"/>
      <c r="AM20" s="619"/>
      <c r="AN20" s="619"/>
      <c r="AO20" s="619"/>
      <c r="AP20" s="619"/>
      <c r="AQ20" s="619"/>
      <c r="AR20" s="619"/>
      <c r="AS20" s="619"/>
      <c r="AT20" s="619"/>
      <c r="AU20" s="619"/>
      <c r="AV20" s="619"/>
      <c r="AW20" s="619"/>
      <c r="AX20" s="619"/>
      <c r="AY20" s="619"/>
      <c r="AZ20" s="619"/>
      <c r="BA20" s="619"/>
      <c r="BB20" s="619"/>
      <c r="BC20" s="619"/>
      <c r="BD20" s="619"/>
      <c r="BE20" s="619"/>
      <c r="BF20" s="619"/>
      <c r="BG20" s="619"/>
      <c r="BH20" s="619"/>
      <c r="BI20" s="619"/>
      <c r="BJ20" s="619"/>
      <c r="BK20" s="619"/>
      <c r="BL20" s="619"/>
      <c r="BM20" s="619"/>
      <c r="BN20" s="619"/>
    </row>
    <row r="21" spans="1:66" x14ac:dyDescent="0.2">
      <c r="A21" s="619"/>
      <c r="B21" s="619"/>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19"/>
      <c r="AI21" s="619"/>
      <c r="AJ21" s="619"/>
      <c r="AK21" s="619"/>
      <c r="AL21" s="619"/>
      <c r="AM21" s="619"/>
      <c r="AN21" s="619"/>
      <c r="AO21" s="619"/>
      <c r="AP21" s="619"/>
      <c r="AQ21" s="619"/>
      <c r="AR21" s="619"/>
      <c r="AS21" s="619"/>
      <c r="AT21" s="619"/>
      <c r="AU21" s="619"/>
      <c r="AV21" s="619"/>
      <c r="AW21" s="619"/>
      <c r="AX21" s="619"/>
      <c r="AY21" s="619"/>
      <c r="AZ21" s="619"/>
      <c r="BA21" s="619"/>
      <c r="BB21" s="619"/>
      <c r="BC21" s="619"/>
      <c r="BD21" s="619"/>
      <c r="BE21" s="619"/>
      <c r="BF21" s="619"/>
      <c r="BG21" s="619"/>
      <c r="BH21" s="619"/>
      <c r="BI21" s="619"/>
      <c r="BJ21" s="619"/>
      <c r="BK21" s="619"/>
      <c r="BL21" s="619"/>
      <c r="BM21" s="619"/>
      <c r="BN21" s="619"/>
    </row>
    <row r="22" spans="1:66" ht="13.5" customHeight="1" x14ac:dyDescent="0.2">
      <c r="A22" s="619" t="s">
        <v>589</v>
      </c>
      <c r="B22" s="619"/>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19"/>
      <c r="AI22" s="619"/>
      <c r="AJ22" s="619"/>
      <c r="AK22" s="619"/>
      <c r="AL22" s="619"/>
      <c r="AM22" s="619"/>
      <c r="AN22" s="619"/>
      <c r="AO22" s="619"/>
      <c r="AP22" s="619"/>
      <c r="AQ22" s="619"/>
      <c r="AR22" s="619"/>
      <c r="AS22" s="619"/>
      <c r="AT22" s="619"/>
      <c r="AU22" s="619"/>
      <c r="AV22" s="619"/>
      <c r="AW22" s="619"/>
      <c r="AX22" s="619"/>
      <c r="AY22" s="619"/>
      <c r="AZ22" s="619"/>
      <c r="BA22" s="619"/>
      <c r="BB22" s="619"/>
      <c r="BC22" s="619"/>
      <c r="BD22" s="619"/>
      <c r="BE22" s="619"/>
      <c r="BF22" s="619"/>
      <c r="BG22" s="619"/>
      <c r="BH22" s="619"/>
      <c r="BI22" s="619"/>
      <c r="BJ22" s="619"/>
      <c r="BK22" s="619"/>
      <c r="BL22" s="619"/>
      <c r="BM22" s="619"/>
      <c r="BN22" s="619"/>
    </row>
    <row r="23" spans="1:66" x14ac:dyDescent="0.2">
      <c r="A23" s="619"/>
      <c r="B23" s="619"/>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19"/>
      <c r="AI23" s="619"/>
      <c r="AJ23" s="619"/>
      <c r="AK23" s="619"/>
      <c r="AL23" s="619"/>
      <c r="AM23" s="619"/>
      <c r="AN23" s="619"/>
      <c r="AO23" s="619"/>
      <c r="AP23" s="619"/>
      <c r="AQ23" s="619"/>
      <c r="AR23" s="619"/>
      <c r="AS23" s="619"/>
      <c r="AT23" s="619"/>
      <c r="AU23" s="619"/>
      <c r="AV23" s="619"/>
      <c r="AW23" s="619"/>
      <c r="AX23" s="619"/>
      <c r="AY23" s="619"/>
      <c r="AZ23" s="619"/>
      <c r="BA23" s="619"/>
      <c r="BB23" s="619"/>
      <c r="BC23" s="619"/>
      <c r="BD23" s="619"/>
      <c r="BE23" s="619"/>
      <c r="BF23" s="619"/>
      <c r="BG23" s="619"/>
      <c r="BH23" s="619"/>
      <c r="BI23" s="619"/>
      <c r="BJ23" s="619"/>
      <c r="BK23" s="619"/>
      <c r="BL23" s="619"/>
      <c r="BM23" s="619"/>
      <c r="BN23" s="619"/>
    </row>
    <row r="24" spans="1:66" x14ac:dyDescent="0.2">
      <c r="A24" s="619"/>
      <c r="B24" s="619"/>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19"/>
      <c r="AI24" s="619"/>
      <c r="AJ24" s="619"/>
      <c r="AK24" s="619"/>
      <c r="AL24" s="619"/>
      <c r="AM24" s="619"/>
      <c r="AN24" s="619"/>
      <c r="AO24" s="619"/>
      <c r="AP24" s="619"/>
      <c r="AQ24" s="619"/>
      <c r="AR24" s="619"/>
      <c r="AS24" s="619"/>
      <c r="AT24" s="619"/>
      <c r="AU24" s="619"/>
      <c r="AV24" s="619"/>
      <c r="AW24" s="619"/>
      <c r="AX24" s="619"/>
      <c r="AY24" s="619"/>
      <c r="AZ24" s="619"/>
      <c r="BA24" s="619"/>
      <c r="BB24" s="619"/>
      <c r="BC24" s="619"/>
      <c r="BD24" s="619"/>
      <c r="BE24" s="619"/>
      <c r="BF24" s="619"/>
      <c r="BG24" s="619"/>
      <c r="BH24" s="619"/>
      <c r="BI24" s="619"/>
      <c r="BJ24" s="619"/>
      <c r="BK24" s="619"/>
      <c r="BL24" s="619"/>
      <c r="BM24" s="619"/>
      <c r="BN24" s="619"/>
    </row>
    <row r="25" spans="1:66" ht="13.5" customHeight="1" x14ac:dyDescent="0.2">
      <c r="A25" s="619" t="s">
        <v>589</v>
      </c>
      <c r="B25" s="619"/>
      <c r="C25" s="619"/>
      <c r="D25" s="619"/>
      <c r="E25" s="619"/>
      <c r="F25" s="619"/>
      <c r="G25" s="619"/>
      <c r="H25" s="619"/>
      <c r="I25" s="619"/>
      <c r="J25" s="619"/>
      <c r="K25" s="619"/>
      <c r="L25" s="619"/>
      <c r="M25" s="619"/>
      <c r="N25" s="619"/>
      <c r="O25" s="619"/>
      <c r="P25" s="619"/>
      <c r="Q25" s="619"/>
      <c r="R25" s="619"/>
      <c r="S25" s="619"/>
      <c r="T25" s="619"/>
      <c r="U25" s="619"/>
      <c r="V25" s="619"/>
      <c r="W25" s="619"/>
      <c r="X25" s="619"/>
      <c r="Y25" s="619"/>
      <c r="Z25" s="619"/>
      <c r="AA25" s="619"/>
      <c r="AB25" s="619"/>
      <c r="AC25" s="619"/>
      <c r="AD25" s="619"/>
      <c r="AE25" s="619"/>
      <c r="AF25" s="619"/>
      <c r="AG25" s="619"/>
      <c r="AH25" s="619"/>
      <c r="AI25" s="619"/>
      <c r="AJ25" s="619"/>
      <c r="AK25" s="619"/>
      <c r="AL25" s="619"/>
      <c r="AM25" s="619"/>
      <c r="AN25" s="619"/>
      <c r="AO25" s="619"/>
      <c r="AP25" s="619"/>
      <c r="AQ25" s="619"/>
      <c r="AR25" s="619"/>
      <c r="AS25" s="619"/>
      <c r="AT25" s="619"/>
      <c r="AU25" s="619"/>
      <c r="AV25" s="619"/>
      <c r="AW25" s="619"/>
      <c r="AX25" s="619"/>
      <c r="AY25" s="619"/>
      <c r="AZ25" s="619"/>
      <c r="BA25" s="619"/>
      <c r="BB25" s="619"/>
      <c r="BC25" s="619"/>
      <c r="BD25" s="619"/>
      <c r="BE25" s="619"/>
      <c r="BF25" s="619"/>
      <c r="BG25" s="619"/>
      <c r="BH25" s="619"/>
      <c r="BI25" s="619"/>
      <c r="BJ25" s="619"/>
      <c r="BK25" s="619"/>
      <c r="BL25" s="619"/>
      <c r="BM25" s="619"/>
      <c r="BN25" s="619"/>
    </row>
    <row r="26" spans="1:66" x14ac:dyDescent="0.2">
      <c r="A26" s="619"/>
      <c r="B26" s="619"/>
      <c r="C26" s="619"/>
      <c r="D26" s="619"/>
      <c r="E26" s="619"/>
      <c r="F26" s="619"/>
      <c r="G26" s="619"/>
      <c r="H26" s="619"/>
      <c r="I26" s="619"/>
      <c r="J26" s="619"/>
      <c r="K26" s="619"/>
      <c r="L26" s="619"/>
      <c r="M26" s="619"/>
      <c r="N26" s="619"/>
      <c r="O26" s="619"/>
      <c r="P26" s="619"/>
      <c r="Q26" s="619"/>
      <c r="R26" s="619"/>
      <c r="S26" s="619"/>
      <c r="T26" s="619"/>
      <c r="U26" s="619"/>
      <c r="V26" s="619"/>
      <c r="W26" s="619"/>
      <c r="X26" s="619"/>
      <c r="Y26" s="619"/>
      <c r="Z26" s="619"/>
      <c r="AA26" s="619"/>
      <c r="AB26" s="619"/>
      <c r="AC26" s="619"/>
      <c r="AD26" s="619"/>
      <c r="AE26" s="619"/>
      <c r="AF26" s="619"/>
      <c r="AG26" s="619"/>
      <c r="AH26" s="619"/>
      <c r="AI26" s="619"/>
      <c r="AJ26" s="619"/>
      <c r="AK26" s="619"/>
      <c r="AL26" s="619"/>
      <c r="AM26" s="619"/>
      <c r="AN26" s="619"/>
      <c r="AO26" s="619"/>
      <c r="AP26" s="619"/>
      <c r="AQ26" s="619"/>
      <c r="AR26" s="619"/>
      <c r="AS26" s="619"/>
      <c r="AT26" s="619"/>
      <c r="AU26" s="619"/>
      <c r="AV26" s="619"/>
      <c r="AW26" s="619"/>
      <c r="AX26" s="619"/>
      <c r="AY26" s="619"/>
      <c r="AZ26" s="619"/>
      <c r="BA26" s="619"/>
      <c r="BB26" s="619"/>
      <c r="BC26" s="619"/>
      <c r="BD26" s="619"/>
      <c r="BE26" s="619"/>
      <c r="BF26" s="619"/>
      <c r="BG26" s="619"/>
      <c r="BH26" s="619"/>
      <c r="BI26" s="619"/>
      <c r="BJ26" s="619"/>
      <c r="BK26" s="619"/>
      <c r="BL26" s="619"/>
      <c r="BM26" s="619"/>
      <c r="BN26" s="619"/>
    </row>
    <row r="27" spans="1:66" x14ac:dyDescent="0.2">
      <c r="A27" s="619"/>
      <c r="B27" s="619"/>
      <c r="C27" s="619"/>
      <c r="D27" s="619"/>
      <c r="E27" s="619"/>
      <c r="F27" s="619"/>
      <c r="G27" s="619"/>
      <c r="H27" s="619"/>
      <c r="I27" s="619"/>
      <c r="J27" s="619"/>
      <c r="K27" s="619"/>
      <c r="L27" s="619"/>
      <c r="M27" s="619"/>
      <c r="N27" s="619"/>
      <c r="O27" s="619"/>
      <c r="P27" s="619"/>
      <c r="Q27" s="619"/>
      <c r="R27" s="619"/>
      <c r="S27" s="619"/>
      <c r="T27" s="619"/>
      <c r="U27" s="619"/>
      <c r="V27" s="619"/>
      <c r="W27" s="619"/>
      <c r="X27" s="619"/>
      <c r="Y27" s="619"/>
      <c r="Z27" s="619"/>
      <c r="AA27" s="619"/>
      <c r="AB27" s="619"/>
      <c r="AC27" s="619"/>
      <c r="AD27" s="619"/>
      <c r="AE27" s="619"/>
      <c r="AF27" s="619"/>
      <c r="AG27" s="619"/>
      <c r="AH27" s="619"/>
      <c r="AI27" s="619"/>
      <c r="AJ27" s="619"/>
      <c r="AK27" s="619"/>
      <c r="AL27" s="619"/>
      <c r="AM27" s="619"/>
      <c r="AN27" s="619"/>
      <c r="AO27" s="619"/>
      <c r="AP27" s="619"/>
      <c r="AQ27" s="619"/>
      <c r="AR27" s="619"/>
      <c r="AS27" s="619"/>
      <c r="AT27" s="619"/>
      <c r="AU27" s="619"/>
      <c r="AV27" s="619"/>
      <c r="AW27" s="619"/>
      <c r="AX27" s="619"/>
      <c r="AY27" s="619"/>
      <c r="AZ27" s="619"/>
      <c r="BA27" s="619"/>
      <c r="BB27" s="619"/>
      <c r="BC27" s="619"/>
      <c r="BD27" s="619"/>
      <c r="BE27" s="619"/>
      <c r="BF27" s="619"/>
      <c r="BG27" s="619"/>
      <c r="BH27" s="619"/>
      <c r="BI27" s="619"/>
      <c r="BJ27" s="619"/>
      <c r="BK27" s="619"/>
      <c r="BL27" s="619"/>
      <c r="BM27" s="619"/>
      <c r="BN27" s="619"/>
    </row>
    <row r="28" spans="1:66" ht="13.5" customHeight="1" x14ac:dyDescent="0.2">
      <c r="A28" s="619" t="s">
        <v>589</v>
      </c>
      <c r="B28" s="619"/>
      <c r="C28" s="619"/>
      <c r="D28" s="619"/>
      <c r="E28" s="619"/>
      <c r="F28" s="619"/>
      <c r="G28" s="619"/>
      <c r="H28" s="619"/>
      <c r="I28" s="619"/>
      <c r="J28" s="619"/>
      <c r="K28" s="619"/>
      <c r="L28" s="619"/>
      <c r="M28" s="619"/>
      <c r="N28" s="619"/>
      <c r="O28" s="619"/>
      <c r="P28" s="619"/>
      <c r="Q28" s="619"/>
      <c r="R28" s="619"/>
      <c r="S28" s="619"/>
      <c r="T28" s="619"/>
      <c r="U28" s="619"/>
      <c r="V28" s="619"/>
      <c r="W28" s="619"/>
      <c r="X28" s="619"/>
      <c r="Y28" s="619"/>
      <c r="Z28" s="619"/>
      <c r="AA28" s="619"/>
      <c r="AB28" s="619"/>
      <c r="AC28" s="619"/>
      <c r="AD28" s="619"/>
      <c r="AE28" s="619"/>
      <c r="AF28" s="619"/>
      <c r="AG28" s="619"/>
      <c r="AH28" s="619"/>
      <c r="AI28" s="619"/>
      <c r="AJ28" s="619"/>
      <c r="AK28" s="619"/>
      <c r="AL28" s="619"/>
      <c r="AM28" s="619"/>
      <c r="AN28" s="619"/>
      <c r="AO28" s="619"/>
      <c r="AP28" s="619"/>
      <c r="AQ28" s="619"/>
      <c r="AR28" s="619"/>
      <c r="AS28" s="619"/>
      <c r="AT28" s="619"/>
      <c r="AU28" s="619"/>
      <c r="AV28" s="619"/>
      <c r="AW28" s="619"/>
      <c r="AX28" s="619"/>
      <c r="AY28" s="619"/>
      <c r="AZ28" s="619"/>
      <c r="BA28" s="619"/>
      <c r="BB28" s="619"/>
      <c r="BC28" s="619"/>
      <c r="BD28" s="619"/>
      <c r="BE28" s="619"/>
      <c r="BF28" s="619"/>
      <c r="BG28" s="619"/>
      <c r="BH28" s="619"/>
      <c r="BI28" s="619"/>
      <c r="BJ28" s="619"/>
      <c r="BK28" s="619"/>
      <c r="BL28" s="619"/>
      <c r="BM28" s="619"/>
      <c r="BN28" s="619"/>
    </row>
    <row r="29" spans="1:66" x14ac:dyDescent="0.2">
      <c r="A29" s="619"/>
      <c r="B29" s="619"/>
      <c r="C29" s="619"/>
      <c r="D29" s="619"/>
      <c r="E29" s="619"/>
      <c r="F29" s="619"/>
      <c r="G29" s="619"/>
      <c r="H29" s="619"/>
      <c r="I29" s="619"/>
      <c r="J29" s="619"/>
      <c r="K29" s="619"/>
      <c r="L29" s="619"/>
      <c r="M29" s="619"/>
      <c r="N29" s="619"/>
      <c r="O29" s="619"/>
      <c r="P29" s="619"/>
      <c r="Q29" s="619"/>
      <c r="R29" s="619"/>
      <c r="S29" s="619"/>
      <c r="T29" s="619"/>
      <c r="U29" s="619"/>
      <c r="V29" s="619"/>
      <c r="W29" s="619"/>
      <c r="X29" s="619"/>
      <c r="Y29" s="619"/>
      <c r="Z29" s="619"/>
      <c r="AA29" s="619"/>
      <c r="AB29" s="619"/>
      <c r="AC29" s="619"/>
      <c r="AD29" s="619"/>
      <c r="AE29" s="619"/>
      <c r="AF29" s="619"/>
      <c r="AG29" s="619"/>
      <c r="AH29" s="619"/>
      <c r="AI29" s="619"/>
      <c r="AJ29" s="619"/>
      <c r="AK29" s="619"/>
      <c r="AL29" s="619"/>
      <c r="AM29" s="619"/>
      <c r="AN29" s="619"/>
      <c r="AO29" s="619"/>
      <c r="AP29" s="619"/>
      <c r="AQ29" s="619"/>
      <c r="AR29" s="619"/>
      <c r="AS29" s="619"/>
      <c r="AT29" s="619"/>
      <c r="AU29" s="619"/>
      <c r="AV29" s="619"/>
      <c r="AW29" s="619"/>
      <c r="AX29" s="619"/>
      <c r="AY29" s="619"/>
      <c r="AZ29" s="619"/>
      <c r="BA29" s="619"/>
      <c r="BB29" s="619"/>
      <c r="BC29" s="619"/>
      <c r="BD29" s="619"/>
      <c r="BE29" s="619"/>
      <c r="BF29" s="619"/>
      <c r="BG29" s="619"/>
      <c r="BH29" s="619"/>
      <c r="BI29" s="619"/>
      <c r="BJ29" s="619"/>
      <c r="BK29" s="619"/>
      <c r="BL29" s="619"/>
      <c r="BM29" s="619"/>
      <c r="BN29" s="619"/>
    </row>
    <row r="30" spans="1:66" x14ac:dyDescent="0.2">
      <c r="A30" s="619"/>
      <c r="B30" s="619"/>
      <c r="C30" s="619"/>
      <c r="D30" s="619"/>
      <c r="E30" s="619"/>
      <c r="F30" s="619"/>
      <c r="G30" s="619"/>
      <c r="H30" s="619"/>
      <c r="I30" s="619"/>
      <c r="J30" s="619"/>
      <c r="K30" s="619"/>
      <c r="L30" s="619"/>
      <c r="M30" s="619"/>
      <c r="N30" s="619"/>
      <c r="O30" s="619"/>
      <c r="P30" s="619"/>
      <c r="Q30" s="619"/>
      <c r="R30" s="619"/>
      <c r="S30" s="619"/>
      <c r="T30" s="619"/>
      <c r="U30" s="619"/>
      <c r="V30" s="619"/>
      <c r="W30" s="619"/>
      <c r="X30" s="619"/>
      <c r="Y30" s="619"/>
      <c r="Z30" s="619"/>
      <c r="AA30" s="619"/>
      <c r="AB30" s="619"/>
      <c r="AC30" s="619"/>
      <c r="AD30" s="619"/>
      <c r="AE30" s="619"/>
      <c r="AF30" s="619"/>
      <c r="AG30" s="619"/>
      <c r="AH30" s="619"/>
      <c r="AI30" s="619"/>
      <c r="AJ30" s="619"/>
      <c r="AK30" s="619"/>
      <c r="AL30" s="619"/>
      <c r="AM30" s="619"/>
      <c r="AN30" s="619"/>
      <c r="AO30" s="619"/>
      <c r="AP30" s="619"/>
      <c r="AQ30" s="619"/>
      <c r="AR30" s="619"/>
      <c r="AS30" s="619"/>
      <c r="AT30" s="619"/>
      <c r="AU30" s="619"/>
      <c r="AV30" s="619"/>
      <c r="AW30" s="619"/>
      <c r="AX30" s="619"/>
      <c r="AY30" s="619"/>
      <c r="AZ30" s="619"/>
      <c r="BA30" s="619"/>
      <c r="BB30" s="619"/>
      <c r="BC30" s="619"/>
      <c r="BD30" s="619"/>
      <c r="BE30" s="619"/>
      <c r="BF30" s="619"/>
      <c r="BG30" s="619"/>
      <c r="BH30" s="619"/>
      <c r="BI30" s="619"/>
      <c r="BJ30" s="619"/>
      <c r="BK30" s="619"/>
      <c r="BL30" s="619"/>
      <c r="BM30" s="619"/>
      <c r="BN30" s="619"/>
    </row>
    <row r="31" spans="1:66" ht="13.5" customHeight="1" x14ac:dyDescent="0.2">
      <c r="A31" s="619" t="s">
        <v>589</v>
      </c>
      <c r="B31" s="619"/>
      <c r="C31" s="619"/>
      <c r="D31" s="619"/>
      <c r="E31" s="619"/>
      <c r="F31" s="619"/>
      <c r="G31" s="619"/>
      <c r="H31" s="619"/>
      <c r="I31" s="619"/>
      <c r="J31" s="619"/>
      <c r="K31" s="619"/>
      <c r="L31" s="619"/>
      <c r="M31" s="619"/>
      <c r="N31" s="619"/>
      <c r="O31" s="619"/>
      <c r="P31" s="619"/>
      <c r="Q31" s="619"/>
      <c r="R31" s="619"/>
      <c r="S31" s="619"/>
      <c r="T31" s="619"/>
      <c r="U31" s="619"/>
      <c r="V31" s="619"/>
      <c r="W31" s="619"/>
      <c r="X31" s="619"/>
      <c r="Y31" s="619"/>
      <c r="Z31" s="619"/>
      <c r="AA31" s="619"/>
      <c r="AB31" s="619"/>
      <c r="AC31" s="619"/>
      <c r="AD31" s="619"/>
      <c r="AE31" s="619"/>
      <c r="AF31" s="619"/>
      <c r="AG31" s="619"/>
      <c r="AH31" s="619"/>
      <c r="AI31" s="619"/>
      <c r="AJ31" s="619"/>
      <c r="AK31" s="619"/>
      <c r="AL31" s="619"/>
      <c r="AM31" s="619"/>
      <c r="AN31" s="619"/>
      <c r="AO31" s="619"/>
      <c r="AP31" s="619"/>
      <c r="AQ31" s="619"/>
      <c r="AR31" s="619"/>
      <c r="AS31" s="619"/>
      <c r="AT31" s="619"/>
      <c r="AU31" s="619"/>
      <c r="AV31" s="619"/>
      <c r="AW31" s="619"/>
      <c r="AX31" s="619"/>
      <c r="AY31" s="619"/>
      <c r="AZ31" s="619"/>
      <c r="BA31" s="619"/>
      <c r="BB31" s="619"/>
      <c r="BC31" s="619"/>
      <c r="BD31" s="619"/>
      <c r="BE31" s="619"/>
      <c r="BF31" s="619"/>
      <c r="BG31" s="619"/>
      <c r="BH31" s="619"/>
      <c r="BI31" s="619"/>
      <c r="BJ31" s="619"/>
      <c r="BK31" s="619"/>
      <c r="BL31" s="619"/>
      <c r="BM31" s="619"/>
      <c r="BN31" s="619"/>
    </row>
    <row r="32" spans="1:66" x14ac:dyDescent="0.2">
      <c r="A32" s="619"/>
      <c r="B32" s="619"/>
      <c r="C32" s="619"/>
      <c r="D32" s="619"/>
      <c r="E32" s="619"/>
      <c r="F32" s="619"/>
      <c r="G32" s="619"/>
      <c r="H32" s="619"/>
      <c r="I32" s="619"/>
      <c r="J32" s="619"/>
      <c r="K32" s="619"/>
      <c r="L32" s="619"/>
      <c r="M32" s="619"/>
      <c r="N32" s="619"/>
      <c r="O32" s="619"/>
      <c r="P32" s="619"/>
      <c r="Q32" s="619"/>
      <c r="R32" s="619"/>
      <c r="S32" s="619"/>
      <c r="T32" s="619"/>
      <c r="U32" s="619"/>
      <c r="V32" s="619"/>
      <c r="W32" s="619"/>
      <c r="X32" s="619"/>
      <c r="Y32" s="619"/>
      <c r="Z32" s="619"/>
      <c r="AA32" s="619"/>
      <c r="AB32" s="619"/>
      <c r="AC32" s="619"/>
      <c r="AD32" s="619"/>
      <c r="AE32" s="619"/>
      <c r="AF32" s="619"/>
      <c r="AG32" s="619"/>
      <c r="AH32" s="619"/>
      <c r="AI32" s="619"/>
      <c r="AJ32" s="619"/>
      <c r="AK32" s="619"/>
      <c r="AL32" s="619"/>
      <c r="AM32" s="619"/>
      <c r="AN32" s="619"/>
      <c r="AO32" s="619"/>
      <c r="AP32" s="619"/>
      <c r="AQ32" s="619"/>
      <c r="AR32" s="619"/>
      <c r="AS32" s="619"/>
      <c r="AT32" s="619"/>
      <c r="AU32" s="619"/>
      <c r="AV32" s="619"/>
      <c r="AW32" s="619"/>
      <c r="AX32" s="619"/>
      <c r="AY32" s="619"/>
      <c r="AZ32" s="619"/>
      <c r="BA32" s="619"/>
      <c r="BB32" s="619"/>
      <c r="BC32" s="619"/>
      <c r="BD32" s="619"/>
      <c r="BE32" s="619"/>
      <c r="BF32" s="619"/>
      <c r="BG32" s="619"/>
      <c r="BH32" s="619"/>
      <c r="BI32" s="619"/>
      <c r="BJ32" s="619"/>
      <c r="BK32" s="619"/>
      <c r="BL32" s="619"/>
      <c r="BM32" s="619"/>
      <c r="BN32" s="619"/>
    </row>
    <row r="33" spans="1:66" x14ac:dyDescent="0.2">
      <c r="A33" s="619"/>
      <c r="B33" s="619"/>
      <c r="C33" s="619"/>
      <c r="D33" s="619"/>
      <c r="E33" s="619"/>
      <c r="F33" s="619"/>
      <c r="G33" s="619"/>
      <c r="H33" s="619"/>
      <c r="I33" s="619"/>
      <c r="J33" s="619"/>
      <c r="K33" s="619"/>
      <c r="L33" s="619"/>
      <c r="M33" s="619"/>
      <c r="N33" s="619"/>
      <c r="O33" s="619"/>
      <c r="P33" s="619"/>
      <c r="Q33" s="619"/>
      <c r="R33" s="619"/>
      <c r="S33" s="619"/>
      <c r="T33" s="619"/>
      <c r="U33" s="619"/>
      <c r="V33" s="619"/>
      <c r="W33" s="619"/>
      <c r="X33" s="619"/>
      <c r="Y33" s="619"/>
      <c r="Z33" s="619"/>
      <c r="AA33" s="619"/>
      <c r="AB33" s="619"/>
      <c r="AC33" s="619"/>
      <c r="AD33" s="619"/>
      <c r="AE33" s="619"/>
      <c r="AF33" s="619"/>
      <c r="AG33" s="619"/>
      <c r="AH33" s="619"/>
      <c r="AI33" s="619"/>
      <c r="AJ33" s="619"/>
      <c r="AK33" s="619"/>
      <c r="AL33" s="619"/>
      <c r="AM33" s="619"/>
      <c r="AN33" s="619"/>
      <c r="AO33" s="619"/>
      <c r="AP33" s="619"/>
      <c r="AQ33" s="619"/>
      <c r="AR33" s="619"/>
      <c r="AS33" s="619"/>
      <c r="AT33" s="619"/>
      <c r="AU33" s="619"/>
      <c r="AV33" s="619"/>
      <c r="AW33" s="619"/>
      <c r="AX33" s="619"/>
      <c r="AY33" s="619"/>
      <c r="AZ33" s="619"/>
      <c r="BA33" s="619"/>
      <c r="BB33" s="619"/>
      <c r="BC33" s="619"/>
      <c r="BD33" s="619"/>
      <c r="BE33" s="619"/>
      <c r="BF33" s="619"/>
      <c r="BG33" s="619"/>
      <c r="BH33" s="619"/>
      <c r="BI33" s="619"/>
      <c r="BJ33" s="619"/>
      <c r="BK33" s="619"/>
      <c r="BL33" s="619"/>
      <c r="BM33" s="619"/>
      <c r="BN33" s="619"/>
    </row>
    <row r="34" spans="1:66" ht="13.5" customHeight="1" x14ac:dyDescent="0.2">
      <c r="A34" s="619" t="s">
        <v>589</v>
      </c>
      <c r="B34" s="619"/>
      <c r="C34" s="619"/>
      <c r="D34" s="619"/>
      <c r="E34" s="619"/>
      <c r="F34" s="619"/>
      <c r="G34" s="619"/>
      <c r="H34" s="619"/>
      <c r="I34" s="619"/>
      <c r="J34" s="619"/>
      <c r="K34" s="619"/>
      <c r="L34" s="619"/>
      <c r="M34" s="619"/>
      <c r="N34" s="619"/>
      <c r="O34" s="619"/>
      <c r="P34" s="619"/>
      <c r="Q34" s="619"/>
      <c r="R34" s="619"/>
      <c r="S34" s="619"/>
      <c r="T34" s="619"/>
      <c r="U34" s="619"/>
      <c r="V34" s="619"/>
      <c r="W34" s="619"/>
      <c r="X34" s="619"/>
      <c r="Y34" s="619"/>
      <c r="Z34" s="619"/>
      <c r="AA34" s="619"/>
      <c r="AB34" s="619"/>
      <c r="AC34" s="619"/>
      <c r="AD34" s="619"/>
      <c r="AE34" s="619"/>
      <c r="AF34" s="619"/>
      <c r="AG34" s="619"/>
      <c r="AH34" s="619"/>
      <c r="AI34" s="619"/>
      <c r="AJ34" s="619"/>
      <c r="AK34" s="619"/>
      <c r="AL34" s="619"/>
      <c r="AM34" s="619"/>
      <c r="AN34" s="619"/>
      <c r="AO34" s="619"/>
      <c r="AP34" s="619"/>
      <c r="AQ34" s="619"/>
      <c r="AR34" s="619"/>
      <c r="AS34" s="619"/>
      <c r="AT34" s="619"/>
      <c r="AU34" s="619"/>
      <c r="AV34" s="619"/>
      <c r="AW34" s="619"/>
      <c r="AX34" s="619"/>
      <c r="AY34" s="619"/>
      <c r="AZ34" s="619"/>
      <c r="BA34" s="619"/>
      <c r="BB34" s="619"/>
      <c r="BC34" s="619"/>
      <c r="BD34" s="619"/>
      <c r="BE34" s="619"/>
      <c r="BF34" s="619"/>
      <c r="BG34" s="619"/>
      <c r="BH34" s="619"/>
      <c r="BI34" s="619"/>
      <c r="BJ34" s="619"/>
      <c r="BK34" s="619"/>
      <c r="BL34" s="619"/>
      <c r="BM34" s="619"/>
      <c r="BN34" s="619"/>
    </row>
    <row r="35" spans="1:66" x14ac:dyDescent="0.2">
      <c r="A35" s="619"/>
      <c r="B35" s="619"/>
      <c r="C35" s="619"/>
      <c r="D35" s="619"/>
      <c r="E35" s="619"/>
      <c r="F35" s="619"/>
      <c r="G35" s="619"/>
      <c r="H35" s="619"/>
      <c r="I35" s="619"/>
      <c r="J35" s="619"/>
      <c r="K35" s="619"/>
      <c r="L35" s="619"/>
      <c r="M35" s="619"/>
      <c r="N35" s="619"/>
      <c r="O35" s="619"/>
      <c r="P35" s="619"/>
      <c r="Q35" s="619"/>
      <c r="R35" s="619"/>
      <c r="S35" s="619"/>
      <c r="T35" s="619"/>
      <c r="U35" s="619"/>
      <c r="V35" s="619"/>
      <c r="W35" s="619"/>
      <c r="X35" s="619"/>
      <c r="Y35" s="619"/>
      <c r="Z35" s="619"/>
      <c r="AA35" s="619"/>
      <c r="AB35" s="619"/>
      <c r="AC35" s="619"/>
      <c r="AD35" s="619"/>
      <c r="AE35" s="619"/>
      <c r="AF35" s="619"/>
      <c r="AG35" s="619"/>
      <c r="AH35" s="619"/>
      <c r="AI35" s="619"/>
      <c r="AJ35" s="619"/>
      <c r="AK35" s="619"/>
      <c r="AL35" s="619"/>
      <c r="AM35" s="619"/>
      <c r="AN35" s="619"/>
      <c r="AO35" s="619"/>
      <c r="AP35" s="619"/>
      <c r="AQ35" s="619"/>
      <c r="AR35" s="619"/>
      <c r="AS35" s="619"/>
      <c r="AT35" s="619"/>
      <c r="AU35" s="619"/>
      <c r="AV35" s="619"/>
      <c r="AW35" s="619"/>
      <c r="AX35" s="619"/>
      <c r="AY35" s="619"/>
      <c r="AZ35" s="619"/>
      <c r="BA35" s="619"/>
      <c r="BB35" s="619"/>
      <c r="BC35" s="619"/>
      <c r="BD35" s="619"/>
      <c r="BE35" s="619"/>
      <c r="BF35" s="619"/>
      <c r="BG35" s="619"/>
      <c r="BH35" s="619"/>
      <c r="BI35" s="619"/>
      <c r="BJ35" s="619"/>
      <c r="BK35" s="619"/>
      <c r="BL35" s="619"/>
      <c r="BM35" s="619"/>
      <c r="BN35" s="619"/>
    </row>
    <row r="36" spans="1:66" x14ac:dyDescent="0.2">
      <c r="A36" s="619"/>
      <c r="B36" s="619"/>
      <c r="C36" s="619"/>
      <c r="D36" s="619"/>
      <c r="E36" s="619"/>
      <c r="F36" s="619"/>
      <c r="G36" s="619"/>
      <c r="H36" s="619"/>
      <c r="I36" s="619"/>
      <c r="J36" s="619"/>
      <c r="K36" s="619"/>
      <c r="L36" s="619"/>
      <c r="M36" s="619"/>
      <c r="N36" s="619"/>
      <c r="O36" s="619"/>
      <c r="P36" s="619"/>
      <c r="Q36" s="619"/>
      <c r="R36" s="619"/>
      <c r="S36" s="619"/>
      <c r="T36" s="619"/>
      <c r="U36" s="619"/>
      <c r="V36" s="619"/>
      <c r="W36" s="619"/>
      <c r="X36" s="619"/>
      <c r="Y36" s="619"/>
      <c r="Z36" s="619"/>
      <c r="AA36" s="619"/>
      <c r="AB36" s="619"/>
      <c r="AC36" s="619"/>
      <c r="AD36" s="619"/>
      <c r="AE36" s="619"/>
      <c r="AF36" s="619"/>
      <c r="AG36" s="619"/>
      <c r="AH36" s="619"/>
      <c r="AI36" s="619"/>
      <c r="AJ36" s="619"/>
      <c r="AK36" s="619"/>
      <c r="AL36" s="619"/>
      <c r="AM36" s="619"/>
      <c r="AN36" s="619"/>
      <c r="AO36" s="619"/>
      <c r="AP36" s="619"/>
      <c r="AQ36" s="619"/>
      <c r="AR36" s="619"/>
      <c r="AS36" s="619"/>
      <c r="AT36" s="619"/>
      <c r="AU36" s="619"/>
      <c r="AV36" s="619"/>
      <c r="AW36" s="619"/>
      <c r="AX36" s="619"/>
      <c r="AY36" s="619"/>
      <c r="AZ36" s="619"/>
      <c r="BA36" s="619"/>
      <c r="BB36" s="619"/>
      <c r="BC36" s="619"/>
      <c r="BD36" s="619"/>
      <c r="BE36" s="619"/>
      <c r="BF36" s="619"/>
      <c r="BG36" s="619"/>
      <c r="BH36" s="619"/>
      <c r="BI36" s="619"/>
      <c r="BJ36" s="619"/>
      <c r="BK36" s="619"/>
      <c r="BL36" s="619"/>
      <c r="BM36" s="619"/>
      <c r="BN36" s="619"/>
    </row>
    <row r="37" spans="1:66" x14ac:dyDescent="0.2">
      <c r="A37" s="619" t="s">
        <v>589</v>
      </c>
      <c r="B37" s="619"/>
      <c r="C37" s="619"/>
      <c r="D37" s="619"/>
      <c r="E37" s="619"/>
      <c r="F37" s="619"/>
      <c r="G37" s="619"/>
      <c r="H37" s="619"/>
      <c r="I37" s="619"/>
      <c r="J37" s="619"/>
      <c r="K37" s="619"/>
      <c r="L37" s="619"/>
      <c r="M37" s="619"/>
      <c r="N37" s="619"/>
      <c r="O37" s="619"/>
      <c r="P37" s="619"/>
      <c r="Q37" s="619"/>
      <c r="R37" s="619"/>
      <c r="S37" s="619"/>
      <c r="T37" s="619"/>
      <c r="U37" s="619"/>
      <c r="V37" s="619"/>
      <c r="W37" s="619"/>
      <c r="X37" s="619"/>
      <c r="Y37" s="619"/>
      <c r="Z37" s="619"/>
      <c r="AA37" s="619"/>
      <c r="AB37" s="619"/>
      <c r="AC37" s="619"/>
      <c r="AD37" s="619"/>
      <c r="AE37" s="619"/>
      <c r="AF37" s="619"/>
      <c r="AG37" s="619"/>
      <c r="AH37" s="619"/>
      <c r="AI37" s="619"/>
      <c r="AJ37" s="619"/>
      <c r="AK37" s="619"/>
      <c r="AL37" s="619"/>
      <c r="AM37" s="619"/>
      <c r="AN37" s="619"/>
      <c r="AO37" s="619"/>
      <c r="AP37" s="619"/>
      <c r="AQ37" s="619"/>
      <c r="AR37" s="619"/>
      <c r="AS37" s="619"/>
      <c r="AT37" s="619"/>
      <c r="AU37" s="619"/>
      <c r="AV37" s="619"/>
      <c r="AW37" s="619"/>
      <c r="AX37" s="619"/>
      <c r="AY37" s="619"/>
      <c r="AZ37" s="619"/>
      <c r="BA37" s="619"/>
      <c r="BB37" s="619"/>
      <c r="BC37" s="619"/>
      <c r="BD37" s="619"/>
      <c r="BE37" s="619"/>
      <c r="BF37" s="619"/>
      <c r="BG37" s="619"/>
      <c r="BH37" s="619"/>
      <c r="BI37" s="619"/>
      <c r="BJ37" s="619"/>
      <c r="BK37" s="619"/>
      <c r="BL37" s="619"/>
      <c r="BM37" s="619"/>
      <c r="BN37" s="619"/>
    </row>
    <row r="38" spans="1:66" x14ac:dyDescent="0.2">
      <c r="A38" s="619"/>
      <c r="B38" s="619"/>
      <c r="C38" s="619"/>
      <c r="D38" s="619"/>
      <c r="E38" s="619"/>
      <c r="F38" s="619"/>
      <c r="G38" s="619"/>
      <c r="H38" s="619"/>
      <c r="I38" s="619"/>
      <c r="J38" s="619"/>
      <c r="K38" s="619"/>
      <c r="L38" s="619"/>
      <c r="M38" s="619"/>
      <c r="N38" s="619"/>
      <c r="O38" s="619"/>
      <c r="P38" s="619"/>
      <c r="Q38" s="619"/>
      <c r="R38" s="619"/>
      <c r="S38" s="619"/>
      <c r="T38" s="619"/>
      <c r="U38" s="619"/>
      <c r="V38" s="619"/>
      <c r="W38" s="619"/>
      <c r="X38" s="619"/>
      <c r="Y38" s="619"/>
      <c r="Z38" s="619"/>
      <c r="AA38" s="619"/>
      <c r="AB38" s="619"/>
      <c r="AC38" s="619"/>
      <c r="AD38" s="619"/>
      <c r="AE38" s="619"/>
      <c r="AF38" s="619"/>
      <c r="AG38" s="619"/>
      <c r="AH38" s="619"/>
      <c r="AI38" s="619"/>
      <c r="AJ38" s="619"/>
      <c r="AK38" s="619"/>
      <c r="AL38" s="619"/>
      <c r="AM38" s="619"/>
      <c r="AN38" s="619"/>
      <c r="AO38" s="619"/>
      <c r="AP38" s="619"/>
      <c r="AQ38" s="619"/>
      <c r="AR38" s="619"/>
      <c r="AS38" s="619"/>
      <c r="AT38" s="619"/>
      <c r="AU38" s="619"/>
      <c r="AV38" s="619"/>
      <c r="AW38" s="619"/>
      <c r="AX38" s="619"/>
      <c r="AY38" s="619"/>
      <c r="AZ38" s="619"/>
      <c r="BA38" s="619"/>
      <c r="BB38" s="619"/>
      <c r="BC38" s="619"/>
      <c r="BD38" s="619"/>
      <c r="BE38" s="619"/>
      <c r="BF38" s="619"/>
      <c r="BG38" s="619"/>
      <c r="BH38" s="619"/>
      <c r="BI38" s="619"/>
      <c r="BJ38" s="619"/>
      <c r="BK38" s="619"/>
      <c r="BL38" s="619"/>
      <c r="BM38" s="619"/>
      <c r="BN38" s="619"/>
    </row>
    <row r="39" spans="1:66" x14ac:dyDescent="0.2">
      <c r="A39" s="619"/>
      <c r="B39" s="619"/>
      <c r="C39" s="619"/>
      <c r="D39" s="619"/>
      <c r="E39" s="619"/>
      <c r="F39" s="619"/>
      <c r="G39" s="619"/>
      <c r="H39" s="619"/>
      <c r="I39" s="619"/>
      <c r="J39" s="619"/>
      <c r="K39" s="619"/>
      <c r="L39" s="619"/>
      <c r="M39" s="619"/>
      <c r="N39" s="619"/>
      <c r="O39" s="619"/>
      <c r="P39" s="619"/>
      <c r="Q39" s="619"/>
      <c r="R39" s="619"/>
      <c r="S39" s="619"/>
      <c r="T39" s="619"/>
      <c r="U39" s="619"/>
      <c r="V39" s="619"/>
      <c r="W39" s="619"/>
      <c r="X39" s="619"/>
      <c r="Y39" s="619"/>
      <c r="Z39" s="619"/>
      <c r="AA39" s="619"/>
      <c r="AB39" s="619"/>
      <c r="AC39" s="619"/>
      <c r="AD39" s="619"/>
      <c r="AE39" s="619"/>
      <c r="AF39" s="619"/>
      <c r="AG39" s="619"/>
      <c r="AH39" s="619"/>
      <c r="AI39" s="619"/>
      <c r="AJ39" s="619"/>
      <c r="AK39" s="619"/>
      <c r="AL39" s="619"/>
      <c r="AM39" s="619"/>
      <c r="AN39" s="619"/>
      <c r="AO39" s="619"/>
      <c r="AP39" s="619"/>
      <c r="AQ39" s="619"/>
      <c r="AR39" s="619"/>
      <c r="AS39" s="619"/>
      <c r="AT39" s="619"/>
      <c r="AU39" s="619"/>
      <c r="AV39" s="619"/>
      <c r="AW39" s="619"/>
      <c r="AX39" s="619"/>
      <c r="AY39" s="619"/>
      <c r="AZ39" s="619"/>
      <c r="BA39" s="619"/>
      <c r="BB39" s="619"/>
      <c r="BC39" s="619"/>
      <c r="BD39" s="619"/>
      <c r="BE39" s="619"/>
      <c r="BF39" s="619"/>
      <c r="BG39" s="619"/>
      <c r="BH39" s="619"/>
      <c r="BI39" s="619"/>
      <c r="BJ39" s="619"/>
      <c r="BK39" s="619"/>
      <c r="BL39" s="619"/>
      <c r="BM39" s="619"/>
      <c r="BN39" s="619"/>
    </row>
    <row r="40" spans="1:66" x14ac:dyDescent="0.2">
      <c r="A40" s="619" t="s">
        <v>589</v>
      </c>
      <c r="B40" s="619"/>
      <c r="C40" s="619"/>
      <c r="D40" s="619"/>
      <c r="E40" s="619"/>
      <c r="F40" s="619"/>
      <c r="G40" s="619"/>
      <c r="H40" s="619"/>
      <c r="I40" s="619"/>
      <c r="J40" s="619"/>
      <c r="K40" s="619"/>
      <c r="L40" s="619"/>
      <c r="M40" s="619"/>
      <c r="N40" s="619"/>
      <c r="O40" s="619"/>
      <c r="P40" s="619"/>
      <c r="Q40" s="619"/>
      <c r="R40" s="619"/>
      <c r="S40" s="619"/>
      <c r="T40" s="619"/>
      <c r="U40" s="619"/>
      <c r="V40" s="619"/>
      <c r="W40" s="619"/>
      <c r="X40" s="619"/>
      <c r="Y40" s="619"/>
      <c r="Z40" s="619"/>
      <c r="AA40" s="619"/>
      <c r="AB40" s="619"/>
      <c r="AC40" s="619"/>
      <c r="AD40" s="619"/>
      <c r="AE40" s="619"/>
      <c r="AF40" s="619"/>
      <c r="AG40" s="619"/>
      <c r="AH40" s="619"/>
      <c r="AI40" s="619"/>
      <c r="AJ40" s="619"/>
      <c r="AK40" s="619"/>
      <c r="AL40" s="619"/>
      <c r="AM40" s="619"/>
      <c r="AN40" s="619"/>
      <c r="AO40" s="619"/>
      <c r="AP40" s="619"/>
      <c r="AQ40" s="619"/>
      <c r="AR40" s="619"/>
      <c r="AS40" s="619"/>
      <c r="AT40" s="619"/>
      <c r="AU40" s="619"/>
      <c r="AV40" s="619"/>
      <c r="AW40" s="619"/>
      <c r="AX40" s="619"/>
      <c r="AY40" s="619"/>
      <c r="AZ40" s="619"/>
      <c r="BA40" s="619"/>
      <c r="BB40" s="619"/>
      <c r="BC40" s="619"/>
      <c r="BD40" s="619"/>
      <c r="BE40" s="619"/>
      <c r="BF40" s="619"/>
      <c r="BG40" s="619"/>
      <c r="BH40" s="619"/>
      <c r="BI40" s="619"/>
      <c r="BJ40" s="619"/>
      <c r="BK40" s="619"/>
      <c r="BL40" s="619"/>
      <c r="BM40" s="619"/>
      <c r="BN40" s="619"/>
    </row>
    <row r="41" spans="1:66" x14ac:dyDescent="0.2">
      <c r="A41" s="619"/>
      <c r="B41" s="619"/>
      <c r="C41" s="619"/>
      <c r="D41" s="619"/>
      <c r="E41" s="619"/>
      <c r="F41" s="619"/>
      <c r="G41" s="619"/>
      <c r="H41" s="619"/>
      <c r="I41" s="619"/>
      <c r="J41" s="619"/>
      <c r="K41" s="619"/>
      <c r="L41" s="619"/>
      <c r="M41" s="619"/>
      <c r="N41" s="619"/>
      <c r="O41" s="619"/>
      <c r="P41" s="619"/>
      <c r="Q41" s="619"/>
      <c r="R41" s="619"/>
      <c r="S41" s="619"/>
      <c r="T41" s="619"/>
      <c r="U41" s="619"/>
      <c r="V41" s="619"/>
      <c r="W41" s="619"/>
      <c r="X41" s="619"/>
      <c r="Y41" s="619"/>
      <c r="Z41" s="619"/>
      <c r="AA41" s="619"/>
      <c r="AB41" s="619"/>
      <c r="AC41" s="619"/>
      <c r="AD41" s="619"/>
      <c r="AE41" s="619"/>
      <c r="AF41" s="619"/>
      <c r="AG41" s="619"/>
      <c r="AH41" s="619"/>
      <c r="AI41" s="619"/>
      <c r="AJ41" s="619"/>
      <c r="AK41" s="619"/>
      <c r="AL41" s="619"/>
      <c r="AM41" s="619"/>
      <c r="AN41" s="619"/>
      <c r="AO41" s="619"/>
      <c r="AP41" s="619"/>
      <c r="AQ41" s="619"/>
      <c r="AR41" s="619"/>
      <c r="AS41" s="619"/>
      <c r="AT41" s="619"/>
      <c r="AU41" s="619"/>
      <c r="AV41" s="619"/>
      <c r="AW41" s="619"/>
      <c r="AX41" s="619"/>
      <c r="AY41" s="619"/>
      <c r="AZ41" s="619"/>
      <c r="BA41" s="619"/>
      <c r="BB41" s="619"/>
      <c r="BC41" s="619"/>
      <c r="BD41" s="619"/>
      <c r="BE41" s="619"/>
      <c r="BF41" s="619"/>
      <c r="BG41" s="619"/>
      <c r="BH41" s="619"/>
      <c r="BI41" s="619"/>
      <c r="BJ41" s="619"/>
      <c r="BK41" s="619"/>
      <c r="BL41" s="619"/>
      <c r="BM41" s="619"/>
      <c r="BN41" s="619"/>
    </row>
    <row r="42" spans="1:66" x14ac:dyDescent="0.2">
      <c r="A42" s="619"/>
      <c r="B42" s="619"/>
      <c r="C42" s="619"/>
      <c r="D42" s="619"/>
      <c r="E42" s="619"/>
      <c r="F42" s="619"/>
      <c r="G42" s="619"/>
      <c r="H42" s="619"/>
      <c r="I42" s="619"/>
      <c r="J42" s="619"/>
      <c r="K42" s="619"/>
      <c r="L42" s="619"/>
      <c r="M42" s="619"/>
      <c r="N42" s="619"/>
      <c r="O42" s="619"/>
      <c r="P42" s="619"/>
      <c r="Q42" s="619"/>
      <c r="R42" s="619"/>
      <c r="S42" s="619"/>
      <c r="T42" s="619"/>
      <c r="U42" s="619"/>
      <c r="V42" s="619"/>
      <c r="W42" s="619"/>
      <c r="X42" s="619"/>
      <c r="Y42" s="619"/>
      <c r="Z42" s="619"/>
      <c r="AA42" s="619"/>
      <c r="AB42" s="619"/>
      <c r="AC42" s="619"/>
      <c r="AD42" s="619"/>
      <c r="AE42" s="619"/>
      <c r="AF42" s="619"/>
      <c r="AG42" s="619"/>
      <c r="AH42" s="619"/>
      <c r="AI42" s="619"/>
      <c r="AJ42" s="619"/>
      <c r="AK42" s="619"/>
      <c r="AL42" s="619"/>
      <c r="AM42" s="619"/>
      <c r="AN42" s="619"/>
      <c r="AO42" s="619"/>
      <c r="AP42" s="619"/>
      <c r="AQ42" s="619"/>
      <c r="AR42" s="619"/>
      <c r="AS42" s="619"/>
      <c r="AT42" s="619"/>
      <c r="AU42" s="619"/>
      <c r="AV42" s="619"/>
      <c r="AW42" s="619"/>
      <c r="AX42" s="619"/>
      <c r="AY42" s="619"/>
      <c r="AZ42" s="619"/>
      <c r="BA42" s="619"/>
      <c r="BB42" s="619"/>
      <c r="BC42" s="619"/>
      <c r="BD42" s="619"/>
      <c r="BE42" s="619"/>
      <c r="BF42" s="619"/>
      <c r="BG42" s="619"/>
      <c r="BH42" s="619"/>
      <c r="BI42" s="619"/>
      <c r="BJ42" s="619"/>
      <c r="BK42" s="619"/>
      <c r="BL42" s="619"/>
      <c r="BM42" s="619"/>
      <c r="BN42" s="619"/>
    </row>
    <row r="43" spans="1:66" x14ac:dyDescent="0.2">
      <c r="A43" s="619" t="s">
        <v>589</v>
      </c>
      <c r="B43" s="619"/>
      <c r="C43" s="619"/>
      <c r="D43" s="619"/>
      <c r="E43" s="619"/>
      <c r="F43" s="619"/>
      <c r="G43" s="619"/>
      <c r="H43" s="619"/>
      <c r="I43" s="619"/>
      <c r="J43" s="619"/>
      <c r="K43" s="619"/>
      <c r="L43" s="619"/>
      <c r="M43" s="619"/>
      <c r="N43" s="619"/>
      <c r="O43" s="619"/>
      <c r="P43" s="619"/>
      <c r="Q43" s="619"/>
      <c r="R43" s="619"/>
      <c r="S43" s="619"/>
      <c r="T43" s="619"/>
      <c r="U43" s="619"/>
      <c r="V43" s="619"/>
      <c r="W43" s="619"/>
      <c r="X43" s="619"/>
      <c r="Y43" s="619"/>
      <c r="Z43" s="619"/>
      <c r="AA43" s="619"/>
      <c r="AB43" s="619"/>
      <c r="AC43" s="619"/>
      <c r="AD43" s="619"/>
      <c r="AE43" s="619"/>
      <c r="AF43" s="619"/>
      <c r="AG43" s="619"/>
      <c r="AH43" s="619"/>
      <c r="AI43" s="619"/>
      <c r="AJ43" s="619"/>
      <c r="AK43" s="619"/>
      <c r="AL43" s="619"/>
      <c r="AM43" s="619"/>
      <c r="AN43" s="619"/>
      <c r="AO43" s="619"/>
      <c r="AP43" s="619"/>
      <c r="AQ43" s="619"/>
      <c r="AR43" s="619"/>
      <c r="AS43" s="619"/>
      <c r="AT43" s="619"/>
      <c r="AU43" s="619"/>
      <c r="AV43" s="619"/>
      <c r="AW43" s="619"/>
      <c r="AX43" s="619"/>
      <c r="AY43" s="619"/>
      <c r="AZ43" s="619"/>
      <c r="BA43" s="619"/>
      <c r="BB43" s="619"/>
      <c r="BC43" s="619"/>
      <c r="BD43" s="619"/>
      <c r="BE43" s="619"/>
      <c r="BF43" s="619"/>
      <c r="BG43" s="619"/>
      <c r="BH43" s="619"/>
      <c r="BI43" s="619"/>
      <c r="BJ43" s="619"/>
      <c r="BK43" s="619"/>
      <c r="BL43" s="619"/>
      <c r="BM43" s="619"/>
      <c r="BN43" s="619"/>
    </row>
    <row r="44" spans="1:66" x14ac:dyDescent="0.2">
      <c r="A44" s="619"/>
      <c r="B44" s="619"/>
      <c r="C44" s="619"/>
      <c r="D44" s="619"/>
      <c r="E44" s="619"/>
      <c r="F44" s="619"/>
      <c r="G44" s="619"/>
      <c r="H44" s="619"/>
      <c r="I44" s="619"/>
      <c r="J44" s="619"/>
      <c r="K44" s="619"/>
      <c r="L44" s="619"/>
      <c r="M44" s="619"/>
      <c r="N44" s="619"/>
      <c r="O44" s="619"/>
      <c r="P44" s="619"/>
      <c r="Q44" s="619"/>
      <c r="R44" s="619"/>
      <c r="S44" s="619"/>
      <c r="T44" s="619"/>
      <c r="U44" s="619"/>
      <c r="V44" s="619"/>
      <c r="W44" s="619"/>
      <c r="X44" s="619"/>
      <c r="Y44" s="619"/>
      <c r="Z44" s="619"/>
      <c r="AA44" s="619"/>
      <c r="AB44" s="619"/>
      <c r="AC44" s="619"/>
      <c r="AD44" s="619"/>
      <c r="AE44" s="619"/>
      <c r="AF44" s="619"/>
      <c r="AG44" s="619"/>
      <c r="AH44" s="619"/>
      <c r="AI44" s="619"/>
      <c r="AJ44" s="619"/>
      <c r="AK44" s="619"/>
      <c r="AL44" s="619"/>
      <c r="AM44" s="619"/>
      <c r="AN44" s="619"/>
      <c r="AO44" s="619"/>
      <c r="AP44" s="619"/>
      <c r="AQ44" s="619"/>
      <c r="AR44" s="619"/>
      <c r="AS44" s="619"/>
      <c r="AT44" s="619"/>
      <c r="AU44" s="619"/>
      <c r="AV44" s="619"/>
      <c r="AW44" s="619"/>
      <c r="AX44" s="619"/>
      <c r="AY44" s="619"/>
      <c r="AZ44" s="619"/>
      <c r="BA44" s="619"/>
      <c r="BB44" s="619"/>
      <c r="BC44" s="619"/>
      <c r="BD44" s="619"/>
      <c r="BE44" s="619"/>
      <c r="BF44" s="619"/>
      <c r="BG44" s="619"/>
      <c r="BH44" s="619"/>
      <c r="BI44" s="619"/>
      <c r="BJ44" s="619"/>
      <c r="BK44" s="619"/>
      <c r="BL44" s="619"/>
      <c r="BM44" s="619"/>
      <c r="BN44" s="619"/>
    </row>
    <row r="45" spans="1:66" x14ac:dyDescent="0.2">
      <c r="A45" s="619"/>
      <c r="B45" s="619"/>
      <c r="C45" s="619"/>
      <c r="D45" s="619"/>
      <c r="E45" s="619"/>
      <c r="F45" s="619"/>
      <c r="G45" s="619"/>
      <c r="H45" s="619"/>
      <c r="I45" s="619"/>
      <c r="J45" s="619"/>
      <c r="K45" s="619"/>
      <c r="L45" s="619"/>
      <c r="M45" s="619"/>
      <c r="N45" s="619"/>
      <c r="O45" s="619"/>
      <c r="P45" s="619"/>
      <c r="Q45" s="619"/>
      <c r="R45" s="619"/>
      <c r="S45" s="619"/>
      <c r="T45" s="619"/>
      <c r="U45" s="619"/>
      <c r="V45" s="619"/>
      <c r="W45" s="619"/>
      <c r="X45" s="619"/>
      <c r="Y45" s="619"/>
      <c r="Z45" s="619"/>
      <c r="AA45" s="619"/>
      <c r="AB45" s="619"/>
      <c r="AC45" s="619"/>
      <c r="AD45" s="619"/>
      <c r="AE45" s="619"/>
      <c r="AF45" s="619"/>
      <c r="AG45" s="619"/>
      <c r="AH45" s="619"/>
      <c r="AI45" s="619"/>
      <c r="AJ45" s="619"/>
      <c r="AK45" s="619"/>
      <c r="AL45" s="619"/>
      <c r="AM45" s="619"/>
      <c r="AN45" s="619"/>
      <c r="AO45" s="619"/>
      <c r="AP45" s="619"/>
      <c r="AQ45" s="619"/>
      <c r="AR45" s="619"/>
      <c r="AS45" s="619"/>
      <c r="AT45" s="619"/>
      <c r="AU45" s="619"/>
      <c r="AV45" s="619"/>
      <c r="AW45" s="619"/>
      <c r="AX45" s="619"/>
      <c r="AY45" s="619"/>
      <c r="AZ45" s="619"/>
      <c r="BA45" s="619"/>
      <c r="BB45" s="619"/>
      <c r="BC45" s="619"/>
      <c r="BD45" s="619"/>
      <c r="BE45" s="619"/>
      <c r="BF45" s="619"/>
      <c r="BG45" s="619"/>
      <c r="BH45" s="619"/>
      <c r="BI45" s="619"/>
      <c r="BJ45" s="619"/>
      <c r="BK45" s="619"/>
      <c r="BL45" s="619"/>
      <c r="BM45" s="619"/>
      <c r="BN45" s="619"/>
    </row>
    <row r="46" spans="1:66" x14ac:dyDescent="0.2">
      <c r="A46" s="619" t="s">
        <v>589</v>
      </c>
      <c r="B46" s="619"/>
      <c r="C46" s="619"/>
      <c r="D46" s="619"/>
      <c r="E46" s="619"/>
      <c r="F46" s="619"/>
      <c r="G46" s="619"/>
      <c r="H46" s="619"/>
      <c r="I46" s="619"/>
      <c r="J46" s="619"/>
      <c r="K46" s="619"/>
      <c r="L46" s="619"/>
      <c r="M46" s="619"/>
      <c r="N46" s="619"/>
      <c r="O46" s="619"/>
      <c r="P46" s="619"/>
      <c r="Q46" s="619"/>
      <c r="R46" s="619"/>
      <c r="S46" s="619"/>
      <c r="T46" s="619"/>
      <c r="U46" s="619"/>
      <c r="V46" s="619"/>
      <c r="W46" s="619"/>
      <c r="X46" s="619"/>
      <c r="Y46" s="619"/>
      <c r="Z46" s="619"/>
      <c r="AA46" s="619"/>
      <c r="AB46" s="619"/>
      <c r="AC46" s="619"/>
      <c r="AD46" s="619"/>
      <c r="AE46" s="619"/>
      <c r="AF46" s="619"/>
      <c r="AG46" s="619"/>
      <c r="AH46" s="619"/>
      <c r="AI46" s="619"/>
      <c r="AJ46" s="619"/>
      <c r="AK46" s="619"/>
      <c r="AL46" s="619"/>
      <c r="AM46" s="619"/>
      <c r="AN46" s="619"/>
      <c r="AO46" s="619"/>
      <c r="AP46" s="619"/>
      <c r="AQ46" s="619"/>
      <c r="AR46" s="619"/>
      <c r="AS46" s="619"/>
      <c r="AT46" s="619"/>
      <c r="AU46" s="619"/>
      <c r="AV46" s="619"/>
      <c r="AW46" s="619"/>
      <c r="AX46" s="619"/>
      <c r="AY46" s="619"/>
      <c r="AZ46" s="619"/>
      <c r="BA46" s="619"/>
      <c r="BB46" s="619"/>
      <c r="BC46" s="619"/>
      <c r="BD46" s="619"/>
      <c r="BE46" s="619"/>
      <c r="BF46" s="619"/>
      <c r="BG46" s="619"/>
      <c r="BH46" s="619"/>
      <c r="BI46" s="619"/>
      <c r="BJ46" s="619"/>
      <c r="BK46" s="619"/>
      <c r="BL46" s="619"/>
      <c r="BM46" s="619"/>
      <c r="BN46" s="619"/>
    </row>
    <row r="47" spans="1:66" x14ac:dyDescent="0.2">
      <c r="A47" s="619"/>
      <c r="B47" s="619"/>
      <c r="C47" s="619"/>
      <c r="D47" s="619"/>
      <c r="E47" s="619"/>
      <c r="F47" s="619"/>
      <c r="G47" s="619"/>
      <c r="H47" s="619"/>
      <c r="I47" s="619"/>
      <c r="J47" s="619"/>
      <c r="K47" s="619"/>
      <c r="L47" s="619"/>
      <c r="M47" s="619"/>
      <c r="N47" s="619"/>
      <c r="O47" s="619"/>
      <c r="P47" s="619"/>
      <c r="Q47" s="619"/>
      <c r="R47" s="619"/>
      <c r="S47" s="619"/>
      <c r="T47" s="619"/>
      <c r="U47" s="619"/>
      <c r="V47" s="619"/>
      <c r="W47" s="619"/>
      <c r="X47" s="619"/>
      <c r="Y47" s="619"/>
      <c r="Z47" s="619"/>
      <c r="AA47" s="619"/>
      <c r="AB47" s="619"/>
      <c r="AC47" s="619"/>
      <c r="AD47" s="619"/>
      <c r="AE47" s="619"/>
      <c r="AF47" s="619"/>
      <c r="AG47" s="619"/>
      <c r="AH47" s="619"/>
      <c r="AI47" s="619"/>
      <c r="AJ47" s="619"/>
      <c r="AK47" s="619"/>
      <c r="AL47" s="619"/>
      <c r="AM47" s="619"/>
      <c r="AN47" s="619"/>
      <c r="AO47" s="619"/>
      <c r="AP47" s="619"/>
      <c r="AQ47" s="619"/>
      <c r="AR47" s="619"/>
      <c r="AS47" s="619"/>
      <c r="AT47" s="619"/>
      <c r="AU47" s="619"/>
      <c r="AV47" s="619"/>
      <c r="AW47" s="619"/>
      <c r="AX47" s="619"/>
      <c r="AY47" s="619"/>
      <c r="AZ47" s="619"/>
      <c r="BA47" s="619"/>
      <c r="BB47" s="619"/>
      <c r="BC47" s="619"/>
      <c r="BD47" s="619"/>
      <c r="BE47" s="619"/>
      <c r="BF47" s="619"/>
      <c r="BG47" s="619"/>
      <c r="BH47" s="619"/>
      <c r="BI47" s="619"/>
      <c r="BJ47" s="619"/>
      <c r="BK47" s="619"/>
      <c r="BL47" s="619"/>
      <c r="BM47" s="619"/>
      <c r="BN47" s="619"/>
    </row>
    <row r="48" spans="1:66" x14ac:dyDescent="0.2">
      <c r="A48" s="619"/>
      <c r="B48" s="619"/>
      <c r="C48" s="619"/>
      <c r="D48" s="619"/>
      <c r="E48" s="619"/>
      <c r="F48" s="619"/>
      <c r="G48" s="619"/>
      <c r="H48" s="619"/>
      <c r="I48" s="619"/>
      <c r="J48" s="619"/>
      <c r="K48" s="619"/>
      <c r="L48" s="619"/>
      <c r="M48" s="619"/>
      <c r="N48" s="619"/>
      <c r="O48" s="619"/>
      <c r="P48" s="619"/>
      <c r="Q48" s="619"/>
      <c r="R48" s="619"/>
      <c r="S48" s="619"/>
      <c r="T48" s="619"/>
      <c r="U48" s="619"/>
      <c r="V48" s="619"/>
      <c r="W48" s="619"/>
      <c r="X48" s="619"/>
      <c r="Y48" s="619"/>
      <c r="Z48" s="619"/>
      <c r="AA48" s="619"/>
      <c r="AB48" s="619"/>
      <c r="AC48" s="619"/>
      <c r="AD48" s="619"/>
      <c r="AE48" s="619"/>
      <c r="AF48" s="619"/>
      <c r="AG48" s="619"/>
      <c r="AH48" s="619"/>
      <c r="AI48" s="619"/>
      <c r="AJ48" s="619"/>
      <c r="AK48" s="619"/>
      <c r="AL48" s="619"/>
      <c r="AM48" s="619"/>
      <c r="AN48" s="619"/>
      <c r="AO48" s="619"/>
      <c r="AP48" s="619"/>
      <c r="AQ48" s="619"/>
      <c r="AR48" s="619"/>
      <c r="AS48" s="619"/>
      <c r="AT48" s="619"/>
      <c r="AU48" s="619"/>
      <c r="AV48" s="619"/>
      <c r="AW48" s="619"/>
      <c r="AX48" s="619"/>
      <c r="AY48" s="619"/>
      <c r="AZ48" s="619"/>
      <c r="BA48" s="619"/>
      <c r="BB48" s="619"/>
      <c r="BC48" s="619"/>
      <c r="BD48" s="619"/>
      <c r="BE48" s="619"/>
      <c r="BF48" s="619"/>
      <c r="BG48" s="619"/>
      <c r="BH48" s="619"/>
      <c r="BI48" s="619"/>
      <c r="BJ48" s="619"/>
      <c r="BK48" s="619"/>
      <c r="BL48" s="619"/>
      <c r="BM48" s="619"/>
      <c r="BN48" s="619"/>
    </row>
  </sheetData>
  <mergeCells count="78">
    <mergeCell ref="A1:F5"/>
    <mergeCell ref="G1:Q5"/>
    <mergeCell ref="R1:AI5"/>
    <mergeCell ref="AJ3:AN7"/>
    <mergeCell ref="A6:Q6"/>
    <mergeCell ref="R6:AI6"/>
    <mergeCell ref="A7:Q7"/>
    <mergeCell ref="R7:AI7"/>
    <mergeCell ref="AT1:AX1"/>
    <mergeCell ref="AY1:BN1"/>
    <mergeCell ref="AJ2:AN2"/>
    <mergeCell ref="AO2:AS2"/>
    <mergeCell ref="AT2:AX2"/>
    <mergeCell ref="AY2:BD2"/>
    <mergeCell ref="BJ2:BN2"/>
    <mergeCell ref="BE2:BI2"/>
    <mergeCell ref="AJ1:AN1"/>
    <mergeCell ref="AO1:AS1"/>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8:Q8"/>
    <mergeCell ref="R8:AI8"/>
    <mergeCell ref="AJ8:AP8"/>
    <mergeCell ref="AQ8:AW8"/>
    <mergeCell ref="AX8:BD8"/>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I19:T21"/>
    <mergeCell ref="A19:H21"/>
    <mergeCell ref="A25:H27"/>
    <mergeCell ref="A31:H33"/>
    <mergeCell ref="I31:T33"/>
    <mergeCell ref="A28:H30"/>
    <mergeCell ref="I28:T30"/>
    <mergeCell ref="U31:BN33"/>
    <mergeCell ref="A34:H36"/>
    <mergeCell ref="I34:T36"/>
    <mergeCell ref="U34:BN36"/>
    <mergeCell ref="A37:H39"/>
    <mergeCell ref="I37:T39"/>
    <mergeCell ref="U37:BN39"/>
    <mergeCell ref="A46:H48"/>
    <mergeCell ref="I46:T48"/>
    <mergeCell ref="U46:BN48"/>
    <mergeCell ref="A40:H42"/>
    <mergeCell ref="I40:T42"/>
    <mergeCell ref="U40:BN42"/>
    <mergeCell ref="A43:H45"/>
    <mergeCell ref="I43:T45"/>
    <mergeCell ref="U43:BN45"/>
  </mergeCells>
  <phoneticPr fontId="23"/>
  <dataValidations count="1">
    <dataValidation type="list" allowBlank="1" showInputMessage="1" showErrorMessage="1" sqref="A13:H48">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N58"/>
  <sheetViews>
    <sheetView zoomScale="85" zoomScaleNormal="85" zoomScaleSheetLayoutView="85" workbookViewId="0">
      <selection sqref="A1:F5"/>
    </sheetView>
  </sheetViews>
  <sheetFormatPr defaultColWidth="2.6640625" defaultRowHeight="13.2" x14ac:dyDescent="0.2"/>
  <cols>
    <col min="1" max="47" width="2.6640625" customWidth="1"/>
    <col min="48" max="48" width="3" customWidth="1"/>
  </cols>
  <sheetData>
    <row r="1" spans="1:66" x14ac:dyDescent="0.2">
      <c r="A1" s="601" t="s">
        <v>597</v>
      </c>
      <c r="B1" s="602"/>
      <c r="C1" s="602"/>
      <c r="D1" s="602"/>
      <c r="E1" s="602"/>
      <c r="F1" s="603"/>
      <c r="G1" s="601" t="s">
        <v>564</v>
      </c>
      <c r="H1" s="602"/>
      <c r="I1" s="602"/>
      <c r="J1" s="602"/>
      <c r="K1" s="602"/>
      <c r="L1" s="602"/>
      <c r="M1" s="602"/>
      <c r="N1" s="602"/>
      <c r="O1" s="602"/>
      <c r="P1" s="602"/>
      <c r="Q1" s="603"/>
      <c r="R1" s="610" t="s">
        <v>598</v>
      </c>
      <c r="S1" s="611"/>
      <c r="T1" s="611"/>
      <c r="U1" s="611"/>
      <c r="V1" s="611"/>
      <c r="W1" s="611"/>
      <c r="X1" s="611"/>
      <c r="Y1" s="611"/>
      <c r="Z1" s="611"/>
      <c r="AA1" s="611"/>
      <c r="AB1" s="611"/>
      <c r="AC1" s="611"/>
      <c r="AD1" s="611"/>
      <c r="AE1" s="611"/>
      <c r="AF1" s="611"/>
      <c r="AG1" s="611"/>
      <c r="AH1" s="611"/>
      <c r="AI1" s="612"/>
      <c r="AJ1" s="583" t="s">
        <v>305</v>
      </c>
      <c r="AK1" s="584"/>
      <c r="AL1" s="584"/>
      <c r="AM1" s="584"/>
      <c r="AN1" s="585"/>
      <c r="AO1" s="583" t="s">
        <v>306</v>
      </c>
      <c r="AP1" s="584"/>
      <c r="AQ1" s="584"/>
      <c r="AR1" s="584"/>
      <c r="AS1" s="585"/>
      <c r="AT1" s="583" t="s">
        <v>237</v>
      </c>
      <c r="AU1" s="584"/>
      <c r="AV1" s="584"/>
      <c r="AW1" s="584"/>
      <c r="AX1" s="585"/>
      <c r="AY1" s="586" t="s">
        <v>566</v>
      </c>
      <c r="AZ1" s="587"/>
      <c r="BA1" s="587"/>
      <c r="BB1" s="587"/>
      <c r="BC1" s="587"/>
      <c r="BD1" s="587"/>
      <c r="BE1" s="587"/>
      <c r="BF1" s="587"/>
      <c r="BG1" s="587"/>
      <c r="BH1" s="587"/>
      <c r="BI1" s="587"/>
      <c r="BJ1" s="587"/>
      <c r="BK1" s="587"/>
      <c r="BL1" s="587"/>
      <c r="BM1" s="587"/>
      <c r="BN1" s="588"/>
    </row>
    <row r="2" spans="1:66" x14ac:dyDescent="0.2">
      <c r="A2" s="604"/>
      <c r="B2" s="605"/>
      <c r="C2" s="605"/>
      <c r="D2" s="605"/>
      <c r="E2" s="605"/>
      <c r="F2" s="606"/>
      <c r="G2" s="604"/>
      <c r="H2" s="605"/>
      <c r="I2" s="605"/>
      <c r="J2" s="605"/>
      <c r="K2" s="605"/>
      <c r="L2" s="605"/>
      <c r="M2" s="605"/>
      <c r="N2" s="605"/>
      <c r="O2" s="605"/>
      <c r="P2" s="605"/>
      <c r="Q2" s="606"/>
      <c r="R2" s="613"/>
      <c r="S2" s="614"/>
      <c r="T2" s="614"/>
      <c r="U2" s="614"/>
      <c r="V2" s="614"/>
      <c r="W2" s="614"/>
      <c r="X2" s="614"/>
      <c r="Y2" s="614"/>
      <c r="Z2" s="614"/>
      <c r="AA2" s="614"/>
      <c r="AB2" s="614"/>
      <c r="AC2" s="614"/>
      <c r="AD2" s="614"/>
      <c r="AE2" s="614"/>
      <c r="AF2" s="614"/>
      <c r="AG2" s="614"/>
      <c r="AH2" s="614"/>
      <c r="AI2" s="615"/>
      <c r="AJ2" s="583" t="s">
        <v>494</v>
      </c>
      <c r="AK2" s="584"/>
      <c r="AL2" s="584"/>
      <c r="AM2" s="584"/>
      <c r="AN2" s="585"/>
      <c r="AO2" s="583" t="s">
        <v>494</v>
      </c>
      <c r="AP2" s="584"/>
      <c r="AQ2" s="584"/>
      <c r="AR2" s="584"/>
      <c r="AS2" s="585"/>
      <c r="AT2" s="583" t="s">
        <v>494</v>
      </c>
      <c r="AU2" s="584"/>
      <c r="AV2" s="584"/>
      <c r="AW2" s="584"/>
      <c r="AX2" s="585"/>
      <c r="AY2" s="586" t="s">
        <v>308</v>
      </c>
      <c r="AZ2" s="587"/>
      <c r="BA2" s="587"/>
      <c r="BB2" s="587"/>
      <c r="BC2" s="587"/>
      <c r="BD2" s="588"/>
      <c r="BE2" s="583" t="s">
        <v>306</v>
      </c>
      <c r="BF2" s="584"/>
      <c r="BG2" s="584"/>
      <c r="BH2" s="584"/>
      <c r="BI2" s="585"/>
      <c r="BJ2" s="583" t="s">
        <v>617</v>
      </c>
      <c r="BK2" s="584"/>
      <c r="BL2" s="584"/>
      <c r="BM2" s="584"/>
      <c r="BN2" s="585"/>
    </row>
    <row r="3" spans="1:66" x14ac:dyDescent="0.2">
      <c r="A3" s="604"/>
      <c r="B3" s="605"/>
      <c r="C3" s="605"/>
      <c r="D3" s="605"/>
      <c r="E3" s="605"/>
      <c r="F3" s="606"/>
      <c r="G3" s="604"/>
      <c r="H3" s="605"/>
      <c r="I3" s="605"/>
      <c r="J3" s="605"/>
      <c r="K3" s="605"/>
      <c r="L3" s="605"/>
      <c r="M3" s="605"/>
      <c r="N3" s="605"/>
      <c r="O3" s="605"/>
      <c r="P3" s="605"/>
      <c r="Q3" s="606"/>
      <c r="R3" s="613"/>
      <c r="S3" s="614"/>
      <c r="T3" s="614"/>
      <c r="U3" s="614"/>
      <c r="V3" s="614"/>
      <c r="W3" s="614"/>
      <c r="X3" s="614"/>
      <c r="Y3" s="614"/>
      <c r="Z3" s="614"/>
      <c r="AA3" s="614"/>
      <c r="AB3" s="614"/>
      <c r="AC3" s="614"/>
      <c r="AD3" s="614"/>
      <c r="AE3" s="614"/>
      <c r="AF3" s="614"/>
      <c r="AG3" s="614"/>
      <c r="AH3" s="614"/>
      <c r="AI3" s="615"/>
      <c r="AJ3" s="598"/>
      <c r="AK3" s="598"/>
      <c r="AL3" s="598"/>
      <c r="AM3" s="598"/>
      <c r="AN3" s="598"/>
      <c r="AO3" s="598"/>
      <c r="AP3" s="598"/>
      <c r="AQ3" s="598"/>
      <c r="AR3" s="598"/>
      <c r="AS3" s="598"/>
      <c r="AT3" s="598"/>
      <c r="AU3" s="598"/>
      <c r="AV3" s="598"/>
      <c r="AW3" s="598"/>
      <c r="AX3" s="598"/>
      <c r="AY3" s="599"/>
      <c r="AZ3" s="599"/>
      <c r="BA3" s="599"/>
      <c r="BB3" s="599"/>
      <c r="BC3" s="599"/>
      <c r="BD3" s="599"/>
      <c r="BE3" s="598" t="s">
        <v>495</v>
      </c>
      <c r="BF3" s="598"/>
      <c r="BG3" s="598"/>
      <c r="BH3" s="598"/>
      <c r="BI3" s="598"/>
      <c r="BJ3" s="598" t="s">
        <v>495</v>
      </c>
      <c r="BK3" s="598"/>
      <c r="BL3" s="598"/>
      <c r="BM3" s="598"/>
      <c r="BN3" s="598"/>
    </row>
    <row r="4" spans="1:66" x14ac:dyDescent="0.2">
      <c r="A4" s="604"/>
      <c r="B4" s="605"/>
      <c r="C4" s="605"/>
      <c r="D4" s="605"/>
      <c r="E4" s="605"/>
      <c r="F4" s="606"/>
      <c r="G4" s="604"/>
      <c r="H4" s="605"/>
      <c r="I4" s="605"/>
      <c r="J4" s="605"/>
      <c r="K4" s="605"/>
      <c r="L4" s="605"/>
      <c r="M4" s="605"/>
      <c r="N4" s="605"/>
      <c r="O4" s="605"/>
      <c r="P4" s="605"/>
      <c r="Q4" s="606"/>
      <c r="R4" s="613"/>
      <c r="S4" s="614"/>
      <c r="T4" s="614"/>
      <c r="U4" s="614"/>
      <c r="V4" s="614"/>
      <c r="W4" s="614"/>
      <c r="X4" s="614"/>
      <c r="Y4" s="614"/>
      <c r="Z4" s="614"/>
      <c r="AA4" s="614"/>
      <c r="AB4" s="614"/>
      <c r="AC4" s="614"/>
      <c r="AD4" s="614"/>
      <c r="AE4" s="614"/>
      <c r="AF4" s="614"/>
      <c r="AG4" s="614"/>
      <c r="AH4" s="614"/>
      <c r="AI4" s="615"/>
      <c r="AJ4" s="598"/>
      <c r="AK4" s="598"/>
      <c r="AL4" s="598"/>
      <c r="AM4" s="598"/>
      <c r="AN4" s="598"/>
      <c r="AO4" s="598"/>
      <c r="AP4" s="598"/>
      <c r="AQ4" s="598"/>
      <c r="AR4" s="598"/>
      <c r="AS4" s="598"/>
      <c r="AT4" s="598"/>
      <c r="AU4" s="598"/>
      <c r="AV4" s="598"/>
      <c r="AW4" s="598"/>
      <c r="AX4" s="598"/>
      <c r="AY4" s="599"/>
      <c r="AZ4" s="599"/>
      <c r="BA4" s="599"/>
      <c r="BB4" s="599"/>
      <c r="BC4" s="599"/>
      <c r="BD4" s="599"/>
      <c r="BE4" s="598"/>
      <c r="BF4" s="598"/>
      <c r="BG4" s="598"/>
      <c r="BH4" s="598"/>
      <c r="BI4" s="598"/>
      <c r="BJ4" s="598"/>
      <c r="BK4" s="598"/>
      <c r="BL4" s="598"/>
      <c r="BM4" s="598"/>
      <c r="BN4" s="598"/>
    </row>
    <row r="5" spans="1:66" x14ac:dyDescent="0.2">
      <c r="A5" s="607"/>
      <c r="B5" s="608"/>
      <c r="C5" s="608"/>
      <c r="D5" s="608"/>
      <c r="E5" s="608"/>
      <c r="F5" s="609"/>
      <c r="G5" s="607"/>
      <c r="H5" s="608"/>
      <c r="I5" s="608"/>
      <c r="J5" s="608"/>
      <c r="K5" s="608"/>
      <c r="L5" s="608"/>
      <c r="M5" s="608"/>
      <c r="N5" s="608"/>
      <c r="O5" s="608"/>
      <c r="P5" s="608"/>
      <c r="Q5" s="609"/>
      <c r="R5" s="616"/>
      <c r="S5" s="617"/>
      <c r="T5" s="617"/>
      <c r="U5" s="617"/>
      <c r="V5" s="617"/>
      <c r="W5" s="617"/>
      <c r="X5" s="617"/>
      <c r="Y5" s="617"/>
      <c r="Z5" s="617"/>
      <c r="AA5" s="617"/>
      <c r="AB5" s="617"/>
      <c r="AC5" s="617"/>
      <c r="AD5" s="617"/>
      <c r="AE5" s="617"/>
      <c r="AF5" s="617"/>
      <c r="AG5" s="617"/>
      <c r="AH5" s="617"/>
      <c r="AI5" s="618"/>
      <c r="AJ5" s="598"/>
      <c r="AK5" s="598"/>
      <c r="AL5" s="598"/>
      <c r="AM5" s="598"/>
      <c r="AN5" s="598"/>
      <c r="AO5" s="598"/>
      <c r="AP5" s="598"/>
      <c r="AQ5" s="598"/>
      <c r="AR5" s="598"/>
      <c r="AS5" s="598"/>
      <c r="AT5" s="598"/>
      <c r="AU5" s="598"/>
      <c r="AV5" s="598"/>
      <c r="AW5" s="598"/>
      <c r="AX5" s="598"/>
      <c r="AY5" s="599"/>
      <c r="AZ5" s="599"/>
      <c r="BA5" s="599"/>
      <c r="BB5" s="599"/>
      <c r="BC5" s="599"/>
      <c r="BD5" s="599"/>
      <c r="BE5" s="598"/>
      <c r="BF5" s="598"/>
      <c r="BG5" s="598"/>
      <c r="BH5" s="598"/>
      <c r="BI5" s="598"/>
      <c r="BJ5" s="598"/>
      <c r="BK5" s="598"/>
      <c r="BL5" s="598"/>
      <c r="BM5" s="598"/>
      <c r="BN5" s="598"/>
    </row>
    <row r="6" spans="1:66" x14ac:dyDescent="0.2">
      <c r="A6" s="598" t="s">
        <v>465</v>
      </c>
      <c r="B6" s="598"/>
      <c r="C6" s="598"/>
      <c r="D6" s="598"/>
      <c r="E6" s="598"/>
      <c r="F6" s="598"/>
      <c r="G6" s="598"/>
      <c r="H6" s="598"/>
      <c r="I6" s="598"/>
      <c r="J6" s="598"/>
      <c r="K6" s="598"/>
      <c r="L6" s="598"/>
      <c r="M6" s="598"/>
      <c r="N6" s="598"/>
      <c r="O6" s="598"/>
      <c r="P6" s="598"/>
      <c r="Q6" s="598"/>
      <c r="R6" s="600" t="s">
        <v>466</v>
      </c>
      <c r="S6" s="600"/>
      <c r="T6" s="600"/>
      <c r="U6" s="600"/>
      <c r="V6" s="600"/>
      <c r="W6" s="600"/>
      <c r="X6" s="600"/>
      <c r="Y6" s="600"/>
      <c r="Z6" s="600"/>
      <c r="AA6" s="600"/>
      <c r="AB6" s="600"/>
      <c r="AC6" s="600"/>
      <c r="AD6" s="600"/>
      <c r="AE6" s="600"/>
      <c r="AF6" s="600"/>
      <c r="AG6" s="600"/>
      <c r="AH6" s="600"/>
      <c r="AI6" s="600"/>
      <c r="AJ6" s="598"/>
      <c r="AK6" s="598"/>
      <c r="AL6" s="598"/>
      <c r="AM6" s="598"/>
      <c r="AN6" s="598"/>
      <c r="AO6" s="598"/>
      <c r="AP6" s="598"/>
      <c r="AQ6" s="598"/>
      <c r="AR6" s="598"/>
      <c r="AS6" s="598"/>
      <c r="AT6" s="598"/>
      <c r="AU6" s="598"/>
      <c r="AV6" s="598"/>
      <c r="AW6" s="598"/>
      <c r="AX6" s="598"/>
      <c r="AY6" s="599"/>
      <c r="AZ6" s="599"/>
      <c r="BA6" s="599"/>
      <c r="BB6" s="599"/>
      <c r="BC6" s="599"/>
      <c r="BD6" s="599"/>
      <c r="BE6" s="598"/>
      <c r="BF6" s="598"/>
      <c r="BG6" s="598"/>
      <c r="BH6" s="598"/>
      <c r="BI6" s="598"/>
      <c r="BJ6" s="598"/>
      <c r="BK6" s="598"/>
      <c r="BL6" s="598"/>
      <c r="BM6" s="598"/>
      <c r="BN6" s="598"/>
    </row>
    <row r="7" spans="1:66" x14ac:dyDescent="0.2">
      <c r="A7" s="598"/>
      <c r="B7" s="598"/>
      <c r="C7" s="598"/>
      <c r="D7" s="598"/>
      <c r="E7" s="598"/>
      <c r="F7" s="598"/>
      <c r="G7" s="598"/>
      <c r="H7" s="598"/>
      <c r="I7" s="598"/>
      <c r="J7" s="598"/>
      <c r="K7" s="598"/>
      <c r="L7" s="598"/>
      <c r="M7" s="598"/>
      <c r="N7" s="598"/>
      <c r="O7" s="598"/>
      <c r="P7" s="598"/>
      <c r="Q7" s="598"/>
      <c r="R7" s="600"/>
      <c r="S7" s="600"/>
      <c r="T7" s="600"/>
      <c r="U7" s="600"/>
      <c r="V7" s="600"/>
      <c r="W7" s="600"/>
      <c r="X7" s="600"/>
      <c r="Y7" s="600"/>
      <c r="Z7" s="600"/>
      <c r="AA7" s="600"/>
      <c r="AB7" s="600"/>
      <c r="AC7" s="600"/>
      <c r="AD7" s="600"/>
      <c r="AE7" s="600"/>
      <c r="AF7" s="600"/>
      <c r="AG7" s="600"/>
      <c r="AH7" s="600"/>
      <c r="AI7" s="600"/>
      <c r="AJ7" s="598"/>
      <c r="AK7" s="598"/>
      <c r="AL7" s="598"/>
      <c r="AM7" s="598"/>
      <c r="AN7" s="598"/>
      <c r="AO7" s="598"/>
      <c r="AP7" s="598"/>
      <c r="AQ7" s="598"/>
      <c r="AR7" s="598"/>
      <c r="AS7" s="598"/>
      <c r="AT7" s="598"/>
      <c r="AU7" s="598"/>
      <c r="AV7" s="598"/>
      <c r="AW7" s="598"/>
      <c r="AX7" s="598"/>
      <c r="AY7" s="599"/>
      <c r="AZ7" s="599"/>
      <c r="BA7" s="599"/>
      <c r="BB7" s="599"/>
      <c r="BC7" s="599"/>
      <c r="BD7" s="599"/>
      <c r="BE7" s="598"/>
      <c r="BF7" s="598"/>
      <c r="BG7" s="598"/>
      <c r="BH7" s="598"/>
      <c r="BI7" s="598"/>
      <c r="BJ7" s="598"/>
      <c r="BK7" s="598"/>
      <c r="BL7" s="598"/>
      <c r="BM7" s="598"/>
      <c r="BN7" s="598"/>
    </row>
    <row r="8" spans="1:66" ht="13.5" customHeight="1" x14ac:dyDescent="0.2">
      <c r="A8" s="598" t="s">
        <v>310</v>
      </c>
      <c r="B8" s="598"/>
      <c r="C8" s="598"/>
      <c r="D8" s="598"/>
      <c r="E8" s="598"/>
      <c r="F8" s="598"/>
      <c r="G8" s="598"/>
      <c r="H8" s="598"/>
      <c r="I8" s="598"/>
      <c r="J8" s="598"/>
      <c r="K8" s="598"/>
      <c r="L8" s="598"/>
      <c r="M8" s="598"/>
      <c r="N8" s="598"/>
      <c r="O8" s="598"/>
      <c r="P8" s="598"/>
      <c r="Q8" s="598"/>
      <c r="R8" s="600" t="s">
        <v>311</v>
      </c>
      <c r="S8" s="600"/>
      <c r="T8" s="600"/>
      <c r="U8" s="600"/>
      <c r="V8" s="600"/>
      <c r="W8" s="600"/>
      <c r="X8" s="600"/>
      <c r="Y8" s="600"/>
      <c r="Z8" s="600"/>
      <c r="AA8" s="600"/>
      <c r="AB8" s="600"/>
      <c r="AC8" s="600"/>
      <c r="AD8" s="600"/>
      <c r="AE8" s="600"/>
      <c r="AF8" s="600"/>
      <c r="AG8" s="600"/>
      <c r="AH8" s="600"/>
      <c r="AI8" s="600"/>
      <c r="AJ8" s="600" t="s">
        <v>312</v>
      </c>
      <c r="AK8" s="600"/>
      <c r="AL8" s="600"/>
      <c r="AM8" s="600"/>
      <c r="AN8" s="600"/>
      <c r="AO8" s="600"/>
      <c r="AP8" s="600"/>
      <c r="AQ8" s="600" t="s">
        <v>599</v>
      </c>
      <c r="AR8" s="600"/>
      <c r="AS8" s="600"/>
      <c r="AT8" s="600"/>
      <c r="AU8" s="600"/>
      <c r="AV8" s="600"/>
      <c r="AW8" s="600"/>
      <c r="AX8" s="297"/>
      <c r="AY8" s="297"/>
      <c r="AZ8" s="297"/>
      <c r="BA8" s="297"/>
      <c r="BB8" s="297"/>
      <c r="BC8" s="297"/>
      <c r="BD8" s="297"/>
      <c r="BE8" s="297"/>
      <c r="BF8" s="297"/>
      <c r="BG8" s="297"/>
      <c r="BH8" s="297"/>
      <c r="BI8" s="297"/>
      <c r="BJ8" s="297"/>
      <c r="BK8" s="297"/>
      <c r="BL8" s="1"/>
      <c r="BM8" s="1"/>
      <c r="BN8" s="1"/>
    </row>
    <row r="9" spans="1:66" ht="13.5" customHeight="1" x14ac:dyDescent="0.2">
      <c r="A9" s="598"/>
      <c r="B9" s="598"/>
      <c r="C9" s="598"/>
      <c r="D9" s="598"/>
      <c r="E9" s="598"/>
      <c r="F9" s="598"/>
      <c r="G9" s="598"/>
      <c r="H9" s="598"/>
      <c r="I9" s="598"/>
      <c r="J9" s="598"/>
      <c r="K9" s="598"/>
      <c r="L9" s="598"/>
      <c r="M9" s="598"/>
      <c r="N9" s="598"/>
      <c r="O9" s="598"/>
      <c r="P9" s="598"/>
      <c r="Q9" s="598"/>
      <c r="R9" s="600"/>
      <c r="S9" s="600"/>
      <c r="T9" s="600"/>
      <c r="U9" s="600"/>
      <c r="V9" s="600"/>
      <c r="W9" s="600"/>
      <c r="X9" s="600"/>
      <c r="Y9" s="600"/>
      <c r="Z9" s="600"/>
      <c r="AA9" s="600"/>
      <c r="AB9" s="600"/>
      <c r="AC9" s="600"/>
      <c r="AD9" s="600"/>
      <c r="AE9" s="600"/>
      <c r="AF9" s="600"/>
      <c r="AG9" s="600"/>
      <c r="AH9" s="600"/>
      <c r="AI9" s="600"/>
      <c r="AJ9" s="600"/>
      <c r="AK9" s="600"/>
      <c r="AL9" s="600"/>
      <c r="AM9" s="600"/>
      <c r="AN9" s="600"/>
      <c r="AO9" s="600"/>
      <c r="AP9" s="600"/>
      <c r="AQ9" s="598"/>
      <c r="AR9" s="598"/>
      <c r="AS9" s="598"/>
      <c r="AT9" s="598"/>
      <c r="AU9" s="598"/>
      <c r="AV9" s="598"/>
      <c r="AW9" s="598"/>
      <c r="AX9" s="297"/>
      <c r="AY9" s="297"/>
      <c r="AZ9" s="297"/>
      <c r="BA9" s="297"/>
      <c r="BB9" s="297"/>
      <c r="BC9" s="297"/>
      <c r="BD9" s="297"/>
      <c r="BE9" s="1"/>
      <c r="BF9" s="1"/>
      <c r="BG9" s="1"/>
      <c r="BH9" s="1"/>
      <c r="BI9" s="1"/>
      <c r="BJ9" s="1"/>
      <c r="BK9" s="1"/>
      <c r="BL9" s="298"/>
      <c r="BM9" s="298"/>
      <c r="BN9" s="298"/>
    </row>
    <row r="11" spans="1:66" x14ac:dyDescent="0.2">
      <c r="A11" s="574" t="s">
        <v>208</v>
      </c>
      <c r="B11" s="575"/>
      <c r="C11" s="575"/>
      <c r="D11" s="575"/>
      <c r="E11" s="575"/>
      <c r="F11" s="575"/>
      <c r="G11" s="575"/>
      <c r="H11" s="576"/>
      <c r="I11" s="568" t="s">
        <v>138</v>
      </c>
      <c r="J11" s="569"/>
      <c r="K11" s="569"/>
      <c r="L11" s="569"/>
      <c r="M11" s="569"/>
      <c r="N11" s="569"/>
      <c r="O11" s="569"/>
      <c r="P11" s="569"/>
      <c r="Q11" s="570"/>
      <c r="R11" s="574" t="s">
        <v>209</v>
      </c>
      <c r="S11" s="575"/>
      <c r="T11" s="575"/>
      <c r="U11" s="575"/>
      <c r="V11" s="575"/>
      <c r="W11" s="575"/>
      <c r="X11" s="575"/>
      <c r="Y11" s="576"/>
      <c r="Z11" s="568"/>
      <c r="AA11" s="569"/>
      <c r="AB11" s="569"/>
      <c r="AC11" s="569"/>
      <c r="AD11" s="569"/>
      <c r="AE11" s="569"/>
      <c r="AF11" s="569"/>
      <c r="AG11" s="569"/>
      <c r="AH11" s="569"/>
      <c r="AI11" s="569"/>
      <c r="AJ11" s="569"/>
      <c r="AK11" s="569"/>
      <c r="AL11" s="569"/>
      <c r="AM11" s="569"/>
      <c r="AN11" s="569"/>
      <c r="AO11" s="569"/>
      <c r="AP11" s="570"/>
      <c r="AQ11" s="574" t="s">
        <v>210</v>
      </c>
      <c r="AR11" s="575"/>
      <c r="AS11" s="575"/>
      <c r="AT11" s="575"/>
      <c r="AU11" s="575"/>
      <c r="AV11" s="575"/>
      <c r="AW11" s="575"/>
      <c r="AX11" s="576"/>
      <c r="AY11" s="626"/>
      <c r="AZ11" s="626"/>
      <c r="BA11" s="626"/>
      <c r="BB11" s="626"/>
      <c r="BC11" s="626"/>
      <c r="BD11" s="626"/>
      <c r="BE11" s="626"/>
      <c r="BF11" s="626"/>
      <c r="BG11" s="626"/>
      <c r="BH11" s="626"/>
      <c r="BI11" s="626"/>
      <c r="BJ11" s="626"/>
      <c r="BK11" s="626"/>
      <c r="BL11" s="626"/>
      <c r="BM11" s="626"/>
      <c r="BN11" s="626"/>
    </row>
    <row r="12" spans="1:66" x14ac:dyDescent="0.2">
      <c r="A12" s="577"/>
      <c r="B12" s="578"/>
      <c r="C12" s="578"/>
      <c r="D12" s="578"/>
      <c r="E12" s="578"/>
      <c r="F12" s="578"/>
      <c r="G12" s="578"/>
      <c r="H12" s="579"/>
      <c r="I12" s="580"/>
      <c r="J12" s="581"/>
      <c r="K12" s="581"/>
      <c r="L12" s="581"/>
      <c r="M12" s="581"/>
      <c r="N12" s="581"/>
      <c r="O12" s="581"/>
      <c r="P12" s="581"/>
      <c r="Q12" s="582"/>
      <c r="R12" s="577"/>
      <c r="S12" s="578"/>
      <c r="T12" s="578"/>
      <c r="U12" s="578"/>
      <c r="V12" s="578"/>
      <c r="W12" s="578"/>
      <c r="X12" s="578"/>
      <c r="Y12" s="579"/>
      <c r="Z12" s="580"/>
      <c r="AA12" s="581"/>
      <c r="AB12" s="581"/>
      <c r="AC12" s="581"/>
      <c r="AD12" s="581"/>
      <c r="AE12" s="581"/>
      <c r="AF12" s="581"/>
      <c r="AG12" s="581"/>
      <c r="AH12" s="581"/>
      <c r="AI12" s="581"/>
      <c r="AJ12" s="581"/>
      <c r="AK12" s="581"/>
      <c r="AL12" s="581"/>
      <c r="AM12" s="581"/>
      <c r="AN12" s="581"/>
      <c r="AO12" s="581"/>
      <c r="AP12" s="582"/>
      <c r="AQ12" s="577"/>
      <c r="AR12" s="578"/>
      <c r="AS12" s="578"/>
      <c r="AT12" s="578"/>
      <c r="AU12" s="578"/>
      <c r="AV12" s="578"/>
      <c r="AW12" s="578"/>
      <c r="AX12" s="579"/>
      <c r="AY12" s="626"/>
      <c r="AZ12" s="626"/>
      <c r="BA12" s="626"/>
      <c r="BB12" s="626"/>
      <c r="BC12" s="626"/>
      <c r="BD12" s="626"/>
      <c r="BE12" s="626"/>
      <c r="BF12" s="626"/>
      <c r="BG12" s="626"/>
      <c r="BH12" s="626"/>
      <c r="BI12" s="626"/>
      <c r="BJ12" s="626"/>
      <c r="BK12" s="626"/>
      <c r="BL12" s="626"/>
      <c r="BM12" s="626"/>
      <c r="BN12" s="626"/>
    </row>
    <row r="14" spans="1:66" x14ac:dyDescent="0.2">
      <c r="A14" s="624" t="s">
        <v>211</v>
      </c>
      <c r="B14" s="624"/>
      <c r="C14" s="624"/>
      <c r="D14" s="624"/>
      <c r="E14" s="624"/>
      <c r="F14" s="624"/>
      <c r="G14" s="624"/>
      <c r="H14" s="624"/>
      <c r="I14" s="624" t="s">
        <v>600</v>
      </c>
      <c r="J14" s="624"/>
      <c r="K14" s="624"/>
      <c r="L14" s="624"/>
      <c r="M14" s="624"/>
      <c r="N14" s="624"/>
      <c r="O14" s="624"/>
      <c r="P14" s="624"/>
      <c r="Q14" s="624"/>
      <c r="R14" s="624" t="s">
        <v>219</v>
      </c>
      <c r="S14" s="624"/>
      <c r="T14" s="624"/>
      <c r="U14" s="624"/>
      <c r="V14" s="624"/>
      <c r="W14" s="624"/>
      <c r="X14" s="624"/>
      <c r="Y14" s="624"/>
      <c r="Z14" s="624"/>
      <c r="AA14" s="624"/>
      <c r="AB14" s="624"/>
      <c r="AC14" s="624"/>
      <c r="AD14" s="624"/>
      <c r="AE14" s="624"/>
      <c r="AF14" s="624"/>
      <c r="AG14" s="624"/>
      <c r="AH14" s="624"/>
      <c r="AI14" s="624"/>
      <c r="AJ14" s="624"/>
      <c r="AK14" s="624"/>
      <c r="AL14" s="624"/>
      <c r="AM14" s="624"/>
      <c r="AN14" s="624"/>
      <c r="AO14" s="624"/>
      <c r="AP14" s="624"/>
    </row>
    <row r="15" spans="1:66" x14ac:dyDescent="0.2">
      <c r="A15" s="624"/>
      <c r="B15" s="624"/>
      <c r="C15" s="624"/>
      <c r="D15" s="624"/>
      <c r="E15" s="624"/>
      <c r="F15" s="624"/>
      <c r="G15" s="624"/>
      <c r="H15" s="624"/>
      <c r="I15" s="625"/>
      <c r="J15" s="625"/>
      <c r="K15" s="625"/>
      <c r="L15" s="625"/>
      <c r="M15" s="625"/>
      <c r="N15" s="625"/>
      <c r="O15" s="625"/>
      <c r="P15" s="625"/>
      <c r="Q15" s="625"/>
      <c r="R15" s="625"/>
      <c r="S15" s="625"/>
      <c r="T15" s="625"/>
      <c r="U15" s="625"/>
      <c r="V15" s="625"/>
      <c r="W15" s="625"/>
      <c r="X15" s="625"/>
      <c r="Y15" s="625"/>
      <c r="Z15" s="625"/>
      <c r="AA15" s="625"/>
      <c r="AB15" s="625"/>
      <c r="AC15" s="625"/>
      <c r="AD15" s="625"/>
      <c r="AE15" s="625"/>
      <c r="AF15" s="625"/>
      <c r="AG15" s="625"/>
      <c r="AH15" s="625"/>
      <c r="AI15" s="625"/>
      <c r="AJ15" s="625"/>
      <c r="AK15" s="625"/>
      <c r="AL15" s="625"/>
      <c r="AM15" s="625"/>
      <c r="AN15" s="625"/>
      <c r="AO15" s="625"/>
      <c r="AP15" s="625"/>
    </row>
    <row r="17" spans="1:66" x14ac:dyDescent="0.2">
      <c r="A17" s="574" t="s">
        <v>225</v>
      </c>
      <c r="B17" s="576"/>
      <c r="C17" s="574" t="s">
        <v>212</v>
      </c>
      <c r="D17" s="575"/>
      <c r="E17" s="575"/>
      <c r="F17" s="575"/>
      <c r="G17" s="575"/>
      <c r="H17" s="575"/>
      <c r="I17" s="575"/>
      <c r="J17" s="575"/>
      <c r="K17" s="575"/>
      <c r="L17" s="575"/>
      <c r="M17" s="575"/>
      <c r="N17" s="575"/>
      <c r="O17" s="575"/>
      <c r="P17" s="575"/>
      <c r="Q17" s="575"/>
      <c r="R17" s="575"/>
      <c r="S17" s="575"/>
      <c r="T17" s="575"/>
      <c r="U17" s="575"/>
      <c r="V17" s="575"/>
      <c r="W17" s="575"/>
      <c r="X17" s="575"/>
      <c r="Y17" s="575"/>
      <c r="Z17" s="575"/>
      <c r="AA17" s="575"/>
      <c r="AB17" s="575"/>
      <c r="AC17" s="575"/>
      <c r="AD17" s="575"/>
      <c r="AE17" s="575"/>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c r="BC17" s="575"/>
      <c r="BD17" s="575"/>
      <c r="BE17" s="575"/>
      <c r="BF17" s="576"/>
      <c r="BG17" s="574" t="s">
        <v>237</v>
      </c>
      <c r="BH17" s="575"/>
      <c r="BI17" s="575"/>
      <c r="BJ17" s="576"/>
      <c r="BK17" s="574" t="s">
        <v>213</v>
      </c>
      <c r="BL17" s="575"/>
      <c r="BM17" s="575"/>
      <c r="BN17" s="576"/>
    </row>
    <row r="18" spans="1:66" x14ac:dyDescent="0.2">
      <c r="A18" s="577"/>
      <c r="B18" s="579"/>
      <c r="C18" s="577"/>
      <c r="D18" s="578"/>
      <c r="E18" s="578"/>
      <c r="F18" s="578"/>
      <c r="G18" s="578"/>
      <c r="H18" s="578"/>
      <c r="I18" s="578"/>
      <c r="J18" s="578"/>
      <c r="K18" s="578"/>
      <c r="L18" s="578"/>
      <c r="M18" s="578"/>
      <c r="N18" s="578"/>
      <c r="O18" s="578"/>
      <c r="P18" s="578"/>
      <c r="Q18" s="578"/>
      <c r="R18" s="578"/>
      <c r="S18" s="578"/>
      <c r="T18" s="578"/>
      <c r="U18" s="578"/>
      <c r="V18" s="578"/>
      <c r="W18" s="578"/>
      <c r="X18" s="578"/>
      <c r="Y18" s="578"/>
      <c r="Z18" s="578"/>
      <c r="AA18" s="578"/>
      <c r="AB18" s="578"/>
      <c r="AC18" s="578"/>
      <c r="AD18" s="578"/>
      <c r="AE18" s="578"/>
      <c r="AF18" s="578"/>
      <c r="AG18" s="578"/>
      <c r="AH18" s="578"/>
      <c r="AI18" s="578"/>
      <c r="AJ18" s="578"/>
      <c r="AK18" s="578"/>
      <c r="AL18" s="578"/>
      <c r="AM18" s="578"/>
      <c r="AN18" s="578"/>
      <c r="AO18" s="578"/>
      <c r="AP18" s="578"/>
      <c r="AQ18" s="578"/>
      <c r="AR18" s="578"/>
      <c r="AS18" s="578"/>
      <c r="AT18" s="578"/>
      <c r="AU18" s="578"/>
      <c r="AV18" s="578"/>
      <c r="AW18" s="578"/>
      <c r="AX18" s="578"/>
      <c r="AY18" s="578"/>
      <c r="AZ18" s="578"/>
      <c r="BA18" s="578"/>
      <c r="BB18" s="578"/>
      <c r="BC18" s="578"/>
      <c r="BD18" s="578"/>
      <c r="BE18" s="578"/>
      <c r="BF18" s="579"/>
      <c r="BG18" s="577"/>
      <c r="BH18" s="578"/>
      <c r="BI18" s="578"/>
      <c r="BJ18" s="579"/>
      <c r="BK18" s="577"/>
      <c r="BL18" s="578"/>
      <c r="BM18" s="578"/>
      <c r="BN18" s="579"/>
    </row>
    <row r="19" spans="1:66" x14ac:dyDescent="0.2">
      <c r="A19" s="620"/>
      <c r="B19" s="621"/>
      <c r="C19" s="553" t="s">
        <v>214</v>
      </c>
      <c r="D19" s="554"/>
      <c r="E19" s="554"/>
      <c r="F19" s="554"/>
      <c r="G19" s="554"/>
      <c r="H19" s="554"/>
      <c r="I19" s="554"/>
      <c r="J19" s="554"/>
      <c r="K19" s="554"/>
      <c r="L19" s="554"/>
      <c r="M19" s="554"/>
      <c r="N19" s="554"/>
      <c r="O19" s="554"/>
      <c r="P19" s="554"/>
      <c r="Q19" s="554"/>
      <c r="R19" s="554"/>
      <c r="S19" s="554"/>
      <c r="T19" s="554"/>
      <c r="U19" s="554"/>
      <c r="V19" s="554"/>
      <c r="W19" s="554"/>
      <c r="X19" s="554"/>
      <c r="Y19" s="554"/>
      <c r="Z19" s="554"/>
      <c r="AA19" s="554"/>
      <c r="AB19" s="554"/>
      <c r="AC19" s="554"/>
      <c r="AD19" s="554"/>
      <c r="AE19" s="554"/>
      <c r="AF19" s="554"/>
      <c r="AG19" s="554"/>
      <c r="AH19" s="554"/>
      <c r="AI19" s="554"/>
      <c r="AJ19" s="554"/>
      <c r="AK19" s="554"/>
      <c r="AL19" s="554"/>
      <c r="AM19" s="554"/>
      <c r="AN19" s="554"/>
      <c r="AO19" s="554"/>
      <c r="AP19" s="554"/>
      <c r="AQ19" s="554"/>
      <c r="AR19" s="554"/>
      <c r="AS19" s="554"/>
      <c r="AT19" s="554"/>
      <c r="AU19" s="554"/>
      <c r="AV19" s="554"/>
      <c r="AW19" s="554"/>
      <c r="AX19" s="554"/>
      <c r="AY19" s="554"/>
      <c r="AZ19" s="554"/>
      <c r="BA19" s="554"/>
      <c r="BB19" s="554"/>
      <c r="BC19" s="554"/>
      <c r="BD19" s="554"/>
      <c r="BE19" s="554"/>
      <c r="BF19" s="555"/>
      <c r="BG19" s="598" t="s">
        <v>140</v>
      </c>
      <c r="BH19" s="598"/>
      <c r="BI19" s="598"/>
      <c r="BJ19" s="598"/>
      <c r="BK19" s="598" t="s">
        <v>140</v>
      </c>
      <c r="BL19" s="598"/>
      <c r="BM19" s="598"/>
      <c r="BN19" s="598"/>
    </row>
    <row r="20" spans="1:66" x14ac:dyDescent="0.2">
      <c r="A20" s="622"/>
      <c r="B20" s="623"/>
      <c r="C20" s="559"/>
      <c r="D20" s="560"/>
      <c r="E20" s="560"/>
      <c r="F20" s="560"/>
      <c r="G20" s="560"/>
      <c r="H20" s="560"/>
      <c r="I20" s="560"/>
      <c r="J20" s="560"/>
      <c r="K20" s="560"/>
      <c r="L20" s="560"/>
      <c r="M20" s="560"/>
      <c r="N20" s="560"/>
      <c r="O20" s="560"/>
      <c r="P20" s="560"/>
      <c r="Q20" s="560"/>
      <c r="R20" s="560"/>
      <c r="S20" s="560"/>
      <c r="T20" s="560"/>
      <c r="U20" s="560"/>
      <c r="V20" s="560"/>
      <c r="W20" s="560"/>
      <c r="X20" s="560"/>
      <c r="Y20" s="560"/>
      <c r="Z20" s="560"/>
      <c r="AA20" s="560"/>
      <c r="AB20" s="560"/>
      <c r="AC20" s="560"/>
      <c r="AD20" s="560"/>
      <c r="AE20" s="560"/>
      <c r="AF20" s="560"/>
      <c r="AG20" s="560"/>
      <c r="AH20" s="560"/>
      <c r="AI20" s="560"/>
      <c r="AJ20" s="560"/>
      <c r="AK20" s="560"/>
      <c r="AL20" s="560"/>
      <c r="AM20" s="560"/>
      <c r="AN20" s="560"/>
      <c r="AO20" s="560"/>
      <c r="AP20" s="560"/>
      <c r="AQ20" s="560"/>
      <c r="AR20" s="560"/>
      <c r="AS20" s="560"/>
      <c r="AT20" s="560"/>
      <c r="AU20" s="560"/>
      <c r="AV20" s="560"/>
      <c r="AW20" s="560"/>
      <c r="AX20" s="560"/>
      <c r="AY20" s="560"/>
      <c r="AZ20" s="560"/>
      <c r="BA20" s="560"/>
      <c r="BB20" s="560"/>
      <c r="BC20" s="560"/>
      <c r="BD20" s="560"/>
      <c r="BE20" s="560"/>
      <c r="BF20" s="561"/>
      <c r="BG20" s="598"/>
      <c r="BH20" s="598"/>
      <c r="BI20" s="598"/>
      <c r="BJ20" s="598"/>
      <c r="BK20" s="598"/>
      <c r="BL20" s="598"/>
      <c r="BM20" s="598"/>
      <c r="BN20" s="598"/>
    </row>
    <row r="21" spans="1:66" x14ac:dyDescent="0.2">
      <c r="A21" s="620">
        <v>1</v>
      </c>
      <c r="B21" s="621"/>
      <c r="C21" s="553" t="s">
        <v>601</v>
      </c>
      <c r="D21" s="554"/>
      <c r="E21" s="554"/>
      <c r="F21" s="554"/>
      <c r="G21" s="554"/>
      <c r="H21" s="554"/>
      <c r="I21" s="554"/>
      <c r="J21" s="554"/>
      <c r="K21" s="554"/>
      <c r="L21" s="554"/>
      <c r="M21" s="554"/>
      <c r="N21" s="554"/>
      <c r="O21" s="554"/>
      <c r="P21" s="554"/>
      <c r="Q21" s="554"/>
      <c r="R21" s="554"/>
      <c r="S21" s="554"/>
      <c r="T21" s="554"/>
      <c r="U21" s="554"/>
      <c r="V21" s="554"/>
      <c r="W21" s="554"/>
      <c r="X21" s="554"/>
      <c r="Y21" s="554"/>
      <c r="Z21" s="554"/>
      <c r="AA21" s="554"/>
      <c r="AB21" s="554"/>
      <c r="AC21" s="554"/>
      <c r="AD21" s="554"/>
      <c r="AE21" s="554"/>
      <c r="AF21" s="554"/>
      <c r="AG21" s="554"/>
      <c r="AH21" s="554"/>
      <c r="AI21" s="554"/>
      <c r="AJ21" s="554"/>
      <c r="AK21" s="554"/>
      <c r="AL21" s="554"/>
      <c r="AM21" s="554"/>
      <c r="AN21" s="554"/>
      <c r="AO21" s="554"/>
      <c r="AP21" s="554"/>
      <c r="AQ21" s="554"/>
      <c r="AR21" s="554"/>
      <c r="AS21" s="554"/>
      <c r="AT21" s="554"/>
      <c r="AU21" s="554"/>
      <c r="AV21" s="554"/>
      <c r="AW21" s="554"/>
      <c r="AX21" s="554"/>
      <c r="AY21" s="554"/>
      <c r="AZ21" s="554"/>
      <c r="BA21" s="554"/>
      <c r="BB21" s="554"/>
      <c r="BC21" s="554"/>
      <c r="BD21" s="554"/>
      <c r="BE21" s="554"/>
      <c r="BF21" s="555"/>
      <c r="BG21" s="598" t="s">
        <v>140</v>
      </c>
      <c r="BH21" s="598"/>
      <c r="BI21" s="598"/>
      <c r="BJ21" s="598"/>
      <c r="BK21" s="598" t="s">
        <v>140</v>
      </c>
      <c r="BL21" s="598"/>
      <c r="BM21" s="598"/>
      <c r="BN21" s="598"/>
    </row>
    <row r="22" spans="1:66" x14ac:dyDescent="0.2">
      <c r="A22" s="622"/>
      <c r="B22" s="623"/>
      <c r="C22" s="559"/>
      <c r="D22" s="560"/>
      <c r="E22" s="560"/>
      <c r="F22" s="560"/>
      <c r="G22" s="560"/>
      <c r="H22" s="560"/>
      <c r="I22" s="560"/>
      <c r="J22" s="560"/>
      <c r="K22" s="560"/>
      <c r="L22" s="560"/>
      <c r="M22" s="560"/>
      <c r="N22" s="560"/>
      <c r="O22" s="560"/>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60"/>
      <c r="AS22" s="560"/>
      <c r="AT22" s="560"/>
      <c r="AU22" s="560"/>
      <c r="AV22" s="560"/>
      <c r="AW22" s="560"/>
      <c r="AX22" s="560"/>
      <c r="AY22" s="560"/>
      <c r="AZ22" s="560"/>
      <c r="BA22" s="560"/>
      <c r="BB22" s="560"/>
      <c r="BC22" s="560"/>
      <c r="BD22" s="560"/>
      <c r="BE22" s="560"/>
      <c r="BF22" s="561"/>
      <c r="BG22" s="598"/>
      <c r="BH22" s="598"/>
      <c r="BI22" s="598"/>
      <c r="BJ22" s="598"/>
      <c r="BK22" s="598"/>
      <c r="BL22" s="598"/>
      <c r="BM22" s="598"/>
      <c r="BN22" s="598"/>
    </row>
    <row r="23" spans="1:66" x14ac:dyDescent="0.2">
      <c r="A23" s="620">
        <v>2</v>
      </c>
      <c r="B23" s="621"/>
      <c r="C23" s="553" t="s">
        <v>602</v>
      </c>
      <c r="D23" s="554"/>
      <c r="E23" s="554"/>
      <c r="F23" s="554"/>
      <c r="G23" s="554"/>
      <c r="H23" s="554"/>
      <c r="I23" s="554"/>
      <c r="J23" s="554"/>
      <c r="K23" s="554"/>
      <c r="L23" s="554"/>
      <c r="M23" s="554"/>
      <c r="N23" s="554"/>
      <c r="O23" s="554"/>
      <c r="P23" s="554"/>
      <c r="Q23" s="554"/>
      <c r="R23" s="554"/>
      <c r="S23" s="554"/>
      <c r="T23" s="554"/>
      <c r="U23" s="554"/>
      <c r="V23" s="554"/>
      <c r="W23" s="554"/>
      <c r="X23" s="554"/>
      <c r="Y23" s="554"/>
      <c r="Z23" s="554"/>
      <c r="AA23" s="554"/>
      <c r="AB23" s="554"/>
      <c r="AC23" s="554"/>
      <c r="AD23" s="554"/>
      <c r="AE23" s="554"/>
      <c r="AF23" s="554"/>
      <c r="AG23" s="554"/>
      <c r="AH23" s="554"/>
      <c r="AI23" s="554"/>
      <c r="AJ23" s="554"/>
      <c r="AK23" s="554"/>
      <c r="AL23" s="554"/>
      <c r="AM23" s="554"/>
      <c r="AN23" s="554"/>
      <c r="AO23" s="554"/>
      <c r="AP23" s="554"/>
      <c r="AQ23" s="554"/>
      <c r="AR23" s="554"/>
      <c r="AS23" s="554"/>
      <c r="AT23" s="554"/>
      <c r="AU23" s="554"/>
      <c r="AV23" s="554"/>
      <c r="AW23" s="554"/>
      <c r="AX23" s="554"/>
      <c r="AY23" s="554"/>
      <c r="AZ23" s="554"/>
      <c r="BA23" s="554"/>
      <c r="BB23" s="554"/>
      <c r="BC23" s="554"/>
      <c r="BD23" s="554"/>
      <c r="BE23" s="554"/>
      <c r="BF23" s="555"/>
      <c r="BG23" s="598" t="s">
        <v>140</v>
      </c>
      <c r="BH23" s="598"/>
      <c r="BI23" s="598"/>
      <c r="BJ23" s="598"/>
      <c r="BK23" s="598" t="s">
        <v>140</v>
      </c>
      <c r="BL23" s="598"/>
      <c r="BM23" s="598"/>
      <c r="BN23" s="598"/>
    </row>
    <row r="24" spans="1:66" x14ac:dyDescent="0.2">
      <c r="A24" s="622"/>
      <c r="B24" s="623"/>
      <c r="C24" s="559"/>
      <c r="D24" s="560"/>
      <c r="E24" s="560"/>
      <c r="F24" s="560"/>
      <c r="G24" s="560"/>
      <c r="H24" s="560"/>
      <c r="I24" s="560"/>
      <c r="J24" s="560"/>
      <c r="K24" s="560"/>
      <c r="L24" s="560"/>
      <c r="M24" s="560"/>
      <c r="N24" s="560"/>
      <c r="O24" s="560"/>
      <c r="P24" s="560"/>
      <c r="Q24" s="560"/>
      <c r="R24" s="560"/>
      <c r="S24" s="560"/>
      <c r="T24" s="560"/>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60"/>
      <c r="AS24" s="560"/>
      <c r="AT24" s="560"/>
      <c r="AU24" s="560"/>
      <c r="AV24" s="560"/>
      <c r="AW24" s="560"/>
      <c r="AX24" s="560"/>
      <c r="AY24" s="560"/>
      <c r="AZ24" s="560"/>
      <c r="BA24" s="560"/>
      <c r="BB24" s="560"/>
      <c r="BC24" s="560"/>
      <c r="BD24" s="560"/>
      <c r="BE24" s="560"/>
      <c r="BF24" s="561"/>
      <c r="BG24" s="598"/>
      <c r="BH24" s="598"/>
      <c r="BI24" s="598"/>
      <c r="BJ24" s="598"/>
      <c r="BK24" s="598"/>
      <c r="BL24" s="598"/>
      <c r="BM24" s="598"/>
      <c r="BN24" s="598"/>
    </row>
    <row r="25" spans="1:66" x14ac:dyDescent="0.2">
      <c r="A25" s="620">
        <v>3</v>
      </c>
      <c r="B25" s="621"/>
      <c r="C25" s="553" t="s">
        <v>603</v>
      </c>
      <c r="D25" s="554"/>
      <c r="E25" s="554"/>
      <c r="F25" s="554"/>
      <c r="G25" s="554"/>
      <c r="H25" s="554"/>
      <c r="I25" s="554"/>
      <c r="J25" s="554"/>
      <c r="K25" s="554"/>
      <c r="L25" s="554"/>
      <c r="M25" s="55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c r="AP25" s="554"/>
      <c r="AQ25" s="554"/>
      <c r="AR25" s="554"/>
      <c r="AS25" s="554"/>
      <c r="AT25" s="554"/>
      <c r="AU25" s="554"/>
      <c r="AV25" s="554"/>
      <c r="AW25" s="554"/>
      <c r="AX25" s="554"/>
      <c r="AY25" s="554"/>
      <c r="AZ25" s="554"/>
      <c r="BA25" s="554"/>
      <c r="BB25" s="554"/>
      <c r="BC25" s="554"/>
      <c r="BD25" s="554"/>
      <c r="BE25" s="554"/>
      <c r="BF25" s="555"/>
      <c r="BG25" s="598" t="s">
        <v>140</v>
      </c>
      <c r="BH25" s="598"/>
      <c r="BI25" s="598"/>
      <c r="BJ25" s="598"/>
      <c r="BK25" s="598" t="s">
        <v>140</v>
      </c>
      <c r="BL25" s="598"/>
      <c r="BM25" s="598"/>
      <c r="BN25" s="598"/>
    </row>
    <row r="26" spans="1:66" x14ac:dyDescent="0.2">
      <c r="A26" s="622"/>
      <c r="B26" s="623"/>
      <c r="C26" s="559"/>
      <c r="D26" s="560"/>
      <c r="E26" s="560"/>
      <c r="F26" s="560"/>
      <c r="G26" s="560"/>
      <c r="H26" s="560"/>
      <c r="I26" s="560"/>
      <c r="J26" s="560"/>
      <c r="K26" s="560"/>
      <c r="L26" s="560"/>
      <c r="M26" s="560"/>
      <c r="N26" s="560"/>
      <c r="O26" s="560"/>
      <c r="P26" s="560"/>
      <c r="Q26" s="560"/>
      <c r="R26" s="560"/>
      <c r="S26" s="560"/>
      <c r="T26" s="560"/>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60"/>
      <c r="AS26" s="560"/>
      <c r="AT26" s="560"/>
      <c r="AU26" s="560"/>
      <c r="AV26" s="560"/>
      <c r="AW26" s="560"/>
      <c r="AX26" s="560"/>
      <c r="AY26" s="560"/>
      <c r="AZ26" s="560"/>
      <c r="BA26" s="560"/>
      <c r="BB26" s="560"/>
      <c r="BC26" s="560"/>
      <c r="BD26" s="560"/>
      <c r="BE26" s="560"/>
      <c r="BF26" s="561"/>
      <c r="BG26" s="598"/>
      <c r="BH26" s="598"/>
      <c r="BI26" s="598"/>
      <c r="BJ26" s="598"/>
      <c r="BK26" s="598"/>
      <c r="BL26" s="598"/>
      <c r="BM26" s="598"/>
      <c r="BN26" s="598"/>
    </row>
    <row r="27" spans="1:66" x14ac:dyDescent="0.2">
      <c r="A27" s="620">
        <v>4</v>
      </c>
      <c r="B27" s="621"/>
      <c r="C27" s="553" t="s">
        <v>604</v>
      </c>
      <c r="D27" s="554"/>
      <c r="E27" s="554"/>
      <c r="F27" s="554"/>
      <c r="G27" s="554"/>
      <c r="H27" s="554"/>
      <c r="I27" s="554"/>
      <c r="J27" s="554"/>
      <c r="K27" s="554"/>
      <c r="L27" s="554"/>
      <c r="M27" s="554"/>
      <c r="N27" s="554"/>
      <c r="O27" s="554"/>
      <c r="P27" s="554"/>
      <c r="Q27" s="554"/>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4"/>
      <c r="BD27" s="554"/>
      <c r="BE27" s="554"/>
      <c r="BF27" s="555"/>
      <c r="BG27" s="598" t="s">
        <v>140</v>
      </c>
      <c r="BH27" s="598"/>
      <c r="BI27" s="598"/>
      <c r="BJ27" s="598"/>
      <c r="BK27" s="598" t="s">
        <v>140</v>
      </c>
      <c r="BL27" s="598"/>
      <c r="BM27" s="598"/>
      <c r="BN27" s="598"/>
    </row>
    <row r="28" spans="1:66" x14ac:dyDescent="0.2">
      <c r="A28" s="622"/>
      <c r="B28" s="623"/>
      <c r="C28" s="559"/>
      <c r="D28" s="560"/>
      <c r="E28" s="560"/>
      <c r="F28" s="560"/>
      <c r="G28" s="560"/>
      <c r="H28" s="560"/>
      <c r="I28" s="560"/>
      <c r="J28" s="560"/>
      <c r="K28" s="560"/>
      <c r="L28" s="560"/>
      <c r="M28" s="560"/>
      <c r="N28" s="560"/>
      <c r="O28" s="560"/>
      <c r="P28" s="560"/>
      <c r="Q28" s="560"/>
      <c r="R28" s="560"/>
      <c r="S28" s="560"/>
      <c r="T28" s="560"/>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60"/>
      <c r="AS28" s="560"/>
      <c r="AT28" s="560"/>
      <c r="AU28" s="560"/>
      <c r="AV28" s="560"/>
      <c r="AW28" s="560"/>
      <c r="AX28" s="560"/>
      <c r="AY28" s="560"/>
      <c r="AZ28" s="560"/>
      <c r="BA28" s="560"/>
      <c r="BB28" s="560"/>
      <c r="BC28" s="560"/>
      <c r="BD28" s="560"/>
      <c r="BE28" s="560"/>
      <c r="BF28" s="561"/>
      <c r="BG28" s="598"/>
      <c r="BH28" s="598"/>
      <c r="BI28" s="598"/>
      <c r="BJ28" s="598"/>
      <c r="BK28" s="598"/>
      <c r="BL28" s="598"/>
      <c r="BM28" s="598"/>
      <c r="BN28" s="598"/>
    </row>
    <row r="29" spans="1:66" x14ac:dyDescent="0.2">
      <c r="A29" s="620">
        <v>5</v>
      </c>
      <c r="B29" s="621"/>
      <c r="C29" s="553" t="s">
        <v>605</v>
      </c>
      <c r="D29" s="554"/>
      <c r="E29" s="554"/>
      <c r="F29" s="554"/>
      <c r="G29" s="554"/>
      <c r="H29" s="554"/>
      <c r="I29" s="554"/>
      <c r="J29" s="554"/>
      <c r="K29" s="554"/>
      <c r="L29" s="554"/>
      <c r="M29" s="554"/>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4"/>
      <c r="BD29" s="554"/>
      <c r="BE29" s="554"/>
      <c r="BF29" s="555"/>
      <c r="BG29" s="598" t="s">
        <v>140</v>
      </c>
      <c r="BH29" s="598"/>
      <c r="BI29" s="598"/>
      <c r="BJ29" s="598"/>
      <c r="BK29" s="598" t="s">
        <v>140</v>
      </c>
      <c r="BL29" s="598"/>
      <c r="BM29" s="598"/>
      <c r="BN29" s="598"/>
    </row>
    <row r="30" spans="1:66" x14ac:dyDescent="0.2">
      <c r="A30" s="622"/>
      <c r="B30" s="623"/>
      <c r="C30" s="559"/>
      <c r="D30" s="560"/>
      <c r="E30" s="560"/>
      <c r="F30" s="560"/>
      <c r="G30" s="560"/>
      <c r="H30" s="560"/>
      <c r="I30" s="560"/>
      <c r="J30" s="560"/>
      <c r="K30" s="560"/>
      <c r="L30" s="560"/>
      <c r="M30" s="560"/>
      <c r="N30" s="560"/>
      <c r="O30" s="560"/>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60"/>
      <c r="AS30" s="560"/>
      <c r="AT30" s="560"/>
      <c r="AU30" s="560"/>
      <c r="AV30" s="560"/>
      <c r="AW30" s="560"/>
      <c r="AX30" s="560"/>
      <c r="AY30" s="560"/>
      <c r="AZ30" s="560"/>
      <c r="BA30" s="560"/>
      <c r="BB30" s="560"/>
      <c r="BC30" s="560"/>
      <c r="BD30" s="560"/>
      <c r="BE30" s="560"/>
      <c r="BF30" s="561"/>
      <c r="BG30" s="598"/>
      <c r="BH30" s="598"/>
      <c r="BI30" s="598"/>
      <c r="BJ30" s="598"/>
      <c r="BK30" s="598"/>
      <c r="BL30" s="598"/>
      <c r="BM30" s="598"/>
      <c r="BN30" s="598"/>
    </row>
    <row r="31" spans="1:66" x14ac:dyDescent="0.2">
      <c r="A31" s="620">
        <v>6</v>
      </c>
      <c r="B31" s="621"/>
      <c r="C31" s="553" t="s">
        <v>606</v>
      </c>
      <c r="D31" s="554"/>
      <c r="E31" s="554"/>
      <c r="F31" s="554"/>
      <c r="G31" s="554"/>
      <c r="H31" s="554"/>
      <c r="I31" s="554"/>
      <c r="J31" s="554"/>
      <c r="K31" s="554"/>
      <c r="L31" s="554"/>
      <c r="M31" s="554"/>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54"/>
      <c r="AR31" s="554"/>
      <c r="AS31" s="554"/>
      <c r="AT31" s="554"/>
      <c r="AU31" s="554"/>
      <c r="AV31" s="554"/>
      <c r="AW31" s="554"/>
      <c r="AX31" s="554"/>
      <c r="AY31" s="554"/>
      <c r="AZ31" s="554"/>
      <c r="BA31" s="554"/>
      <c r="BB31" s="554"/>
      <c r="BC31" s="554"/>
      <c r="BD31" s="554"/>
      <c r="BE31" s="554"/>
      <c r="BF31" s="555"/>
      <c r="BG31" s="598" t="s">
        <v>140</v>
      </c>
      <c r="BH31" s="598"/>
      <c r="BI31" s="598"/>
      <c r="BJ31" s="598"/>
      <c r="BK31" s="598" t="s">
        <v>140</v>
      </c>
      <c r="BL31" s="598"/>
      <c r="BM31" s="598"/>
      <c r="BN31" s="598"/>
    </row>
    <row r="32" spans="1:66" x14ac:dyDescent="0.2">
      <c r="A32" s="622"/>
      <c r="B32" s="623"/>
      <c r="C32" s="559"/>
      <c r="D32" s="560"/>
      <c r="E32" s="560"/>
      <c r="F32" s="560"/>
      <c r="G32" s="560"/>
      <c r="H32" s="560"/>
      <c r="I32" s="560"/>
      <c r="J32" s="560"/>
      <c r="K32" s="560"/>
      <c r="L32" s="560"/>
      <c r="M32" s="560"/>
      <c r="N32" s="560"/>
      <c r="O32" s="560"/>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60"/>
      <c r="AS32" s="560"/>
      <c r="AT32" s="560"/>
      <c r="AU32" s="560"/>
      <c r="AV32" s="560"/>
      <c r="AW32" s="560"/>
      <c r="AX32" s="560"/>
      <c r="AY32" s="560"/>
      <c r="AZ32" s="560"/>
      <c r="BA32" s="560"/>
      <c r="BB32" s="560"/>
      <c r="BC32" s="560"/>
      <c r="BD32" s="560"/>
      <c r="BE32" s="560"/>
      <c r="BF32" s="561"/>
      <c r="BG32" s="598"/>
      <c r="BH32" s="598"/>
      <c r="BI32" s="598"/>
      <c r="BJ32" s="598"/>
      <c r="BK32" s="598"/>
      <c r="BL32" s="598"/>
      <c r="BM32" s="598"/>
      <c r="BN32" s="598"/>
    </row>
    <row r="33" spans="1:66" x14ac:dyDescent="0.2">
      <c r="A33" s="620">
        <v>7</v>
      </c>
      <c r="B33" s="621"/>
      <c r="C33" s="553" t="s">
        <v>607</v>
      </c>
      <c r="D33" s="554"/>
      <c r="E33" s="554"/>
      <c r="F33" s="554"/>
      <c r="G33" s="554"/>
      <c r="H33" s="554"/>
      <c r="I33" s="554"/>
      <c r="J33" s="554"/>
      <c r="K33" s="554"/>
      <c r="L33" s="554"/>
      <c r="M33" s="554"/>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554"/>
      <c r="AS33" s="554"/>
      <c r="AT33" s="554"/>
      <c r="AU33" s="554"/>
      <c r="AV33" s="554"/>
      <c r="AW33" s="554"/>
      <c r="AX33" s="554"/>
      <c r="AY33" s="554"/>
      <c r="AZ33" s="554"/>
      <c r="BA33" s="554"/>
      <c r="BB33" s="554"/>
      <c r="BC33" s="554"/>
      <c r="BD33" s="554"/>
      <c r="BE33" s="554"/>
      <c r="BF33" s="555"/>
      <c r="BG33" s="598" t="s">
        <v>140</v>
      </c>
      <c r="BH33" s="598"/>
      <c r="BI33" s="598"/>
      <c r="BJ33" s="598"/>
      <c r="BK33" s="598" t="s">
        <v>140</v>
      </c>
      <c r="BL33" s="598"/>
      <c r="BM33" s="598"/>
      <c r="BN33" s="598"/>
    </row>
    <row r="34" spans="1:66" x14ac:dyDescent="0.2">
      <c r="A34" s="622"/>
      <c r="B34" s="623"/>
      <c r="C34" s="559"/>
      <c r="D34" s="560"/>
      <c r="E34" s="560"/>
      <c r="F34" s="560"/>
      <c r="G34" s="560"/>
      <c r="H34" s="560"/>
      <c r="I34" s="560"/>
      <c r="J34" s="560"/>
      <c r="K34" s="560"/>
      <c r="L34" s="560"/>
      <c r="M34" s="560"/>
      <c r="N34" s="560"/>
      <c r="O34" s="560"/>
      <c r="P34" s="560"/>
      <c r="Q34" s="560"/>
      <c r="R34" s="560"/>
      <c r="S34" s="560"/>
      <c r="T34" s="560"/>
      <c r="U34" s="560"/>
      <c r="V34" s="560"/>
      <c r="W34" s="560"/>
      <c r="X34" s="560"/>
      <c r="Y34" s="560"/>
      <c r="Z34" s="560"/>
      <c r="AA34" s="560"/>
      <c r="AB34" s="560"/>
      <c r="AC34" s="560"/>
      <c r="AD34" s="560"/>
      <c r="AE34" s="560"/>
      <c r="AF34" s="560"/>
      <c r="AG34" s="560"/>
      <c r="AH34" s="560"/>
      <c r="AI34" s="560"/>
      <c r="AJ34" s="560"/>
      <c r="AK34" s="560"/>
      <c r="AL34" s="560"/>
      <c r="AM34" s="560"/>
      <c r="AN34" s="560"/>
      <c r="AO34" s="560"/>
      <c r="AP34" s="560"/>
      <c r="AQ34" s="560"/>
      <c r="AR34" s="560"/>
      <c r="AS34" s="560"/>
      <c r="AT34" s="560"/>
      <c r="AU34" s="560"/>
      <c r="AV34" s="560"/>
      <c r="AW34" s="560"/>
      <c r="AX34" s="560"/>
      <c r="AY34" s="560"/>
      <c r="AZ34" s="560"/>
      <c r="BA34" s="560"/>
      <c r="BB34" s="560"/>
      <c r="BC34" s="560"/>
      <c r="BD34" s="560"/>
      <c r="BE34" s="560"/>
      <c r="BF34" s="561"/>
      <c r="BG34" s="598"/>
      <c r="BH34" s="598"/>
      <c r="BI34" s="598"/>
      <c r="BJ34" s="598"/>
      <c r="BK34" s="598"/>
      <c r="BL34" s="598"/>
      <c r="BM34" s="598"/>
      <c r="BN34" s="598"/>
    </row>
    <row r="35" spans="1:66" x14ac:dyDescent="0.2">
      <c r="A35" s="620">
        <v>8</v>
      </c>
      <c r="B35" s="621"/>
      <c r="C35" s="553" t="s">
        <v>608</v>
      </c>
      <c r="D35" s="554"/>
      <c r="E35" s="554"/>
      <c r="F35" s="554"/>
      <c r="G35" s="554"/>
      <c r="H35" s="554"/>
      <c r="I35" s="554"/>
      <c r="J35" s="554"/>
      <c r="K35" s="554"/>
      <c r="L35" s="554"/>
      <c r="M35" s="554"/>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c r="AP35" s="554"/>
      <c r="AQ35" s="554"/>
      <c r="AR35" s="554"/>
      <c r="AS35" s="554"/>
      <c r="AT35" s="554"/>
      <c r="AU35" s="554"/>
      <c r="AV35" s="554"/>
      <c r="AW35" s="554"/>
      <c r="AX35" s="554"/>
      <c r="AY35" s="554"/>
      <c r="AZ35" s="554"/>
      <c r="BA35" s="554"/>
      <c r="BB35" s="554"/>
      <c r="BC35" s="554"/>
      <c r="BD35" s="554"/>
      <c r="BE35" s="554"/>
      <c r="BF35" s="555"/>
      <c r="BG35" s="598" t="s">
        <v>140</v>
      </c>
      <c r="BH35" s="598"/>
      <c r="BI35" s="598"/>
      <c r="BJ35" s="598"/>
      <c r="BK35" s="598" t="s">
        <v>140</v>
      </c>
      <c r="BL35" s="598"/>
      <c r="BM35" s="598"/>
      <c r="BN35" s="598"/>
    </row>
    <row r="36" spans="1:66" x14ac:dyDescent="0.2">
      <c r="A36" s="622"/>
      <c r="B36" s="623"/>
      <c r="C36" s="559"/>
      <c r="D36" s="560"/>
      <c r="E36" s="560"/>
      <c r="F36" s="560"/>
      <c r="G36" s="560"/>
      <c r="H36" s="560"/>
      <c r="I36" s="560"/>
      <c r="J36" s="560"/>
      <c r="K36" s="560"/>
      <c r="L36" s="560"/>
      <c r="M36" s="560"/>
      <c r="N36" s="560"/>
      <c r="O36" s="560"/>
      <c r="P36" s="560"/>
      <c r="Q36" s="560"/>
      <c r="R36" s="560"/>
      <c r="S36" s="560"/>
      <c r="T36" s="560"/>
      <c r="U36" s="560"/>
      <c r="V36" s="560"/>
      <c r="W36" s="560"/>
      <c r="X36" s="560"/>
      <c r="Y36" s="560"/>
      <c r="Z36" s="560"/>
      <c r="AA36" s="560"/>
      <c r="AB36" s="560"/>
      <c r="AC36" s="560"/>
      <c r="AD36" s="560"/>
      <c r="AE36" s="560"/>
      <c r="AF36" s="560"/>
      <c r="AG36" s="560"/>
      <c r="AH36" s="560"/>
      <c r="AI36" s="560"/>
      <c r="AJ36" s="560"/>
      <c r="AK36" s="560"/>
      <c r="AL36" s="560"/>
      <c r="AM36" s="560"/>
      <c r="AN36" s="560"/>
      <c r="AO36" s="560"/>
      <c r="AP36" s="560"/>
      <c r="AQ36" s="560"/>
      <c r="AR36" s="560"/>
      <c r="AS36" s="560"/>
      <c r="AT36" s="560"/>
      <c r="AU36" s="560"/>
      <c r="AV36" s="560"/>
      <c r="AW36" s="560"/>
      <c r="AX36" s="560"/>
      <c r="AY36" s="560"/>
      <c r="AZ36" s="560"/>
      <c r="BA36" s="560"/>
      <c r="BB36" s="560"/>
      <c r="BC36" s="560"/>
      <c r="BD36" s="560"/>
      <c r="BE36" s="560"/>
      <c r="BF36" s="561"/>
      <c r="BG36" s="598"/>
      <c r="BH36" s="598"/>
      <c r="BI36" s="598"/>
      <c r="BJ36" s="598"/>
      <c r="BK36" s="598"/>
      <c r="BL36" s="598"/>
      <c r="BM36" s="598"/>
      <c r="BN36" s="598"/>
    </row>
    <row r="37" spans="1:66" x14ac:dyDescent="0.2">
      <c r="A37" s="620">
        <v>9</v>
      </c>
      <c r="B37" s="621"/>
      <c r="C37" s="553" t="s">
        <v>609</v>
      </c>
      <c r="D37" s="554"/>
      <c r="E37" s="554"/>
      <c r="F37" s="554"/>
      <c r="G37" s="554"/>
      <c r="H37" s="554"/>
      <c r="I37" s="554"/>
      <c r="J37" s="554"/>
      <c r="K37" s="554"/>
      <c r="L37" s="554"/>
      <c r="M37" s="554"/>
      <c r="N37" s="554"/>
      <c r="O37" s="554"/>
      <c r="P37" s="554"/>
      <c r="Q37" s="554"/>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4"/>
      <c r="AO37" s="554"/>
      <c r="AP37" s="554"/>
      <c r="AQ37" s="554"/>
      <c r="AR37" s="554"/>
      <c r="AS37" s="554"/>
      <c r="AT37" s="554"/>
      <c r="AU37" s="554"/>
      <c r="AV37" s="554"/>
      <c r="AW37" s="554"/>
      <c r="AX37" s="554"/>
      <c r="AY37" s="554"/>
      <c r="AZ37" s="554"/>
      <c r="BA37" s="554"/>
      <c r="BB37" s="554"/>
      <c r="BC37" s="554"/>
      <c r="BD37" s="554"/>
      <c r="BE37" s="554"/>
      <c r="BF37" s="555"/>
      <c r="BG37" s="598" t="s">
        <v>140</v>
      </c>
      <c r="BH37" s="598"/>
      <c r="BI37" s="598"/>
      <c r="BJ37" s="598"/>
      <c r="BK37" s="598" t="s">
        <v>140</v>
      </c>
      <c r="BL37" s="598"/>
      <c r="BM37" s="598"/>
      <c r="BN37" s="598"/>
    </row>
    <row r="38" spans="1:66" x14ac:dyDescent="0.2">
      <c r="A38" s="622"/>
      <c r="B38" s="623"/>
      <c r="C38" s="559"/>
      <c r="D38" s="560"/>
      <c r="E38" s="560"/>
      <c r="F38" s="560"/>
      <c r="G38" s="560"/>
      <c r="H38" s="560"/>
      <c r="I38" s="560"/>
      <c r="J38" s="560"/>
      <c r="K38" s="560"/>
      <c r="L38" s="560"/>
      <c r="M38" s="560"/>
      <c r="N38" s="560"/>
      <c r="O38" s="560"/>
      <c r="P38" s="560"/>
      <c r="Q38" s="560"/>
      <c r="R38" s="560"/>
      <c r="S38" s="560"/>
      <c r="T38" s="560"/>
      <c r="U38" s="560"/>
      <c r="V38" s="560"/>
      <c r="W38" s="560"/>
      <c r="X38" s="560"/>
      <c r="Y38" s="560"/>
      <c r="Z38" s="560"/>
      <c r="AA38" s="560"/>
      <c r="AB38" s="560"/>
      <c r="AC38" s="560"/>
      <c r="AD38" s="560"/>
      <c r="AE38" s="560"/>
      <c r="AF38" s="560"/>
      <c r="AG38" s="560"/>
      <c r="AH38" s="560"/>
      <c r="AI38" s="560"/>
      <c r="AJ38" s="560"/>
      <c r="AK38" s="560"/>
      <c r="AL38" s="560"/>
      <c r="AM38" s="560"/>
      <c r="AN38" s="560"/>
      <c r="AO38" s="560"/>
      <c r="AP38" s="560"/>
      <c r="AQ38" s="560"/>
      <c r="AR38" s="560"/>
      <c r="AS38" s="560"/>
      <c r="AT38" s="560"/>
      <c r="AU38" s="560"/>
      <c r="AV38" s="560"/>
      <c r="AW38" s="560"/>
      <c r="AX38" s="560"/>
      <c r="AY38" s="560"/>
      <c r="AZ38" s="560"/>
      <c r="BA38" s="560"/>
      <c r="BB38" s="560"/>
      <c r="BC38" s="560"/>
      <c r="BD38" s="560"/>
      <c r="BE38" s="560"/>
      <c r="BF38" s="561"/>
      <c r="BG38" s="598"/>
      <c r="BH38" s="598"/>
      <c r="BI38" s="598"/>
      <c r="BJ38" s="598"/>
      <c r="BK38" s="598"/>
      <c r="BL38" s="598"/>
      <c r="BM38" s="598"/>
      <c r="BN38" s="598"/>
    </row>
    <row r="39" spans="1:66" x14ac:dyDescent="0.2">
      <c r="A39" s="620"/>
      <c r="B39" s="621"/>
      <c r="C39" s="553"/>
      <c r="D39" s="554"/>
      <c r="E39" s="554"/>
      <c r="F39" s="554"/>
      <c r="G39" s="554"/>
      <c r="H39" s="554"/>
      <c r="I39" s="554"/>
      <c r="J39" s="554"/>
      <c r="K39" s="554"/>
      <c r="L39" s="554"/>
      <c r="M39" s="554"/>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4"/>
      <c r="BD39" s="554"/>
      <c r="BE39" s="554"/>
      <c r="BF39" s="555"/>
      <c r="BG39" s="598" t="s">
        <v>140</v>
      </c>
      <c r="BH39" s="598"/>
      <c r="BI39" s="598"/>
      <c r="BJ39" s="598"/>
      <c r="BK39" s="598" t="s">
        <v>140</v>
      </c>
      <c r="BL39" s="598"/>
      <c r="BM39" s="598"/>
      <c r="BN39" s="598"/>
    </row>
    <row r="40" spans="1:66" x14ac:dyDescent="0.2">
      <c r="A40" s="622"/>
      <c r="B40" s="623"/>
      <c r="C40" s="559"/>
      <c r="D40" s="560"/>
      <c r="E40" s="560"/>
      <c r="F40" s="560"/>
      <c r="G40" s="560"/>
      <c r="H40" s="560"/>
      <c r="I40" s="560"/>
      <c r="J40" s="560"/>
      <c r="K40" s="560"/>
      <c r="L40" s="560"/>
      <c r="M40" s="560"/>
      <c r="N40" s="560"/>
      <c r="O40" s="560"/>
      <c r="P40" s="560"/>
      <c r="Q40" s="560"/>
      <c r="R40" s="560"/>
      <c r="S40" s="560"/>
      <c r="T40" s="560"/>
      <c r="U40" s="560"/>
      <c r="V40" s="560"/>
      <c r="W40" s="560"/>
      <c r="X40" s="560"/>
      <c r="Y40" s="560"/>
      <c r="Z40" s="560"/>
      <c r="AA40" s="560"/>
      <c r="AB40" s="560"/>
      <c r="AC40" s="560"/>
      <c r="AD40" s="560"/>
      <c r="AE40" s="560"/>
      <c r="AF40" s="560"/>
      <c r="AG40" s="560"/>
      <c r="AH40" s="560"/>
      <c r="AI40" s="560"/>
      <c r="AJ40" s="560"/>
      <c r="AK40" s="560"/>
      <c r="AL40" s="560"/>
      <c r="AM40" s="560"/>
      <c r="AN40" s="560"/>
      <c r="AO40" s="560"/>
      <c r="AP40" s="560"/>
      <c r="AQ40" s="560"/>
      <c r="AR40" s="560"/>
      <c r="AS40" s="560"/>
      <c r="AT40" s="560"/>
      <c r="AU40" s="560"/>
      <c r="AV40" s="560"/>
      <c r="AW40" s="560"/>
      <c r="AX40" s="560"/>
      <c r="AY40" s="560"/>
      <c r="AZ40" s="560"/>
      <c r="BA40" s="560"/>
      <c r="BB40" s="560"/>
      <c r="BC40" s="560"/>
      <c r="BD40" s="560"/>
      <c r="BE40" s="560"/>
      <c r="BF40" s="561"/>
      <c r="BG40" s="598"/>
      <c r="BH40" s="598"/>
      <c r="BI40" s="598"/>
      <c r="BJ40" s="598"/>
      <c r="BK40" s="598"/>
      <c r="BL40" s="598"/>
      <c r="BM40" s="598"/>
      <c r="BN40" s="598"/>
    </row>
    <row r="41" spans="1:66" x14ac:dyDescent="0.2">
      <c r="A41" s="620"/>
      <c r="B41" s="621"/>
      <c r="C41" s="553" t="s">
        <v>610</v>
      </c>
      <c r="D41" s="554"/>
      <c r="E41" s="554"/>
      <c r="F41" s="554"/>
      <c r="G41" s="554"/>
      <c r="H41" s="554"/>
      <c r="I41" s="554"/>
      <c r="J41" s="554"/>
      <c r="K41" s="554"/>
      <c r="L41" s="554"/>
      <c r="M41" s="554"/>
      <c r="N41" s="554"/>
      <c r="O41" s="554"/>
      <c r="P41" s="554"/>
      <c r="Q41" s="554"/>
      <c r="R41" s="554"/>
      <c r="S41" s="554"/>
      <c r="T41" s="554"/>
      <c r="U41" s="554"/>
      <c r="V41" s="554"/>
      <c r="W41" s="554"/>
      <c r="X41" s="554"/>
      <c r="Y41" s="554"/>
      <c r="Z41" s="554"/>
      <c r="AA41" s="554"/>
      <c r="AB41" s="554"/>
      <c r="AC41" s="554"/>
      <c r="AD41" s="554"/>
      <c r="AE41" s="554"/>
      <c r="AF41" s="554"/>
      <c r="AG41" s="554"/>
      <c r="AH41" s="554"/>
      <c r="AI41" s="554"/>
      <c r="AJ41" s="554"/>
      <c r="AK41" s="554"/>
      <c r="AL41" s="554"/>
      <c r="AM41" s="554"/>
      <c r="AN41" s="554"/>
      <c r="AO41" s="554"/>
      <c r="AP41" s="554"/>
      <c r="AQ41" s="554"/>
      <c r="AR41" s="554"/>
      <c r="AS41" s="554"/>
      <c r="AT41" s="554"/>
      <c r="AU41" s="554"/>
      <c r="AV41" s="554"/>
      <c r="AW41" s="554"/>
      <c r="AX41" s="554"/>
      <c r="AY41" s="554"/>
      <c r="AZ41" s="554"/>
      <c r="BA41" s="554"/>
      <c r="BB41" s="554"/>
      <c r="BC41" s="554"/>
      <c r="BD41" s="554"/>
      <c r="BE41" s="554"/>
      <c r="BF41" s="555"/>
      <c r="BG41" s="598" t="s">
        <v>140</v>
      </c>
      <c r="BH41" s="598"/>
      <c r="BI41" s="598"/>
      <c r="BJ41" s="598"/>
      <c r="BK41" s="598" t="s">
        <v>140</v>
      </c>
      <c r="BL41" s="598"/>
      <c r="BM41" s="598"/>
      <c r="BN41" s="598"/>
    </row>
    <row r="42" spans="1:66" x14ac:dyDescent="0.2">
      <c r="A42" s="622"/>
      <c r="B42" s="623"/>
      <c r="C42" s="559"/>
      <c r="D42" s="560"/>
      <c r="E42" s="560"/>
      <c r="F42" s="560"/>
      <c r="G42" s="560"/>
      <c r="H42" s="560"/>
      <c r="I42" s="560"/>
      <c r="J42" s="560"/>
      <c r="K42" s="560"/>
      <c r="L42" s="560"/>
      <c r="M42" s="560"/>
      <c r="N42" s="560"/>
      <c r="O42" s="560"/>
      <c r="P42" s="560"/>
      <c r="Q42" s="560"/>
      <c r="R42" s="560"/>
      <c r="S42" s="560"/>
      <c r="T42" s="560"/>
      <c r="U42" s="560"/>
      <c r="V42" s="560"/>
      <c r="W42" s="560"/>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0"/>
      <c r="AU42" s="560"/>
      <c r="AV42" s="560"/>
      <c r="AW42" s="560"/>
      <c r="AX42" s="560"/>
      <c r="AY42" s="560"/>
      <c r="AZ42" s="560"/>
      <c r="BA42" s="560"/>
      <c r="BB42" s="560"/>
      <c r="BC42" s="560"/>
      <c r="BD42" s="560"/>
      <c r="BE42" s="560"/>
      <c r="BF42" s="561"/>
      <c r="BG42" s="598"/>
      <c r="BH42" s="598"/>
      <c r="BI42" s="598"/>
      <c r="BJ42" s="598"/>
      <c r="BK42" s="598"/>
      <c r="BL42" s="598"/>
      <c r="BM42" s="598"/>
      <c r="BN42" s="598"/>
    </row>
    <row r="43" spans="1:66" x14ac:dyDescent="0.2">
      <c r="A43" s="620">
        <v>10</v>
      </c>
      <c r="B43" s="621"/>
      <c r="C43" s="553" t="s">
        <v>611</v>
      </c>
      <c r="D43" s="554"/>
      <c r="E43" s="554"/>
      <c r="F43" s="554"/>
      <c r="G43" s="554"/>
      <c r="H43" s="554"/>
      <c r="I43" s="554"/>
      <c r="J43" s="554"/>
      <c r="K43" s="554"/>
      <c r="L43" s="554"/>
      <c r="M43" s="554"/>
      <c r="N43" s="554"/>
      <c r="O43" s="554"/>
      <c r="P43" s="554"/>
      <c r="Q43" s="554"/>
      <c r="R43" s="554"/>
      <c r="S43" s="554"/>
      <c r="T43" s="554"/>
      <c r="U43" s="554"/>
      <c r="V43" s="554"/>
      <c r="W43" s="554"/>
      <c r="X43" s="554"/>
      <c r="Y43" s="554"/>
      <c r="Z43" s="554"/>
      <c r="AA43" s="554"/>
      <c r="AB43" s="554"/>
      <c r="AC43" s="554"/>
      <c r="AD43" s="554"/>
      <c r="AE43" s="554"/>
      <c r="AF43" s="554"/>
      <c r="AG43" s="554"/>
      <c r="AH43" s="554"/>
      <c r="AI43" s="554"/>
      <c r="AJ43" s="554"/>
      <c r="AK43" s="554"/>
      <c r="AL43" s="554"/>
      <c r="AM43" s="554"/>
      <c r="AN43" s="554"/>
      <c r="AO43" s="554"/>
      <c r="AP43" s="554"/>
      <c r="AQ43" s="554"/>
      <c r="AR43" s="554"/>
      <c r="AS43" s="554"/>
      <c r="AT43" s="554"/>
      <c r="AU43" s="554"/>
      <c r="AV43" s="554"/>
      <c r="AW43" s="554"/>
      <c r="AX43" s="554"/>
      <c r="AY43" s="554"/>
      <c r="AZ43" s="554"/>
      <c r="BA43" s="554"/>
      <c r="BB43" s="554"/>
      <c r="BC43" s="554"/>
      <c r="BD43" s="554"/>
      <c r="BE43" s="554"/>
      <c r="BF43" s="555"/>
      <c r="BG43" s="598" t="s">
        <v>140</v>
      </c>
      <c r="BH43" s="598"/>
      <c r="BI43" s="598"/>
      <c r="BJ43" s="598"/>
      <c r="BK43" s="598" t="s">
        <v>140</v>
      </c>
      <c r="BL43" s="598"/>
      <c r="BM43" s="598"/>
      <c r="BN43" s="598"/>
    </row>
    <row r="44" spans="1:66" x14ac:dyDescent="0.2">
      <c r="A44" s="622"/>
      <c r="B44" s="623"/>
      <c r="C44" s="559"/>
      <c r="D44" s="560"/>
      <c r="E44" s="560"/>
      <c r="F44" s="560"/>
      <c r="G44" s="560"/>
      <c r="H44" s="560"/>
      <c r="I44" s="560"/>
      <c r="J44" s="560"/>
      <c r="K44" s="560"/>
      <c r="L44" s="560"/>
      <c r="M44" s="560"/>
      <c r="N44" s="560"/>
      <c r="O44" s="560"/>
      <c r="P44" s="560"/>
      <c r="Q44" s="560"/>
      <c r="R44" s="560"/>
      <c r="S44" s="560"/>
      <c r="T44" s="560"/>
      <c r="U44" s="560"/>
      <c r="V44" s="560"/>
      <c r="W44" s="560"/>
      <c r="X44" s="560"/>
      <c r="Y44" s="560"/>
      <c r="Z44" s="560"/>
      <c r="AA44" s="560"/>
      <c r="AB44" s="560"/>
      <c r="AC44" s="560"/>
      <c r="AD44" s="560"/>
      <c r="AE44" s="560"/>
      <c r="AF44" s="560"/>
      <c r="AG44" s="560"/>
      <c r="AH44" s="560"/>
      <c r="AI44" s="560"/>
      <c r="AJ44" s="560"/>
      <c r="AK44" s="560"/>
      <c r="AL44" s="560"/>
      <c r="AM44" s="560"/>
      <c r="AN44" s="560"/>
      <c r="AO44" s="560"/>
      <c r="AP44" s="560"/>
      <c r="AQ44" s="560"/>
      <c r="AR44" s="560"/>
      <c r="AS44" s="560"/>
      <c r="AT44" s="560"/>
      <c r="AU44" s="560"/>
      <c r="AV44" s="560"/>
      <c r="AW44" s="560"/>
      <c r="AX44" s="560"/>
      <c r="AY44" s="560"/>
      <c r="AZ44" s="560"/>
      <c r="BA44" s="560"/>
      <c r="BB44" s="560"/>
      <c r="BC44" s="560"/>
      <c r="BD44" s="560"/>
      <c r="BE44" s="560"/>
      <c r="BF44" s="561"/>
      <c r="BG44" s="598"/>
      <c r="BH44" s="598"/>
      <c r="BI44" s="598"/>
      <c r="BJ44" s="598"/>
      <c r="BK44" s="598"/>
      <c r="BL44" s="598"/>
      <c r="BM44" s="598"/>
      <c r="BN44" s="598"/>
    </row>
    <row r="45" spans="1:66" x14ac:dyDescent="0.2">
      <c r="A45" s="620">
        <v>11</v>
      </c>
      <c r="B45" s="621"/>
      <c r="C45" s="553" t="s">
        <v>612</v>
      </c>
      <c r="D45" s="554"/>
      <c r="E45" s="554"/>
      <c r="F45" s="554"/>
      <c r="G45" s="554"/>
      <c r="H45" s="554"/>
      <c r="I45" s="554"/>
      <c r="J45" s="554"/>
      <c r="K45" s="554"/>
      <c r="L45" s="554"/>
      <c r="M45" s="554"/>
      <c r="N45" s="554"/>
      <c r="O45" s="554"/>
      <c r="P45" s="554"/>
      <c r="Q45" s="554"/>
      <c r="R45" s="554"/>
      <c r="S45" s="554"/>
      <c r="T45" s="554"/>
      <c r="U45" s="554"/>
      <c r="V45" s="554"/>
      <c r="W45" s="554"/>
      <c r="X45" s="554"/>
      <c r="Y45" s="554"/>
      <c r="Z45" s="554"/>
      <c r="AA45" s="554"/>
      <c r="AB45" s="554"/>
      <c r="AC45" s="554"/>
      <c r="AD45" s="554"/>
      <c r="AE45" s="554"/>
      <c r="AF45" s="554"/>
      <c r="AG45" s="554"/>
      <c r="AH45" s="554"/>
      <c r="AI45" s="554"/>
      <c r="AJ45" s="554"/>
      <c r="AK45" s="554"/>
      <c r="AL45" s="554"/>
      <c r="AM45" s="554"/>
      <c r="AN45" s="554"/>
      <c r="AO45" s="554"/>
      <c r="AP45" s="554"/>
      <c r="AQ45" s="554"/>
      <c r="AR45" s="554"/>
      <c r="AS45" s="554"/>
      <c r="AT45" s="554"/>
      <c r="AU45" s="554"/>
      <c r="AV45" s="554"/>
      <c r="AW45" s="554"/>
      <c r="AX45" s="554"/>
      <c r="AY45" s="554"/>
      <c r="AZ45" s="554"/>
      <c r="BA45" s="554"/>
      <c r="BB45" s="554"/>
      <c r="BC45" s="554"/>
      <c r="BD45" s="554"/>
      <c r="BE45" s="554"/>
      <c r="BF45" s="555"/>
      <c r="BG45" s="598" t="s">
        <v>140</v>
      </c>
      <c r="BH45" s="598"/>
      <c r="BI45" s="598"/>
      <c r="BJ45" s="598"/>
      <c r="BK45" s="598" t="s">
        <v>140</v>
      </c>
      <c r="BL45" s="598"/>
      <c r="BM45" s="598"/>
      <c r="BN45" s="598"/>
    </row>
    <row r="46" spans="1:66" x14ac:dyDescent="0.2">
      <c r="A46" s="622"/>
      <c r="B46" s="623"/>
      <c r="C46" s="559"/>
      <c r="D46" s="560"/>
      <c r="E46" s="560"/>
      <c r="F46" s="560"/>
      <c r="G46" s="560"/>
      <c r="H46" s="560"/>
      <c r="I46" s="560"/>
      <c r="J46" s="560"/>
      <c r="K46" s="560"/>
      <c r="L46" s="560"/>
      <c r="M46" s="560"/>
      <c r="N46" s="560"/>
      <c r="O46" s="560"/>
      <c r="P46" s="560"/>
      <c r="Q46" s="560"/>
      <c r="R46" s="560"/>
      <c r="S46" s="560"/>
      <c r="T46" s="560"/>
      <c r="U46" s="560"/>
      <c r="V46" s="560"/>
      <c r="W46" s="560"/>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0"/>
      <c r="AU46" s="560"/>
      <c r="AV46" s="560"/>
      <c r="AW46" s="560"/>
      <c r="AX46" s="560"/>
      <c r="AY46" s="560"/>
      <c r="AZ46" s="560"/>
      <c r="BA46" s="560"/>
      <c r="BB46" s="560"/>
      <c r="BC46" s="560"/>
      <c r="BD46" s="560"/>
      <c r="BE46" s="560"/>
      <c r="BF46" s="561"/>
      <c r="BG46" s="598"/>
      <c r="BH46" s="598"/>
      <c r="BI46" s="598"/>
      <c r="BJ46" s="598"/>
      <c r="BK46" s="598"/>
      <c r="BL46" s="598"/>
      <c r="BM46" s="598"/>
      <c r="BN46" s="598"/>
    </row>
    <row r="47" spans="1:66" x14ac:dyDescent="0.2">
      <c r="A47" s="620">
        <v>12</v>
      </c>
      <c r="B47" s="621"/>
      <c r="C47" s="553" t="s">
        <v>613</v>
      </c>
      <c r="D47" s="554"/>
      <c r="E47" s="554"/>
      <c r="F47" s="554"/>
      <c r="G47" s="554"/>
      <c r="H47" s="554"/>
      <c r="I47" s="554"/>
      <c r="J47" s="554"/>
      <c r="K47" s="554"/>
      <c r="L47" s="554"/>
      <c r="M47" s="554"/>
      <c r="N47" s="554"/>
      <c r="O47" s="554"/>
      <c r="P47" s="554"/>
      <c r="Q47" s="554"/>
      <c r="R47" s="554"/>
      <c r="S47" s="554"/>
      <c r="T47" s="554"/>
      <c r="U47" s="554"/>
      <c r="V47" s="554"/>
      <c r="W47" s="554"/>
      <c r="X47" s="554"/>
      <c r="Y47" s="554"/>
      <c r="Z47" s="554"/>
      <c r="AA47" s="554"/>
      <c r="AB47" s="554"/>
      <c r="AC47" s="554"/>
      <c r="AD47" s="554"/>
      <c r="AE47" s="554"/>
      <c r="AF47" s="554"/>
      <c r="AG47" s="554"/>
      <c r="AH47" s="554"/>
      <c r="AI47" s="554"/>
      <c r="AJ47" s="554"/>
      <c r="AK47" s="554"/>
      <c r="AL47" s="554"/>
      <c r="AM47" s="554"/>
      <c r="AN47" s="554"/>
      <c r="AO47" s="554"/>
      <c r="AP47" s="554"/>
      <c r="AQ47" s="554"/>
      <c r="AR47" s="554"/>
      <c r="AS47" s="554"/>
      <c r="AT47" s="554"/>
      <c r="AU47" s="554"/>
      <c r="AV47" s="554"/>
      <c r="AW47" s="554"/>
      <c r="AX47" s="554"/>
      <c r="AY47" s="554"/>
      <c r="AZ47" s="554"/>
      <c r="BA47" s="554"/>
      <c r="BB47" s="554"/>
      <c r="BC47" s="554"/>
      <c r="BD47" s="554"/>
      <c r="BE47" s="554"/>
      <c r="BF47" s="555"/>
      <c r="BG47" s="598" t="s">
        <v>140</v>
      </c>
      <c r="BH47" s="598"/>
      <c r="BI47" s="598"/>
      <c r="BJ47" s="598"/>
      <c r="BK47" s="598" t="s">
        <v>140</v>
      </c>
      <c r="BL47" s="598"/>
      <c r="BM47" s="598"/>
      <c r="BN47" s="598"/>
    </row>
    <row r="48" spans="1:66" x14ac:dyDescent="0.2">
      <c r="A48" s="622"/>
      <c r="B48" s="623"/>
      <c r="C48" s="559"/>
      <c r="D48" s="560"/>
      <c r="E48" s="560"/>
      <c r="F48" s="560"/>
      <c r="G48" s="560"/>
      <c r="H48" s="560"/>
      <c r="I48" s="560"/>
      <c r="J48" s="560"/>
      <c r="K48" s="560"/>
      <c r="L48" s="560"/>
      <c r="M48" s="560"/>
      <c r="N48" s="560"/>
      <c r="O48" s="560"/>
      <c r="P48" s="560"/>
      <c r="Q48" s="560"/>
      <c r="R48" s="560"/>
      <c r="S48" s="560"/>
      <c r="T48" s="560"/>
      <c r="U48" s="560"/>
      <c r="V48" s="560"/>
      <c r="W48" s="560"/>
      <c r="X48" s="560"/>
      <c r="Y48" s="560"/>
      <c r="Z48" s="560"/>
      <c r="AA48" s="560"/>
      <c r="AB48" s="560"/>
      <c r="AC48" s="560"/>
      <c r="AD48" s="560"/>
      <c r="AE48" s="560"/>
      <c r="AF48" s="560"/>
      <c r="AG48" s="560"/>
      <c r="AH48" s="560"/>
      <c r="AI48" s="560"/>
      <c r="AJ48" s="560"/>
      <c r="AK48" s="560"/>
      <c r="AL48" s="560"/>
      <c r="AM48" s="560"/>
      <c r="AN48" s="560"/>
      <c r="AO48" s="560"/>
      <c r="AP48" s="560"/>
      <c r="AQ48" s="560"/>
      <c r="AR48" s="560"/>
      <c r="AS48" s="560"/>
      <c r="AT48" s="560"/>
      <c r="AU48" s="560"/>
      <c r="AV48" s="560"/>
      <c r="AW48" s="560"/>
      <c r="AX48" s="560"/>
      <c r="AY48" s="560"/>
      <c r="AZ48" s="560"/>
      <c r="BA48" s="560"/>
      <c r="BB48" s="560"/>
      <c r="BC48" s="560"/>
      <c r="BD48" s="560"/>
      <c r="BE48" s="560"/>
      <c r="BF48" s="561"/>
      <c r="BG48" s="598"/>
      <c r="BH48" s="598"/>
      <c r="BI48" s="598"/>
      <c r="BJ48" s="598"/>
      <c r="BK48" s="598"/>
      <c r="BL48" s="598"/>
      <c r="BM48" s="598"/>
      <c r="BN48" s="598"/>
    </row>
    <row r="49" spans="1:66" x14ac:dyDescent="0.2">
      <c r="A49" s="620">
        <v>13</v>
      </c>
      <c r="B49" s="621"/>
      <c r="C49" s="553" t="s">
        <v>614</v>
      </c>
      <c r="D49" s="554"/>
      <c r="E49" s="554"/>
      <c r="F49" s="554"/>
      <c r="G49" s="554"/>
      <c r="H49" s="554"/>
      <c r="I49" s="554"/>
      <c r="J49" s="554"/>
      <c r="K49" s="554"/>
      <c r="L49" s="554"/>
      <c r="M49" s="554"/>
      <c r="N49" s="554"/>
      <c r="O49" s="554"/>
      <c r="P49" s="554"/>
      <c r="Q49" s="554"/>
      <c r="R49" s="554"/>
      <c r="S49" s="554"/>
      <c r="T49" s="554"/>
      <c r="U49" s="554"/>
      <c r="V49" s="554"/>
      <c r="W49" s="554"/>
      <c r="X49" s="554"/>
      <c r="Y49" s="554"/>
      <c r="Z49" s="554"/>
      <c r="AA49" s="554"/>
      <c r="AB49" s="554"/>
      <c r="AC49" s="554"/>
      <c r="AD49" s="554"/>
      <c r="AE49" s="554"/>
      <c r="AF49" s="554"/>
      <c r="AG49" s="554"/>
      <c r="AH49" s="554"/>
      <c r="AI49" s="554"/>
      <c r="AJ49" s="554"/>
      <c r="AK49" s="554"/>
      <c r="AL49" s="554"/>
      <c r="AM49" s="554"/>
      <c r="AN49" s="554"/>
      <c r="AO49" s="554"/>
      <c r="AP49" s="554"/>
      <c r="AQ49" s="554"/>
      <c r="AR49" s="554"/>
      <c r="AS49" s="554"/>
      <c r="AT49" s="554"/>
      <c r="AU49" s="554"/>
      <c r="AV49" s="554"/>
      <c r="AW49" s="554"/>
      <c r="AX49" s="554"/>
      <c r="AY49" s="554"/>
      <c r="AZ49" s="554"/>
      <c r="BA49" s="554"/>
      <c r="BB49" s="554"/>
      <c r="BC49" s="554"/>
      <c r="BD49" s="554"/>
      <c r="BE49" s="554"/>
      <c r="BF49" s="555"/>
      <c r="BG49" s="598" t="s">
        <v>140</v>
      </c>
      <c r="BH49" s="598"/>
      <c r="BI49" s="598"/>
      <c r="BJ49" s="598"/>
      <c r="BK49" s="598" t="s">
        <v>140</v>
      </c>
      <c r="BL49" s="598"/>
      <c r="BM49" s="598"/>
      <c r="BN49" s="598"/>
    </row>
    <row r="50" spans="1:66" x14ac:dyDescent="0.2">
      <c r="A50" s="622"/>
      <c r="B50" s="623"/>
      <c r="C50" s="559"/>
      <c r="D50" s="560"/>
      <c r="E50" s="560"/>
      <c r="F50" s="560"/>
      <c r="G50" s="560"/>
      <c r="H50" s="560"/>
      <c r="I50" s="560"/>
      <c r="J50" s="560"/>
      <c r="K50" s="560"/>
      <c r="L50" s="560"/>
      <c r="M50" s="560"/>
      <c r="N50" s="560"/>
      <c r="O50" s="560"/>
      <c r="P50" s="560"/>
      <c r="Q50" s="560"/>
      <c r="R50" s="560"/>
      <c r="S50" s="560"/>
      <c r="T50" s="560"/>
      <c r="U50" s="560"/>
      <c r="V50" s="560"/>
      <c r="W50" s="560"/>
      <c r="X50" s="560"/>
      <c r="Y50" s="560"/>
      <c r="Z50" s="560"/>
      <c r="AA50" s="560"/>
      <c r="AB50" s="560"/>
      <c r="AC50" s="560"/>
      <c r="AD50" s="560"/>
      <c r="AE50" s="560"/>
      <c r="AF50" s="560"/>
      <c r="AG50" s="560"/>
      <c r="AH50" s="560"/>
      <c r="AI50" s="560"/>
      <c r="AJ50" s="560"/>
      <c r="AK50" s="560"/>
      <c r="AL50" s="560"/>
      <c r="AM50" s="560"/>
      <c r="AN50" s="560"/>
      <c r="AO50" s="560"/>
      <c r="AP50" s="560"/>
      <c r="AQ50" s="560"/>
      <c r="AR50" s="560"/>
      <c r="AS50" s="560"/>
      <c r="AT50" s="560"/>
      <c r="AU50" s="560"/>
      <c r="AV50" s="560"/>
      <c r="AW50" s="560"/>
      <c r="AX50" s="560"/>
      <c r="AY50" s="560"/>
      <c r="AZ50" s="560"/>
      <c r="BA50" s="560"/>
      <c r="BB50" s="560"/>
      <c r="BC50" s="560"/>
      <c r="BD50" s="560"/>
      <c r="BE50" s="560"/>
      <c r="BF50" s="561"/>
      <c r="BG50" s="598"/>
      <c r="BH50" s="598"/>
      <c r="BI50" s="598"/>
      <c r="BJ50" s="598"/>
      <c r="BK50" s="598"/>
      <c r="BL50" s="598"/>
      <c r="BM50" s="598"/>
      <c r="BN50" s="598"/>
    </row>
    <row r="51" spans="1:66" x14ac:dyDescent="0.2">
      <c r="A51" s="620">
        <v>14</v>
      </c>
      <c r="B51" s="621"/>
      <c r="C51" s="553" t="s">
        <v>615</v>
      </c>
      <c r="D51" s="554"/>
      <c r="E51" s="554"/>
      <c r="F51" s="554"/>
      <c r="G51" s="554"/>
      <c r="H51" s="554"/>
      <c r="I51" s="554"/>
      <c r="J51" s="554"/>
      <c r="K51" s="554"/>
      <c r="L51" s="554"/>
      <c r="M51" s="554"/>
      <c r="N51" s="554"/>
      <c r="O51" s="554"/>
      <c r="P51" s="554"/>
      <c r="Q51" s="554"/>
      <c r="R51" s="554"/>
      <c r="S51" s="554"/>
      <c r="T51" s="554"/>
      <c r="U51" s="554"/>
      <c r="V51" s="554"/>
      <c r="W51" s="554"/>
      <c r="X51" s="554"/>
      <c r="Y51" s="554"/>
      <c r="Z51" s="554"/>
      <c r="AA51" s="554"/>
      <c r="AB51" s="554"/>
      <c r="AC51" s="554"/>
      <c r="AD51" s="554"/>
      <c r="AE51" s="554"/>
      <c r="AF51" s="554"/>
      <c r="AG51" s="554"/>
      <c r="AH51" s="554"/>
      <c r="AI51" s="554"/>
      <c r="AJ51" s="554"/>
      <c r="AK51" s="554"/>
      <c r="AL51" s="554"/>
      <c r="AM51" s="554"/>
      <c r="AN51" s="554"/>
      <c r="AO51" s="554"/>
      <c r="AP51" s="554"/>
      <c r="AQ51" s="554"/>
      <c r="AR51" s="554"/>
      <c r="AS51" s="554"/>
      <c r="AT51" s="554"/>
      <c r="AU51" s="554"/>
      <c r="AV51" s="554"/>
      <c r="AW51" s="554"/>
      <c r="AX51" s="554"/>
      <c r="AY51" s="554"/>
      <c r="AZ51" s="554"/>
      <c r="BA51" s="554"/>
      <c r="BB51" s="554"/>
      <c r="BC51" s="554"/>
      <c r="BD51" s="554"/>
      <c r="BE51" s="554"/>
      <c r="BF51" s="555"/>
      <c r="BG51" s="598" t="s">
        <v>140</v>
      </c>
      <c r="BH51" s="598"/>
      <c r="BI51" s="598"/>
      <c r="BJ51" s="598"/>
      <c r="BK51" s="598" t="s">
        <v>140</v>
      </c>
      <c r="BL51" s="598"/>
      <c r="BM51" s="598"/>
      <c r="BN51" s="598"/>
    </row>
    <row r="52" spans="1:66" x14ac:dyDescent="0.2">
      <c r="A52" s="622"/>
      <c r="B52" s="623"/>
      <c r="C52" s="559"/>
      <c r="D52" s="560"/>
      <c r="E52" s="560"/>
      <c r="F52" s="560"/>
      <c r="G52" s="560"/>
      <c r="H52" s="560"/>
      <c r="I52" s="560"/>
      <c r="J52" s="560"/>
      <c r="K52" s="560"/>
      <c r="L52" s="560"/>
      <c r="M52" s="560"/>
      <c r="N52" s="560"/>
      <c r="O52" s="560"/>
      <c r="P52" s="560"/>
      <c r="Q52" s="560"/>
      <c r="R52" s="560"/>
      <c r="S52" s="560"/>
      <c r="T52" s="560"/>
      <c r="U52" s="560"/>
      <c r="V52" s="560"/>
      <c r="W52" s="560"/>
      <c r="X52" s="560"/>
      <c r="Y52" s="560"/>
      <c r="Z52" s="560"/>
      <c r="AA52" s="560"/>
      <c r="AB52" s="560"/>
      <c r="AC52" s="560"/>
      <c r="AD52" s="560"/>
      <c r="AE52" s="560"/>
      <c r="AF52" s="560"/>
      <c r="AG52" s="560"/>
      <c r="AH52" s="560"/>
      <c r="AI52" s="560"/>
      <c r="AJ52" s="560"/>
      <c r="AK52" s="560"/>
      <c r="AL52" s="560"/>
      <c r="AM52" s="560"/>
      <c r="AN52" s="560"/>
      <c r="AO52" s="560"/>
      <c r="AP52" s="560"/>
      <c r="AQ52" s="560"/>
      <c r="AR52" s="560"/>
      <c r="AS52" s="560"/>
      <c r="AT52" s="560"/>
      <c r="AU52" s="560"/>
      <c r="AV52" s="560"/>
      <c r="AW52" s="560"/>
      <c r="AX52" s="560"/>
      <c r="AY52" s="560"/>
      <c r="AZ52" s="560"/>
      <c r="BA52" s="560"/>
      <c r="BB52" s="560"/>
      <c r="BC52" s="560"/>
      <c r="BD52" s="560"/>
      <c r="BE52" s="560"/>
      <c r="BF52" s="561"/>
      <c r="BG52" s="598"/>
      <c r="BH52" s="598"/>
      <c r="BI52" s="598"/>
      <c r="BJ52" s="598"/>
      <c r="BK52" s="598"/>
      <c r="BL52" s="598"/>
      <c r="BM52" s="598"/>
      <c r="BN52" s="598"/>
    </row>
    <row r="53" spans="1:66" x14ac:dyDescent="0.2">
      <c r="A53" s="620">
        <v>15</v>
      </c>
      <c r="B53" s="621"/>
      <c r="C53" s="553" t="s">
        <v>616</v>
      </c>
      <c r="D53" s="554"/>
      <c r="E53" s="554"/>
      <c r="F53" s="554"/>
      <c r="G53" s="554"/>
      <c r="H53" s="554"/>
      <c r="I53" s="554"/>
      <c r="J53" s="554"/>
      <c r="K53" s="554"/>
      <c r="L53" s="554"/>
      <c r="M53" s="554"/>
      <c r="N53" s="554"/>
      <c r="O53" s="554"/>
      <c r="P53" s="554"/>
      <c r="Q53" s="554"/>
      <c r="R53" s="554"/>
      <c r="S53" s="554"/>
      <c r="T53" s="554"/>
      <c r="U53" s="554"/>
      <c r="V53" s="554"/>
      <c r="W53" s="554"/>
      <c r="X53" s="554"/>
      <c r="Y53" s="554"/>
      <c r="Z53" s="554"/>
      <c r="AA53" s="554"/>
      <c r="AB53" s="554"/>
      <c r="AC53" s="554"/>
      <c r="AD53" s="554"/>
      <c r="AE53" s="554"/>
      <c r="AF53" s="554"/>
      <c r="AG53" s="554"/>
      <c r="AH53" s="554"/>
      <c r="AI53" s="554"/>
      <c r="AJ53" s="554"/>
      <c r="AK53" s="554"/>
      <c r="AL53" s="554"/>
      <c r="AM53" s="554"/>
      <c r="AN53" s="554"/>
      <c r="AO53" s="554"/>
      <c r="AP53" s="554"/>
      <c r="AQ53" s="554"/>
      <c r="AR53" s="554"/>
      <c r="AS53" s="554"/>
      <c r="AT53" s="554"/>
      <c r="AU53" s="554"/>
      <c r="AV53" s="554"/>
      <c r="AW53" s="554"/>
      <c r="AX53" s="554"/>
      <c r="AY53" s="554"/>
      <c r="AZ53" s="554"/>
      <c r="BA53" s="554"/>
      <c r="BB53" s="554"/>
      <c r="BC53" s="554"/>
      <c r="BD53" s="554"/>
      <c r="BE53" s="554"/>
      <c r="BF53" s="555"/>
      <c r="BG53" s="598" t="s">
        <v>140</v>
      </c>
      <c r="BH53" s="598"/>
      <c r="BI53" s="598"/>
      <c r="BJ53" s="598"/>
      <c r="BK53" s="598" t="s">
        <v>140</v>
      </c>
      <c r="BL53" s="598"/>
      <c r="BM53" s="598"/>
      <c r="BN53" s="598"/>
    </row>
    <row r="54" spans="1:66" x14ac:dyDescent="0.2">
      <c r="A54" s="622"/>
      <c r="B54" s="623"/>
      <c r="C54" s="559"/>
      <c r="D54" s="560"/>
      <c r="E54" s="560"/>
      <c r="F54" s="560"/>
      <c r="G54" s="560"/>
      <c r="H54" s="560"/>
      <c r="I54" s="560"/>
      <c r="J54" s="560"/>
      <c r="K54" s="560"/>
      <c r="L54" s="560"/>
      <c r="M54" s="560"/>
      <c r="N54" s="560"/>
      <c r="O54" s="560"/>
      <c r="P54" s="560"/>
      <c r="Q54" s="560"/>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60"/>
      <c r="AS54" s="560"/>
      <c r="AT54" s="560"/>
      <c r="AU54" s="560"/>
      <c r="AV54" s="560"/>
      <c r="AW54" s="560"/>
      <c r="AX54" s="560"/>
      <c r="AY54" s="560"/>
      <c r="AZ54" s="560"/>
      <c r="BA54" s="560"/>
      <c r="BB54" s="560"/>
      <c r="BC54" s="560"/>
      <c r="BD54" s="560"/>
      <c r="BE54" s="560"/>
      <c r="BF54" s="561"/>
      <c r="BG54" s="598"/>
      <c r="BH54" s="598"/>
      <c r="BI54" s="598"/>
      <c r="BJ54" s="598"/>
      <c r="BK54" s="598"/>
      <c r="BL54" s="598"/>
      <c r="BM54" s="598"/>
      <c r="BN54" s="598"/>
    </row>
    <row r="55" spans="1:66" x14ac:dyDescent="0.2">
      <c r="A55" s="620"/>
      <c r="B55" s="621"/>
      <c r="C55" s="553"/>
      <c r="D55" s="554"/>
      <c r="E55" s="554"/>
      <c r="F55" s="554"/>
      <c r="G55" s="554"/>
      <c r="H55" s="554"/>
      <c r="I55" s="554"/>
      <c r="J55" s="554"/>
      <c r="K55" s="554"/>
      <c r="L55" s="554"/>
      <c r="M55" s="554"/>
      <c r="N55" s="554"/>
      <c r="O55" s="554"/>
      <c r="P55" s="554"/>
      <c r="Q55" s="554"/>
      <c r="R55" s="554"/>
      <c r="S55" s="554"/>
      <c r="T55" s="554"/>
      <c r="U55" s="554"/>
      <c r="V55" s="554"/>
      <c r="W55" s="554"/>
      <c r="X55" s="554"/>
      <c r="Y55" s="554"/>
      <c r="Z55" s="554"/>
      <c r="AA55" s="554"/>
      <c r="AB55" s="554"/>
      <c r="AC55" s="554"/>
      <c r="AD55" s="554"/>
      <c r="AE55" s="554"/>
      <c r="AF55" s="554"/>
      <c r="AG55" s="554"/>
      <c r="AH55" s="554"/>
      <c r="AI55" s="554"/>
      <c r="AJ55" s="554"/>
      <c r="AK55" s="554"/>
      <c r="AL55" s="554"/>
      <c r="AM55" s="554"/>
      <c r="AN55" s="554"/>
      <c r="AO55" s="554"/>
      <c r="AP55" s="554"/>
      <c r="AQ55" s="554"/>
      <c r="AR55" s="554"/>
      <c r="AS55" s="554"/>
      <c r="AT55" s="554"/>
      <c r="AU55" s="554"/>
      <c r="AV55" s="554"/>
      <c r="AW55" s="554"/>
      <c r="AX55" s="554"/>
      <c r="AY55" s="554"/>
      <c r="AZ55" s="554"/>
      <c r="BA55" s="554"/>
      <c r="BB55" s="554"/>
      <c r="BC55" s="554"/>
      <c r="BD55" s="554"/>
      <c r="BE55" s="554"/>
      <c r="BF55" s="555"/>
      <c r="BG55" s="598" t="s">
        <v>140</v>
      </c>
      <c r="BH55" s="598"/>
      <c r="BI55" s="598"/>
      <c r="BJ55" s="598"/>
      <c r="BK55" s="598" t="s">
        <v>140</v>
      </c>
      <c r="BL55" s="598"/>
      <c r="BM55" s="598"/>
      <c r="BN55" s="598"/>
    </row>
    <row r="56" spans="1:66" x14ac:dyDescent="0.2">
      <c r="A56" s="622"/>
      <c r="B56" s="623"/>
      <c r="C56" s="559"/>
      <c r="D56" s="560"/>
      <c r="E56" s="560"/>
      <c r="F56" s="560"/>
      <c r="G56" s="560"/>
      <c r="H56" s="560"/>
      <c r="I56" s="560"/>
      <c r="J56" s="560"/>
      <c r="K56" s="560"/>
      <c r="L56" s="560"/>
      <c r="M56" s="560"/>
      <c r="N56" s="560"/>
      <c r="O56" s="560"/>
      <c r="P56" s="560"/>
      <c r="Q56" s="560"/>
      <c r="R56" s="560"/>
      <c r="S56" s="560"/>
      <c r="T56" s="560"/>
      <c r="U56" s="560"/>
      <c r="V56" s="560"/>
      <c r="W56" s="560"/>
      <c r="X56" s="560"/>
      <c r="Y56" s="560"/>
      <c r="Z56" s="560"/>
      <c r="AA56" s="560"/>
      <c r="AB56" s="560"/>
      <c r="AC56" s="560"/>
      <c r="AD56" s="560"/>
      <c r="AE56" s="560"/>
      <c r="AF56" s="560"/>
      <c r="AG56" s="560"/>
      <c r="AH56" s="560"/>
      <c r="AI56" s="560"/>
      <c r="AJ56" s="560"/>
      <c r="AK56" s="560"/>
      <c r="AL56" s="560"/>
      <c r="AM56" s="560"/>
      <c r="AN56" s="560"/>
      <c r="AO56" s="560"/>
      <c r="AP56" s="560"/>
      <c r="AQ56" s="560"/>
      <c r="AR56" s="560"/>
      <c r="AS56" s="560"/>
      <c r="AT56" s="560"/>
      <c r="AU56" s="560"/>
      <c r="AV56" s="560"/>
      <c r="AW56" s="560"/>
      <c r="AX56" s="560"/>
      <c r="AY56" s="560"/>
      <c r="AZ56" s="560"/>
      <c r="BA56" s="560"/>
      <c r="BB56" s="560"/>
      <c r="BC56" s="560"/>
      <c r="BD56" s="560"/>
      <c r="BE56" s="560"/>
      <c r="BF56" s="561"/>
      <c r="BG56" s="598"/>
      <c r="BH56" s="598"/>
      <c r="BI56" s="598"/>
      <c r="BJ56" s="598"/>
      <c r="BK56" s="598"/>
      <c r="BL56" s="598"/>
      <c r="BM56" s="598"/>
      <c r="BN56" s="598"/>
    </row>
    <row r="57" spans="1:66" x14ac:dyDescent="0.2">
      <c r="A57" s="620"/>
      <c r="B57" s="621"/>
      <c r="C57" s="553"/>
      <c r="D57" s="554"/>
      <c r="E57" s="554"/>
      <c r="F57" s="554"/>
      <c r="G57" s="554"/>
      <c r="H57" s="554"/>
      <c r="I57" s="554"/>
      <c r="J57" s="554"/>
      <c r="K57" s="554"/>
      <c r="L57" s="554"/>
      <c r="M57" s="554"/>
      <c r="N57" s="554"/>
      <c r="O57" s="554"/>
      <c r="P57" s="554"/>
      <c r="Q57" s="554"/>
      <c r="R57" s="554"/>
      <c r="S57" s="554"/>
      <c r="T57" s="554"/>
      <c r="U57" s="554"/>
      <c r="V57" s="554"/>
      <c r="W57" s="554"/>
      <c r="X57" s="554"/>
      <c r="Y57" s="554"/>
      <c r="Z57" s="554"/>
      <c r="AA57" s="554"/>
      <c r="AB57" s="554"/>
      <c r="AC57" s="554"/>
      <c r="AD57" s="554"/>
      <c r="AE57" s="554"/>
      <c r="AF57" s="554"/>
      <c r="AG57" s="554"/>
      <c r="AH57" s="554"/>
      <c r="AI57" s="554"/>
      <c r="AJ57" s="554"/>
      <c r="AK57" s="554"/>
      <c r="AL57" s="554"/>
      <c r="AM57" s="554"/>
      <c r="AN57" s="554"/>
      <c r="AO57" s="554"/>
      <c r="AP57" s="554"/>
      <c r="AQ57" s="554"/>
      <c r="AR57" s="554"/>
      <c r="AS57" s="554"/>
      <c r="AT57" s="554"/>
      <c r="AU57" s="554"/>
      <c r="AV57" s="554"/>
      <c r="AW57" s="554"/>
      <c r="AX57" s="554"/>
      <c r="AY57" s="554"/>
      <c r="AZ57" s="554"/>
      <c r="BA57" s="554"/>
      <c r="BB57" s="554"/>
      <c r="BC57" s="554"/>
      <c r="BD57" s="554"/>
      <c r="BE57" s="554"/>
      <c r="BF57" s="555"/>
      <c r="BG57" s="598" t="s">
        <v>140</v>
      </c>
      <c r="BH57" s="598"/>
      <c r="BI57" s="598"/>
      <c r="BJ57" s="598"/>
      <c r="BK57" s="598" t="s">
        <v>140</v>
      </c>
      <c r="BL57" s="598"/>
      <c r="BM57" s="598"/>
      <c r="BN57" s="598"/>
    </row>
    <row r="58" spans="1:66" x14ac:dyDescent="0.2">
      <c r="A58" s="622"/>
      <c r="B58" s="623"/>
      <c r="C58" s="559"/>
      <c r="D58" s="560"/>
      <c r="E58" s="560"/>
      <c r="F58" s="560"/>
      <c r="G58" s="560"/>
      <c r="H58" s="560"/>
      <c r="I58" s="560"/>
      <c r="J58" s="560"/>
      <c r="K58" s="560"/>
      <c r="L58" s="560"/>
      <c r="M58" s="560"/>
      <c r="N58" s="560"/>
      <c r="O58" s="560"/>
      <c r="P58" s="560"/>
      <c r="Q58" s="560"/>
      <c r="R58" s="560"/>
      <c r="S58" s="560"/>
      <c r="T58" s="560"/>
      <c r="U58" s="560"/>
      <c r="V58" s="560"/>
      <c r="W58" s="560"/>
      <c r="X58" s="560"/>
      <c r="Y58" s="560"/>
      <c r="Z58" s="560"/>
      <c r="AA58" s="560"/>
      <c r="AB58" s="560"/>
      <c r="AC58" s="560"/>
      <c r="AD58" s="560"/>
      <c r="AE58" s="560"/>
      <c r="AF58" s="560"/>
      <c r="AG58" s="560"/>
      <c r="AH58" s="560"/>
      <c r="AI58" s="560"/>
      <c r="AJ58" s="560"/>
      <c r="AK58" s="560"/>
      <c r="AL58" s="560"/>
      <c r="AM58" s="560"/>
      <c r="AN58" s="560"/>
      <c r="AO58" s="560"/>
      <c r="AP58" s="560"/>
      <c r="AQ58" s="560"/>
      <c r="AR58" s="560"/>
      <c r="AS58" s="560"/>
      <c r="AT58" s="560"/>
      <c r="AU58" s="560"/>
      <c r="AV58" s="560"/>
      <c r="AW58" s="560"/>
      <c r="AX58" s="560"/>
      <c r="AY58" s="560"/>
      <c r="AZ58" s="560"/>
      <c r="BA58" s="560"/>
      <c r="BB58" s="560"/>
      <c r="BC58" s="560"/>
      <c r="BD58" s="560"/>
      <c r="BE58" s="560"/>
      <c r="BF58" s="561"/>
      <c r="BG58" s="598"/>
      <c r="BH58" s="598"/>
      <c r="BI58" s="598"/>
      <c r="BJ58" s="598"/>
      <c r="BK58" s="598"/>
      <c r="BL58" s="598"/>
      <c r="BM58" s="598"/>
      <c r="BN58" s="598"/>
    </row>
  </sheetData>
  <mergeCells count="128">
    <mergeCell ref="A53:B54"/>
    <mergeCell ref="C53:BF54"/>
    <mergeCell ref="BG53:BJ54"/>
    <mergeCell ref="BK53:BN54"/>
    <mergeCell ref="A57:B58"/>
    <mergeCell ref="C57:BF58"/>
    <mergeCell ref="BG57:BJ58"/>
    <mergeCell ref="BK57:BN58"/>
    <mergeCell ref="A55:B56"/>
    <mergeCell ref="C55:BF56"/>
    <mergeCell ref="BG55:BJ56"/>
    <mergeCell ref="BK55:BN56"/>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s>
  <phoneticPr fontId="23"/>
  <dataValidations count="3">
    <dataValidation type="list" allowBlank="1" showInputMessage="1" showErrorMessage="1" sqref="BG19:BN58">
      <formula1>"□,■"</formula1>
    </dataValidation>
    <dataValidation type="list" allowBlank="1" showInputMessage="1" showErrorMessage="1" sqref="I11:Q12">
      <formula1>"　,企画支援,要件定義,基本設計,詳細設計,製造,結合テスト,システムテスト,移行/導入"</formula1>
    </dataValidation>
    <dataValidation type="list" allowBlank="1" showInputMessage="1" showErrorMessage="1" sqref="AY11:BN12">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pageSetUpPr fitToPage="1"/>
  </sheetPr>
  <dimension ref="A1:CI36"/>
  <sheetViews>
    <sheetView tabSelected="1" topLeftCell="A15" zoomScale="70" zoomScaleNormal="70" zoomScaleSheetLayoutView="85" workbookViewId="0">
      <selection activeCell="CQ21" sqref="CQ21"/>
    </sheetView>
  </sheetViews>
  <sheetFormatPr defaultColWidth="2.6640625" defaultRowHeight="13.2" x14ac:dyDescent="0.2"/>
  <cols>
    <col min="1" max="1" width="9" customWidth="1"/>
    <col min="2" max="87" width="2.6640625" customWidth="1"/>
  </cols>
  <sheetData>
    <row r="1" spans="1:87" x14ac:dyDescent="0.2">
      <c r="A1" s="647" t="s">
        <v>0</v>
      </c>
      <c r="B1" s="648"/>
      <c r="C1" s="648"/>
      <c r="D1" s="648"/>
      <c r="E1" s="648"/>
      <c r="F1" s="648"/>
      <c r="G1" s="648"/>
      <c r="H1" s="648"/>
      <c r="I1" s="648"/>
      <c r="J1" s="648"/>
      <c r="K1" s="647" t="s">
        <v>235</v>
      </c>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c r="AM1" s="648"/>
      <c r="AN1" s="648"/>
      <c r="AO1" s="648"/>
      <c r="AP1" s="648"/>
      <c r="AQ1" s="648"/>
      <c r="AR1" s="648"/>
      <c r="AS1" s="648"/>
      <c r="AT1" s="648"/>
      <c r="AU1" s="648"/>
      <c r="AV1" s="648"/>
      <c r="AW1" s="648"/>
      <c r="AX1" s="648"/>
      <c r="AY1" s="648"/>
      <c r="AZ1" s="648"/>
      <c r="BA1" s="648"/>
      <c r="BB1" s="648"/>
      <c r="BC1" s="648"/>
      <c r="BD1" s="651"/>
      <c r="BE1" s="626" t="s">
        <v>305</v>
      </c>
      <c r="BF1" s="626"/>
      <c r="BG1" s="626"/>
      <c r="BH1" s="626"/>
      <c r="BI1" s="626"/>
      <c r="BJ1" s="626" t="s">
        <v>306</v>
      </c>
      <c r="BK1" s="626"/>
      <c r="BL1" s="626"/>
      <c r="BM1" s="626"/>
      <c r="BN1" s="626"/>
      <c r="BO1" s="626" t="s">
        <v>237</v>
      </c>
      <c r="BP1" s="626"/>
      <c r="BQ1" s="626"/>
      <c r="BR1" s="626"/>
      <c r="BS1" s="626"/>
      <c r="BT1" s="626" t="s">
        <v>566</v>
      </c>
      <c r="BU1" s="626"/>
      <c r="BV1" s="626"/>
      <c r="BW1" s="626"/>
      <c r="BX1" s="626"/>
      <c r="BY1" s="626"/>
      <c r="BZ1" s="626"/>
      <c r="CA1" s="626"/>
      <c r="CB1" s="626"/>
      <c r="CC1" s="626"/>
      <c r="CD1" s="626"/>
      <c r="CE1" s="626"/>
      <c r="CF1" s="626"/>
      <c r="CG1" s="626"/>
      <c r="CH1" s="626"/>
      <c r="CI1" s="626"/>
    </row>
    <row r="2" spans="1:87" x14ac:dyDescent="0.2">
      <c r="A2" s="649"/>
      <c r="B2" s="650"/>
      <c r="C2" s="650"/>
      <c r="D2" s="650"/>
      <c r="E2" s="650"/>
      <c r="F2" s="650"/>
      <c r="G2" s="650"/>
      <c r="H2" s="650"/>
      <c r="I2" s="650"/>
      <c r="J2" s="650"/>
      <c r="K2" s="649"/>
      <c r="L2" s="650"/>
      <c r="M2" s="650"/>
      <c r="N2" s="650"/>
      <c r="O2" s="650"/>
      <c r="P2" s="650"/>
      <c r="Q2" s="650"/>
      <c r="R2" s="650"/>
      <c r="S2" s="650"/>
      <c r="T2" s="650"/>
      <c r="U2" s="650"/>
      <c r="V2" s="650"/>
      <c r="W2" s="650"/>
      <c r="X2" s="650"/>
      <c r="Y2" s="650"/>
      <c r="Z2" s="650"/>
      <c r="AA2" s="650"/>
      <c r="AB2" s="650"/>
      <c r="AC2" s="650"/>
      <c r="AD2" s="650"/>
      <c r="AE2" s="650"/>
      <c r="AF2" s="650"/>
      <c r="AG2" s="650"/>
      <c r="AH2" s="650"/>
      <c r="AI2" s="650"/>
      <c r="AJ2" s="650"/>
      <c r="AK2" s="650"/>
      <c r="AL2" s="650"/>
      <c r="AM2" s="650"/>
      <c r="AN2" s="650"/>
      <c r="AO2" s="650"/>
      <c r="AP2" s="650"/>
      <c r="AQ2" s="650"/>
      <c r="AR2" s="650"/>
      <c r="AS2" s="650"/>
      <c r="AT2" s="650"/>
      <c r="AU2" s="650"/>
      <c r="AV2" s="650"/>
      <c r="AW2" s="650"/>
      <c r="AX2" s="650"/>
      <c r="AY2" s="650"/>
      <c r="AZ2" s="650"/>
      <c r="BA2" s="650"/>
      <c r="BB2" s="650"/>
      <c r="BC2" s="650"/>
      <c r="BD2" s="652"/>
      <c r="BE2" s="626" t="s">
        <v>494</v>
      </c>
      <c r="BF2" s="626"/>
      <c r="BG2" s="626"/>
      <c r="BH2" s="626"/>
      <c r="BI2" s="626"/>
      <c r="BJ2" s="626" t="s">
        <v>494</v>
      </c>
      <c r="BK2" s="626"/>
      <c r="BL2" s="626"/>
      <c r="BM2" s="626"/>
      <c r="BN2" s="626"/>
      <c r="BO2" s="626" t="s">
        <v>494</v>
      </c>
      <c r="BP2" s="626"/>
      <c r="BQ2" s="626"/>
      <c r="BR2" s="626"/>
      <c r="BS2" s="626"/>
      <c r="BT2" s="626" t="s">
        <v>308</v>
      </c>
      <c r="BU2" s="626"/>
      <c r="BV2" s="626"/>
      <c r="BW2" s="626"/>
      <c r="BX2" s="626"/>
      <c r="BY2" s="626"/>
      <c r="BZ2" s="626" t="s">
        <v>306</v>
      </c>
      <c r="CA2" s="626"/>
      <c r="CB2" s="626"/>
      <c r="CC2" s="626"/>
      <c r="CD2" s="626"/>
      <c r="CE2" s="626" t="s">
        <v>237</v>
      </c>
      <c r="CF2" s="626"/>
      <c r="CG2" s="626"/>
      <c r="CH2" s="626"/>
      <c r="CI2" s="626"/>
    </row>
    <row r="3" spans="1:87" x14ac:dyDescent="0.2">
      <c r="A3" s="649"/>
      <c r="B3" s="650"/>
      <c r="C3" s="650"/>
      <c r="D3" s="650"/>
      <c r="E3" s="650"/>
      <c r="F3" s="650"/>
      <c r="G3" s="650"/>
      <c r="H3" s="650"/>
      <c r="I3" s="650"/>
      <c r="J3" s="650"/>
      <c r="K3" s="649"/>
      <c r="L3" s="650"/>
      <c r="M3" s="650"/>
      <c r="N3" s="650"/>
      <c r="O3" s="650"/>
      <c r="P3" s="650"/>
      <c r="Q3" s="650"/>
      <c r="R3" s="650"/>
      <c r="S3" s="650"/>
      <c r="T3" s="650"/>
      <c r="U3" s="650"/>
      <c r="V3" s="650"/>
      <c r="W3" s="650"/>
      <c r="X3" s="650"/>
      <c r="Y3" s="650"/>
      <c r="Z3" s="650"/>
      <c r="AA3" s="650"/>
      <c r="AB3" s="650"/>
      <c r="AC3" s="650"/>
      <c r="AD3" s="650"/>
      <c r="AE3" s="650"/>
      <c r="AF3" s="650"/>
      <c r="AG3" s="650"/>
      <c r="AH3" s="650"/>
      <c r="AI3" s="650"/>
      <c r="AJ3" s="650"/>
      <c r="AK3" s="650"/>
      <c r="AL3" s="650"/>
      <c r="AM3" s="650"/>
      <c r="AN3" s="650"/>
      <c r="AO3" s="650"/>
      <c r="AP3" s="650"/>
      <c r="AQ3" s="650"/>
      <c r="AR3" s="650"/>
      <c r="AS3" s="650"/>
      <c r="AT3" s="650"/>
      <c r="AU3" s="650"/>
      <c r="AV3" s="650"/>
      <c r="AW3" s="650"/>
      <c r="AX3" s="650"/>
      <c r="AY3" s="650"/>
      <c r="AZ3" s="650"/>
      <c r="BA3" s="650"/>
      <c r="BB3" s="650"/>
      <c r="BC3" s="650"/>
      <c r="BD3" s="652"/>
      <c r="BE3" s="598"/>
      <c r="BF3" s="598"/>
      <c r="BG3" s="598"/>
      <c r="BH3" s="598"/>
      <c r="BI3" s="598"/>
      <c r="BJ3" s="598"/>
      <c r="BK3" s="598"/>
      <c r="BL3" s="598"/>
      <c r="BM3" s="598"/>
      <c r="BN3" s="598"/>
      <c r="BO3" s="598"/>
      <c r="BP3" s="598"/>
      <c r="BQ3" s="598"/>
      <c r="BR3" s="598"/>
      <c r="BS3" s="598"/>
      <c r="BT3" s="598"/>
      <c r="BU3" s="598"/>
      <c r="BV3" s="598"/>
      <c r="BW3" s="598"/>
      <c r="BX3" s="598"/>
      <c r="BY3" s="598"/>
      <c r="BZ3" s="626" t="s">
        <v>495</v>
      </c>
      <c r="CA3" s="626"/>
      <c r="CB3" s="626"/>
      <c r="CC3" s="626"/>
      <c r="CD3" s="626"/>
      <c r="CE3" s="626" t="s">
        <v>495</v>
      </c>
      <c r="CF3" s="626"/>
      <c r="CG3" s="626"/>
      <c r="CH3" s="626"/>
      <c r="CI3" s="626"/>
    </row>
    <row r="4" spans="1:87" x14ac:dyDescent="0.2">
      <c r="A4" s="649"/>
      <c r="B4" s="650"/>
      <c r="C4" s="650"/>
      <c r="D4" s="650"/>
      <c r="E4" s="650"/>
      <c r="F4" s="650"/>
      <c r="G4" s="650"/>
      <c r="H4" s="650"/>
      <c r="I4" s="650"/>
      <c r="J4" s="650"/>
      <c r="K4" s="649"/>
      <c r="L4" s="650"/>
      <c r="M4" s="650"/>
      <c r="N4" s="650"/>
      <c r="O4" s="650"/>
      <c r="P4" s="650"/>
      <c r="Q4" s="650"/>
      <c r="R4" s="650"/>
      <c r="S4" s="650"/>
      <c r="T4" s="650"/>
      <c r="U4" s="650"/>
      <c r="V4" s="650"/>
      <c r="W4" s="650"/>
      <c r="X4" s="650"/>
      <c r="Y4" s="650"/>
      <c r="Z4" s="650"/>
      <c r="AA4" s="650"/>
      <c r="AB4" s="650"/>
      <c r="AC4" s="650"/>
      <c r="AD4" s="650"/>
      <c r="AE4" s="650"/>
      <c r="AF4" s="650"/>
      <c r="AG4" s="650"/>
      <c r="AH4" s="650"/>
      <c r="AI4" s="650"/>
      <c r="AJ4" s="650"/>
      <c r="AK4" s="650"/>
      <c r="AL4" s="650"/>
      <c r="AM4" s="650"/>
      <c r="AN4" s="650"/>
      <c r="AO4" s="650"/>
      <c r="AP4" s="650"/>
      <c r="AQ4" s="650"/>
      <c r="AR4" s="650"/>
      <c r="AS4" s="650"/>
      <c r="AT4" s="650"/>
      <c r="AU4" s="650"/>
      <c r="AV4" s="650"/>
      <c r="AW4" s="650"/>
      <c r="AX4" s="650"/>
      <c r="AY4" s="650"/>
      <c r="AZ4" s="650"/>
      <c r="BA4" s="650"/>
      <c r="BB4" s="650"/>
      <c r="BC4" s="650"/>
      <c r="BD4" s="652"/>
      <c r="BE4" s="598"/>
      <c r="BF4" s="598"/>
      <c r="BG4" s="598"/>
      <c r="BH4" s="598"/>
      <c r="BI4" s="598"/>
      <c r="BJ4" s="598"/>
      <c r="BK4" s="598"/>
      <c r="BL4" s="598"/>
      <c r="BM4" s="598"/>
      <c r="BN4" s="598"/>
      <c r="BO4" s="598"/>
      <c r="BP4" s="598"/>
      <c r="BQ4" s="598"/>
      <c r="BR4" s="598"/>
      <c r="BS4" s="598"/>
      <c r="BT4" s="598"/>
      <c r="BU4" s="598"/>
      <c r="BV4" s="598"/>
      <c r="BW4" s="598"/>
      <c r="BX4" s="598"/>
      <c r="BY4" s="598"/>
      <c r="BZ4" s="598"/>
      <c r="CA4" s="598"/>
      <c r="CB4" s="598"/>
      <c r="CC4" s="598"/>
      <c r="CD4" s="598"/>
      <c r="CE4" s="598"/>
      <c r="CF4" s="598"/>
      <c r="CG4" s="598"/>
      <c r="CH4" s="598"/>
      <c r="CI4" s="598"/>
    </row>
    <row r="5" spans="1:87" x14ac:dyDescent="0.2">
      <c r="A5" s="583" t="s">
        <v>465</v>
      </c>
      <c r="B5" s="584"/>
      <c r="C5" s="584"/>
      <c r="D5" s="584"/>
      <c r="E5" s="584"/>
      <c r="F5" s="584"/>
      <c r="G5" s="584"/>
      <c r="H5" s="584"/>
      <c r="I5" s="584"/>
      <c r="J5" s="584"/>
      <c r="K5" s="584"/>
      <c r="L5" s="584"/>
      <c r="M5" s="584"/>
      <c r="N5" s="584"/>
      <c r="O5" s="584"/>
      <c r="P5" s="584"/>
      <c r="Q5" s="584"/>
      <c r="R5" s="584"/>
      <c r="S5" s="584"/>
      <c r="T5" s="584"/>
      <c r="U5" s="584"/>
      <c r="V5" s="584"/>
      <c r="W5" s="585"/>
      <c r="X5" s="583" t="s">
        <v>466</v>
      </c>
      <c r="Y5" s="584"/>
      <c r="Z5" s="584"/>
      <c r="AA5" s="584"/>
      <c r="AB5" s="584"/>
      <c r="AC5" s="584"/>
      <c r="AD5" s="584"/>
      <c r="AE5" s="584"/>
      <c r="AF5" s="584"/>
      <c r="AG5" s="584"/>
      <c r="AH5" s="584"/>
      <c r="AI5" s="584"/>
      <c r="AJ5" s="584"/>
      <c r="AK5" s="584"/>
      <c r="AL5" s="584"/>
      <c r="AM5" s="584"/>
      <c r="AN5" s="584"/>
      <c r="AO5" s="584"/>
      <c r="AP5" s="584"/>
      <c r="AQ5" s="584"/>
      <c r="AR5" s="584"/>
      <c r="AS5" s="584"/>
      <c r="AT5" s="584"/>
      <c r="AU5" s="584"/>
      <c r="AV5" s="584"/>
      <c r="AW5" s="584"/>
      <c r="AX5" s="584"/>
      <c r="AY5" s="584"/>
      <c r="AZ5" s="584"/>
      <c r="BA5" s="584"/>
      <c r="BB5" s="584"/>
      <c r="BC5" s="584"/>
      <c r="BD5" s="585"/>
      <c r="BE5" s="585"/>
      <c r="BF5" s="598"/>
      <c r="BG5" s="598"/>
      <c r="BH5" s="598"/>
      <c r="BI5" s="598"/>
      <c r="BJ5" s="598"/>
      <c r="BK5" s="598"/>
      <c r="BL5" s="598"/>
      <c r="BM5" s="598"/>
      <c r="BN5" s="598"/>
      <c r="BO5" s="598"/>
      <c r="BP5" s="598"/>
      <c r="BQ5" s="598"/>
      <c r="BR5" s="598"/>
      <c r="BS5" s="598"/>
      <c r="BT5" s="598"/>
      <c r="BU5" s="598"/>
      <c r="BV5" s="598"/>
      <c r="BW5" s="598"/>
      <c r="BX5" s="598"/>
      <c r="BY5" s="598"/>
      <c r="BZ5" s="598"/>
      <c r="CA5" s="598"/>
      <c r="CB5" s="598"/>
      <c r="CC5" s="598"/>
      <c r="CD5" s="598"/>
      <c r="CE5" s="598"/>
      <c r="CF5" s="598"/>
      <c r="CG5" s="598"/>
      <c r="CH5" s="598"/>
      <c r="CI5" s="598"/>
    </row>
    <row r="6" spans="1:87" x14ac:dyDescent="0.2">
      <c r="A6" s="583"/>
      <c r="B6" s="584"/>
      <c r="C6" s="584"/>
      <c r="D6" s="584"/>
      <c r="E6" s="584"/>
      <c r="F6" s="584"/>
      <c r="G6" s="584"/>
      <c r="H6" s="584"/>
      <c r="I6" s="584"/>
      <c r="J6" s="584"/>
      <c r="K6" s="584"/>
      <c r="L6" s="584"/>
      <c r="M6" s="584"/>
      <c r="N6" s="584"/>
      <c r="O6" s="584"/>
      <c r="P6" s="584"/>
      <c r="Q6" s="584"/>
      <c r="R6" s="584"/>
      <c r="S6" s="584"/>
      <c r="T6" s="584"/>
      <c r="U6" s="584"/>
      <c r="V6" s="584"/>
      <c r="W6" s="585"/>
      <c r="X6" s="583"/>
      <c r="Y6" s="584"/>
      <c r="Z6" s="584"/>
      <c r="AA6" s="584"/>
      <c r="AB6" s="584"/>
      <c r="AC6" s="584"/>
      <c r="AD6" s="584"/>
      <c r="AE6" s="584"/>
      <c r="AF6" s="584"/>
      <c r="AG6" s="584"/>
      <c r="AH6" s="584"/>
      <c r="AI6" s="584"/>
      <c r="AJ6" s="584"/>
      <c r="AK6" s="584"/>
      <c r="AL6" s="584"/>
      <c r="AM6" s="584"/>
      <c r="AN6" s="584"/>
      <c r="AO6" s="584"/>
      <c r="AP6" s="584"/>
      <c r="AQ6" s="584"/>
      <c r="AR6" s="584"/>
      <c r="AS6" s="584"/>
      <c r="AT6" s="584"/>
      <c r="AU6" s="584"/>
      <c r="AV6" s="584"/>
      <c r="AW6" s="584"/>
      <c r="AX6" s="584"/>
      <c r="AY6" s="584"/>
      <c r="AZ6" s="584"/>
      <c r="BA6" s="584"/>
      <c r="BB6" s="584"/>
      <c r="BC6" s="584"/>
      <c r="BD6" s="585"/>
      <c r="BE6" s="585"/>
      <c r="BF6" s="598"/>
      <c r="BG6" s="598"/>
      <c r="BH6" s="598"/>
      <c r="BI6" s="598"/>
      <c r="BJ6" s="598"/>
      <c r="BK6" s="598"/>
      <c r="BL6" s="598"/>
      <c r="BM6" s="598"/>
      <c r="BN6" s="598"/>
      <c r="BO6" s="598"/>
      <c r="BP6" s="598"/>
      <c r="BQ6" s="598"/>
      <c r="BR6" s="598"/>
      <c r="BS6" s="598"/>
      <c r="BT6" s="598"/>
      <c r="BU6" s="598"/>
      <c r="BV6" s="598"/>
      <c r="BW6" s="598"/>
      <c r="BX6" s="598"/>
      <c r="BY6" s="598"/>
      <c r="BZ6" s="598"/>
      <c r="CA6" s="598"/>
      <c r="CB6" s="598"/>
      <c r="CC6" s="598"/>
      <c r="CD6" s="598"/>
      <c r="CE6" s="598"/>
      <c r="CF6" s="598"/>
      <c r="CG6" s="598"/>
      <c r="CH6" s="598"/>
      <c r="CI6" s="598"/>
    </row>
    <row r="7" spans="1:87" x14ac:dyDescent="0.2">
      <c r="A7" s="583" t="s">
        <v>310</v>
      </c>
      <c r="B7" s="584"/>
      <c r="C7" s="584"/>
      <c r="D7" s="584"/>
      <c r="E7" s="584"/>
      <c r="F7" s="584"/>
      <c r="G7" s="584"/>
      <c r="H7" s="584"/>
      <c r="I7" s="584"/>
      <c r="J7" s="584"/>
      <c r="K7" s="584"/>
      <c r="L7" s="584"/>
      <c r="M7" s="584"/>
      <c r="N7" s="584"/>
      <c r="O7" s="584"/>
      <c r="P7" s="584"/>
      <c r="Q7" s="584"/>
      <c r="R7" s="584"/>
      <c r="S7" s="584"/>
      <c r="T7" s="584"/>
      <c r="U7" s="584"/>
      <c r="V7" s="584"/>
      <c r="W7" s="585"/>
      <c r="X7" s="583" t="s">
        <v>311</v>
      </c>
      <c r="Y7" s="584"/>
      <c r="Z7" s="584"/>
      <c r="AA7" s="584"/>
      <c r="AB7" s="584"/>
      <c r="AC7" s="584"/>
      <c r="AD7" s="584"/>
      <c r="AE7" s="584"/>
      <c r="AF7" s="584"/>
      <c r="AG7" s="584"/>
      <c r="AH7" s="584"/>
      <c r="AI7" s="584"/>
      <c r="AJ7" s="584"/>
      <c r="AK7" s="584"/>
      <c r="AL7" s="585"/>
      <c r="AM7" s="583" t="s">
        <v>1</v>
      </c>
      <c r="AN7" s="584"/>
      <c r="AO7" s="584"/>
      <c r="AP7" s="584"/>
      <c r="AQ7" s="584"/>
      <c r="AR7" s="584"/>
      <c r="AS7" s="584"/>
      <c r="AT7" s="584"/>
      <c r="AU7" s="585"/>
      <c r="AV7" s="583" t="s">
        <v>314</v>
      </c>
      <c r="AW7" s="584"/>
      <c r="AX7" s="584"/>
      <c r="AY7" s="584"/>
      <c r="AZ7" s="584"/>
      <c r="BA7" s="584"/>
      <c r="BB7" s="584"/>
      <c r="BC7" s="584"/>
      <c r="BD7" s="585"/>
      <c r="BE7" s="598"/>
      <c r="BF7" s="598"/>
      <c r="BG7" s="598"/>
      <c r="BH7" s="598"/>
      <c r="BI7" s="598"/>
      <c r="BJ7" s="598"/>
      <c r="BK7" s="598"/>
      <c r="BL7" s="598"/>
      <c r="BM7" s="598"/>
      <c r="BN7" s="598"/>
      <c r="BO7" s="598"/>
      <c r="BP7" s="598"/>
      <c r="BQ7" s="598"/>
      <c r="BR7" s="598"/>
      <c r="BS7" s="598"/>
      <c r="BT7" s="598"/>
      <c r="BU7" s="598"/>
      <c r="BV7" s="598"/>
      <c r="BW7" s="598"/>
      <c r="BX7" s="598"/>
      <c r="BY7" s="598"/>
      <c r="BZ7" s="598"/>
      <c r="CA7" s="598"/>
      <c r="CB7" s="598"/>
      <c r="CC7" s="598"/>
      <c r="CD7" s="598"/>
      <c r="CE7" s="598"/>
      <c r="CF7" s="598"/>
      <c r="CG7" s="598"/>
      <c r="CH7" s="598"/>
      <c r="CI7" s="598"/>
    </row>
    <row r="8" spans="1:87" x14ac:dyDescent="0.2">
      <c r="A8" s="583"/>
      <c r="B8" s="584"/>
      <c r="C8" s="584"/>
      <c r="D8" s="584"/>
      <c r="E8" s="584"/>
      <c r="F8" s="584"/>
      <c r="G8" s="584"/>
      <c r="H8" s="584"/>
      <c r="I8" s="584"/>
      <c r="J8" s="584"/>
      <c r="K8" s="584"/>
      <c r="L8" s="584"/>
      <c r="M8" s="584"/>
      <c r="N8" s="584"/>
      <c r="O8" s="584"/>
      <c r="P8" s="584"/>
      <c r="Q8" s="584"/>
      <c r="R8" s="584"/>
      <c r="S8" s="584"/>
      <c r="T8" s="584"/>
      <c r="U8" s="584"/>
      <c r="V8" s="584"/>
      <c r="W8" s="585"/>
      <c r="X8" s="583"/>
      <c r="Y8" s="584"/>
      <c r="Z8" s="584"/>
      <c r="AA8" s="584"/>
      <c r="AB8" s="584"/>
      <c r="AC8" s="584"/>
      <c r="AD8" s="584"/>
      <c r="AE8" s="584"/>
      <c r="AF8" s="584"/>
      <c r="AG8" s="584"/>
      <c r="AH8" s="584"/>
      <c r="AI8" s="584"/>
      <c r="AJ8" s="584"/>
      <c r="AK8" s="584"/>
      <c r="AL8" s="585"/>
      <c r="AM8" s="655"/>
      <c r="AN8" s="656"/>
      <c r="AO8" s="656"/>
      <c r="AP8" s="656"/>
      <c r="AQ8" s="656"/>
      <c r="AR8" s="656"/>
      <c r="AS8" s="656"/>
      <c r="AT8" s="656"/>
      <c r="AU8" s="657"/>
      <c r="AV8" s="583"/>
      <c r="AW8" s="584"/>
      <c r="AX8" s="584"/>
      <c r="AY8" s="584"/>
      <c r="AZ8" s="584"/>
      <c r="BA8" s="584"/>
      <c r="BB8" s="584"/>
      <c r="BC8" s="584"/>
      <c r="BD8" s="585"/>
      <c r="BE8" s="598"/>
      <c r="BF8" s="598"/>
      <c r="BG8" s="598"/>
      <c r="BH8" s="598"/>
      <c r="BI8" s="598"/>
      <c r="BJ8" s="598"/>
      <c r="BK8" s="598"/>
      <c r="BL8" s="598"/>
      <c r="BM8" s="598"/>
      <c r="BN8" s="598"/>
      <c r="BO8" s="598"/>
      <c r="BP8" s="598"/>
      <c r="BQ8" s="598"/>
      <c r="BR8" s="598"/>
      <c r="BS8" s="598"/>
      <c r="BT8" s="598"/>
      <c r="BU8" s="598"/>
      <c r="BV8" s="598"/>
      <c r="BW8" s="598"/>
      <c r="BX8" s="598"/>
      <c r="BY8" s="598"/>
      <c r="BZ8" s="598"/>
      <c r="CA8" s="598"/>
      <c r="CB8" s="598"/>
      <c r="CC8" s="598"/>
      <c r="CD8" s="598"/>
      <c r="CE8" s="598"/>
      <c r="CF8" s="598"/>
      <c r="CG8" s="598"/>
      <c r="CH8" s="598"/>
      <c r="CI8" s="598"/>
    </row>
    <row r="10" spans="1:87" ht="13.5" customHeight="1" x14ac:dyDescent="0.2">
      <c r="A10" s="624" t="s">
        <v>208</v>
      </c>
      <c r="B10" s="624"/>
      <c r="C10" s="624"/>
      <c r="D10" s="624"/>
      <c r="E10" s="624"/>
      <c r="F10" s="624"/>
      <c r="G10" s="624"/>
      <c r="H10" s="624"/>
      <c r="I10" s="624"/>
      <c r="J10" s="624"/>
      <c r="K10" s="624" t="s">
        <v>209</v>
      </c>
      <c r="L10" s="624"/>
      <c r="M10" s="624"/>
      <c r="N10" s="624"/>
      <c r="O10" s="624"/>
      <c r="P10" s="624"/>
      <c r="Q10" s="624"/>
      <c r="R10" s="624"/>
      <c r="S10" s="624"/>
      <c r="T10" s="624"/>
      <c r="U10" s="624"/>
      <c r="V10" s="624" t="s">
        <v>210</v>
      </c>
      <c r="W10" s="624"/>
      <c r="X10" s="624"/>
      <c r="Y10" s="624"/>
      <c r="Z10" s="624"/>
      <c r="AA10" s="624"/>
      <c r="AB10" s="624"/>
      <c r="AC10" s="624"/>
      <c r="AD10" s="624"/>
      <c r="AE10" s="624"/>
      <c r="AF10" s="624"/>
      <c r="AG10" s="624"/>
      <c r="AH10" s="624"/>
      <c r="AI10" s="624"/>
      <c r="AJ10" s="624"/>
      <c r="AK10" s="624"/>
      <c r="AL10" s="624"/>
      <c r="AM10" s="299"/>
      <c r="AN10" s="299"/>
      <c r="AO10" s="299"/>
      <c r="AP10" s="299"/>
      <c r="AQ10" s="299"/>
      <c r="AR10" s="299"/>
      <c r="AS10" s="299"/>
      <c r="AT10" s="299"/>
      <c r="AU10" s="299"/>
      <c r="AV10" s="299"/>
      <c r="AW10" s="641" t="s">
        <v>215</v>
      </c>
      <c r="AX10" s="641"/>
      <c r="AY10" s="641"/>
      <c r="AZ10" s="641"/>
      <c r="BA10" s="641"/>
      <c r="BB10" s="641"/>
      <c r="BC10" s="641"/>
      <c r="BD10" s="641"/>
      <c r="BE10" s="641"/>
      <c r="BF10" s="641"/>
      <c r="BG10" s="641"/>
      <c r="BH10" s="641"/>
      <c r="BI10" s="642" t="s">
        <v>216</v>
      </c>
      <c r="BJ10" s="643"/>
      <c r="BK10" s="643"/>
      <c r="BL10" s="643"/>
      <c r="BM10" s="643"/>
      <c r="BN10" s="643"/>
      <c r="BO10" s="643"/>
      <c r="BP10" s="643"/>
      <c r="BQ10" s="643"/>
      <c r="BR10" s="643"/>
      <c r="BS10" s="643"/>
      <c r="BT10" s="643"/>
      <c r="BU10" s="643"/>
      <c r="BV10" s="643"/>
      <c r="BW10" s="643"/>
      <c r="BX10" s="643"/>
      <c r="BY10" s="643"/>
      <c r="BZ10" s="643"/>
      <c r="CA10" s="643"/>
      <c r="CB10" s="643"/>
      <c r="CC10" s="643"/>
      <c r="CD10" s="643"/>
      <c r="CE10" s="643"/>
      <c r="CF10" s="643"/>
      <c r="CG10" s="643"/>
      <c r="CH10" s="643"/>
      <c r="CI10" s="644"/>
    </row>
    <row r="11" spans="1:87" x14ac:dyDescent="0.2">
      <c r="A11" s="624"/>
      <c r="B11" s="624"/>
      <c r="C11" s="624"/>
      <c r="D11" s="624"/>
      <c r="E11" s="624"/>
      <c r="F11" s="624"/>
      <c r="G11" s="624"/>
      <c r="H11" s="624"/>
      <c r="I11" s="624"/>
      <c r="J11" s="624"/>
      <c r="K11" s="624"/>
      <c r="L11" s="624"/>
      <c r="M11" s="624"/>
      <c r="N11" s="624"/>
      <c r="O11" s="624"/>
      <c r="P11" s="624"/>
      <c r="Q11" s="624"/>
      <c r="R11" s="624"/>
      <c r="S11" s="624"/>
      <c r="T11" s="624"/>
      <c r="U11" s="624"/>
      <c r="V11" s="624"/>
      <c r="W11" s="624"/>
      <c r="X11" s="624"/>
      <c r="Y11" s="624"/>
      <c r="Z11" s="624"/>
      <c r="AA11" s="624"/>
      <c r="AB11" s="624"/>
      <c r="AC11" s="624"/>
      <c r="AD11" s="624"/>
      <c r="AE11" s="624"/>
      <c r="AF11" s="624"/>
      <c r="AG11" s="624"/>
      <c r="AH11" s="624"/>
      <c r="AI11" s="624"/>
      <c r="AJ11" s="624"/>
      <c r="AK11" s="624"/>
      <c r="AL11" s="624"/>
      <c r="AM11" s="299"/>
      <c r="AN11" s="299"/>
      <c r="AO11" s="299"/>
      <c r="AP11" s="299"/>
      <c r="AQ11" s="299"/>
      <c r="AR11" s="299"/>
      <c r="AS11" s="299"/>
      <c r="AT11" s="299"/>
      <c r="AU11" s="299"/>
      <c r="AV11" s="299"/>
      <c r="AW11" s="645" t="s">
        <v>140</v>
      </c>
      <c r="AX11" s="646"/>
      <c r="AY11" s="646"/>
      <c r="AZ11" s="646"/>
      <c r="BA11" s="676" t="s">
        <v>217</v>
      </c>
      <c r="BB11" s="676"/>
      <c r="BC11" s="676"/>
      <c r="BD11" s="676"/>
      <c r="BE11" s="676"/>
      <c r="BF11" s="676"/>
      <c r="BG11" s="676"/>
      <c r="BH11" s="677"/>
      <c r="BI11" s="553"/>
      <c r="BJ11" s="554"/>
      <c r="BK11" s="554"/>
      <c r="BL11" s="554"/>
      <c r="BM11" s="554"/>
      <c r="BN11" s="554"/>
      <c r="BO11" s="554"/>
      <c r="BP11" s="554"/>
      <c r="BQ11" s="554"/>
      <c r="BR11" s="554"/>
      <c r="BS11" s="554"/>
      <c r="BT11" s="554"/>
      <c r="BU11" s="554"/>
      <c r="BV11" s="554"/>
      <c r="BW11" s="554"/>
      <c r="BX11" s="554"/>
      <c r="BY11" s="554"/>
      <c r="BZ11" s="554"/>
      <c r="CA11" s="554"/>
      <c r="CB11" s="554"/>
      <c r="CC11" s="554"/>
      <c r="CD11" s="554"/>
      <c r="CE11" s="554"/>
      <c r="CF11" s="554"/>
      <c r="CG11" s="554"/>
      <c r="CH11" s="554"/>
      <c r="CI11" s="555"/>
    </row>
    <row r="12" spans="1:87" ht="13.5" customHeight="1" x14ac:dyDescent="0.2">
      <c r="A12" s="598" t="s">
        <v>138</v>
      </c>
      <c r="B12" s="598"/>
      <c r="C12" s="598"/>
      <c r="D12" s="598"/>
      <c r="E12" s="598"/>
      <c r="F12" s="598"/>
      <c r="G12" s="598"/>
      <c r="H12" s="598"/>
      <c r="I12" s="598"/>
      <c r="J12" s="598"/>
      <c r="K12" s="598"/>
      <c r="L12" s="598"/>
      <c r="M12" s="598"/>
      <c r="N12" s="598"/>
      <c r="O12" s="598"/>
      <c r="P12" s="598"/>
      <c r="Q12" s="598"/>
      <c r="R12" s="598"/>
      <c r="S12" s="598"/>
      <c r="T12" s="598"/>
      <c r="U12" s="598"/>
      <c r="V12" s="598" t="s">
        <v>761</v>
      </c>
      <c r="W12" s="598"/>
      <c r="X12" s="598"/>
      <c r="Y12" s="598"/>
      <c r="Z12" s="598"/>
      <c r="AA12" s="598"/>
      <c r="AB12" s="598"/>
      <c r="AC12" s="598"/>
      <c r="AD12" s="598"/>
      <c r="AE12" s="598"/>
      <c r="AF12" s="598"/>
      <c r="AG12" s="598"/>
      <c r="AH12" s="598"/>
      <c r="AI12" s="598"/>
      <c r="AJ12" s="598"/>
      <c r="AK12" s="598"/>
      <c r="AL12" s="598"/>
      <c r="AM12" s="299"/>
      <c r="AN12" s="299"/>
      <c r="AO12" s="299"/>
      <c r="AP12" s="299"/>
      <c r="AQ12" s="299"/>
      <c r="AR12" s="299"/>
      <c r="AS12" s="299"/>
      <c r="AT12" s="299"/>
      <c r="AU12" s="299"/>
      <c r="AV12" s="299"/>
      <c r="AW12" s="653" t="s">
        <v>140</v>
      </c>
      <c r="AX12" s="654"/>
      <c r="AY12" s="654"/>
      <c r="AZ12" s="654"/>
      <c r="BA12" s="678" t="s">
        <v>2</v>
      </c>
      <c r="BB12" s="678"/>
      <c r="BC12" s="678"/>
      <c r="BD12" s="678"/>
      <c r="BE12" s="678"/>
      <c r="BF12" s="678"/>
      <c r="BG12" s="678"/>
      <c r="BH12" s="679"/>
      <c r="BI12" s="556"/>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8"/>
    </row>
    <row r="13" spans="1:87" x14ac:dyDescent="0.2">
      <c r="A13" s="598"/>
      <c r="B13" s="598"/>
      <c r="C13" s="598"/>
      <c r="D13" s="598"/>
      <c r="E13" s="598"/>
      <c r="F13" s="598"/>
      <c r="G13" s="598"/>
      <c r="H13" s="598"/>
      <c r="I13" s="598"/>
      <c r="J13" s="598"/>
      <c r="K13" s="598"/>
      <c r="L13" s="598"/>
      <c r="M13" s="598"/>
      <c r="N13" s="598"/>
      <c r="O13" s="598"/>
      <c r="P13" s="598"/>
      <c r="Q13" s="598"/>
      <c r="R13" s="598"/>
      <c r="S13" s="598"/>
      <c r="T13" s="598"/>
      <c r="U13" s="598"/>
      <c r="V13" s="598"/>
      <c r="W13" s="598"/>
      <c r="X13" s="598"/>
      <c r="Y13" s="598"/>
      <c r="Z13" s="598"/>
      <c r="AA13" s="598"/>
      <c r="AB13" s="598"/>
      <c r="AC13" s="598"/>
      <c r="AD13" s="598"/>
      <c r="AE13" s="598"/>
      <c r="AF13" s="598"/>
      <c r="AG13" s="598"/>
      <c r="AH13" s="598"/>
      <c r="AI13" s="598"/>
      <c r="AJ13" s="598"/>
      <c r="AK13" s="598"/>
      <c r="AL13" s="598"/>
      <c r="AM13" s="299"/>
      <c r="AN13" s="299"/>
      <c r="AO13" s="299"/>
      <c r="AP13" s="299"/>
      <c r="AQ13" s="299"/>
      <c r="AR13" s="299"/>
      <c r="AS13" s="299"/>
      <c r="AT13" s="299"/>
      <c r="AU13" s="299"/>
      <c r="AV13" s="299"/>
      <c r="AW13" s="682" t="s">
        <v>140</v>
      </c>
      <c r="AX13" s="683"/>
      <c r="AY13" s="683"/>
      <c r="AZ13" s="683"/>
      <c r="BA13" s="680" t="s">
        <v>218</v>
      </c>
      <c r="BB13" s="680"/>
      <c r="BC13" s="680"/>
      <c r="BD13" s="680"/>
      <c r="BE13" s="680"/>
      <c r="BF13" s="680"/>
      <c r="BG13" s="680"/>
      <c r="BH13" s="681"/>
      <c r="BI13" s="559"/>
      <c r="BJ13" s="560"/>
      <c r="BK13" s="560"/>
      <c r="BL13" s="560"/>
      <c r="BM13" s="560"/>
      <c r="BN13" s="560"/>
      <c r="BO13" s="560"/>
      <c r="BP13" s="560"/>
      <c r="BQ13" s="560"/>
      <c r="BR13" s="560"/>
      <c r="BS13" s="560"/>
      <c r="BT13" s="560"/>
      <c r="BU13" s="560"/>
      <c r="BV13" s="560"/>
      <c r="BW13" s="560"/>
      <c r="BX13" s="560"/>
      <c r="BY13" s="560"/>
      <c r="BZ13" s="560"/>
      <c r="CA13" s="560"/>
      <c r="CB13" s="560"/>
      <c r="CC13" s="560"/>
      <c r="CD13" s="560"/>
      <c r="CE13" s="560"/>
      <c r="CF13" s="560"/>
      <c r="CG13" s="560"/>
      <c r="CH13" s="560"/>
      <c r="CI13" s="561"/>
    </row>
    <row r="14" spans="1:87" x14ac:dyDescent="0.2">
      <c r="BB14" s="300" t="s">
        <v>3</v>
      </c>
      <c r="BC14" s="300"/>
    </row>
    <row r="15" spans="1:87" x14ac:dyDescent="0.2">
      <c r="A15" s="574" t="s">
        <v>211</v>
      </c>
      <c r="B15" s="575"/>
      <c r="C15" s="575"/>
      <c r="D15" s="575"/>
      <c r="E15" s="575"/>
      <c r="F15" s="575"/>
      <c r="G15" s="575"/>
      <c r="H15" s="575"/>
      <c r="I15" s="575"/>
      <c r="J15" s="576"/>
      <c r="K15" s="696" t="s">
        <v>600</v>
      </c>
      <c r="L15" s="696"/>
      <c r="M15" s="696"/>
      <c r="N15" s="696"/>
      <c r="O15" s="640"/>
      <c r="P15" s="640"/>
      <c r="Q15" s="640"/>
      <c r="R15" s="640"/>
      <c r="S15" s="640"/>
      <c r="T15" s="640"/>
      <c r="U15" s="640"/>
      <c r="V15" s="624" t="s">
        <v>219</v>
      </c>
      <c r="W15" s="624"/>
      <c r="X15" s="624"/>
      <c r="Y15" s="624"/>
      <c r="Z15" s="624"/>
      <c r="AA15" s="624"/>
      <c r="AB15" s="624"/>
      <c r="AC15" s="624"/>
      <c r="AD15" s="624"/>
      <c r="AE15" s="624"/>
      <c r="AF15" s="624"/>
      <c r="AG15" s="624"/>
      <c r="AH15" s="624"/>
      <c r="AI15" s="624"/>
      <c r="AJ15" s="624"/>
      <c r="AK15" s="624"/>
      <c r="AL15" s="624"/>
      <c r="AM15" s="640" t="s">
        <v>4</v>
      </c>
      <c r="AN15" s="640"/>
      <c r="AO15" s="640"/>
      <c r="AP15" s="640"/>
      <c r="AQ15" s="640" t="s">
        <v>220</v>
      </c>
      <c r="AR15" s="640"/>
      <c r="AS15" s="640"/>
      <c r="AT15" s="640"/>
      <c r="AU15" s="640"/>
      <c r="AV15" s="640" t="s">
        <v>213</v>
      </c>
      <c r="AW15" s="640"/>
      <c r="AX15" s="640"/>
      <c r="AY15" s="640"/>
      <c r="AZ15" s="640"/>
      <c r="BA15" s="640"/>
      <c r="BB15" s="640"/>
      <c r="BC15" s="640"/>
      <c r="BD15" s="640"/>
      <c r="BE15" s="640"/>
      <c r="BF15" s="640"/>
      <c r="BG15" s="640"/>
      <c r="BH15" s="640"/>
      <c r="BI15" s="640"/>
      <c r="BJ15" s="640"/>
      <c r="BK15" s="640" t="s">
        <v>221</v>
      </c>
      <c r="BL15" s="640"/>
      <c r="BM15" s="640"/>
      <c r="BN15" s="640"/>
      <c r="BO15" s="640"/>
      <c r="BP15" s="640" t="s">
        <v>5</v>
      </c>
      <c r="BQ15" s="640"/>
      <c r="BR15" s="640"/>
      <c r="BS15" s="640"/>
      <c r="BT15" s="640"/>
      <c r="BU15" s="640" t="s">
        <v>222</v>
      </c>
      <c r="BV15" s="640"/>
      <c r="BW15" s="640"/>
      <c r="BX15" s="640"/>
      <c r="BY15" s="640"/>
      <c r="BZ15" s="640" t="s">
        <v>223</v>
      </c>
      <c r="CA15" s="640"/>
      <c r="CB15" s="640"/>
      <c r="CC15" s="640"/>
      <c r="CD15" s="640"/>
      <c r="CE15" s="639" t="s">
        <v>224</v>
      </c>
      <c r="CF15" s="639"/>
      <c r="CG15" s="639"/>
      <c r="CH15" s="639"/>
      <c r="CI15" s="639"/>
    </row>
    <row r="16" spans="1:87" ht="45" customHeight="1" x14ac:dyDescent="0.2">
      <c r="A16" s="697"/>
      <c r="B16" s="698"/>
      <c r="C16" s="698"/>
      <c r="D16" s="698"/>
      <c r="E16" s="698"/>
      <c r="F16" s="698"/>
      <c r="G16" s="698"/>
      <c r="H16" s="698"/>
      <c r="I16" s="698"/>
      <c r="J16" s="699"/>
      <c r="K16" s="625"/>
      <c r="L16" s="625"/>
      <c r="M16" s="625"/>
      <c r="N16" s="625"/>
      <c r="O16" s="625"/>
      <c r="P16" s="625"/>
      <c r="Q16" s="625"/>
      <c r="R16" s="625"/>
      <c r="S16" s="625"/>
      <c r="T16" s="625"/>
      <c r="U16" s="625"/>
      <c r="V16" s="629" t="s">
        <v>762</v>
      </c>
      <c r="W16" s="629"/>
      <c r="X16" s="629"/>
      <c r="Y16" s="629"/>
      <c r="Z16" s="629"/>
      <c r="AA16" s="629"/>
      <c r="AB16" s="629"/>
      <c r="AC16" s="629"/>
      <c r="AD16" s="629"/>
      <c r="AE16" s="629"/>
      <c r="AF16" s="629"/>
      <c r="AG16" s="629"/>
      <c r="AH16" s="629"/>
      <c r="AI16" s="629"/>
      <c r="AJ16" s="629"/>
      <c r="AK16" s="629"/>
      <c r="AL16" s="629"/>
      <c r="AM16" s="568"/>
      <c r="AN16" s="569"/>
      <c r="AO16" s="569"/>
      <c r="AP16" s="570"/>
      <c r="AQ16" s="658"/>
      <c r="AR16" s="659"/>
      <c r="AS16" s="659"/>
      <c r="AT16" s="659"/>
      <c r="AU16" s="660"/>
      <c r="AV16" s="625"/>
      <c r="AW16" s="625"/>
      <c r="AX16" s="625"/>
      <c r="AY16" s="625"/>
      <c r="AZ16" s="625"/>
      <c r="BA16" s="625"/>
      <c r="BB16" s="625"/>
      <c r="BC16" s="625"/>
      <c r="BD16" s="625"/>
      <c r="BE16" s="625"/>
      <c r="BF16" s="625"/>
      <c r="BG16" s="625"/>
      <c r="BH16" s="625"/>
      <c r="BI16" s="625"/>
      <c r="BJ16" s="625"/>
      <c r="BK16" s="670"/>
      <c r="BL16" s="671"/>
      <c r="BM16" s="671"/>
      <c r="BN16" s="671"/>
      <c r="BO16" s="672"/>
      <c r="BP16" s="684"/>
      <c r="BQ16" s="685"/>
      <c r="BR16" s="685"/>
      <c r="BS16" s="685"/>
      <c r="BT16" s="686"/>
      <c r="BU16" s="664"/>
      <c r="BV16" s="665"/>
      <c r="BW16" s="665"/>
      <c r="BX16" s="665"/>
      <c r="BY16" s="666"/>
      <c r="BZ16" s="633"/>
      <c r="CA16" s="634"/>
      <c r="CB16" s="634"/>
      <c r="CC16" s="634"/>
      <c r="CD16" s="635"/>
      <c r="CE16" s="690">
        <f>BU16*BZ16</f>
        <v>0</v>
      </c>
      <c r="CF16" s="691"/>
      <c r="CG16" s="691"/>
      <c r="CH16" s="691"/>
      <c r="CI16" s="692"/>
    </row>
    <row r="17" spans="1:87" ht="45" customHeight="1" x14ac:dyDescent="0.2">
      <c r="A17" s="577"/>
      <c r="B17" s="578"/>
      <c r="C17" s="578"/>
      <c r="D17" s="578"/>
      <c r="E17" s="578"/>
      <c r="F17" s="578"/>
      <c r="G17" s="578"/>
      <c r="H17" s="578"/>
      <c r="I17" s="578"/>
      <c r="J17" s="579"/>
      <c r="K17" s="625"/>
      <c r="L17" s="625"/>
      <c r="M17" s="625"/>
      <c r="N17" s="625"/>
      <c r="O17" s="625"/>
      <c r="P17" s="625"/>
      <c r="Q17" s="625"/>
      <c r="R17" s="625"/>
      <c r="S17" s="625"/>
      <c r="T17" s="625"/>
      <c r="U17" s="625"/>
      <c r="V17" s="629"/>
      <c r="W17" s="629"/>
      <c r="X17" s="629"/>
      <c r="Y17" s="629"/>
      <c r="Z17" s="629"/>
      <c r="AA17" s="629"/>
      <c r="AB17" s="629"/>
      <c r="AC17" s="629"/>
      <c r="AD17" s="629"/>
      <c r="AE17" s="629"/>
      <c r="AF17" s="629"/>
      <c r="AG17" s="629"/>
      <c r="AH17" s="629"/>
      <c r="AI17" s="629"/>
      <c r="AJ17" s="629"/>
      <c r="AK17" s="629"/>
      <c r="AL17" s="629"/>
      <c r="AM17" s="580"/>
      <c r="AN17" s="581"/>
      <c r="AO17" s="581"/>
      <c r="AP17" s="582"/>
      <c r="AQ17" s="661"/>
      <c r="AR17" s="662"/>
      <c r="AS17" s="662"/>
      <c r="AT17" s="662"/>
      <c r="AU17" s="663"/>
      <c r="AV17" s="625"/>
      <c r="AW17" s="625"/>
      <c r="AX17" s="625"/>
      <c r="AY17" s="625"/>
      <c r="AZ17" s="625"/>
      <c r="BA17" s="625"/>
      <c r="BB17" s="625"/>
      <c r="BC17" s="625"/>
      <c r="BD17" s="625"/>
      <c r="BE17" s="625"/>
      <c r="BF17" s="625"/>
      <c r="BG17" s="625"/>
      <c r="BH17" s="625"/>
      <c r="BI17" s="625"/>
      <c r="BJ17" s="625"/>
      <c r="BK17" s="673"/>
      <c r="BL17" s="674"/>
      <c r="BM17" s="674"/>
      <c r="BN17" s="674"/>
      <c r="BO17" s="675"/>
      <c r="BP17" s="687"/>
      <c r="BQ17" s="688"/>
      <c r="BR17" s="688"/>
      <c r="BS17" s="688"/>
      <c r="BT17" s="689"/>
      <c r="BU17" s="667"/>
      <c r="BV17" s="668"/>
      <c r="BW17" s="668"/>
      <c r="BX17" s="668"/>
      <c r="BY17" s="669"/>
      <c r="BZ17" s="636"/>
      <c r="CA17" s="637"/>
      <c r="CB17" s="637"/>
      <c r="CC17" s="637"/>
      <c r="CD17" s="638"/>
      <c r="CE17" s="693"/>
      <c r="CF17" s="694"/>
      <c r="CG17" s="694"/>
      <c r="CH17" s="694"/>
      <c r="CI17" s="695"/>
    </row>
    <row r="19" spans="1:87" x14ac:dyDescent="0.2">
      <c r="A19" s="624" t="s">
        <v>225</v>
      </c>
      <c r="B19" s="624" t="s">
        <v>226</v>
      </c>
      <c r="C19" s="624"/>
      <c r="D19" s="624"/>
      <c r="E19" s="624"/>
      <c r="F19" s="624"/>
      <c r="G19" s="624"/>
      <c r="H19" s="624"/>
      <c r="I19" s="624"/>
      <c r="J19" s="624"/>
      <c r="K19" s="574" t="s">
        <v>227</v>
      </c>
      <c r="L19" s="575"/>
      <c r="M19" s="575"/>
      <c r="N19" s="575"/>
      <c r="O19" s="575"/>
      <c r="P19" s="575"/>
      <c r="Q19" s="575"/>
      <c r="R19" s="575"/>
      <c r="S19" s="575"/>
      <c r="T19" s="575"/>
      <c r="U19" s="576"/>
      <c r="V19" s="574" t="s">
        <v>228</v>
      </c>
      <c r="W19" s="575"/>
      <c r="X19" s="575"/>
      <c r="Y19" s="576"/>
      <c r="Z19" s="574" t="s">
        <v>6</v>
      </c>
      <c r="AA19" s="575"/>
      <c r="AB19" s="575"/>
      <c r="AC19" s="575"/>
      <c r="AD19" s="575"/>
      <c r="AE19" s="575"/>
      <c r="AF19" s="575"/>
      <c r="AG19" s="575"/>
      <c r="AH19" s="575"/>
      <c r="AI19" s="575"/>
      <c r="AJ19" s="575"/>
      <c r="AK19" s="575"/>
      <c r="AL19" s="576"/>
      <c r="AM19" s="574" t="s">
        <v>7</v>
      </c>
      <c r="AN19" s="575"/>
      <c r="AO19" s="575"/>
      <c r="AP19" s="576"/>
      <c r="AQ19" s="574" t="s">
        <v>229</v>
      </c>
      <c r="AR19" s="575"/>
      <c r="AS19" s="575"/>
      <c r="AT19" s="575"/>
      <c r="AU19" s="576"/>
      <c r="AV19" s="574" t="s">
        <v>230</v>
      </c>
      <c r="AW19" s="575"/>
      <c r="AX19" s="575"/>
      <c r="AY19" s="575"/>
      <c r="AZ19" s="576"/>
      <c r="BA19" s="574" t="s">
        <v>231</v>
      </c>
      <c r="BB19" s="575"/>
      <c r="BC19" s="575"/>
      <c r="BD19" s="576"/>
      <c r="BE19" s="574" t="s">
        <v>232</v>
      </c>
      <c r="BF19" s="575"/>
      <c r="BG19" s="575"/>
      <c r="BH19" s="575"/>
      <c r="BI19" s="575"/>
      <c r="BJ19" s="576"/>
      <c r="BK19" s="574" t="s">
        <v>233</v>
      </c>
      <c r="BL19" s="575"/>
      <c r="BM19" s="575"/>
      <c r="BN19" s="575"/>
      <c r="BO19" s="576"/>
      <c r="BP19" s="574" t="s">
        <v>359</v>
      </c>
      <c r="BQ19" s="575"/>
      <c r="BR19" s="575"/>
      <c r="BS19" s="575"/>
      <c r="BT19" s="576"/>
      <c r="BU19" s="574" t="s">
        <v>8</v>
      </c>
      <c r="BV19" s="575"/>
      <c r="BW19" s="575"/>
      <c r="BX19" s="575"/>
      <c r="BY19" s="576"/>
      <c r="BZ19" s="574" t="s">
        <v>352</v>
      </c>
      <c r="CA19" s="575"/>
      <c r="CB19" s="575"/>
      <c r="CC19" s="575"/>
      <c r="CD19" s="576"/>
      <c r="CE19" s="574" t="s">
        <v>9</v>
      </c>
      <c r="CF19" s="575"/>
      <c r="CG19" s="575"/>
      <c r="CH19" s="575"/>
      <c r="CI19" s="576"/>
    </row>
    <row r="20" spans="1:87" x14ac:dyDescent="0.2">
      <c r="A20" s="624"/>
      <c r="B20" s="624"/>
      <c r="C20" s="624"/>
      <c r="D20" s="624"/>
      <c r="E20" s="624"/>
      <c r="F20" s="624"/>
      <c r="G20" s="624"/>
      <c r="H20" s="624"/>
      <c r="I20" s="624"/>
      <c r="J20" s="624"/>
      <c r="K20" s="577"/>
      <c r="L20" s="578"/>
      <c r="M20" s="578"/>
      <c r="N20" s="578"/>
      <c r="O20" s="578"/>
      <c r="P20" s="578"/>
      <c r="Q20" s="578"/>
      <c r="R20" s="578"/>
      <c r="S20" s="578"/>
      <c r="T20" s="578"/>
      <c r="U20" s="579"/>
      <c r="V20" s="577"/>
      <c r="W20" s="578"/>
      <c r="X20" s="578"/>
      <c r="Y20" s="579"/>
      <c r="Z20" s="577"/>
      <c r="AA20" s="578"/>
      <c r="AB20" s="578"/>
      <c r="AC20" s="578"/>
      <c r="AD20" s="578"/>
      <c r="AE20" s="578"/>
      <c r="AF20" s="578"/>
      <c r="AG20" s="578"/>
      <c r="AH20" s="578"/>
      <c r="AI20" s="578"/>
      <c r="AJ20" s="578"/>
      <c r="AK20" s="578"/>
      <c r="AL20" s="579"/>
      <c r="AM20" s="577"/>
      <c r="AN20" s="578"/>
      <c r="AO20" s="578"/>
      <c r="AP20" s="579"/>
      <c r="AQ20" s="577"/>
      <c r="AR20" s="578"/>
      <c r="AS20" s="578"/>
      <c r="AT20" s="578"/>
      <c r="AU20" s="579"/>
      <c r="AV20" s="577"/>
      <c r="AW20" s="578"/>
      <c r="AX20" s="578"/>
      <c r="AY20" s="578"/>
      <c r="AZ20" s="579"/>
      <c r="BA20" s="577"/>
      <c r="BB20" s="578"/>
      <c r="BC20" s="578"/>
      <c r="BD20" s="579"/>
      <c r="BE20" s="577"/>
      <c r="BF20" s="578"/>
      <c r="BG20" s="578"/>
      <c r="BH20" s="578"/>
      <c r="BI20" s="578"/>
      <c r="BJ20" s="579"/>
      <c r="BK20" s="577"/>
      <c r="BL20" s="578"/>
      <c r="BM20" s="578"/>
      <c r="BN20" s="578"/>
      <c r="BO20" s="579"/>
      <c r="BP20" s="577"/>
      <c r="BQ20" s="578"/>
      <c r="BR20" s="578"/>
      <c r="BS20" s="578"/>
      <c r="BT20" s="579"/>
      <c r="BU20" s="577"/>
      <c r="BV20" s="578"/>
      <c r="BW20" s="578"/>
      <c r="BX20" s="578"/>
      <c r="BY20" s="579"/>
      <c r="BZ20" s="577"/>
      <c r="CA20" s="578"/>
      <c r="CB20" s="578"/>
      <c r="CC20" s="578"/>
      <c r="CD20" s="579"/>
      <c r="CE20" s="577"/>
      <c r="CF20" s="578"/>
      <c r="CG20" s="578"/>
      <c r="CH20" s="578"/>
      <c r="CI20" s="579"/>
    </row>
    <row r="21" spans="1:87" ht="99" customHeight="1" x14ac:dyDescent="0.2">
      <c r="A21" s="539">
        <v>1</v>
      </c>
      <c r="B21" s="625" t="s">
        <v>763</v>
      </c>
      <c r="C21" s="625"/>
      <c r="D21" s="625"/>
      <c r="E21" s="625"/>
      <c r="F21" s="625"/>
      <c r="G21" s="625"/>
      <c r="H21" s="625"/>
      <c r="I21" s="625"/>
      <c r="J21" s="625"/>
      <c r="K21" s="625" t="s">
        <v>764</v>
      </c>
      <c r="L21" s="625"/>
      <c r="M21" s="625"/>
      <c r="N21" s="625"/>
      <c r="O21" s="625"/>
      <c r="P21" s="625"/>
      <c r="Q21" s="625"/>
      <c r="R21" s="625"/>
      <c r="S21" s="625"/>
      <c r="T21" s="625"/>
      <c r="U21" s="625"/>
      <c r="V21" s="625" t="s">
        <v>786</v>
      </c>
      <c r="W21" s="625"/>
      <c r="X21" s="625"/>
      <c r="Y21" s="625"/>
      <c r="Z21" s="632" t="s">
        <v>791</v>
      </c>
      <c r="AA21" s="632"/>
      <c r="AB21" s="632"/>
      <c r="AC21" s="632"/>
      <c r="AD21" s="632"/>
      <c r="AE21" s="632"/>
      <c r="AF21" s="632"/>
      <c r="AG21" s="632"/>
      <c r="AH21" s="632"/>
      <c r="AI21" s="632"/>
      <c r="AJ21" s="632"/>
      <c r="AK21" s="632"/>
      <c r="AL21" s="632"/>
      <c r="AM21" s="628"/>
      <c r="AN21" s="628"/>
      <c r="AO21" s="628"/>
      <c r="AP21" s="628"/>
      <c r="AQ21" s="625"/>
      <c r="AR21" s="625"/>
      <c r="AS21" s="625"/>
      <c r="AT21" s="625"/>
      <c r="AU21" s="625"/>
      <c r="AV21" s="625"/>
      <c r="AW21" s="625"/>
      <c r="AX21" s="625"/>
      <c r="AY21" s="625"/>
      <c r="AZ21" s="625"/>
      <c r="BA21" s="598"/>
      <c r="BB21" s="598"/>
      <c r="BC21" s="598"/>
      <c r="BD21" s="598"/>
      <c r="BE21" s="625"/>
      <c r="BF21" s="625"/>
      <c r="BG21" s="625"/>
      <c r="BH21" s="625"/>
      <c r="BI21" s="625"/>
      <c r="BJ21" s="625"/>
      <c r="BK21" s="625"/>
      <c r="BL21" s="625"/>
      <c r="BM21" s="625"/>
      <c r="BN21" s="625"/>
      <c r="BO21" s="625"/>
      <c r="BP21" s="627"/>
      <c r="BQ21" s="627"/>
      <c r="BR21" s="627"/>
      <c r="BS21" s="627"/>
      <c r="BT21" s="627"/>
      <c r="BU21" s="631"/>
      <c r="BV21" s="631"/>
      <c r="BW21" s="631"/>
      <c r="BX21" s="631"/>
      <c r="BY21" s="631"/>
      <c r="BZ21" s="600"/>
      <c r="CA21" s="600"/>
      <c r="CB21" s="600"/>
      <c r="CC21" s="600"/>
      <c r="CD21" s="600"/>
      <c r="CE21" s="625"/>
      <c r="CF21" s="625"/>
      <c r="CG21" s="625"/>
      <c r="CH21" s="625"/>
      <c r="CI21" s="625"/>
    </row>
    <row r="22" spans="1:87" ht="60.75" hidden="1" customHeight="1" x14ac:dyDescent="0.2">
      <c r="A22" s="539">
        <v>2</v>
      </c>
      <c r="B22" s="625" t="s">
        <v>765</v>
      </c>
      <c r="C22" s="625"/>
      <c r="D22" s="625"/>
      <c r="E22" s="625"/>
      <c r="F22" s="625"/>
      <c r="G22" s="625"/>
      <c r="H22" s="625"/>
      <c r="I22" s="625"/>
      <c r="J22" s="625"/>
      <c r="K22" s="629" t="s">
        <v>766</v>
      </c>
      <c r="L22" s="629"/>
      <c r="M22" s="629"/>
      <c r="N22" s="629"/>
      <c r="O22" s="629"/>
      <c r="P22" s="629"/>
      <c r="Q22" s="629"/>
      <c r="R22" s="629"/>
      <c r="S22" s="629"/>
      <c r="T22" s="629"/>
      <c r="U22" s="629"/>
      <c r="V22" s="625" t="s">
        <v>786</v>
      </c>
      <c r="W22" s="625"/>
      <c r="X22" s="625"/>
      <c r="Y22" s="625"/>
      <c r="Z22" s="703" t="s">
        <v>792</v>
      </c>
      <c r="AA22" s="704"/>
      <c r="AB22" s="704"/>
      <c r="AC22" s="704"/>
      <c r="AD22" s="704"/>
      <c r="AE22" s="704"/>
      <c r="AF22" s="704"/>
      <c r="AG22" s="704"/>
      <c r="AH22" s="704"/>
      <c r="AI22" s="704"/>
      <c r="AJ22" s="704"/>
      <c r="AK22" s="704"/>
      <c r="AL22" s="705"/>
      <c r="AM22" s="628" t="s">
        <v>798</v>
      </c>
      <c r="AN22" s="628"/>
      <c r="AO22" s="628"/>
      <c r="AP22" s="628"/>
      <c r="AQ22" s="625" t="s">
        <v>803</v>
      </c>
      <c r="AR22" s="625"/>
      <c r="AS22" s="625"/>
      <c r="AT22" s="625"/>
      <c r="AU22" s="625"/>
      <c r="AV22" s="625" t="s">
        <v>799</v>
      </c>
      <c r="AW22" s="625"/>
      <c r="AX22" s="625"/>
      <c r="AY22" s="625"/>
      <c r="AZ22" s="625"/>
      <c r="BA22" s="598" t="s">
        <v>800</v>
      </c>
      <c r="BB22" s="598"/>
      <c r="BC22" s="598"/>
      <c r="BD22" s="598"/>
      <c r="BE22" s="625" t="s">
        <v>801</v>
      </c>
      <c r="BF22" s="625"/>
      <c r="BG22" s="625"/>
      <c r="BH22" s="625"/>
      <c r="BI22" s="625"/>
      <c r="BJ22" s="625"/>
      <c r="BK22" s="625" t="s">
        <v>138</v>
      </c>
      <c r="BL22" s="625"/>
      <c r="BM22" s="625"/>
      <c r="BN22" s="625"/>
      <c r="BO22" s="625"/>
      <c r="BP22" s="627" t="s">
        <v>802</v>
      </c>
      <c r="BQ22" s="627"/>
      <c r="BR22" s="627"/>
      <c r="BS22" s="627"/>
      <c r="BT22" s="627"/>
      <c r="BU22" s="628" t="s">
        <v>714</v>
      </c>
      <c r="BV22" s="628"/>
      <c r="BW22" s="628"/>
      <c r="BX22" s="628"/>
      <c r="BY22" s="628"/>
      <c r="BZ22" s="600"/>
      <c r="CA22" s="600"/>
      <c r="CB22" s="600"/>
      <c r="CC22" s="600"/>
      <c r="CD22" s="600"/>
      <c r="CE22" s="625"/>
      <c r="CF22" s="625"/>
      <c r="CG22" s="625"/>
      <c r="CH22" s="625"/>
      <c r="CI22" s="625"/>
    </row>
    <row r="23" spans="1:87" ht="57.75" customHeight="1" x14ac:dyDescent="0.2">
      <c r="A23" s="539">
        <v>3</v>
      </c>
      <c r="B23" s="625" t="s">
        <v>765</v>
      </c>
      <c r="C23" s="625"/>
      <c r="D23" s="625"/>
      <c r="E23" s="625"/>
      <c r="F23" s="625"/>
      <c r="G23" s="625"/>
      <c r="H23" s="625"/>
      <c r="I23" s="625"/>
      <c r="J23" s="625"/>
      <c r="K23" s="625" t="s">
        <v>767</v>
      </c>
      <c r="L23" s="625"/>
      <c r="M23" s="625"/>
      <c r="N23" s="625"/>
      <c r="O23" s="625"/>
      <c r="P23" s="625"/>
      <c r="Q23" s="625"/>
      <c r="R23" s="625"/>
      <c r="S23" s="625"/>
      <c r="T23" s="625"/>
      <c r="U23" s="625"/>
      <c r="V23" s="625" t="s">
        <v>786</v>
      </c>
      <c r="W23" s="625"/>
      <c r="X23" s="625"/>
      <c r="Y23" s="625"/>
      <c r="Z23" s="625" t="s">
        <v>793</v>
      </c>
      <c r="AA23" s="625"/>
      <c r="AB23" s="625"/>
      <c r="AC23" s="625"/>
      <c r="AD23" s="625"/>
      <c r="AE23" s="625"/>
      <c r="AF23" s="625"/>
      <c r="AG23" s="625"/>
      <c r="AH23" s="625"/>
      <c r="AI23" s="625"/>
      <c r="AJ23" s="625"/>
      <c r="AK23" s="625"/>
      <c r="AL23" s="625"/>
      <c r="AM23" s="628" t="s">
        <v>797</v>
      </c>
      <c r="AN23" s="628"/>
      <c r="AO23" s="628"/>
      <c r="AP23" s="628"/>
      <c r="AQ23" s="625" t="s">
        <v>803</v>
      </c>
      <c r="AR23" s="625"/>
      <c r="AS23" s="625"/>
      <c r="AT23" s="625"/>
      <c r="AU23" s="625"/>
      <c r="AV23" s="625" t="s">
        <v>807</v>
      </c>
      <c r="AW23" s="625"/>
      <c r="AX23" s="625"/>
      <c r="AY23" s="625"/>
      <c r="AZ23" s="625"/>
      <c r="BA23" s="598" t="s">
        <v>805</v>
      </c>
      <c r="BB23" s="598"/>
      <c r="BC23" s="598"/>
      <c r="BD23" s="598"/>
      <c r="BE23" s="625" t="s">
        <v>801</v>
      </c>
      <c r="BF23" s="625"/>
      <c r="BG23" s="625"/>
      <c r="BH23" s="625"/>
      <c r="BI23" s="625"/>
      <c r="BJ23" s="625"/>
      <c r="BK23" s="625" t="s">
        <v>138</v>
      </c>
      <c r="BL23" s="625"/>
      <c r="BM23" s="625"/>
      <c r="BN23" s="625"/>
      <c r="BO23" s="625"/>
      <c r="BP23" s="627">
        <v>43489</v>
      </c>
      <c r="BQ23" s="627"/>
      <c r="BR23" s="627"/>
      <c r="BS23" s="627"/>
      <c r="BT23" s="627"/>
      <c r="BU23" s="631" t="s">
        <v>806</v>
      </c>
      <c r="BV23" s="631"/>
      <c r="BW23" s="631"/>
      <c r="BX23" s="631"/>
      <c r="BY23" s="631"/>
      <c r="BZ23" s="600"/>
      <c r="CA23" s="600"/>
      <c r="CB23" s="600"/>
      <c r="CC23" s="600"/>
      <c r="CD23" s="600"/>
      <c r="CE23" s="625"/>
      <c r="CF23" s="625"/>
      <c r="CG23" s="625"/>
      <c r="CH23" s="625"/>
      <c r="CI23" s="625"/>
    </row>
    <row r="24" spans="1:87" ht="84.75" customHeight="1" x14ac:dyDescent="0.2">
      <c r="A24" s="541">
        <v>4</v>
      </c>
      <c r="B24" s="625" t="s">
        <v>768</v>
      </c>
      <c r="C24" s="625"/>
      <c r="D24" s="625"/>
      <c r="E24" s="625"/>
      <c r="F24" s="625"/>
      <c r="G24" s="625"/>
      <c r="H24" s="625"/>
      <c r="I24" s="625"/>
      <c r="J24" s="625"/>
      <c r="K24" s="625" t="s">
        <v>769</v>
      </c>
      <c r="L24" s="625"/>
      <c r="M24" s="625"/>
      <c r="N24" s="625"/>
      <c r="O24" s="625"/>
      <c r="P24" s="625"/>
      <c r="Q24" s="625"/>
      <c r="R24" s="625"/>
      <c r="S24" s="625"/>
      <c r="T24" s="625"/>
      <c r="U24" s="625"/>
      <c r="V24" s="625" t="s">
        <v>786</v>
      </c>
      <c r="W24" s="625"/>
      <c r="X24" s="625"/>
      <c r="Y24" s="625"/>
      <c r="Z24" s="632" t="s">
        <v>790</v>
      </c>
      <c r="AA24" s="632"/>
      <c r="AB24" s="632"/>
      <c r="AC24" s="632"/>
      <c r="AD24" s="632"/>
      <c r="AE24" s="632"/>
      <c r="AF24" s="632"/>
      <c r="AG24" s="632"/>
      <c r="AH24" s="632"/>
      <c r="AI24" s="632"/>
      <c r="AJ24" s="632"/>
      <c r="AK24" s="632"/>
      <c r="AL24" s="632"/>
      <c r="AM24" s="628"/>
      <c r="AN24" s="628"/>
      <c r="AO24" s="628"/>
      <c r="AP24" s="628"/>
      <c r="AQ24" s="625"/>
      <c r="AR24" s="625"/>
      <c r="AS24" s="625"/>
      <c r="AT24" s="625"/>
      <c r="AU24" s="625"/>
      <c r="AV24" s="625"/>
      <c r="AW24" s="625"/>
      <c r="AX24" s="625"/>
      <c r="AY24" s="625"/>
      <c r="AZ24" s="625"/>
      <c r="BA24" s="598"/>
      <c r="BB24" s="598"/>
      <c r="BC24" s="598"/>
      <c r="BD24" s="598"/>
      <c r="BE24" s="625"/>
      <c r="BF24" s="625"/>
      <c r="BG24" s="625"/>
      <c r="BH24" s="625"/>
      <c r="BI24" s="625"/>
      <c r="BJ24" s="625"/>
      <c r="BK24" s="625"/>
      <c r="BL24" s="625"/>
      <c r="BM24" s="625"/>
      <c r="BN24" s="625"/>
      <c r="BO24" s="625"/>
      <c r="BP24" s="627"/>
      <c r="BQ24" s="627"/>
      <c r="BR24" s="627"/>
      <c r="BS24" s="627"/>
      <c r="BT24" s="627"/>
      <c r="BU24" s="631"/>
      <c r="BV24" s="631"/>
      <c r="BW24" s="631"/>
      <c r="BX24" s="631"/>
      <c r="BY24" s="631"/>
      <c r="BZ24" s="600"/>
      <c r="CA24" s="600"/>
      <c r="CB24" s="600"/>
      <c r="CC24" s="600"/>
      <c r="CD24" s="600"/>
      <c r="CE24" s="625"/>
      <c r="CF24" s="625"/>
      <c r="CG24" s="625"/>
      <c r="CH24" s="625"/>
      <c r="CI24" s="625"/>
    </row>
    <row r="25" spans="1:87" ht="69.75" customHeight="1" x14ac:dyDescent="0.2">
      <c r="A25" s="542">
        <v>4</v>
      </c>
      <c r="B25" s="625" t="s">
        <v>770</v>
      </c>
      <c r="C25" s="625"/>
      <c r="D25" s="625"/>
      <c r="E25" s="625"/>
      <c r="F25" s="625"/>
      <c r="G25" s="625"/>
      <c r="H25" s="625"/>
      <c r="I25" s="625"/>
      <c r="J25" s="625"/>
      <c r="K25" s="625" t="s">
        <v>771</v>
      </c>
      <c r="L25" s="625"/>
      <c r="M25" s="625"/>
      <c r="N25" s="625"/>
      <c r="O25" s="625"/>
      <c r="P25" s="625"/>
      <c r="Q25" s="625"/>
      <c r="R25" s="625"/>
      <c r="S25" s="625"/>
      <c r="T25" s="625"/>
      <c r="U25" s="625"/>
      <c r="V25" s="625" t="s">
        <v>786</v>
      </c>
      <c r="W25" s="625"/>
      <c r="X25" s="625"/>
      <c r="Y25" s="625"/>
      <c r="Z25" s="625" t="s">
        <v>794</v>
      </c>
      <c r="AA25" s="625"/>
      <c r="AB25" s="625"/>
      <c r="AC25" s="625"/>
      <c r="AD25" s="625"/>
      <c r="AE25" s="625"/>
      <c r="AF25" s="625"/>
      <c r="AG25" s="625"/>
      <c r="AH25" s="625"/>
      <c r="AI25" s="625"/>
      <c r="AJ25" s="625"/>
      <c r="AK25" s="625"/>
      <c r="AL25" s="625"/>
      <c r="AM25" s="628" t="s">
        <v>797</v>
      </c>
      <c r="AN25" s="628"/>
      <c r="AO25" s="628"/>
      <c r="AP25" s="628"/>
      <c r="AQ25" s="625" t="s">
        <v>803</v>
      </c>
      <c r="AR25" s="625"/>
      <c r="AS25" s="625"/>
      <c r="AT25" s="625"/>
      <c r="AU25" s="625"/>
      <c r="AV25" s="625" t="s">
        <v>804</v>
      </c>
      <c r="AW25" s="625"/>
      <c r="AX25" s="625"/>
      <c r="AY25" s="625"/>
      <c r="AZ25" s="625"/>
      <c r="BA25" s="598" t="s">
        <v>805</v>
      </c>
      <c r="BB25" s="598"/>
      <c r="BC25" s="598"/>
      <c r="BD25" s="598"/>
      <c r="BE25" s="625" t="s">
        <v>801</v>
      </c>
      <c r="BF25" s="625"/>
      <c r="BG25" s="625"/>
      <c r="BH25" s="625"/>
      <c r="BI25" s="625"/>
      <c r="BJ25" s="625"/>
      <c r="BK25" s="625" t="s">
        <v>138</v>
      </c>
      <c r="BL25" s="625"/>
      <c r="BM25" s="625"/>
      <c r="BN25" s="625"/>
      <c r="BO25" s="625"/>
      <c r="BP25" s="627">
        <v>43489</v>
      </c>
      <c r="BQ25" s="627"/>
      <c r="BR25" s="627"/>
      <c r="BS25" s="627"/>
      <c r="BT25" s="627"/>
      <c r="BU25" s="631" t="s">
        <v>806</v>
      </c>
      <c r="BV25" s="631"/>
      <c r="BW25" s="631"/>
      <c r="BX25" s="631"/>
      <c r="BY25" s="631"/>
      <c r="BZ25" s="600"/>
      <c r="CA25" s="600"/>
      <c r="CB25" s="600"/>
      <c r="CC25" s="600"/>
      <c r="CD25" s="600"/>
      <c r="CE25" s="625"/>
      <c r="CF25" s="625"/>
      <c r="CG25" s="625"/>
      <c r="CH25" s="625"/>
      <c r="CI25" s="625"/>
    </row>
    <row r="26" spans="1:87" ht="55.5" customHeight="1" x14ac:dyDescent="0.2">
      <c r="A26" s="541">
        <f t="shared" ref="A26:A31" si="0">A25+1</f>
        <v>5</v>
      </c>
      <c r="B26" s="625" t="s">
        <v>772</v>
      </c>
      <c r="C26" s="625"/>
      <c r="D26" s="625"/>
      <c r="E26" s="625"/>
      <c r="F26" s="625"/>
      <c r="G26" s="625"/>
      <c r="H26" s="625"/>
      <c r="I26" s="625"/>
      <c r="J26" s="625"/>
      <c r="K26" s="625" t="s">
        <v>773</v>
      </c>
      <c r="L26" s="625"/>
      <c r="M26" s="625"/>
      <c r="N26" s="625"/>
      <c r="O26" s="625"/>
      <c r="P26" s="625"/>
      <c r="Q26" s="625"/>
      <c r="R26" s="625"/>
      <c r="S26" s="625"/>
      <c r="T26" s="625"/>
      <c r="U26" s="625"/>
      <c r="V26" s="625" t="s">
        <v>786</v>
      </c>
      <c r="W26" s="625"/>
      <c r="X26" s="625"/>
      <c r="Y26" s="625"/>
      <c r="Z26" s="631" t="s">
        <v>816</v>
      </c>
      <c r="AA26" s="631"/>
      <c r="AB26" s="631"/>
      <c r="AC26" s="631"/>
      <c r="AD26" s="631"/>
      <c r="AE26" s="631"/>
      <c r="AF26" s="631"/>
      <c r="AG26" s="631"/>
      <c r="AH26" s="631"/>
      <c r="AI26" s="631"/>
      <c r="AJ26" s="631"/>
      <c r="AK26" s="631"/>
      <c r="AL26" s="631"/>
      <c r="AM26" s="628" t="s">
        <v>797</v>
      </c>
      <c r="AN26" s="628"/>
      <c r="AO26" s="628"/>
      <c r="AP26" s="628"/>
      <c r="AQ26" s="625" t="s">
        <v>803</v>
      </c>
      <c r="AR26" s="625"/>
      <c r="AS26" s="625"/>
      <c r="AT26" s="625"/>
      <c r="AU26" s="625"/>
      <c r="AV26" s="625" t="s">
        <v>804</v>
      </c>
      <c r="AW26" s="625"/>
      <c r="AX26" s="625"/>
      <c r="AY26" s="625"/>
      <c r="AZ26" s="625"/>
      <c r="BA26" s="598" t="s">
        <v>805</v>
      </c>
      <c r="BB26" s="598"/>
      <c r="BC26" s="598"/>
      <c r="BD26" s="598"/>
      <c r="BE26" s="625" t="s">
        <v>808</v>
      </c>
      <c r="BF26" s="625"/>
      <c r="BG26" s="625"/>
      <c r="BH26" s="625"/>
      <c r="BI26" s="625"/>
      <c r="BJ26" s="625"/>
      <c r="BK26" s="625" t="s">
        <v>138</v>
      </c>
      <c r="BL26" s="625"/>
      <c r="BM26" s="625"/>
      <c r="BN26" s="625"/>
      <c r="BO26" s="625"/>
      <c r="BP26" s="627">
        <v>43489</v>
      </c>
      <c r="BQ26" s="627"/>
      <c r="BR26" s="627"/>
      <c r="BS26" s="627"/>
      <c r="BT26" s="627"/>
      <c r="BU26" s="631" t="s">
        <v>806</v>
      </c>
      <c r="BV26" s="631"/>
      <c r="BW26" s="631"/>
      <c r="BX26" s="631"/>
      <c r="BY26" s="631"/>
      <c r="BZ26" s="600"/>
      <c r="CA26" s="600"/>
      <c r="CB26" s="600"/>
      <c r="CC26" s="600"/>
      <c r="CD26" s="600"/>
      <c r="CE26" s="625"/>
      <c r="CF26" s="625"/>
      <c r="CG26" s="625"/>
      <c r="CH26" s="625"/>
      <c r="CI26" s="625"/>
    </row>
    <row r="27" spans="1:87" ht="45" customHeight="1" x14ac:dyDescent="0.2">
      <c r="A27" s="541">
        <f t="shared" si="0"/>
        <v>6</v>
      </c>
      <c r="B27" s="625" t="s">
        <v>774</v>
      </c>
      <c r="C27" s="625"/>
      <c r="D27" s="625"/>
      <c r="E27" s="625"/>
      <c r="F27" s="625"/>
      <c r="G27" s="625"/>
      <c r="H27" s="625"/>
      <c r="I27" s="625"/>
      <c r="J27" s="625"/>
      <c r="K27" s="625" t="s">
        <v>775</v>
      </c>
      <c r="L27" s="625"/>
      <c r="M27" s="625"/>
      <c r="N27" s="625"/>
      <c r="O27" s="625"/>
      <c r="P27" s="625"/>
      <c r="Q27" s="625"/>
      <c r="R27" s="625"/>
      <c r="S27" s="625"/>
      <c r="T27" s="625"/>
      <c r="U27" s="625"/>
      <c r="V27" s="625" t="s">
        <v>786</v>
      </c>
      <c r="W27" s="625"/>
      <c r="X27" s="625"/>
      <c r="Y27" s="625"/>
      <c r="Z27" s="629" t="s">
        <v>817</v>
      </c>
      <c r="AA27" s="630"/>
      <c r="AB27" s="630"/>
      <c r="AC27" s="630"/>
      <c r="AD27" s="630"/>
      <c r="AE27" s="630"/>
      <c r="AF27" s="630"/>
      <c r="AG27" s="630"/>
      <c r="AH27" s="630"/>
      <c r="AI27" s="630"/>
      <c r="AJ27" s="630"/>
      <c r="AK27" s="630"/>
      <c r="AL27" s="630"/>
      <c r="AM27" s="628" t="s">
        <v>797</v>
      </c>
      <c r="AN27" s="628"/>
      <c r="AO27" s="628"/>
      <c r="AP27" s="628"/>
      <c r="AQ27" s="625" t="s">
        <v>809</v>
      </c>
      <c r="AR27" s="625"/>
      <c r="AS27" s="625"/>
      <c r="AT27" s="625"/>
      <c r="AU27" s="625"/>
      <c r="AV27" s="625" t="s">
        <v>804</v>
      </c>
      <c r="AW27" s="625"/>
      <c r="AX27" s="625"/>
      <c r="AY27" s="625"/>
      <c r="AZ27" s="625"/>
      <c r="BA27" s="598" t="s">
        <v>800</v>
      </c>
      <c r="BB27" s="598"/>
      <c r="BC27" s="598"/>
      <c r="BD27" s="598"/>
      <c r="BE27" s="625" t="s">
        <v>801</v>
      </c>
      <c r="BF27" s="625"/>
      <c r="BG27" s="625"/>
      <c r="BH27" s="625"/>
      <c r="BI27" s="625"/>
      <c r="BJ27" s="625"/>
      <c r="BK27" s="625" t="s">
        <v>138</v>
      </c>
      <c r="BL27" s="625"/>
      <c r="BM27" s="625"/>
      <c r="BN27" s="625"/>
      <c r="BO27" s="625"/>
      <c r="BP27" s="627">
        <v>43490</v>
      </c>
      <c r="BQ27" s="627"/>
      <c r="BR27" s="627"/>
      <c r="BS27" s="627"/>
      <c r="BT27" s="627"/>
      <c r="BU27" s="631" t="s">
        <v>806</v>
      </c>
      <c r="BV27" s="631"/>
      <c r="BW27" s="631"/>
      <c r="BX27" s="631"/>
      <c r="BY27" s="631"/>
      <c r="BZ27" s="600"/>
      <c r="CA27" s="600"/>
      <c r="CB27" s="600"/>
      <c r="CC27" s="600"/>
      <c r="CD27" s="600"/>
      <c r="CE27" s="625"/>
      <c r="CF27" s="625"/>
      <c r="CG27" s="625"/>
      <c r="CH27" s="625"/>
      <c r="CI27" s="625"/>
    </row>
    <row r="28" spans="1:87" ht="154.5" customHeight="1" x14ac:dyDescent="0.2">
      <c r="A28" s="541">
        <f t="shared" si="0"/>
        <v>7</v>
      </c>
      <c r="B28" s="625" t="s">
        <v>776</v>
      </c>
      <c r="C28" s="625"/>
      <c r="D28" s="625"/>
      <c r="E28" s="625"/>
      <c r="F28" s="625"/>
      <c r="G28" s="625"/>
      <c r="H28" s="625"/>
      <c r="I28" s="625"/>
      <c r="J28" s="625"/>
      <c r="K28" s="625" t="s">
        <v>777</v>
      </c>
      <c r="L28" s="625"/>
      <c r="M28" s="625"/>
      <c r="N28" s="625"/>
      <c r="O28" s="625"/>
      <c r="P28" s="625"/>
      <c r="Q28" s="625"/>
      <c r="R28" s="625"/>
      <c r="S28" s="625"/>
      <c r="T28" s="625"/>
      <c r="U28" s="625"/>
      <c r="V28" s="625" t="s">
        <v>786</v>
      </c>
      <c r="W28" s="625"/>
      <c r="X28" s="625"/>
      <c r="Y28" s="625"/>
      <c r="Z28" s="629" t="s">
        <v>818</v>
      </c>
      <c r="AA28" s="630"/>
      <c r="AB28" s="630"/>
      <c r="AC28" s="630"/>
      <c r="AD28" s="630"/>
      <c r="AE28" s="630"/>
      <c r="AF28" s="630"/>
      <c r="AG28" s="630"/>
      <c r="AH28" s="630"/>
      <c r="AI28" s="630"/>
      <c r="AJ28" s="630"/>
      <c r="AK28" s="630"/>
      <c r="AL28" s="630"/>
      <c r="AM28" s="628" t="s">
        <v>797</v>
      </c>
      <c r="AN28" s="628"/>
      <c r="AO28" s="628"/>
      <c r="AP28" s="628"/>
      <c r="AQ28" s="625" t="s">
        <v>803</v>
      </c>
      <c r="AR28" s="625"/>
      <c r="AS28" s="625"/>
      <c r="AT28" s="625"/>
      <c r="AU28" s="625"/>
      <c r="AV28" s="625" t="s">
        <v>807</v>
      </c>
      <c r="AW28" s="625"/>
      <c r="AX28" s="625"/>
      <c r="AY28" s="625"/>
      <c r="AZ28" s="625"/>
      <c r="BA28" s="598" t="s">
        <v>805</v>
      </c>
      <c r="BB28" s="598"/>
      <c r="BC28" s="598"/>
      <c r="BD28" s="598"/>
      <c r="BE28" s="625" t="s">
        <v>815</v>
      </c>
      <c r="BF28" s="625"/>
      <c r="BG28" s="625"/>
      <c r="BH28" s="625"/>
      <c r="BI28" s="625"/>
      <c r="BJ28" s="625"/>
      <c r="BK28" s="625" t="s">
        <v>138</v>
      </c>
      <c r="BL28" s="625"/>
      <c r="BM28" s="625"/>
      <c r="BN28" s="625"/>
      <c r="BO28" s="625"/>
      <c r="BP28" s="627">
        <v>43490</v>
      </c>
      <c r="BQ28" s="627"/>
      <c r="BR28" s="627"/>
      <c r="BS28" s="627"/>
      <c r="BT28" s="627"/>
      <c r="BU28" s="631" t="s">
        <v>806</v>
      </c>
      <c r="BV28" s="631"/>
      <c r="BW28" s="631"/>
      <c r="BX28" s="631"/>
      <c r="BY28" s="631"/>
      <c r="BZ28" s="600"/>
      <c r="CA28" s="600"/>
      <c r="CB28" s="600"/>
      <c r="CC28" s="600"/>
      <c r="CD28" s="600"/>
      <c r="CE28" s="625"/>
      <c r="CF28" s="625"/>
      <c r="CG28" s="625"/>
      <c r="CH28" s="625"/>
      <c r="CI28" s="625"/>
    </row>
    <row r="29" spans="1:87" ht="45" hidden="1" customHeight="1" x14ac:dyDescent="0.2">
      <c r="A29" s="541">
        <f t="shared" si="0"/>
        <v>8</v>
      </c>
      <c r="B29" s="625" t="s">
        <v>787</v>
      </c>
      <c r="C29" s="625"/>
      <c r="D29" s="625"/>
      <c r="E29" s="625"/>
      <c r="F29" s="625"/>
      <c r="G29" s="625"/>
      <c r="H29" s="625"/>
      <c r="I29" s="625"/>
      <c r="J29" s="625"/>
      <c r="K29" s="625" t="s">
        <v>788</v>
      </c>
      <c r="L29" s="625"/>
      <c r="M29" s="625"/>
      <c r="N29" s="625"/>
      <c r="O29" s="625"/>
      <c r="P29" s="625"/>
      <c r="Q29" s="625"/>
      <c r="R29" s="625"/>
      <c r="S29" s="625"/>
      <c r="T29" s="625"/>
      <c r="U29" s="625"/>
      <c r="V29" s="625" t="s">
        <v>786</v>
      </c>
      <c r="W29" s="625"/>
      <c r="X29" s="625"/>
      <c r="Y29" s="625"/>
      <c r="Z29" s="630" t="s">
        <v>810</v>
      </c>
      <c r="AA29" s="630"/>
      <c r="AB29" s="630"/>
      <c r="AC29" s="630"/>
      <c r="AD29" s="630"/>
      <c r="AE29" s="630"/>
      <c r="AF29" s="630"/>
      <c r="AG29" s="630"/>
      <c r="AH29" s="630"/>
      <c r="AI29" s="630"/>
      <c r="AJ29" s="630"/>
      <c r="AK29" s="630"/>
      <c r="AL29" s="630"/>
      <c r="AM29" s="628" t="s">
        <v>798</v>
      </c>
      <c r="AN29" s="628"/>
      <c r="AO29" s="628"/>
      <c r="AP29" s="628"/>
      <c r="AQ29" s="625" t="s">
        <v>803</v>
      </c>
      <c r="AR29" s="625"/>
      <c r="AS29" s="625"/>
      <c r="AT29" s="625"/>
      <c r="AU29" s="625"/>
      <c r="AV29" s="625" t="s">
        <v>799</v>
      </c>
      <c r="AW29" s="625"/>
      <c r="AX29" s="625"/>
      <c r="AY29" s="625"/>
      <c r="AZ29" s="625"/>
      <c r="BA29" s="598" t="s">
        <v>805</v>
      </c>
      <c r="BB29" s="598"/>
      <c r="BC29" s="598"/>
      <c r="BD29" s="598"/>
      <c r="BE29" s="625" t="s">
        <v>811</v>
      </c>
      <c r="BF29" s="625"/>
      <c r="BG29" s="625"/>
      <c r="BH29" s="625"/>
      <c r="BI29" s="625"/>
      <c r="BJ29" s="625"/>
      <c r="BK29" s="625" t="s">
        <v>138</v>
      </c>
      <c r="BL29" s="625"/>
      <c r="BM29" s="625"/>
      <c r="BN29" s="625"/>
      <c r="BO29" s="625"/>
      <c r="BP29" s="627" t="s">
        <v>812</v>
      </c>
      <c r="BQ29" s="627"/>
      <c r="BR29" s="627"/>
      <c r="BS29" s="627"/>
      <c r="BT29" s="627"/>
      <c r="BU29" s="628" t="s">
        <v>813</v>
      </c>
      <c r="BV29" s="628"/>
      <c r="BW29" s="628"/>
      <c r="BX29" s="628"/>
      <c r="BY29" s="628"/>
      <c r="BZ29" s="600"/>
      <c r="CA29" s="600"/>
      <c r="CB29" s="600"/>
      <c r="CC29" s="600"/>
      <c r="CD29" s="600"/>
      <c r="CE29" s="625"/>
      <c r="CF29" s="625"/>
      <c r="CG29" s="625"/>
      <c r="CH29" s="625"/>
      <c r="CI29" s="625"/>
    </row>
    <row r="30" spans="1:87" ht="45" customHeight="1" x14ac:dyDescent="0.2">
      <c r="A30" s="541">
        <f t="shared" si="0"/>
        <v>9</v>
      </c>
      <c r="B30" s="700" t="s">
        <v>778</v>
      </c>
      <c r="C30" s="700"/>
      <c r="D30" s="700"/>
      <c r="E30" s="700"/>
      <c r="F30" s="700"/>
      <c r="G30" s="700"/>
      <c r="H30" s="700"/>
      <c r="I30" s="700"/>
      <c r="J30" s="700"/>
      <c r="K30" s="625" t="s">
        <v>779</v>
      </c>
      <c r="L30" s="625"/>
      <c r="M30" s="625"/>
      <c r="N30" s="625"/>
      <c r="O30" s="625"/>
      <c r="P30" s="625"/>
      <c r="Q30" s="625"/>
      <c r="R30" s="625"/>
      <c r="S30" s="625"/>
      <c r="T30" s="625"/>
      <c r="U30" s="625"/>
      <c r="V30" s="625" t="s">
        <v>780</v>
      </c>
      <c r="W30" s="625"/>
      <c r="X30" s="625"/>
      <c r="Y30" s="625"/>
      <c r="Z30" s="625" t="s">
        <v>795</v>
      </c>
      <c r="AA30" s="625"/>
      <c r="AB30" s="625"/>
      <c r="AC30" s="625"/>
      <c r="AD30" s="625"/>
      <c r="AE30" s="625"/>
      <c r="AF30" s="625"/>
      <c r="AG30" s="625"/>
      <c r="AH30" s="625"/>
      <c r="AI30" s="625"/>
      <c r="AJ30" s="625"/>
      <c r="AK30" s="625"/>
      <c r="AL30" s="625"/>
      <c r="AM30" s="628" t="s">
        <v>797</v>
      </c>
      <c r="AN30" s="628"/>
      <c r="AO30" s="628"/>
      <c r="AP30" s="628"/>
      <c r="AQ30" s="625" t="s">
        <v>803</v>
      </c>
      <c r="AR30" s="625"/>
      <c r="AS30" s="625"/>
      <c r="AT30" s="625"/>
      <c r="AU30" s="625"/>
      <c r="AV30" s="625" t="s">
        <v>807</v>
      </c>
      <c r="AW30" s="625"/>
      <c r="AX30" s="625"/>
      <c r="AY30" s="625"/>
      <c r="AZ30" s="625"/>
      <c r="BA30" s="598" t="s">
        <v>800</v>
      </c>
      <c r="BB30" s="598"/>
      <c r="BC30" s="598"/>
      <c r="BD30" s="598"/>
      <c r="BE30" s="625" t="s">
        <v>808</v>
      </c>
      <c r="BF30" s="625"/>
      <c r="BG30" s="625"/>
      <c r="BH30" s="625"/>
      <c r="BI30" s="625"/>
      <c r="BJ30" s="625"/>
      <c r="BK30" s="625" t="s">
        <v>138</v>
      </c>
      <c r="BL30" s="625"/>
      <c r="BM30" s="625"/>
      <c r="BN30" s="625"/>
      <c r="BO30" s="625"/>
      <c r="BP30" s="627">
        <v>43489</v>
      </c>
      <c r="BQ30" s="627"/>
      <c r="BR30" s="627"/>
      <c r="BS30" s="627"/>
      <c r="BT30" s="627"/>
      <c r="BU30" s="631" t="s">
        <v>806</v>
      </c>
      <c r="BV30" s="631"/>
      <c r="BW30" s="631"/>
      <c r="BX30" s="631"/>
      <c r="BY30" s="631"/>
      <c r="BZ30" s="600"/>
      <c r="CA30" s="600"/>
      <c r="CB30" s="600"/>
      <c r="CC30" s="600"/>
      <c r="CD30" s="600"/>
      <c r="CE30" s="625"/>
      <c r="CF30" s="625"/>
      <c r="CG30" s="625"/>
      <c r="CH30" s="625"/>
      <c r="CI30" s="625"/>
    </row>
    <row r="31" spans="1:87" ht="75" hidden="1" customHeight="1" x14ac:dyDescent="0.2">
      <c r="A31" s="541">
        <f t="shared" si="0"/>
        <v>10</v>
      </c>
      <c r="B31" s="629" t="s">
        <v>781</v>
      </c>
      <c r="C31" s="629"/>
      <c r="D31" s="629"/>
      <c r="E31" s="629"/>
      <c r="F31" s="629"/>
      <c r="G31" s="629"/>
      <c r="H31" s="629"/>
      <c r="I31" s="629"/>
      <c r="J31" s="629"/>
      <c r="K31" s="629" t="s">
        <v>782</v>
      </c>
      <c r="L31" s="629"/>
      <c r="M31" s="629"/>
      <c r="N31" s="629"/>
      <c r="O31" s="629"/>
      <c r="P31" s="629"/>
      <c r="Q31" s="629"/>
      <c r="R31" s="629"/>
      <c r="S31" s="629"/>
      <c r="T31" s="629"/>
      <c r="U31" s="629"/>
      <c r="V31" s="629" t="s">
        <v>780</v>
      </c>
      <c r="W31" s="629"/>
      <c r="X31" s="629"/>
      <c r="Y31" s="629"/>
      <c r="Z31" s="630" t="s">
        <v>796</v>
      </c>
      <c r="AA31" s="630"/>
      <c r="AB31" s="630"/>
      <c r="AC31" s="630"/>
      <c r="AD31" s="630"/>
      <c r="AE31" s="630"/>
      <c r="AF31" s="630"/>
      <c r="AG31" s="630"/>
      <c r="AH31" s="630"/>
      <c r="AI31" s="630"/>
      <c r="AJ31" s="630"/>
      <c r="AK31" s="630"/>
      <c r="AL31" s="630"/>
      <c r="AM31" s="701" t="s">
        <v>798</v>
      </c>
      <c r="AN31" s="701"/>
      <c r="AO31" s="701"/>
      <c r="AP31" s="701"/>
      <c r="AQ31" s="629" t="s">
        <v>803</v>
      </c>
      <c r="AR31" s="629"/>
      <c r="AS31" s="629"/>
      <c r="AT31" s="629"/>
      <c r="AU31" s="629"/>
      <c r="AV31" s="629" t="s">
        <v>799</v>
      </c>
      <c r="AW31" s="629"/>
      <c r="AX31" s="629"/>
      <c r="AY31" s="629"/>
      <c r="AZ31" s="629"/>
      <c r="BA31" s="702" t="s">
        <v>805</v>
      </c>
      <c r="BB31" s="702"/>
      <c r="BC31" s="702"/>
      <c r="BD31" s="702"/>
      <c r="BE31" s="629" t="s">
        <v>811</v>
      </c>
      <c r="BF31" s="629"/>
      <c r="BG31" s="629"/>
      <c r="BH31" s="629"/>
      <c r="BI31" s="629"/>
      <c r="BJ31" s="629"/>
      <c r="BK31" s="629" t="s">
        <v>138</v>
      </c>
      <c r="BL31" s="629"/>
      <c r="BM31" s="629"/>
      <c r="BN31" s="629"/>
      <c r="BO31" s="629"/>
      <c r="BP31" s="627" t="s">
        <v>812</v>
      </c>
      <c r="BQ31" s="627"/>
      <c r="BR31" s="627"/>
      <c r="BS31" s="627"/>
      <c r="BT31" s="627"/>
      <c r="BU31" s="628" t="s">
        <v>813</v>
      </c>
      <c r="BV31" s="628"/>
      <c r="BW31" s="628"/>
      <c r="BX31" s="628"/>
      <c r="BY31" s="628"/>
      <c r="BZ31" s="600"/>
      <c r="CA31" s="600"/>
      <c r="CB31" s="600"/>
      <c r="CC31" s="600"/>
      <c r="CD31" s="600"/>
      <c r="CE31" s="625"/>
      <c r="CF31" s="625"/>
      <c r="CG31" s="625"/>
      <c r="CH31" s="625"/>
      <c r="CI31" s="625"/>
    </row>
    <row r="32" spans="1:87" ht="45" customHeight="1" x14ac:dyDescent="0.2">
      <c r="A32" s="540">
        <v>6</v>
      </c>
      <c r="B32" s="625" t="s">
        <v>783</v>
      </c>
      <c r="C32" s="625"/>
      <c r="D32" s="625"/>
      <c r="E32" s="625"/>
      <c r="F32" s="625"/>
      <c r="G32" s="625"/>
      <c r="H32" s="625"/>
      <c r="I32" s="625"/>
      <c r="J32" s="625"/>
      <c r="K32" s="629" t="s">
        <v>789</v>
      </c>
      <c r="L32" s="629"/>
      <c r="M32" s="629"/>
      <c r="N32" s="629"/>
      <c r="O32" s="629"/>
      <c r="P32" s="629"/>
      <c r="Q32" s="629"/>
      <c r="R32" s="629"/>
      <c r="S32" s="629"/>
      <c r="T32" s="629"/>
      <c r="U32" s="629"/>
      <c r="V32" s="625" t="s">
        <v>786</v>
      </c>
      <c r="W32" s="625"/>
      <c r="X32" s="625"/>
      <c r="Y32" s="625"/>
      <c r="Z32" s="625" t="s">
        <v>819</v>
      </c>
      <c r="AA32" s="625"/>
      <c r="AB32" s="625"/>
      <c r="AC32" s="625"/>
      <c r="AD32" s="625"/>
      <c r="AE32" s="625"/>
      <c r="AF32" s="625"/>
      <c r="AG32" s="625"/>
      <c r="AH32" s="625"/>
      <c r="AI32" s="625"/>
      <c r="AJ32" s="625"/>
      <c r="AK32" s="625"/>
      <c r="AL32" s="625"/>
      <c r="AM32" s="598" t="s">
        <v>797</v>
      </c>
      <c r="AN32" s="598"/>
      <c r="AO32" s="598"/>
      <c r="AP32" s="598"/>
      <c r="AQ32" s="625" t="s">
        <v>803</v>
      </c>
      <c r="AR32" s="625"/>
      <c r="AS32" s="625"/>
      <c r="AT32" s="625"/>
      <c r="AU32" s="625"/>
      <c r="AV32" s="625" t="s">
        <v>804</v>
      </c>
      <c r="AW32" s="625"/>
      <c r="AX32" s="625"/>
      <c r="AY32" s="625"/>
      <c r="AZ32" s="625"/>
      <c r="BA32" s="598" t="s">
        <v>800</v>
      </c>
      <c r="BB32" s="598"/>
      <c r="BC32" s="598"/>
      <c r="BD32" s="598"/>
      <c r="BE32" s="625" t="s">
        <v>801</v>
      </c>
      <c r="BF32" s="625"/>
      <c r="BG32" s="625"/>
      <c r="BH32" s="625"/>
      <c r="BI32" s="625"/>
      <c r="BJ32" s="625"/>
      <c r="BK32" s="625" t="s">
        <v>138</v>
      </c>
      <c r="BL32" s="625"/>
      <c r="BM32" s="625"/>
      <c r="BN32" s="625"/>
      <c r="BO32" s="625"/>
      <c r="BP32" s="627">
        <v>43489</v>
      </c>
      <c r="BQ32" s="627"/>
      <c r="BR32" s="627"/>
      <c r="BS32" s="627"/>
      <c r="BT32" s="627"/>
      <c r="BU32" s="631" t="s">
        <v>806</v>
      </c>
      <c r="BV32" s="631"/>
      <c r="BW32" s="631"/>
      <c r="BX32" s="631"/>
      <c r="BY32" s="631"/>
      <c r="BZ32" s="600"/>
      <c r="CA32" s="600"/>
      <c r="CB32" s="600"/>
      <c r="CC32" s="600"/>
      <c r="CD32" s="600"/>
      <c r="CE32" s="625"/>
      <c r="CF32" s="625"/>
      <c r="CG32" s="625"/>
      <c r="CH32" s="625"/>
      <c r="CI32" s="625"/>
    </row>
    <row r="33" spans="1:87" ht="75" hidden="1" customHeight="1" x14ac:dyDescent="0.2">
      <c r="A33" s="540">
        <f>A32+1</f>
        <v>7</v>
      </c>
      <c r="B33" s="625" t="s">
        <v>784</v>
      </c>
      <c r="C33" s="625"/>
      <c r="D33" s="625"/>
      <c r="E33" s="625"/>
      <c r="F33" s="625"/>
      <c r="G33" s="625"/>
      <c r="H33" s="625"/>
      <c r="I33" s="625"/>
      <c r="J33" s="625"/>
      <c r="K33" s="629" t="s">
        <v>785</v>
      </c>
      <c r="L33" s="629"/>
      <c r="M33" s="629"/>
      <c r="N33" s="629"/>
      <c r="O33" s="629"/>
      <c r="P33" s="629"/>
      <c r="Q33" s="629"/>
      <c r="R33" s="629"/>
      <c r="S33" s="629"/>
      <c r="T33" s="629"/>
      <c r="U33" s="629"/>
      <c r="V33" s="625" t="s">
        <v>786</v>
      </c>
      <c r="W33" s="625"/>
      <c r="X33" s="625"/>
      <c r="Y33" s="625"/>
      <c r="Z33" s="630" t="s">
        <v>814</v>
      </c>
      <c r="AA33" s="630"/>
      <c r="AB33" s="630"/>
      <c r="AC33" s="630"/>
      <c r="AD33" s="630"/>
      <c r="AE33" s="630"/>
      <c r="AF33" s="630"/>
      <c r="AG33" s="630"/>
      <c r="AH33" s="630"/>
      <c r="AI33" s="630"/>
      <c r="AJ33" s="630"/>
      <c r="AK33" s="630"/>
      <c r="AL33" s="630"/>
      <c r="AM33" s="598" t="s">
        <v>798</v>
      </c>
      <c r="AN33" s="598"/>
      <c r="AO33" s="598"/>
      <c r="AP33" s="598"/>
      <c r="AQ33" s="625" t="s">
        <v>803</v>
      </c>
      <c r="AR33" s="625"/>
      <c r="AS33" s="625"/>
      <c r="AT33" s="625"/>
      <c r="AU33" s="625"/>
      <c r="AV33" s="625" t="s">
        <v>799</v>
      </c>
      <c r="AW33" s="625"/>
      <c r="AX33" s="625"/>
      <c r="AY33" s="625"/>
      <c r="AZ33" s="625"/>
      <c r="BA33" s="598" t="s">
        <v>805</v>
      </c>
      <c r="BB33" s="598"/>
      <c r="BC33" s="598"/>
      <c r="BD33" s="598"/>
      <c r="BE33" s="625" t="s">
        <v>811</v>
      </c>
      <c r="BF33" s="625"/>
      <c r="BG33" s="625"/>
      <c r="BH33" s="625"/>
      <c r="BI33" s="625"/>
      <c r="BJ33" s="625"/>
      <c r="BK33" s="625" t="s">
        <v>138</v>
      </c>
      <c r="BL33" s="625"/>
      <c r="BM33" s="625"/>
      <c r="BN33" s="625"/>
      <c r="BO33" s="625"/>
      <c r="BP33" s="627" t="s">
        <v>812</v>
      </c>
      <c r="BQ33" s="627"/>
      <c r="BR33" s="627"/>
      <c r="BS33" s="627"/>
      <c r="BT33" s="627"/>
      <c r="BU33" s="628" t="s">
        <v>813</v>
      </c>
      <c r="BV33" s="628"/>
      <c r="BW33" s="628"/>
      <c r="BX33" s="628"/>
      <c r="BY33" s="628"/>
      <c r="BZ33" s="600"/>
      <c r="CA33" s="600"/>
      <c r="CB33" s="600"/>
      <c r="CC33" s="600"/>
      <c r="CD33" s="600"/>
      <c r="CE33" s="625"/>
      <c r="CF33" s="625"/>
      <c r="CG33" s="625"/>
      <c r="CH33" s="625"/>
      <c r="CI33" s="625"/>
    </row>
    <row r="34" spans="1:87" ht="45" customHeight="1" x14ac:dyDescent="0.2">
      <c r="A34" s="540">
        <f t="shared" ref="A34:A35" si="1">A33+1</f>
        <v>8</v>
      </c>
      <c r="B34" s="625"/>
      <c r="C34" s="625"/>
      <c r="D34" s="625"/>
      <c r="E34" s="625"/>
      <c r="F34" s="625"/>
      <c r="G34" s="625"/>
      <c r="H34" s="625"/>
      <c r="I34" s="625"/>
      <c r="J34" s="625"/>
      <c r="K34" s="625"/>
      <c r="L34" s="625"/>
      <c r="M34" s="625"/>
      <c r="N34" s="625"/>
      <c r="O34" s="625"/>
      <c r="P34" s="625"/>
      <c r="Q34" s="625"/>
      <c r="R34" s="625"/>
      <c r="S34" s="625"/>
      <c r="T34" s="625"/>
      <c r="U34" s="625"/>
      <c r="V34" s="625"/>
      <c r="W34" s="625"/>
      <c r="X34" s="625"/>
      <c r="Y34" s="625"/>
      <c r="Z34" s="625"/>
      <c r="AA34" s="625"/>
      <c r="AB34" s="625"/>
      <c r="AC34" s="625"/>
      <c r="AD34" s="625"/>
      <c r="AE34" s="625"/>
      <c r="AF34" s="625"/>
      <c r="AG34" s="625"/>
      <c r="AH34" s="625"/>
      <c r="AI34" s="625"/>
      <c r="AJ34" s="625"/>
      <c r="AK34" s="625"/>
      <c r="AL34" s="625"/>
      <c r="AM34" s="598"/>
      <c r="AN34" s="598"/>
      <c r="AO34" s="598"/>
      <c r="AP34" s="598"/>
      <c r="AQ34" s="625"/>
      <c r="AR34" s="625"/>
      <c r="AS34" s="625"/>
      <c r="AT34" s="625"/>
      <c r="AU34" s="625"/>
      <c r="AV34" s="625"/>
      <c r="AW34" s="625"/>
      <c r="AX34" s="625"/>
      <c r="AY34" s="625"/>
      <c r="AZ34" s="625"/>
      <c r="BA34" s="598"/>
      <c r="BB34" s="598"/>
      <c r="BC34" s="598"/>
      <c r="BD34" s="598"/>
      <c r="BE34" s="625"/>
      <c r="BF34" s="625"/>
      <c r="BG34" s="625"/>
      <c r="BH34" s="625"/>
      <c r="BI34" s="625"/>
      <c r="BJ34" s="625"/>
      <c r="BK34" s="625"/>
      <c r="BL34" s="625"/>
      <c r="BM34" s="625"/>
      <c r="BN34" s="625"/>
      <c r="BO34" s="625"/>
      <c r="BP34" s="627"/>
      <c r="BQ34" s="627"/>
      <c r="BR34" s="627"/>
      <c r="BS34" s="627"/>
      <c r="BT34" s="627"/>
      <c r="BU34" s="631"/>
      <c r="BV34" s="631"/>
      <c r="BW34" s="631"/>
      <c r="BX34" s="631"/>
      <c r="BY34" s="631"/>
      <c r="BZ34" s="600"/>
      <c r="CA34" s="600"/>
      <c r="CB34" s="600"/>
      <c r="CC34" s="600"/>
      <c r="CD34" s="600"/>
      <c r="CE34" s="625"/>
      <c r="CF34" s="625"/>
      <c r="CG34" s="625"/>
      <c r="CH34" s="625"/>
      <c r="CI34" s="625"/>
    </row>
    <row r="35" spans="1:87" ht="143.25" customHeight="1" x14ac:dyDescent="0.2">
      <c r="A35" s="540">
        <f t="shared" si="1"/>
        <v>9</v>
      </c>
      <c r="B35" s="625"/>
      <c r="C35" s="625"/>
      <c r="D35" s="625"/>
      <c r="E35" s="625"/>
      <c r="F35" s="625"/>
      <c r="G35" s="625"/>
      <c r="H35" s="625"/>
      <c r="I35" s="625"/>
      <c r="J35" s="625"/>
      <c r="K35" s="625"/>
      <c r="L35" s="625"/>
      <c r="M35" s="625"/>
      <c r="N35" s="625"/>
      <c r="O35" s="625"/>
      <c r="P35" s="625"/>
      <c r="Q35" s="625"/>
      <c r="R35" s="625"/>
      <c r="S35" s="625"/>
      <c r="T35" s="625"/>
      <c r="U35" s="625"/>
      <c r="V35" s="625"/>
      <c r="W35" s="625"/>
      <c r="X35" s="625"/>
      <c r="Y35" s="625"/>
      <c r="Z35" s="625"/>
      <c r="AA35" s="625"/>
      <c r="AB35" s="625"/>
      <c r="AC35" s="625"/>
      <c r="AD35" s="625"/>
      <c r="AE35" s="625"/>
      <c r="AF35" s="625"/>
      <c r="AG35" s="625"/>
      <c r="AH35" s="625"/>
      <c r="AI35" s="625"/>
      <c r="AJ35" s="625"/>
      <c r="AK35" s="625"/>
      <c r="AL35" s="625"/>
      <c r="AM35" s="598"/>
      <c r="AN35" s="598"/>
      <c r="AO35" s="598"/>
      <c r="AP35" s="598"/>
      <c r="AQ35" s="625"/>
      <c r="AR35" s="625"/>
      <c r="AS35" s="625"/>
      <c r="AT35" s="625"/>
      <c r="AU35" s="625"/>
      <c r="AV35" s="625"/>
      <c r="AW35" s="625"/>
      <c r="AX35" s="625"/>
      <c r="AY35" s="625"/>
      <c r="AZ35" s="625"/>
      <c r="BA35" s="598"/>
      <c r="BB35" s="598"/>
      <c r="BC35" s="598"/>
      <c r="BD35" s="598"/>
      <c r="BE35" s="625"/>
      <c r="BF35" s="625"/>
      <c r="BG35" s="625"/>
      <c r="BH35" s="625"/>
      <c r="BI35" s="625"/>
      <c r="BJ35" s="625"/>
      <c r="BK35" s="625"/>
      <c r="BL35" s="625"/>
      <c r="BM35" s="625"/>
      <c r="BN35" s="625"/>
      <c r="BO35" s="625"/>
      <c r="BP35" s="627"/>
      <c r="BQ35" s="627"/>
      <c r="BR35" s="627"/>
      <c r="BS35" s="627"/>
      <c r="BT35" s="627"/>
      <c r="BU35" s="631"/>
      <c r="BV35" s="631"/>
      <c r="BW35" s="631"/>
      <c r="BX35" s="631"/>
      <c r="BY35" s="631"/>
      <c r="BZ35" s="600"/>
      <c r="CA35" s="600"/>
      <c r="CB35" s="600"/>
      <c r="CC35" s="600"/>
      <c r="CD35" s="600"/>
      <c r="CE35" s="625"/>
      <c r="CF35" s="625"/>
      <c r="CG35" s="625"/>
      <c r="CH35" s="625"/>
      <c r="CI35" s="625"/>
    </row>
    <row r="36" spans="1:87" ht="45" customHeight="1" x14ac:dyDescent="0.2">
      <c r="A36" s="540"/>
      <c r="B36" s="625"/>
      <c r="C36" s="625"/>
      <c r="D36" s="625"/>
      <c r="E36" s="625"/>
      <c r="F36" s="625"/>
      <c r="G36" s="625"/>
      <c r="H36" s="625"/>
      <c r="I36" s="625"/>
      <c r="J36" s="625"/>
      <c r="K36" s="625"/>
      <c r="L36" s="625"/>
      <c r="M36" s="625"/>
      <c r="N36" s="625"/>
      <c r="O36" s="625"/>
      <c r="P36" s="625"/>
      <c r="Q36" s="625"/>
      <c r="R36" s="625"/>
      <c r="S36" s="625"/>
      <c r="T36" s="625"/>
      <c r="U36" s="625"/>
      <c r="V36" s="625"/>
      <c r="W36" s="625"/>
      <c r="X36" s="625"/>
      <c r="Y36" s="625"/>
      <c r="Z36" s="625"/>
      <c r="AA36" s="625"/>
      <c r="AB36" s="625"/>
      <c r="AC36" s="625"/>
      <c r="AD36" s="625"/>
      <c r="AE36" s="625"/>
      <c r="AF36" s="625"/>
      <c r="AG36" s="625"/>
      <c r="AH36" s="625"/>
      <c r="AI36" s="625"/>
      <c r="AJ36" s="625"/>
      <c r="AK36" s="625"/>
      <c r="AL36" s="625"/>
      <c r="AM36" s="598"/>
      <c r="AN36" s="598"/>
      <c r="AO36" s="598"/>
      <c r="AP36" s="598"/>
      <c r="AQ36" s="625"/>
      <c r="AR36" s="625"/>
      <c r="AS36" s="625"/>
      <c r="AT36" s="625"/>
      <c r="AU36" s="625"/>
      <c r="AV36" s="625"/>
      <c r="AW36" s="625"/>
      <c r="AX36" s="625"/>
      <c r="AY36" s="625"/>
      <c r="AZ36" s="625"/>
      <c r="BA36" s="598"/>
      <c r="BB36" s="598"/>
      <c r="BC36" s="598"/>
      <c r="BD36" s="598"/>
      <c r="BE36" s="625"/>
      <c r="BF36" s="625"/>
      <c r="BG36" s="625"/>
      <c r="BH36" s="625"/>
      <c r="BI36" s="625"/>
      <c r="BJ36" s="625"/>
      <c r="BK36" s="625"/>
      <c r="BL36" s="625"/>
      <c r="BM36" s="625"/>
      <c r="BN36" s="625"/>
      <c r="BO36" s="625"/>
      <c r="BP36" s="600"/>
      <c r="BQ36" s="600"/>
      <c r="BR36" s="600"/>
      <c r="BS36" s="600"/>
      <c r="BT36" s="600"/>
      <c r="BU36" s="625"/>
      <c r="BV36" s="625"/>
      <c r="BW36" s="625"/>
      <c r="BX36" s="625"/>
      <c r="BY36" s="625"/>
      <c r="BZ36" s="600"/>
      <c r="CA36" s="600"/>
      <c r="CB36" s="600"/>
      <c r="CC36" s="600"/>
      <c r="CD36" s="600"/>
      <c r="CE36" s="625"/>
      <c r="CF36" s="625"/>
      <c r="CG36" s="625"/>
      <c r="CH36" s="625"/>
      <c r="CI36" s="625"/>
    </row>
  </sheetData>
  <autoFilter ref="A20:CI35">
    <filterColumn colId="1" showButton="0"/>
    <filterColumn colId="2"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8" showButton="0">
      <filters blank="1">
        <filter val="要"/>
      </filters>
    </filterColumn>
    <filterColumn colId="39" showButton="0"/>
    <filterColumn colId="40" showButton="0"/>
    <filterColumn colId="42" showButton="0"/>
    <filterColumn colId="43" showButton="0"/>
    <filterColumn colId="44" showButton="0"/>
    <filterColumn colId="45" showButton="0"/>
    <filterColumn colId="47" showButton="0"/>
    <filterColumn colId="48" showButton="0"/>
    <filterColumn colId="49" showButton="0"/>
    <filterColumn colId="50" showButton="0"/>
    <filterColumn colId="52" showButton="0"/>
    <filterColumn colId="53" showButton="0"/>
    <filterColumn colId="54" showButton="0"/>
    <filterColumn colId="56" showButton="0"/>
    <filterColumn colId="57" showButton="0"/>
    <filterColumn colId="58" showButton="0"/>
    <filterColumn colId="59" showButton="0"/>
    <filterColumn colId="60" showButton="0"/>
    <filterColumn colId="62" showButton="0"/>
    <filterColumn colId="63" showButton="0"/>
    <filterColumn colId="64" showButton="0"/>
    <filterColumn colId="65" showButton="0"/>
    <filterColumn colId="67" showButton="0"/>
    <filterColumn colId="68" showButton="0"/>
    <filterColumn colId="69" showButton="0"/>
    <filterColumn colId="70" showButton="0"/>
    <filterColumn colId="72" showButton="0"/>
    <filterColumn colId="73" showButton="0"/>
    <filterColumn colId="74" showButton="0"/>
    <filterColumn colId="75" showButton="0"/>
    <filterColumn colId="77" showButton="0"/>
    <filterColumn colId="78" showButton="0"/>
    <filterColumn colId="79" showButton="0"/>
    <filterColumn colId="80" showButton="0"/>
    <filterColumn colId="82" showButton="0"/>
    <filterColumn colId="83" showButton="0"/>
    <filterColumn colId="84" showButton="0"/>
    <filterColumn colId="85" showButton="0"/>
  </autoFilter>
  <mergeCells count="307">
    <mergeCell ref="B36:J36"/>
    <mergeCell ref="K36:U36"/>
    <mergeCell ref="V36:Y36"/>
    <mergeCell ref="Z36:AL36"/>
    <mergeCell ref="AM36:AP36"/>
    <mergeCell ref="AQ36:AU36"/>
    <mergeCell ref="AV36:AZ36"/>
    <mergeCell ref="BA36:BD36"/>
    <mergeCell ref="BE36:BJ36"/>
    <mergeCell ref="BK36:BO36"/>
    <mergeCell ref="BP36:BT36"/>
    <mergeCell ref="BU36:BY36"/>
    <mergeCell ref="BZ36:CD36"/>
    <mergeCell ref="CE36:CI36"/>
    <mergeCell ref="CE32:CI32"/>
    <mergeCell ref="BZ33:CD33"/>
    <mergeCell ref="CE33:CI33"/>
    <mergeCell ref="B33:J33"/>
    <mergeCell ref="K33:U33"/>
    <mergeCell ref="V33:Y33"/>
    <mergeCell ref="Z33:AL33"/>
    <mergeCell ref="AM33:AP33"/>
    <mergeCell ref="AQ34:AU34"/>
    <mergeCell ref="AV34:AZ34"/>
    <mergeCell ref="AV32:AZ32"/>
    <mergeCell ref="BU34:BY34"/>
    <mergeCell ref="BZ34:CD34"/>
    <mergeCell ref="BE32:BJ32"/>
    <mergeCell ref="BK32:BO32"/>
    <mergeCell ref="BA33:BD33"/>
    <mergeCell ref="BP32:BT32"/>
    <mergeCell ref="BU32:BY32"/>
    <mergeCell ref="AQ33:AU33"/>
    <mergeCell ref="Z30:AL30"/>
    <mergeCell ref="AM30:AP30"/>
    <mergeCell ref="BE31:BJ31"/>
    <mergeCell ref="BK31:BO31"/>
    <mergeCell ref="BP31:BT31"/>
    <mergeCell ref="BU31:BY31"/>
    <mergeCell ref="BZ31:CD31"/>
    <mergeCell ref="CE31:CI31"/>
    <mergeCell ref="AQ22:AU22"/>
    <mergeCell ref="BA22:BD22"/>
    <mergeCell ref="BE22:BJ22"/>
    <mergeCell ref="BK22:BO22"/>
    <mergeCell ref="AV22:AZ22"/>
    <mergeCell ref="BU25:BY25"/>
    <mergeCell ref="BZ25:CD25"/>
    <mergeCell ref="CE25:CI25"/>
    <mergeCell ref="BK24:BO24"/>
    <mergeCell ref="BP24:BT24"/>
    <mergeCell ref="BU24:BY24"/>
    <mergeCell ref="BZ24:CD24"/>
    <mergeCell ref="CE24:CI24"/>
    <mergeCell ref="BK26:BO26"/>
    <mergeCell ref="BP26:BT26"/>
    <mergeCell ref="BU26:BY26"/>
    <mergeCell ref="CE21:CI21"/>
    <mergeCell ref="BU30:BY30"/>
    <mergeCell ref="BZ30:CD30"/>
    <mergeCell ref="CE30:CI30"/>
    <mergeCell ref="V21:Y21"/>
    <mergeCell ref="Z21:AL21"/>
    <mergeCell ref="AM21:AP21"/>
    <mergeCell ref="AQ21:AU21"/>
    <mergeCell ref="AV21:AZ21"/>
    <mergeCell ref="BA21:BD21"/>
    <mergeCell ref="BE30:BJ30"/>
    <mergeCell ref="BK30:BO30"/>
    <mergeCell ref="BP30:BT30"/>
    <mergeCell ref="AQ30:AU30"/>
    <mergeCell ref="AV30:AZ30"/>
    <mergeCell ref="BA30:BD30"/>
    <mergeCell ref="BE21:BJ21"/>
    <mergeCell ref="BK21:BO21"/>
    <mergeCell ref="BP21:BT21"/>
    <mergeCell ref="BU21:BY21"/>
    <mergeCell ref="Z25:AL25"/>
    <mergeCell ref="AM25:AP25"/>
    <mergeCell ref="AQ25:AU25"/>
    <mergeCell ref="BP22:BT22"/>
    <mergeCell ref="BU22:BY22"/>
    <mergeCell ref="BZ22:CD22"/>
    <mergeCell ref="CE22:CI22"/>
    <mergeCell ref="B23:J23"/>
    <mergeCell ref="Z23:AL23"/>
    <mergeCell ref="AM23:AP23"/>
    <mergeCell ref="AQ23:AU23"/>
    <mergeCell ref="AV23:AZ23"/>
    <mergeCell ref="BA23:BD23"/>
    <mergeCell ref="BE23:BJ23"/>
    <mergeCell ref="BK23:BO23"/>
    <mergeCell ref="CE23:CI23"/>
    <mergeCell ref="V22:Y22"/>
    <mergeCell ref="Z22:AL22"/>
    <mergeCell ref="AM22:AP22"/>
    <mergeCell ref="BP23:BT23"/>
    <mergeCell ref="BU23:BY23"/>
    <mergeCell ref="BZ23:CD23"/>
    <mergeCell ref="B31:J31"/>
    <mergeCell ref="K31:U31"/>
    <mergeCell ref="V31:Y31"/>
    <mergeCell ref="Z31:AL31"/>
    <mergeCell ref="AM31:AP31"/>
    <mergeCell ref="AQ31:AU31"/>
    <mergeCell ref="AV31:AZ31"/>
    <mergeCell ref="BA31:BD31"/>
    <mergeCell ref="BA32:BD32"/>
    <mergeCell ref="V32:Y32"/>
    <mergeCell ref="AV33:AZ33"/>
    <mergeCell ref="BU33:BY33"/>
    <mergeCell ref="BE33:BJ33"/>
    <mergeCell ref="BK33:BO33"/>
    <mergeCell ref="BP33:BT33"/>
    <mergeCell ref="BZ21:CD21"/>
    <mergeCell ref="CE34:CI34"/>
    <mergeCell ref="BA34:BD34"/>
    <mergeCell ref="BE34:BJ34"/>
    <mergeCell ref="BK34:BO34"/>
    <mergeCell ref="BP34:BT34"/>
    <mergeCell ref="AV25:AZ25"/>
    <mergeCell ref="BA25:BD25"/>
    <mergeCell ref="BE25:BJ25"/>
    <mergeCell ref="BK25:BO25"/>
    <mergeCell ref="BP25:BT25"/>
    <mergeCell ref="AV26:AZ26"/>
    <mergeCell ref="BA26:BD26"/>
    <mergeCell ref="BE26:BJ26"/>
    <mergeCell ref="BZ26:CD26"/>
    <mergeCell ref="CE26:CI26"/>
    <mergeCell ref="BK27:BO27"/>
    <mergeCell ref="BP27:BT27"/>
    <mergeCell ref="BU27:BY27"/>
    <mergeCell ref="K12:U13"/>
    <mergeCell ref="V12:AL13"/>
    <mergeCell ref="A19:A20"/>
    <mergeCell ref="B19:J20"/>
    <mergeCell ref="K19:U20"/>
    <mergeCell ref="V19:Y20"/>
    <mergeCell ref="Z19:AL20"/>
    <mergeCell ref="V23:Y23"/>
    <mergeCell ref="B21:J21"/>
    <mergeCell ref="K21:U21"/>
    <mergeCell ref="B22:J22"/>
    <mergeCell ref="AM15:AP15"/>
    <mergeCell ref="V15:AL15"/>
    <mergeCell ref="K15:U15"/>
    <mergeCell ref="K16:U17"/>
    <mergeCell ref="V16:AL17"/>
    <mergeCell ref="A15:J17"/>
    <mergeCell ref="B34:J34"/>
    <mergeCell ref="K34:U34"/>
    <mergeCell ref="V34:Y34"/>
    <mergeCell ref="AM19:AP20"/>
    <mergeCell ref="Z34:AL34"/>
    <mergeCell ref="AM34:AP34"/>
    <mergeCell ref="K23:U23"/>
    <mergeCell ref="K22:U22"/>
    <mergeCell ref="AM16:AP17"/>
    <mergeCell ref="B30:J30"/>
    <mergeCell ref="K30:U30"/>
    <mergeCell ref="V30:Y30"/>
    <mergeCell ref="V25:Y25"/>
    <mergeCell ref="B25:J25"/>
    <mergeCell ref="K25:U25"/>
    <mergeCell ref="B24:J24"/>
    <mergeCell ref="K24:U24"/>
    <mergeCell ref="V24:Y24"/>
    <mergeCell ref="AQ15:AU15"/>
    <mergeCell ref="BK16:BO17"/>
    <mergeCell ref="BI11:CI13"/>
    <mergeCell ref="BA11:BH11"/>
    <mergeCell ref="BA12:BH12"/>
    <mergeCell ref="BA13:BH13"/>
    <mergeCell ref="AW13:AZ13"/>
    <mergeCell ref="AV15:BJ15"/>
    <mergeCell ref="BP16:BT17"/>
    <mergeCell ref="CE16:CI17"/>
    <mergeCell ref="BP19:BT20"/>
    <mergeCell ref="BU19:BY20"/>
    <mergeCell ref="BZ19:CD20"/>
    <mergeCell ref="CE19:CI20"/>
    <mergeCell ref="BK19:BO20"/>
    <mergeCell ref="AQ19:AU20"/>
    <mergeCell ref="BA19:BD20"/>
    <mergeCell ref="AV19:AZ20"/>
    <mergeCell ref="AQ16:AU17"/>
    <mergeCell ref="AV16:BJ17"/>
    <mergeCell ref="BE19:BJ20"/>
    <mergeCell ref="BU16:BY17"/>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A6:W6"/>
    <mergeCell ref="X6:BD6"/>
    <mergeCell ref="BZ32:CD32"/>
    <mergeCell ref="BE35:BJ35"/>
    <mergeCell ref="BK35:BO35"/>
    <mergeCell ref="BP35:BT35"/>
    <mergeCell ref="BU35:BY35"/>
    <mergeCell ref="BZ35:CD35"/>
    <mergeCell ref="CE35:CI35"/>
    <mergeCell ref="B35:J35"/>
    <mergeCell ref="B32:J32"/>
    <mergeCell ref="K32:U32"/>
    <mergeCell ref="Z32:AL32"/>
    <mergeCell ref="AM32:AP32"/>
    <mergeCell ref="AQ32:AU32"/>
    <mergeCell ref="K35:U35"/>
    <mergeCell ref="V35:Y35"/>
    <mergeCell ref="Z35:AL35"/>
    <mergeCell ref="AM35:AP35"/>
    <mergeCell ref="AQ35:AU35"/>
    <mergeCell ref="AV35:AZ35"/>
    <mergeCell ref="BA35:BD35"/>
    <mergeCell ref="AM26:AP26"/>
    <mergeCell ref="AQ26:AU26"/>
    <mergeCell ref="Z24:AL24"/>
    <mergeCell ref="AM24:AP24"/>
    <mergeCell ref="AQ24:AU24"/>
    <mergeCell ref="AV24:AZ24"/>
    <mergeCell ref="BA24:BD24"/>
    <mergeCell ref="BE24:BJ24"/>
    <mergeCell ref="AQ28:AU28"/>
    <mergeCell ref="AV28:AZ28"/>
    <mergeCell ref="BA28:BD28"/>
    <mergeCell ref="BE28:BJ28"/>
    <mergeCell ref="BZ27:CD27"/>
    <mergeCell ref="CE27:CI27"/>
    <mergeCell ref="B26:J26"/>
    <mergeCell ref="K26:U26"/>
    <mergeCell ref="V26:Y26"/>
    <mergeCell ref="Z26:AL26"/>
    <mergeCell ref="BK28:BO28"/>
    <mergeCell ref="BP28:BT28"/>
    <mergeCell ref="BU28:BY28"/>
    <mergeCell ref="BZ28:CD28"/>
    <mergeCell ref="CE28:CI28"/>
    <mergeCell ref="B27:J27"/>
    <mergeCell ref="K27:U27"/>
    <mergeCell ref="V27:Y27"/>
    <mergeCell ref="Z27:AL27"/>
    <mergeCell ref="AM27:AP27"/>
    <mergeCell ref="AQ27:AU27"/>
    <mergeCell ref="AV27:AZ27"/>
    <mergeCell ref="BA27:BD27"/>
    <mergeCell ref="BE27:BJ27"/>
    <mergeCell ref="BK29:BO29"/>
    <mergeCell ref="BP29:BT29"/>
    <mergeCell ref="BU29:BY29"/>
    <mergeCell ref="BZ29:CD29"/>
    <mergeCell ref="CE29:CI29"/>
    <mergeCell ref="B28:J28"/>
    <mergeCell ref="K28:U28"/>
    <mergeCell ref="V28:Y28"/>
    <mergeCell ref="Z28:AL28"/>
    <mergeCell ref="AM28:AP28"/>
    <mergeCell ref="B29:J29"/>
    <mergeCell ref="K29:U29"/>
    <mergeCell ref="V29:Y29"/>
    <mergeCell ref="Z29:AL29"/>
    <mergeCell ref="AM29:AP29"/>
    <mergeCell ref="AQ29:AU29"/>
    <mergeCell ref="AV29:AZ29"/>
    <mergeCell ref="BA29:BD29"/>
    <mergeCell ref="BE29:BJ29"/>
  </mergeCells>
  <phoneticPr fontId="23"/>
  <dataValidations count="11">
    <dataValidation type="list" allowBlank="1" showInputMessage="1" showErrorMessage="1" sqref="AW11:AW13">
      <formula1>"□,■"</formula1>
    </dataValidation>
    <dataValidation type="list" allowBlank="1" showInputMessage="1" showErrorMessage="1" sqref="AQ12:AV13">
      <formula1>"　,チームレビュー,プロジェクトレビュー,顧客レビュー,工程完了レビュー"</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M16:AP17">
      <formula1>"　,新規,改定"</formula1>
    </dataValidation>
    <dataValidation type="list" allowBlank="1" showInputMessage="1" showErrorMessage="1" sqref="V12:AL13">
      <formula1>"　,チームレビュー,プロジェクトレビュー,顧客レビュー"</formula1>
    </dataValidation>
    <dataValidation type="list" allowBlank="1" showInputMessage="1" showErrorMessage="1" sqref="AM21:AP36">
      <formula1>"　,要,否"</formula1>
    </dataValidation>
    <dataValidation type="list" allowBlank="1" showInputMessage="1" showErrorMessage="1" sqref="BA21:BD36">
      <formula1>"　,高,中,低"</formula1>
    </dataValidation>
    <dataValidation type="list" allowBlank="1" showInputMessage="1" showErrorMessage="1" sqref="AQ21:AU36">
      <formula1>"　,設計,ドキュメント化,要求仕様の変更"</formula1>
    </dataValidation>
    <dataValidation type="list" allowBlank="1" showInputMessage="1" showErrorMessage="1" sqref="AV21:AZ36">
      <formula1>"　,設計漏れ,設計誤り,説明内容不明確,標準違反,再利用誤り,表現上の記述不良,設計の改善,非指摘扱い"</formula1>
    </dataValidation>
    <dataValidation type="list" allowBlank="1" showInputMessage="1" showErrorMessage="1" sqref="BE21:BJ36">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6">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640625" defaultRowHeight="13.2" x14ac:dyDescent="0.2"/>
  <cols>
    <col min="1" max="57" width="2.6640625" customWidth="1"/>
    <col min="58" max="58" width="3" customWidth="1"/>
  </cols>
  <sheetData>
    <row r="1" spans="1:79" x14ac:dyDescent="0.2">
      <c r="A1" s="723" t="s">
        <v>505</v>
      </c>
      <c r="B1" s="723"/>
      <c r="C1" s="723"/>
      <c r="D1" s="723"/>
      <c r="E1" s="723"/>
      <c r="F1" s="723"/>
      <c r="G1" s="723"/>
      <c r="H1" s="723"/>
      <c r="I1" s="724" t="s">
        <v>137</v>
      </c>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4"/>
      <c r="AJ1" s="724"/>
      <c r="AK1" s="724"/>
      <c r="AL1" s="724"/>
      <c r="AM1" s="724"/>
      <c r="AN1" s="724"/>
      <c r="AO1" s="724"/>
      <c r="AP1" s="724"/>
      <c r="AQ1" s="598" t="s">
        <v>305</v>
      </c>
      <c r="AR1" s="598"/>
      <c r="AS1" s="598"/>
      <c r="AT1" s="598"/>
      <c r="AU1" s="598"/>
      <c r="AV1" s="598"/>
      <c r="AW1" s="598" t="s">
        <v>306</v>
      </c>
      <c r="AX1" s="598"/>
      <c r="AY1" s="598"/>
      <c r="AZ1" s="598"/>
      <c r="BA1" s="598"/>
      <c r="BB1" s="598"/>
      <c r="BC1" s="598" t="s">
        <v>237</v>
      </c>
      <c r="BD1" s="598"/>
      <c r="BE1" s="598"/>
      <c r="BF1" s="598"/>
      <c r="BG1" s="598"/>
      <c r="BH1" s="598"/>
      <c r="BI1" s="598" t="s">
        <v>566</v>
      </c>
      <c r="BJ1" s="598"/>
      <c r="BK1" s="598"/>
      <c r="BL1" s="598"/>
      <c r="BM1" s="598"/>
      <c r="BN1" s="598"/>
      <c r="BO1" s="598"/>
      <c r="BP1" s="598"/>
      <c r="BQ1" s="598"/>
      <c r="BR1" s="598"/>
      <c r="BS1" s="598"/>
      <c r="BT1" s="598"/>
      <c r="BU1" s="598"/>
      <c r="BV1" s="598"/>
      <c r="BW1" s="598"/>
      <c r="BX1" s="598"/>
      <c r="BY1" s="598"/>
      <c r="BZ1" s="598"/>
      <c r="CA1" s="598"/>
    </row>
    <row r="2" spans="1:79" x14ac:dyDescent="0.2">
      <c r="A2" s="723"/>
      <c r="B2" s="723"/>
      <c r="C2" s="723"/>
      <c r="D2" s="723"/>
      <c r="E2" s="723"/>
      <c r="F2" s="723"/>
      <c r="G2" s="723"/>
      <c r="H2" s="723"/>
      <c r="I2" s="724"/>
      <c r="J2" s="724"/>
      <c r="K2" s="724"/>
      <c r="L2" s="724"/>
      <c r="M2" s="724"/>
      <c r="N2" s="724"/>
      <c r="O2" s="724"/>
      <c r="P2" s="724"/>
      <c r="Q2" s="724"/>
      <c r="R2" s="724"/>
      <c r="S2" s="724"/>
      <c r="T2" s="724"/>
      <c r="U2" s="724"/>
      <c r="V2" s="724"/>
      <c r="W2" s="724"/>
      <c r="X2" s="724"/>
      <c r="Y2" s="724"/>
      <c r="Z2" s="724"/>
      <c r="AA2" s="724"/>
      <c r="AB2" s="724"/>
      <c r="AC2" s="724"/>
      <c r="AD2" s="724"/>
      <c r="AE2" s="724"/>
      <c r="AF2" s="724"/>
      <c r="AG2" s="724"/>
      <c r="AH2" s="724"/>
      <c r="AI2" s="724"/>
      <c r="AJ2" s="724"/>
      <c r="AK2" s="724"/>
      <c r="AL2" s="724"/>
      <c r="AM2" s="724"/>
      <c r="AN2" s="724"/>
      <c r="AO2" s="724"/>
      <c r="AP2" s="724"/>
      <c r="AQ2" s="598" t="s">
        <v>494</v>
      </c>
      <c r="AR2" s="598"/>
      <c r="AS2" s="598"/>
      <c r="AT2" s="598"/>
      <c r="AU2" s="598"/>
      <c r="AV2" s="598"/>
      <c r="AW2" s="598" t="s">
        <v>494</v>
      </c>
      <c r="AX2" s="598"/>
      <c r="AY2" s="598"/>
      <c r="AZ2" s="598"/>
      <c r="BA2" s="598"/>
      <c r="BB2" s="598"/>
      <c r="BC2" s="598" t="s">
        <v>494</v>
      </c>
      <c r="BD2" s="598"/>
      <c r="BE2" s="598"/>
      <c r="BF2" s="598"/>
      <c r="BG2" s="598"/>
      <c r="BH2" s="598"/>
      <c r="BI2" s="598" t="s">
        <v>308</v>
      </c>
      <c r="BJ2" s="598"/>
      <c r="BK2" s="598"/>
      <c r="BL2" s="598"/>
      <c r="BM2" s="598"/>
      <c r="BN2" s="598"/>
      <c r="BO2" s="598"/>
      <c r="BP2" s="598" t="s">
        <v>306</v>
      </c>
      <c r="BQ2" s="598"/>
      <c r="BR2" s="598"/>
      <c r="BS2" s="598"/>
      <c r="BT2" s="598"/>
      <c r="BU2" s="598"/>
      <c r="BV2" s="598" t="s">
        <v>237</v>
      </c>
      <c r="BW2" s="598"/>
      <c r="BX2" s="598"/>
      <c r="BY2" s="598"/>
      <c r="BZ2" s="598"/>
      <c r="CA2" s="598"/>
    </row>
    <row r="3" spans="1:79" x14ac:dyDescent="0.2">
      <c r="A3" s="723"/>
      <c r="B3" s="723"/>
      <c r="C3" s="723"/>
      <c r="D3" s="723"/>
      <c r="E3" s="723"/>
      <c r="F3" s="723"/>
      <c r="G3" s="723"/>
      <c r="H3" s="723"/>
      <c r="I3" s="724"/>
      <c r="J3" s="724"/>
      <c r="K3" s="724"/>
      <c r="L3" s="724"/>
      <c r="M3" s="724"/>
      <c r="N3" s="724"/>
      <c r="O3" s="724"/>
      <c r="P3" s="724"/>
      <c r="Q3" s="724"/>
      <c r="R3" s="724"/>
      <c r="S3" s="724"/>
      <c r="T3" s="724"/>
      <c r="U3" s="724"/>
      <c r="V3" s="724"/>
      <c r="W3" s="724"/>
      <c r="X3" s="724"/>
      <c r="Y3" s="724"/>
      <c r="Z3" s="724"/>
      <c r="AA3" s="724"/>
      <c r="AB3" s="724"/>
      <c r="AC3" s="724"/>
      <c r="AD3" s="724"/>
      <c r="AE3" s="724"/>
      <c r="AF3" s="724"/>
      <c r="AG3" s="724"/>
      <c r="AH3" s="724"/>
      <c r="AI3" s="724"/>
      <c r="AJ3" s="724"/>
      <c r="AK3" s="724"/>
      <c r="AL3" s="724"/>
      <c r="AM3" s="724"/>
      <c r="AN3" s="724"/>
      <c r="AO3" s="724"/>
      <c r="AP3" s="724"/>
      <c r="AQ3" s="598"/>
      <c r="AR3" s="598"/>
      <c r="AS3" s="598"/>
      <c r="AT3" s="598"/>
      <c r="AU3" s="598"/>
      <c r="AV3" s="598"/>
      <c r="AW3" s="598"/>
      <c r="AX3" s="598"/>
      <c r="AY3" s="598"/>
      <c r="AZ3" s="598"/>
      <c r="BA3" s="598"/>
      <c r="BB3" s="598"/>
      <c r="BC3" s="598"/>
      <c r="BD3" s="598"/>
      <c r="BE3" s="598"/>
      <c r="BF3" s="598"/>
      <c r="BG3" s="598"/>
      <c r="BH3" s="598"/>
      <c r="BI3" s="598"/>
      <c r="BJ3" s="598"/>
      <c r="BK3" s="598"/>
      <c r="BL3" s="598"/>
      <c r="BM3" s="598"/>
      <c r="BN3" s="598"/>
      <c r="BO3" s="598"/>
      <c r="BP3" s="598" t="s">
        <v>495</v>
      </c>
      <c r="BQ3" s="598"/>
      <c r="BR3" s="598"/>
      <c r="BS3" s="598"/>
      <c r="BT3" s="598"/>
      <c r="BU3" s="598"/>
      <c r="BV3" s="598" t="s">
        <v>495</v>
      </c>
      <c r="BW3" s="598"/>
      <c r="BX3" s="598"/>
      <c r="BY3" s="598"/>
      <c r="BZ3" s="598"/>
      <c r="CA3" s="598"/>
    </row>
    <row r="4" spans="1:79" x14ac:dyDescent="0.2">
      <c r="A4" s="723"/>
      <c r="B4" s="723"/>
      <c r="C4" s="723"/>
      <c r="D4" s="723"/>
      <c r="E4" s="723"/>
      <c r="F4" s="723"/>
      <c r="G4" s="723"/>
      <c r="H4" s="723"/>
      <c r="I4" s="724"/>
      <c r="J4" s="724"/>
      <c r="K4" s="724"/>
      <c r="L4" s="724"/>
      <c r="M4" s="724"/>
      <c r="N4" s="724"/>
      <c r="O4" s="724"/>
      <c r="P4" s="724"/>
      <c r="Q4" s="724"/>
      <c r="R4" s="724"/>
      <c r="S4" s="724"/>
      <c r="T4" s="724"/>
      <c r="U4" s="724"/>
      <c r="V4" s="724"/>
      <c r="W4" s="724"/>
      <c r="X4" s="724"/>
      <c r="Y4" s="724"/>
      <c r="Z4" s="724"/>
      <c r="AA4" s="724"/>
      <c r="AB4" s="724"/>
      <c r="AC4" s="724"/>
      <c r="AD4" s="724"/>
      <c r="AE4" s="724"/>
      <c r="AF4" s="724"/>
      <c r="AG4" s="724"/>
      <c r="AH4" s="724"/>
      <c r="AI4" s="724"/>
      <c r="AJ4" s="724"/>
      <c r="AK4" s="724"/>
      <c r="AL4" s="724"/>
      <c r="AM4" s="724"/>
      <c r="AN4" s="724"/>
      <c r="AO4" s="724"/>
      <c r="AP4" s="724"/>
      <c r="AQ4" s="598"/>
      <c r="AR4" s="598"/>
      <c r="AS4" s="598"/>
      <c r="AT4" s="598"/>
      <c r="AU4" s="598"/>
      <c r="AV4" s="598"/>
      <c r="AW4" s="598"/>
      <c r="AX4" s="598"/>
      <c r="AY4" s="598"/>
      <c r="AZ4" s="598"/>
      <c r="BA4" s="598"/>
      <c r="BB4" s="598"/>
      <c r="BC4" s="598"/>
      <c r="BD4" s="598"/>
      <c r="BE4" s="598"/>
      <c r="BF4" s="598"/>
      <c r="BG4" s="598"/>
      <c r="BH4" s="598"/>
      <c r="BI4" s="598"/>
      <c r="BJ4" s="598"/>
      <c r="BK4" s="598"/>
      <c r="BL4" s="598"/>
      <c r="BM4" s="598"/>
      <c r="BN4" s="598"/>
      <c r="BO4" s="598"/>
      <c r="BP4" s="598"/>
      <c r="BQ4" s="598"/>
      <c r="BR4" s="598"/>
      <c r="BS4" s="598"/>
      <c r="BT4" s="598"/>
      <c r="BU4" s="598"/>
      <c r="BV4" s="598"/>
      <c r="BW4" s="598"/>
      <c r="BX4" s="598"/>
      <c r="BY4" s="598"/>
      <c r="BZ4" s="598"/>
      <c r="CA4" s="598"/>
    </row>
    <row r="5" spans="1:79" x14ac:dyDescent="0.2">
      <c r="A5" s="723"/>
      <c r="B5" s="723"/>
      <c r="C5" s="723"/>
      <c r="D5" s="723"/>
      <c r="E5" s="723"/>
      <c r="F5" s="723"/>
      <c r="G5" s="723"/>
      <c r="H5" s="723"/>
      <c r="I5" s="724"/>
      <c r="J5" s="724"/>
      <c r="K5" s="724"/>
      <c r="L5" s="724"/>
      <c r="M5" s="724"/>
      <c r="N5" s="724"/>
      <c r="O5" s="724"/>
      <c r="P5" s="724"/>
      <c r="Q5" s="724"/>
      <c r="R5" s="724"/>
      <c r="S5" s="724"/>
      <c r="T5" s="724"/>
      <c r="U5" s="724"/>
      <c r="V5" s="724"/>
      <c r="W5" s="724"/>
      <c r="X5" s="724"/>
      <c r="Y5" s="724"/>
      <c r="Z5" s="724"/>
      <c r="AA5" s="724"/>
      <c r="AB5" s="724"/>
      <c r="AC5" s="724"/>
      <c r="AD5" s="724"/>
      <c r="AE5" s="724"/>
      <c r="AF5" s="724"/>
      <c r="AG5" s="724"/>
      <c r="AH5" s="724"/>
      <c r="AI5" s="724"/>
      <c r="AJ5" s="724"/>
      <c r="AK5" s="724"/>
      <c r="AL5" s="724"/>
      <c r="AM5" s="724"/>
      <c r="AN5" s="724"/>
      <c r="AO5" s="724"/>
      <c r="AP5" s="724"/>
      <c r="AQ5" s="598"/>
      <c r="AR5" s="598"/>
      <c r="AS5" s="598"/>
      <c r="AT5" s="598"/>
      <c r="AU5" s="598"/>
      <c r="AV5" s="598"/>
      <c r="AW5" s="598"/>
      <c r="AX5" s="598"/>
      <c r="AY5" s="598"/>
      <c r="AZ5" s="598"/>
      <c r="BA5" s="598"/>
      <c r="BB5" s="598"/>
      <c r="BC5" s="598"/>
      <c r="BD5" s="598"/>
      <c r="BE5" s="598"/>
      <c r="BF5" s="598"/>
      <c r="BG5" s="598"/>
      <c r="BH5" s="598"/>
      <c r="BI5" s="598"/>
      <c r="BJ5" s="598"/>
      <c r="BK5" s="598"/>
      <c r="BL5" s="598"/>
      <c r="BM5" s="598"/>
      <c r="BN5" s="598"/>
      <c r="BO5" s="598"/>
      <c r="BP5" s="598"/>
      <c r="BQ5" s="598"/>
      <c r="BR5" s="598"/>
      <c r="BS5" s="598"/>
      <c r="BT5" s="598"/>
      <c r="BU5" s="598"/>
      <c r="BV5" s="598"/>
      <c r="BW5" s="598"/>
      <c r="BX5" s="598"/>
      <c r="BY5" s="598"/>
      <c r="BZ5" s="598"/>
      <c r="CA5" s="598"/>
    </row>
    <row r="6" spans="1:79" x14ac:dyDescent="0.2">
      <c r="A6" s="626" t="s">
        <v>465</v>
      </c>
      <c r="B6" s="626"/>
      <c r="C6" s="626"/>
      <c r="D6" s="626"/>
      <c r="E6" s="626"/>
      <c r="F6" s="626"/>
      <c r="G6" s="626"/>
      <c r="H6" s="626"/>
      <c r="I6" s="626"/>
      <c r="J6" s="626"/>
      <c r="K6" s="626"/>
      <c r="L6" s="626"/>
      <c r="M6" s="626"/>
      <c r="N6" s="626"/>
      <c r="O6" s="626"/>
      <c r="P6" s="626"/>
      <c r="Q6" s="626"/>
      <c r="R6" s="626"/>
      <c r="S6" s="626"/>
      <c r="T6" s="626"/>
      <c r="U6" s="626"/>
      <c r="V6" s="626" t="s">
        <v>466</v>
      </c>
      <c r="W6" s="626"/>
      <c r="X6" s="626"/>
      <c r="Y6" s="626"/>
      <c r="Z6" s="626"/>
      <c r="AA6" s="626"/>
      <c r="AB6" s="626"/>
      <c r="AC6" s="626"/>
      <c r="AD6" s="626"/>
      <c r="AE6" s="626"/>
      <c r="AF6" s="626"/>
      <c r="AG6" s="626"/>
      <c r="AH6" s="626"/>
      <c r="AI6" s="626"/>
      <c r="AJ6" s="626"/>
      <c r="AK6" s="626"/>
      <c r="AL6" s="626"/>
      <c r="AM6" s="626"/>
      <c r="AN6" s="626"/>
      <c r="AO6" s="626"/>
      <c r="AP6" s="626"/>
      <c r="AQ6" s="598"/>
      <c r="AR6" s="598"/>
      <c r="AS6" s="598"/>
      <c r="AT6" s="598"/>
      <c r="AU6" s="598"/>
      <c r="AV6" s="598"/>
      <c r="AW6" s="598"/>
      <c r="AX6" s="598"/>
      <c r="AY6" s="598"/>
      <c r="AZ6" s="598"/>
      <c r="BA6" s="598"/>
      <c r="BB6" s="598"/>
      <c r="BC6" s="598"/>
      <c r="BD6" s="598"/>
      <c r="BE6" s="598"/>
      <c r="BF6" s="598"/>
      <c r="BG6" s="598"/>
      <c r="BH6" s="598"/>
      <c r="BI6" s="598"/>
      <c r="BJ6" s="598"/>
      <c r="BK6" s="598"/>
      <c r="BL6" s="598"/>
      <c r="BM6" s="598"/>
      <c r="BN6" s="598"/>
      <c r="BO6" s="598"/>
      <c r="BP6" s="598"/>
      <c r="BQ6" s="598"/>
      <c r="BR6" s="598"/>
      <c r="BS6" s="598"/>
      <c r="BT6" s="598"/>
      <c r="BU6" s="598"/>
      <c r="BV6" s="598"/>
      <c r="BW6" s="598"/>
      <c r="BX6" s="598"/>
      <c r="BY6" s="598"/>
      <c r="BZ6" s="598"/>
      <c r="CA6" s="598"/>
    </row>
    <row r="7" spans="1:79" x14ac:dyDescent="0.2">
      <c r="A7" s="626"/>
      <c r="B7" s="626"/>
      <c r="C7" s="626"/>
      <c r="D7" s="626"/>
      <c r="E7" s="626"/>
      <c r="F7" s="626"/>
      <c r="G7" s="626"/>
      <c r="H7" s="626"/>
      <c r="I7" s="626"/>
      <c r="J7" s="626"/>
      <c r="K7" s="626"/>
      <c r="L7" s="626"/>
      <c r="M7" s="626"/>
      <c r="N7" s="626"/>
      <c r="O7" s="626"/>
      <c r="P7" s="626"/>
      <c r="Q7" s="626"/>
      <c r="R7" s="626"/>
      <c r="S7" s="626"/>
      <c r="T7" s="626"/>
      <c r="U7" s="626"/>
      <c r="V7" s="626"/>
      <c r="W7" s="626"/>
      <c r="X7" s="626"/>
      <c r="Y7" s="626"/>
      <c r="Z7" s="626"/>
      <c r="AA7" s="626"/>
      <c r="AB7" s="626"/>
      <c r="AC7" s="626"/>
      <c r="AD7" s="626"/>
      <c r="AE7" s="626"/>
      <c r="AF7" s="626"/>
      <c r="AG7" s="626"/>
      <c r="AH7" s="626"/>
      <c r="AI7" s="626"/>
      <c r="AJ7" s="626"/>
      <c r="AK7" s="626"/>
      <c r="AL7" s="626"/>
      <c r="AM7" s="626"/>
      <c r="AN7" s="626"/>
      <c r="AO7" s="626"/>
      <c r="AP7" s="626"/>
      <c r="AQ7" s="598"/>
      <c r="AR7" s="598"/>
      <c r="AS7" s="598"/>
      <c r="AT7" s="598"/>
      <c r="AU7" s="598"/>
      <c r="AV7" s="598"/>
      <c r="AW7" s="598"/>
      <c r="AX7" s="598"/>
      <c r="AY7" s="598"/>
      <c r="AZ7" s="598"/>
      <c r="BA7" s="598"/>
      <c r="BB7" s="598"/>
      <c r="BC7" s="598"/>
      <c r="BD7" s="598"/>
      <c r="BE7" s="598"/>
      <c r="BF7" s="598"/>
      <c r="BG7" s="598"/>
      <c r="BH7" s="598"/>
      <c r="BI7" s="598"/>
      <c r="BJ7" s="598"/>
      <c r="BK7" s="598"/>
      <c r="BL7" s="598"/>
      <c r="BM7" s="598"/>
      <c r="BN7" s="598"/>
      <c r="BO7" s="598"/>
      <c r="BP7" s="598"/>
      <c r="BQ7" s="598"/>
      <c r="BR7" s="598"/>
      <c r="BS7" s="598"/>
      <c r="BT7" s="598"/>
      <c r="BU7" s="598"/>
      <c r="BV7" s="598"/>
      <c r="BW7" s="598"/>
      <c r="BX7" s="598"/>
      <c r="BY7" s="598"/>
      <c r="BZ7" s="598"/>
      <c r="CA7" s="598"/>
    </row>
    <row r="8" spans="1:79" x14ac:dyDescent="0.2">
      <c r="A8" s="626" t="s">
        <v>310</v>
      </c>
      <c r="B8" s="626"/>
      <c r="C8" s="626"/>
      <c r="D8" s="626"/>
      <c r="E8" s="626"/>
      <c r="F8" s="626"/>
      <c r="G8" s="626"/>
      <c r="H8" s="626"/>
      <c r="I8" s="626"/>
      <c r="J8" s="626"/>
      <c r="K8" s="626"/>
      <c r="L8" s="626"/>
      <c r="M8" s="626"/>
      <c r="N8" s="626"/>
      <c r="O8" s="626"/>
      <c r="P8" s="626"/>
      <c r="Q8" s="626"/>
      <c r="R8" s="626"/>
      <c r="S8" s="626"/>
      <c r="T8" s="626"/>
      <c r="U8" s="626"/>
      <c r="V8" s="626" t="s">
        <v>311</v>
      </c>
      <c r="W8" s="626"/>
      <c r="X8" s="626"/>
      <c r="Y8" s="626"/>
      <c r="Z8" s="626"/>
      <c r="AA8" s="626"/>
      <c r="AB8" s="626"/>
      <c r="AC8" s="626"/>
      <c r="AD8" s="626"/>
      <c r="AE8" s="626"/>
      <c r="AF8" s="626"/>
      <c r="AG8" s="626"/>
      <c r="AH8" s="626"/>
      <c r="AI8" s="626"/>
      <c r="AJ8" s="626"/>
      <c r="AK8" s="626"/>
      <c r="AL8" s="626"/>
      <c r="AM8" s="626"/>
      <c r="AN8" s="626"/>
      <c r="AO8" s="626"/>
      <c r="AP8" s="626"/>
      <c r="AQ8" s="626" t="s">
        <v>312</v>
      </c>
      <c r="AR8" s="626"/>
      <c r="AS8" s="626"/>
      <c r="AT8" s="626"/>
      <c r="AU8" s="626"/>
      <c r="AV8" s="626"/>
      <c r="AW8" s="722"/>
      <c r="AX8" s="722"/>
      <c r="AY8" s="722"/>
      <c r="AZ8" s="722"/>
      <c r="BA8" s="722"/>
      <c r="BB8" s="722"/>
      <c r="BC8" s="722"/>
      <c r="BD8" s="722"/>
      <c r="BE8" s="722"/>
      <c r="BF8" s="722"/>
      <c r="BG8" s="626" t="s">
        <v>313</v>
      </c>
      <c r="BH8" s="626"/>
      <c r="BI8" s="626"/>
      <c r="BJ8" s="626"/>
      <c r="BK8" s="626"/>
      <c r="BL8" s="626"/>
      <c r="BM8" s="722"/>
      <c r="BN8" s="722"/>
      <c r="BO8" s="722"/>
      <c r="BP8" s="722"/>
      <c r="BQ8" s="722"/>
      <c r="BR8" s="722"/>
      <c r="BS8" s="722"/>
      <c r="BT8" s="722"/>
      <c r="BU8" s="722"/>
      <c r="BV8" s="722"/>
      <c r="BW8" s="626" t="s">
        <v>11</v>
      </c>
      <c r="BX8" s="626"/>
      <c r="BY8" s="626"/>
      <c r="BZ8" s="626"/>
      <c r="CA8" s="626"/>
    </row>
    <row r="9" spans="1:79" x14ac:dyDescent="0.2">
      <c r="A9" s="626"/>
      <c r="B9" s="626"/>
      <c r="C9" s="626"/>
      <c r="D9" s="626"/>
      <c r="E9" s="626"/>
      <c r="F9" s="626"/>
      <c r="G9" s="626"/>
      <c r="H9" s="626"/>
      <c r="I9" s="626"/>
      <c r="J9" s="626"/>
      <c r="K9" s="626"/>
      <c r="L9" s="626"/>
      <c r="M9" s="626"/>
      <c r="N9" s="626"/>
      <c r="O9" s="626"/>
      <c r="P9" s="626"/>
      <c r="Q9" s="626"/>
      <c r="R9" s="626"/>
      <c r="S9" s="626"/>
      <c r="T9" s="626"/>
      <c r="U9" s="626"/>
      <c r="V9" s="626"/>
      <c r="W9" s="626"/>
      <c r="X9" s="626"/>
      <c r="Y9" s="626"/>
      <c r="Z9" s="626"/>
      <c r="AA9" s="626"/>
      <c r="AB9" s="626"/>
      <c r="AC9" s="626"/>
      <c r="AD9" s="626"/>
      <c r="AE9" s="626"/>
      <c r="AF9" s="626"/>
      <c r="AG9" s="626"/>
      <c r="AH9" s="626"/>
      <c r="AI9" s="626"/>
      <c r="AJ9" s="626"/>
      <c r="AK9" s="626"/>
      <c r="AL9" s="626"/>
      <c r="AM9" s="626"/>
      <c r="AN9" s="626"/>
      <c r="AO9" s="626"/>
      <c r="AP9" s="626"/>
      <c r="AQ9" s="626" t="s">
        <v>314</v>
      </c>
      <c r="AR9" s="626"/>
      <c r="AS9" s="626"/>
      <c r="AT9" s="626"/>
      <c r="AU9" s="626"/>
      <c r="AV9" s="626"/>
      <c r="AW9" s="626"/>
      <c r="AX9" s="626"/>
      <c r="AY9" s="626"/>
      <c r="AZ9" s="626"/>
      <c r="BA9" s="626"/>
      <c r="BB9" s="626"/>
      <c r="BC9" s="626"/>
      <c r="BD9" s="626"/>
      <c r="BE9" s="626"/>
      <c r="BF9" s="626"/>
      <c r="BG9" s="626" t="s">
        <v>315</v>
      </c>
      <c r="BH9" s="626"/>
      <c r="BI9" s="626"/>
      <c r="BJ9" s="626"/>
      <c r="BK9" s="626"/>
      <c r="BL9" s="626"/>
      <c r="BM9" s="626"/>
      <c r="BN9" s="626"/>
      <c r="BO9" s="626"/>
      <c r="BP9" s="626"/>
      <c r="BQ9" s="626"/>
      <c r="BR9" s="626"/>
      <c r="BS9" s="626"/>
      <c r="BT9" s="626"/>
      <c r="BU9" s="626"/>
      <c r="BV9" s="626"/>
      <c r="BW9" s="713"/>
      <c r="BX9" s="713"/>
      <c r="BY9" s="713"/>
      <c r="BZ9" s="713"/>
      <c r="CA9" s="713"/>
    </row>
    <row r="11" spans="1:79" x14ac:dyDescent="0.2">
      <c r="A11" s="624" t="s">
        <v>208</v>
      </c>
      <c r="B11" s="624"/>
      <c r="C11" s="624"/>
      <c r="D11" s="624"/>
      <c r="E11" s="624"/>
      <c r="F11" s="624"/>
      <c r="G11" s="624"/>
      <c r="H11" s="624"/>
      <c r="I11" s="568" t="s">
        <v>10</v>
      </c>
      <c r="J11" s="569"/>
      <c r="K11" s="569"/>
      <c r="L11" s="569"/>
      <c r="M11" s="569"/>
      <c r="N11" s="569"/>
      <c r="O11" s="569"/>
      <c r="P11" s="569"/>
      <c r="Q11" s="569"/>
      <c r="R11" s="569"/>
      <c r="S11" s="569"/>
      <c r="T11" s="569"/>
      <c r="U11" s="570"/>
      <c r="AJ11" s="709" t="s">
        <v>712</v>
      </c>
      <c r="AK11" s="710"/>
      <c r="AL11" s="710"/>
      <c r="AM11" s="711"/>
      <c r="AN11" s="712"/>
      <c r="AO11" s="712"/>
      <c r="AP11" s="712"/>
      <c r="AQ11" s="712"/>
      <c r="AR11" s="712"/>
      <c r="AS11" s="712"/>
      <c r="AT11" s="712"/>
      <c r="AU11" s="712"/>
      <c r="AV11" s="712"/>
      <c r="AW11" s="712"/>
      <c r="AX11" s="712"/>
      <c r="AY11" s="712"/>
      <c r="AZ11" s="712"/>
      <c r="BA11" s="712"/>
      <c r="BB11" s="712"/>
      <c r="BC11" s="712"/>
      <c r="BD11" s="712"/>
      <c r="BE11" s="712"/>
      <c r="BF11" s="712"/>
      <c r="BG11" s="712"/>
      <c r="BH11" s="712"/>
      <c r="BI11" s="712"/>
      <c r="BJ11" s="712"/>
      <c r="BK11" s="712"/>
      <c r="BL11" s="712"/>
      <c r="BM11" s="712"/>
      <c r="BN11" s="712"/>
      <c r="BO11" s="712"/>
      <c r="BP11" s="712"/>
      <c r="BQ11" s="712"/>
      <c r="BR11" s="712"/>
      <c r="BS11" s="712"/>
      <c r="BT11" s="712"/>
      <c r="BU11" s="712"/>
      <c r="BV11" s="712"/>
      <c r="BW11" s="712"/>
      <c r="BX11" s="712"/>
      <c r="BY11" s="712"/>
      <c r="BZ11" s="712"/>
      <c r="CA11" s="712"/>
    </row>
    <row r="12" spans="1:79" x14ac:dyDescent="0.2">
      <c r="A12" s="624"/>
      <c r="B12" s="624"/>
      <c r="C12" s="624"/>
      <c r="D12" s="624"/>
      <c r="E12" s="624"/>
      <c r="F12" s="624"/>
      <c r="G12" s="624"/>
      <c r="H12" s="624"/>
      <c r="I12" s="580"/>
      <c r="J12" s="581"/>
      <c r="K12" s="581"/>
      <c r="L12" s="581"/>
      <c r="M12" s="581"/>
      <c r="N12" s="581"/>
      <c r="O12" s="581"/>
      <c r="P12" s="581"/>
      <c r="Q12" s="581"/>
      <c r="R12" s="581"/>
      <c r="S12" s="581"/>
      <c r="T12" s="581"/>
      <c r="U12" s="582"/>
      <c r="AJ12" s="710"/>
      <c r="AK12" s="710"/>
      <c r="AL12" s="710"/>
      <c r="AM12" s="712"/>
      <c r="AN12" s="712"/>
      <c r="AO12" s="712"/>
      <c r="AP12" s="712"/>
      <c r="AQ12" s="712"/>
      <c r="AR12" s="712"/>
      <c r="AS12" s="712"/>
      <c r="AT12" s="712"/>
      <c r="AU12" s="712"/>
      <c r="AV12" s="712"/>
      <c r="AW12" s="712"/>
      <c r="AX12" s="712"/>
      <c r="AY12" s="712"/>
      <c r="AZ12" s="712"/>
      <c r="BA12" s="712"/>
      <c r="BB12" s="712"/>
      <c r="BC12" s="712"/>
      <c r="BD12" s="712"/>
      <c r="BE12" s="712"/>
      <c r="BF12" s="712"/>
      <c r="BG12" s="712"/>
      <c r="BH12" s="712"/>
      <c r="BI12" s="712"/>
      <c r="BJ12" s="712"/>
      <c r="BK12" s="712"/>
      <c r="BL12" s="712"/>
      <c r="BM12" s="712"/>
      <c r="BN12" s="712"/>
      <c r="BO12" s="712"/>
      <c r="BP12" s="712"/>
      <c r="BQ12" s="712"/>
      <c r="BR12" s="712"/>
      <c r="BS12" s="712"/>
      <c r="BT12" s="712"/>
      <c r="BU12" s="712"/>
      <c r="BV12" s="712"/>
      <c r="BW12" s="712"/>
      <c r="BX12" s="712"/>
      <c r="BY12" s="712"/>
      <c r="BZ12" s="712"/>
      <c r="CA12" s="712"/>
    </row>
    <row r="13" spans="1:79" x14ac:dyDescent="0.2">
      <c r="AJ13" s="710"/>
      <c r="AK13" s="710"/>
      <c r="AL13" s="710"/>
      <c r="AM13" s="712"/>
      <c r="AN13" s="712"/>
      <c r="AO13" s="712"/>
      <c r="AP13" s="712"/>
      <c r="AQ13" s="712"/>
      <c r="AR13" s="712"/>
      <c r="AS13" s="712"/>
      <c r="AT13" s="712"/>
      <c r="AU13" s="712"/>
      <c r="AV13" s="712"/>
      <c r="AW13" s="712"/>
      <c r="AX13" s="712"/>
      <c r="AY13" s="712"/>
      <c r="AZ13" s="712"/>
      <c r="BA13" s="712"/>
      <c r="BB13" s="712"/>
      <c r="BC13" s="712"/>
      <c r="BD13" s="712"/>
      <c r="BE13" s="712"/>
      <c r="BF13" s="712"/>
      <c r="BG13" s="712"/>
      <c r="BH13" s="712"/>
      <c r="BI13" s="712"/>
      <c r="BJ13" s="712"/>
      <c r="BK13" s="712"/>
      <c r="BL13" s="712"/>
      <c r="BM13" s="712"/>
      <c r="BN13" s="712"/>
      <c r="BO13" s="712"/>
      <c r="BP13" s="712"/>
      <c r="BQ13" s="712"/>
      <c r="BR13" s="712"/>
      <c r="BS13" s="712"/>
      <c r="BT13" s="712"/>
      <c r="BU13" s="712"/>
      <c r="BV13" s="712"/>
      <c r="BW13" s="712"/>
      <c r="BX13" s="712"/>
      <c r="BY13" s="712"/>
      <c r="BZ13" s="712"/>
      <c r="CA13" s="712"/>
    </row>
    <row r="14" spans="1:79" x14ac:dyDescent="0.2">
      <c r="A14" t="s">
        <v>12</v>
      </c>
      <c r="AJ14" s="710"/>
      <c r="AK14" s="710"/>
      <c r="AL14" s="710"/>
      <c r="AM14" s="712"/>
      <c r="AN14" s="712"/>
      <c r="AO14" s="712"/>
      <c r="AP14" s="712"/>
      <c r="AQ14" s="712"/>
      <c r="AR14" s="712"/>
      <c r="AS14" s="712"/>
      <c r="AT14" s="712"/>
      <c r="AU14" s="712"/>
      <c r="AV14" s="712"/>
      <c r="AW14" s="712"/>
      <c r="AX14" s="712"/>
      <c r="AY14" s="712"/>
      <c r="AZ14" s="712"/>
      <c r="BA14" s="712"/>
      <c r="BB14" s="712"/>
      <c r="BC14" s="712"/>
      <c r="BD14" s="712"/>
      <c r="BE14" s="712"/>
      <c r="BF14" s="712"/>
      <c r="BG14" s="712"/>
      <c r="BH14" s="712"/>
      <c r="BI14" s="712"/>
      <c r="BJ14" s="712"/>
      <c r="BK14" s="712"/>
      <c r="BL14" s="712"/>
      <c r="BM14" s="712"/>
      <c r="BN14" s="712"/>
      <c r="BO14" s="712"/>
      <c r="BP14" s="712"/>
      <c r="BQ14" s="712"/>
      <c r="BR14" s="712"/>
      <c r="BS14" s="712"/>
      <c r="BT14" s="712"/>
      <c r="BU14" s="712"/>
      <c r="BV14" s="712"/>
      <c r="BW14" s="712"/>
      <c r="BX14" s="712"/>
      <c r="BY14" s="712"/>
      <c r="BZ14" s="712"/>
      <c r="CA14" s="712"/>
    </row>
    <row r="15" spans="1:79" x14ac:dyDescent="0.2">
      <c r="A15" s="640" t="s">
        <v>210</v>
      </c>
      <c r="B15" s="640"/>
      <c r="C15" s="640"/>
      <c r="D15" s="640"/>
      <c r="E15" s="640"/>
      <c r="F15" s="640"/>
      <c r="G15" s="640"/>
      <c r="H15" s="640"/>
      <c r="I15" s="640" t="s">
        <v>13</v>
      </c>
      <c r="J15" s="640"/>
      <c r="K15" s="640"/>
      <c r="L15" s="640"/>
      <c r="M15" s="640"/>
      <c r="N15" s="640"/>
      <c r="O15" s="640"/>
      <c r="P15" s="640"/>
      <c r="Q15" s="640"/>
      <c r="R15" s="640"/>
      <c r="S15" s="640"/>
      <c r="T15" s="640"/>
      <c r="U15" s="640"/>
      <c r="V15" s="640" t="s">
        <v>254</v>
      </c>
      <c r="W15" s="640"/>
      <c r="X15" s="640"/>
      <c r="Y15" s="640"/>
      <c r="Z15" s="640"/>
      <c r="AA15" s="640"/>
      <c r="AB15" s="640"/>
      <c r="AC15" s="640"/>
      <c r="AD15" s="640"/>
      <c r="AE15" s="640"/>
      <c r="AF15" s="640"/>
      <c r="AG15" s="640"/>
      <c r="AH15" s="640"/>
      <c r="AJ15" s="710"/>
      <c r="AK15" s="710"/>
      <c r="AL15" s="710"/>
      <c r="AM15" s="712"/>
      <c r="AN15" s="712"/>
      <c r="AO15" s="712"/>
      <c r="AP15" s="712"/>
      <c r="AQ15" s="712"/>
      <c r="AR15" s="712"/>
      <c r="AS15" s="712"/>
      <c r="AT15" s="712"/>
      <c r="AU15" s="712"/>
      <c r="AV15" s="712"/>
      <c r="AW15" s="712"/>
      <c r="AX15" s="712"/>
      <c r="AY15" s="712"/>
      <c r="AZ15" s="712"/>
      <c r="BA15" s="712"/>
      <c r="BB15" s="712"/>
      <c r="BC15" s="712"/>
      <c r="BD15" s="712"/>
      <c r="BE15" s="712"/>
      <c r="BF15" s="712"/>
      <c r="BG15" s="712"/>
      <c r="BH15" s="712"/>
      <c r="BI15" s="712"/>
      <c r="BJ15" s="712"/>
      <c r="BK15" s="712"/>
      <c r="BL15" s="712"/>
      <c r="BM15" s="712"/>
      <c r="BN15" s="712"/>
      <c r="BO15" s="712"/>
      <c r="BP15" s="712"/>
      <c r="BQ15" s="712"/>
      <c r="BR15" s="712"/>
      <c r="BS15" s="712"/>
      <c r="BT15" s="712"/>
      <c r="BU15" s="712"/>
      <c r="BV15" s="712"/>
      <c r="BW15" s="712"/>
      <c r="BX15" s="712"/>
      <c r="BY15" s="712"/>
      <c r="BZ15" s="712"/>
      <c r="CA15" s="712"/>
    </row>
    <row r="16" spans="1:79" x14ac:dyDescent="0.2">
      <c r="A16" s="726" t="s">
        <v>255</v>
      </c>
      <c r="B16" s="726"/>
      <c r="C16" s="726"/>
      <c r="D16" s="726"/>
      <c r="E16" s="726"/>
      <c r="F16" s="726"/>
      <c r="G16" s="726"/>
      <c r="H16" s="726"/>
      <c r="I16" s="725">
        <v>0.2</v>
      </c>
      <c r="J16" s="725"/>
      <c r="K16" s="725"/>
      <c r="L16" s="725"/>
      <c r="M16" s="725"/>
      <c r="N16" s="725"/>
      <c r="O16" s="725"/>
      <c r="P16" s="725"/>
      <c r="Q16" s="725"/>
      <c r="R16" s="725"/>
      <c r="S16" s="725"/>
      <c r="T16" s="725"/>
      <c r="U16" s="725"/>
      <c r="V16" s="725" t="s">
        <v>256</v>
      </c>
      <c r="W16" s="725"/>
      <c r="X16" s="725"/>
      <c r="Y16" s="725"/>
      <c r="Z16" s="725"/>
      <c r="AA16" s="725"/>
      <c r="AB16" s="725"/>
      <c r="AC16" s="725"/>
      <c r="AD16" s="725"/>
      <c r="AE16" s="725"/>
      <c r="AF16" s="725"/>
      <c r="AG16" s="725"/>
      <c r="AH16" s="725"/>
      <c r="AJ16" s="710"/>
      <c r="AK16" s="710"/>
      <c r="AL16" s="710"/>
      <c r="AM16" s="712"/>
      <c r="AN16" s="712"/>
      <c r="AO16" s="712"/>
      <c r="AP16" s="712"/>
      <c r="AQ16" s="712"/>
      <c r="AR16" s="712"/>
      <c r="AS16" s="712"/>
      <c r="AT16" s="712"/>
      <c r="AU16" s="712"/>
      <c r="AV16" s="712"/>
      <c r="AW16" s="712"/>
      <c r="AX16" s="712"/>
      <c r="AY16" s="712"/>
      <c r="AZ16" s="712"/>
      <c r="BA16" s="712"/>
      <c r="BB16" s="712"/>
      <c r="BC16" s="712"/>
      <c r="BD16" s="712"/>
      <c r="BE16" s="712"/>
      <c r="BF16" s="712"/>
      <c r="BG16" s="712"/>
      <c r="BH16" s="712"/>
      <c r="BI16" s="712"/>
      <c r="BJ16" s="712"/>
      <c r="BK16" s="712"/>
      <c r="BL16" s="712"/>
      <c r="BM16" s="712"/>
      <c r="BN16" s="712"/>
      <c r="BO16" s="712"/>
      <c r="BP16" s="712"/>
      <c r="BQ16" s="712"/>
      <c r="BR16" s="712"/>
      <c r="BS16" s="712"/>
      <c r="BT16" s="712"/>
      <c r="BU16" s="712"/>
      <c r="BV16" s="712"/>
      <c r="BW16" s="712"/>
      <c r="BX16" s="712"/>
      <c r="BY16" s="712"/>
      <c r="BZ16" s="712"/>
      <c r="CA16" s="712"/>
    </row>
    <row r="17" spans="1:79" x14ac:dyDescent="0.2">
      <c r="A17" s="726" t="s">
        <v>257</v>
      </c>
      <c r="B17" s="726"/>
      <c r="C17" s="726"/>
      <c r="D17" s="726"/>
      <c r="E17" s="726"/>
      <c r="F17" s="726"/>
      <c r="G17" s="726"/>
      <c r="H17" s="726"/>
      <c r="I17" s="725">
        <v>0.15</v>
      </c>
      <c r="J17" s="725"/>
      <c r="K17" s="725"/>
      <c r="L17" s="725"/>
      <c r="M17" s="725"/>
      <c r="N17" s="725"/>
      <c r="O17" s="725"/>
      <c r="P17" s="725"/>
      <c r="Q17" s="725"/>
      <c r="R17" s="725"/>
      <c r="S17" s="725"/>
      <c r="T17" s="725"/>
      <c r="U17" s="725"/>
      <c r="V17" s="725" t="s">
        <v>258</v>
      </c>
      <c r="W17" s="725"/>
      <c r="X17" s="725"/>
      <c r="Y17" s="725"/>
      <c r="Z17" s="725"/>
      <c r="AA17" s="725"/>
      <c r="AB17" s="725"/>
      <c r="AC17" s="725"/>
      <c r="AD17" s="725"/>
      <c r="AE17" s="725"/>
      <c r="AF17" s="725"/>
      <c r="AG17" s="725"/>
      <c r="AH17" s="725"/>
      <c r="AJ17" s="710"/>
      <c r="AK17" s="710"/>
      <c r="AL17" s="710"/>
      <c r="AM17" s="712"/>
      <c r="AN17" s="712"/>
      <c r="AO17" s="712"/>
      <c r="AP17" s="712"/>
      <c r="AQ17" s="712"/>
      <c r="AR17" s="712"/>
      <c r="AS17" s="712"/>
      <c r="AT17" s="712"/>
      <c r="AU17" s="712"/>
      <c r="AV17" s="712"/>
      <c r="AW17" s="712"/>
      <c r="AX17" s="712"/>
      <c r="AY17" s="712"/>
      <c r="AZ17" s="712"/>
      <c r="BA17" s="712"/>
      <c r="BB17" s="712"/>
      <c r="BC17" s="712"/>
      <c r="BD17" s="712"/>
      <c r="BE17" s="712"/>
      <c r="BF17" s="712"/>
      <c r="BG17" s="712"/>
      <c r="BH17" s="712"/>
      <c r="BI17" s="712"/>
      <c r="BJ17" s="712"/>
      <c r="BK17" s="712"/>
      <c r="BL17" s="712"/>
      <c r="BM17" s="712"/>
      <c r="BN17" s="712"/>
      <c r="BO17" s="712"/>
      <c r="BP17" s="712"/>
      <c r="BQ17" s="712"/>
      <c r="BR17" s="712"/>
      <c r="BS17" s="712"/>
      <c r="BT17" s="712"/>
      <c r="BU17" s="712"/>
      <c r="BV17" s="712"/>
      <c r="BW17" s="712"/>
      <c r="BX17" s="712"/>
      <c r="BY17" s="712"/>
      <c r="BZ17" s="712"/>
      <c r="CA17" s="712"/>
    </row>
    <row r="18" spans="1:79" x14ac:dyDescent="0.2">
      <c r="A18" s="726" t="s">
        <v>259</v>
      </c>
      <c r="B18" s="726"/>
      <c r="C18" s="726"/>
      <c r="D18" s="726"/>
      <c r="E18" s="726"/>
      <c r="F18" s="726"/>
      <c r="G18" s="726"/>
      <c r="H18" s="726"/>
      <c r="I18" s="725">
        <v>0.1</v>
      </c>
      <c r="J18" s="725"/>
      <c r="K18" s="725"/>
      <c r="L18" s="725"/>
      <c r="M18" s="725"/>
      <c r="N18" s="725"/>
      <c r="O18" s="725"/>
      <c r="P18" s="725"/>
      <c r="Q18" s="725"/>
      <c r="R18" s="725"/>
      <c r="S18" s="725"/>
      <c r="T18" s="725"/>
      <c r="U18" s="725"/>
      <c r="V18" s="725" t="s">
        <v>260</v>
      </c>
      <c r="W18" s="725"/>
      <c r="X18" s="725"/>
      <c r="Y18" s="725"/>
      <c r="Z18" s="725"/>
      <c r="AA18" s="725"/>
      <c r="AB18" s="725"/>
      <c r="AC18" s="725"/>
      <c r="AD18" s="725"/>
      <c r="AE18" s="725"/>
      <c r="AF18" s="725"/>
      <c r="AG18" s="725"/>
      <c r="AH18" s="725"/>
      <c r="AJ18" s="710"/>
      <c r="AK18" s="710"/>
      <c r="AL18" s="710"/>
      <c r="AM18" s="712"/>
      <c r="AN18" s="712"/>
      <c r="AO18" s="712"/>
      <c r="AP18" s="712"/>
      <c r="AQ18" s="712"/>
      <c r="AR18" s="712"/>
      <c r="AS18" s="712"/>
      <c r="AT18" s="712"/>
      <c r="AU18" s="712"/>
      <c r="AV18" s="712"/>
      <c r="AW18" s="712"/>
      <c r="AX18" s="712"/>
      <c r="AY18" s="712"/>
      <c r="AZ18" s="712"/>
      <c r="BA18" s="712"/>
      <c r="BB18" s="712"/>
      <c r="BC18" s="712"/>
      <c r="BD18" s="712"/>
      <c r="BE18" s="712"/>
      <c r="BF18" s="712"/>
      <c r="BG18" s="712"/>
      <c r="BH18" s="712"/>
      <c r="BI18" s="712"/>
      <c r="BJ18" s="712"/>
      <c r="BK18" s="712"/>
      <c r="BL18" s="712"/>
      <c r="BM18" s="712"/>
      <c r="BN18" s="712"/>
      <c r="BO18" s="712"/>
      <c r="BP18" s="712"/>
      <c r="BQ18" s="712"/>
      <c r="BR18" s="712"/>
      <c r="BS18" s="712"/>
      <c r="BT18" s="712"/>
      <c r="BU18" s="712"/>
      <c r="BV18" s="712"/>
      <c r="BW18" s="712"/>
      <c r="BX18" s="712"/>
      <c r="BY18" s="712"/>
      <c r="BZ18" s="712"/>
      <c r="CA18" s="712"/>
    </row>
    <row r="20" spans="1:79" x14ac:dyDescent="0.2">
      <c r="A20" t="s">
        <v>261</v>
      </c>
    </row>
    <row r="21" spans="1:79" x14ac:dyDescent="0.2">
      <c r="A21" s="720" t="s">
        <v>211</v>
      </c>
      <c r="B21" s="721"/>
      <c r="C21" s="721"/>
      <c r="D21" s="721"/>
      <c r="E21" s="721"/>
      <c r="F21" s="721"/>
      <c r="G21" s="721"/>
      <c r="H21" s="721"/>
      <c r="I21" s="721"/>
      <c r="J21" s="721"/>
      <c r="K21" s="721"/>
      <c r="L21" s="721"/>
      <c r="M21" s="696"/>
      <c r="N21" s="720" t="s">
        <v>262</v>
      </c>
      <c r="O21" s="721"/>
      <c r="P21" s="721"/>
      <c r="Q21" s="721"/>
      <c r="R21" s="721"/>
      <c r="S21" s="721"/>
      <c r="T21" s="721"/>
      <c r="U21" s="721"/>
      <c r="V21" s="721"/>
      <c r="W21" s="721"/>
      <c r="X21" s="721"/>
      <c r="Y21" s="721"/>
      <c r="Z21" s="721"/>
      <c r="AA21" s="721"/>
      <c r="AB21" s="721"/>
      <c r="AC21" s="721"/>
      <c r="AD21" s="721"/>
      <c r="AE21" s="721"/>
      <c r="AF21" s="721"/>
      <c r="AG21" s="721"/>
      <c r="AH21" s="721"/>
      <c r="AI21" s="696"/>
      <c r="AJ21" s="720" t="s">
        <v>263</v>
      </c>
      <c r="AK21" s="721"/>
      <c r="AL21" s="721"/>
      <c r="AM21" s="721"/>
      <c r="AN21" s="721"/>
      <c r="AO21" s="721"/>
      <c r="AP21" s="721"/>
      <c r="AQ21" s="721"/>
      <c r="AR21" s="721"/>
      <c r="AS21" s="721"/>
      <c r="AT21" s="721"/>
      <c r="AU21" s="721"/>
      <c r="AV21" s="721"/>
      <c r="AW21" s="721"/>
      <c r="AX21" s="721"/>
      <c r="AY21" s="721"/>
      <c r="AZ21" s="721"/>
      <c r="BA21" s="721"/>
      <c r="BB21" s="721"/>
      <c r="BC21" s="721"/>
      <c r="BD21" s="721"/>
      <c r="BE21" s="696"/>
      <c r="BF21" s="720" t="s">
        <v>259</v>
      </c>
      <c r="BG21" s="721"/>
      <c r="BH21" s="721"/>
      <c r="BI21" s="721"/>
      <c r="BJ21" s="721"/>
      <c r="BK21" s="721"/>
      <c r="BL21" s="721"/>
      <c r="BM21" s="721"/>
      <c r="BN21" s="721"/>
      <c r="BO21" s="721"/>
      <c r="BP21" s="721"/>
      <c r="BQ21" s="721"/>
      <c r="BR21" s="721"/>
      <c r="BS21" s="721"/>
      <c r="BT21" s="721"/>
      <c r="BU21" s="721"/>
      <c r="BV21" s="721"/>
      <c r="BW21" s="721"/>
      <c r="BX21" s="721"/>
      <c r="BY21" s="721"/>
      <c r="BZ21" s="721"/>
      <c r="CA21" s="696"/>
    </row>
    <row r="22" spans="1:79" x14ac:dyDescent="0.2">
      <c r="A22" s="714" t="s">
        <v>219</v>
      </c>
      <c r="B22" s="715"/>
      <c r="C22" s="715"/>
      <c r="D22" s="715"/>
      <c r="E22" s="715"/>
      <c r="F22" s="715"/>
      <c r="G22" s="715"/>
      <c r="H22" s="716"/>
      <c r="I22" s="714" t="s">
        <v>220</v>
      </c>
      <c r="J22" s="715"/>
      <c r="K22" s="715"/>
      <c r="L22" s="715"/>
      <c r="M22" s="716"/>
      <c r="N22" s="714" t="s">
        <v>14</v>
      </c>
      <c r="O22" s="715"/>
      <c r="P22" s="715"/>
      <c r="Q22" s="715"/>
      <c r="R22" s="716"/>
      <c r="S22" s="714" t="s">
        <v>15</v>
      </c>
      <c r="T22" s="715"/>
      <c r="U22" s="715"/>
      <c r="V22" s="715"/>
      <c r="W22" s="715"/>
      <c r="X22" s="715"/>
      <c r="Y22" s="716"/>
      <c r="Z22" s="714" t="s">
        <v>264</v>
      </c>
      <c r="AA22" s="715"/>
      <c r="AB22" s="715"/>
      <c r="AC22" s="716"/>
      <c r="AD22" s="714" t="s">
        <v>16</v>
      </c>
      <c r="AE22" s="715"/>
      <c r="AF22" s="715"/>
      <c r="AG22" s="715"/>
      <c r="AH22" s="715"/>
      <c r="AI22" s="716"/>
      <c r="AJ22" s="714" t="s">
        <v>14</v>
      </c>
      <c r="AK22" s="715"/>
      <c r="AL22" s="715"/>
      <c r="AM22" s="715"/>
      <c r="AN22" s="716"/>
      <c r="AO22" s="714" t="s">
        <v>15</v>
      </c>
      <c r="AP22" s="715"/>
      <c r="AQ22" s="715"/>
      <c r="AR22" s="715"/>
      <c r="AS22" s="715"/>
      <c r="AT22" s="715"/>
      <c r="AU22" s="716"/>
      <c r="AV22" s="714" t="s">
        <v>264</v>
      </c>
      <c r="AW22" s="715"/>
      <c r="AX22" s="715"/>
      <c r="AY22" s="716"/>
      <c r="AZ22" s="714" t="s">
        <v>16</v>
      </c>
      <c r="BA22" s="715"/>
      <c r="BB22" s="715"/>
      <c r="BC22" s="715"/>
      <c r="BD22" s="715"/>
      <c r="BE22" s="716"/>
      <c r="BF22" s="714" t="s">
        <v>14</v>
      </c>
      <c r="BG22" s="715"/>
      <c r="BH22" s="715"/>
      <c r="BI22" s="715"/>
      <c r="BJ22" s="716"/>
      <c r="BK22" s="714" t="s">
        <v>15</v>
      </c>
      <c r="BL22" s="715"/>
      <c r="BM22" s="715"/>
      <c r="BN22" s="715"/>
      <c r="BO22" s="715"/>
      <c r="BP22" s="715"/>
      <c r="BQ22" s="716"/>
      <c r="BR22" s="714" t="s">
        <v>264</v>
      </c>
      <c r="BS22" s="715"/>
      <c r="BT22" s="715"/>
      <c r="BU22" s="716"/>
      <c r="BV22" s="714" t="s">
        <v>16</v>
      </c>
      <c r="BW22" s="715"/>
      <c r="BX22" s="715"/>
      <c r="BY22" s="715"/>
      <c r="BZ22" s="715"/>
      <c r="CA22" s="716"/>
    </row>
    <row r="23" spans="1:79" x14ac:dyDescent="0.2">
      <c r="A23" s="717"/>
      <c r="B23" s="718"/>
      <c r="C23" s="718"/>
      <c r="D23" s="718"/>
      <c r="E23" s="718"/>
      <c r="F23" s="718"/>
      <c r="G23" s="718"/>
      <c r="H23" s="719"/>
      <c r="I23" s="717"/>
      <c r="J23" s="718"/>
      <c r="K23" s="718"/>
      <c r="L23" s="718"/>
      <c r="M23" s="719"/>
      <c r="N23" s="717"/>
      <c r="O23" s="718"/>
      <c r="P23" s="718"/>
      <c r="Q23" s="718"/>
      <c r="R23" s="719"/>
      <c r="S23" s="717"/>
      <c r="T23" s="718"/>
      <c r="U23" s="718"/>
      <c r="V23" s="718"/>
      <c r="W23" s="718"/>
      <c r="X23" s="718"/>
      <c r="Y23" s="719"/>
      <c r="Z23" s="717"/>
      <c r="AA23" s="718"/>
      <c r="AB23" s="718"/>
      <c r="AC23" s="719"/>
      <c r="AD23" s="717"/>
      <c r="AE23" s="718"/>
      <c r="AF23" s="718"/>
      <c r="AG23" s="718"/>
      <c r="AH23" s="718"/>
      <c r="AI23" s="719"/>
      <c r="AJ23" s="717"/>
      <c r="AK23" s="718"/>
      <c r="AL23" s="718"/>
      <c r="AM23" s="718"/>
      <c r="AN23" s="719"/>
      <c r="AO23" s="717"/>
      <c r="AP23" s="718"/>
      <c r="AQ23" s="718"/>
      <c r="AR23" s="718"/>
      <c r="AS23" s="718"/>
      <c r="AT23" s="718"/>
      <c r="AU23" s="719"/>
      <c r="AV23" s="717"/>
      <c r="AW23" s="718"/>
      <c r="AX23" s="718"/>
      <c r="AY23" s="719"/>
      <c r="AZ23" s="717"/>
      <c r="BA23" s="718"/>
      <c r="BB23" s="718"/>
      <c r="BC23" s="718"/>
      <c r="BD23" s="718"/>
      <c r="BE23" s="719"/>
      <c r="BF23" s="717"/>
      <c r="BG23" s="718"/>
      <c r="BH23" s="718"/>
      <c r="BI23" s="718"/>
      <c r="BJ23" s="719"/>
      <c r="BK23" s="717"/>
      <c r="BL23" s="718"/>
      <c r="BM23" s="718"/>
      <c r="BN23" s="718"/>
      <c r="BO23" s="718"/>
      <c r="BP23" s="718"/>
      <c r="BQ23" s="719"/>
      <c r="BR23" s="717"/>
      <c r="BS23" s="718"/>
      <c r="BT23" s="718"/>
      <c r="BU23" s="719"/>
      <c r="BV23" s="717"/>
      <c r="BW23" s="718"/>
      <c r="BX23" s="718"/>
      <c r="BY23" s="718"/>
      <c r="BZ23" s="718"/>
      <c r="CA23" s="719"/>
    </row>
    <row r="24" spans="1:79" x14ac:dyDescent="0.2">
      <c r="A24" s="619" t="s">
        <v>17</v>
      </c>
      <c r="B24" s="619"/>
      <c r="C24" s="619"/>
      <c r="D24" s="619"/>
      <c r="E24" s="619"/>
      <c r="F24" s="619"/>
      <c r="G24" s="619"/>
      <c r="H24" s="619"/>
      <c r="I24" s="707">
        <v>20</v>
      </c>
      <c r="J24" s="707"/>
      <c r="K24" s="707"/>
      <c r="L24" s="707"/>
      <c r="M24" s="707"/>
      <c r="N24" s="708">
        <v>5</v>
      </c>
      <c r="O24" s="708"/>
      <c r="P24" s="708"/>
      <c r="Q24" s="708"/>
      <c r="R24" s="708"/>
      <c r="S24" s="706">
        <f>IF(AND(I24&lt;&gt;"",N24&lt;&gt;""),N24/I24,"")</f>
        <v>0.25</v>
      </c>
      <c r="T24" s="706"/>
      <c r="U24" s="706"/>
      <c r="V24" s="706"/>
      <c r="W24" s="706"/>
      <c r="X24" s="706"/>
      <c r="Y24" s="706"/>
      <c r="Z24" s="707">
        <v>11</v>
      </c>
      <c r="AA24" s="707"/>
      <c r="AB24" s="707"/>
      <c r="AC24" s="707"/>
      <c r="AD24" s="706">
        <f>IF(AND(I24&lt;&gt;"",Z24&lt;&gt;""),Z24/I24,"")</f>
        <v>0.55000000000000004</v>
      </c>
      <c r="AE24" s="706"/>
      <c r="AF24" s="706"/>
      <c r="AG24" s="706"/>
      <c r="AH24" s="706"/>
      <c r="AI24" s="706"/>
      <c r="AJ24" s="708">
        <v>3</v>
      </c>
      <c r="AK24" s="708"/>
      <c r="AL24" s="708"/>
      <c r="AM24" s="708"/>
      <c r="AN24" s="708"/>
      <c r="AO24" s="706">
        <f>IF(AND(I24&lt;&gt;"",AJ24&lt;&gt;""),AJ24/I24,"")</f>
        <v>0.15</v>
      </c>
      <c r="AP24" s="706"/>
      <c r="AQ24" s="706"/>
      <c r="AR24" s="706"/>
      <c r="AS24" s="706"/>
      <c r="AT24" s="706"/>
      <c r="AU24" s="706"/>
      <c r="AV24" s="707">
        <v>6</v>
      </c>
      <c r="AW24" s="707"/>
      <c r="AX24" s="707"/>
      <c r="AY24" s="707"/>
      <c r="AZ24" s="706">
        <f>IF(AND(I24&lt;&gt;"",AV24&lt;&gt;""),AV24/I24,"")</f>
        <v>0.3</v>
      </c>
      <c r="BA24" s="706"/>
      <c r="BB24" s="706"/>
      <c r="BC24" s="706"/>
      <c r="BD24" s="706"/>
      <c r="BE24" s="706"/>
      <c r="BF24" s="708">
        <v>2</v>
      </c>
      <c r="BG24" s="708"/>
      <c r="BH24" s="708"/>
      <c r="BI24" s="708"/>
      <c r="BJ24" s="708"/>
      <c r="BK24" s="706">
        <f>IF(AND(I24&lt;&gt;"",BF24&lt;&gt;""),BF24/I24,"")</f>
        <v>0.1</v>
      </c>
      <c r="BL24" s="706"/>
      <c r="BM24" s="706"/>
      <c r="BN24" s="706"/>
      <c r="BO24" s="706"/>
      <c r="BP24" s="706"/>
      <c r="BQ24" s="706"/>
      <c r="BR24" s="707">
        <v>3</v>
      </c>
      <c r="BS24" s="707"/>
      <c r="BT24" s="707"/>
      <c r="BU24" s="707"/>
      <c r="BV24" s="706">
        <f>IF(AND(I24&lt;&gt;"",BR24&lt;&gt;""),BR24/I24,"")</f>
        <v>0.15</v>
      </c>
      <c r="BW24" s="706"/>
      <c r="BX24" s="706"/>
      <c r="BY24" s="706"/>
      <c r="BZ24" s="706"/>
      <c r="CA24" s="706"/>
    </row>
    <row r="25" spans="1:79" x14ac:dyDescent="0.2">
      <c r="A25" s="619"/>
      <c r="B25" s="619"/>
      <c r="C25" s="619"/>
      <c r="D25" s="619"/>
      <c r="E25" s="619"/>
      <c r="F25" s="619"/>
      <c r="G25" s="619"/>
      <c r="H25" s="619"/>
      <c r="I25" s="707"/>
      <c r="J25" s="707"/>
      <c r="K25" s="707"/>
      <c r="L25" s="707"/>
      <c r="M25" s="707"/>
      <c r="N25" s="708"/>
      <c r="O25" s="708"/>
      <c r="P25" s="708"/>
      <c r="Q25" s="708"/>
      <c r="R25" s="708"/>
      <c r="S25" s="706"/>
      <c r="T25" s="706"/>
      <c r="U25" s="706"/>
      <c r="V25" s="706"/>
      <c r="W25" s="706"/>
      <c r="X25" s="706"/>
      <c r="Y25" s="706"/>
      <c r="Z25" s="707"/>
      <c r="AA25" s="707"/>
      <c r="AB25" s="707"/>
      <c r="AC25" s="707"/>
      <c r="AD25" s="706"/>
      <c r="AE25" s="706"/>
      <c r="AF25" s="706"/>
      <c r="AG25" s="706"/>
      <c r="AH25" s="706"/>
      <c r="AI25" s="706"/>
      <c r="AJ25" s="708"/>
      <c r="AK25" s="708"/>
      <c r="AL25" s="708"/>
      <c r="AM25" s="708"/>
      <c r="AN25" s="708"/>
      <c r="AO25" s="706"/>
      <c r="AP25" s="706"/>
      <c r="AQ25" s="706"/>
      <c r="AR25" s="706"/>
      <c r="AS25" s="706"/>
      <c r="AT25" s="706"/>
      <c r="AU25" s="706"/>
      <c r="AV25" s="707"/>
      <c r="AW25" s="707"/>
      <c r="AX25" s="707"/>
      <c r="AY25" s="707"/>
      <c r="AZ25" s="706"/>
      <c r="BA25" s="706"/>
      <c r="BB25" s="706"/>
      <c r="BC25" s="706"/>
      <c r="BD25" s="706"/>
      <c r="BE25" s="706"/>
      <c r="BF25" s="708"/>
      <c r="BG25" s="708"/>
      <c r="BH25" s="708"/>
      <c r="BI25" s="708"/>
      <c r="BJ25" s="708"/>
      <c r="BK25" s="706"/>
      <c r="BL25" s="706"/>
      <c r="BM25" s="706"/>
      <c r="BN25" s="706"/>
      <c r="BO25" s="706"/>
      <c r="BP25" s="706"/>
      <c r="BQ25" s="706"/>
      <c r="BR25" s="707"/>
      <c r="BS25" s="707"/>
      <c r="BT25" s="707"/>
      <c r="BU25" s="707"/>
      <c r="BV25" s="706"/>
      <c r="BW25" s="706"/>
      <c r="BX25" s="706"/>
      <c r="BY25" s="706"/>
      <c r="BZ25" s="706"/>
      <c r="CA25" s="706"/>
    </row>
    <row r="26" spans="1:79" x14ac:dyDescent="0.2">
      <c r="A26" s="619" t="s">
        <v>18</v>
      </c>
      <c r="B26" s="619"/>
      <c r="C26" s="619"/>
      <c r="D26" s="619"/>
      <c r="E26" s="619"/>
      <c r="F26" s="619"/>
      <c r="G26" s="619"/>
      <c r="H26" s="619"/>
      <c r="I26" s="707">
        <v>30</v>
      </c>
      <c r="J26" s="707"/>
      <c r="K26" s="707"/>
      <c r="L26" s="707"/>
      <c r="M26" s="707"/>
      <c r="N26" s="708">
        <v>13</v>
      </c>
      <c r="O26" s="708"/>
      <c r="P26" s="708"/>
      <c r="Q26" s="708"/>
      <c r="R26" s="708"/>
      <c r="S26" s="706">
        <f>IF(AND(I26&lt;&gt;"",N26&lt;&gt;""),N26/I26,"")</f>
        <v>0.43333333333333335</v>
      </c>
      <c r="T26" s="706"/>
      <c r="U26" s="706"/>
      <c r="V26" s="706"/>
      <c r="W26" s="706"/>
      <c r="X26" s="706"/>
      <c r="Y26" s="706"/>
      <c r="Z26" s="707">
        <v>15</v>
      </c>
      <c r="AA26" s="707"/>
      <c r="AB26" s="707"/>
      <c r="AC26" s="707"/>
      <c r="AD26" s="706">
        <f>IF(AND(I26&lt;&gt;"",Z26&lt;&gt;""),Z26/I26,"")</f>
        <v>0.5</v>
      </c>
      <c r="AE26" s="706"/>
      <c r="AF26" s="706"/>
      <c r="AG26" s="706"/>
      <c r="AH26" s="706"/>
      <c r="AI26" s="706"/>
      <c r="AJ26" s="708">
        <v>6</v>
      </c>
      <c r="AK26" s="708"/>
      <c r="AL26" s="708"/>
      <c r="AM26" s="708"/>
      <c r="AN26" s="708"/>
      <c r="AO26" s="706">
        <f>IF(AND(I26&lt;&gt;"",AJ26&lt;&gt;""),AJ26/I26,"")</f>
        <v>0.2</v>
      </c>
      <c r="AP26" s="706"/>
      <c r="AQ26" s="706"/>
      <c r="AR26" s="706"/>
      <c r="AS26" s="706"/>
      <c r="AT26" s="706"/>
      <c r="AU26" s="706"/>
      <c r="AV26" s="707">
        <v>6</v>
      </c>
      <c r="AW26" s="707"/>
      <c r="AX26" s="707"/>
      <c r="AY26" s="707"/>
      <c r="AZ26" s="706">
        <f>IF(AND(I26&lt;&gt;"",AV26&lt;&gt;""),AV26/I26,"")</f>
        <v>0.2</v>
      </c>
      <c r="BA26" s="706"/>
      <c r="BB26" s="706"/>
      <c r="BC26" s="706"/>
      <c r="BD26" s="706"/>
      <c r="BE26" s="706"/>
      <c r="BF26" s="708">
        <v>3</v>
      </c>
      <c r="BG26" s="708"/>
      <c r="BH26" s="708"/>
      <c r="BI26" s="708"/>
      <c r="BJ26" s="708"/>
      <c r="BK26" s="706">
        <f>IF(AND(I26&lt;&gt;"",BF26&lt;&gt;""),BF26/I26,"")</f>
        <v>0.1</v>
      </c>
      <c r="BL26" s="706"/>
      <c r="BM26" s="706"/>
      <c r="BN26" s="706"/>
      <c r="BO26" s="706"/>
      <c r="BP26" s="706"/>
      <c r="BQ26" s="706"/>
      <c r="BR26" s="707">
        <v>3</v>
      </c>
      <c r="BS26" s="707"/>
      <c r="BT26" s="707"/>
      <c r="BU26" s="707"/>
      <c r="BV26" s="706">
        <f>IF(AND(I26&lt;&gt;"",BR26&lt;&gt;""),BR26/I26,"")</f>
        <v>0.1</v>
      </c>
      <c r="BW26" s="706"/>
      <c r="BX26" s="706"/>
      <c r="BY26" s="706"/>
      <c r="BZ26" s="706"/>
      <c r="CA26" s="706"/>
    </row>
    <row r="27" spans="1:79" x14ac:dyDescent="0.2">
      <c r="A27" s="619"/>
      <c r="B27" s="619"/>
      <c r="C27" s="619"/>
      <c r="D27" s="619"/>
      <c r="E27" s="619"/>
      <c r="F27" s="619"/>
      <c r="G27" s="619"/>
      <c r="H27" s="619"/>
      <c r="I27" s="707"/>
      <c r="J27" s="707"/>
      <c r="K27" s="707"/>
      <c r="L27" s="707"/>
      <c r="M27" s="707"/>
      <c r="N27" s="708"/>
      <c r="O27" s="708"/>
      <c r="P27" s="708"/>
      <c r="Q27" s="708"/>
      <c r="R27" s="708"/>
      <c r="S27" s="706"/>
      <c r="T27" s="706"/>
      <c r="U27" s="706"/>
      <c r="V27" s="706"/>
      <c r="W27" s="706"/>
      <c r="X27" s="706"/>
      <c r="Y27" s="706"/>
      <c r="Z27" s="707"/>
      <c r="AA27" s="707"/>
      <c r="AB27" s="707"/>
      <c r="AC27" s="707"/>
      <c r="AD27" s="706"/>
      <c r="AE27" s="706"/>
      <c r="AF27" s="706"/>
      <c r="AG27" s="706"/>
      <c r="AH27" s="706"/>
      <c r="AI27" s="706"/>
      <c r="AJ27" s="708"/>
      <c r="AK27" s="708"/>
      <c r="AL27" s="708"/>
      <c r="AM27" s="708"/>
      <c r="AN27" s="708"/>
      <c r="AO27" s="706"/>
      <c r="AP27" s="706"/>
      <c r="AQ27" s="706"/>
      <c r="AR27" s="706"/>
      <c r="AS27" s="706"/>
      <c r="AT27" s="706"/>
      <c r="AU27" s="706"/>
      <c r="AV27" s="707"/>
      <c r="AW27" s="707"/>
      <c r="AX27" s="707"/>
      <c r="AY27" s="707"/>
      <c r="AZ27" s="706"/>
      <c r="BA27" s="706"/>
      <c r="BB27" s="706"/>
      <c r="BC27" s="706"/>
      <c r="BD27" s="706"/>
      <c r="BE27" s="706"/>
      <c r="BF27" s="708"/>
      <c r="BG27" s="708"/>
      <c r="BH27" s="708"/>
      <c r="BI27" s="708"/>
      <c r="BJ27" s="708"/>
      <c r="BK27" s="706"/>
      <c r="BL27" s="706"/>
      <c r="BM27" s="706"/>
      <c r="BN27" s="706"/>
      <c r="BO27" s="706"/>
      <c r="BP27" s="706"/>
      <c r="BQ27" s="706"/>
      <c r="BR27" s="707"/>
      <c r="BS27" s="707"/>
      <c r="BT27" s="707"/>
      <c r="BU27" s="707"/>
      <c r="BV27" s="706"/>
      <c r="BW27" s="706"/>
      <c r="BX27" s="706"/>
      <c r="BY27" s="706"/>
      <c r="BZ27" s="706"/>
      <c r="CA27" s="706"/>
    </row>
    <row r="28" spans="1:79" x14ac:dyDescent="0.2">
      <c r="A28" s="619" t="s">
        <v>19</v>
      </c>
      <c r="B28" s="619"/>
      <c r="C28" s="619"/>
      <c r="D28" s="619"/>
      <c r="E28" s="619"/>
      <c r="F28" s="619"/>
      <c r="G28" s="619"/>
      <c r="H28" s="619"/>
      <c r="I28" s="707">
        <v>15</v>
      </c>
      <c r="J28" s="707"/>
      <c r="K28" s="707"/>
      <c r="L28" s="707"/>
      <c r="M28" s="707"/>
      <c r="N28" s="708">
        <v>5</v>
      </c>
      <c r="O28" s="708"/>
      <c r="P28" s="708"/>
      <c r="Q28" s="708"/>
      <c r="R28" s="708"/>
      <c r="S28" s="706">
        <f>IF(AND(I28&lt;&gt;"",N28&lt;&gt;""),N28/I28,"")</f>
        <v>0.33333333333333331</v>
      </c>
      <c r="T28" s="706"/>
      <c r="U28" s="706"/>
      <c r="V28" s="706"/>
      <c r="W28" s="706"/>
      <c r="X28" s="706"/>
      <c r="Y28" s="706"/>
      <c r="Z28" s="707">
        <v>6</v>
      </c>
      <c r="AA28" s="707"/>
      <c r="AB28" s="707"/>
      <c r="AC28" s="707"/>
      <c r="AD28" s="706">
        <f>IF(AND(I28&lt;&gt;"",Z28&lt;&gt;""),Z28/I28,"")</f>
        <v>0.4</v>
      </c>
      <c r="AE28" s="706"/>
      <c r="AF28" s="706"/>
      <c r="AG28" s="706"/>
      <c r="AH28" s="706"/>
      <c r="AI28" s="706"/>
      <c r="AJ28" s="708">
        <v>3</v>
      </c>
      <c r="AK28" s="708"/>
      <c r="AL28" s="708"/>
      <c r="AM28" s="708"/>
      <c r="AN28" s="708"/>
      <c r="AO28" s="706">
        <f>IF(AND(I28&lt;&gt;"",AJ28&lt;&gt;""),AJ28/I28,"")</f>
        <v>0.2</v>
      </c>
      <c r="AP28" s="706"/>
      <c r="AQ28" s="706"/>
      <c r="AR28" s="706"/>
      <c r="AS28" s="706"/>
      <c r="AT28" s="706"/>
      <c r="AU28" s="706"/>
      <c r="AV28" s="707">
        <v>3</v>
      </c>
      <c r="AW28" s="707"/>
      <c r="AX28" s="707"/>
      <c r="AY28" s="707"/>
      <c r="AZ28" s="706">
        <f>IF(AND(I28&lt;&gt;"",AV28&lt;&gt;""),AV28/I28,"")</f>
        <v>0.2</v>
      </c>
      <c r="BA28" s="706"/>
      <c r="BB28" s="706"/>
      <c r="BC28" s="706"/>
      <c r="BD28" s="706"/>
      <c r="BE28" s="706"/>
      <c r="BF28" s="708">
        <v>2</v>
      </c>
      <c r="BG28" s="708"/>
      <c r="BH28" s="708"/>
      <c r="BI28" s="708"/>
      <c r="BJ28" s="708"/>
      <c r="BK28" s="706">
        <f>IF(AND(I28&lt;&gt;"",BF28&lt;&gt;""),BF28/I28,"")</f>
        <v>0.13333333333333333</v>
      </c>
      <c r="BL28" s="706"/>
      <c r="BM28" s="706"/>
      <c r="BN28" s="706"/>
      <c r="BO28" s="706"/>
      <c r="BP28" s="706"/>
      <c r="BQ28" s="706"/>
      <c r="BR28" s="707">
        <v>2</v>
      </c>
      <c r="BS28" s="707"/>
      <c r="BT28" s="707"/>
      <c r="BU28" s="707"/>
      <c r="BV28" s="706">
        <f>IF(AND(I28&lt;&gt;"",BR28&lt;&gt;""),BR28/I28,"")</f>
        <v>0.13333333333333333</v>
      </c>
      <c r="BW28" s="706"/>
      <c r="BX28" s="706"/>
      <c r="BY28" s="706"/>
      <c r="BZ28" s="706"/>
      <c r="CA28" s="706"/>
    </row>
    <row r="29" spans="1:79" x14ac:dyDescent="0.2">
      <c r="A29" s="619"/>
      <c r="B29" s="619"/>
      <c r="C29" s="619"/>
      <c r="D29" s="619"/>
      <c r="E29" s="619"/>
      <c r="F29" s="619"/>
      <c r="G29" s="619"/>
      <c r="H29" s="619"/>
      <c r="I29" s="707"/>
      <c r="J29" s="707"/>
      <c r="K29" s="707"/>
      <c r="L29" s="707"/>
      <c r="M29" s="707"/>
      <c r="N29" s="708"/>
      <c r="O29" s="708"/>
      <c r="P29" s="708"/>
      <c r="Q29" s="708"/>
      <c r="R29" s="708"/>
      <c r="S29" s="706"/>
      <c r="T29" s="706"/>
      <c r="U29" s="706"/>
      <c r="V29" s="706"/>
      <c r="W29" s="706"/>
      <c r="X29" s="706"/>
      <c r="Y29" s="706"/>
      <c r="Z29" s="707"/>
      <c r="AA29" s="707"/>
      <c r="AB29" s="707"/>
      <c r="AC29" s="707"/>
      <c r="AD29" s="706"/>
      <c r="AE29" s="706"/>
      <c r="AF29" s="706"/>
      <c r="AG29" s="706"/>
      <c r="AH29" s="706"/>
      <c r="AI29" s="706"/>
      <c r="AJ29" s="708"/>
      <c r="AK29" s="708"/>
      <c r="AL29" s="708"/>
      <c r="AM29" s="708"/>
      <c r="AN29" s="708"/>
      <c r="AO29" s="706"/>
      <c r="AP29" s="706"/>
      <c r="AQ29" s="706"/>
      <c r="AR29" s="706"/>
      <c r="AS29" s="706"/>
      <c r="AT29" s="706"/>
      <c r="AU29" s="706"/>
      <c r="AV29" s="707"/>
      <c r="AW29" s="707"/>
      <c r="AX29" s="707"/>
      <c r="AY29" s="707"/>
      <c r="AZ29" s="706"/>
      <c r="BA29" s="706"/>
      <c r="BB29" s="706"/>
      <c r="BC29" s="706"/>
      <c r="BD29" s="706"/>
      <c r="BE29" s="706"/>
      <c r="BF29" s="708"/>
      <c r="BG29" s="708"/>
      <c r="BH29" s="708"/>
      <c r="BI29" s="708"/>
      <c r="BJ29" s="708"/>
      <c r="BK29" s="706"/>
      <c r="BL29" s="706"/>
      <c r="BM29" s="706"/>
      <c r="BN29" s="706"/>
      <c r="BO29" s="706"/>
      <c r="BP29" s="706"/>
      <c r="BQ29" s="706"/>
      <c r="BR29" s="707"/>
      <c r="BS29" s="707"/>
      <c r="BT29" s="707"/>
      <c r="BU29" s="707"/>
      <c r="BV29" s="706"/>
      <c r="BW29" s="706"/>
      <c r="BX29" s="706"/>
      <c r="BY29" s="706"/>
      <c r="BZ29" s="706"/>
      <c r="CA29" s="706"/>
    </row>
    <row r="30" spans="1:79" x14ac:dyDescent="0.2">
      <c r="A30" s="619" t="s">
        <v>20</v>
      </c>
      <c r="B30" s="619"/>
      <c r="C30" s="619"/>
      <c r="D30" s="619"/>
      <c r="E30" s="619"/>
      <c r="F30" s="619"/>
      <c r="G30" s="619"/>
      <c r="H30" s="619"/>
      <c r="I30" s="707">
        <v>40</v>
      </c>
      <c r="J30" s="707"/>
      <c r="K30" s="707"/>
      <c r="L30" s="707"/>
      <c r="M30" s="707"/>
      <c r="N30" s="708">
        <v>10</v>
      </c>
      <c r="O30" s="708"/>
      <c r="P30" s="708"/>
      <c r="Q30" s="708"/>
      <c r="R30" s="708"/>
      <c r="S30" s="706">
        <f>IF(AND(I30&lt;&gt;"",N30&lt;&gt;""),N30/I30,"")</f>
        <v>0.25</v>
      </c>
      <c r="T30" s="706"/>
      <c r="U30" s="706"/>
      <c r="V30" s="706"/>
      <c r="W30" s="706"/>
      <c r="X30" s="706"/>
      <c r="Y30" s="706"/>
      <c r="Z30" s="707">
        <v>16</v>
      </c>
      <c r="AA30" s="707"/>
      <c r="AB30" s="707"/>
      <c r="AC30" s="707"/>
      <c r="AD30" s="706">
        <f>IF(AND(I30&lt;&gt;"",Z30&lt;&gt;""),Z30/I30,"")</f>
        <v>0.4</v>
      </c>
      <c r="AE30" s="706"/>
      <c r="AF30" s="706"/>
      <c r="AG30" s="706"/>
      <c r="AH30" s="706"/>
      <c r="AI30" s="706"/>
      <c r="AJ30" s="708">
        <v>10</v>
      </c>
      <c r="AK30" s="708"/>
      <c r="AL30" s="708"/>
      <c r="AM30" s="708"/>
      <c r="AN30" s="708"/>
      <c r="AO30" s="706">
        <f>IF(AND(I30&lt;&gt;"",AJ30&lt;&gt;""),AJ30/I30,"")</f>
        <v>0.25</v>
      </c>
      <c r="AP30" s="706"/>
      <c r="AQ30" s="706"/>
      <c r="AR30" s="706"/>
      <c r="AS30" s="706"/>
      <c r="AT30" s="706"/>
      <c r="AU30" s="706"/>
      <c r="AV30" s="707">
        <v>7</v>
      </c>
      <c r="AW30" s="707"/>
      <c r="AX30" s="707"/>
      <c r="AY30" s="707"/>
      <c r="AZ30" s="706">
        <f>IF(AND(I30&lt;&gt;"",AV30&lt;&gt;""),AV30/I30,"")</f>
        <v>0.17499999999999999</v>
      </c>
      <c r="BA30" s="706"/>
      <c r="BB30" s="706"/>
      <c r="BC30" s="706"/>
      <c r="BD30" s="706"/>
      <c r="BE30" s="706"/>
      <c r="BF30" s="708">
        <v>4</v>
      </c>
      <c r="BG30" s="708"/>
      <c r="BH30" s="708"/>
      <c r="BI30" s="708"/>
      <c r="BJ30" s="708"/>
      <c r="BK30" s="706">
        <f>IF(AND(I30&lt;&gt;"",BF30&lt;&gt;""),BF30/I30,"")</f>
        <v>0.1</v>
      </c>
      <c r="BL30" s="706"/>
      <c r="BM30" s="706"/>
      <c r="BN30" s="706"/>
      <c r="BO30" s="706"/>
      <c r="BP30" s="706"/>
      <c r="BQ30" s="706"/>
      <c r="BR30" s="707">
        <v>5</v>
      </c>
      <c r="BS30" s="707"/>
      <c r="BT30" s="707"/>
      <c r="BU30" s="707"/>
      <c r="BV30" s="706">
        <f>IF(AND(I30&lt;&gt;"",BR30&lt;&gt;""),BR30/I30,"")</f>
        <v>0.125</v>
      </c>
      <c r="BW30" s="706"/>
      <c r="BX30" s="706"/>
      <c r="BY30" s="706"/>
      <c r="BZ30" s="706"/>
      <c r="CA30" s="706"/>
    </row>
    <row r="31" spans="1:79" x14ac:dyDescent="0.2">
      <c r="A31" s="619"/>
      <c r="B31" s="619"/>
      <c r="C31" s="619"/>
      <c r="D31" s="619"/>
      <c r="E31" s="619"/>
      <c r="F31" s="619"/>
      <c r="G31" s="619"/>
      <c r="H31" s="619"/>
      <c r="I31" s="707"/>
      <c r="J31" s="707"/>
      <c r="K31" s="707"/>
      <c r="L31" s="707"/>
      <c r="M31" s="707"/>
      <c r="N31" s="708"/>
      <c r="O31" s="708"/>
      <c r="P31" s="708"/>
      <c r="Q31" s="708"/>
      <c r="R31" s="708"/>
      <c r="S31" s="706"/>
      <c r="T31" s="706"/>
      <c r="U31" s="706"/>
      <c r="V31" s="706"/>
      <c r="W31" s="706"/>
      <c r="X31" s="706"/>
      <c r="Y31" s="706"/>
      <c r="Z31" s="707"/>
      <c r="AA31" s="707"/>
      <c r="AB31" s="707"/>
      <c r="AC31" s="707"/>
      <c r="AD31" s="706"/>
      <c r="AE31" s="706"/>
      <c r="AF31" s="706"/>
      <c r="AG31" s="706"/>
      <c r="AH31" s="706"/>
      <c r="AI31" s="706"/>
      <c r="AJ31" s="708"/>
      <c r="AK31" s="708"/>
      <c r="AL31" s="708"/>
      <c r="AM31" s="708"/>
      <c r="AN31" s="708"/>
      <c r="AO31" s="706"/>
      <c r="AP31" s="706"/>
      <c r="AQ31" s="706"/>
      <c r="AR31" s="706"/>
      <c r="AS31" s="706"/>
      <c r="AT31" s="706"/>
      <c r="AU31" s="706"/>
      <c r="AV31" s="707"/>
      <c r="AW31" s="707"/>
      <c r="AX31" s="707"/>
      <c r="AY31" s="707"/>
      <c r="AZ31" s="706"/>
      <c r="BA31" s="706"/>
      <c r="BB31" s="706"/>
      <c r="BC31" s="706"/>
      <c r="BD31" s="706"/>
      <c r="BE31" s="706"/>
      <c r="BF31" s="708"/>
      <c r="BG31" s="708"/>
      <c r="BH31" s="708"/>
      <c r="BI31" s="708"/>
      <c r="BJ31" s="708"/>
      <c r="BK31" s="706"/>
      <c r="BL31" s="706"/>
      <c r="BM31" s="706"/>
      <c r="BN31" s="706"/>
      <c r="BO31" s="706"/>
      <c r="BP31" s="706"/>
      <c r="BQ31" s="706"/>
      <c r="BR31" s="707"/>
      <c r="BS31" s="707"/>
      <c r="BT31" s="707"/>
      <c r="BU31" s="707"/>
      <c r="BV31" s="706"/>
      <c r="BW31" s="706"/>
      <c r="BX31" s="706"/>
      <c r="BY31" s="706"/>
      <c r="BZ31" s="706"/>
      <c r="CA31" s="706"/>
    </row>
    <row r="32" spans="1:79" x14ac:dyDescent="0.2">
      <c r="A32" s="619"/>
      <c r="B32" s="619"/>
      <c r="C32" s="619"/>
      <c r="D32" s="619"/>
      <c r="E32" s="619"/>
      <c r="F32" s="619"/>
      <c r="G32" s="619"/>
      <c r="H32" s="619"/>
      <c r="I32" s="707"/>
      <c r="J32" s="707"/>
      <c r="K32" s="707"/>
      <c r="L32" s="707"/>
      <c r="M32" s="707"/>
      <c r="N32" s="708"/>
      <c r="O32" s="708"/>
      <c r="P32" s="708"/>
      <c r="Q32" s="708"/>
      <c r="R32" s="708"/>
      <c r="S32" s="706" t="str">
        <f>IF(AND(I32&lt;&gt;"",N32&lt;&gt;""),N32/I32,"")</f>
        <v/>
      </c>
      <c r="T32" s="706"/>
      <c r="U32" s="706"/>
      <c r="V32" s="706"/>
      <c r="W32" s="706"/>
      <c r="X32" s="706"/>
      <c r="Y32" s="706"/>
      <c r="Z32" s="707"/>
      <c r="AA32" s="707"/>
      <c r="AB32" s="707"/>
      <c r="AC32" s="707"/>
      <c r="AD32" s="706" t="str">
        <f>IF(AND(I32&lt;&gt;"",Z32&lt;&gt;""),Z32/I32,"")</f>
        <v/>
      </c>
      <c r="AE32" s="706"/>
      <c r="AF32" s="706"/>
      <c r="AG32" s="706"/>
      <c r="AH32" s="706"/>
      <c r="AI32" s="706"/>
      <c r="AJ32" s="708"/>
      <c r="AK32" s="708"/>
      <c r="AL32" s="708"/>
      <c r="AM32" s="708"/>
      <c r="AN32" s="708"/>
      <c r="AO32" s="706" t="str">
        <f>IF(AND(I32&lt;&gt;"",AJ32&lt;&gt;""),AJ32/I32,"")</f>
        <v/>
      </c>
      <c r="AP32" s="706"/>
      <c r="AQ32" s="706"/>
      <c r="AR32" s="706"/>
      <c r="AS32" s="706"/>
      <c r="AT32" s="706"/>
      <c r="AU32" s="706"/>
      <c r="AV32" s="707"/>
      <c r="AW32" s="707"/>
      <c r="AX32" s="707"/>
      <c r="AY32" s="707"/>
      <c r="AZ32" s="706" t="str">
        <f>IF(AND(I32&lt;&gt;"",AV32&lt;&gt;""),AV32/I32,"")</f>
        <v/>
      </c>
      <c r="BA32" s="706"/>
      <c r="BB32" s="706"/>
      <c r="BC32" s="706"/>
      <c r="BD32" s="706"/>
      <c r="BE32" s="706"/>
      <c r="BF32" s="708"/>
      <c r="BG32" s="708"/>
      <c r="BH32" s="708"/>
      <c r="BI32" s="708"/>
      <c r="BJ32" s="708"/>
      <c r="BK32" s="706" t="str">
        <f>IF(AND(I32&lt;&gt;"",BF32&lt;&gt;""),BF32/I32,"")</f>
        <v/>
      </c>
      <c r="BL32" s="706"/>
      <c r="BM32" s="706"/>
      <c r="BN32" s="706"/>
      <c r="BO32" s="706"/>
      <c r="BP32" s="706"/>
      <c r="BQ32" s="706"/>
      <c r="BR32" s="707"/>
      <c r="BS32" s="707"/>
      <c r="BT32" s="707"/>
      <c r="BU32" s="707"/>
      <c r="BV32" s="706" t="str">
        <f>IF(AND(I32&lt;&gt;"",BR32&lt;&gt;""),BR32/I32,"")</f>
        <v/>
      </c>
      <c r="BW32" s="706"/>
      <c r="BX32" s="706"/>
      <c r="BY32" s="706"/>
      <c r="BZ32" s="706"/>
      <c r="CA32" s="706"/>
    </row>
    <row r="33" spans="1:79" x14ac:dyDescent="0.2">
      <c r="A33" s="619"/>
      <c r="B33" s="619"/>
      <c r="C33" s="619"/>
      <c r="D33" s="619"/>
      <c r="E33" s="619"/>
      <c r="F33" s="619"/>
      <c r="G33" s="619"/>
      <c r="H33" s="619"/>
      <c r="I33" s="707"/>
      <c r="J33" s="707"/>
      <c r="K33" s="707"/>
      <c r="L33" s="707"/>
      <c r="M33" s="707"/>
      <c r="N33" s="708"/>
      <c r="O33" s="708"/>
      <c r="P33" s="708"/>
      <c r="Q33" s="708"/>
      <c r="R33" s="708"/>
      <c r="S33" s="706"/>
      <c r="T33" s="706"/>
      <c r="U33" s="706"/>
      <c r="V33" s="706"/>
      <c r="W33" s="706"/>
      <c r="X33" s="706"/>
      <c r="Y33" s="706"/>
      <c r="Z33" s="707"/>
      <c r="AA33" s="707"/>
      <c r="AB33" s="707"/>
      <c r="AC33" s="707"/>
      <c r="AD33" s="706"/>
      <c r="AE33" s="706"/>
      <c r="AF33" s="706"/>
      <c r="AG33" s="706"/>
      <c r="AH33" s="706"/>
      <c r="AI33" s="706"/>
      <c r="AJ33" s="708"/>
      <c r="AK33" s="708"/>
      <c r="AL33" s="708"/>
      <c r="AM33" s="708"/>
      <c r="AN33" s="708"/>
      <c r="AO33" s="706"/>
      <c r="AP33" s="706"/>
      <c r="AQ33" s="706"/>
      <c r="AR33" s="706"/>
      <c r="AS33" s="706"/>
      <c r="AT33" s="706"/>
      <c r="AU33" s="706"/>
      <c r="AV33" s="707"/>
      <c r="AW33" s="707"/>
      <c r="AX33" s="707"/>
      <c r="AY33" s="707"/>
      <c r="AZ33" s="706"/>
      <c r="BA33" s="706"/>
      <c r="BB33" s="706"/>
      <c r="BC33" s="706"/>
      <c r="BD33" s="706"/>
      <c r="BE33" s="706"/>
      <c r="BF33" s="708"/>
      <c r="BG33" s="708"/>
      <c r="BH33" s="708"/>
      <c r="BI33" s="708"/>
      <c r="BJ33" s="708"/>
      <c r="BK33" s="706"/>
      <c r="BL33" s="706"/>
      <c r="BM33" s="706"/>
      <c r="BN33" s="706"/>
      <c r="BO33" s="706"/>
      <c r="BP33" s="706"/>
      <c r="BQ33" s="706"/>
      <c r="BR33" s="707"/>
      <c r="BS33" s="707"/>
      <c r="BT33" s="707"/>
      <c r="BU33" s="707"/>
      <c r="BV33" s="706"/>
      <c r="BW33" s="706"/>
      <c r="BX33" s="706"/>
      <c r="BY33" s="706"/>
      <c r="BZ33" s="706"/>
      <c r="CA33" s="706"/>
    </row>
    <row r="34" spans="1:79" x14ac:dyDescent="0.2">
      <c r="A34" s="619"/>
      <c r="B34" s="619"/>
      <c r="C34" s="619"/>
      <c r="D34" s="619"/>
      <c r="E34" s="619"/>
      <c r="F34" s="619"/>
      <c r="G34" s="619"/>
      <c r="H34" s="619"/>
      <c r="I34" s="707"/>
      <c r="J34" s="707"/>
      <c r="K34" s="707"/>
      <c r="L34" s="707"/>
      <c r="M34" s="707"/>
      <c r="N34" s="708"/>
      <c r="O34" s="708"/>
      <c r="P34" s="708"/>
      <c r="Q34" s="708"/>
      <c r="R34" s="708"/>
      <c r="S34" s="706" t="str">
        <f>IF(AND(I34&lt;&gt;"",N34&lt;&gt;""),N34/I34,"")</f>
        <v/>
      </c>
      <c r="T34" s="706"/>
      <c r="U34" s="706"/>
      <c r="V34" s="706"/>
      <c r="W34" s="706"/>
      <c r="X34" s="706"/>
      <c r="Y34" s="706"/>
      <c r="Z34" s="707"/>
      <c r="AA34" s="707"/>
      <c r="AB34" s="707"/>
      <c r="AC34" s="707"/>
      <c r="AD34" s="706" t="str">
        <f>IF(AND(I34&lt;&gt;"",Z34&lt;&gt;""),Z34/I34,"")</f>
        <v/>
      </c>
      <c r="AE34" s="706"/>
      <c r="AF34" s="706"/>
      <c r="AG34" s="706"/>
      <c r="AH34" s="706"/>
      <c r="AI34" s="706"/>
      <c r="AJ34" s="708"/>
      <c r="AK34" s="708"/>
      <c r="AL34" s="708"/>
      <c r="AM34" s="708"/>
      <c r="AN34" s="708"/>
      <c r="AO34" s="706" t="str">
        <f>IF(AND(I34&lt;&gt;"",AJ34&lt;&gt;""),AJ34/I34,"")</f>
        <v/>
      </c>
      <c r="AP34" s="706"/>
      <c r="AQ34" s="706"/>
      <c r="AR34" s="706"/>
      <c r="AS34" s="706"/>
      <c r="AT34" s="706"/>
      <c r="AU34" s="706"/>
      <c r="AV34" s="707"/>
      <c r="AW34" s="707"/>
      <c r="AX34" s="707"/>
      <c r="AY34" s="707"/>
      <c r="AZ34" s="706" t="str">
        <f>IF(AND(I34&lt;&gt;"",AV34&lt;&gt;""),AV34/I34,"")</f>
        <v/>
      </c>
      <c r="BA34" s="706"/>
      <c r="BB34" s="706"/>
      <c r="BC34" s="706"/>
      <c r="BD34" s="706"/>
      <c r="BE34" s="706"/>
      <c r="BF34" s="708"/>
      <c r="BG34" s="708"/>
      <c r="BH34" s="708"/>
      <c r="BI34" s="708"/>
      <c r="BJ34" s="708"/>
      <c r="BK34" s="706" t="str">
        <f>IF(AND(I34&lt;&gt;"",BF34&lt;&gt;""),BF34/I34,"")</f>
        <v/>
      </c>
      <c r="BL34" s="706"/>
      <c r="BM34" s="706"/>
      <c r="BN34" s="706"/>
      <c r="BO34" s="706"/>
      <c r="BP34" s="706"/>
      <c r="BQ34" s="706"/>
      <c r="BR34" s="707"/>
      <c r="BS34" s="707"/>
      <c r="BT34" s="707"/>
      <c r="BU34" s="707"/>
      <c r="BV34" s="706" t="str">
        <f>IF(AND(I34&lt;&gt;"",BR34&lt;&gt;""),BR34/I34,"")</f>
        <v/>
      </c>
      <c r="BW34" s="706"/>
      <c r="BX34" s="706"/>
      <c r="BY34" s="706"/>
      <c r="BZ34" s="706"/>
      <c r="CA34" s="706"/>
    </row>
    <row r="35" spans="1:79" x14ac:dyDescent="0.2">
      <c r="A35" s="619"/>
      <c r="B35" s="619"/>
      <c r="C35" s="619"/>
      <c r="D35" s="619"/>
      <c r="E35" s="619"/>
      <c r="F35" s="619"/>
      <c r="G35" s="619"/>
      <c r="H35" s="619"/>
      <c r="I35" s="707"/>
      <c r="J35" s="707"/>
      <c r="K35" s="707"/>
      <c r="L35" s="707"/>
      <c r="M35" s="707"/>
      <c r="N35" s="708"/>
      <c r="O35" s="708"/>
      <c r="P35" s="708"/>
      <c r="Q35" s="708"/>
      <c r="R35" s="708"/>
      <c r="S35" s="706"/>
      <c r="T35" s="706"/>
      <c r="U35" s="706"/>
      <c r="V35" s="706"/>
      <c r="W35" s="706"/>
      <c r="X35" s="706"/>
      <c r="Y35" s="706"/>
      <c r="Z35" s="707"/>
      <c r="AA35" s="707"/>
      <c r="AB35" s="707"/>
      <c r="AC35" s="707"/>
      <c r="AD35" s="706"/>
      <c r="AE35" s="706"/>
      <c r="AF35" s="706"/>
      <c r="AG35" s="706"/>
      <c r="AH35" s="706"/>
      <c r="AI35" s="706"/>
      <c r="AJ35" s="708"/>
      <c r="AK35" s="708"/>
      <c r="AL35" s="708"/>
      <c r="AM35" s="708"/>
      <c r="AN35" s="708"/>
      <c r="AO35" s="706"/>
      <c r="AP35" s="706"/>
      <c r="AQ35" s="706"/>
      <c r="AR35" s="706"/>
      <c r="AS35" s="706"/>
      <c r="AT35" s="706"/>
      <c r="AU35" s="706"/>
      <c r="AV35" s="707"/>
      <c r="AW35" s="707"/>
      <c r="AX35" s="707"/>
      <c r="AY35" s="707"/>
      <c r="AZ35" s="706"/>
      <c r="BA35" s="706"/>
      <c r="BB35" s="706"/>
      <c r="BC35" s="706"/>
      <c r="BD35" s="706"/>
      <c r="BE35" s="706"/>
      <c r="BF35" s="708"/>
      <c r="BG35" s="708"/>
      <c r="BH35" s="708"/>
      <c r="BI35" s="708"/>
      <c r="BJ35" s="708"/>
      <c r="BK35" s="706"/>
      <c r="BL35" s="706"/>
      <c r="BM35" s="706"/>
      <c r="BN35" s="706"/>
      <c r="BO35" s="706"/>
      <c r="BP35" s="706"/>
      <c r="BQ35" s="706"/>
      <c r="BR35" s="707"/>
      <c r="BS35" s="707"/>
      <c r="BT35" s="707"/>
      <c r="BU35" s="707"/>
      <c r="BV35" s="706"/>
      <c r="BW35" s="706"/>
      <c r="BX35" s="706"/>
      <c r="BY35" s="706"/>
      <c r="BZ35" s="706"/>
      <c r="CA35" s="706"/>
    </row>
    <row r="36" spans="1:79" x14ac:dyDescent="0.2">
      <c r="A36" s="619"/>
      <c r="B36" s="619"/>
      <c r="C36" s="619"/>
      <c r="D36" s="619"/>
      <c r="E36" s="619"/>
      <c r="F36" s="619"/>
      <c r="G36" s="619"/>
      <c r="H36" s="619"/>
      <c r="I36" s="707"/>
      <c r="J36" s="707"/>
      <c r="K36" s="707"/>
      <c r="L36" s="707"/>
      <c r="M36" s="707"/>
      <c r="N36" s="708"/>
      <c r="O36" s="708"/>
      <c r="P36" s="708"/>
      <c r="Q36" s="708"/>
      <c r="R36" s="708"/>
      <c r="S36" s="706" t="str">
        <f>IF(AND(I36&lt;&gt;"",N36&lt;&gt;""),N36/I36,"")</f>
        <v/>
      </c>
      <c r="T36" s="706"/>
      <c r="U36" s="706"/>
      <c r="V36" s="706"/>
      <c r="W36" s="706"/>
      <c r="X36" s="706"/>
      <c r="Y36" s="706"/>
      <c r="Z36" s="707"/>
      <c r="AA36" s="707"/>
      <c r="AB36" s="707"/>
      <c r="AC36" s="707"/>
      <c r="AD36" s="706" t="str">
        <f>IF(AND(I36&lt;&gt;"",Z36&lt;&gt;""),Z36/I36,"")</f>
        <v/>
      </c>
      <c r="AE36" s="706"/>
      <c r="AF36" s="706"/>
      <c r="AG36" s="706"/>
      <c r="AH36" s="706"/>
      <c r="AI36" s="706"/>
      <c r="AJ36" s="708"/>
      <c r="AK36" s="708"/>
      <c r="AL36" s="708"/>
      <c r="AM36" s="708"/>
      <c r="AN36" s="708"/>
      <c r="AO36" s="706" t="str">
        <f>IF(AND(I36&lt;&gt;"",AJ36&lt;&gt;""),AJ36/I36,"")</f>
        <v/>
      </c>
      <c r="AP36" s="706"/>
      <c r="AQ36" s="706"/>
      <c r="AR36" s="706"/>
      <c r="AS36" s="706"/>
      <c r="AT36" s="706"/>
      <c r="AU36" s="706"/>
      <c r="AV36" s="707"/>
      <c r="AW36" s="707"/>
      <c r="AX36" s="707"/>
      <c r="AY36" s="707"/>
      <c r="AZ36" s="706" t="str">
        <f>IF(AND(I36&lt;&gt;"",AV36&lt;&gt;""),AV36/I36,"")</f>
        <v/>
      </c>
      <c r="BA36" s="706"/>
      <c r="BB36" s="706"/>
      <c r="BC36" s="706"/>
      <c r="BD36" s="706"/>
      <c r="BE36" s="706"/>
      <c r="BF36" s="708"/>
      <c r="BG36" s="708"/>
      <c r="BH36" s="708"/>
      <c r="BI36" s="708"/>
      <c r="BJ36" s="708"/>
      <c r="BK36" s="706" t="str">
        <f>IF(AND(I36&lt;&gt;"",BF36&lt;&gt;""),BF36/I36,"")</f>
        <v/>
      </c>
      <c r="BL36" s="706"/>
      <c r="BM36" s="706"/>
      <c r="BN36" s="706"/>
      <c r="BO36" s="706"/>
      <c r="BP36" s="706"/>
      <c r="BQ36" s="706"/>
      <c r="BR36" s="707"/>
      <c r="BS36" s="707"/>
      <c r="BT36" s="707"/>
      <c r="BU36" s="707"/>
      <c r="BV36" s="706" t="str">
        <f>IF(AND(I36&lt;&gt;"",BR36&lt;&gt;""),BR36/I36,"")</f>
        <v/>
      </c>
      <c r="BW36" s="706"/>
      <c r="BX36" s="706"/>
      <c r="BY36" s="706"/>
      <c r="BZ36" s="706"/>
      <c r="CA36" s="706"/>
    </row>
    <row r="37" spans="1:79" x14ac:dyDescent="0.2">
      <c r="A37" s="619"/>
      <c r="B37" s="619"/>
      <c r="C37" s="619"/>
      <c r="D37" s="619"/>
      <c r="E37" s="619"/>
      <c r="F37" s="619"/>
      <c r="G37" s="619"/>
      <c r="H37" s="619"/>
      <c r="I37" s="707"/>
      <c r="J37" s="707"/>
      <c r="K37" s="707"/>
      <c r="L37" s="707"/>
      <c r="M37" s="707"/>
      <c r="N37" s="708"/>
      <c r="O37" s="708"/>
      <c r="P37" s="708"/>
      <c r="Q37" s="708"/>
      <c r="R37" s="708"/>
      <c r="S37" s="706"/>
      <c r="T37" s="706"/>
      <c r="U37" s="706"/>
      <c r="V37" s="706"/>
      <c r="W37" s="706"/>
      <c r="X37" s="706"/>
      <c r="Y37" s="706"/>
      <c r="Z37" s="707"/>
      <c r="AA37" s="707"/>
      <c r="AB37" s="707"/>
      <c r="AC37" s="707"/>
      <c r="AD37" s="706"/>
      <c r="AE37" s="706"/>
      <c r="AF37" s="706"/>
      <c r="AG37" s="706"/>
      <c r="AH37" s="706"/>
      <c r="AI37" s="706"/>
      <c r="AJ37" s="708"/>
      <c r="AK37" s="708"/>
      <c r="AL37" s="708"/>
      <c r="AM37" s="708"/>
      <c r="AN37" s="708"/>
      <c r="AO37" s="706"/>
      <c r="AP37" s="706"/>
      <c r="AQ37" s="706"/>
      <c r="AR37" s="706"/>
      <c r="AS37" s="706"/>
      <c r="AT37" s="706"/>
      <c r="AU37" s="706"/>
      <c r="AV37" s="707"/>
      <c r="AW37" s="707"/>
      <c r="AX37" s="707"/>
      <c r="AY37" s="707"/>
      <c r="AZ37" s="706"/>
      <c r="BA37" s="706"/>
      <c r="BB37" s="706"/>
      <c r="BC37" s="706"/>
      <c r="BD37" s="706"/>
      <c r="BE37" s="706"/>
      <c r="BF37" s="708"/>
      <c r="BG37" s="708"/>
      <c r="BH37" s="708"/>
      <c r="BI37" s="708"/>
      <c r="BJ37" s="708"/>
      <c r="BK37" s="706"/>
      <c r="BL37" s="706"/>
      <c r="BM37" s="706"/>
      <c r="BN37" s="706"/>
      <c r="BO37" s="706"/>
      <c r="BP37" s="706"/>
      <c r="BQ37" s="706"/>
      <c r="BR37" s="707"/>
      <c r="BS37" s="707"/>
      <c r="BT37" s="707"/>
      <c r="BU37" s="707"/>
      <c r="BV37" s="706"/>
      <c r="BW37" s="706"/>
      <c r="BX37" s="706"/>
      <c r="BY37" s="706"/>
      <c r="BZ37" s="706"/>
      <c r="CA37" s="706"/>
    </row>
    <row r="38" spans="1:79" x14ac:dyDescent="0.2">
      <c r="A38" s="619"/>
      <c r="B38" s="619"/>
      <c r="C38" s="619"/>
      <c r="D38" s="619"/>
      <c r="E38" s="619"/>
      <c r="F38" s="619"/>
      <c r="G38" s="619"/>
      <c r="H38" s="619"/>
      <c r="I38" s="707"/>
      <c r="J38" s="707"/>
      <c r="K38" s="707"/>
      <c r="L38" s="707"/>
      <c r="M38" s="707"/>
      <c r="N38" s="708"/>
      <c r="O38" s="708"/>
      <c r="P38" s="708"/>
      <c r="Q38" s="708"/>
      <c r="R38" s="708"/>
      <c r="S38" s="706" t="str">
        <f>IF(AND(I38&lt;&gt;"",N38&lt;&gt;""),N38/I38,"")</f>
        <v/>
      </c>
      <c r="T38" s="706"/>
      <c r="U38" s="706"/>
      <c r="V38" s="706"/>
      <c r="W38" s="706"/>
      <c r="X38" s="706"/>
      <c r="Y38" s="706"/>
      <c r="Z38" s="707"/>
      <c r="AA38" s="707"/>
      <c r="AB38" s="707"/>
      <c r="AC38" s="707"/>
      <c r="AD38" s="706" t="str">
        <f>IF(AND(I38&lt;&gt;"",Z38&lt;&gt;""),Z38/I38,"")</f>
        <v/>
      </c>
      <c r="AE38" s="706"/>
      <c r="AF38" s="706"/>
      <c r="AG38" s="706"/>
      <c r="AH38" s="706"/>
      <c r="AI38" s="706"/>
      <c r="AJ38" s="708"/>
      <c r="AK38" s="708"/>
      <c r="AL38" s="708"/>
      <c r="AM38" s="708"/>
      <c r="AN38" s="708"/>
      <c r="AO38" s="706" t="str">
        <f>IF(AND(I38&lt;&gt;"",AJ38&lt;&gt;""),AJ38/I38,"")</f>
        <v/>
      </c>
      <c r="AP38" s="706"/>
      <c r="AQ38" s="706"/>
      <c r="AR38" s="706"/>
      <c r="AS38" s="706"/>
      <c r="AT38" s="706"/>
      <c r="AU38" s="706"/>
      <c r="AV38" s="707"/>
      <c r="AW38" s="707"/>
      <c r="AX38" s="707"/>
      <c r="AY38" s="707"/>
      <c r="AZ38" s="706" t="str">
        <f>IF(AND(I38&lt;&gt;"",AV38&lt;&gt;""),AV38/I38,"")</f>
        <v/>
      </c>
      <c r="BA38" s="706"/>
      <c r="BB38" s="706"/>
      <c r="BC38" s="706"/>
      <c r="BD38" s="706"/>
      <c r="BE38" s="706"/>
      <c r="BF38" s="708"/>
      <c r="BG38" s="708"/>
      <c r="BH38" s="708"/>
      <c r="BI38" s="708"/>
      <c r="BJ38" s="708"/>
      <c r="BK38" s="706" t="str">
        <f>IF(AND(I38&lt;&gt;"",BF38&lt;&gt;""),BF38/I38,"")</f>
        <v/>
      </c>
      <c r="BL38" s="706"/>
      <c r="BM38" s="706"/>
      <c r="BN38" s="706"/>
      <c r="BO38" s="706"/>
      <c r="BP38" s="706"/>
      <c r="BQ38" s="706"/>
      <c r="BR38" s="707"/>
      <c r="BS38" s="707"/>
      <c r="BT38" s="707"/>
      <c r="BU38" s="707"/>
      <c r="BV38" s="706" t="str">
        <f>IF(AND(I38&lt;&gt;"",BR38&lt;&gt;""),BR38/I38,"")</f>
        <v/>
      </c>
      <c r="BW38" s="706"/>
      <c r="BX38" s="706"/>
      <c r="BY38" s="706"/>
      <c r="BZ38" s="706"/>
      <c r="CA38" s="706"/>
    </row>
    <row r="39" spans="1:79" x14ac:dyDescent="0.2">
      <c r="A39" s="619"/>
      <c r="B39" s="619"/>
      <c r="C39" s="619"/>
      <c r="D39" s="619"/>
      <c r="E39" s="619"/>
      <c r="F39" s="619"/>
      <c r="G39" s="619"/>
      <c r="H39" s="619"/>
      <c r="I39" s="707"/>
      <c r="J39" s="707"/>
      <c r="K39" s="707"/>
      <c r="L39" s="707"/>
      <c r="M39" s="707"/>
      <c r="N39" s="708"/>
      <c r="O39" s="708"/>
      <c r="P39" s="708"/>
      <c r="Q39" s="708"/>
      <c r="R39" s="708"/>
      <c r="S39" s="706"/>
      <c r="T39" s="706"/>
      <c r="U39" s="706"/>
      <c r="V39" s="706"/>
      <c r="W39" s="706"/>
      <c r="X39" s="706"/>
      <c r="Y39" s="706"/>
      <c r="Z39" s="707"/>
      <c r="AA39" s="707"/>
      <c r="AB39" s="707"/>
      <c r="AC39" s="707"/>
      <c r="AD39" s="706"/>
      <c r="AE39" s="706"/>
      <c r="AF39" s="706"/>
      <c r="AG39" s="706"/>
      <c r="AH39" s="706"/>
      <c r="AI39" s="706"/>
      <c r="AJ39" s="708"/>
      <c r="AK39" s="708"/>
      <c r="AL39" s="708"/>
      <c r="AM39" s="708"/>
      <c r="AN39" s="708"/>
      <c r="AO39" s="706"/>
      <c r="AP39" s="706"/>
      <c r="AQ39" s="706"/>
      <c r="AR39" s="706"/>
      <c r="AS39" s="706"/>
      <c r="AT39" s="706"/>
      <c r="AU39" s="706"/>
      <c r="AV39" s="707"/>
      <c r="AW39" s="707"/>
      <c r="AX39" s="707"/>
      <c r="AY39" s="707"/>
      <c r="AZ39" s="706"/>
      <c r="BA39" s="706"/>
      <c r="BB39" s="706"/>
      <c r="BC39" s="706"/>
      <c r="BD39" s="706"/>
      <c r="BE39" s="706"/>
      <c r="BF39" s="708"/>
      <c r="BG39" s="708"/>
      <c r="BH39" s="708"/>
      <c r="BI39" s="708"/>
      <c r="BJ39" s="708"/>
      <c r="BK39" s="706"/>
      <c r="BL39" s="706"/>
      <c r="BM39" s="706"/>
      <c r="BN39" s="706"/>
      <c r="BO39" s="706"/>
      <c r="BP39" s="706"/>
      <c r="BQ39" s="706"/>
      <c r="BR39" s="707"/>
      <c r="BS39" s="707"/>
      <c r="BT39" s="707"/>
      <c r="BU39" s="707"/>
      <c r="BV39" s="706"/>
      <c r="BW39" s="706"/>
      <c r="BX39" s="706"/>
      <c r="BY39" s="706"/>
      <c r="BZ39" s="706"/>
      <c r="CA39" s="706"/>
    </row>
    <row r="40" spans="1:79" x14ac:dyDescent="0.2">
      <c r="A40" s="619"/>
      <c r="B40" s="619"/>
      <c r="C40" s="619"/>
      <c r="D40" s="619"/>
      <c r="E40" s="619"/>
      <c r="F40" s="619"/>
      <c r="G40" s="619"/>
      <c r="H40" s="619"/>
      <c r="I40" s="707"/>
      <c r="J40" s="707"/>
      <c r="K40" s="707"/>
      <c r="L40" s="707"/>
      <c r="M40" s="707"/>
      <c r="N40" s="708"/>
      <c r="O40" s="708"/>
      <c r="P40" s="708"/>
      <c r="Q40" s="708"/>
      <c r="R40" s="708"/>
      <c r="S40" s="706" t="str">
        <f>IF(AND(I40&lt;&gt;"",N40&lt;&gt;""),N40/I40,"")</f>
        <v/>
      </c>
      <c r="T40" s="706"/>
      <c r="U40" s="706"/>
      <c r="V40" s="706"/>
      <c r="W40" s="706"/>
      <c r="X40" s="706"/>
      <c r="Y40" s="706"/>
      <c r="Z40" s="707"/>
      <c r="AA40" s="707"/>
      <c r="AB40" s="707"/>
      <c r="AC40" s="707"/>
      <c r="AD40" s="706" t="str">
        <f>IF(AND(I40&lt;&gt;"",Z40&lt;&gt;""),Z40/I40,"")</f>
        <v/>
      </c>
      <c r="AE40" s="706"/>
      <c r="AF40" s="706"/>
      <c r="AG40" s="706"/>
      <c r="AH40" s="706"/>
      <c r="AI40" s="706"/>
      <c r="AJ40" s="708"/>
      <c r="AK40" s="708"/>
      <c r="AL40" s="708"/>
      <c r="AM40" s="708"/>
      <c r="AN40" s="708"/>
      <c r="AO40" s="706" t="str">
        <f>IF(AND(I40&lt;&gt;"",AJ40&lt;&gt;""),AJ40/I40,"")</f>
        <v/>
      </c>
      <c r="AP40" s="706"/>
      <c r="AQ40" s="706"/>
      <c r="AR40" s="706"/>
      <c r="AS40" s="706"/>
      <c r="AT40" s="706"/>
      <c r="AU40" s="706"/>
      <c r="AV40" s="707"/>
      <c r="AW40" s="707"/>
      <c r="AX40" s="707"/>
      <c r="AY40" s="707"/>
      <c r="AZ40" s="706" t="str">
        <f>IF(AND(I40&lt;&gt;"",AV40&lt;&gt;""),AV40/I40,"")</f>
        <v/>
      </c>
      <c r="BA40" s="706"/>
      <c r="BB40" s="706"/>
      <c r="BC40" s="706"/>
      <c r="BD40" s="706"/>
      <c r="BE40" s="706"/>
      <c r="BF40" s="708"/>
      <c r="BG40" s="708"/>
      <c r="BH40" s="708"/>
      <c r="BI40" s="708"/>
      <c r="BJ40" s="708"/>
      <c r="BK40" s="706" t="str">
        <f>IF(AND(I40&lt;&gt;"",BF40&lt;&gt;""),BF40/I40,"")</f>
        <v/>
      </c>
      <c r="BL40" s="706"/>
      <c r="BM40" s="706"/>
      <c r="BN40" s="706"/>
      <c r="BO40" s="706"/>
      <c r="BP40" s="706"/>
      <c r="BQ40" s="706"/>
      <c r="BR40" s="707"/>
      <c r="BS40" s="707"/>
      <c r="BT40" s="707"/>
      <c r="BU40" s="707"/>
      <c r="BV40" s="706" t="str">
        <f>IF(AND(I40&lt;&gt;"",BR40&lt;&gt;""),BR40/I40,"")</f>
        <v/>
      </c>
      <c r="BW40" s="706"/>
      <c r="BX40" s="706"/>
      <c r="BY40" s="706"/>
      <c r="BZ40" s="706"/>
      <c r="CA40" s="706"/>
    </row>
    <row r="41" spans="1:79" x14ac:dyDescent="0.2">
      <c r="A41" s="619"/>
      <c r="B41" s="619"/>
      <c r="C41" s="619"/>
      <c r="D41" s="619"/>
      <c r="E41" s="619"/>
      <c r="F41" s="619"/>
      <c r="G41" s="619"/>
      <c r="H41" s="619"/>
      <c r="I41" s="707"/>
      <c r="J41" s="707"/>
      <c r="K41" s="707"/>
      <c r="L41" s="707"/>
      <c r="M41" s="707"/>
      <c r="N41" s="708"/>
      <c r="O41" s="708"/>
      <c r="P41" s="708"/>
      <c r="Q41" s="708"/>
      <c r="R41" s="708"/>
      <c r="S41" s="706"/>
      <c r="T41" s="706"/>
      <c r="U41" s="706"/>
      <c r="V41" s="706"/>
      <c r="W41" s="706"/>
      <c r="X41" s="706"/>
      <c r="Y41" s="706"/>
      <c r="Z41" s="707"/>
      <c r="AA41" s="707"/>
      <c r="AB41" s="707"/>
      <c r="AC41" s="707"/>
      <c r="AD41" s="706"/>
      <c r="AE41" s="706"/>
      <c r="AF41" s="706"/>
      <c r="AG41" s="706"/>
      <c r="AH41" s="706"/>
      <c r="AI41" s="706"/>
      <c r="AJ41" s="708"/>
      <c r="AK41" s="708"/>
      <c r="AL41" s="708"/>
      <c r="AM41" s="708"/>
      <c r="AN41" s="708"/>
      <c r="AO41" s="706"/>
      <c r="AP41" s="706"/>
      <c r="AQ41" s="706"/>
      <c r="AR41" s="706"/>
      <c r="AS41" s="706"/>
      <c r="AT41" s="706"/>
      <c r="AU41" s="706"/>
      <c r="AV41" s="707"/>
      <c r="AW41" s="707"/>
      <c r="AX41" s="707"/>
      <c r="AY41" s="707"/>
      <c r="AZ41" s="706"/>
      <c r="BA41" s="706"/>
      <c r="BB41" s="706"/>
      <c r="BC41" s="706"/>
      <c r="BD41" s="706"/>
      <c r="BE41" s="706"/>
      <c r="BF41" s="708"/>
      <c r="BG41" s="708"/>
      <c r="BH41" s="708"/>
      <c r="BI41" s="708"/>
      <c r="BJ41" s="708"/>
      <c r="BK41" s="706"/>
      <c r="BL41" s="706"/>
      <c r="BM41" s="706"/>
      <c r="BN41" s="706"/>
      <c r="BO41" s="706"/>
      <c r="BP41" s="706"/>
      <c r="BQ41" s="706"/>
      <c r="BR41" s="707"/>
      <c r="BS41" s="707"/>
      <c r="BT41" s="707"/>
      <c r="BU41" s="707"/>
      <c r="BV41" s="706"/>
      <c r="BW41" s="706"/>
      <c r="BX41" s="706"/>
      <c r="BY41" s="706"/>
      <c r="BZ41" s="706"/>
      <c r="CA41" s="706"/>
    </row>
    <row r="42" spans="1:79" x14ac:dyDescent="0.2">
      <c r="A42" s="619"/>
      <c r="B42" s="619"/>
      <c r="C42" s="619"/>
      <c r="D42" s="619"/>
      <c r="E42" s="619"/>
      <c r="F42" s="619"/>
      <c r="G42" s="619"/>
      <c r="H42" s="619"/>
      <c r="I42" s="707"/>
      <c r="J42" s="707"/>
      <c r="K42" s="707"/>
      <c r="L42" s="707"/>
      <c r="M42" s="707"/>
      <c r="N42" s="708"/>
      <c r="O42" s="708"/>
      <c r="P42" s="708"/>
      <c r="Q42" s="708"/>
      <c r="R42" s="708"/>
      <c r="S42" s="706" t="str">
        <f>IF(AND(I42&lt;&gt;"",N42&lt;&gt;""),N42/I42,"")</f>
        <v/>
      </c>
      <c r="T42" s="706"/>
      <c r="U42" s="706"/>
      <c r="V42" s="706"/>
      <c r="W42" s="706"/>
      <c r="X42" s="706"/>
      <c r="Y42" s="706"/>
      <c r="Z42" s="707"/>
      <c r="AA42" s="707"/>
      <c r="AB42" s="707"/>
      <c r="AC42" s="707"/>
      <c r="AD42" s="706" t="str">
        <f>IF(AND(I42&lt;&gt;"",Z42&lt;&gt;""),Z42/I42,"")</f>
        <v/>
      </c>
      <c r="AE42" s="706"/>
      <c r="AF42" s="706"/>
      <c r="AG42" s="706"/>
      <c r="AH42" s="706"/>
      <c r="AI42" s="706"/>
      <c r="AJ42" s="708"/>
      <c r="AK42" s="708"/>
      <c r="AL42" s="708"/>
      <c r="AM42" s="708"/>
      <c r="AN42" s="708"/>
      <c r="AO42" s="706" t="str">
        <f>IF(AND(I42&lt;&gt;"",AJ42&lt;&gt;""),AJ42/I42,"")</f>
        <v/>
      </c>
      <c r="AP42" s="706"/>
      <c r="AQ42" s="706"/>
      <c r="AR42" s="706"/>
      <c r="AS42" s="706"/>
      <c r="AT42" s="706"/>
      <c r="AU42" s="706"/>
      <c r="AV42" s="707"/>
      <c r="AW42" s="707"/>
      <c r="AX42" s="707"/>
      <c r="AY42" s="707"/>
      <c r="AZ42" s="706" t="str">
        <f>IF(AND(I42&lt;&gt;"",AV42&lt;&gt;""),AV42/I42,"")</f>
        <v/>
      </c>
      <c r="BA42" s="706"/>
      <c r="BB42" s="706"/>
      <c r="BC42" s="706"/>
      <c r="BD42" s="706"/>
      <c r="BE42" s="706"/>
      <c r="BF42" s="708"/>
      <c r="BG42" s="708"/>
      <c r="BH42" s="708"/>
      <c r="BI42" s="708"/>
      <c r="BJ42" s="708"/>
      <c r="BK42" s="706" t="str">
        <f>IF(AND(I42&lt;&gt;"",BF42&lt;&gt;""),BF42/I42,"")</f>
        <v/>
      </c>
      <c r="BL42" s="706"/>
      <c r="BM42" s="706"/>
      <c r="BN42" s="706"/>
      <c r="BO42" s="706"/>
      <c r="BP42" s="706"/>
      <c r="BQ42" s="706"/>
      <c r="BR42" s="707"/>
      <c r="BS42" s="707"/>
      <c r="BT42" s="707"/>
      <c r="BU42" s="707"/>
      <c r="BV42" s="706" t="str">
        <f>IF(AND(I42&lt;&gt;"",BR42&lt;&gt;""),BR42/I42,"")</f>
        <v/>
      </c>
      <c r="BW42" s="706"/>
      <c r="BX42" s="706"/>
      <c r="BY42" s="706"/>
      <c r="BZ42" s="706"/>
      <c r="CA42" s="706"/>
    </row>
    <row r="43" spans="1:79" x14ac:dyDescent="0.2">
      <c r="A43" s="619"/>
      <c r="B43" s="619"/>
      <c r="C43" s="619"/>
      <c r="D43" s="619"/>
      <c r="E43" s="619"/>
      <c r="F43" s="619"/>
      <c r="G43" s="619"/>
      <c r="H43" s="619"/>
      <c r="I43" s="707"/>
      <c r="J43" s="707"/>
      <c r="K43" s="707"/>
      <c r="L43" s="707"/>
      <c r="M43" s="707"/>
      <c r="N43" s="708"/>
      <c r="O43" s="708"/>
      <c r="P43" s="708"/>
      <c r="Q43" s="708"/>
      <c r="R43" s="708"/>
      <c r="S43" s="706"/>
      <c r="T43" s="706"/>
      <c r="U43" s="706"/>
      <c r="V43" s="706"/>
      <c r="W43" s="706"/>
      <c r="X43" s="706"/>
      <c r="Y43" s="706"/>
      <c r="Z43" s="707"/>
      <c r="AA43" s="707"/>
      <c r="AB43" s="707"/>
      <c r="AC43" s="707"/>
      <c r="AD43" s="706"/>
      <c r="AE43" s="706"/>
      <c r="AF43" s="706"/>
      <c r="AG43" s="706"/>
      <c r="AH43" s="706"/>
      <c r="AI43" s="706"/>
      <c r="AJ43" s="708"/>
      <c r="AK43" s="708"/>
      <c r="AL43" s="708"/>
      <c r="AM43" s="708"/>
      <c r="AN43" s="708"/>
      <c r="AO43" s="706"/>
      <c r="AP43" s="706"/>
      <c r="AQ43" s="706"/>
      <c r="AR43" s="706"/>
      <c r="AS43" s="706"/>
      <c r="AT43" s="706"/>
      <c r="AU43" s="706"/>
      <c r="AV43" s="707"/>
      <c r="AW43" s="707"/>
      <c r="AX43" s="707"/>
      <c r="AY43" s="707"/>
      <c r="AZ43" s="706"/>
      <c r="BA43" s="706"/>
      <c r="BB43" s="706"/>
      <c r="BC43" s="706"/>
      <c r="BD43" s="706"/>
      <c r="BE43" s="706"/>
      <c r="BF43" s="708"/>
      <c r="BG43" s="708"/>
      <c r="BH43" s="708"/>
      <c r="BI43" s="708"/>
      <c r="BJ43" s="708"/>
      <c r="BK43" s="706"/>
      <c r="BL43" s="706"/>
      <c r="BM43" s="706"/>
      <c r="BN43" s="706"/>
      <c r="BO43" s="706"/>
      <c r="BP43" s="706"/>
      <c r="BQ43" s="706"/>
      <c r="BR43" s="707"/>
      <c r="BS43" s="707"/>
      <c r="BT43" s="707"/>
      <c r="BU43" s="707"/>
      <c r="BV43" s="706"/>
      <c r="BW43" s="706"/>
      <c r="BX43" s="706"/>
      <c r="BY43" s="706"/>
      <c r="BZ43" s="706"/>
      <c r="CA43" s="706"/>
    </row>
  </sheetData>
  <mergeCells count="212">
    <mergeCell ref="A11:H12"/>
    <mergeCell ref="I11:U12"/>
    <mergeCell ref="A24:H25"/>
    <mergeCell ref="I24:M25"/>
    <mergeCell ref="N24:R25"/>
    <mergeCell ref="S24:Y25"/>
    <mergeCell ref="V15:AH15"/>
    <mergeCell ref="A16:H16"/>
    <mergeCell ref="A17:H17"/>
    <mergeCell ref="A18:H18"/>
    <mergeCell ref="A22:H23"/>
    <mergeCell ref="A21:M21"/>
    <mergeCell ref="N21:AI21"/>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D38:AI39"/>
    <mergeCell ref="AJ38:AN39"/>
    <mergeCell ref="AO38:AU39"/>
    <mergeCell ref="AV38:AY39"/>
    <mergeCell ref="AZ38:BE39"/>
    <mergeCell ref="BF38:BJ39"/>
    <mergeCell ref="AZ36:BE37"/>
    <mergeCell ref="BF36:BJ37"/>
    <mergeCell ref="BK36:BQ37"/>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s>
  <phoneticPr fontId="23"/>
  <dataValidations disablePrompts="1" count="1">
    <dataValidation type="list" allowBlank="1" showInputMessage="1" showErrorMessage="1" sqref="I11:U12">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5"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F40"/>
  <sheetViews>
    <sheetView view="pageBreakPreview" zoomScale="85" zoomScaleNormal="85" zoomScaleSheetLayoutView="85" workbookViewId="0">
      <selection activeCell="AC12" sqref="AC12"/>
    </sheetView>
  </sheetViews>
  <sheetFormatPr defaultColWidth="2.6640625" defaultRowHeight="13.2" x14ac:dyDescent="0.2"/>
  <cols>
    <col min="1" max="1" width="9" customWidth="1"/>
  </cols>
  <sheetData>
    <row r="1" spans="1:58" ht="13.5" customHeight="1" x14ac:dyDescent="0.2">
      <c r="A1" s="723" t="s">
        <v>21</v>
      </c>
      <c r="B1" s="723"/>
      <c r="C1" s="723"/>
      <c r="D1" s="723"/>
      <c r="E1" s="723"/>
      <c r="F1" s="723"/>
      <c r="G1" s="723"/>
      <c r="H1" s="723"/>
      <c r="I1" s="723"/>
      <c r="J1" s="723"/>
      <c r="K1" s="723" t="s">
        <v>22</v>
      </c>
      <c r="L1" s="723"/>
      <c r="M1" s="723"/>
      <c r="N1" s="723"/>
      <c r="O1" s="723"/>
      <c r="P1" s="723"/>
      <c r="Q1" s="723"/>
      <c r="R1" s="723"/>
      <c r="S1" s="723"/>
      <c r="T1" s="723"/>
      <c r="U1" s="723"/>
      <c r="V1" s="723"/>
      <c r="W1" s="723"/>
      <c r="X1" s="723"/>
      <c r="Y1" s="723"/>
      <c r="Z1" s="723"/>
      <c r="AA1" s="723"/>
      <c r="AB1" s="583" t="s">
        <v>305</v>
      </c>
      <c r="AC1" s="584"/>
      <c r="AD1" s="584"/>
      <c r="AE1" s="584"/>
      <c r="AF1" s="585"/>
      <c r="AG1" s="583" t="s">
        <v>306</v>
      </c>
      <c r="AH1" s="584"/>
      <c r="AI1" s="584"/>
      <c r="AJ1" s="584"/>
      <c r="AK1" s="585"/>
      <c r="AL1" s="583" t="s">
        <v>237</v>
      </c>
      <c r="AM1" s="584"/>
      <c r="AN1" s="584"/>
      <c r="AO1" s="584"/>
      <c r="AP1" s="585"/>
      <c r="AQ1" s="586" t="s">
        <v>566</v>
      </c>
      <c r="AR1" s="587"/>
      <c r="AS1" s="587"/>
      <c r="AT1" s="587"/>
      <c r="AU1" s="587"/>
      <c r="AV1" s="587"/>
      <c r="AW1" s="587"/>
      <c r="AX1" s="587"/>
      <c r="AY1" s="587"/>
      <c r="AZ1" s="587"/>
      <c r="BA1" s="587"/>
      <c r="BB1" s="587"/>
      <c r="BC1" s="587"/>
      <c r="BD1" s="587"/>
      <c r="BE1" s="587"/>
      <c r="BF1" s="588"/>
    </row>
    <row r="2" spans="1:58" ht="13.5" customHeight="1" x14ac:dyDescent="0.2">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583" t="s">
        <v>494</v>
      </c>
      <c r="AC2" s="584"/>
      <c r="AD2" s="584"/>
      <c r="AE2" s="584"/>
      <c r="AF2" s="585"/>
      <c r="AG2" s="583" t="s">
        <v>494</v>
      </c>
      <c r="AH2" s="584"/>
      <c r="AI2" s="584"/>
      <c r="AJ2" s="584"/>
      <c r="AK2" s="585"/>
      <c r="AL2" s="583" t="s">
        <v>494</v>
      </c>
      <c r="AM2" s="584"/>
      <c r="AN2" s="584"/>
      <c r="AO2" s="584"/>
      <c r="AP2" s="585"/>
      <c r="AQ2" s="586" t="s">
        <v>308</v>
      </c>
      <c r="AR2" s="587"/>
      <c r="AS2" s="587"/>
      <c r="AT2" s="587"/>
      <c r="AU2" s="587"/>
      <c r="AV2" s="588"/>
      <c r="AW2" s="583" t="s">
        <v>306</v>
      </c>
      <c r="AX2" s="584"/>
      <c r="AY2" s="584"/>
      <c r="AZ2" s="584"/>
      <c r="BA2" s="585"/>
      <c r="BB2" s="583" t="s">
        <v>618</v>
      </c>
      <c r="BC2" s="584"/>
      <c r="BD2" s="584"/>
      <c r="BE2" s="584"/>
      <c r="BF2" s="585"/>
    </row>
    <row r="3" spans="1:58" ht="13.5" customHeight="1" x14ac:dyDescent="0.2">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598"/>
      <c r="AC3" s="598"/>
      <c r="AD3" s="598"/>
      <c r="AE3" s="598"/>
      <c r="AF3" s="598"/>
      <c r="AG3" s="598"/>
      <c r="AH3" s="598"/>
      <c r="AI3" s="598"/>
      <c r="AJ3" s="598"/>
      <c r="AK3" s="598"/>
      <c r="AL3" s="598"/>
      <c r="AM3" s="598"/>
      <c r="AN3" s="598"/>
      <c r="AO3" s="598"/>
      <c r="AP3" s="598"/>
      <c r="AQ3" s="589"/>
      <c r="AR3" s="590"/>
      <c r="AS3" s="590"/>
      <c r="AT3" s="590"/>
      <c r="AU3" s="590"/>
      <c r="AV3" s="591"/>
      <c r="AW3" s="584" t="s">
        <v>495</v>
      </c>
      <c r="AX3" s="584"/>
      <c r="AY3" s="584"/>
      <c r="AZ3" s="584"/>
      <c r="BA3" s="585"/>
      <c r="BB3" s="583" t="s">
        <v>495</v>
      </c>
      <c r="BC3" s="584"/>
      <c r="BD3" s="584"/>
      <c r="BE3" s="584"/>
      <c r="BF3" s="585"/>
    </row>
    <row r="4" spans="1:58" ht="13.5" customHeight="1" x14ac:dyDescent="0.2">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598"/>
      <c r="AC4" s="598"/>
      <c r="AD4" s="598"/>
      <c r="AE4" s="598"/>
      <c r="AF4" s="598"/>
      <c r="AG4" s="598"/>
      <c r="AH4" s="598"/>
      <c r="AI4" s="598"/>
      <c r="AJ4" s="598"/>
      <c r="AK4" s="598"/>
      <c r="AL4" s="598"/>
      <c r="AM4" s="598"/>
      <c r="AN4" s="598"/>
      <c r="AO4" s="598"/>
      <c r="AP4" s="598"/>
      <c r="AQ4" s="592"/>
      <c r="AR4" s="593"/>
      <c r="AS4" s="593"/>
      <c r="AT4" s="593"/>
      <c r="AU4" s="593"/>
      <c r="AV4" s="594"/>
      <c r="AW4" s="571"/>
      <c r="AX4" s="572"/>
      <c r="AY4" s="572"/>
      <c r="AZ4" s="572"/>
      <c r="BA4" s="573"/>
      <c r="BB4" s="571"/>
      <c r="BC4" s="572"/>
      <c r="BD4" s="572"/>
      <c r="BE4" s="572"/>
      <c r="BF4" s="573"/>
    </row>
    <row r="5" spans="1:58" ht="13.5" customHeight="1" x14ac:dyDescent="0.2">
      <c r="A5" s="598" t="s">
        <v>465</v>
      </c>
      <c r="B5" s="598"/>
      <c r="C5" s="598"/>
      <c r="D5" s="598"/>
      <c r="E5" s="598"/>
      <c r="F5" s="598"/>
      <c r="G5" s="598"/>
      <c r="H5" s="598"/>
      <c r="I5" s="598"/>
      <c r="J5" s="598"/>
      <c r="K5" s="598"/>
      <c r="L5" s="598"/>
      <c r="M5" s="598"/>
      <c r="N5" s="598"/>
      <c r="O5" s="600" t="s">
        <v>466</v>
      </c>
      <c r="P5" s="600"/>
      <c r="Q5" s="600"/>
      <c r="R5" s="600"/>
      <c r="S5" s="600"/>
      <c r="T5" s="600"/>
      <c r="U5" s="600"/>
      <c r="V5" s="600"/>
      <c r="W5" s="600"/>
      <c r="X5" s="600"/>
      <c r="Y5" s="600"/>
      <c r="Z5" s="600"/>
      <c r="AA5" s="600"/>
      <c r="AB5" s="598"/>
      <c r="AC5" s="598"/>
      <c r="AD5" s="598"/>
      <c r="AE5" s="598"/>
      <c r="AF5" s="598"/>
      <c r="AG5" s="598"/>
      <c r="AH5" s="598"/>
      <c r="AI5" s="598"/>
      <c r="AJ5" s="598"/>
      <c r="AK5" s="598"/>
      <c r="AL5" s="598"/>
      <c r="AM5" s="598"/>
      <c r="AN5" s="598"/>
      <c r="AO5" s="598"/>
      <c r="AP5" s="598"/>
      <c r="AQ5" s="592"/>
      <c r="AR5" s="593"/>
      <c r="AS5" s="593"/>
      <c r="AT5" s="593"/>
      <c r="AU5" s="593"/>
      <c r="AV5" s="594"/>
      <c r="AW5" s="571"/>
      <c r="AX5" s="572"/>
      <c r="AY5" s="572"/>
      <c r="AZ5" s="572"/>
      <c r="BA5" s="573"/>
      <c r="BB5" s="571"/>
      <c r="BC5" s="572"/>
      <c r="BD5" s="572"/>
      <c r="BE5" s="572"/>
      <c r="BF5" s="573"/>
    </row>
    <row r="6" spans="1:58" x14ac:dyDescent="0.2">
      <c r="A6" s="598"/>
      <c r="B6" s="598"/>
      <c r="C6" s="598"/>
      <c r="D6" s="598"/>
      <c r="E6" s="598"/>
      <c r="F6" s="598"/>
      <c r="G6" s="598"/>
      <c r="H6" s="598"/>
      <c r="I6" s="598"/>
      <c r="J6" s="598"/>
      <c r="K6" s="598"/>
      <c r="L6" s="598"/>
      <c r="M6" s="598"/>
      <c r="N6" s="598"/>
      <c r="O6" s="600"/>
      <c r="P6" s="600"/>
      <c r="Q6" s="600"/>
      <c r="R6" s="600"/>
      <c r="S6" s="600"/>
      <c r="T6" s="600"/>
      <c r="U6" s="600"/>
      <c r="V6" s="600"/>
      <c r="W6" s="600"/>
      <c r="X6" s="600"/>
      <c r="Y6" s="600"/>
      <c r="Z6" s="600"/>
      <c r="AA6" s="600"/>
      <c r="AB6" s="598"/>
      <c r="AC6" s="598"/>
      <c r="AD6" s="598"/>
      <c r="AE6" s="598"/>
      <c r="AF6" s="598"/>
      <c r="AG6" s="598"/>
      <c r="AH6" s="598"/>
      <c r="AI6" s="598"/>
      <c r="AJ6" s="598"/>
      <c r="AK6" s="598"/>
      <c r="AL6" s="598"/>
      <c r="AM6" s="598"/>
      <c r="AN6" s="598"/>
      <c r="AO6" s="598"/>
      <c r="AP6" s="598"/>
      <c r="AQ6" s="595"/>
      <c r="AR6" s="596"/>
      <c r="AS6" s="596"/>
      <c r="AT6" s="596"/>
      <c r="AU6" s="596"/>
      <c r="AV6" s="597"/>
      <c r="AW6" s="580"/>
      <c r="AX6" s="581"/>
      <c r="AY6" s="581"/>
      <c r="AZ6" s="581"/>
      <c r="BA6" s="582"/>
      <c r="BB6" s="580"/>
      <c r="BC6" s="581"/>
      <c r="BD6" s="581"/>
      <c r="BE6" s="581"/>
      <c r="BF6" s="582"/>
    </row>
    <row r="7" spans="1:58" ht="13.5" customHeight="1" x14ac:dyDescent="0.2">
      <c r="A7" s="598" t="s">
        <v>310</v>
      </c>
      <c r="B7" s="598"/>
      <c r="C7" s="598"/>
      <c r="D7" s="598"/>
      <c r="E7" s="598"/>
      <c r="F7" s="598"/>
      <c r="G7" s="598"/>
      <c r="H7" s="598"/>
      <c r="I7" s="598"/>
      <c r="J7" s="598"/>
      <c r="K7" s="598"/>
      <c r="L7" s="598"/>
      <c r="M7" s="598"/>
      <c r="N7" s="598"/>
      <c r="O7" s="600" t="s">
        <v>311</v>
      </c>
      <c r="P7" s="600"/>
      <c r="Q7" s="600"/>
      <c r="R7" s="600"/>
      <c r="S7" s="600"/>
      <c r="T7" s="600"/>
      <c r="U7" s="600"/>
      <c r="V7" s="600"/>
      <c r="W7" s="600"/>
      <c r="X7" s="600"/>
      <c r="Y7" s="600"/>
      <c r="Z7" s="600"/>
      <c r="AA7" s="600"/>
      <c r="AB7" s="600" t="s">
        <v>312</v>
      </c>
      <c r="AC7" s="600"/>
      <c r="AD7" s="600"/>
      <c r="AE7" s="600"/>
      <c r="AF7" s="600"/>
      <c r="AG7" s="600"/>
      <c r="AH7" s="600"/>
      <c r="AI7" s="600"/>
      <c r="AJ7" s="600"/>
      <c r="AK7" s="600"/>
      <c r="AL7" s="600"/>
      <c r="AM7" s="600"/>
      <c r="AN7" s="600"/>
      <c r="AO7" s="600"/>
      <c r="AP7" s="600" t="s">
        <v>313</v>
      </c>
      <c r="AQ7" s="600"/>
      <c r="AR7" s="600"/>
      <c r="AS7" s="600"/>
      <c r="AT7" s="600"/>
      <c r="AU7" s="600"/>
      <c r="AV7" s="600"/>
      <c r="AW7" s="600"/>
      <c r="AX7" s="600"/>
      <c r="AY7" s="600"/>
      <c r="AZ7" s="600"/>
      <c r="BA7" s="600"/>
      <c r="BB7" s="600"/>
      <c r="BC7" s="600"/>
      <c r="BD7" s="598" t="s">
        <v>23</v>
      </c>
      <c r="BE7" s="598"/>
      <c r="BF7" s="598"/>
    </row>
    <row r="8" spans="1:58" x14ac:dyDescent="0.2">
      <c r="A8" s="598"/>
      <c r="B8" s="598"/>
      <c r="C8" s="598"/>
      <c r="D8" s="598"/>
      <c r="E8" s="598"/>
      <c r="F8" s="598"/>
      <c r="G8" s="598"/>
      <c r="H8" s="598"/>
      <c r="I8" s="598"/>
      <c r="J8" s="598"/>
      <c r="K8" s="598"/>
      <c r="L8" s="598"/>
      <c r="M8" s="598"/>
      <c r="N8" s="598"/>
      <c r="O8" s="600"/>
      <c r="P8" s="600"/>
      <c r="Q8" s="600"/>
      <c r="R8" s="600"/>
      <c r="S8" s="600"/>
      <c r="T8" s="600"/>
      <c r="U8" s="600"/>
      <c r="V8" s="600"/>
      <c r="W8" s="600"/>
      <c r="X8" s="600"/>
      <c r="Y8" s="600"/>
      <c r="Z8" s="600"/>
      <c r="AA8" s="600"/>
      <c r="AB8" s="600" t="s">
        <v>568</v>
      </c>
      <c r="AC8" s="600"/>
      <c r="AD8" s="600"/>
      <c r="AE8" s="600"/>
      <c r="AF8" s="600"/>
      <c r="AG8" s="600"/>
      <c r="AH8" s="600"/>
      <c r="AI8" s="598"/>
      <c r="AJ8" s="598"/>
      <c r="AK8" s="598"/>
      <c r="AL8" s="598"/>
      <c r="AM8" s="598"/>
      <c r="AN8" s="598"/>
      <c r="AO8" s="598"/>
      <c r="AP8" s="600" t="s">
        <v>315</v>
      </c>
      <c r="AQ8" s="600"/>
      <c r="AR8" s="600"/>
      <c r="AS8" s="600"/>
      <c r="AT8" s="600"/>
      <c r="AU8" s="600"/>
      <c r="AV8" s="600"/>
      <c r="AW8" s="598"/>
      <c r="AX8" s="598"/>
      <c r="AY8" s="598"/>
      <c r="AZ8" s="598"/>
      <c r="BA8" s="598"/>
      <c r="BB8" s="598"/>
      <c r="BC8" s="598"/>
      <c r="BD8" s="599"/>
      <c r="BE8" s="599"/>
      <c r="BF8" s="599"/>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4" t="s">
        <v>208</v>
      </c>
      <c r="B10" s="624"/>
      <c r="C10" s="624"/>
      <c r="D10" s="624"/>
      <c r="E10" s="624"/>
      <c r="F10" s="624"/>
      <c r="G10" s="624"/>
      <c r="H10" s="624"/>
      <c r="I10" s="624"/>
      <c r="J10" s="624"/>
      <c r="K10" s="624"/>
      <c r="L10" s="598" t="s">
        <v>10</v>
      </c>
      <c r="M10" s="598"/>
      <c r="N10" s="598"/>
      <c r="O10" s="598"/>
      <c r="P10" s="598"/>
      <c r="Q10" s="598"/>
      <c r="R10" s="598"/>
      <c r="S10" s="598"/>
      <c r="T10" s="598"/>
      <c r="U10" s="598"/>
      <c r="V10" s="598"/>
      <c r="W10" s="598"/>
      <c r="X10" s="598"/>
      <c r="Y10" s="598"/>
      <c r="Z10" s="301"/>
      <c r="AA10" s="301"/>
      <c r="AB10" s="301"/>
      <c r="AC10" s="301"/>
      <c r="AD10" s="301"/>
      <c r="AE10" s="301"/>
      <c r="AF10" s="727" t="s">
        <v>712</v>
      </c>
      <c r="AG10" s="728"/>
      <c r="AH10" s="733"/>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5"/>
    </row>
    <row r="11" spans="1:58" x14ac:dyDescent="0.2">
      <c r="A11" s="624"/>
      <c r="B11" s="624"/>
      <c r="C11" s="624"/>
      <c r="D11" s="624"/>
      <c r="E11" s="624"/>
      <c r="F11" s="624"/>
      <c r="G11" s="624"/>
      <c r="H11" s="624"/>
      <c r="I11" s="624"/>
      <c r="J11" s="624"/>
      <c r="K11" s="624"/>
      <c r="L11" s="598"/>
      <c r="M11" s="598"/>
      <c r="N11" s="598"/>
      <c r="O11" s="598"/>
      <c r="P11" s="598"/>
      <c r="Q11" s="598"/>
      <c r="R11" s="598"/>
      <c r="S11" s="598"/>
      <c r="T11" s="598"/>
      <c r="U11" s="598"/>
      <c r="V11" s="598"/>
      <c r="W11" s="598"/>
      <c r="X11" s="598"/>
      <c r="Y11" s="598"/>
      <c r="Z11" s="301"/>
      <c r="AA11" s="301"/>
      <c r="AB11" s="301"/>
      <c r="AC11" s="301"/>
      <c r="AD11" s="301"/>
      <c r="AE11" s="301"/>
      <c r="AF11" s="729"/>
      <c r="AG11" s="730"/>
      <c r="AH11" s="736"/>
      <c r="AI11" s="737"/>
      <c r="AJ11" s="737"/>
      <c r="AK11" s="737"/>
      <c r="AL11" s="737"/>
      <c r="AM11" s="737"/>
      <c r="AN11" s="737"/>
      <c r="AO11" s="737"/>
      <c r="AP11" s="737"/>
      <c r="AQ11" s="737"/>
      <c r="AR11" s="737"/>
      <c r="AS11" s="737"/>
      <c r="AT11" s="737"/>
      <c r="AU11" s="737"/>
      <c r="AV11" s="737"/>
      <c r="AW11" s="737"/>
      <c r="AX11" s="737"/>
      <c r="AY11" s="737"/>
      <c r="AZ11" s="737"/>
      <c r="BA11" s="737"/>
      <c r="BB11" s="737"/>
      <c r="BC11" s="737"/>
      <c r="BD11" s="737"/>
      <c r="BE11" s="737"/>
      <c r="BF11" s="738"/>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9"/>
      <c r="AG12" s="730"/>
      <c r="AH12" s="736"/>
      <c r="AI12" s="737"/>
      <c r="AJ12" s="737"/>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8"/>
    </row>
    <row r="13" spans="1:58" x14ac:dyDescent="0.2">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9"/>
      <c r="AG13" s="730"/>
      <c r="AH13" s="736"/>
      <c r="AI13" s="737"/>
      <c r="AJ13" s="737"/>
      <c r="AK13" s="737"/>
      <c r="AL13" s="737"/>
      <c r="AM13" s="737"/>
      <c r="AN13" s="737"/>
      <c r="AO13" s="737"/>
      <c r="AP13" s="737"/>
      <c r="AQ13" s="737"/>
      <c r="AR13" s="737"/>
      <c r="AS13" s="737"/>
      <c r="AT13" s="737"/>
      <c r="AU13" s="737"/>
      <c r="AV13" s="737"/>
      <c r="AW13" s="737"/>
      <c r="AX13" s="737"/>
      <c r="AY13" s="737"/>
      <c r="AZ13" s="737"/>
      <c r="BA13" s="737"/>
      <c r="BB13" s="737"/>
      <c r="BC13" s="737"/>
      <c r="BD13" s="737"/>
      <c r="BE13" s="737"/>
      <c r="BF13" s="738"/>
    </row>
    <row r="14" spans="1:58" x14ac:dyDescent="0.2">
      <c r="A14" s="742" t="s">
        <v>210</v>
      </c>
      <c r="B14" s="584"/>
      <c r="C14" s="584"/>
      <c r="D14" s="584"/>
      <c r="E14" s="584"/>
      <c r="F14" s="584"/>
      <c r="G14" s="584"/>
      <c r="H14" s="585"/>
      <c r="I14" s="742" t="s">
        <v>13</v>
      </c>
      <c r="J14" s="584"/>
      <c r="K14" s="584"/>
      <c r="L14" s="584"/>
      <c r="M14" s="584"/>
      <c r="N14" s="584"/>
      <c r="O14" s="584"/>
      <c r="P14" s="584"/>
      <c r="Q14" s="584"/>
      <c r="R14" s="584"/>
      <c r="S14" s="585"/>
      <c r="T14" s="742" t="s">
        <v>254</v>
      </c>
      <c r="U14" s="584"/>
      <c r="V14" s="584"/>
      <c r="W14" s="584"/>
      <c r="X14" s="584"/>
      <c r="Y14" s="584"/>
      <c r="Z14" s="584"/>
      <c r="AA14" s="584"/>
      <c r="AB14" s="584"/>
      <c r="AC14" s="584"/>
      <c r="AD14" s="585"/>
      <c r="AE14" s="526"/>
      <c r="AF14" s="729"/>
      <c r="AG14" s="730"/>
      <c r="AH14" s="736"/>
      <c r="AI14" s="737"/>
      <c r="AJ14" s="737"/>
      <c r="AK14" s="737"/>
      <c r="AL14" s="737"/>
      <c r="AM14" s="737"/>
      <c r="AN14" s="737"/>
      <c r="AO14" s="737"/>
      <c r="AP14" s="737"/>
      <c r="AQ14" s="737"/>
      <c r="AR14" s="737"/>
      <c r="AS14" s="737"/>
      <c r="AT14" s="737"/>
      <c r="AU14" s="737"/>
      <c r="AV14" s="737"/>
      <c r="AW14" s="737"/>
      <c r="AX14" s="737"/>
      <c r="AY14" s="737"/>
      <c r="AZ14" s="737"/>
      <c r="BA14" s="737"/>
      <c r="BB14" s="737"/>
      <c r="BC14" s="737"/>
      <c r="BD14" s="737"/>
      <c r="BE14" s="737"/>
      <c r="BF14" s="738"/>
    </row>
    <row r="15" spans="1:58" x14ac:dyDescent="0.2">
      <c r="A15" s="583" t="s">
        <v>697</v>
      </c>
      <c r="B15" s="584"/>
      <c r="C15" s="584"/>
      <c r="D15" s="584"/>
      <c r="E15" s="584"/>
      <c r="F15" s="584"/>
      <c r="G15" s="584"/>
      <c r="H15" s="585"/>
      <c r="I15" s="743">
        <v>0.2</v>
      </c>
      <c r="J15" s="744"/>
      <c r="K15" s="744"/>
      <c r="L15" s="744"/>
      <c r="M15" s="744"/>
      <c r="N15" s="744"/>
      <c r="O15" s="744"/>
      <c r="P15" s="744"/>
      <c r="Q15" s="744"/>
      <c r="R15" s="744"/>
      <c r="S15" s="745"/>
      <c r="T15" s="743" t="s">
        <v>698</v>
      </c>
      <c r="U15" s="744"/>
      <c r="V15" s="744"/>
      <c r="W15" s="744"/>
      <c r="X15" s="744"/>
      <c r="Y15" s="744"/>
      <c r="Z15" s="744"/>
      <c r="AA15" s="744"/>
      <c r="AB15" s="744"/>
      <c r="AC15" s="744"/>
      <c r="AD15" s="745"/>
      <c r="AE15" s="527"/>
      <c r="AF15" s="729"/>
      <c r="AG15" s="730"/>
      <c r="AH15" s="736"/>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8"/>
    </row>
    <row r="16" spans="1:58" x14ac:dyDescent="0.2">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1"/>
      <c r="AG16" s="732"/>
      <c r="AH16" s="739"/>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1"/>
    </row>
    <row r="17" spans="1:48" x14ac:dyDescent="0.2">
      <c r="A17" t="s">
        <v>261</v>
      </c>
    </row>
    <row r="18" spans="1:48" x14ac:dyDescent="0.2">
      <c r="A18" s="720" t="s">
        <v>211</v>
      </c>
      <c r="B18" s="721"/>
      <c r="C18" s="721"/>
      <c r="D18" s="721"/>
      <c r="E18" s="721"/>
      <c r="F18" s="721"/>
      <c r="G18" s="721"/>
      <c r="H18" s="721"/>
      <c r="I18" s="721"/>
      <c r="J18" s="721"/>
      <c r="K18" s="721"/>
      <c r="L18" s="721"/>
      <c r="M18" s="721"/>
      <c r="N18" s="721"/>
      <c r="O18" s="721"/>
      <c r="P18" s="721"/>
      <c r="Q18" s="721"/>
      <c r="R18" s="696"/>
      <c r="S18" s="720" t="s">
        <v>262</v>
      </c>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696"/>
    </row>
    <row r="19" spans="1:48" ht="13.5" customHeight="1" x14ac:dyDescent="0.2">
      <c r="A19" s="714" t="s">
        <v>219</v>
      </c>
      <c r="B19" s="715"/>
      <c r="C19" s="715"/>
      <c r="D19" s="715"/>
      <c r="E19" s="715"/>
      <c r="F19" s="715"/>
      <c r="G19" s="715"/>
      <c r="H19" s="715"/>
      <c r="I19" s="715"/>
      <c r="J19" s="715"/>
      <c r="K19" s="716"/>
      <c r="L19" s="714" t="s">
        <v>220</v>
      </c>
      <c r="M19" s="715"/>
      <c r="N19" s="715"/>
      <c r="O19" s="715"/>
      <c r="P19" s="715"/>
      <c r="Q19" s="715"/>
      <c r="R19" s="716"/>
      <c r="S19" s="714" t="s">
        <v>14</v>
      </c>
      <c r="T19" s="715"/>
      <c r="U19" s="715"/>
      <c r="V19" s="715"/>
      <c r="W19" s="715"/>
      <c r="X19" s="715"/>
      <c r="Y19" s="716"/>
      <c r="Z19" s="714" t="s">
        <v>15</v>
      </c>
      <c r="AA19" s="715"/>
      <c r="AB19" s="715"/>
      <c r="AC19" s="715"/>
      <c r="AD19" s="715"/>
      <c r="AE19" s="715"/>
      <c r="AF19" s="715"/>
      <c r="AG19" s="715"/>
      <c r="AH19" s="716"/>
      <c r="AI19" s="714" t="s">
        <v>264</v>
      </c>
      <c r="AJ19" s="715"/>
      <c r="AK19" s="715"/>
      <c r="AL19" s="715"/>
      <c r="AM19" s="715"/>
      <c r="AN19" s="716"/>
      <c r="AO19" s="714" t="s">
        <v>16</v>
      </c>
      <c r="AP19" s="715"/>
      <c r="AQ19" s="715"/>
      <c r="AR19" s="715"/>
      <c r="AS19" s="715"/>
      <c r="AT19" s="715"/>
      <c r="AU19" s="715"/>
      <c r="AV19" s="716"/>
    </row>
    <row r="20" spans="1:48" x14ac:dyDescent="0.2">
      <c r="A20" s="717"/>
      <c r="B20" s="718"/>
      <c r="C20" s="718"/>
      <c r="D20" s="718"/>
      <c r="E20" s="718"/>
      <c r="F20" s="718"/>
      <c r="G20" s="718"/>
      <c r="H20" s="718"/>
      <c r="I20" s="718"/>
      <c r="J20" s="718"/>
      <c r="K20" s="719"/>
      <c r="L20" s="717"/>
      <c r="M20" s="718"/>
      <c r="N20" s="718"/>
      <c r="O20" s="718"/>
      <c r="P20" s="718"/>
      <c r="Q20" s="718"/>
      <c r="R20" s="719"/>
      <c r="S20" s="717"/>
      <c r="T20" s="718"/>
      <c r="U20" s="718"/>
      <c r="V20" s="718"/>
      <c r="W20" s="718"/>
      <c r="X20" s="718"/>
      <c r="Y20" s="719"/>
      <c r="Z20" s="717"/>
      <c r="AA20" s="718"/>
      <c r="AB20" s="718"/>
      <c r="AC20" s="718"/>
      <c r="AD20" s="718"/>
      <c r="AE20" s="718"/>
      <c r="AF20" s="718"/>
      <c r="AG20" s="718"/>
      <c r="AH20" s="719"/>
      <c r="AI20" s="717"/>
      <c r="AJ20" s="718"/>
      <c r="AK20" s="718"/>
      <c r="AL20" s="718"/>
      <c r="AM20" s="718"/>
      <c r="AN20" s="719"/>
      <c r="AO20" s="717"/>
      <c r="AP20" s="718"/>
      <c r="AQ20" s="718"/>
      <c r="AR20" s="718"/>
      <c r="AS20" s="718"/>
      <c r="AT20" s="718"/>
      <c r="AU20" s="718"/>
      <c r="AV20" s="719"/>
    </row>
    <row r="21" spans="1:48" x14ac:dyDescent="0.2">
      <c r="A21" s="619" t="s">
        <v>17</v>
      </c>
      <c r="B21" s="619"/>
      <c r="C21" s="619"/>
      <c r="D21" s="619"/>
      <c r="E21" s="619"/>
      <c r="F21" s="619"/>
      <c r="G21" s="619"/>
      <c r="H21" s="619"/>
      <c r="I21" s="619"/>
      <c r="J21" s="619"/>
      <c r="K21" s="619"/>
      <c r="L21" s="707">
        <v>20</v>
      </c>
      <c r="M21" s="707"/>
      <c r="N21" s="707"/>
      <c r="O21" s="707"/>
      <c r="P21" s="707"/>
      <c r="Q21" s="707"/>
      <c r="R21" s="707"/>
      <c r="S21" s="708">
        <v>5</v>
      </c>
      <c r="T21" s="708"/>
      <c r="U21" s="708"/>
      <c r="V21" s="708"/>
      <c r="W21" s="708"/>
      <c r="X21" s="708"/>
      <c r="Y21" s="708"/>
      <c r="Z21" s="706">
        <f>IF(AND(L21&lt;&gt;"",S21&lt;&gt;""),S21/L21,"")</f>
        <v>0.25</v>
      </c>
      <c r="AA21" s="706"/>
      <c r="AB21" s="706"/>
      <c r="AC21" s="706"/>
      <c r="AD21" s="706"/>
      <c r="AE21" s="706"/>
      <c r="AF21" s="706"/>
      <c r="AG21" s="706"/>
      <c r="AH21" s="706"/>
      <c r="AI21" s="707">
        <v>11</v>
      </c>
      <c r="AJ21" s="707"/>
      <c r="AK21" s="707"/>
      <c r="AL21" s="707"/>
      <c r="AM21" s="707"/>
      <c r="AN21" s="707"/>
      <c r="AO21" s="706">
        <f>IF(AND(L21&lt;&gt;"",AI21&lt;&gt;""),AI21/L21,"")</f>
        <v>0.55000000000000004</v>
      </c>
      <c r="AP21" s="706"/>
      <c r="AQ21" s="706"/>
      <c r="AR21" s="706"/>
      <c r="AS21" s="706"/>
      <c r="AT21" s="706"/>
      <c r="AU21" s="706"/>
      <c r="AV21" s="706"/>
    </row>
    <row r="22" spans="1:48" x14ac:dyDescent="0.2">
      <c r="A22" s="619"/>
      <c r="B22" s="619"/>
      <c r="C22" s="619"/>
      <c r="D22" s="619"/>
      <c r="E22" s="619"/>
      <c r="F22" s="619"/>
      <c r="G22" s="619"/>
      <c r="H22" s="619"/>
      <c r="I22" s="619"/>
      <c r="J22" s="619"/>
      <c r="K22" s="619"/>
      <c r="L22" s="707"/>
      <c r="M22" s="707"/>
      <c r="N22" s="707"/>
      <c r="O22" s="707"/>
      <c r="P22" s="707"/>
      <c r="Q22" s="707"/>
      <c r="R22" s="707"/>
      <c r="S22" s="708"/>
      <c r="T22" s="708"/>
      <c r="U22" s="708"/>
      <c r="V22" s="708"/>
      <c r="W22" s="708"/>
      <c r="X22" s="708"/>
      <c r="Y22" s="708"/>
      <c r="Z22" s="706"/>
      <c r="AA22" s="706"/>
      <c r="AB22" s="706"/>
      <c r="AC22" s="706"/>
      <c r="AD22" s="706"/>
      <c r="AE22" s="706"/>
      <c r="AF22" s="706"/>
      <c r="AG22" s="706"/>
      <c r="AH22" s="706"/>
      <c r="AI22" s="707"/>
      <c r="AJ22" s="707"/>
      <c r="AK22" s="707"/>
      <c r="AL22" s="707"/>
      <c r="AM22" s="707"/>
      <c r="AN22" s="707"/>
      <c r="AO22" s="706"/>
      <c r="AP22" s="706"/>
      <c r="AQ22" s="706"/>
      <c r="AR22" s="706"/>
      <c r="AS22" s="706"/>
      <c r="AT22" s="706"/>
      <c r="AU22" s="706"/>
      <c r="AV22" s="706"/>
    </row>
    <row r="23" spans="1:48" x14ac:dyDescent="0.2">
      <c r="A23" s="619" t="s">
        <v>18</v>
      </c>
      <c r="B23" s="619"/>
      <c r="C23" s="619"/>
      <c r="D23" s="619"/>
      <c r="E23" s="619"/>
      <c r="F23" s="619"/>
      <c r="G23" s="619"/>
      <c r="H23" s="619"/>
      <c r="I23" s="619"/>
      <c r="J23" s="619"/>
      <c r="K23" s="619"/>
      <c r="L23" s="707">
        <v>30</v>
      </c>
      <c r="M23" s="707"/>
      <c r="N23" s="707"/>
      <c r="O23" s="707"/>
      <c r="P23" s="707"/>
      <c r="Q23" s="707"/>
      <c r="R23" s="707"/>
      <c r="S23" s="708">
        <v>13</v>
      </c>
      <c r="T23" s="708"/>
      <c r="U23" s="708"/>
      <c r="V23" s="708"/>
      <c r="W23" s="708"/>
      <c r="X23" s="708"/>
      <c r="Y23" s="708"/>
      <c r="Z23" s="706">
        <f>IF(AND(L23&lt;&gt;"",S23&lt;&gt;""),S23/L23,"")</f>
        <v>0.43333333333333335</v>
      </c>
      <c r="AA23" s="706"/>
      <c r="AB23" s="706"/>
      <c r="AC23" s="706"/>
      <c r="AD23" s="706"/>
      <c r="AE23" s="706"/>
      <c r="AF23" s="706"/>
      <c r="AG23" s="706"/>
      <c r="AH23" s="706"/>
      <c r="AI23" s="707">
        <v>15</v>
      </c>
      <c r="AJ23" s="707"/>
      <c r="AK23" s="707"/>
      <c r="AL23" s="707"/>
      <c r="AM23" s="707"/>
      <c r="AN23" s="707"/>
      <c r="AO23" s="706">
        <f>IF(AND(L23&lt;&gt;"",AI23&lt;&gt;""),AI23/L23,"")</f>
        <v>0.5</v>
      </c>
      <c r="AP23" s="706"/>
      <c r="AQ23" s="706"/>
      <c r="AR23" s="706"/>
      <c r="AS23" s="706"/>
      <c r="AT23" s="706"/>
      <c r="AU23" s="706"/>
      <c r="AV23" s="706"/>
    </row>
    <row r="24" spans="1:48" x14ac:dyDescent="0.2">
      <c r="A24" s="619"/>
      <c r="B24" s="619"/>
      <c r="C24" s="619"/>
      <c r="D24" s="619"/>
      <c r="E24" s="619"/>
      <c r="F24" s="619"/>
      <c r="G24" s="619"/>
      <c r="H24" s="619"/>
      <c r="I24" s="619"/>
      <c r="J24" s="619"/>
      <c r="K24" s="619"/>
      <c r="L24" s="707"/>
      <c r="M24" s="707"/>
      <c r="N24" s="707"/>
      <c r="O24" s="707"/>
      <c r="P24" s="707"/>
      <c r="Q24" s="707"/>
      <c r="R24" s="707"/>
      <c r="S24" s="708"/>
      <c r="T24" s="708"/>
      <c r="U24" s="708"/>
      <c r="V24" s="708"/>
      <c r="W24" s="708"/>
      <c r="X24" s="708"/>
      <c r="Y24" s="708"/>
      <c r="Z24" s="706"/>
      <c r="AA24" s="706"/>
      <c r="AB24" s="706"/>
      <c r="AC24" s="706"/>
      <c r="AD24" s="706"/>
      <c r="AE24" s="706"/>
      <c r="AF24" s="706"/>
      <c r="AG24" s="706"/>
      <c r="AH24" s="706"/>
      <c r="AI24" s="707"/>
      <c r="AJ24" s="707"/>
      <c r="AK24" s="707"/>
      <c r="AL24" s="707"/>
      <c r="AM24" s="707"/>
      <c r="AN24" s="707"/>
      <c r="AO24" s="706"/>
      <c r="AP24" s="706"/>
      <c r="AQ24" s="706"/>
      <c r="AR24" s="706"/>
      <c r="AS24" s="706"/>
      <c r="AT24" s="706"/>
      <c r="AU24" s="706"/>
      <c r="AV24" s="706"/>
    </row>
    <row r="25" spans="1:48" x14ac:dyDescent="0.2">
      <c r="A25" s="619" t="s">
        <v>19</v>
      </c>
      <c r="B25" s="619"/>
      <c r="C25" s="619"/>
      <c r="D25" s="619"/>
      <c r="E25" s="619"/>
      <c r="F25" s="619"/>
      <c r="G25" s="619"/>
      <c r="H25" s="619"/>
      <c r="I25" s="619"/>
      <c r="J25" s="619"/>
      <c r="K25" s="619"/>
      <c r="L25" s="707">
        <v>15</v>
      </c>
      <c r="M25" s="707"/>
      <c r="N25" s="707"/>
      <c r="O25" s="707"/>
      <c r="P25" s="707"/>
      <c r="Q25" s="707"/>
      <c r="R25" s="707"/>
      <c r="S25" s="708">
        <v>5</v>
      </c>
      <c r="T25" s="708"/>
      <c r="U25" s="708"/>
      <c r="V25" s="708"/>
      <c r="W25" s="708"/>
      <c r="X25" s="708"/>
      <c r="Y25" s="708"/>
      <c r="Z25" s="706">
        <f>IF(AND(L25&lt;&gt;"",S25&lt;&gt;""),S25/L25,"")</f>
        <v>0.33333333333333331</v>
      </c>
      <c r="AA25" s="706"/>
      <c r="AB25" s="706"/>
      <c r="AC25" s="706"/>
      <c r="AD25" s="706"/>
      <c r="AE25" s="706"/>
      <c r="AF25" s="706"/>
      <c r="AG25" s="706"/>
      <c r="AH25" s="706"/>
      <c r="AI25" s="707">
        <v>6</v>
      </c>
      <c r="AJ25" s="707"/>
      <c r="AK25" s="707"/>
      <c r="AL25" s="707"/>
      <c r="AM25" s="707"/>
      <c r="AN25" s="707"/>
      <c r="AO25" s="706">
        <f>IF(AND(L25&lt;&gt;"",AI25&lt;&gt;""),AI25/L25,"")</f>
        <v>0.4</v>
      </c>
      <c r="AP25" s="706"/>
      <c r="AQ25" s="706"/>
      <c r="AR25" s="706"/>
      <c r="AS25" s="706"/>
      <c r="AT25" s="706"/>
      <c r="AU25" s="706"/>
      <c r="AV25" s="706"/>
    </row>
    <row r="26" spans="1:48" x14ac:dyDescent="0.2">
      <c r="A26" s="619"/>
      <c r="B26" s="619"/>
      <c r="C26" s="619"/>
      <c r="D26" s="619"/>
      <c r="E26" s="619"/>
      <c r="F26" s="619"/>
      <c r="G26" s="619"/>
      <c r="H26" s="619"/>
      <c r="I26" s="619"/>
      <c r="J26" s="619"/>
      <c r="K26" s="619"/>
      <c r="L26" s="707"/>
      <c r="M26" s="707"/>
      <c r="N26" s="707"/>
      <c r="O26" s="707"/>
      <c r="P26" s="707"/>
      <c r="Q26" s="707"/>
      <c r="R26" s="707"/>
      <c r="S26" s="708"/>
      <c r="T26" s="708"/>
      <c r="U26" s="708"/>
      <c r="V26" s="708"/>
      <c r="W26" s="708"/>
      <c r="X26" s="708"/>
      <c r="Y26" s="708"/>
      <c r="Z26" s="706"/>
      <c r="AA26" s="706"/>
      <c r="AB26" s="706"/>
      <c r="AC26" s="706"/>
      <c r="AD26" s="706"/>
      <c r="AE26" s="706"/>
      <c r="AF26" s="706"/>
      <c r="AG26" s="706"/>
      <c r="AH26" s="706"/>
      <c r="AI26" s="707"/>
      <c r="AJ26" s="707"/>
      <c r="AK26" s="707"/>
      <c r="AL26" s="707"/>
      <c r="AM26" s="707"/>
      <c r="AN26" s="707"/>
      <c r="AO26" s="706"/>
      <c r="AP26" s="706"/>
      <c r="AQ26" s="706"/>
      <c r="AR26" s="706"/>
      <c r="AS26" s="706"/>
      <c r="AT26" s="706"/>
      <c r="AU26" s="706"/>
      <c r="AV26" s="706"/>
    </row>
    <row r="27" spans="1:48" x14ac:dyDescent="0.2">
      <c r="A27" s="619" t="s">
        <v>20</v>
      </c>
      <c r="B27" s="619"/>
      <c r="C27" s="619"/>
      <c r="D27" s="619"/>
      <c r="E27" s="619"/>
      <c r="F27" s="619"/>
      <c r="G27" s="619"/>
      <c r="H27" s="619"/>
      <c r="I27" s="619"/>
      <c r="J27" s="619"/>
      <c r="K27" s="619"/>
      <c r="L27" s="707">
        <v>40</v>
      </c>
      <c r="M27" s="707"/>
      <c r="N27" s="707"/>
      <c r="O27" s="707"/>
      <c r="P27" s="707"/>
      <c r="Q27" s="707"/>
      <c r="R27" s="707"/>
      <c r="S27" s="708">
        <v>10</v>
      </c>
      <c r="T27" s="708"/>
      <c r="U27" s="708"/>
      <c r="V27" s="708"/>
      <c r="W27" s="708"/>
      <c r="X27" s="708"/>
      <c r="Y27" s="708"/>
      <c r="Z27" s="706">
        <f>IF(AND(L27&lt;&gt;"",S27&lt;&gt;""),S27/L27,"")</f>
        <v>0.25</v>
      </c>
      <c r="AA27" s="706"/>
      <c r="AB27" s="706"/>
      <c r="AC27" s="706"/>
      <c r="AD27" s="706"/>
      <c r="AE27" s="706"/>
      <c r="AF27" s="706"/>
      <c r="AG27" s="706"/>
      <c r="AH27" s="706"/>
      <c r="AI27" s="707">
        <v>18</v>
      </c>
      <c r="AJ27" s="707"/>
      <c r="AK27" s="707"/>
      <c r="AL27" s="707"/>
      <c r="AM27" s="707"/>
      <c r="AN27" s="707"/>
      <c r="AO27" s="706">
        <f>IF(AND(L27&lt;&gt;"",AI27&lt;&gt;""),AI27/L27,"")</f>
        <v>0.45</v>
      </c>
      <c r="AP27" s="706"/>
      <c r="AQ27" s="706"/>
      <c r="AR27" s="706"/>
      <c r="AS27" s="706"/>
      <c r="AT27" s="706"/>
      <c r="AU27" s="706"/>
      <c r="AV27" s="706"/>
    </row>
    <row r="28" spans="1:48" x14ac:dyDescent="0.2">
      <c r="A28" s="619"/>
      <c r="B28" s="619"/>
      <c r="C28" s="619"/>
      <c r="D28" s="619"/>
      <c r="E28" s="619"/>
      <c r="F28" s="619"/>
      <c r="G28" s="619"/>
      <c r="H28" s="619"/>
      <c r="I28" s="619"/>
      <c r="J28" s="619"/>
      <c r="K28" s="619"/>
      <c r="L28" s="707"/>
      <c r="M28" s="707"/>
      <c r="N28" s="707"/>
      <c r="O28" s="707"/>
      <c r="P28" s="707"/>
      <c r="Q28" s="707"/>
      <c r="R28" s="707"/>
      <c r="S28" s="708"/>
      <c r="T28" s="708"/>
      <c r="U28" s="708"/>
      <c r="V28" s="708"/>
      <c r="W28" s="708"/>
      <c r="X28" s="708"/>
      <c r="Y28" s="708"/>
      <c r="Z28" s="706"/>
      <c r="AA28" s="706"/>
      <c r="AB28" s="706"/>
      <c r="AC28" s="706"/>
      <c r="AD28" s="706"/>
      <c r="AE28" s="706"/>
      <c r="AF28" s="706"/>
      <c r="AG28" s="706"/>
      <c r="AH28" s="706"/>
      <c r="AI28" s="707"/>
      <c r="AJ28" s="707"/>
      <c r="AK28" s="707"/>
      <c r="AL28" s="707"/>
      <c r="AM28" s="707"/>
      <c r="AN28" s="707"/>
      <c r="AO28" s="706"/>
      <c r="AP28" s="706"/>
      <c r="AQ28" s="706"/>
      <c r="AR28" s="706"/>
      <c r="AS28" s="706"/>
      <c r="AT28" s="706"/>
      <c r="AU28" s="706"/>
      <c r="AV28" s="706"/>
    </row>
    <row r="29" spans="1:48" x14ac:dyDescent="0.2">
      <c r="A29" s="619"/>
      <c r="B29" s="619"/>
      <c r="C29" s="619"/>
      <c r="D29" s="619"/>
      <c r="E29" s="619"/>
      <c r="F29" s="619"/>
      <c r="G29" s="619"/>
      <c r="H29" s="619"/>
      <c r="I29" s="619"/>
      <c r="J29" s="619"/>
      <c r="K29" s="619"/>
      <c r="L29" s="707"/>
      <c r="M29" s="707"/>
      <c r="N29" s="707"/>
      <c r="O29" s="707"/>
      <c r="P29" s="707"/>
      <c r="Q29" s="707"/>
      <c r="R29" s="707"/>
      <c r="S29" s="708"/>
      <c r="T29" s="708"/>
      <c r="U29" s="708"/>
      <c r="V29" s="708"/>
      <c r="W29" s="708"/>
      <c r="X29" s="708"/>
      <c r="Y29" s="708"/>
      <c r="Z29" s="706" t="str">
        <f>IF(AND(L29&lt;&gt;"",S29&lt;&gt;""),S29/L29,"")</f>
        <v/>
      </c>
      <c r="AA29" s="706"/>
      <c r="AB29" s="706"/>
      <c r="AC29" s="706"/>
      <c r="AD29" s="706"/>
      <c r="AE29" s="706"/>
      <c r="AF29" s="706"/>
      <c r="AG29" s="706"/>
      <c r="AH29" s="706"/>
      <c r="AI29" s="707"/>
      <c r="AJ29" s="707"/>
      <c r="AK29" s="707"/>
      <c r="AL29" s="707"/>
      <c r="AM29" s="707"/>
      <c r="AN29" s="707"/>
      <c r="AO29" s="706" t="str">
        <f>IF(AND(L29&lt;&gt;"",AI29&lt;&gt;""),AI29/L29,"")</f>
        <v/>
      </c>
      <c r="AP29" s="706"/>
      <c r="AQ29" s="706"/>
      <c r="AR29" s="706"/>
      <c r="AS29" s="706"/>
      <c r="AT29" s="706"/>
      <c r="AU29" s="706"/>
      <c r="AV29" s="706"/>
    </row>
    <row r="30" spans="1:48" x14ac:dyDescent="0.2">
      <c r="A30" s="619"/>
      <c r="B30" s="619"/>
      <c r="C30" s="619"/>
      <c r="D30" s="619"/>
      <c r="E30" s="619"/>
      <c r="F30" s="619"/>
      <c r="G30" s="619"/>
      <c r="H30" s="619"/>
      <c r="I30" s="619"/>
      <c r="J30" s="619"/>
      <c r="K30" s="619"/>
      <c r="L30" s="707"/>
      <c r="M30" s="707"/>
      <c r="N30" s="707"/>
      <c r="O30" s="707"/>
      <c r="P30" s="707"/>
      <c r="Q30" s="707"/>
      <c r="R30" s="707"/>
      <c r="S30" s="708"/>
      <c r="T30" s="708"/>
      <c r="U30" s="708"/>
      <c r="V30" s="708"/>
      <c r="W30" s="708"/>
      <c r="X30" s="708"/>
      <c r="Y30" s="708"/>
      <c r="Z30" s="706"/>
      <c r="AA30" s="706"/>
      <c r="AB30" s="706"/>
      <c r="AC30" s="706"/>
      <c r="AD30" s="706"/>
      <c r="AE30" s="706"/>
      <c r="AF30" s="706"/>
      <c r="AG30" s="706"/>
      <c r="AH30" s="706"/>
      <c r="AI30" s="707"/>
      <c r="AJ30" s="707"/>
      <c r="AK30" s="707"/>
      <c r="AL30" s="707"/>
      <c r="AM30" s="707"/>
      <c r="AN30" s="707"/>
      <c r="AO30" s="706"/>
      <c r="AP30" s="706"/>
      <c r="AQ30" s="706"/>
      <c r="AR30" s="706"/>
      <c r="AS30" s="706"/>
      <c r="AT30" s="706"/>
      <c r="AU30" s="706"/>
      <c r="AV30" s="706"/>
    </row>
    <row r="31" spans="1:48" x14ac:dyDescent="0.2">
      <c r="A31" s="619"/>
      <c r="B31" s="619"/>
      <c r="C31" s="619"/>
      <c r="D31" s="619"/>
      <c r="E31" s="619"/>
      <c r="F31" s="619"/>
      <c r="G31" s="619"/>
      <c r="H31" s="619"/>
      <c r="I31" s="619"/>
      <c r="J31" s="619"/>
      <c r="K31" s="619"/>
      <c r="L31" s="707"/>
      <c r="M31" s="707"/>
      <c r="N31" s="707"/>
      <c r="O31" s="707"/>
      <c r="P31" s="707"/>
      <c r="Q31" s="707"/>
      <c r="R31" s="707"/>
      <c r="S31" s="708"/>
      <c r="T31" s="708"/>
      <c r="U31" s="708"/>
      <c r="V31" s="708"/>
      <c r="W31" s="708"/>
      <c r="X31" s="708"/>
      <c r="Y31" s="708"/>
      <c r="Z31" s="706" t="str">
        <f>IF(AND(L31&lt;&gt;"",S31&lt;&gt;""),S31/L31,"")</f>
        <v/>
      </c>
      <c r="AA31" s="706"/>
      <c r="AB31" s="706"/>
      <c r="AC31" s="706"/>
      <c r="AD31" s="706"/>
      <c r="AE31" s="706"/>
      <c r="AF31" s="706"/>
      <c r="AG31" s="706"/>
      <c r="AH31" s="706"/>
      <c r="AI31" s="707"/>
      <c r="AJ31" s="707"/>
      <c r="AK31" s="707"/>
      <c r="AL31" s="707"/>
      <c r="AM31" s="707"/>
      <c r="AN31" s="707"/>
      <c r="AO31" s="706" t="str">
        <f>IF(AND(L31&lt;&gt;"",AI31&lt;&gt;""),AI31/L31,"")</f>
        <v/>
      </c>
      <c r="AP31" s="706"/>
      <c r="AQ31" s="706"/>
      <c r="AR31" s="706"/>
      <c r="AS31" s="706"/>
      <c r="AT31" s="706"/>
      <c r="AU31" s="706"/>
      <c r="AV31" s="706"/>
    </row>
    <row r="32" spans="1:48" x14ac:dyDescent="0.2">
      <c r="A32" s="619"/>
      <c r="B32" s="619"/>
      <c r="C32" s="619"/>
      <c r="D32" s="619"/>
      <c r="E32" s="619"/>
      <c r="F32" s="619"/>
      <c r="G32" s="619"/>
      <c r="H32" s="619"/>
      <c r="I32" s="619"/>
      <c r="J32" s="619"/>
      <c r="K32" s="619"/>
      <c r="L32" s="707"/>
      <c r="M32" s="707"/>
      <c r="N32" s="707"/>
      <c r="O32" s="707"/>
      <c r="P32" s="707"/>
      <c r="Q32" s="707"/>
      <c r="R32" s="707"/>
      <c r="S32" s="708"/>
      <c r="T32" s="708"/>
      <c r="U32" s="708"/>
      <c r="V32" s="708"/>
      <c r="W32" s="708"/>
      <c r="X32" s="708"/>
      <c r="Y32" s="708"/>
      <c r="Z32" s="706"/>
      <c r="AA32" s="706"/>
      <c r="AB32" s="706"/>
      <c r="AC32" s="706"/>
      <c r="AD32" s="706"/>
      <c r="AE32" s="706"/>
      <c r="AF32" s="706"/>
      <c r="AG32" s="706"/>
      <c r="AH32" s="706"/>
      <c r="AI32" s="707"/>
      <c r="AJ32" s="707"/>
      <c r="AK32" s="707"/>
      <c r="AL32" s="707"/>
      <c r="AM32" s="707"/>
      <c r="AN32" s="707"/>
      <c r="AO32" s="706"/>
      <c r="AP32" s="706"/>
      <c r="AQ32" s="706"/>
      <c r="AR32" s="706"/>
      <c r="AS32" s="706"/>
      <c r="AT32" s="706"/>
      <c r="AU32" s="706"/>
      <c r="AV32" s="706"/>
    </row>
    <row r="33" spans="1:48" x14ac:dyDescent="0.2">
      <c r="A33" s="619"/>
      <c r="B33" s="619"/>
      <c r="C33" s="619"/>
      <c r="D33" s="619"/>
      <c r="E33" s="619"/>
      <c r="F33" s="619"/>
      <c r="G33" s="619"/>
      <c r="H33" s="619"/>
      <c r="I33" s="619"/>
      <c r="J33" s="619"/>
      <c r="K33" s="619"/>
      <c r="L33" s="707"/>
      <c r="M33" s="707"/>
      <c r="N33" s="707"/>
      <c r="O33" s="707"/>
      <c r="P33" s="707"/>
      <c r="Q33" s="707"/>
      <c r="R33" s="707"/>
      <c r="S33" s="708"/>
      <c r="T33" s="708"/>
      <c r="U33" s="708"/>
      <c r="V33" s="708"/>
      <c r="W33" s="708"/>
      <c r="X33" s="708"/>
      <c r="Y33" s="708"/>
      <c r="Z33" s="706" t="str">
        <f>IF(AND(L33&lt;&gt;"",S33&lt;&gt;""),S33/L33,"")</f>
        <v/>
      </c>
      <c r="AA33" s="706"/>
      <c r="AB33" s="706"/>
      <c r="AC33" s="706"/>
      <c r="AD33" s="706"/>
      <c r="AE33" s="706"/>
      <c r="AF33" s="706"/>
      <c r="AG33" s="706"/>
      <c r="AH33" s="706"/>
      <c r="AI33" s="707"/>
      <c r="AJ33" s="707"/>
      <c r="AK33" s="707"/>
      <c r="AL33" s="707"/>
      <c r="AM33" s="707"/>
      <c r="AN33" s="707"/>
      <c r="AO33" s="706" t="str">
        <f>IF(AND(L33&lt;&gt;"",AI33&lt;&gt;""),AI33/L33,"")</f>
        <v/>
      </c>
      <c r="AP33" s="706"/>
      <c r="AQ33" s="706"/>
      <c r="AR33" s="706"/>
      <c r="AS33" s="706"/>
      <c r="AT33" s="706"/>
      <c r="AU33" s="706"/>
      <c r="AV33" s="706"/>
    </row>
    <row r="34" spans="1:48" x14ac:dyDescent="0.2">
      <c r="A34" s="619"/>
      <c r="B34" s="619"/>
      <c r="C34" s="619"/>
      <c r="D34" s="619"/>
      <c r="E34" s="619"/>
      <c r="F34" s="619"/>
      <c r="G34" s="619"/>
      <c r="H34" s="619"/>
      <c r="I34" s="619"/>
      <c r="J34" s="619"/>
      <c r="K34" s="619"/>
      <c r="L34" s="707"/>
      <c r="M34" s="707"/>
      <c r="N34" s="707"/>
      <c r="O34" s="707"/>
      <c r="P34" s="707"/>
      <c r="Q34" s="707"/>
      <c r="R34" s="707"/>
      <c r="S34" s="708"/>
      <c r="T34" s="708"/>
      <c r="U34" s="708"/>
      <c r="V34" s="708"/>
      <c r="W34" s="708"/>
      <c r="X34" s="708"/>
      <c r="Y34" s="708"/>
      <c r="Z34" s="706"/>
      <c r="AA34" s="706"/>
      <c r="AB34" s="706"/>
      <c r="AC34" s="706"/>
      <c r="AD34" s="706"/>
      <c r="AE34" s="706"/>
      <c r="AF34" s="706"/>
      <c r="AG34" s="706"/>
      <c r="AH34" s="706"/>
      <c r="AI34" s="707"/>
      <c r="AJ34" s="707"/>
      <c r="AK34" s="707"/>
      <c r="AL34" s="707"/>
      <c r="AM34" s="707"/>
      <c r="AN34" s="707"/>
      <c r="AO34" s="706"/>
      <c r="AP34" s="706"/>
      <c r="AQ34" s="706"/>
      <c r="AR34" s="706"/>
      <c r="AS34" s="706"/>
      <c r="AT34" s="706"/>
      <c r="AU34" s="706"/>
      <c r="AV34" s="706"/>
    </row>
    <row r="35" spans="1:48" x14ac:dyDescent="0.2">
      <c r="A35" s="619"/>
      <c r="B35" s="619"/>
      <c r="C35" s="619"/>
      <c r="D35" s="619"/>
      <c r="E35" s="619"/>
      <c r="F35" s="619"/>
      <c r="G35" s="619"/>
      <c r="H35" s="619"/>
      <c r="I35" s="619"/>
      <c r="J35" s="619"/>
      <c r="K35" s="619"/>
      <c r="L35" s="707"/>
      <c r="M35" s="707"/>
      <c r="N35" s="707"/>
      <c r="O35" s="707"/>
      <c r="P35" s="707"/>
      <c r="Q35" s="707"/>
      <c r="R35" s="707"/>
      <c r="S35" s="708"/>
      <c r="T35" s="708"/>
      <c r="U35" s="708"/>
      <c r="V35" s="708"/>
      <c r="W35" s="708"/>
      <c r="X35" s="708"/>
      <c r="Y35" s="708"/>
      <c r="Z35" s="706" t="str">
        <f>IF(AND(L35&lt;&gt;"",S35&lt;&gt;""),S35/L35,"")</f>
        <v/>
      </c>
      <c r="AA35" s="706"/>
      <c r="AB35" s="706"/>
      <c r="AC35" s="706"/>
      <c r="AD35" s="706"/>
      <c r="AE35" s="706"/>
      <c r="AF35" s="706"/>
      <c r="AG35" s="706"/>
      <c r="AH35" s="706"/>
      <c r="AI35" s="707"/>
      <c r="AJ35" s="707"/>
      <c r="AK35" s="707"/>
      <c r="AL35" s="707"/>
      <c r="AM35" s="707"/>
      <c r="AN35" s="707"/>
      <c r="AO35" s="706" t="str">
        <f>IF(AND(L35&lt;&gt;"",AI35&lt;&gt;""),AI35/L35,"")</f>
        <v/>
      </c>
      <c r="AP35" s="706"/>
      <c r="AQ35" s="706"/>
      <c r="AR35" s="706"/>
      <c r="AS35" s="706"/>
      <c r="AT35" s="706"/>
      <c r="AU35" s="706"/>
      <c r="AV35" s="706"/>
    </row>
    <row r="36" spans="1:48" x14ac:dyDescent="0.2">
      <c r="A36" s="619"/>
      <c r="B36" s="619"/>
      <c r="C36" s="619"/>
      <c r="D36" s="619"/>
      <c r="E36" s="619"/>
      <c r="F36" s="619"/>
      <c r="G36" s="619"/>
      <c r="H36" s="619"/>
      <c r="I36" s="619"/>
      <c r="J36" s="619"/>
      <c r="K36" s="619"/>
      <c r="L36" s="707"/>
      <c r="M36" s="707"/>
      <c r="N36" s="707"/>
      <c r="O36" s="707"/>
      <c r="P36" s="707"/>
      <c r="Q36" s="707"/>
      <c r="R36" s="707"/>
      <c r="S36" s="708"/>
      <c r="T36" s="708"/>
      <c r="U36" s="708"/>
      <c r="V36" s="708"/>
      <c r="W36" s="708"/>
      <c r="X36" s="708"/>
      <c r="Y36" s="708"/>
      <c r="Z36" s="706"/>
      <c r="AA36" s="706"/>
      <c r="AB36" s="706"/>
      <c r="AC36" s="706"/>
      <c r="AD36" s="706"/>
      <c r="AE36" s="706"/>
      <c r="AF36" s="706"/>
      <c r="AG36" s="706"/>
      <c r="AH36" s="706"/>
      <c r="AI36" s="707"/>
      <c r="AJ36" s="707"/>
      <c r="AK36" s="707"/>
      <c r="AL36" s="707"/>
      <c r="AM36" s="707"/>
      <c r="AN36" s="707"/>
      <c r="AO36" s="706"/>
      <c r="AP36" s="706"/>
      <c r="AQ36" s="706"/>
      <c r="AR36" s="706"/>
      <c r="AS36" s="706"/>
      <c r="AT36" s="706"/>
      <c r="AU36" s="706"/>
      <c r="AV36" s="706"/>
    </row>
    <row r="37" spans="1:48" x14ac:dyDescent="0.2">
      <c r="A37" s="619"/>
      <c r="B37" s="619"/>
      <c r="C37" s="619"/>
      <c r="D37" s="619"/>
      <c r="E37" s="619"/>
      <c r="F37" s="619"/>
      <c r="G37" s="619"/>
      <c r="H37" s="619"/>
      <c r="I37" s="619"/>
      <c r="J37" s="619"/>
      <c r="K37" s="619"/>
      <c r="L37" s="707"/>
      <c r="M37" s="707"/>
      <c r="N37" s="707"/>
      <c r="O37" s="707"/>
      <c r="P37" s="707"/>
      <c r="Q37" s="707"/>
      <c r="R37" s="707"/>
      <c r="S37" s="708"/>
      <c r="T37" s="708"/>
      <c r="U37" s="708"/>
      <c r="V37" s="708"/>
      <c r="W37" s="708"/>
      <c r="X37" s="708"/>
      <c r="Y37" s="708"/>
      <c r="Z37" s="706" t="str">
        <f>IF(AND(L37&lt;&gt;"",S37&lt;&gt;""),S37/L37,"")</f>
        <v/>
      </c>
      <c r="AA37" s="706"/>
      <c r="AB37" s="706"/>
      <c r="AC37" s="706"/>
      <c r="AD37" s="706"/>
      <c r="AE37" s="706"/>
      <c r="AF37" s="706"/>
      <c r="AG37" s="706"/>
      <c r="AH37" s="706"/>
      <c r="AI37" s="707"/>
      <c r="AJ37" s="707"/>
      <c r="AK37" s="707"/>
      <c r="AL37" s="707"/>
      <c r="AM37" s="707"/>
      <c r="AN37" s="707"/>
      <c r="AO37" s="706" t="str">
        <f>IF(AND(L37&lt;&gt;"",AI37&lt;&gt;""),AI37/L37,"")</f>
        <v/>
      </c>
      <c r="AP37" s="706"/>
      <c r="AQ37" s="706"/>
      <c r="AR37" s="706"/>
      <c r="AS37" s="706"/>
      <c r="AT37" s="706"/>
      <c r="AU37" s="706"/>
      <c r="AV37" s="706"/>
    </row>
    <row r="38" spans="1:48" x14ac:dyDescent="0.2">
      <c r="A38" s="619"/>
      <c r="B38" s="619"/>
      <c r="C38" s="619"/>
      <c r="D38" s="619"/>
      <c r="E38" s="619"/>
      <c r="F38" s="619"/>
      <c r="G38" s="619"/>
      <c r="H38" s="619"/>
      <c r="I38" s="619"/>
      <c r="J38" s="619"/>
      <c r="K38" s="619"/>
      <c r="L38" s="707"/>
      <c r="M38" s="707"/>
      <c r="N38" s="707"/>
      <c r="O38" s="707"/>
      <c r="P38" s="707"/>
      <c r="Q38" s="707"/>
      <c r="R38" s="707"/>
      <c r="S38" s="708"/>
      <c r="T38" s="708"/>
      <c r="U38" s="708"/>
      <c r="V38" s="708"/>
      <c r="W38" s="708"/>
      <c r="X38" s="708"/>
      <c r="Y38" s="708"/>
      <c r="Z38" s="706"/>
      <c r="AA38" s="706"/>
      <c r="AB38" s="706"/>
      <c r="AC38" s="706"/>
      <c r="AD38" s="706"/>
      <c r="AE38" s="706"/>
      <c r="AF38" s="706"/>
      <c r="AG38" s="706"/>
      <c r="AH38" s="706"/>
      <c r="AI38" s="707"/>
      <c r="AJ38" s="707"/>
      <c r="AK38" s="707"/>
      <c r="AL38" s="707"/>
      <c r="AM38" s="707"/>
      <c r="AN38" s="707"/>
      <c r="AO38" s="706"/>
      <c r="AP38" s="706"/>
      <c r="AQ38" s="706"/>
      <c r="AR38" s="706"/>
      <c r="AS38" s="706"/>
      <c r="AT38" s="706"/>
      <c r="AU38" s="706"/>
      <c r="AV38" s="706"/>
    </row>
    <row r="39" spans="1:48" x14ac:dyDescent="0.2">
      <c r="A39" s="619"/>
      <c r="B39" s="619"/>
      <c r="C39" s="619"/>
      <c r="D39" s="619"/>
      <c r="E39" s="619"/>
      <c r="F39" s="619"/>
      <c r="G39" s="619"/>
      <c r="H39" s="619"/>
      <c r="I39" s="619"/>
      <c r="J39" s="619"/>
      <c r="K39" s="619"/>
      <c r="L39" s="707"/>
      <c r="M39" s="707"/>
      <c r="N39" s="707"/>
      <c r="O39" s="707"/>
      <c r="P39" s="707"/>
      <c r="Q39" s="707"/>
      <c r="R39" s="707"/>
      <c r="S39" s="708"/>
      <c r="T39" s="708"/>
      <c r="U39" s="708"/>
      <c r="V39" s="708"/>
      <c r="W39" s="708"/>
      <c r="X39" s="708"/>
      <c r="Y39" s="708"/>
      <c r="Z39" s="706" t="str">
        <f>IF(AND(L39&lt;&gt;"",S39&lt;&gt;""),S39/L39,"")</f>
        <v/>
      </c>
      <c r="AA39" s="706"/>
      <c r="AB39" s="706"/>
      <c r="AC39" s="706"/>
      <c r="AD39" s="706"/>
      <c r="AE39" s="706"/>
      <c r="AF39" s="706"/>
      <c r="AG39" s="706"/>
      <c r="AH39" s="706"/>
      <c r="AI39" s="707"/>
      <c r="AJ39" s="707"/>
      <c r="AK39" s="707"/>
      <c r="AL39" s="707"/>
      <c r="AM39" s="707"/>
      <c r="AN39" s="707"/>
      <c r="AO39" s="706" t="str">
        <f>IF(AND(L39&lt;&gt;"",AI39&lt;&gt;""),AI39/L39,"")</f>
        <v/>
      </c>
      <c r="AP39" s="706"/>
      <c r="AQ39" s="706"/>
      <c r="AR39" s="706"/>
      <c r="AS39" s="706"/>
      <c r="AT39" s="706"/>
      <c r="AU39" s="706"/>
      <c r="AV39" s="706"/>
    </row>
    <row r="40" spans="1:48" x14ac:dyDescent="0.2">
      <c r="A40" s="619"/>
      <c r="B40" s="619"/>
      <c r="C40" s="619"/>
      <c r="D40" s="619"/>
      <c r="E40" s="619"/>
      <c r="F40" s="619"/>
      <c r="G40" s="619"/>
      <c r="H40" s="619"/>
      <c r="I40" s="619"/>
      <c r="J40" s="619"/>
      <c r="K40" s="619"/>
      <c r="L40" s="707"/>
      <c r="M40" s="707"/>
      <c r="N40" s="707"/>
      <c r="O40" s="707"/>
      <c r="P40" s="707"/>
      <c r="Q40" s="707"/>
      <c r="R40" s="707"/>
      <c r="S40" s="708"/>
      <c r="T40" s="708"/>
      <c r="U40" s="708"/>
      <c r="V40" s="708"/>
      <c r="W40" s="708"/>
      <c r="X40" s="708"/>
      <c r="Y40" s="708"/>
      <c r="Z40" s="706"/>
      <c r="AA40" s="706"/>
      <c r="AB40" s="706"/>
      <c r="AC40" s="706"/>
      <c r="AD40" s="706"/>
      <c r="AE40" s="706"/>
      <c r="AF40" s="706"/>
      <c r="AG40" s="706"/>
      <c r="AH40" s="706"/>
      <c r="AI40" s="707"/>
      <c r="AJ40" s="707"/>
      <c r="AK40" s="707"/>
      <c r="AL40" s="707"/>
      <c r="AM40" s="707"/>
      <c r="AN40" s="707"/>
      <c r="AO40" s="706"/>
      <c r="AP40" s="706"/>
      <c r="AQ40" s="706"/>
      <c r="AR40" s="706"/>
      <c r="AS40" s="706"/>
      <c r="AT40" s="706"/>
      <c r="AU40" s="706"/>
      <c r="AV40" s="706"/>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5"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640625" defaultRowHeight="13.2" x14ac:dyDescent="0.2"/>
  <cols>
    <col min="1" max="1" width="9" customWidth="1"/>
  </cols>
  <sheetData>
    <row r="1" spans="1:58" ht="13.5" customHeight="1" x14ac:dyDescent="0.2">
      <c r="A1" s="723" t="s">
        <v>24</v>
      </c>
      <c r="B1" s="723"/>
      <c r="C1" s="723"/>
      <c r="D1" s="723"/>
      <c r="E1" s="723"/>
      <c r="F1" s="723"/>
      <c r="G1" s="723"/>
      <c r="H1" s="723"/>
      <c r="I1" s="723"/>
      <c r="J1" s="723"/>
      <c r="K1" s="723" t="s">
        <v>25</v>
      </c>
      <c r="L1" s="723"/>
      <c r="M1" s="723"/>
      <c r="N1" s="723"/>
      <c r="O1" s="723"/>
      <c r="P1" s="723"/>
      <c r="Q1" s="723"/>
      <c r="R1" s="723"/>
      <c r="S1" s="723"/>
      <c r="T1" s="723"/>
      <c r="U1" s="723"/>
      <c r="V1" s="723"/>
      <c r="W1" s="723"/>
      <c r="X1" s="723"/>
      <c r="Y1" s="723"/>
      <c r="Z1" s="723"/>
      <c r="AA1" s="723"/>
      <c r="AB1" s="583" t="s">
        <v>305</v>
      </c>
      <c r="AC1" s="584"/>
      <c r="AD1" s="584"/>
      <c r="AE1" s="584"/>
      <c r="AF1" s="585"/>
      <c r="AG1" s="583" t="s">
        <v>306</v>
      </c>
      <c r="AH1" s="584"/>
      <c r="AI1" s="584"/>
      <c r="AJ1" s="584"/>
      <c r="AK1" s="585"/>
      <c r="AL1" s="583" t="s">
        <v>237</v>
      </c>
      <c r="AM1" s="584"/>
      <c r="AN1" s="584"/>
      <c r="AO1" s="584"/>
      <c r="AP1" s="585"/>
      <c r="AQ1" s="586" t="s">
        <v>566</v>
      </c>
      <c r="AR1" s="587"/>
      <c r="AS1" s="587"/>
      <c r="AT1" s="587"/>
      <c r="AU1" s="587"/>
      <c r="AV1" s="587"/>
      <c r="AW1" s="587"/>
      <c r="AX1" s="587"/>
      <c r="AY1" s="587"/>
      <c r="AZ1" s="587"/>
      <c r="BA1" s="587"/>
      <c r="BB1" s="587"/>
      <c r="BC1" s="587"/>
      <c r="BD1" s="587"/>
      <c r="BE1" s="587"/>
      <c r="BF1" s="588"/>
    </row>
    <row r="2" spans="1:58" ht="13.5" customHeight="1" x14ac:dyDescent="0.2">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583" t="s">
        <v>494</v>
      </c>
      <c r="AC2" s="584"/>
      <c r="AD2" s="584"/>
      <c r="AE2" s="584"/>
      <c r="AF2" s="585"/>
      <c r="AG2" s="583" t="s">
        <v>494</v>
      </c>
      <c r="AH2" s="584"/>
      <c r="AI2" s="584"/>
      <c r="AJ2" s="584"/>
      <c r="AK2" s="585"/>
      <c r="AL2" s="583" t="s">
        <v>494</v>
      </c>
      <c r="AM2" s="584"/>
      <c r="AN2" s="584"/>
      <c r="AO2" s="584"/>
      <c r="AP2" s="585"/>
      <c r="AQ2" s="586" t="s">
        <v>308</v>
      </c>
      <c r="AR2" s="587"/>
      <c r="AS2" s="587"/>
      <c r="AT2" s="587"/>
      <c r="AU2" s="587"/>
      <c r="AV2" s="588"/>
      <c r="AW2" s="583" t="s">
        <v>306</v>
      </c>
      <c r="AX2" s="584"/>
      <c r="AY2" s="584"/>
      <c r="AZ2" s="584"/>
      <c r="BA2" s="585"/>
      <c r="BB2" s="583" t="s">
        <v>618</v>
      </c>
      <c r="BC2" s="584"/>
      <c r="BD2" s="584"/>
      <c r="BE2" s="584"/>
      <c r="BF2" s="585"/>
    </row>
    <row r="3" spans="1:58" ht="13.5" customHeight="1" x14ac:dyDescent="0.2">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598"/>
      <c r="AC3" s="598"/>
      <c r="AD3" s="598"/>
      <c r="AE3" s="598"/>
      <c r="AF3" s="598"/>
      <c r="AG3" s="598"/>
      <c r="AH3" s="598"/>
      <c r="AI3" s="598"/>
      <c r="AJ3" s="598"/>
      <c r="AK3" s="598"/>
      <c r="AL3" s="598"/>
      <c r="AM3" s="598"/>
      <c r="AN3" s="598"/>
      <c r="AO3" s="598"/>
      <c r="AP3" s="598"/>
      <c r="AQ3" s="589"/>
      <c r="AR3" s="590"/>
      <c r="AS3" s="590"/>
      <c r="AT3" s="590"/>
      <c r="AU3" s="590"/>
      <c r="AV3" s="591"/>
      <c r="AW3" s="584" t="s">
        <v>495</v>
      </c>
      <c r="AX3" s="584"/>
      <c r="AY3" s="584"/>
      <c r="AZ3" s="584"/>
      <c r="BA3" s="585"/>
      <c r="BB3" s="583" t="s">
        <v>495</v>
      </c>
      <c r="BC3" s="584"/>
      <c r="BD3" s="584"/>
      <c r="BE3" s="584"/>
      <c r="BF3" s="585"/>
    </row>
    <row r="4" spans="1:58" ht="13.5" customHeight="1" x14ac:dyDescent="0.2">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598"/>
      <c r="AC4" s="598"/>
      <c r="AD4" s="598"/>
      <c r="AE4" s="598"/>
      <c r="AF4" s="598"/>
      <c r="AG4" s="598"/>
      <c r="AH4" s="598"/>
      <c r="AI4" s="598"/>
      <c r="AJ4" s="598"/>
      <c r="AK4" s="598"/>
      <c r="AL4" s="598"/>
      <c r="AM4" s="598"/>
      <c r="AN4" s="598"/>
      <c r="AO4" s="598"/>
      <c r="AP4" s="598"/>
      <c r="AQ4" s="592"/>
      <c r="AR4" s="593"/>
      <c r="AS4" s="593"/>
      <c r="AT4" s="593"/>
      <c r="AU4" s="593"/>
      <c r="AV4" s="594"/>
      <c r="AW4" s="571"/>
      <c r="AX4" s="572"/>
      <c r="AY4" s="572"/>
      <c r="AZ4" s="572"/>
      <c r="BA4" s="573"/>
      <c r="BB4" s="571"/>
      <c r="BC4" s="572"/>
      <c r="BD4" s="572"/>
      <c r="BE4" s="572"/>
      <c r="BF4" s="573"/>
    </row>
    <row r="5" spans="1:58" ht="13.5" customHeight="1" x14ac:dyDescent="0.2">
      <c r="A5" s="598" t="s">
        <v>465</v>
      </c>
      <c r="B5" s="598"/>
      <c r="C5" s="598"/>
      <c r="D5" s="598"/>
      <c r="E5" s="598"/>
      <c r="F5" s="598"/>
      <c r="G5" s="598"/>
      <c r="H5" s="598"/>
      <c r="I5" s="598"/>
      <c r="J5" s="598"/>
      <c r="K5" s="598"/>
      <c r="L5" s="598"/>
      <c r="M5" s="598"/>
      <c r="N5" s="598"/>
      <c r="O5" s="600" t="s">
        <v>466</v>
      </c>
      <c r="P5" s="600"/>
      <c r="Q5" s="600"/>
      <c r="R5" s="600"/>
      <c r="S5" s="600"/>
      <c r="T5" s="600"/>
      <c r="U5" s="600"/>
      <c r="V5" s="600"/>
      <c r="W5" s="600"/>
      <c r="X5" s="600"/>
      <c r="Y5" s="600"/>
      <c r="Z5" s="600"/>
      <c r="AA5" s="600"/>
      <c r="AB5" s="598"/>
      <c r="AC5" s="598"/>
      <c r="AD5" s="598"/>
      <c r="AE5" s="598"/>
      <c r="AF5" s="598"/>
      <c r="AG5" s="598"/>
      <c r="AH5" s="598"/>
      <c r="AI5" s="598"/>
      <c r="AJ5" s="598"/>
      <c r="AK5" s="598"/>
      <c r="AL5" s="598"/>
      <c r="AM5" s="598"/>
      <c r="AN5" s="598"/>
      <c r="AO5" s="598"/>
      <c r="AP5" s="598"/>
      <c r="AQ5" s="592"/>
      <c r="AR5" s="593"/>
      <c r="AS5" s="593"/>
      <c r="AT5" s="593"/>
      <c r="AU5" s="593"/>
      <c r="AV5" s="594"/>
      <c r="AW5" s="571"/>
      <c r="AX5" s="572"/>
      <c r="AY5" s="572"/>
      <c r="AZ5" s="572"/>
      <c r="BA5" s="573"/>
      <c r="BB5" s="571"/>
      <c r="BC5" s="572"/>
      <c r="BD5" s="572"/>
      <c r="BE5" s="572"/>
      <c r="BF5" s="573"/>
    </row>
    <row r="6" spans="1:58" x14ac:dyDescent="0.2">
      <c r="A6" s="598"/>
      <c r="B6" s="598"/>
      <c r="C6" s="598"/>
      <c r="D6" s="598"/>
      <c r="E6" s="598"/>
      <c r="F6" s="598"/>
      <c r="G6" s="598"/>
      <c r="H6" s="598"/>
      <c r="I6" s="598"/>
      <c r="J6" s="598"/>
      <c r="K6" s="598"/>
      <c r="L6" s="598"/>
      <c r="M6" s="598"/>
      <c r="N6" s="598"/>
      <c r="O6" s="600"/>
      <c r="P6" s="600"/>
      <c r="Q6" s="600"/>
      <c r="R6" s="600"/>
      <c r="S6" s="600"/>
      <c r="T6" s="600"/>
      <c r="U6" s="600"/>
      <c r="V6" s="600"/>
      <c r="W6" s="600"/>
      <c r="X6" s="600"/>
      <c r="Y6" s="600"/>
      <c r="Z6" s="600"/>
      <c r="AA6" s="600"/>
      <c r="AB6" s="598"/>
      <c r="AC6" s="598"/>
      <c r="AD6" s="598"/>
      <c r="AE6" s="598"/>
      <c r="AF6" s="598"/>
      <c r="AG6" s="598"/>
      <c r="AH6" s="598"/>
      <c r="AI6" s="598"/>
      <c r="AJ6" s="598"/>
      <c r="AK6" s="598"/>
      <c r="AL6" s="598"/>
      <c r="AM6" s="598"/>
      <c r="AN6" s="598"/>
      <c r="AO6" s="598"/>
      <c r="AP6" s="598"/>
      <c r="AQ6" s="595"/>
      <c r="AR6" s="596"/>
      <c r="AS6" s="596"/>
      <c r="AT6" s="596"/>
      <c r="AU6" s="596"/>
      <c r="AV6" s="597"/>
      <c r="AW6" s="580"/>
      <c r="AX6" s="581"/>
      <c r="AY6" s="581"/>
      <c r="AZ6" s="581"/>
      <c r="BA6" s="582"/>
      <c r="BB6" s="580"/>
      <c r="BC6" s="581"/>
      <c r="BD6" s="581"/>
      <c r="BE6" s="581"/>
      <c r="BF6" s="582"/>
    </row>
    <row r="7" spans="1:58" ht="13.5" customHeight="1" x14ac:dyDescent="0.2">
      <c r="A7" s="598" t="s">
        <v>310</v>
      </c>
      <c r="B7" s="598"/>
      <c r="C7" s="598"/>
      <c r="D7" s="598"/>
      <c r="E7" s="598"/>
      <c r="F7" s="598"/>
      <c r="G7" s="598"/>
      <c r="H7" s="598"/>
      <c r="I7" s="598"/>
      <c r="J7" s="598"/>
      <c r="K7" s="598"/>
      <c r="L7" s="598"/>
      <c r="M7" s="598"/>
      <c r="N7" s="598"/>
      <c r="O7" s="600" t="s">
        <v>311</v>
      </c>
      <c r="P7" s="600"/>
      <c r="Q7" s="600"/>
      <c r="R7" s="600"/>
      <c r="S7" s="600"/>
      <c r="T7" s="600"/>
      <c r="U7" s="600"/>
      <c r="V7" s="600"/>
      <c r="W7" s="600"/>
      <c r="X7" s="600"/>
      <c r="Y7" s="600"/>
      <c r="Z7" s="600"/>
      <c r="AA7" s="600"/>
      <c r="AB7" s="600" t="s">
        <v>312</v>
      </c>
      <c r="AC7" s="600"/>
      <c r="AD7" s="600"/>
      <c r="AE7" s="600"/>
      <c r="AF7" s="600"/>
      <c r="AG7" s="600"/>
      <c r="AH7" s="600"/>
      <c r="AI7" s="600"/>
      <c r="AJ7" s="600"/>
      <c r="AK7" s="600"/>
      <c r="AL7" s="600"/>
      <c r="AM7" s="600"/>
      <c r="AN7" s="600"/>
      <c r="AO7" s="600"/>
      <c r="AP7" s="600" t="s">
        <v>313</v>
      </c>
      <c r="AQ7" s="600"/>
      <c r="AR7" s="600"/>
      <c r="AS7" s="600"/>
      <c r="AT7" s="600"/>
      <c r="AU7" s="600"/>
      <c r="AV7" s="600"/>
      <c r="AW7" s="600"/>
      <c r="AX7" s="600"/>
      <c r="AY7" s="600"/>
      <c r="AZ7" s="600"/>
      <c r="BA7" s="600"/>
      <c r="BB7" s="600"/>
      <c r="BC7" s="600"/>
      <c r="BD7" s="598" t="s">
        <v>26</v>
      </c>
      <c r="BE7" s="598"/>
      <c r="BF7" s="598"/>
    </row>
    <row r="8" spans="1:58" x14ac:dyDescent="0.2">
      <c r="A8" s="598"/>
      <c r="B8" s="598"/>
      <c r="C8" s="598"/>
      <c r="D8" s="598"/>
      <c r="E8" s="598"/>
      <c r="F8" s="598"/>
      <c r="G8" s="598"/>
      <c r="H8" s="598"/>
      <c r="I8" s="598"/>
      <c r="J8" s="598"/>
      <c r="K8" s="598"/>
      <c r="L8" s="598"/>
      <c r="M8" s="598"/>
      <c r="N8" s="598"/>
      <c r="O8" s="600"/>
      <c r="P8" s="600"/>
      <c r="Q8" s="600"/>
      <c r="R8" s="600"/>
      <c r="S8" s="600"/>
      <c r="T8" s="600"/>
      <c r="U8" s="600"/>
      <c r="V8" s="600"/>
      <c r="W8" s="600"/>
      <c r="X8" s="600"/>
      <c r="Y8" s="600"/>
      <c r="Z8" s="600"/>
      <c r="AA8" s="600"/>
      <c r="AB8" s="600" t="s">
        <v>568</v>
      </c>
      <c r="AC8" s="600"/>
      <c r="AD8" s="600"/>
      <c r="AE8" s="600"/>
      <c r="AF8" s="600"/>
      <c r="AG8" s="600"/>
      <c r="AH8" s="600"/>
      <c r="AI8" s="598"/>
      <c r="AJ8" s="598"/>
      <c r="AK8" s="598"/>
      <c r="AL8" s="598"/>
      <c r="AM8" s="598"/>
      <c r="AN8" s="598"/>
      <c r="AO8" s="598"/>
      <c r="AP8" s="600" t="s">
        <v>315</v>
      </c>
      <c r="AQ8" s="600"/>
      <c r="AR8" s="600"/>
      <c r="AS8" s="600"/>
      <c r="AT8" s="600"/>
      <c r="AU8" s="600"/>
      <c r="AV8" s="600"/>
      <c r="AW8" s="598"/>
      <c r="AX8" s="598"/>
      <c r="AY8" s="598"/>
      <c r="AZ8" s="598"/>
      <c r="BA8" s="598"/>
      <c r="BB8" s="598"/>
      <c r="BC8" s="598"/>
      <c r="BD8" s="599"/>
      <c r="BE8" s="599"/>
      <c r="BF8" s="599"/>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4" t="s">
        <v>208</v>
      </c>
      <c r="B10" s="624"/>
      <c r="C10" s="624"/>
      <c r="D10" s="624"/>
      <c r="E10" s="624"/>
      <c r="F10" s="624"/>
      <c r="G10" s="624"/>
      <c r="H10" s="624"/>
      <c r="I10" s="624"/>
      <c r="J10" s="624"/>
      <c r="K10" s="624"/>
      <c r="L10" s="598" t="s">
        <v>10</v>
      </c>
      <c r="M10" s="598"/>
      <c r="N10" s="598"/>
      <c r="O10" s="598"/>
      <c r="P10" s="598"/>
      <c r="Q10" s="598"/>
      <c r="R10" s="598"/>
      <c r="S10" s="598"/>
      <c r="T10" s="598"/>
      <c r="U10" s="598"/>
      <c r="V10" s="598"/>
      <c r="W10" s="598"/>
      <c r="X10" s="598"/>
      <c r="Y10" s="598"/>
      <c r="Z10" s="301"/>
      <c r="AA10" s="301"/>
      <c r="AB10" s="301"/>
      <c r="AC10" s="301"/>
      <c r="AD10" s="301"/>
      <c r="AE10" s="301"/>
      <c r="AF10" s="727" t="s">
        <v>712</v>
      </c>
      <c r="AG10" s="728"/>
      <c r="AH10" s="733"/>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5"/>
    </row>
    <row r="11" spans="1:58" x14ac:dyDescent="0.2">
      <c r="A11" s="624"/>
      <c r="B11" s="624"/>
      <c r="C11" s="624"/>
      <c r="D11" s="624"/>
      <c r="E11" s="624"/>
      <c r="F11" s="624"/>
      <c r="G11" s="624"/>
      <c r="H11" s="624"/>
      <c r="I11" s="624"/>
      <c r="J11" s="624"/>
      <c r="K11" s="624"/>
      <c r="L11" s="598"/>
      <c r="M11" s="598"/>
      <c r="N11" s="598"/>
      <c r="O11" s="598"/>
      <c r="P11" s="598"/>
      <c r="Q11" s="598"/>
      <c r="R11" s="598"/>
      <c r="S11" s="598"/>
      <c r="T11" s="598"/>
      <c r="U11" s="598"/>
      <c r="V11" s="598"/>
      <c r="W11" s="598"/>
      <c r="X11" s="598"/>
      <c r="Y11" s="598"/>
      <c r="Z11" s="301"/>
      <c r="AA11" s="301"/>
      <c r="AB11" s="301"/>
      <c r="AC11" s="301"/>
      <c r="AD11" s="301"/>
      <c r="AE11" s="301"/>
      <c r="AF11" s="729"/>
      <c r="AG11" s="730"/>
      <c r="AH11" s="736"/>
      <c r="AI11" s="737"/>
      <c r="AJ11" s="737"/>
      <c r="AK11" s="737"/>
      <c r="AL11" s="737"/>
      <c r="AM11" s="737"/>
      <c r="AN11" s="737"/>
      <c r="AO11" s="737"/>
      <c r="AP11" s="737"/>
      <c r="AQ11" s="737"/>
      <c r="AR11" s="737"/>
      <c r="AS11" s="737"/>
      <c r="AT11" s="737"/>
      <c r="AU11" s="737"/>
      <c r="AV11" s="737"/>
      <c r="AW11" s="737"/>
      <c r="AX11" s="737"/>
      <c r="AY11" s="737"/>
      <c r="AZ11" s="737"/>
      <c r="BA11" s="737"/>
      <c r="BB11" s="737"/>
      <c r="BC11" s="737"/>
      <c r="BD11" s="737"/>
      <c r="BE11" s="737"/>
      <c r="BF11" s="738"/>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9"/>
      <c r="AG12" s="730"/>
      <c r="AH12" s="736"/>
      <c r="AI12" s="737"/>
      <c r="AJ12" s="737"/>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8"/>
    </row>
    <row r="13" spans="1:58" x14ac:dyDescent="0.2">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9"/>
      <c r="AG13" s="730"/>
      <c r="AH13" s="736"/>
      <c r="AI13" s="737"/>
      <c r="AJ13" s="737"/>
      <c r="AK13" s="737"/>
      <c r="AL13" s="737"/>
      <c r="AM13" s="737"/>
      <c r="AN13" s="737"/>
      <c r="AO13" s="737"/>
      <c r="AP13" s="737"/>
      <c r="AQ13" s="737"/>
      <c r="AR13" s="737"/>
      <c r="AS13" s="737"/>
      <c r="AT13" s="737"/>
      <c r="AU13" s="737"/>
      <c r="AV13" s="737"/>
      <c r="AW13" s="737"/>
      <c r="AX13" s="737"/>
      <c r="AY13" s="737"/>
      <c r="AZ13" s="737"/>
      <c r="BA13" s="737"/>
      <c r="BB13" s="737"/>
      <c r="BC13" s="737"/>
      <c r="BD13" s="737"/>
      <c r="BE13" s="737"/>
      <c r="BF13" s="738"/>
    </row>
    <row r="14" spans="1:58" x14ac:dyDescent="0.2">
      <c r="A14" s="742" t="s">
        <v>210</v>
      </c>
      <c r="B14" s="584"/>
      <c r="C14" s="584"/>
      <c r="D14" s="584"/>
      <c r="E14" s="584"/>
      <c r="F14" s="584"/>
      <c r="G14" s="584"/>
      <c r="H14" s="585"/>
      <c r="I14" s="742" t="s">
        <v>13</v>
      </c>
      <c r="J14" s="584"/>
      <c r="K14" s="584"/>
      <c r="L14" s="584"/>
      <c r="M14" s="584"/>
      <c r="N14" s="584"/>
      <c r="O14" s="584"/>
      <c r="P14" s="584"/>
      <c r="Q14" s="584"/>
      <c r="R14" s="584"/>
      <c r="S14" s="585"/>
      <c r="T14" s="742" t="s">
        <v>254</v>
      </c>
      <c r="U14" s="584"/>
      <c r="V14" s="584"/>
      <c r="W14" s="584"/>
      <c r="X14" s="584"/>
      <c r="Y14" s="584"/>
      <c r="Z14" s="584"/>
      <c r="AA14" s="584"/>
      <c r="AB14" s="584"/>
      <c r="AC14" s="584"/>
      <c r="AD14" s="585"/>
      <c r="AE14" s="526"/>
      <c r="AF14" s="729"/>
      <c r="AG14" s="730"/>
      <c r="AH14" s="736"/>
      <c r="AI14" s="737"/>
      <c r="AJ14" s="737"/>
      <c r="AK14" s="737"/>
      <c r="AL14" s="737"/>
      <c r="AM14" s="737"/>
      <c r="AN14" s="737"/>
      <c r="AO14" s="737"/>
      <c r="AP14" s="737"/>
      <c r="AQ14" s="737"/>
      <c r="AR14" s="737"/>
      <c r="AS14" s="737"/>
      <c r="AT14" s="737"/>
      <c r="AU14" s="737"/>
      <c r="AV14" s="737"/>
      <c r="AW14" s="737"/>
      <c r="AX14" s="737"/>
      <c r="AY14" s="737"/>
      <c r="AZ14" s="737"/>
      <c r="BA14" s="737"/>
      <c r="BB14" s="737"/>
      <c r="BC14" s="737"/>
      <c r="BD14" s="737"/>
      <c r="BE14" s="737"/>
      <c r="BF14" s="738"/>
    </row>
    <row r="15" spans="1:58" x14ac:dyDescent="0.2">
      <c r="A15" s="583" t="s">
        <v>699</v>
      </c>
      <c r="B15" s="584"/>
      <c r="C15" s="584"/>
      <c r="D15" s="584"/>
      <c r="E15" s="584"/>
      <c r="F15" s="584"/>
      <c r="G15" s="584"/>
      <c r="H15" s="585"/>
      <c r="I15" s="746">
        <v>0.15</v>
      </c>
      <c r="J15" s="747"/>
      <c r="K15" s="747"/>
      <c r="L15" s="747"/>
      <c r="M15" s="747"/>
      <c r="N15" s="747"/>
      <c r="O15" s="747"/>
      <c r="P15" s="747"/>
      <c r="Q15" s="747"/>
      <c r="R15" s="747"/>
      <c r="S15" s="748"/>
      <c r="T15" s="746" t="s">
        <v>700</v>
      </c>
      <c r="U15" s="747"/>
      <c r="V15" s="747"/>
      <c r="W15" s="747"/>
      <c r="X15" s="747"/>
      <c r="Y15" s="747"/>
      <c r="Z15" s="747"/>
      <c r="AA15" s="747"/>
      <c r="AB15" s="747"/>
      <c r="AC15" s="747"/>
      <c r="AD15" s="748"/>
      <c r="AE15" s="527"/>
      <c r="AF15" s="729"/>
      <c r="AG15" s="730"/>
      <c r="AH15" s="736"/>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8"/>
    </row>
    <row r="16" spans="1:58" x14ac:dyDescent="0.2">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1"/>
      <c r="AG16" s="732"/>
      <c r="AH16" s="739"/>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1"/>
    </row>
    <row r="17" spans="1:48" x14ac:dyDescent="0.2">
      <c r="A17" t="s">
        <v>261</v>
      </c>
    </row>
    <row r="18" spans="1:48" x14ac:dyDescent="0.2">
      <c r="A18" s="720" t="s">
        <v>211</v>
      </c>
      <c r="B18" s="721"/>
      <c r="C18" s="721"/>
      <c r="D18" s="721"/>
      <c r="E18" s="721"/>
      <c r="F18" s="721"/>
      <c r="G18" s="721"/>
      <c r="H18" s="721"/>
      <c r="I18" s="721"/>
      <c r="J18" s="721"/>
      <c r="K18" s="721"/>
      <c r="L18" s="721"/>
      <c r="M18" s="721"/>
      <c r="N18" s="721"/>
      <c r="O18" s="721"/>
      <c r="P18" s="721"/>
      <c r="Q18" s="721"/>
      <c r="R18" s="696"/>
      <c r="S18" s="720" t="s">
        <v>263</v>
      </c>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696"/>
    </row>
    <row r="19" spans="1:48" ht="13.5" customHeight="1" x14ac:dyDescent="0.2">
      <c r="A19" s="714" t="s">
        <v>219</v>
      </c>
      <c r="B19" s="715"/>
      <c r="C19" s="715"/>
      <c r="D19" s="715"/>
      <c r="E19" s="715"/>
      <c r="F19" s="715"/>
      <c r="G19" s="715"/>
      <c r="H19" s="715"/>
      <c r="I19" s="715"/>
      <c r="J19" s="715"/>
      <c r="K19" s="716"/>
      <c r="L19" s="714" t="s">
        <v>220</v>
      </c>
      <c r="M19" s="715"/>
      <c r="N19" s="715"/>
      <c r="O19" s="715"/>
      <c r="P19" s="715"/>
      <c r="Q19" s="715"/>
      <c r="R19" s="716"/>
      <c r="S19" s="714" t="s">
        <v>14</v>
      </c>
      <c r="T19" s="715"/>
      <c r="U19" s="715"/>
      <c r="V19" s="715"/>
      <c r="W19" s="715"/>
      <c r="X19" s="715"/>
      <c r="Y19" s="716"/>
      <c r="Z19" s="714" t="s">
        <v>15</v>
      </c>
      <c r="AA19" s="715"/>
      <c r="AB19" s="715"/>
      <c r="AC19" s="715"/>
      <c r="AD19" s="715"/>
      <c r="AE19" s="715"/>
      <c r="AF19" s="715"/>
      <c r="AG19" s="715"/>
      <c r="AH19" s="716"/>
      <c r="AI19" s="714" t="s">
        <v>264</v>
      </c>
      <c r="AJ19" s="715"/>
      <c r="AK19" s="715"/>
      <c r="AL19" s="715"/>
      <c r="AM19" s="715"/>
      <c r="AN19" s="716"/>
      <c r="AO19" s="714" t="s">
        <v>16</v>
      </c>
      <c r="AP19" s="715"/>
      <c r="AQ19" s="715"/>
      <c r="AR19" s="715"/>
      <c r="AS19" s="715"/>
      <c r="AT19" s="715"/>
      <c r="AU19" s="715"/>
      <c r="AV19" s="716"/>
    </row>
    <row r="20" spans="1:48" x14ac:dyDescent="0.2">
      <c r="A20" s="717"/>
      <c r="B20" s="718"/>
      <c r="C20" s="718"/>
      <c r="D20" s="718"/>
      <c r="E20" s="718"/>
      <c r="F20" s="718"/>
      <c r="G20" s="718"/>
      <c r="H20" s="718"/>
      <c r="I20" s="718"/>
      <c r="J20" s="718"/>
      <c r="K20" s="719"/>
      <c r="L20" s="717"/>
      <c r="M20" s="718"/>
      <c r="N20" s="718"/>
      <c r="O20" s="718"/>
      <c r="P20" s="718"/>
      <c r="Q20" s="718"/>
      <c r="R20" s="719"/>
      <c r="S20" s="717"/>
      <c r="T20" s="718"/>
      <c r="U20" s="718"/>
      <c r="V20" s="718"/>
      <c r="W20" s="718"/>
      <c r="X20" s="718"/>
      <c r="Y20" s="719"/>
      <c r="Z20" s="717"/>
      <c r="AA20" s="718"/>
      <c r="AB20" s="718"/>
      <c r="AC20" s="718"/>
      <c r="AD20" s="718"/>
      <c r="AE20" s="718"/>
      <c r="AF20" s="718"/>
      <c r="AG20" s="718"/>
      <c r="AH20" s="719"/>
      <c r="AI20" s="717"/>
      <c r="AJ20" s="718"/>
      <c r="AK20" s="718"/>
      <c r="AL20" s="718"/>
      <c r="AM20" s="718"/>
      <c r="AN20" s="719"/>
      <c r="AO20" s="717"/>
      <c r="AP20" s="718"/>
      <c r="AQ20" s="718"/>
      <c r="AR20" s="718"/>
      <c r="AS20" s="718"/>
      <c r="AT20" s="718"/>
      <c r="AU20" s="718"/>
      <c r="AV20" s="719"/>
    </row>
    <row r="21" spans="1:48" x14ac:dyDescent="0.2">
      <c r="A21" s="619" t="s">
        <v>195</v>
      </c>
      <c r="B21" s="619"/>
      <c r="C21" s="619"/>
      <c r="D21" s="619"/>
      <c r="E21" s="619"/>
      <c r="F21" s="619"/>
      <c r="G21" s="619"/>
      <c r="H21" s="619"/>
      <c r="I21" s="619"/>
      <c r="J21" s="619"/>
      <c r="K21" s="619"/>
      <c r="L21" s="707">
        <v>105</v>
      </c>
      <c r="M21" s="707"/>
      <c r="N21" s="707"/>
      <c r="O21" s="707"/>
      <c r="P21" s="707"/>
      <c r="Q21" s="707"/>
      <c r="R21" s="707"/>
      <c r="S21" s="708">
        <v>20</v>
      </c>
      <c r="T21" s="708"/>
      <c r="U21" s="708"/>
      <c r="V21" s="708"/>
      <c r="W21" s="708"/>
      <c r="X21" s="708"/>
      <c r="Y21" s="708"/>
      <c r="Z21" s="706">
        <f>IF(AND(L21&lt;&gt;"",S21&lt;&gt;""),S21/L21,"")</f>
        <v>0.19047619047619047</v>
      </c>
      <c r="AA21" s="706"/>
      <c r="AB21" s="706"/>
      <c r="AC21" s="706"/>
      <c r="AD21" s="706"/>
      <c r="AE21" s="706"/>
      <c r="AF21" s="706"/>
      <c r="AG21" s="706"/>
      <c r="AH21" s="706"/>
      <c r="AI21" s="707">
        <v>22</v>
      </c>
      <c r="AJ21" s="707"/>
      <c r="AK21" s="707"/>
      <c r="AL21" s="707"/>
      <c r="AM21" s="707"/>
      <c r="AN21" s="707"/>
      <c r="AO21" s="706">
        <f>IF(AND(L21&lt;&gt;"",AI21&lt;&gt;""),AI21/L21,"")</f>
        <v>0.20952380952380953</v>
      </c>
      <c r="AP21" s="706"/>
      <c r="AQ21" s="706"/>
      <c r="AR21" s="706"/>
      <c r="AS21" s="706"/>
      <c r="AT21" s="706"/>
      <c r="AU21" s="706"/>
      <c r="AV21" s="706"/>
    </row>
    <row r="22" spans="1:48" x14ac:dyDescent="0.2">
      <c r="A22" s="619"/>
      <c r="B22" s="619"/>
      <c r="C22" s="619"/>
      <c r="D22" s="619"/>
      <c r="E22" s="619"/>
      <c r="F22" s="619"/>
      <c r="G22" s="619"/>
      <c r="H22" s="619"/>
      <c r="I22" s="619"/>
      <c r="J22" s="619"/>
      <c r="K22" s="619"/>
      <c r="L22" s="707"/>
      <c r="M22" s="707"/>
      <c r="N22" s="707"/>
      <c r="O22" s="707"/>
      <c r="P22" s="707"/>
      <c r="Q22" s="707"/>
      <c r="R22" s="707"/>
      <c r="S22" s="708"/>
      <c r="T22" s="708"/>
      <c r="U22" s="708"/>
      <c r="V22" s="708"/>
      <c r="W22" s="708"/>
      <c r="X22" s="708"/>
      <c r="Y22" s="708"/>
      <c r="Z22" s="706"/>
      <c r="AA22" s="706"/>
      <c r="AB22" s="706"/>
      <c r="AC22" s="706"/>
      <c r="AD22" s="706"/>
      <c r="AE22" s="706"/>
      <c r="AF22" s="706"/>
      <c r="AG22" s="706"/>
      <c r="AH22" s="706"/>
      <c r="AI22" s="707"/>
      <c r="AJ22" s="707"/>
      <c r="AK22" s="707"/>
      <c r="AL22" s="707"/>
      <c r="AM22" s="707"/>
      <c r="AN22" s="707"/>
      <c r="AO22" s="706"/>
      <c r="AP22" s="706"/>
      <c r="AQ22" s="706"/>
      <c r="AR22" s="706"/>
      <c r="AS22" s="706"/>
      <c r="AT22" s="706"/>
      <c r="AU22" s="706"/>
      <c r="AV22" s="706"/>
    </row>
    <row r="23" spans="1:48" x14ac:dyDescent="0.2">
      <c r="A23" s="619"/>
      <c r="B23" s="619"/>
      <c r="C23" s="619"/>
      <c r="D23" s="619"/>
      <c r="E23" s="619"/>
      <c r="F23" s="619"/>
      <c r="G23" s="619"/>
      <c r="H23" s="619"/>
      <c r="I23" s="619"/>
      <c r="J23" s="619"/>
      <c r="K23" s="619"/>
      <c r="L23" s="707"/>
      <c r="M23" s="707"/>
      <c r="N23" s="707"/>
      <c r="O23" s="707"/>
      <c r="P23" s="707"/>
      <c r="Q23" s="707"/>
      <c r="R23" s="707"/>
      <c r="S23" s="708"/>
      <c r="T23" s="708"/>
      <c r="U23" s="708"/>
      <c r="V23" s="708"/>
      <c r="W23" s="708"/>
      <c r="X23" s="708"/>
      <c r="Y23" s="708"/>
      <c r="Z23" s="706" t="str">
        <f>IF(AND(L23&lt;&gt;"",S23&lt;&gt;""),S23/L23,"")</f>
        <v/>
      </c>
      <c r="AA23" s="706"/>
      <c r="AB23" s="706"/>
      <c r="AC23" s="706"/>
      <c r="AD23" s="706"/>
      <c r="AE23" s="706"/>
      <c r="AF23" s="706"/>
      <c r="AG23" s="706"/>
      <c r="AH23" s="706"/>
      <c r="AI23" s="707"/>
      <c r="AJ23" s="707"/>
      <c r="AK23" s="707"/>
      <c r="AL23" s="707"/>
      <c r="AM23" s="707"/>
      <c r="AN23" s="707"/>
      <c r="AO23" s="706" t="str">
        <f>IF(AND(L23&lt;&gt;"",AI23&lt;&gt;""),AI23/L23,"")</f>
        <v/>
      </c>
      <c r="AP23" s="706"/>
      <c r="AQ23" s="706"/>
      <c r="AR23" s="706"/>
      <c r="AS23" s="706"/>
      <c r="AT23" s="706"/>
      <c r="AU23" s="706"/>
      <c r="AV23" s="706"/>
    </row>
    <row r="24" spans="1:48" x14ac:dyDescent="0.2">
      <c r="A24" s="619"/>
      <c r="B24" s="619"/>
      <c r="C24" s="619"/>
      <c r="D24" s="619"/>
      <c r="E24" s="619"/>
      <c r="F24" s="619"/>
      <c r="G24" s="619"/>
      <c r="H24" s="619"/>
      <c r="I24" s="619"/>
      <c r="J24" s="619"/>
      <c r="K24" s="619"/>
      <c r="L24" s="707"/>
      <c r="M24" s="707"/>
      <c r="N24" s="707"/>
      <c r="O24" s="707"/>
      <c r="P24" s="707"/>
      <c r="Q24" s="707"/>
      <c r="R24" s="707"/>
      <c r="S24" s="708"/>
      <c r="T24" s="708"/>
      <c r="U24" s="708"/>
      <c r="V24" s="708"/>
      <c r="W24" s="708"/>
      <c r="X24" s="708"/>
      <c r="Y24" s="708"/>
      <c r="Z24" s="706"/>
      <c r="AA24" s="706"/>
      <c r="AB24" s="706"/>
      <c r="AC24" s="706"/>
      <c r="AD24" s="706"/>
      <c r="AE24" s="706"/>
      <c r="AF24" s="706"/>
      <c r="AG24" s="706"/>
      <c r="AH24" s="706"/>
      <c r="AI24" s="707"/>
      <c r="AJ24" s="707"/>
      <c r="AK24" s="707"/>
      <c r="AL24" s="707"/>
      <c r="AM24" s="707"/>
      <c r="AN24" s="707"/>
      <c r="AO24" s="706"/>
      <c r="AP24" s="706"/>
      <c r="AQ24" s="706"/>
      <c r="AR24" s="706"/>
      <c r="AS24" s="706"/>
      <c r="AT24" s="706"/>
      <c r="AU24" s="706"/>
      <c r="AV24" s="706"/>
    </row>
    <row r="25" spans="1:48" x14ac:dyDescent="0.2">
      <c r="A25" s="619"/>
      <c r="B25" s="619"/>
      <c r="C25" s="619"/>
      <c r="D25" s="619"/>
      <c r="E25" s="619"/>
      <c r="F25" s="619"/>
      <c r="G25" s="619"/>
      <c r="H25" s="619"/>
      <c r="I25" s="619"/>
      <c r="J25" s="619"/>
      <c r="K25" s="619"/>
      <c r="L25" s="707"/>
      <c r="M25" s="707"/>
      <c r="N25" s="707"/>
      <c r="O25" s="707"/>
      <c r="P25" s="707"/>
      <c r="Q25" s="707"/>
      <c r="R25" s="707"/>
      <c r="S25" s="708"/>
      <c r="T25" s="708"/>
      <c r="U25" s="708"/>
      <c r="V25" s="708"/>
      <c r="W25" s="708"/>
      <c r="X25" s="708"/>
      <c r="Y25" s="708"/>
      <c r="Z25" s="706" t="str">
        <f>IF(AND(L25&lt;&gt;"",S25&lt;&gt;""),S25/L25,"")</f>
        <v/>
      </c>
      <c r="AA25" s="706"/>
      <c r="AB25" s="706"/>
      <c r="AC25" s="706"/>
      <c r="AD25" s="706"/>
      <c r="AE25" s="706"/>
      <c r="AF25" s="706"/>
      <c r="AG25" s="706"/>
      <c r="AH25" s="706"/>
      <c r="AI25" s="707"/>
      <c r="AJ25" s="707"/>
      <c r="AK25" s="707"/>
      <c r="AL25" s="707"/>
      <c r="AM25" s="707"/>
      <c r="AN25" s="707"/>
      <c r="AO25" s="706" t="str">
        <f>IF(AND(L25&lt;&gt;"",AI25&lt;&gt;""),AI25/L25,"")</f>
        <v/>
      </c>
      <c r="AP25" s="706"/>
      <c r="AQ25" s="706"/>
      <c r="AR25" s="706"/>
      <c r="AS25" s="706"/>
      <c r="AT25" s="706"/>
      <c r="AU25" s="706"/>
      <c r="AV25" s="706"/>
    </row>
    <row r="26" spans="1:48" x14ac:dyDescent="0.2">
      <c r="A26" s="619"/>
      <c r="B26" s="619"/>
      <c r="C26" s="619"/>
      <c r="D26" s="619"/>
      <c r="E26" s="619"/>
      <c r="F26" s="619"/>
      <c r="G26" s="619"/>
      <c r="H26" s="619"/>
      <c r="I26" s="619"/>
      <c r="J26" s="619"/>
      <c r="K26" s="619"/>
      <c r="L26" s="707"/>
      <c r="M26" s="707"/>
      <c r="N26" s="707"/>
      <c r="O26" s="707"/>
      <c r="P26" s="707"/>
      <c r="Q26" s="707"/>
      <c r="R26" s="707"/>
      <c r="S26" s="708"/>
      <c r="T26" s="708"/>
      <c r="U26" s="708"/>
      <c r="V26" s="708"/>
      <c r="W26" s="708"/>
      <c r="X26" s="708"/>
      <c r="Y26" s="708"/>
      <c r="Z26" s="706"/>
      <c r="AA26" s="706"/>
      <c r="AB26" s="706"/>
      <c r="AC26" s="706"/>
      <c r="AD26" s="706"/>
      <c r="AE26" s="706"/>
      <c r="AF26" s="706"/>
      <c r="AG26" s="706"/>
      <c r="AH26" s="706"/>
      <c r="AI26" s="707"/>
      <c r="AJ26" s="707"/>
      <c r="AK26" s="707"/>
      <c r="AL26" s="707"/>
      <c r="AM26" s="707"/>
      <c r="AN26" s="707"/>
      <c r="AO26" s="706"/>
      <c r="AP26" s="706"/>
      <c r="AQ26" s="706"/>
      <c r="AR26" s="706"/>
      <c r="AS26" s="706"/>
      <c r="AT26" s="706"/>
      <c r="AU26" s="706"/>
      <c r="AV26" s="706"/>
    </row>
    <row r="27" spans="1:48" x14ac:dyDescent="0.2">
      <c r="A27" s="619"/>
      <c r="B27" s="619"/>
      <c r="C27" s="619"/>
      <c r="D27" s="619"/>
      <c r="E27" s="619"/>
      <c r="F27" s="619"/>
      <c r="G27" s="619"/>
      <c r="H27" s="619"/>
      <c r="I27" s="619"/>
      <c r="J27" s="619"/>
      <c r="K27" s="619"/>
      <c r="L27" s="707"/>
      <c r="M27" s="707"/>
      <c r="N27" s="707"/>
      <c r="O27" s="707"/>
      <c r="P27" s="707"/>
      <c r="Q27" s="707"/>
      <c r="R27" s="707"/>
      <c r="S27" s="708"/>
      <c r="T27" s="708"/>
      <c r="U27" s="708"/>
      <c r="V27" s="708"/>
      <c r="W27" s="708"/>
      <c r="X27" s="708"/>
      <c r="Y27" s="708"/>
      <c r="Z27" s="706" t="str">
        <f>IF(AND(L27&lt;&gt;"",S27&lt;&gt;""),S27/L27,"")</f>
        <v/>
      </c>
      <c r="AA27" s="706"/>
      <c r="AB27" s="706"/>
      <c r="AC27" s="706"/>
      <c r="AD27" s="706"/>
      <c r="AE27" s="706"/>
      <c r="AF27" s="706"/>
      <c r="AG27" s="706"/>
      <c r="AH27" s="706"/>
      <c r="AI27" s="707"/>
      <c r="AJ27" s="707"/>
      <c r="AK27" s="707"/>
      <c r="AL27" s="707"/>
      <c r="AM27" s="707"/>
      <c r="AN27" s="707"/>
      <c r="AO27" s="706" t="str">
        <f>IF(AND(L27&lt;&gt;"",AI27&lt;&gt;""),AI27/L27,"")</f>
        <v/>
      </c>
      <c r="AP27" s="706"/>
      <c r="AQ27" s="706"/>
      <c r="AR27" s="706"/>
      <c r="AS27" s="706"/>
      <c r="AT27" s="706"/>
      <c r="AU27" s="706"/>
      <c r="AV27" s="706"/>
    </row>
    <row r="28" spans="1:48" x14ac:dyDescent="0.2">
      <c r="A28" s="619"/>
      <c r="B28" s="619"/>
      <c r="C28" s="619"/>
      <c r="D28" s="619"/>
      <c r="E28" s="619"/>
      <c r="F28" s="619"/>
      <c r="G28" s="619"/>
      <c r="H28" s="619"/>
      <c r="I28" s="619"/>
      <c r="J28" s="619"/>
      <c r="K28" s="619"/>
      <c r="L28" s="707"/>
      <c r="M28" s="707"/>
      <c r="N28" s="707"/>
      <c r="O28" s="707"/>
      <c r="P28" s="707"/>
      <c r="Q28" s="707"/>
      <c r="R28" s="707"/>
      <c r="S28" s="708"/>
      <c r="T28" s="708"/>
      <c r="U28" s="708"/>
      <c r="V28" s="708"/>
      <c r="W28" s="708"/>
      <c r="X28" s="708"/>
      <c r="Y28" s="708"/>
      <c r="Z28" s="706"/>
      <c r="AA28" s="706"/>
      <c r="AB28" s="706"/>
      <c r="AC28" s="706"/>
      <c r="AD28" s="706"/>
      <c r="AE28" s="706"/>
      <c r="AF28" s="706"/>
      <c r="AG28" s="706"/>
      <c r="AH28" s="706"/>
      <c r="AI28" s="707"/>
      <c r="AJ28" s="707"/>
      <c r="AK28" s="707"/>
      <c r="AL28" s="707"/>
      <c r="AM28" s="707"/>
      <c r="AN28" s="707"/>
      <c r="AO28" s="706"/>
      <c r="AP28" s="706"/>
      <c r="AQ28" s="706"/>
      <c r="AR28" s="706"/>
      <c r="AS28" s="706"/>
      <c r="AT28" s="706"/>
      <c r="AU28" s="706"/>
      <c r="AV28" s="706"/>
    </row>
    <row r="29" spans="1:48" x14ac:dyDescent="0.2">
      <c r="A29" s="619"/>
      <c r="B29" s="619"/>
      <c r="C29" s="619"/>
      <c r="D29" s="619"/>
      <c r="E29" s="619"/>
      <c r="F29" s="619"/>
      <c r="G29" s="619"/>
      <c r="H29" s="619"/>
      <c r="I29" s="619"/>
      <c r="J29" s="619"/>
      <c r="K29" s="619"/>
      <c r="L29" s="707"/>
      <c r="M29" s="707"/>
      <c r="N29" s="707"/>
      <c r="O29" s="707"/>
      <c r="P29" s="707"/>
      <c r="Q29" s="707"/>
      <c r="R29" s="707"/>
      <c r="S29" s="708"/>
      <c r="T29" s="708"/>
      <c r="U29" s="708"/>
      <c r="V29" s="708"/>
      <c r="W29" s="708"/>
      <c r="X29" s="708"/>
      <c r="Y29" s="708"/>
      <c r="Z29" s="706" t="str">
        <f>IF(AND(L29&lt;&gt;"",S29&lt;&gt;""),S29/L29,"")</f>
        <v/>
      </c>
      <c r="AA29" s="706"/>
      <c r="AB29" s="706"/>
      <c r="AC29" s="706"/>
      <c r="AD29" s="706"/>
      <c r="AE29" s="706"/>
      <c r="AF29" s="706"/>
      <c r="AG29" s="706"/>
      <c r="AH29" s="706"/>
      <c r="AI29" s="707"/>
      <c r="AJ29" s="707"/>
      <c r="AK29" s="707"/>
      <c r="AL29" s="707"/>
      <c r="AM29" s="707"/>
      <c r="AN29" s="707"/>
      <c r="AO29" s="706" t="str">
        <f>IF(AND(L29&lt;&gt;"",AI29&lt;&gt;""),AI29/L29,"")</f>
        <v/>
      </c>
      <c r="AP29" s="706"/>
      <c r="AQ29" s="706"/>
      <c r="AR29" s="706"/>
      <c r="AS29" s="706"/>
      <c r="AT29" s="706"/>
      <c r="AU29" s="706"/>
      <c r="AV29" s="706"/>
    </row>
    <row r="30" spans="1:48" x14ac:dyDescent="0.2">
      <c r="A30" s="619"/>
      <c r="B30" s="619"/>
      <c r="C30" s="619"/>
      <c r="D30" s="619"/>
      <c r="E30" s="619"/>
      <c r="F30" s="619"/>
      <c r="G30" s="619"/>
      <c r="H30" s="619"/>
      <c r="I30" s="619"/>
      <c r="J30" s="619"/>
      <c r="K30" s="619"/>
      <c r="L30" s="707"/>
      <c r="M30" s="707"/>
      <c r="N30" s="707"/>
      <c r="O30" s="707"/>
      <c r="P30" s="707"/>
      <c r="Q30" s="707"/>
      <c r="R30" s="707"/>
      <c r="S30" s="708"/>
      <c r="T30" s="708"/>
      <c r="U30" s="708"/>
      <c r="V30" s="708"/>
      <c r="W30" s="708"/>
      <c r="X30" s="708"/>
      <c r="Y30" s="708"/>
      <c r="Z30" s="706"/>
      <c r="AA30" s="706"/>
      <c r="AB30" s="706"/>
      <c r="AC30" s="706"/>
      <c r="AD30" s="706"/>
      <c r="AE30" s="706"/>
      <c r="AF30" s="706"/>
      <c r="AG30" s="706"/>
      <c r="AH30" s="706"/>
      <c r="AI30" s="707"/>
      <c r="AJ30" s="707"/>
      <c r="AK30" s="707"/>
      <c r="AL30" s="707"/>
      <c r="AM30" s="707"/>
      <c r="AN30" s="707"/>
      <c r="AO30" s="706"/>
      <c r="AP30" s="706"/>
      <c r="AQ30" s="706"/>
      <c r="AR30" s="706"/>
      <c r="AS30" s="706"/>
      <c r="AT30" s="706"/>
      <c r="AU30" s="706"/>
      <c r="AV30" s="706"/>
    </row>
    <row r="31" spans="1:48" x14ac:dyDescent="0.2">
      <c r="A31" s="619"/>
      <c r="B31" s="619"/>
      <c r="C31" s="619"/>
      <c r="D31" s="619"/>
      <c r="E31" s="619"/>
      <c r="F31" s="619"/>
      <c r="G31" s="619"/>
      <c r="H31" s="619"/>
      <c r="I31" s="619"/>
      <c r="J31" s="619"/>
      <c r="K31" s="619"/>
      <c r="L31" s="707"/>
      <c r="M31" s="707"/>
      <c r="N31" s="707"/>
      <c r="O31" s="707"/>
      <c r="P31" s="707"/>
      <c r="Q31" s="707"/>
      <c r="R31" s="707"/>
      <c r="S31" s="708"/>
      <c r="T31" s="708"/>
      <c r="U31" s="708"/>
      <c r="V31" s="708"/>
      <c r="W31" s="708"/>
      <c r="X31" s="708"/>
      <c r="Y31" s="708"/>
      <c r="Z31" s="706" t="str">
        <f>IF(AND(L31&lt;&gt;"",S31&lt;&gt;""),S31/L31,"")</f>
        <v/>
      </c>
      <c r="AA31" s="706"/>
      <c r="AB31" s="706"/>
      <c r="AC31" s="706"/>
      <c r="AD31" s="706"/>
      <c r="AE31" s="706"/>
      <c r="AF31" s="706"/>
      <c r="AG31" s="706"/>
      <c r="AH31" s="706"/>
      <c r="AI31" s="707"/>
      <c r="AJ31" s="707"/>
      <c r="AK31" s="707"/>
      <c r="AL31" s="707"/>
      <c r="AM31" s="707"/>
      <c r="AN31" s="707"/>
      <c r="AO31" s="706" t="str">
        <f>IF(AND(L31&lt;&gt;"",AI31&lt;&gt;""),AI31/L31,"")</f>
        <v/>
      </c>
      <c r="AP31" s="706"/>
      <c r="AQ31" s="706"/>
      <c r="AR31" s="706"/>
      <c r="AS31" s="706"/>
      <c r="AT31" s="706"/>
      <c r="AU31" s="706"/>
      <c r="AV31" s="706"/>
    </row>
    <row r="32" spans="1:48" x14ac:dyDescent="0.2">
      <c r="A32" s="619"/>
      <c r="B32" s="619"/>
      <c r="C32" s="619"/>
      <c r="D32" s="619"/>
      <c r="E32" s="619"/>
      <c r="F32" s="619"/>
      <c r="G32" s="619"/>
      <c r="H32" s="619"/>
      <c r="I32" s="619"/>
      <c r="J32" s="619"/>
      <c r="K32" s="619"/>
      <c r="L32" s="707"/>
      <c r="M32" s="707"/>
      <c r="N32" s="707"/>
      <c r="O32" s="707"/>
      <c r="P32" s="707"/>
      <c r="Q32" s="707"/>
      <c r="R32" s="707"/>
      <c r="S32" s="708"/>
      <c r="T32" s="708"/>
      <c r="U32" s="708"/>
      <c r="V32" s="708"/>
      <c r="W32" s="708"/>
      <c r="X32" s="708"/>
      <c r="Y32" s="708"/>
      <c r="Z32" s="706"/>
      <c r="AA32" s="706"/>
      <c r="AB32" s="706"/>
      <c r="AC32" s="706"/>
      <c r="AD32" s="706"/>
      <c r="AE32" s="706"/>
      <c r="AF32" s="706"/>
      <c r="AG32" s="706"/>
      <c r="AH32" s="706"/>
      <c r="AI32" s="707"/>
      <c r="AJ32" s="707"/>
      <c r="AK32" s="707"/>
      <c r="AL32" s="707"/>
      <c r="AM32" s="707"/>
      <c r="AN32" s="707"/>
      <c r="AO32" s="706"/>
      <c r="AP32" s="706"/>
      <c r="AQ32" s="706"/>
      <c r="AR32" s="706"/>
      <c r="AS32" s="706"/>
      <c r="AT32" s="706"/>
      <c r="AU32" s="706"/>
      <c r="AV32" s="706"/>
    </row>
    <row r="33" spans="1:48" x14ac:dyDescent="0.2">
      <c r="A33" s="619"/>
      <c r="B33" s="619"/>
      <c r="C33" s="619"/>
      <c r="D33" s="619"/>
      <c r="E33" s="619"/>
      <c r="F33" s="619"/>
      <c r="G33" s="619"/>
      <c r="H33" s="619"/>
      <c r="I33" s="619"/>
      <c r="J33" s="619"/>
      <c r="K33" s="619"/>
      <c r="L33" s="707"/>
      <c r="M33" s="707"/>
      <c r="N33" s="707"/>
      <c r="O33" s="707"/>
      <c r="P33" s="707"/>
      <c r="Q33" s="707"/>
      <c r="R33" s="707"/>
      <c r="S33" s="708"/>
      <c r="T33" s="708"/>
      <c r="U33" s="708"/>
      <c r="V33" s="708"/>
      <c r="W33" s="708"/>
      <c r="X33" s="708"/>
      <c r="Y33" s="708"/>
      <c r="Z33" s="706" t="str">
        <f>IF(AND(L33&lt;&gt;"",S33&lt;&gt;""),S33/L33,"")</f>
        <v/>
      </c>
      <c r="AA33" s="706"/>
      <c r="AB33" s="706"/>
      <c r="AC33" s="706"/>
      <c r="AD33" s="706"/>
      <c r="AE33" s="706"/>
      <c r="AF33" s="706"/>
      <c r="AG33" s="706"/>
      <c r="AH33" s="706"/>
      <c r="AI33" s="707"/>
      <c r="AJ33" s="707"/>
      <c r="AK33" s="707"/>
      <c r="AL33" s="707"/>
      <c r="AM33" s="707"/>
      <c r="AN33" s="707"/>
      <c r="AO33" s="706" t="str">
        <f>IF(AND(L33&lt;&gt;"",AI33&lt;&gt;""),AI33/L33,"")</f>
        <v/>
      </c>
      <c r="AP33" s="706"/>
      <c r="AQ33" s="706"/>
      <c r="AR33" s="706"/>
      <c r="AS33" s="706"/>
      <c r="AT33" s="706"/>
      <c r="AU33" s="706"/>
      <c r="AV33" s="706"/>
    </row>
    <row r="34" spans="1:48" x14ac:dyDescent="0.2">
      <c r="A34" s="619"/>
      <c r="B34" s="619"/>
      <c r="C34" s="619"/>
      <c r="D34" s="619"/>
      <c r="E34" s="619"/>
      <c r="F34" s="619"/>
      <c r="G34" s="619"/>
      <c r="H34" s="619"/>
      <c r="I34" s="619"/>
      <c r="J34" s="619"/>
      <c r="K34" s="619"/>
      <c r="L34" s="707"/>
      <c r="M34" s="707"/>
      <c r="N34" s="707"/>
      <c r="O34" s="707"/>
      <c r="P34" s="707"/>
      <c r="Q34" s="707"/>
      <c r="R34" s="707"/>
      <c r="S34" s="708"/>
      <c r="T34" s="708"/>
      <c r="U34" s="708"/>
      <c r="V34" s="708"/>
      <c r="W34" s="708"/>
      <c r="X34" s="708"/>
      <c r="Y34" s="708"/>
      <c r="Z34" s="706"/>
      <c r="AA34" s="706"/>
      <c r="AB34" s="706"/>
      <c r="AC34" s="706"/>
      <c r="AD34" s="706"/>
      <c r="AE34" s="706"/>
      <c r="AF34" s="706"/>
      <c r="AG34" s="706"/>
      <c r="AH34" s="706"/>
      <c r="AI34" s="707"/>
      <c r="AJ34" s="707"/>
      <c r="AK34" s="707"/>
      <c r="AL34" s="707"/>
      <c r="AM34" s="707"/>
      <c r="AN34" s="707"/>
      <c r="AO34" s="706"/>
      <c r="AP34" s="706"/>
      <c r="AQ34" s="706"/>
      <c r="AR34" s="706"/>
      <c r="AS34" s="706"/>
      <c r="AT34" s="706"/>
      <c r="AU34" s="706"/>
      <c r="AV34" s="706"/>
    </row>
    <row r="35" spans="1:48" x14ac:dyDescent="0.2">
      <c r="A35" s="619"/>
      <c r="B35" s="619"/>
      <c r="C35" s="619"/>
      <c r="D35" s="619"/>
      <c r="E35" s="619"/>
      <c r="F35" s="619"/>
      <c r="G35" s="619"/>
      <c r="H35" s="619"/>
      <c r="I35" s="619"/>
      <c r="J35" s="619"/>
      <c r="K35" s="619"/>
      <c r="L35" s="707"/>
      <c r="M35" s="707"/>
      <c r="N35" s="707"/>
      <c r="O35" s="707"/>
      <c r="P35" s="707"/>
      <c r="Q35" s="707"/>
      <c r="R35" s="707"/>
      <c r="S35" s="708"/>
      <c r="T35" s="708"/>
      <c r="U35" s="708"/>
      <c r="V35" s="708"/>
      <c r="W35" s="708"/>
      <c r="X35" s="708"/>
      <c r="Y35" s="708"/>
      <c r="Z35" s="706" t="str">
        <f>IF(AND(L35&lt;&gt;"",S35&lt;&gt;""),S35/L35,"")</f>
        <v/>
      </c>
      <c r="AA35" s="706"/>
      <c r="AB35" s="706"/>
      <c r="AC35" s="706"/>
      <c r="AD35" s="706"/>
      <c r="AE35" s="706"/>
      <c r="AF35" s="706"/>
      <c r="AG35" s="706"/>
      <c r="AH35" s="706"/>
      <c r="AI35" s="707"/>
      <c r="AJ35" s="707"/>
      <c r="AK35" s="707"/>
      <c r="AL35" s="707"/>
      <c r="AM35" s="707"/>
      <c r="AN35" s="707"/>
      <c r="AO35" s="706" t="str">
        <f>IF(AND(L35&lt;&gt;"",AI35&lt;&gt;""),AI35/L35,"")</f>
        <v/>
      </c>
      <c r="AP35" s="706"/>
      <c r="AQ35" s="706"/>
      <c r="AR35" s="706"/>
      <c r="AS35" s="706"/>
      <c r="AT35" s="706"/>
      <c r="AU35" s="706"/>
      <c r="AV35" s="706"/>
    </row>
    <row r="36" spans="1:48" x14ac:dyDescent="0.2">
      <c r="A36" s="619"/>
      <c r="B36" s="619"/>
      <c r="C36" s="619"/>
      <c r="D36" s="619"/>
      <c r="E36" s="619"/>
      <c r="F36" s="619"/>
      <c r="G36" s="619"/>
      <c r="H36" s="619"/>
      <c r="I36" s="619"/>
      <c r="J36" s="619"/>
      <c r="K36" s="619"/>
      <c r="L36" s="707"/>
      <c r="M36" s="707"/>
      <c r="N36" s="707"/>
      <c r="O36" s="707"/>
      <c r="P36" s="707"/>
      <c r="Q36" s="707"/>
      <c r="R36" s="707"/>
      <c r="S36" s="708"/>
      <c r="T36" s="708"/>
      <c r="U36" s="708"/>
      <c r="V36" s="708"/>
      <c r="W36" s="708"/>
      <c r="X36" s="708"/>
      <c r="Y36" s="708"/>
      <c r="Z36" s="706"/>
      <c r="AA36" s="706"/>
      <c r="AB36" s="706"/>
      <c r="AC36" s="706"/>
      <c r="AD36" s="706"/>
      <c r="AE36" s="706"/>
      <c r="AF36" s="706"/>
      <c r="AG36" s="706"/>
      <c r="AH36" s="706"/>
      <c r="AI36" s="707"/>
      <c r="AJ36" s="707"/>
      <c r="AK36" s="707"/>
      <c r="AL36" s="707"/>
      <c r="AM36" s="707"/>
      <c r="AN36" s="707"/>
      <c r="AO36" s="706"/>
      <c r="AP36" s="706"/>
      <c r="AQ36" s="706"/>
      <c r="AR36" s="706"/>
      <c r="AS36" s="706"/>
      <c r="AT36" s="706"/>
      <c r="AU36" s="706"/>
      <c r="AV36" s="706"/>
    </row>
    <row r="37" spans="1:48" x14ac:dyDescent="0.2">
      <c r="A37" s="619"/>
      <c r="B37" s="619"/>
      <c r="C37" s="619"/>
      <c r="D37" s="619"/>
      <c r="E37" s="619"/>
      <c r="F37" s="619"/>
      <c r="G37" s="619"/>
      <c r="H37" s="619"/>
      <c r="I37" s="619"/>
      <c r="J37" s="619"/>
      <c r="K37" s="619"/>
      <c r="L37" s="707"/>
      <c r="M37" s="707"/>
      <c r="N37" s="707"/>
      <c r="O37" s="707"/>
      <c r="P37" s="707"/>
      <c r="Q37" s="707"/>
      <c r="R37" s="707"/>
      <c r="S37" s="708"/>
      <c r="T37" s="708"/>
      <c r="U37" s="708"/>
      <c r="V37" s="708"/>
      <c r="W37" s="708"/>
      <c r="X37" s="708"/>
      <c r="Y37" s="708"/>
      <c r="Z37" s="706" t="str">
        <f>IF(AND(L37&lt;&gt;"",S37&lt;&gt;""),S37/L37,"")</f>
        <v/>
      </c>
      <c r="AA37" s="706"/>
      <c r="AB37" s="706"/>
      <c r="AC37" s="706"/>
      <c r="AD37" s="706"/>
      <c r="AE37" s="706"/>
      <c r="AF37" s="706"/>
      <c r="AG37" s="706"/>
      <c r="AH37" s="706"/>
      <c r="AI37" s="707"/>
      <c r="AJ37" s="707"/>
      <c r="AK37" s="707"/>
      <c r="AL37" s="707"/>
      <c r="AM37" s="707"/>
      <c r="AN37" s="707"/>
      <c r="AO37" s="706" t="str">
        <f>IF(AND(L37&lt;&gt;"",AI37&lt;&gt;""),AI37/L37,"")</f>
        <v/>
      </c>
      <c r="AP37" s="706"/>
      <c r="AQ37" s="706"/>
      <c r="AR37" s="706"/>
      <c r="AS37" s="706"/>
      <c r="AT37" s="706"/>
      <c r="AU37" s="706"/>
      <c r="AV37" s="706"/>
    </row>
    <row r="38" spans="1:48" x14ac:dyDescent="0.2">
      <c r="A38" s="619"/>
      <c r="B38" s="619"/>
      <c r="C38" s="619"/>
      <c r="D38" s="619"/>
      <c r="E38" s="619"/>
      <c r="F38" s="619"/>
      <c r="G38" s="619"/>
      <c r="H38" s="619"/>
      <c r="I38" s="619"/>
      <c r="J38" s="619"/>
      <c r="K38" s="619"/>
      <c r="L38" s="707"/>
      <c r="M38" s="707"/>
      <c r="N38" s="707"/>
      <c r="O38" s="707"/>
      <c r="P38" s="707"/>
      <c r="Q38" s="707"/>
      <c r="R38" s="707"/>
      <c r="S38" s="708"/>
      <c r="T38" s="708"/>
      <c r="U38" s="708"/>
      <c r="V38" s="708"/>
      <c r="W38" s="708"/>
      <c r="X38" s="708"/>
      <c r="Y38" s="708"/>
      <c r="Z38" s="706"/>
      <c r="AA38" s="706"/>
      <c r="AB38" s="706"/>
      <c r="AC38" s="706"/>
      <c r="AD38" s="706"/>
      <c r="AE38" s="706"/>
      <c r="AF38" s="706"/>
      <c r="AG38" s="706"/>
      <c r="AH38" s="706"/>
      <c r="AI38" s="707"/>
      <c r="AJ38" s="707"/>
      <c r="AK38" s="707"/>
      <c r="AL38" s="707"/>
      <c r="AM38" s="707"/>
      <c r="AN38" s="707"/>
      <c r="AO38" s="706"/>
      <c r="AP38" s="706"/>
      <c r="AQ38" s="706"/>
      <c r="AR38" s="706"/>
      <c r="AS38" s="706"/>
      <c r="AT38" s="706"/>
      <c r="AU38" s="706"/>
      <c r="AV38" s="706"/>
    </row>
    <row r="39" spans="1:48" x14ac:dyDescent="0.2">
      <c r="A39" s="619"/>
      <c r="B39" s="619"/>
      <c r="C39" s="619"/>
      <c r="D39" s="619"/>
      <c r="E39" s="619"/>
      <c r="F39" s="619"/>
      <c r="G39" s="619"/>
      <c r="H39" s="619"/>
      <c r="I39" s="619"/>
      <c r="J39" s="619"/>
      <c r="K39" s="619"/>
      <c r="L39" s="707"/>
      <c r="M39" s="707"/>
      <c r="N39" s="707"/>
      <c r="O39" s="707"/>
      <c r="P39" s="707"/>
      <c r="Q39" s="707"/>
      <c r="R39" s="707"/>
      <c r="S39" s="708"/>
      <c r="T39" s="708"/>
      <c r="U39" s="708"/>
      <c r="V39" s="708"/>
      <c r="W39" s="708"/>
      <c r="X39" s="708"/>
      <c r="Y39" s="708"/>
      <c r="Z39" s="706" t="str">
        <f>IF(AND(L39&lt;&gt;"",S39&lt;&gt;""),S39/L39,"")</f>
        <v/>
      </c>
      <c r="AA39" s="706"/>
      <c r="AB39" s="706"/>
      <c r="AC39" s="706"/>
      <c r="AD39" s="706"/>
      <c r="AE39" s="706"/>
      <c r="AF39" s="706"/>
      <c r="AG39" s="706"/>
      <c r="AH39" s="706"/>
      <c r="AI39" s="707"/>
      <c r="AJ39" s="707"/>
      <c r="AK39" s="707"/>
      <c r="AL39" s="707"/>
      <c r="AM39" s="707"/>
      <c r="AN39" s="707"/>
      <c r="AO39" s="706" t="str">
        <f>IF(AND(L39&lt;&gt;"",AI39&lt;&gt;""),AI39/L39,"")</f>
        <v/>
      </c>
      <c r="AP39" s="706"/>
      <c r="AQ39" s="706"/>
      <c r="AR39" s="706"/>
      <c r="AS39" s="706"/>
      <c r="AT39" s="706"/>
      <c r="AU39" s="706"/>
      <c r="AV39" s="706"/>
    </row>
    <row r="40" spans="1:48" x14ac:dyDescent="0.2">
      <c r="A40" s="619"/>
      <c r="B40" s="619"/>
      <c r="C40" s="619"/>
      <c r="D40" s="619"/>
      <c r="E40" s="619"/>
      <c r="F40" s="619"/>
      <c r="G40" s="619"/>
      <c r="H40" s="619"/>
      <c r="I40" s="619"/>
      <c r="J40" s="619"/>
      <c r="K40" s="619"/>
      <c r="L40" s="707"/>
      <c r="M40" s="707"/>
      <c r="N40" s="707"/>
      <c r="O40" s="707"/>
      <c r="P40" s="707"/>
      <c r="Q40" s="707"/>
      <c r="R40" s="707"/>
      <c r="S40" s="708"/>
      <c r="T40" s="708"/>
      <c r="U40" s="708"/>
      <c r="V40" s="708"/>
      <c r="W40" s="708"/>
      <c r="X40" s="708"/>
      <c r="Y40" s="708"/>
      <c r="Z40" s="706"/>
      <c r="AA40" s="706"/>
      <c r="AB40" s="706"/>
      <c r="AC40" s="706"/>
      <c r="AD40" s="706"/>
      <c r="AE40" s="706"/>
      <c r="AF40" s="706"/>
      <c r="AG40" s="706"/>
      <c r="AH40" s="706"/>
      <c r="AI40" s="707"/>
      <c r="AJ40" s="707"/>
      <c r="AK40" s="707"/>
      <c r="AL40" s="707"/>
      <c r="AM40" s="707"/>
      <c r="AN40" s="707"/>
      <c r="AO40" s="706"/>
      <c r="AP40" s="706"/>
      <c r="AQ40" s="706"/>
      <c r="AR40" s="706"/>
      <c r="AS40" s="706"/>
      <c r="AT40" s="706"/>
      <c r="AU40" s="706"/>
      <c r="AV40" s="706"/>
    </row>
  </sheetData>
  <mergeCells count="116">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640625" defaultRowHeight="13.2" x14ac:dyDescent="0.2"/>
  <cols>
    <col min="1" max="1" width="9" customWidth="1"/>
  </cols>
  <sheetData>
    <row r="1" spans="1:58" ht="13.5" customHeight="1" x14ac:dyDescent="0.2">
      <c r="A1" s="723" t="s">
        <v>27</v>
      </c>
      <c r="B1" s="723"/>
      <c r="C1" s="723"/>
      <c r="D1" s="723"/>
      <c r="E1" s="723"/>
      <c r="F1" s="723"/>
      <c r="G1" s="723"/>
      <c r="H1" s="723"/>
      <c r="I1" s="723"/>
      <c r="J1" s="723"/>
      <c r="K1" s="723" t="s">
        <v>28</v>
      </c>
      <c r="L1" s="723"/>
      <c r="M1" s="723"/>
      <c r="N1" s="723"/>
      <c r="O1" s="723"/>
      <c r="P1" s="723"/>
      <c r="Q1" s="723"/>
      <c r="R1" s="723"/>
      <c r="S1" s="723"/>
      <c r="T1" s="723"/>
      <c r="U1" s="723"/>
      <c r="V1" s="723"/>
      <c r="W1" s="723"/>
      <c r="X1" s="723"/>
      <c r="Y1" s="723"/>
      <c r="Z1" s="723"/>
      <c r="AA1" s="723"/>
      <c r="AB1" s="583" t="s">
        <v>305</v>
      </c>
      <c r="AC1" s="584"/>
      <c r="AD1" s="584"/>
      <c r="AE1" s="584"/>
      <c r="AF1" s="585"/>
      <c r="AG1" s="583" t="s">
        <v>306</v>
      </c>
      <c r="AH1" s="584"/>
      <c r="AI1" s="584"/>
      <c r="AJ1" s="584"/>
      <c r="AK1" s="585"/>
      <c r="AL1" s="583" t="s">
        <v>237</v>
      </c>
      <c r="AM1" s="584"/>
      <c r="AN1" s="584"/>
      <c r="AO1" s="584"/>
      <c r="AP1" s="585"/>
      <c r="AQ1" s="586" t="s">
        <v>566</v>
      </c>
      <c r="AR1" s="587"/>
      <c r="AS1" s="587"/>
      <c r="AT1" s="587"/>
      <c r="AU1" s="587"/>
      <c r="AV1" s="587"/>
      <c r="AW1" s="587"/>
      <c r="AX1" s="587"/>
      <c r="AY1" s="587"/>
      <c r="AZ1" s="587"/>
      <c r="BA1" s="587"/>
      <c r="BB1" s="587"/>
      <c r="BC1" s="587"/>
      <c r="BD1" s="587"/>
      <c r="BE1" s="587"/>
      <c r="BF1" s="588"/>
    </row>
    <row r="2" spans="1:58" ht="13.5" customHeight="1" x14ac:dyDescent="0.2">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583" t="s">
        <v>494</v>
      </c>
      <c r="AC2" s="584"/>
      <c r="AD2" s="584"/>
      <c r="AE2" s="584"/>
      <c r="AF2" s="585"/>
      <c r="AG2" s="583" t="s">
        <v>494</v>
      </c>
      <c r="AH2" s="584"/>
      <c r="AI2" s="584"/>
      <c r="AJ2" s="584"/>
      <c r="AK2" s="585"/>
      <c r="AL2" s="583" t="s">
        <v>494</v>
      </c>
      <c r="AM2" s="584"/>
      <c r="AN2" s="584"/>
      <c r="AO2" s="584"/>
      <c r="AP2" s="585"/>
      <c r="AQ2" s="586" t="s">
        <v>308</v>
      </c>
      <c r="AR2" s="587"/>
      <c r="AS2" s="587"/>
      <c r="AT2" s="587"/>
      <c r="AU2" s="587"/>
      <c r="AV2" s="588"/>
      <c r="AW2" s="583" t="s">
        <v>306</v>
      </c>
      <c r="AX2" s="584"/>
      <c r="AY2" s="584"/>
      <c r="AZ2" s="584"/>
      <c r="BA2" s="585"/>
      <c r="BB2" s="583" t="s">
        <v>618</v>
      </c>
      <c r="BC2" s="584"/>
      <c r="BD2" s="584"/>
      <c r="BE2" s="584"/>
      <c r="BF2" s="585"/>
    </row>
    <row r="3" spans="1:58" ht="13.5" customHeight="1" x14ac:dyDescent="0.2">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598"/>
      <c r="AC3" s="598"/>
      <c r="AD3" s="598"/>
      <c r="AE3" s="598"/>
      <c r="AF3" s="598"/>
      <c r="AG3" s="598"/>
      <c r="AH3" s="598"/>
      <c r="AI3" s="598"/>
      <c r="AJ3" s="598"/>
      <c r="AK3" s="598"/>
      <c r="AL3" s="598"/>
      <c r="AM3" s="598"/>
      <c r="AN3" s="598"/>
      <c r="AO3" s="598"/>
      <c r="AP3" s="598"/>
      <c r="AQ3" s="589"/>
      <c r="AR3" s="590"/>
      <c r="AS3" s="590"/>
      <c r="AT3" s="590"/>
      <c r="AU3" s="590"/>
      <c r="AV3" s="591"/>
      <c r="AW3" s="584" t="s">
        <v>495</v>
      </c>
      <c r="AX3" s="584"/>
      <c r="AY3" s="584"/>
      <c r="AZ3" s="584"/>
      <c r="BA3" s="585"/>
      <c r="BB3" s="583" t="s">
        <v>495</v>
      </c>
      <c r="BC3" s="584"/>
      <c r="BD3" s="584"/>
      <c r="BE3" s="584"/>
      <c r="BF3" s="585"/>
    </row>
    <row r="4" spans="1:58" ht="13.5" customHeight="1" x14ac:dyDescent="0.2">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598"/>
      <c r="AC4" s="598"/>
      <c r="AD4" s="598"/>
      <c r="AE4" s="598"/>
      <c r="AF4" s="598"/>
      <c r="AG4" s="598"/>
      <c r="AH4" s="598"/>
      <c r="AI4" s="598"/>
      <c r="AJ4" s="598"/>
      <c r="AK4" s="598"/>
      <c r="AL4" s="598"/>
      <c r="AM4" s="598"/>
      <c r="AN4" s="598"/>
      <c r="AO4" s="598"/>
      <c r="AP4" s="598"/>
      <c r="AQ4" s="592"/>
      <c r="AR4" s="593"/>
      <c r="AS4" s="593"/>
      <c r="AT4" s="593"/>
      <c r="AU4" s="593"/>
      <c r="AV4" s="594"/>
      <c r="AW4" s="571"/>
      <c r="AX4" s="572"/>
      <c r="AY4" s="572"/>
      <c r="AZ4" s="572"/>
      <c r="BA4" s="573"/>
      <c r="BB4" s="571"/>
      <c r="BC4" s="572"/>
      <c r="BD4" s="572"/>
      <c r="BE4" s="572"/>
      <c r="BF4" s="573"/>
    </row>
    <row r="5" spans="1:58" ht="13.5" customHeight="1" x14ac:dyDescent="0.2">
      <c r="A5" s="598" t="s">
        <v>465</v>
      </c>
      <c r="B5" s="598"/>
      <c r="C5" s="598"/>
      <c r="D5" s="598"/>
      <c r="E5" s="598"/>
      <c r="F5" s="598"/>
      <c r="G5" s="598"/>
      <c r="H5" s="598"/>
      <c r="I5" s="598"/>
      <c r="J5" s="598"/>
      <c r="K5" s="598"/>
      <c r="L5" s="598"/>
      <c r="M5" s="598"/>
      <c r="N5" s="598"/>
      <c r="O5" s="600" t="s">
        <v>466</v>
      </c>
      <c r="P5" s="600"/>
      <c r="Q5" s="600"/>
      <c r="R5" s="600"/>
      <c r="S5" s="600"/>
      <c r="T5" s="600"/>
      <c r="U5" s="600"/>
      <c r="V5" s="600"/>
      <c r="W5" s="600"/>
      <c r="X5" s="600"/>
      <c r="Y5" s="600"/>
      <c r="Z5" s="600"/>
      <c r="AA5" s="600"/>
      <c r="AB5" s="598"/>
      <c r="AC5" s="598"/>
      <c r="AD5" s="598"/>
      <c r="AE5" s="598"/>
      <c r="AF5" s="598"/>
      <c r="AG5" s="598"/>
      <c r="AH5" s="598"/>
      <c r="AI5" s="598"/>
      <c r="AJ5" s="598"/>
      <c r="AK5" s="598"/>
      <c r="AL5" s="598"/>
      <c r="AM5" s="598"/>
      <c r="AN5" s="598"/>
      <c r="AO5" s="598"/>
      <c r="AP5" s="598"/>
      <c r="AQ5" s="592"/>
      <c r="AR5" s="593"/>
      <c r="AS5" s="593"/>
      <c r="AT5" s="593"/>
      <c r="AU5" s="593"/>
      <c r="AV5" s="594"/>
      <c r="AW5" s="571"/>
      <c r="AX5" s="572"/>
      <c r="AY5" s="572"/>
      <c r="AZ5" s="572"/>
      <c r="BA5" s="573"/>
      <c r="BB5" s="571"/>
      <c r="BC5" s="572"/>
      <c r="BD5" s="572"/>
      <c r="BE5" s="572"/>
      <c r="BF5" s="573"/>
    </row>
    <row r="6" spans="1:58" x14ac:dyDescent="0.2">
      <c r="A6" s="598"/>
      <c r="B6" s="598"/>
      <c r="C6" s="598"/>
      <c r="D6" s="598"/>
      <c r="E6" s="598"/>
      <c r="F6" s="598"/>
      <c r="G6" s="598"/>
      <c r="H6" s="598"/>
      <c r="I6" s="598"/>
      <c r="J6" s="598"/>
      <c r="K6" s="598"/>
      <c r="L6" s="598"/>
      <c r="M6" s="598"/>
      <c r="N6" s="598"/>
      <c r="O6" s="600"/>
      <c r="P6" s="600"/>
      <c r="Q6" s="600"/>
      <c r="R6" s="600"/>
      <c r="S6" s="600"/>
      <c r="T6" s="600"/>
      <c r="U6" s="600"/>
      <c r="V6" s="600"/>
      <c r="W6" s="600"/>
      <c r="X6" s="600"/>
      <c r="Y6" s="600"/>
      <c r="Z6" s="600"/>
      <c r="AA6" s="600"/>
      <c r="AB6" s="598"/>
      <c r="AC6" s="598"/>
      <c r="AD6" s="598"/>
      <c r="AE6" s="598"/>
      <c r="AF6" s="598"/>
      <c r="AG6" s="598"/>
      <c r="AH6" s="598"/>
      <c r="AI6" s="598"/>
      <c r="AJ6" s="598"/>
      <c r="AK6" s="598"/>
      <c r="AL6" s="598"/>
      <c r="AM6" s="598"/>
      <c r="AN6" s="598"/>
      <c r="AO6" s="598"/>
      <c r="AP6" s="598"/>
      <c r="AQ6" s="595"/>
      <c r="AR6" s="596"/>
      <c r="AS6" s="596"/>
      <c r="AT6" s="596"/>
      <c r="AU6" s="596"/>
      <c r="AV6" s="597"/>
      <c r="AW6" s="580"/>
      <c r="AX6" s="581"/>
      <c r="AY6" s="581"/>
      <c r="AZ6" s="581"/>
      <c r="BA6" s="582"/>
      <c r="BB6" s="580"/>
      <c r="BC6" s="581"/>
      <c r="BD6" s="581"/>
      <c r="BE6" s="581"/>
      <c r="BF6" s="582"/>
    </row>
    <row r="7" spans="1:58" ht="13.5" customHeight="1" x14ac:dyDescent="0.2">
      <c r="A7" s="598" t="s">
        <v>310</v>
      </c>
      <c r="B7" s="598"/>
      <c r="C7" s="598"/>
      <c r="D7" s="598"/>
      <c r="E7" s="598"/>
      <c r="F7" s="598"/>
      <c r="G7" s="598"/>
      <c r="H7" s="598"/>
      <c r="I7" s="598"/>
      <c r="J7" s="598"/>
      <c r="K7" s="598"/>
      <c r="L7" s="598"/>
      <c r="M7" s="598"/>
      <c r="N7" s="598"/>
      <c r="O7" s="600" t="s">
        <v>311</v>
      </c>
      <c r="P7" s="600"/>
      <c r="Q7" s="600"/>
      <c r="R7" s="600"/>
      <c r="S7" s="600"/>
      <c r="T7" s="600"/>
      <c r="U7" s="600"/>
      <c r="V7" s="600"/>
      <c r="W7" s="600"/>
      <c r="X7" s="600"/>
      <c r="Y7" s="600"/>
      <c r="Z7" s="600"/>
      <c r="AA7" s="600"/>
      <c r="AB7" s="600" t="s">
        <v>312</v>
      </c>
      <c r="AC7" s="600"/>
      <c r="AD7" s="600"/>
      <c r="AE7" s="600"/>
      <c r="AF7" s="600"/>
      <c r="AG7" s="600"/>
      <c r="AH7" s="600"/>
      <c r="AI7" s="600"/>
      <c r="AJ7" s="600"/>
      <c r="AK7" s="600"/>
      <c r="AL7" s="600"/>
      <c r="AM7" s="600"/>
      <c r="AN7" s="600"/>
      <c r="AO7" s="600"/>
      <c r="AP7" s="600" t="s">
        <v>313</v>
      </c>
      <c r="AQ7" s="600"/>
      <c r="AR7" s="600"/>
      <c r="AS7" s="600"/>
      <c r="AT7" s="600"/>
      <c r="AU7" s="600"/>
      <c r="AV7" s="600"/>
      <c r="AW7" s="600"/>
      <c r="AX7" s="600"/>
      <c r="AY7" s="600"/>
      <c r="AZ7" s="600"/>
      <c r="BA7" s="600"/>
      <c r="BB7" s="600"/>
      <c r="BC7" s="600"/>
      <c r="BD7" s="598" t="s">
        <v>29</v>
      </c>
      <c r="BE7" s="598"/>
      <c r="BF7" s="598"/>
    </row>
    <row r="8" spans="1:58" x14ac:dyDescent="0.2">
      <c r="A8" s="598"/>
      <c r="B8" s="598"/>
      <c r="C8" s="598"/>
      <c r="D8" s="598"/>
      <c r="E8" s="598"/>
      <c r="F8" s="598"/>
      <c r="G8" s="598"/>
      <c r="H8" s="598"/>
      <c r="I8" s="598"/>
      <c r="J8" s="598"/>
      <c r="K8" s="598"/>
      <c r="L8" s="598"/>
      <c r="M8" s="598"/>
      <c r="N8" s="598"/>
      <c r="O8" s="600"/>
      <c r="P8" s="600"/>
      <c r="Q8" s="600"/>
      <c r="R8" s="600"/>
      <c r="S8" s="600"/>
      <c r="T8" s="600"/>
      <c r="U8" s="600"/>
      <c r="V8" s="600"/>
      <c r="W8" s="600"/>
      <c r="X8" s="600"/>
      <c r="Y8" s="600"/>
      <c r="Z8" s="600"/>
      <c r="AA8" s="600"/>
      <c r="AB8" s="600" t="s">
        <v>568</v>
      </c>
      <c r="AC8" s="600"/>
      <c r="AD8" s="600"/>
      <c r="AE8" s="600"/>
      <c r="AF8" s="600"/>
      <c r="AG8" s="600"/>
      <c r="AH8" s="600"/>
      <c r="AI8" s="598"/>
      <c r="AJ8" s="598"/>
      <c r="AK8" s="598"/>
      <c r="AL8" s="598"/>
      <c r="AM8" s="598"/>
      <c r="AN8" s="598"/>
      <c r="AO8" s="598"/>
      <c r="AP8" s="600" t="s">
        <v>315</v>
      </c>
      <c r="AQ8" s="600"/>
      <c r="AR8" s="600"/>
      <c r="AS8" s="600"/>
      <c r="AT8" s="600"/>
      <c r="AU8" s="600"/>
      <c r="AV8" s="600"/>
      <c r="AW8" s="598"/>
      <c r="AX8" s="598"/>
      <c r="AY8" s="598"/>
      <c r="AZ8" s="598"/>
      <c r="BA8" s="598"/>
      <c r="BB8" s="598"/>
      <c r="BC8" s="598"/>
      <c r="BD8" s="599"/>
      <c r="BE8" s="599"/>
      <c r="BF8" s="599"/>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4" t="s">
        <v>208</v>
      </c>
      <c r="B10" s="624"/>
      <c r="C10" s="624"/>
      <c r="D10" s="624"/>
      <c r="E10" s="624"/>
      <c r="F10" s="624"/>
      <c r="G10" s="624"/>
      <c r="H10" s="624"/>
      <c r="I10" s="624"/>
      <c r="J10" s="624"/>
      <c r="K10" s="624"/>
      <c r="L10" s="598" t="s">
        <v>10</v>
      </c>
      <c r="M10" s="598"/>
      <c r="N10" s="598"/>
      <c r="O10" s="598"/>
      <c r="P10" s="598"/>
      <c r="Q10" s="598"/>
      <c r="R10" s="598"/>
      <c r="S10" s="598"/>
      <c r="T10" s="598"/>
      <c r="U10" s="598"/>
      <c r="V10" s="598"/>
      <c r="W10" s="598"/>
      <c r="X10" s="598"/>
      <c r="Y10" s="598"/>
      <c r="Z10" s="301"/>
      <c r="AA10" s="301"/>
      <c r="AB10" s="301"/>
      <c r="AC10" s="301"/>
      <c r="AD10" s="301"/>
      <c r="AE10" s="301"/>
      <c r="AF10" s="727" t="s">
        <v>712</v>
      </c>
      <c r="AG10" s="728"/>
      <c r="AH10" s="733"/>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5"/>
    </row>
    <row r="11" spans="1:58" x14ac:dyDescent="0.2">
      <c r="A11" s="624"/>
      <c r="B11" s="624"/>
      <c r="C11" s="624"/>
      <c r="D11" s="624"/>
      <c r="E11" s="624"/>
      <c r="F11" s="624"/>
      <c r="G11" s="624"/>
      <c r="H11" s="624"/>
      <c r="I11" s="624"/>
      <c r="J11" s="624"/>
      <c r="K11" s="624"/>
      <c r="L11" s="598"/>
      <c r="M11" s="598"/>
      <c r="N11" s="598"/>
      <c r="O11" s="598"/>
      <c r="P11" s="598"/>
      <c r="Q11" s="598"/>
      <c r="R11" s="598"/>
      <c r="S11" s="598"/>
      <c r="T11" s="598"/>
      <c r="U11" s="598"/>
      <c r="V11" s="598"/>
      <c r="W11" s="598"/>
      <c r="X11" s="598"/>
      <c r="Y11" s="598"/>
      <c r="Z11" s="301"/>
      <c r="AA11" s="301"/>
      <c r="AB11" s="301"/>
      <c r="AC11" s="301"/>
      <c r="AD11" s="301"/>
      <c r="AE11" s="301"/>
      <c r="AF11" s="729"/>
      <c r="AG11" s="730"/>
      <c r="AH11" s="736"/>
      <c r="AI11" s="737"/>
      <c r="AJ11" s="737"/>
      <c r="AK11" s="737"/>
      <c r="AL11" s="737"/>
      <c r="AM11" s="737"/>
      <c r="AN11" s="737"/>
      <c r="AO11" s="737"/>
      <c r="AP11" s="737"/>
      <c r="AQ11" s="737"/>
      <c r="AR11" s="737"/>
      <c r="AS11" s="737"/>
      <c r="AT11" s="737"/>
      <c r="AU11" s="737"/>
      <c r="AV11" s="737"/>
      <c r="AW11" s="737"/>
      <c r="AX11" s="737"/>
      <c r="AY11" s="737"/>
      <c r="AZ11" s="737"/>
      <c r="BA11" s="737"/>
      <c r="BB11" s="737"/>
      <c r="BC11" s="737"/>
      <c r="BD11" s="737"/>
      <c r="BE11" s="737"/>
      <c r="BF11" s="738"/>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9"/>
      <c r="AG12" s="730"/>
      <c r="AH12" s="736"/>
      <c r="AI12" s="737"/>
      <c r="AJ12" s="737"/>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8"/>
    </row>
    <row r="13" spans="1:58" x14ac:dyDescent="0.2">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9"/>
      <c r="AG13" s="730"/>
      <c r="AH13" s="736"/>
      <c r="AI13" s="737"/>
      <c r="AJ13" s="737"/>
      <c r="AK13" s="737"/>
      <c r="AL13" s="737"/>
      <c r="AM13" s="737"/>
      <c r="AN13" s="737"/>
      <c r="AO13" s="737"/>
      <c r="AP13" s="737"/>
      <c r="AQ13" s="737"/>
      <c r="AR13" s="737"/>
      <c r="AS13" s="737"/>
      <c r="AT13" s="737"/>
      <c r="AU13" s="737"/>
      <c r="AV13" s="737"/>
      <c r="AW13" s="737"/>
      <c r="AX13" s="737"/>
      <c r="AY13" s="737"/>
      <c r="AZ13" s="737"/>
      <c r="BA13" s="737"/>
      <c r="BB13" s="737"/>
      <c r="BC13" s="737"/>
      <c r="BD13" s="737"/>
      <c r="BE13" s="737"/>
      <c r="BF13" s="738"/>
    </row>
    <row r="14" spans="1:58" x14ac:dyDescent="0.2">
      <c r="A14" s="742" t="s">
        <v>210</v>
      </c>
      <c r="B14" s="584"/>
      <c r="C14" s="584"/>
      <c r="D14" s="584"/>
      <c r="E14" s="584"/>
      <c r="F14" s="584"/>
      <c r="G14" s="584"/>
      <c r="H14" s="585"/>
      <c r="I14" s="742" t="s">
        <v>13</v>
      </c>
      <c r="J14" s="584"/>
      <c r="K14" s="584"/>
      <c r="L14" s="584"/>
      <c r="M14" s="584"/>
      <c r="N14" s="584"/>
      <c r="O14" s="584"/>
      <c r="P14" s="584"/>
      <c r="Q14" s="584"/>
      <c r="R14" s="584"/>
      <c r="S14" s="585"/>
      <c r="T14" s="742" t="s">
        <v>254</v>
      </c>
      <c r="U14" s="584"/>
      <c r="V14" s="584"/>
      <c r="W14" s="584"/>
      <c r="X14" s="584"/>
      <c r="Y14" s="584"/>
      <c r="Z14" s="584"/>
      <c r="AA14" s="584"/>
      <c r="AB14" s="584"/>
      <c r="AC14" s="584"/>
      <c r="AD14" s="585"/>
      <c r="AE14" s="526"/>
      <c r="AF14" s="729"/>
      <c r="AG14" s="730"/>
      <c r="AH14" s="736"/>
      <c r="AI14" s="737"/>
      <c r="AJ14" s="737"/>
      <c r="AK14" s="737"/>
      <c r="AL14" s="737"/>
      <c r="AM14" s="737"/>
      <c r="AN14" s="737"/>
      <c r="AO14" s="737"/>
      <c r="AP14" s="737"/>
      <c r="AQ14" s="737"/>
      <c r="AR14" s="737"/>
      <c r="AS14" s="737"/>
      <c r="AT14" s="737"/>
      <c r="AU14" s="737"/>
      <c r="AV14" s="737"/>
      <c r="AW14" s="737"/>
      <c r="AX14" s="737"/>
      <c r="AY14" s="737"/>
      <c r="AZ14" s="737"/>
      <c r="BA14" s="737"/>
      <c r="BB14" s="737"/>
      <c r="BC14" s="737"/>
      <c r="BD14" s="737"/>
      <c r="BE14" s="737"/>
      <c r="BF14" s="738"/>
    </row>
    <row r="15" spans="1:58" x14ac:dyDescent="0.2">
      <c r="A15" s="583" t="s">
        <v>259</v>
      </c>
      <c r="B15" s="584"/>
      <c r="C15" s="584"/>
      <c r="D15" s="584"/>
      <c r="E15" s="584"/>
      <c r="F15" s="584"/>
      <c r="G15" s="584"/>
      <c r="H15" s="585"/>
      <c r="I15" s="746">
        <v>0.1</v>
      </c>
      <c r="J15" s="747"/>
      <c r="K15" s="747"/>
      <c r="L15" s="747"/>
      <c r="M15" s="747"/>
      <c r="N15" s="747"/>
      <c r="O15" s="747"/>
      <c r="P15" s="747"/>
      <c r="Q15" s="747"/>
      <c r="R15" s="747"/>
      <c r="S15" s="748"/>
      <c r="T15" s="746" t="s">
        <v>701</v>
      </c>
      <c r="U15" s="747"/>
      <c r="V15" s="747"/>
      <c r="W15" s="747"/>
      <c r="X15" s="747"/>
      <c r="Y15" s="747"/>
      <c r="Z15" s="747"/>
      <c r="AA15" s="747"/>
      <c r="AB15" s="747"/>
      <c r="AC15" s="747"/>
      <c r="AD15" s="748"/>
      <c r="AE15" s="527"/>
      <c r="AF15" s="729"/>
      <c r="AG15" s="730"/>
      <c r="AH15" s="736"/>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8"/>
    </row>
    <row r="16" spans="1:58" x14ac:dyDescent="0.2">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1"/>
      <c r="AG16" s="732"/>
      <c r="AH16" s="739"/>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1"/>
    </row>
    <row r="17" spans="1:48" x14ac:dyDescent="0.2">
      <c r="A17" t="s">
        <v>261</v>
      </c>
    </row>
    <row r="18" spans="1:48" x14ac:dyDescent="0.2">
      <c r="A18" s="720" t="s">
        <v>211</v>
      </c>
      <c r="B18" s="721"/>
      <c r="C18" s="721"/>
      <c r="D18" s="721"/>
      <c r="E18" s="721"/>
      <c r="F18" s="721"/>
      <c r="G18" s="721"/>
      <c r="H18" s="721"/>
      <c r="I18" s="721"/>
      <c r="J18" s="721"/>
      <c r="K18" s="721"/>
      <c r="L18" s="721"/>
      <c r="M18" s="721"/>
      <c r="N18" s="721"/>
      <c r="O18" s="721"/>
      <c r="P18" s="721"/>
      <c r="Q18" s="721"/>
      <c r="R18" s="696"/>
      <c r="S18" s="720" t="s">
        <v>259</v>
      </c>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696"/>
    </row>
    <row r="19" spans="1:48" ht="13.5" customHeight="1" x14ac:dyDescent="0.2">
      <c r="A19" s="714" t="s">
        <v>219</v>
      </c>
      <c r="B19" s="715"/>
      <c r="C19" s="715"/>
      <c r="D19" s="715"/>
      <c r="E19" s="715"/>
      <c r="F19" s="715"/>
      <c r="G19" s="715"/>
      <c r="H19" s="715"/>
      <c r="I19" s="715"/>
      <c r="J19" s="715"/>
      <c r="K19" s="716"/>
      <c r="L19" s="714" t="s">
        <v>220</v>
      </c>
      <c r="M19" s="715"/>
      <c r="N19" s="715"/>
      <c r="O19" s="715"/>
      <c r="P19" s="715"/>
      <c r="Q19" s="715"/>
      <c r="R19" s="716"/>
      <c r="S19" s="714" t="s">
        <v>14</v>
      </c>
      <c r="T19" s="715"/>
      <c r="U19" s="715"/>
      <c r="V19" s="715"/>
      <c r="W19" s="715"/>
      <c r="X19" s="715"/>
      <c r="Y19" s="716"/>
      <c r="Z19" s="714" t="s">
        <v>15</v>
      </c>
      <c r="AA19" s="715"/>
      <c r="AB19" s="715"/>
      <c r="AC19" s="715"/>
      <c r="AD19" s="715"/>
      <c r="AE19" s="715"/>
      <c r="AF19" s="715"/>
      <c r="AG19" s="715"/>
      <c r="AH19" s="716"/>
      <c r="AI19" s="714" t="s">
        <v>264</v>
      </c>
      <c r="AJ19" s="715"/>
      <c r="AK19" s="715"/>
      <c r="AL19" s="715"/>
      <c r="AM19" s="715"/>
      <c r="AN19" s="716"/>
      <c r="AO19" s="714" t="s">
        <v>16</v>
      </c>
      <c r="AP19" s="715"/>
      <c r="AQ19" s="715"/>
      <c r="AR19" s="715"/>
      <c r="AS19" s="715"/>
      <c r="AT19" s="715"/>
      <c r="AU19" s="715"/>
      <c r="AV19" s="716"/>
    </row>
    <row r="20" spans="1:48" x14ac:dyDescent="0.2">
      <c r="A20" s="717"/>
      <c r="B20" s="718"/>
      <c r="C20" s="718"/>
      <c r="D20" s="718"/>
      <c r="E20" s="718"/>
      <c r="F20" s="718"/>
      <c r="G20" s="718"/>
      <c r="H20" s="718"/>
      <c r="I20" s="718"/>
      <c r="J20" s="718"/>
      <c r="K20" s="719"/>
      <c r="L20" s="717"/>
      <c r="M20" s="718"/>
      <c r="N20" s="718"/>
      <c r="O20" s="718"/>
      <c r="P20" s="718"/>
      <c r="Q20" s="718"/>
      <c r="R20" s="719"/>
      <c r="S20" s="717"/>
      <c r="T20" s="718"/>
      <c r="U20" s="718"/>
      <c r="V20" s="718"/>
      <c r="W20" s="718"/>
      <c r="X20" s="718"/>
      <c r="Y20" s="719"/>
      <c r="Z20" s="717"/>
      <c r="AA20" s="718"/>
      <c r="AB20" s="718"/>
      <c r="AC20" s="718"/>
      <c r="AD20" s="718"/>
      <c r="AE20" s="718"/>
      <c r="AF20" s="718"/>
      <c r="AG20" s="718"/>
      <c r="AH20" s="719"/>
      <c r="AI20" s="717"/>
      <c r="AJ20" s="718"/>
      <c r="AK20" s="718"/>
      <c r="AL20" s="718"/>
      <c r="AM20" s="718"/>
      <c r="AN20" s="719"/>
      <c r="AO20" s="717"/>
      <c r="AP20" s="718"/>
      <c r="AQ20" s="718"/>
      <c r="AR20" s="718"/>
      <c r="AS20" s="718"/>
      <c r="AT20" s="718"/>
      <c r="AU20" s="718"/>
      <c r="AV20" s="719"/>
    </row>
    <row r="21" spans="1:48" x14ac:dyDescent="0.2">
      <c r="A21" s="619" t="s">
        <v>195</v>
      </c>
      <c r="B21" s="619"/>
      <c r="C21" s="619"/>
      <c r="D21" s="619"/>
      <c r="E21" s="619"/>
      <c r="F21" s="619"/>
      <c r="G21" s="619"/>
      <c r="H21" s="619"/>
      <c r="I21" s="619"/>
      <c r="J21" s="619"/>
      <c r="K21" s="619"/>
      <c r="L21" s="707">
        <v>105</v>
      </c>
      <c r="M21" s="707"/>
      <c r="N21" s="707"/>
      <c r="O21" s="707"/>
      <c r="P21" s="707"/>
      <c r="Q21" s="707"/>
      <c r="R21" s="707"/>
      <c r="S21" s="708">
        <v>15</v>
      </c>
      <c r="T21" s="708"/>
      <c r="U21" s="708"/>
      <c r="V21" s="708"/>
      <c r="W21" s="708"/>
      <c r="X21" s="708"/>
      <c r="Y21" s="708"/>
      <c r="Z21" s="706">
        <f>IF(AND(L21&lt;&gt;"",S21&lt;&gt;""),S21/L21,"")</f>
        <v>0.14285714285714285</v>
      </c>
      <c r="AA21" s="706"/>
      <c r="AB21" s="706"/>
      <c r="AC21" s="706"/>
      <c r="AD21" s="706"/>
      <c r="AE21" s="706"/>
      <c r="AF21" s="706"/>
      <c r="AG21" s="706"/>
      <c r="AH21" s="706"/>
      <c r="AI21" s="707">
        <v>14</v>
      </c>
      <c r="AJ21" s="707"/>
      <c r="AK21" s="707"/>
      <c r="AL21" s="707"/>
      <c r="AM21" s="707"/>
      <c r="AN21" s="707"/>
      <c r="AO21" s="706">
        <f>IF(AND(L21&lt;&gt;"",AI21&lt;&gt;""),AI21/L21,"")</f>
        <v>0.13333333333333333</v>
      </c>
      <c r="AP21" s="706"/>
      <c r="AQ21" s="706"/>
      <c r="AR21" s="706"/>
      <c r="AS21" s="706"/>
      <c r="AT21" s="706"/>
      <c r="AU21" s="706"/>
      <c r="AV21" s="706"/>
    </row>
    <row r="22" spans="1:48" x14ac:dyDescent="0.2">
      <c r="A22" s="619"/>
      <c r="B22" s="619"/>
      <c r="C22" s="619"/>
      <c r="D22" s="619"/>
      <c r="E22" s="619"/>
      <c r="F22" s="619"/>
      <c r="G22" s="619"/>
      <c r="H22" s="619"/>
      <c r="I22" s="619"/>
      <c r="J22" s="619"/>
      <c r="K22" s="619"/>
      <c r="L22" s="707"/>
      <c r="M22" s="707"/>
      <c r="N22" s="707"/>
      <c r="O22" s="707"/>
      <c r="P22" s="707"/>
      <c r="Q22" s="707"/>
      <c r="R22" s="707"/>
      <c r="S22" s="708"/>
      <c r="T22" s="708"/>
      <c r="U22" s="708"/>
      <c r="V22" s="708"/>
      <c r="W22" s="708"/>
      <c r="X22" s="708"/>
      <c r="Y22" s="708"/>
      <c r="Z22" s="706"/>
      <c r="AA22" s="706"/>
      <c r="AB22" s="706"/>
      <c r="AC22" s="706"/>
      <c r="AD22" s="706"/>
      <c r="AE22" s="706"/>
      <c r="AF22" s="706"/>
      <c r="AG22" s="706"/>
      <c r="AH22" s="706"/>
      <c r="AI22" s="707"/>
      <c r="AJ22" s="707"/>
      <c r="AK22" s="707"/>
      <c r="AL22" s="707"/>
      <c r="AM22" s="707"/>
      <c r="AN22" s="707"/>
      <c r="AO22" s="706"/>
      <c r="AP22" s="706"/>
      <c r="AQ22" s="706"/>
      <c r="AR22" s="706"/>
      <c r="AS22" s="706"/>
      <c r="AT22" s="706"/>
      <c r="AU22" s="706"/>
      <c r="AV22" s="706"/>
    </row>
    <row r="23" spans="1:48" x14ac:dyDescent="0.2">
      <c r="A23" s="619"/>
      <c r="B23" s="619"/>
      <c r="C23" s="619"/>
      <c r="D23" s="619"/>
      <c r="E23" s="619"/>
      <c r="F23" s="619"/>
      <c r="G23" s="619"/>
      <c r="H23" s="619"/>
      <c r="I23" s="619"/>
      <c r="J23" s="619"/>
      <c r="K23" s="619"/>
      <c r="L23" s="707"/>
      <c r="M23" s="707"/>
      <c r="N23" s="707"/>
      <c r="O23" s="707"/>
      <c r="P23" s="707"/>
      <c r="Q23" s="707"/>
      <c r="R23" s="707"/>
      <c r="S23" s="708"/>
      <c r="T23" s="708"/>
      <c r="U23" s="708"/>
      <c r="V23" s="708"/>
      <c r="W23" s="708"/>
      <c r="X23" s="708"/>
      <c r="Y23" s="708"/>
      <c r="Z23" s="706" t="str">
        <f>IF(AND(L23&lt;&gt;"",S23&lt;&gt;""),S23/L23,"")</f>
        <v/>
      </c>
      <c r="AA23" s="706"/>
      <c r="AB23" s="706"/>
      <c r="AC23" s="706"/>
      <c r="AD23" s="706"/>
      <c r="AE23" s="706"/>
      <c r="AF23" s="706"/>
      <c r="AG23" s="706"/>
      <c r="AH23" s="706"/>
      <c r="AI23" s="707"/>
      <c r="AJ23" s="707"/>
      <c r="AK23" s="707"/>
      <c r="AL23" s="707"/>
      <c r="AM23" s="707"/>
      <c r="AN23" s="707"/>
      <c r="AO23" s="706" t="str">
        <f>IF(AND(L23&lt;&gt;"",AI23&lt;&gt;""),AI23/L23,"")</f>
        <v/>
      </c>
      <c r="AP23" s="706"/>
      <c r="AQ23" s="706"/>
      <c r="AR23" s="706"/>
      <c r="AS23" s="706"/>
      <c r="AT23" s="706"/>
      <c r="AU23" s="706"/>
      <c r="AV23" s="706"/>
    </row>
    <row r="24" spans="1:48" x14ac:dyDescent="0.2">
      <c r="A24" s="619"/>
      <c r="B24" s="619"/>
      <c r="C24" s="619"/>
      <c r="D24" s="619"/>
      <c r="E24" s="619"/>
      <c r="F24" s="619"/>
      <c r="G24" s="619"/>
      <c r="H24" s="619"/>
      <c r="I24" s="619"/>
      <c r="J24" s="619"/>
      <c r="K24" s="619"/>
      <c r="L24" s="707"/>
      <c r="M24" s="707"/>
      <c r="N24" s="707"/>
      <c r="O24" s="707"/>
      <c r="P24" s="707"/>
      <c r="Q24" s="707"/>
      <c r="R24" s="707"/>
      <c r="S24" s="708"/>
      <c r="T24" s="708"/>
      <c r="U24" s="708"/>
      <c r="V24" s="708"/>
      <c r="W24" s="708"/>
      <c r="X24" s="708"/>
      <c r="Y24" s="708"/>
      <c r="Z24" s="706"/>
      <c r="AA24" s="706"/>
      <c r="AB24" s="706"/>
      <c r="AC24" s="706"/>
      <c r="AD24" s="706"/>
      <c r="AE24" s="706"/>
      <c r="AF24" s="706"/>
      <c r="AG24" s="706"/>
      <c r="AH24" s="706"/>
      <c r="AI24" s="707"/>
      <c r="AJ24" s="707"/>
      <c r="AK24" s="707"/>
      <c r="AL24" s="707"/>
      <c r="AM24" s="707"/>
      <c r="AN24" s="707"/>
      <c r="AO24" s="706"/>
      <c r="AP24" s="706"/>
      <c r="AQ24" s="706"/>
      <c r="AR24" s="706"/>
      <c r="AS24" s="706"/>
      <c r="AT24" s="706"/>
      <c r="AU24" s="706"/>
      <c r="AV24" s="706"/>
    </row>
    <row r="25" spans="1:48" x14ac:dyDescent="0.2">
      <c r="A25" s="619"/>
      <c r="B25" s="619"/>
      <c r="C25" s="619"/>
      <c r="D25" s="619"/>
      <c r="E25" s="619"/>
      <c r="F25" s="619"/>
      <c r="G25" s="619"/>
      <c r="H25" s="619"/>
      <c r="I25" s="619"/>
      <c r="J25" s="619"/>
      <c r="K25" s="619"/>
      <c r="L25" s="707"/>
      <c r="M25" s="707"/>
      <c r="N25" s="707"/>
      <c r="O25" s="707"/>
      <c r="P25" s="707"/>
      <c r="Q25" s="707"/>
      <c r="R25" s="707"/>
      <c r="S25" s="708"/>
      <c r="T25" s="708"/>
      <c r="U25" s="708"/>
      <c r="V25" s="708"/>
      <c r="W25" s="708"/>
      <c r="X25" s="708"/>
      <c r="Y25" s="708"/>
      <c r="Z25" s="706" t="str">
        <f>IF(AND(L25&lt;&gt;"",S25&lt;&gt;""),S25/L25,"")</f>
        <v/>
      </c>
      <c r="AA25" s="706"/>
      <c r="AB25" s="706"/>
      <c r="AC25" s="706"/>
      <c r="AD25" s="706"/>
      <c r="AE25" s="706"/>
      <c r="AF25" s="706"/>
      <c r="AG25" s="706"/>
      <c r="AH25" s="706"/>
      <c r="AI25" s="707"/>
      <c r="AJ25" s="707"/>
      <c r="AK25" s="707"/>
      <c r="AL25" s="707"/>
      <c r="AM25" s="707"/>
      <c r="AN25" s="707"/>
      <c r="AO25" s="706" t="str">
        <f>IF(AND(L25&lt;&gt;"",AI25&lt;&gt;""),AI25/L25,"")</f>
        <v/>
      </c>
      <c r="AP25" s="706"/>
      <c r="AQ25" s="706"/>
      <c r="AR25" s="706"/>
      <c r="AS25" s="706"/>
      <c r="AT25" s="706"/>
      <c r="AU25" s="706"/>
      <c r="AV25" s="706"/>
    </row>
    <row r="26" spans="1:48" x14ac:dyDescent="0.2">
      <c r="A26" s="619"/>
      <c r="B26" s="619"/>
      <c r="C26" s="619"/>
      <c r="D26" s="619"/>
      <c r="E26" s="619"/>
      <c r="F26" s="619"/>
      <c r="G26" s="619"/>
      <c r="H26" s="619"/>
      <c r="I26" s="619"/>
      <c r="J26" s="619"/>
      <c r="K26" s="619"/>
      <c r="L26" s="707"/>
      <c r="M26" s="707"/>
      <c r="N26" s="707"/>
      <c r="O26" s="707"/>
      <c r="P26" s="707"/>
      <c r="Q26" s="707"/>
      <c r="R26" s="707"/>
      <c r="S26" s="708"/>
      <c r="T26" s="708"/>
      <c r="U26" s="708"/>
      <c r="V26" s="708"/>
      <c r="W26" s="708"/>
      <c r="X26" s="708"/>
      <c r="Y26" s="708"/>
      <c r="Z26" s="706"/>
      <c r="AA26" s="706"/>
      <c r="AB26" s="706"/>
      <c r="AC26" s="706"/>
      <c r="AD26" s="706"/>
      <c r="AE26" s="706"/>
      <c r="AF26" s="706"/>
      <c r="AG26" s="706"/>
      <c r="AH26" s="706"/>
      <c r="AI26" s="707"/>
      <c r="AJ26" s="707"/>
      <c r="AK26" s="707"/>
      <c r="AL26" s="707"/>
      <c r="AM26" s="707"/>
      <c r="AN26" s="707"/>
      <c r="AO26" s="706"/>
      <c r="AP26" s="706"/>
      <c r="AQ26" s="706"/>
      <c r="AR26" s="706"/>
      <c r="AS26" s="706"/>
      <c r="AT26" s="706"/>
      <c r="AU26" s="706"/>
      <c r="AV26" s="706"/>
    </row>
    <row r="27" spans="1:48" x14ac:dyDescent="0.2">
      <c r="A27" s="619"/>
      <c r="B27" s="619"/>
      <c r="C27" s="619"/>
      <c r="D27" s="619"/>
      <c r="E27" s="619"/>
      <c r="F27" s="619"/>
      <c r="G27" s="619"/>
      <c r="H27" s="619"/>
      <c r="I27" s="619"/>
      <c r="J27" s="619"/>
      <c r="K27" s="619"/>
      <c r="L27" s="707"/>
      <c r="M27" s="707"/>
      <c r="N27" s="707"/>
      <c r="O27" s="707"/>
      <c r="P27" s="707"/>
      <c r="Q27" s="707"/>
      <c r="R27" s="707"/>
      <c r="S27" s="708"/>
      <c r="T27" s="708"/>
      <c r="U27" s="708"/>
      <c r="V27" s="708"/>
      <c r="W27" s="708"/>
      <c r="X27" s="708"/>
      <c r="Y27" s="708"/>
      <c r="Z27" s="706" t="str">
        <f>IF(AND(L27&lt;&gt;"",S27&lt;&gt;""),S27/L27,"")</f>
        <v/>
      </c>
      <c r="AA27" s="706"/>
      <c r="AB27" s="706"/>
      <c r="AC27" s="706"/>
      <c r="AD27" s="706"/>
      <c r="AE27" s="706"/>
      <c r="AF27" s="706"/>
      <c r="AG27" s="706"/>
      <c r="AH27" s="706"/>
      <c r="AI27" s="707"/>
      <c r="AJ27" s="707"/>
      <c r="AK27" s="707"/>
      <c r="AL27" s="707"/>
      <c r="AM27" s="707"/>
      <c r="AN27" s="707"/>
      <c r="AO27" s="706" t="str">
        <f>IF(AND(L27&lt;&gt;"",AI27&lt;&gt;""),AI27/L27,"")</f>
        <v/>
      </c>
      <c r="AP27" s="706"/>
      <c r="AQ27" s="706"/>
      <c r="AR27" s="706"/>
      <c r="AS27" s="706"/>
      <c r="AT27" s="706"/>
      <c r="AU27" s="706"/>
      <c r="AV27" s="706"/>
    </row>
    <row r="28" spans="1:48" x14ac:dyDescent="0.2">
      <c r="A28" s="619"/>
      <c r="B28" s="619"/>
      <c r="C28" s="619"/>
      <c r="D28" s="619"/>
      <c r="E28" s="619"/>
      <c r="F28" s="619"/>
      <c r="G28" s="619"/>
      <c r="H28" s="619"/>
      <c r="I28" s="619"/>
      <c r="J28" s="619"/>
      <c r="K28" s="619"/>
      <c r="L28" s="707"/>
      <c r="M28" s="707"/>
      <c r="N28" s="707"/>
      <c r="O28" s="707"/>
      <c r="P28" s="707"/>
      <c r="Q28" s="707"/>
      <c r="R28" s="707"/>
      <c r="S28" s="708"/>
      <c r="T28" s="708"/>
      <c r="U28" s="708"/>
      <c r="V28" s="708"/>
      <c r="W28" s="708"/>
      <c r="X28" s="708"/>
      <c r="Y28" s="708"/>
      <c r="Z28" s="706"/>
      <c r="AA28" s="706"/>
      <c r="AB28" s="706"/>
      <c r="AC28" s="706"/>
      <c r="AD28" s="706"/>
      <c r="AE28" s="706"/>
      <c r="AF28" s="706"/>
      <c r="AG28" s="706"/>
      <c r="AH28" s="706"/>
      <c r="AI28" s="707"/>
      <c r="AJ28" s="707"/>
      <c r="AK28" s="707"/>
      <c r="AL28" s="707"/>
      <c r="AM28" s="707"/>
      <c r="AN28" s="707"/>
      <c r="AO28" s="706"/>
      <c r="AP28" s="706"/>
      <c r="AQ28" s="706"/>
      <c r="AR28" s="706"/>
      <c r="AS28" s="706"/>
      <c r="AT28" s="706"/>
      <c r="AU28" s="706"/>
      <c r="AV28" s="706"/>
    </row>
    <row r="29" spans="1:48" x14ac:dyDescent="0.2">
      <c r="A29" s="619"/>
      <c r="B29" s="619"/>
      <c r="C29" s="619"/>
      <c r="D29" s="619"/>
      <c r="E29" s="619"/>
      <c r="F29" s="619"/>
      <c r="G29" s="619"/>
      <c r="H29" s="619"/>
      <c r="I29" s="619"/>
      <c r="J29" s="619"/>
      <c r="K29" s="619"/>
      <c r="L29" s="707"/>
      <c r="M29" s="707"/>
      <c r="N29" s="707"/>
      <c r="O29" s="707"/>
      <c r="P29" s="707"/>
      <c r="Q29" s="707"/>
      <c r="R29" s="707"/>
      <c r="S29" s="708"/>
      <c r="T29" s="708"/>
      <c r="U29" s="708"/>
      <c r="V29" s="708"/>
      <c r="W29" s="708"/>
      <c r="X29" s="708"/>
      <c r="Y29" s="708"/>
      <c r="Z29" s="706" t="str">
        <f>IF(AND(L29&lt;&gt;"",S29&lt;&gt;""),S29/L29,"")</f>
        <v/>
      </c>
      <c r="AA29" s="706"/>
      <c r="AB29" s="706"/>
      <c r="AC29" s="706"/>
      <c r="AD29" s="706"/>
      <c r="AE29" s="706"/>
      <c r="AF29" s="706"/>
      <c r="AG29" s="706"/>
      <c r="AH29" s="706"/>
      <c r="AI29" s="707"/>
      <c r="AJ29" s="707"/>
      <c r="AK29" s="707"/>
      <c r="AL29" s="707"/>
      <c r="AM29" s="707"/>
      <c r="AN29" s="707"/>
      <c r="AO29" s="706" t="str">
        <f>IF(AND(L29&lt;&gt;"",AI29&lt;&gt;""),AI29/L29,"")</f>
        <v/>
      </c>
      <c r="AP29" s="706"/>
      <c r="AQ29" s="706"/>
      <c r="AR29" s="706"/>
      <c r="AS29" s="706"/>
      <c r="AT29" s="706"/>
      <c r="AU29" s="706"/>
      <c r="AV29" s="706"/>
    </row>
    <row r="30" spans="1:48" x14ac:dyDescent="0.2">
      <c r="A30" s="619"/>
      <c r="B30" s="619"/>
      <c r="C30" s="619"/>
      <c r="D30" s="619"/>
      <c r="E30" s="619"/>
      <c r="F30" s="619"/>
      <c r="G30" s="619"/>
      <c r="H30" s="619"/>
      <c r="I30" s="619"/>
      <c r="J30" s="619"/>
      <c r="K30" s="619"/>
      <c r="L30" s="707"/>
      <c r="M30" s="707"/>
      <c r="N30" s="707"/>
      <c r="O30" s="707"/>
      <c r="P30" s="707"/>
      <c r="Q30" s="707"/>
      <c r="R30" s="707"/>
      <c r="S30" s="708"/>
      <c r="T30" s="708"/>
      <c r="U30" s="708"/>
      <c r="V30" s="708"/>
      <c r="W30" s="708"/>
      <c r="X30" s="708"/>
      <c r="Y30" s="708"/>
      <c r="Z30" s="706"/>
      <c r="AA30" s="706"/>
      <c r="AB30" s="706"/>
      <c r="AC30" s="706"/>
      <c r="AD30" s="706"/>
      <c r="AE30" s="706"/>
      <c r="AF30" s="706"/>
      <c r="AG30" s="706"/>
      <c r="AH30" s="706"/>
      <c r="AI30" s="707"/>
      <c r="AJ30" s="707"/>
      <c r="AK30" s="707"/>
      <c r="AL30" s="707"/>
      <c r="AM30" s="707"/>
      <c r="AN30" s="707"/>
      <c r="AO30" s="706"/>
      <c r="AP30" s="706"/>
      <c r="AQ30" s="706"/>
      <c r="AR30" s="706"/>
      <c r="AS30" s="706"/>
      <c r="AT30" s="706"/>
      <c r="AU30" s="706"/>
      <c r="AV30" s="706"/>
    </row>
    <row r="31" spans="1:48" x14ac:dyDescent="0.2">
      <c r="A31" s="619"/>
      <c r="B31" s="619"/>
      <c r="C31" s="619"/>
      <c r="D31" s="619"/>
      <c r="E31" s="619"/>
      <c r="F31" s="619"/>
      <c r="G31" s="619"/>
      <c r="H31" s="619"/>
      <c r="I31" s="619"/>
      <c r="J31" s="619"/>
      <c r="K31" s="619"/>
      <c r="L31" s="707"/>
      <c r="M31" s="707"/>
      <c r="N31" s="707"/>
      <c r="O31" s="707"/>
      <c r="P31" s="707"/>
      <c r="Q31" s="707"/>
      <c r="R31" s="707"/>
      <c r="S31" s="708"/>
      <c r="T31" s="708"/>
      <c r="U31" s="708"/>
      <c r="V31" s="708"/>
      <c r="W31" s="708"/>
      <c r="X31" s="708"/>
      <c r="Y31" s="708"/>
      <c r="Z31" s="706" t="str">
        <f>IF(AND(L31&lt;&gt;"",S31&lt;&gt;""),S31/L31,"")</f>
        <v/>
      </c>
      <c r="AA31" s="706"/>
      <c r="AB31" s="706"/>
      <c r="AC31" s="706"/>
      <c r="AD31" s="706"/>
      <c r="AE31" s="706"/>
      <c r="AF31" s="706"/>
      <c r="AG31" s="706"/>
      <c r="AH31" s="706"/>
      <c r="AI31" s="707"/>
      <c r="AJ31" s="707"/>
      <c r="AK31" s="707"/>
      <c r="AL31" s="707"/>
      <c r="AM31" s="707"/>
      <c r="AN31" s="707"/>
      <c r="AO31" s="706" t="str">
        <f>IF(AND(L31&lt;&gt;"",AI31&lt;&gt;""),AI31/L31,"")</f>
        <v/>
      </c>
      <c r="AP31" s="706"/>
      <c r="AQ31" s="706"/>
      <c r="AR31" s="706"/>
      <c r="AS31" s="706"/>
      <c r="AT31" s="706"/>
      <c r="AU31" s="706"/>
      <c r="AV31" s="706"/>
    </row>
    <row r="32" spans="1:48" x14ac:dyDescent="0.2">
      <c r="A32" s="619"/>
      <c r="B32" s="619"/>
      <c r="C32" s="619"/>
      <c r="D32" s="619"/>
      <c r="E32" s="619"/>
      <c r="F32" s="619"/>
      <c r="G32" s="619"/>
      <c r="H32" s="619"/>
      <c r="I32" s="619"/>
      <c r="J32" s="619"/>
      <c r="K32" s="619"/>
      <c r="L32" s="707"/>
      <c r="M32" s="707"/>
      <c r="N32" s="707"/>
      <c r="O32" s="707"/>
      <c r="P32" s="707"/>
      <c r="Q32" s="707"/>
      <c r="R32" s="707"/>
      <c r="S32" s="708"/>
      <c r="T32" s="708"/>
      <c r="U32" s="708"/>
      <c r="V32" s="708"/>
      <c r="W32" s="708"/>
      <c r="X32" s="708"/>
      <c r="Y32" s="708"/>
      <c r="Z32" s="706"/>
      <c r="AA32" s="706"/>
      <c r="AB32" s="706"/>
      <c r="AC32" s="706"/>
      <c r="AD32" s="706"/>
      <c r="AE32" s="706"/>
      <c r="AF32" s="706"/>
      <c r="AG32" s="706"/>
      <c r="AH32" s="706"/>
      <c r="AI32" s="707"/>
      <c r="AJ32" s="707"/>
      <c r="AK32" s="707"/>
      <c r="AL32" s="707"/>
      <c r="AM32" s="707"/>
      <c r="AN32" s="707"/>
      <c r="AO32" s="706"/>
      <c r="AP32" s="706"/>
      <c r="AQ32" s="706"/>
      <c r="AR32" s="706"/>
      <c r="AS32" s="706"/>
      <c r="AT32" s="706"/>
      <c r="AU32" s="706"/>
      <c r="AV32" s="706"/>
    </row>
    <row r="33" spans="1:48" x14ac:dyDescent="0.2">
      <c r="A33" s="619"/>
      <c r="B33" s="619"/>
      <c r="C33" s="619"/>
      <c r="D33" s="619"/>
      <c r="E33" s="619"/>
      <c r="F33" s="619"/>
      <c r="G33" s="619"/>
      <c r="H33" s="619"/>
      <c r="I33" s="619"/>
      <c r="J33" s="619"/>
      <c r="K33" s="619"/>
      <c r="L33" s="707"/>
      <c r="M33" s="707"/>
      <c r="N33" s="707"/>
      <c r="O33" s="707"/>
      <c r="P33" s="707"/>
      <c r="Q33" s="707"/>
      <c r="R33" s="707"/>
      <c r="S33" s="708"/>
      <c r="T33" s="708"/>
      <c r="U33" s="708"/>
      <c r="V33" s="708"/>
      <c r="W33" s="708"/>
      <c r="X33" s="708"/>
      <c r="Y33" s="708"/>
      <c r="Z33" s="706" t="str">
        <f>IF(AND(L33&lt;&gt;"",S33&lt;&gt;""),S33/L33,"")</f>
        <v/>
      </c>
      <c r="AA33" s="706"/>
      <c r="AB33" s="706"/>
      <c r="AC33" s="706"/>
      <c r="AD33" s="706"/>
      <c r="AE33" s="706"/>
      <c r="AF33" s="706"/>
      <c r="AG33" s="706"/>
      <c r="AH33" s="706"/>
      <c r="AI33" s="707"/>
      <c r="AJ33" s="707"/>
      <c r="AK33" s="707"/>
      <c r="AL33" s="707"/>
      <c r="AM33" s="707"/>
      <c r="AN33" s="707"/>
      <c r="AO33" s="706" t="str">
        <f>IF(AND(L33&lt;&gt;"",AI33&lt;&gt;""),AI33/L33,"")</f>
        <v/>
      </c>
      <c r="AP33" s="706"/>
      <c r="AQ33" s="706"/>
      <c r="AR33" s="706"/>
      <c r="AS33" s="706"/>
      <c r="AT33" s="706"/>
      <c r="AU33" s="706"/>
      <c r="AV33" s="706"/>
    </row>
    <row r="34" spans="1:48" x14ac:dyDescent="0.2">
      <c r="A34" s="619"/>
      <c r="B34" s="619"/>
      <c r="C34" s="619"/>
      <c r="D34" s="619"/>
      <c r="E34" s="619"/>
      <c r="F34" s="619"/>
      <c r="G34" s="619"/>
      <c r="H34" s="619"/>
      <c r="I34" s="619"/>
      <c r="J34" s="619"/>
      <c r="K34" s="619"/>
      <c r="L34" s="707"/>
      <c r="M34" s="707"/>
      <c r="N34" s="707"/>
      <c r="O34" s="707"/>
      <c r="P34" s="707"/>
      <c r="Q34" s="707"/>
      <c r="R34" s="707"/>
      <c r="S34" s="708"/>
      <c r="T34" s="708"/>
      <c r="U34" s="708"/>
      <c r="V34" s="708"/>
      <c r="W34" s="708"/>
      <c r="X34" s="708"/>
      <c r="Y34" s="708"/>
      <c r="Z34" s="706"/>
      <c r="AA34" s="706"/>
      <c r="AB34" s="706"/>
      <c r="AC34" s="706"/>
      <c r="AD34" s="706"/>
      <c r="AE34" s="706"/>
      <c r="AF34" s="706"/>
      <c r="AG34" s="706"/>
      <c r="AH34" s="706"/>
      <c r="AI34" s="707"/>
      <c r="AJ34" s="707"/>
      <c r="AK34" s="707"/>
      <c r="AL34" s="707"/>
      <c r="AM34" s="707"/>
      <c r="AN34" s="707"/>
      <c r="AO34" s="706"/>
      <c r="AP34" s="706"/>
      <c r="AQ34" s="706"/>
      <c r="AR34" s="706"/>
      <c r="AS34" s="706"/>
      <c r="AT34" s="706"/>
      <c r="AU34" s="706"/>
      <c r="AV34" s="706"/>
    </row>
    <row r="35" spans="1:48" x14ac:dyDescent="0.2">
      <c r="A35" s="619"/>
      <c r="B35" s="619"/>
      <c r="C35" s="619"/>
      <c r="D35" s="619"/>
      <c r="E35" s="619"/>
      <c r="F35" s="619"/>
      <c r="G35" s="619"/>
      <c r="H35" s="619"/>
      <c r="I35" s="619"/>
      <c r="J35" s="619"/>
      <c r="K35" s="619"/>
      <c r="L35" s="707"/>
      <c r="M35" s="707"/>
      <c r="N35" s="707"/>
      <c r="O35" s="707"/>
      <c r="P35" s="707"/>
      <c r="Q35" s="707"/>
      <c r="R35" s="707"/>
      <c r="S35" s="708"/>
      <c r="T35" s="708"/>
      <c r="U35" s="708"/>
      <c r="V35" s="708"/>
      <c r="W35" s="708"/>
      <c r="X35" s="708"/>
      <c r="Y35" s="708"/>
      <c r="Z35" s="706" t="str">
        <f>IF(AND(L35&lt;&gt;"",S35&lt;&gt;""),S35/L35,"")</f>
        <v/>
      </c>
      <c r="AA35" s="706"/>
      <c r="AB35" s="706"/>
      <c r="AC35" s="706"/>
      <c r="AD35" s="706"/>
      <c r="AE35" s="706"/>
      <c r="AF35" s="706"/>
      <c r="AG35" s="706"/>
      <c r="AH35" s="706"/>
      <c r="AI35" s="707"/>
      <c r="AJ35" s="707"/>
      <c r="AK35" s="707"/>
      <c r="AL35" s="707"/>
      <c r="AM35" s="707"/>
      <c r="AN35" s="707"/>
      <c r="AO35" s="706" t="str">
        <f>IF(AND(L35&lt;&gt;"",AI35&lt;&gt;""),AI35/L35,"")</f>
        <v/>
      </c>
      <c r="AP35" s="706"/>
      <c r="AQ35" s="706"/>
      <c r="AR35" s="706"/>
      <c r="AS35" s="706"/>
      <c r="AT35" s="706"/>
      <c r="AU35" s="706"/>
      <c r="AV35" s="706"/>
    </row>
    <row r="36" spans="1:48" x14ac:dyDescent="0.2">
      <c r="A36" s="619"/>
      <c r="B36" s="619"/>
      <c r="C36" s="619"/>
      <c r="D36" s="619"/>
      <c r="E36" s="619"/>
      <c r="F36" s="619"/>
      <c r="G36" s="619"/>
      <c r="H36" s="619"/>
      <c r="I36" s="619"/>
      <c r="J36" s="619"/>
      <c r="K36" s="619"/>
      <c r="L36" s="707"/>
      <c r="M36" s="707"/>
      <c r="N36" s="707"/>
      <c r="O36" s="707"/>
      <c r="P36" s="707"/>
      <c r="Q36" s="707"/>
      <c r="R36" s="707"/>
      <c r="S36" s="708"/>
      <c r="T36" s="708"/>
      <c r="U36" s="708"/>
      <c r="V36" s="708"/>
      <c r="W36" s="708"/>
      <c r="X36" s="708"/>
      <c r="Y36" s="708"/>
      <c r="Z36" s="706"/>
      <c r="AA36" s="706"/>
      <c r="AB36" s="706"/>
      <c r="AC36" s="706"/>
      <c r="AD36" s="706"/>
      <c r="AE36" s="706"/>
      <c r="AF36" s="706"/>
      <c r="AG36" s="706"/>
      <c r="AH36" s="706"/>
      <c r="AI36" s="707"/>
      <c r="AJ36" s="707"/>
      <c r="AK36" s="707"/>
      <c r="AL36" s="707"/>
      <c r="AM36" s="707"/>
      <c r="AN36" s="707"/>
      <c r="AO36" s="706"/>
      <c r="AP36" s="706"/>
      <c r="AQ36" s="706"/>
      <c r="AR36" s="706"/>
      <c r="AS36" s="706"/>
      <c r="AT36" s="706"/>
      <c r="AU36" s="706"/>
      <c r="AV36" s="706"/>
    </row>
    <row r="37" spans="1:48" x14ac:dyDescent="0.2">
      <c r="A37" s="619"/>
      <c r="B37" s="619"/>
      <c r="C37" s="619"/>
      <c r="D37" s="619"/>
      <c r="E37" s="619"/>
      <c r="F37" s="619"/>
      <c r="G37" s="619"/>
      <c r="H37" s="619"/>
      <c r="I37" s="619"/>
      <c r="J37" s="619"/>
      <c r="K37" s="619"/>
      <c r="L37" s="707"/>
      <c r="M37" s="707"/>
      <c r="N37" s="707"/>
      <c r="O37" s="707"/>
      <c r="P37" s="707"/>
      <c r="Q37" s="707"/>
      <c r="R37" s="707"/>
      <c r="S37" s="708"/>
      <c r="T37" s="708"/>
      <c r="U37" s="708"/>
      <c r="V37" s="708"/>
      <c r="W37" s="708"/>
      <c r="X37" s="708"/>
      <c r="Y37" s="708"/>
      <c r="Z37" s="706" t="str">
        <f>IF(AND(L37&lt;&gt;"",S37&lt;&gt;""),S37/L37,"")</f>
        <v/>
      </c>
      <c r="AA37" s="706"/>
      <c r="AB37" s="706"/>
      <c r="AC37" s="706"/>
      <c r="AD37" s="706"/>
      <c r="AE37" s="706"/>
      <c r="AF37" s="706"/>
      <c r="AG37" s="706"/>
      <c r="AH37" s="706"/>
      <c r="AI37" s="707"/>
      <c r="AJ37" s="707"/>
      <c r="AK37" s="707"/>
      <c r="AL37" s="707"/>
      <c r="AM37" s="707"/>
      <c r="AN37" s="707"/>
      <c r="AO37" s="706" t="str">
        <f>IF(AND(L37&lt;&gt;"",AI37&lt;&gt;""),AI37/L37,"")</f>
        <v/>
      </c>
      <c r="AP37" s="706"/>
      <c r="AQ37" s="706"/>
      <c r="AR37" s="706"/>
      <c r="AS37" s="706"/>
      <c r="AT37" s="706"/>
      <c r="AU37" s="706"/>
      <c r="AV37" s="706"/>
    </row>
    <row r="38" spans="1:48" x14ac:dyDescent="0.2">
      <c r="A38" s="619"/>
      <c r="B38" s="619"/>
      <c r="C38" s="619"/>
      <c r="D38" s="619"/>
      <c r="E38" s="619"/>
      <c r="F38" s="619"/>
      <c r="G38" s="619"/>
      <c r="H38" s="619"/>
      <c r="I38" s="619"/>
      <c r="J38" s="619"/>
      <c r="K38" s="619"/>
      <c r="L38" s="707"/>
      <c r="M38" s="707"/>
      <c r="N38" s="707"/>
      <c r="O38" s="707"/>
      <c r="P38" s="707"/>
      <c r="Q38" s="707"/>
      <c r="R38" s="707"/>
      <c r="S38" s="708"/>
      <c r="T38" s="708"/>
      <c r="U38" s="708"/>
      <c r="V38" s="708"/>
      <c r="W38" s="708"/>
      <c r="X38" s="708"/>
      <c r="Y38" s="708"/>
      <c r="Z38" s="706"/>
      <c r="AA38" s="706"/>
      <c r="AB38" s="706"/>
      <c r="AC38" s="706"/>
      <c r="AD38" s="706"/>
      <c r="AE38" s="706"/>
      <c r="AF38" s="706"/>
      <c r="AG38" s="706"/>
      <c r="AH38" s="706"/>
      <c r="AI38" s="707"/>
      <c r="AJ38" s="707"/>
      <c r="AK38" s="707"/>
      <c r="AL38" s="707"/>
      <c r="AM38" s="707"/>
      <c r="AN38" s="707"/>
      <c r="AO38" s="706"/>
      <c r="AP38" s="706"/>
      <c r="AQ38" s="706"/>
      <c r="AR38" s="706"/>
      <c r="AS38" s="706"/>
      <c r="AT38" s="706"/>
      <c r="AU38" s="706"/>
      <c r="AV38" s="706"/>
    </row>
    <row r="39" spans="1:48" x14ac:dyDescent="0.2">
      <c r="A39" s="619"/>
      <c r="B39" s="619"/>
      <c r="C39" s="619"/>
      <c r="D39" s="619"/>
      <c r="E39" s="619"/>
      <c r="F39" s="619"/>
      <c r="G39" s="619"/>
      <c r="H39" s="619"/>
      <c r="I39" s="619"/>
      <c r="J39" s="619"/>
      <c r="K39" s="619"/>
      <c r="L39" s="707"/>
      <c r="M39" s="707"/>
      <c r="N39" s="707"/>
      <c r="O39" s="707"/>
      <c r="P39" s="707"/>
      <c r="Q39" s="707"/>
      <c r="R39" s="707"/>
      <c r="S39" s="708"/>
      <c r="T39" s="708"/>
      <c r="U39" s="708"/>
      <c r="V39" s="708"/>
      <c r="W39" s="708"/>
      <c r="X39" s="708"/>
      <c r="Y39" s="708"/>
      <c r="Z39" s="706" t="str">
        <f>IF(AND(L39&lt;&gt;"",S39&lt;&gt;""),S39/L39,"")</f>
        <v/>
      </c>
      <c r="AA39" s="706"/>
      <c r="AB39" s="706"/>
      <c r="AC39" s="706"/>
      <c r="AD39" s="706"/>
      <c r="AE39" s="706"/>
      <c r="AF39" s="706"/>
      <c r="AG39" s="706"/>
      <c r="AH39" s="706"/>
      <c r="AI39" s="707"/>
      <c r="AJ39" s="707"/>
      <c r="AK39" s="707"/>
      <c r="AL39" s="707"/>
      <c r="AM39" s="707"/>
      <c r="AN39" s="707"/>
      <c r="AO39" s="706" t="str">
        <f>IF(AND(L39&lt;&gt;"",AI39&lt;&gt;""),AI39/L39,"")</f>
        <v/>
      </c>
      <c r="AP39" s="706"/>
      <c r="AQ39" s="706"/>
      <c r="AR39" s="706"/>
      <c r="AS39" s="706"/>
      <c r="AT39" s="706"/>
      <c r="AU39" s="706"/>
      <c r="AV39" s="706"/>
    </row>
    <row r="40" spans="1:48" x14ac:dyDescent="0.2">
      <c r="A40" s="619"/>
      <c r="B40" s="619"/>
      <c r="C40" s="619"/>
      <c r="D40" s="619"/>
      <c r="E40" s="619"/>
      <c r="F40" s="619"/>
      <c r="G40" s="619"/>
      <c r="H40" s="619"/>
      <c r="I40" s="619"/>
      <c r="J40" s="619"/>
      <c r="K40" s="619"/>
      <c r="L40" s="707"/>
      <c r="M40" s="707"/>
      <c r="N40" s="707"/>
      <c r="O40" s="707"/>
      <c r="P40" s="707"/>
      <c r="Q40" s="707"/>
      <c r="R40" s="707"/>
      <c r="S40" s="708"/>
      <c r="T40" s="708"/>
      <c r="U40" s="708"/>
      <c r="V40" s="708"/>
      <c r="W40" s="708"/>
      <c r="X40" s="708"/>
      <c r="Y40" s="708"/>
      <c r="Z40" s="706"/>
      <c r="AA40" s="706"/>
      <c r="AB40" s="706"/>
      <c r="AC40" s="706"/>
      <c r="AD40" s="706"/>
      <c r="AE40" s="706"/>
      <c r="AF40" s="706"/>
      <c r="AG40" s="706"/>
      <c r="AH40" s="706"/>
      <c r="AI40" s="707"/>
      <c r="AJ40" s="707"/>
      <c r="AK40" s="707"/>
      <c r="AL40" s="707"/>
      <c r="AM40" s="707"/>
      <c r="AN40" s="707"/>
      <c r="AO40" s="706"/>
      <c r="AP40" s="706"/>
      <c r="AQ40" s="706"/>
      <c r="AR40" s="706"/>
      <c r="AS40" s="706"/>
      <c r="AT40" s="706"/>
      <c r="AU40" s="706"/>
      <c r="AV40" s="706"/>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5"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F46"/>
  <sheetViews>
    <sheetView showGridLines="0" topLeftCell="A37" zoomScale="70" workbookViewId="0">
      <selection sqref="A1:E5"/>
    </sheetView>
  </sheetViews>
  <sheetFormatPr defaultColWidth="4.21875" defaultRowHeight="15" customHeight="1" x14ac:dyDescent="0.2"/>
  <cols>
    <col min="1" max="1" width="9" style="9" customWidth="1"/>
    <col min="2" max="6" width="4.21875" style="9"/>
    <col min="7" max="7" width="5" style="9" bestFit="1" customWidth="1"/>
    <col min="8" max="16384" width="4.21875" style="9"/>
  </cols>
  <sheetData>
    <row r="1" spans="1:32" s="259" customFormat="1" ht="12.75" customHeight="1" x14ac:dyDescent="0.2">
      <c r="A1" s="753" t="s">
        <v>463</v>
      </c>
      <c r="B1" s="754"/>
      <c r="C1" s="754"/>
      <c r="D1" s="754"/>
      <c r="E1" s="755"/>
      <c r="F1" s="753" t="s">
        <v>464</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2" s="259" customFormat="1" ht="12.75" customHeight="1" x14ac:dyDescent="0.2">
      <c r="A2" s="756"/>
      <c r="B2" s="757"/>
      <c r="C2" s="757"/>
      <c r="D2" s="757"/>
      <c r="E2" s="758"/>
      <c r="F2" s="756"/>
      <c r="G2" s="757"/>
      <c r="H2" s="757"/>
      <c r="I2" s="757"/>
      <c r="J2" s="757"/>
      <c r="K2" s="757"/>
      <c r="L2" s="757"/>
      <c r="M2" s="757"/>
      <c r="N2" s="758"/>
      <c r="O2" s="749" t="s">
        <v>238</v>
      </c>
      <c r="P2" s="749"/>
      <c r="Q2" s="749"/>
      <c r="R2" s="749" t="s">
        <v>238</v>
      </c>
      <c r="S2" s="749"/>
      <c r="T2" s="749"/>
      <c r="U2" s="749" t="s">
        <v>238</v>
      </c>
      <c r="V2" s="749"/>
      <c r="W2" s="749"/>
      <c r="X2" s="763" t="s">
        <v>308</v>
      </c>
      <c r="Y2" s="763"/>
      <c r="Z2" s="763"/>
      <c r="AA2" s="749" t="s">
        <v>306</v>
      </c>
      <c r="AB2" s="749"/>
      <c r="AC2" s="749"/>
      <c r="AD2" s="749" t="s">
        <v>237</v>
      </c>
      <c r="AE2" s="749"/>
      <c r="AF2" s="749"/>
    </row>
    <row r="3" spans="1:32" s="259" customFormat="1" ht="12.75" customHeight="1" x14ac:dyDescent="0.2">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238</v>
      </c>
      <c r="AB3" s="749"/>
      <c r="AC3" s="749"/>
      <c r="AD3" s="749" t="s">
        <v>238</v>
      </c>
      <c r="AE3" s="749"/>
      <c r="AF3" s="749"/>
    </row>
    <row r="4" spans="1:32" s="259" customFormat="1" ht="12.75" customHeight="1" x14ac:dyDescent="0.2">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2" s="259" customFormat="1" ht="12.75" customHeight="1" x14ac:dyDescent="0.2">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2" s="259" customFormat="1" ht="15" customHeight="1" x14ac:dyDescent="0.2">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2" s="259" customFormat="1" ht="15" customHeight="1" x14ac:dyDescent="0.2">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2"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467</v>
      </c>
      <c r="V8" s="261"/>
      <c r="W8" s="779"/>
      <c r="X8" s="780"/>
      <c r="Y8" s="781"/>
      <c r="Z8" s="782" t="s">
        <v>468</v>
      </c>
      <c r="AA8" s="783"/>
      <c r="AB8" s="784"/>
      <c r="AC8" s="780"/>
      <c r="AD8" s="781"/>
      <c r="AE8" s="782" t="s">
        <v>469</v>
      </c>
      <c r="AF8" s="783"/>
    </row>
    <row r="9" spans="1:32"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470</v>
      </c>
      <c r="V9" s="264"/>
      <c r="W9" s="773"/>
      <c r="X9" s="774"/>
      <c r="Y9" s="775"/>
      <c r="Z9" s="776" t="s">
        <v>471</v>
      </c>
      <c r="AA9" s="775"/>
      <c r="AB9" s="776"/>
      <c r="AC9" s="774"/>
      <c r="AD9" s="775"/>
      <c r="AE9" s="777"/>
      <c r="AF9" s="778"/>
    </row>
    <row r="11" spans="1:32" ht="15" customHeight="1" x14ac:dyDescent="0.2">
      <c r="A11" s="10" t="s">
        <v>208</v>
      </c>
      <c r="B11" s="11"/>
      <c r="C11" s="750" t="s">
        <v>141</v>
      </c>
      <c r="D11" s="751"/>
      <c r="E11" s="751"/>
      <c r="F11" s="752"/>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2">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2">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2">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2">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2">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2">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2">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2">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2">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2">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2">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2">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2">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2">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2">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2">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2">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2">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2">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2">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2">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2">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2">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2">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2">
      <c r="A36" s="18" t="s">
        <v>231</v>
      </c>
      <c r="B36" s="19"/>
      <c r="C36" s="20" t="s">
        <v>294</v>
      </c>
      <c r="D36" s="21"/>
      <c r="E36" s="22"/>
      <c r="F36" s="23"/>
      <c r="G36" s="47">
        <v>70</v>
      </c>
      <c r="H36" s="25"/>
      <c r="I36" s="15"/>
      <c r="J36" s="15"/>
      <c r="K36" s="15"/>
      <c r="L36" s="15"/>
      <c r="M36" s="15"/>
      <c r="N36" s="15"/>
      <c r="O36" s="15"/>
      <c r="P36" s="26"/>
    </row>
    <row r="37" spans="1:32" ht="15" customHeight="1" x14ac:dyDescent="0.2">
      <c r="A37" s="27"/>
      <c r="B37" s="28"/>
      <c r="C37" s="29" t="s">
        <v>295</v>
      </c>
      <c r="D37" s="30"/>
      <c r="E37" s="31"/>
      <c r="F37" s="32"/>
      <c r="G37" s="33">
        <v>136</v>
      </c>
      <c r="H37" s="12"/>
      <c r="I37" s="13"/>
      <c r="J37" s="13"/>
      <c r="K37" s="13"/>
      <c r="L37" s="13"/>
      <c r="M37" s="13"/>
      <c r="N37" s="13"/>
      <c r="O37" s="13"/>
      <c r="P37" s="34"/>
    </row>
    <row r="38" spans="1:32" ht="15" customHeight="1" x14ac:dyDescent="0.2">
      <c r="A38" s="27"/>
      <c r="B38" s="28"/>
      <c r="C38" s="29" t="s">
        <v>296</v>
      </c>
      <c r="D38" s="30"/>
      <c r="E38" s="31"/>
      <c r="F38" s="32"/>
      <c r="G38" s="33">
        <v>234</v>
      </c>
      <c r="H38" s="12"/>
      <c r="I38" s="13"/>
      <c r="J38" s="13"/>
      <c r="K38" s="13"/>
      <c r="L38" s="13"/>
      <c r="M38" s="13"/>
      <c r="N38" s="13"/>
      <c r="O38" s="13"/>
      <c r="P38" s="34"/>
    </row>
    <row r="39" spans="1:32" ht="15" customHeight="1" x14ac:dyDescent="0.2">
      <c r="A39" s="27"/>
      <c r="B39" s="36"/>
      <c r="C39" s="37" t="s">
        <v>274</v>
      </c>
      <c r="D39" s="38"/>
      <c r="E39" s="39"/>
      <c r="F39" s="40"/>
      <c r="G39" s="41">
        <v>226</v>
      </c>
      <c r="H39" s="12"/>
      <c r="I39" s="13"/>
      <c r="J39" s="13"/>
      <c r="K39" s="13"/>
      <c r="L39" s="13"/>
      <c r="M39" s="13"/>
      <c r="N39" s="13"/>
      <c r="O39" s="13"/>
      <c r="P39" s="34"/>
    </row>
    <row r="40" spans="1:32" ht="15" customHeight="1" x14ac:dyDescent="0.2">
      <c r="A40" s="27"/>
      <c r="B40" s="36"/>
      <c r="C40" s="36"/>
      <c r="D40" s="36"/>
      <c r="E40" s="36"/>
      <c r="F40" s="36"/>
      <c r="G40" s="28"/>
      <c r="H40" s="12"/>
      <c r="I40" s="13"/>
      <c r="J40" s="13"/>
      <c r="K40" s="13"/>
      <c r="L40" s="13"/>
      <c r="M40" s="13"/>
      <c r="N40" s="13"/>
      <c r="O40" s="13"/>
      <c r="P40" s="34"/>
    </row>
    <row r="41" spans="1:32" ht="15" customHeight="1" x14ac:dyDescent="0.2">
      <c r="A41" s="27"/>
      <c r="B41" s="36"/>
      <c r="C41" s="36"/>
      <c r="D41" s="36"/>
      <c r="E41" s="36"/>
      <c r="F41" s="36"/>
      <c r="G41" s="28"/>
      <c r="H41" s="12"/>
      <c r="I41" s="13"/>
      <c r="J41" s="13"/>
      <c r="K41" s="13"/>
      <c r="L41" s="13"/>
      <c r="M41" s="13"/>
      <c r="N41" s="13"/>
      <c r="O41" s="13"/>
      <c r="P41" s="34"/>
    </row>
    <row r="42" spans="1:32" ht="15" customHeight="1" x14ac:dyDescent="0.2">
      <c r="A42" s="27"/>
      <c r="B42" s="36"/>
      <c r="C42" s="36"/>
      <c r="D42" s="36"/>
      <c r="E42" s="36"/>
      <c r="F42" s="36"/>
      <c r="G42" s="28"/>
      <c r="H42" s="12"/>
      <c r="I42" s="13"/>
      <c r="J42" s="13"/>
      <c r="K42" s="13"/>
      <c r="L42" s="13"/>
      <c r="M42" s="13"/>
      <c r="N42" s="13"/>
      <c r="O42" s="13"/>
      <c r="P42" s="34"/>
    </row>
    <row r="43" spans="1:32" ht="15" customHeight="1" x14ac:dyDescent="0.2">
      <c r="A43" s="27"/>
      <c r="B43" s="36"/>
      <c r="C43" s="36"/>
      <c r="D43" s="36"/>
      <c r="E43" s="36"/>
      <c r="F43" s="36"/>
      <c r="G43" s="28"/>
      <c r="H43" s="12"/>
      <c r="I43" s="13"/>
      <c r="J43" s="13"/>
      <c r="K43" s="13"/>
      <c r="L43" s="13"/>
      <c r="M43" s="13"/>
      <c r="N43" s="13"/>
      <c r="O43" s="13"/>
      <c r="P43" s="34"/>
    </row>
    <row r="44" spans="1:32" ht="15" customHeight="1" x14ac:dyDescent="0.2">
      <c r="A44" s="27"/>
      <c r="B44" s="36"/>
      <c r="C44" s="36"/>
      <c r="D44" s="36"/>
      <c r="E44" s="36"/>
      <c r="F44" s="36"/>
      <c r="G44" s="28"/>
      <c r="H44" s="12"/>
      <c r="I44" s="13"/>
      <c r="J44" s="13"/>
      <c r="K44" s="13"/>
      <c r="L44" s="13"/>
      <c r="M44" s="13"/>
      <c r="N44" s="13"/>
      <c r="O44" s="13"/>
      <c r="P44" s="34"/>
    </row>
    <row r="45" spans="1:32" ht="15" customHeight="1" x14ac:dyDescent="0.2">
      <c r="A45" s="27"/>
      <c r="B45" s="36"/>
      <c r="C45" s="36"/>
      <c r="D45" s="36"/>
      <c r="E45" s="36"/>
      <c r="F45" s="36"/>
      <c r="G45" s="28"/>
      <c r="H45" s="12"/>
      <c r="I45" s="13"/>
      <c r="J45" s="13"/>
      <c r="K45" s="13"/>
      <c r="L45" s="13"/>
      <c r="M45" s="13"/>
      <c r="N45" s="13"/>
      <c r="O45" s="13"/>
      <c r="P45" s="34"/>
    </row>
    <row r="46" spans="1:32" ht="15" customHeight="1" x14ac:dyDescent="0.2">
      <c r="A46" s="43"/>
      <c r="B46" s="39"/>
      <c r="C46" s="39"/>
      <c r="D46" s="39"/>
      <c r="E46" s="39"/>
      <c r="F46" s="39"/>
      <c r="G46" s="40"/>
      <c r="H46" s="44"/>
      <c r="I46" s="45"/>
      <c r="J46" s="45"/>
      <c r="K46" s="45"/>
      <c r="L46" s="45"/>
      <c r="M46" s="45"/>
      <c r="N46" s="45"/>
      <c r="O46" s="45"/>
      <c r="P46" s="46"/>
    </row>
  </sheetData>
  <mergeCells count="37">
    <mergeCell ref="W9:Y9"/>
    <mergeCell ref="Z9:AA9"/>
    <mergeCell ref="AB9:AD9"/>
    <mergeCell ref="AE9:AF9"/>
    <mergeCell ref="W8:Y8"/>
    <mergeCell ref="Z8:AA8"/>
    <mergeCell ref="AB8:AD8"/>
    <mergeCell ref="AE8:AF8"/>
    <mergeCell ref="A6:G6"/>
    <mergeCell ref="H6:N6"/>
    <mergeCell ref="A7:G7"/>
    <mergeCell ref="H7:N7"/>
    <mergeCell ref="R3:T7"/>
    <mergeCell ref="R2:T2"/>
    <mergeCell ref="U2:W2"/>
    <mergeCell ref="X2:Z2"/>
    <mergeCell ref="AD3:AF3"/>
    <mergeCell ref="AA4:AC7"/>
    <mergeCell ref="AD4:AF7"/>
    <mergeCell ref="U3:W7"/>
    <mergeCell ref="X3:Z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H45"/>
  <sheetViews>
    <sheetView showGridLines="0" topLeftCell="A31" zoomScale="70" workbookViewId="0">
      <selection sqref="A1:E5"/>
    </sheetView>
  </sheetViews>
  <sheetFormatPr defaultColWidth="4.21875" defaultRowHeight="15" customHeight="1" x14ac:dyDescent="0.2"/>
  <cols>
    <col min="1" max="1" width="9" style="9" customWidth="1"/>
    <col min="2" max="7" width="4.21875" style="9"/>
    <col min="8" max="8" width="5" style="9" bestFit="1" customWidth="1"/>
    <col min="9" max="16384" width="4.21875" style="9"/>
  </cols>
  <sheetData>
    <row r="1" spans="1:34" s="259" customFormat="1" ht="12.75" customHeight="1" x14ac:dyDescent="0.2">
      <c r="A1" s="753" t="s">
        <v>481</v>
      </c>
      <c r="B1" s="754"/>
      <c r="C1" s="754"/>
      <c r="D1" s="754"/>
      <c r="E1" s="755"/>
      <c r="F1" s="794" t="s">
        <v>482</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4" s="259" customFormat="1" ht="12.75" customHeight="1" x14ac:dyDescent="0.2">
      <c r="A2" s="756"/>
      <c r="B2" s="757"/>
      <c r="C2" s="757"/>
      <c r="D2" s="757"/>
      <c r="E2" s="758"/>
      <c r="F2" s="756"/>
      <c r="G2" s="757"/>
      <c r="H2" s="757"/>
      <c r="I2" s="757"/>
      <c r="J2" s="757"/>
      <c r="K2" s="757"/>
      <c r="L2" s="757"/>
      <c r="M2" s="757"/>
      <c r="N2" s="758"/>
      <c r="O2" s="749" t="s">
        <v>483</v>
      </c>
      <c r="P2" s="749"/>
      <c r="Q2" s="749"/>
      <c r="R2" s="749" t="s">
        <v>483</v>
      </c>
      <c r="S2" s="749"/>
      <c r="T2" s="749"/>
      <c r="U2" s="749" t="s">
        <v>483</v>
      </c>
      <c r="V2" s="749"/>
      <c r="W2" s="749"/>
      <c r="X2" s="763" t="s">
        <v>308</v>
      </c>
      <c r="Y2" s="763"/>
      <c r="Z2" s="763"/>
      <c r="AA2" s="749" t="s">
        <v>306</v>
      </c>
      <c r="AB2" s="749"/>
      <c r="AC2" s="749"/>
      <c r="AD2" s="749" t="s">
        <v>237</v>
      </c>
      <c r="AE2" s="749"/>
      <c r="AF2" s="749"/>
    </row>
    <row r="3" spans="1:34" s="259" customFormat="1" ht="12.75" customHeight="1" x14ac:dyDescent="0.2">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483</v>
      </c>
      <c r="AB3" s="749"/>
      <c r="AC3" s="749"/>
      <c r="AD3" s="749" t="s">
        <v>483</v>
      </c>
      <c r="AE3" s="749"/>
      <c r="AF3" s="749"/>
    </row>
    <row r="4" spans="1:34" s="259" customFormat="1" ht="12.75" customHeight="1" x14ac:dyDescent="0.2">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4" s="259" customFormat="1" ht="12.75" customHeight="1" x14ac:dyDescent="0.2">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4" s="259" customFormat="1" ht="15" customHeight="1" x14ac:dyDescent="0.2">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4" s="259" customFormat="1" ht="15" customHeight="1" x14ac:dyDescent="0.2">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4"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484</v>
      </c>
      <c r="V8" s="261"/>
      <c r="W8" s="779"/>
      <c r="X8" s="780"/>
      <c r="Y8" s="781"/>
      <c r="Z8" s="782" t="s">
        <v>468</v>
      </c>
      <c r="AA8" s="783"/>
      <c r="AB8" s="784"/>
      <c r="AC8" s="780"/>
      <c r="AD8" s="781"/>
      <c r="AE8" s="782" t="s">
        <v>469</v>
      </c>
      <c r="AF8" s="783"/>
    </row>
    <row r="9" spans="1:34"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485</v>
      </c>
      <c r="V9" s="264"/>
      <c r="W9" s="773"/>
      <c r="X9" s="774"/>
      <c r="Y9" s="775"/>
      <c r="Z9" s="776" t="s">
        <v>471</v>
      </c>
      <c r="AA9" s="775"/>
      <c r="AB9" s="776"/>
      <c r="AC9" s="774"/>
      <c r="AD9" s="775"/>
      <c r="AE9" s="777"/>
      <c r="AF9" s="778"/>
    </row>
    <row r="10" spans="1:34" s="262" customFormat="1" ht="15" customHeight="1" x14ac:dyDescent="0.2">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2">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2">
      <c r="A13" s="48"/>
      <c r="B13" s="49"/>
      <c r="C13" s="49"/>
      <c r="D13" s="50" t="s">
        <v>297</v>
      </c>
      <c r="E13" s="785" t="s">
        <v>280</v>
      </c>
      <c r="F13" s="785" t="s">
        <v>282</v>
      </c>
      <c r="G13" s="785" t="s">
        <v>284</v>
      </c>
      <c r="H13" s="785" t="s">
        <v>285</v>
      </c>
      <c r="I13" s="785" t="s">
        <v>287</v>
      </c>
      <c r="J13" s="785" t="s">
        <v>298</v>
      </c>
      <c r="K13" s="785" t="s">
        <v>291</v>
      </c>
      <c r="L13" s="785" t="s">
        <v>293</v>
      </c>
      <c r="M13" s="791" t="s">
        <v>274</v>
      </c>
      <c r="N13" s="787" t="s">
        <v>299</v>
      </c>
      <c r="O13" s="789" t="s">
        <v>300</v>
      </c>
      <c r="P13" s="51"/>
      <c r="Q13" s="25"/>
      <c r="R13" s="15"/>
      <c r="S13" s="15"/>
      <c r="T13" s="15"/>
      <c r="U13" s="15"/>
      <c r="V13" s="15"/>
      <c r="W13" s="15"/>
      <c r="X13" s="15"/>
      <c r="Y13" s="15"/>
      <c r="Z13" s="15"/>
      <c r="AA13" s="15"/>
      <c r="AB13" s="15"/>
      <c r="AC13" s="15"/>
      <c r="AD13" s="15"/>
      <c r="AE13" s="15"/>
      <c r="AF13" s="26"/>
    </row>
    <row r="14" spans="1:34" ht="15" customHeight="1" x14ac:dyDescent="0.2">
      <c r="A14" s="52"/>
      <c r="B14" s="53"/>
      <c r="C14" s="53"/>
      <c r="D14" s="54"/>
      <c r="E14" s="786"/>
      <c r="F14" s="786"/>
      <c r="G14" s="786"/>
      <c r="H14" s="786"/>
      <c r="I14" s="786"/>
      <c r="J14" s="786"/>
      <c r="K14" s="786"/>
      <c r="L14" s="786"/>
      <c r="M14" s="792"/>
      <c r="N14" s="788"/>
      <c r="O14" s="790"/>
      <c r="P14" s="51"/>
      <c r="Q14" s="12"/>
      <c r="R14" s="13"/>
      <c r="S14" s="13"/>
      <c r="T14" s="13"/>
      <c r="U14" s="13"/>
      <c r="V14" s="13"/>
      <c r="W14" s="13"/>
      <c r="X14" s="13"/>
      <c r="Y14" s="13"/>
      <c r="Z14" s="13"/>
      <c r="AA14" s="13"/>
      <c r="AB14" s="13"/>
      <c r="AC14" s="13"/>
      <c r="AD14" s="13"/>
      <c r="AE14" s="13"/>
      <c r="AF14" s="34"/>
    </row>
    <row r="15" spans="1:34" ht="15" customHeight="1" x14ac:dyDescent="0.2">
      <c r="A15" s="52"/>
      <c r="B15" s="53"/>
      <c r="C15" s="53"/>
      <c r="D15" s="54"/>
      <c r="E15" s="786"/>
      <c r="F15" s="786"/>
      <c r="G15" s="786"/>
      <c r="H15" s="786"/>
      <c r="I15" s="786"/>
      <c r="J15" s="786"/>
      <c r="K15" s="786"/>
      <c r="L15" s="786"/>
      <c r="M15" s="792"/>
      <c r="N15" s="788"/>
      <c r="O15" s="790"/>
      <c r="P15" s="51"/>
      <c r="Q15" s="12"/>
      <c r="R15" s="13"/>
      <c r="S15" s="13"/>
      <c r="T15" s="13"/>
      <c r="U15" s="13"/>
      <c r="V15" s="13"/>
      <c r="W15" s="13"/>
      <c r="X15" s="13"/>
      <c r="Y15" s="13"/>
      <c r="Z15" s="13"/>
      <c r="AA15" s="13"/>
      <c r="AB15" s="13"/>
      <c r="AC15" s="13"/>
      <c r="AD15" s="13"/>
      <c r="AE15" s="13"/>
      <c r="AF15" s="34"/>
    </row>
    <row r="16" spans="1:34" ht="15" customHeight="1" x14ac:dyDescent="0.2">
      <c r="A16" s="52"/>
      <c r="B16" s="53"/>
      <c r="C16" s="53"/>
      <c r="D16" s="54"/>
      <c r="E16" s="786"/>
      <c r="F16" s="786"/>
      <c r="G16" s="786"/>
      <c r="H16" s="786"/>
      <c r="I16" s="786"/>
      <c r="J16" s="786"/>
      <c r="K16" s="786"/>
      <c r="L16" s="786"/>
      <c r="M16" s="792"/>
      <c r="N16" s="788"/>
      <c r="O16" s="790"/>
      <c r="P16" s="51"/>
      <c r="Q16" s="12"/>
      <c r="R16" s="13"/>
      <c r="S16" s="13"/>
      <c r="T16" s="13"/>
      <c r="U16" s="13"/>
      <c r="V16" s="13"/>
      <c r="W16" s="13"/>
      <c r="X16" s="13"/>
      <c r="Y16" s="13"/>
      <c r="Z16" s="13"/>
      <c r="AA16" s="13"/>
      <c r="AB16" s="13"/>
      <c r="AC16" s="13"/>
      <c r="AD16" s="13"/>
      <c r="AE16" s="13"/>
      <c r="AF16" s="34"/>
    </row>
    <row r="17" spans="1:32" ht="15" customHeight="1" x14ac:dyDescent="0.2">
      <c r="A17" s="52"/>
      <c r="B17" s="53"/>
      <c r="C17" s="53"/>
      <c r="D17" s="54"/>
      <c r="E17" s="786"/>
      <c r="F17" s="786"/>
      <c r="G17" s="786"/>
      <c r="H17" s="786"/>
      <c r="I17" s="786"/>
      <c r="J17" s="786"/>
      <c r="K17" s="786"/>
      <c r="L17" s="786"/>
      <c r="M17" s="792"/>
      <c r="N17" s="788"/>
      <c r="O17" s="790"/>
      <c r="P17" s="51"/>
      <c r="Q17" s="12"/>
      <c r="R17" s="13"/>
      <c r="S17" s="13"/>
      <c r="T17" s="13"/>
      <c r="U17" s="13"/>
      <c r="V17" s="13"/>
      <c r="W17" s="13"/>
      <c r="X17" s="13"/>
      <c r="Y17" s="13"/>
      <c r="Z17" s="13"/>
      <c r="AA17" s="13"/>
      <c r="AB17" s="13"/>
      <c r="AC17" s="13"/>
      <c r="AD17" s="13"/>
      <c r="AE17" s="13"/>
      <c r="AF17" s="34"/>
    </row>
    <row r="18" spans="1:32" ht="15" customHeight="1" x14ac:dyDescent="0.2">
      <c r="A18" s="52"/>
      <c r="B18" s="53"/>
      <c r="C18" s="53"/>
      <c r="D18" s="54"/>
      <c r="E18" s="786"/>
      <c r="F18" s="786"/>
      <c r="G18" s="786"/>
      <c r="H18" s="786"/>
      <c r="I18" s="786"/>
      <c r="J18" s="786"/>
      <c r="K18" s="786"/>
      <c r="L18" s="786"/>
      <c r="M18" s="792"/>
      <c r="N18" s="788"/>
      <c r="O18" s="790"/>
      <c r="P18" s="51"/>
      <c r="Q18" s="12"/>
      <c r="R18" s="13"/>
      <c r="S18" s="13"/>
      <c r="T18" s="13"/>
      <c r="U18" s="13"/>
      <c r="V18" s="13"/>
      <c r="W18" s="13"/>
      <c r="X18" s="13"/>
      <c r="Y18" s="13"/>
      <c r="Z18" s="13"/>
      <c r="AA18" s="13"/>
      <c r="AB18" s="13"/>
      <c r="AC18" s="13"/>
      <c r="AD18" s="13"/>
      <c r="AE18" s="13"/>
      <c r="AF18" s="34"/>
    </row>
    <row r="19" spans="1:32" ht="15" customHeight="1" x14ac:dyDescent="0.2">
      <c r="A19" s="55" t="s">
        <v>301</v>
      </c>
      <c r="B19" s="56"/>
      <c r="C19" s="56"/>
      <c r="D19" s="57"/>
      <c r="E19" s="786"/>
      <c r="F19" s="786"/>
      <c r="G19" s="786"/>
      <c r="H19" s="786"/>
      <c r="I19" s="786"/>
      <c r="J19" s="786"/>
      <c r="K19" s="786"/>
      <c r="L19" s="793"/>
      <c r="M19" s="792"/>
      <c r="N19" s="788"/>
      <c r="O19" s="790"/>
      <c r="P19" s="51"/>
      <c r="Q19" s="12"/>
      <c r="R19" s="13"/>
      <c r="S19" s="13"/>
      <c r="T19" s="13"/>
      <c r="U19" s="13"/>
      <c r="V19" s="13"/>
      <c r="W19" s="13"/>
      <c r="X19" s="13"/>
      <c r="Y19" s="13"/>
      <c r="Z19" s="13"/>
      <c r="AA19" s="13"/>
      <c r="AB19" s="13"/>
      <c r="AC19" s="13"/>
      <c r="AD19" s="13"/>
      <c r="AE19" s="13"/>
      <c r="AF19" s="34"/>
    </row>
    <row r="20" spans="1:32" ht="15" customHeight="1" x14ac:dyDescent="0.2">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2">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2">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2">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2">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2">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2">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2">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5">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2">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2">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2">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O13:O19"/>
    <mergeCell ref="M13:M19"/>
    <mergeCell ref="H13:H19"/>
    <mergeCell ref="I13:I19"/>
    <mergeCell ref="L13:L19"/>
    <mergeCell ref="K13:K19"/>
    <mergeCell ref="J13:J19"/>
    <mergeCell ref="G13:G19"/>
    <mergeCell ref="C11:F11"/>
    <mergeCell ref="E13:E19"/>
    <mergeCell ref="F13:F19"/>
    <mergeCell ref="N13:N19"/>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H45"/>
  <sheetViews>
    <sheetView showGridLines="0" topLeftCell="A25" zoomScale="70" workbookViewId="0">
      <selection sqref="A1:E5"/>
    </sheetView>
  </sheetViews>
  <sheetFormatPr defaultColWidth="4.21875" defaultRowHeight="15" customHeight="1" x14ac:dyDescent="0.2"/>
  <cols>
    <col min="1" max="1" width="9" style="9" customWidth="1"/>
    <col min="2" max="12" width="4.21875" style="9"/>
    <col min="13" max="14" width="4.21875" style="9" customWidth="1"/>
    <col min="15" max="16384" width="4.21875" style="9"/>
  </cols>
  <sheetData>
    <row r="1" spans="1:34" s="259" customFormat="1" ht="12.75" customHeight="1" x14ac:dyDescent="0.2">
      <c r="A1" s="753" t="s">
        <v>478</v>
      </c>
      <c r="B1" s="754"/>
      <c r="C1" s="754"/>
      <c r="D1" s="754"/>
      <c r="E1" s="755"/>
      <c r="F1" s="794" t="s">
        <v>472</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4" s="259" customFormat="1" ht="12.75" customHeight="1" x14ac:dyDescent="0.2">
      <c r="A2" s="756"/>
      <c r="B2" s="757"/>
      <c r="C2" s="757"/>
      <c r="D2" s="757"/>
      <c r="E2" s="758"/>
      <c r="F2" s="756"/>
      <c r="G2" s="757"/>
      <c r="H2" s="757"/>
      <c r="I2" s="757"/>
      <c r="J2" s="757"/>
      <c r="K2" s="757"/>
      <c r="L2" s="757"/>
      <c r="M2" s="757"/>
      <c r="N2" s="758"/>
      <c r="O2" s="749" t="s">
        <v>473</v>
      </c>
      <c r="P2" s="749"/>
      <c r="Q2" s="749"/>
      <c r="R2" s="749" t="s">
        <v>473</v>
      </c>
      <c r="S2" s="749"/>
      <c r="T2" s="749"/>
      <c r="U2" s="749" t="s">
        <v>473</v>
      </c>
      <c r="V2" s="749"/>
      <c r="W2" s="749"/>
      <c r="X2" s="763" t="s">
        <v>308</v>
      </c>
      <c r="Y2" s="763"/>
      <c r="Z2" s="763"/>
      <c r="AA2" s="749" t="s">
        <v>306</v>
      </c>
      <c r="AB2" s="749"/>
      <c r="AC2" s="749"/>
      <c r="AD2" s="749" t="s">
        <v>237</v>
      </c>
      <c r="AE2" s="749"/>
      <c r="AF2" s="749"/>
    </row>
    <row r="3" spans="1:34" s="259" customFormat="1" ht="12.75" customHeight="1" x14ac:dyDescent="0.2">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238</v>
      </c>
      <c r="AB3" s="749"/>
      <c r="AC3" s="749"/>
      <c r="AD3" s="749" t="s">
        <v>238</v>
      </c>
      <c r="AE3" s="749"/>
      <c r="AF3" s="749"/>
    </row>
    <row r="4" spans="1:34" s="259" customFormat="1" ht="12.75" customHeight="1" x14ac:dyDescent="0.2">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4" s="259" customFormat="1" ht="12.75" customHeight="1" x14ac:dyDescent="0.2">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4" s="259" customFormat="1" ht="15" customHeight="1" x14ac:dyDescent="0.2">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4" s="259" customFormat="1" ht="15" customHeight="1" x14ac:dyDescent="0.2">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4"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479</v>
      </c>
      <c r="V8" s="261"/>
      <c r="W8" s="779"/>
      <c r="X8" s="780"/>
      <c r="Y8" s="781"/>
      <c r="Z8" s="782" t="s">
        <v>468</v>
      </c>
      <c r="AA8" s="783"/>
      <c r="AB8" s="784"/>
      <c r="AC8" s="780"/>
      <c r="AD8" s="781"/>
      <c r="AE8" s="782" t="s">
        <v>469</v>
      </c>
      <c r="AF8" s="783"/>
    </row>
    <row r="9" spans="1:34"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480</v>
      </c>
      <c r="V9" s="264"/>
      <c r="W9" s="773"/>
      <c r="X9" s="774"/>
      <c r="Y9" s="775"/>
      <c r="Z9" s="776" t="s">
        <v>471</v>
      </c>
      <c r="AA9" s="775"/>
      <c r="AB9" s="776"/>
      <c r="AC9" s="774"/>
      <c r="AD9" s="775"/>
      <c r="AE9" s="777"/>
      <c r="AF9" s="778"/>
    </row>
    <row r="11" spans="1:34" ht="15" customHeight="1" x14ac:dyDescent="0.2">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2">
      <c r="A13" s="48"/>
      <c r="B13" s="49"/>
      <c r="C13" s="49"/>
      <c r="D13" s="50" t="s">
        <v>297</v>
      </c>
      <c r="E13" s="785" t="s">
        <v>280</v>
      </c>
      <c r="F13" s="785" t="s">
        <v>282</v>
      </c>
      <c r="G13" s="785" t="s">
        <v>284</v>
      </c>
      <c r="H13" s="785" t="s">
        <v>285</v>
      </c>
      <c r="I13" s="785" t="s">
        <v>287</v>
      </c>
      <c r="J13" s="785" t="s">
        <v>298</v>
      </c>
      <c r="K13" s="785" t="s">
        <v>291</v>
      </c>
      <c r="L13" s="785" t="s">
        <v>293</v>
      </c>
      <c r="M13" s="791" t="s">
        <v>274</v>
      </c>
      <c r="N13" s="787" t="s">
        <v>299</v>
      </c>
      <c r="O13" s="789" t="s">
        <v>300</v>
      </c>
      <c r="P13" s="51"/>
      <c r="Q13" s="25"/>
      <c r="R13" s="15"/>
      <c r="S13" s="15"/>
      <c r="T13" s="15"/>
      <c r="U13" s="15"/>
      <c r="V13" s="15"/>
      <c r="W13" s="15"/>
      <c r="X13" s="15"/>
      <c r="Y13" s="15"/>
      <c r="Z13" s="15"/>
      <c r="AA13" s="15"/>
      <c r="AB13" s="15"/>
      <c r="AC13" s="15"/>
      <c r="AD13" s="15"/>
      <c r="AE13" s="15"/>
      <c r="AF13" s="26"/>
    </row>
    <row r="14" spans="1:34" ht="15" customHeight="1" x14ac:dyDescent="0.2">
      <c r="A14" s="52"/>
      <c r="B14" s="53"/>
      <c r="C14" s="53"/>
      <c r="D14" s="54"/>
      <c r="E14" s="786"/>
      <c r="F14" s="786"/>
      <c r="G14" s="786"/>
      <c r="H14" s="786"/>
      <c r="I14" s="786"/>
      <c r="J14" s="786"/>
      <c r="K14" s="786"/>
      <c r="L14" s="786"/>
      <c r="M14" s="792"/>
      <c r="N14" s="788"/>
      <c r="O14" s="790"/>
      <c r="P14" s="51"/>
      <c r="Q14" s="12"/>
      <c r="R14" s="13"/>
      <c r="S14" s="13"/>
      <c r="T14" s="13"/>
      <c r="U14" s="13"/>
      <c r="V14" s="13"/>
      <c r="W14" s="13"/>
      <c r="X14" s="13"/>
      <c r="Y14" s="13"/>
      <c r="Z14" s="13"/>
      <c r="AA14" s="13"/>
      <c r="AB14" s="13"/>
      <c r="AC14" s="13"/>
      <c r="AD14" s="13"/>
      <c r="AE14" s="13"/>
      <c r="AF14" s="34"/>
    </row>
    <row r="15" spans="1:34" ht="15" customHeight="1" x14ac:dyDescent="0.2">
      <c r="A15" s="52"/>
      <c r="B15" s="53"/>
      <c r="C15" s="53"/>
      <c r="D15" s="54"/>
      <c r="E15" s="786"/>
      <c r="F15" s="786"/>
      <c r="G15" s="786"/>
      <c r="H15" s="786"/>
      <c r="I15" s="786"/>
      <c r="J15" s="786"/>
      <c r="K15" s="786"/>
      <c r="L15" s="786"/>
      <c r="M15" s="792"/>
      <c r="N15" s="788"/>
      <c r="O15" s="790"/>
      <c r="P15" s="51"/>
      <c r="Q15" s="12"/>
      <c r="R15" s="13"/>
      <c r="S15" s="13"/>
      <c r="T15" s="13"/>
      <c r="U15" s="13"/>
      <c r="V15" s="13"/>
      <c r="W15" s="13"/>
      <c r="X15" s="13"/>
      <c r="Y15" s="13"/>
      <c r="Z15" s="13"/>
      <c r="AA15" s="13"/>
      <c r="AB15" s="13"/>
      <c r="AC15" s="13"/>
      <c r="AD15" s="13"/>
      <c r="AE15" s="13"/>
      <c r="AF15" s="34"/>
    </row>
    <row r="16" spans="1:34" ht="15" customHeight="1" x14ac:dyDescent="0.2">
      <c r="A16" s="52"/>
      <c r="B16" s="53"/>
      <c r="C16" s="53"/>
      <c r="D16" s="54"/>
      <c r="E16" s="786"/>
      <c r="F16" s="786"/>
      <c r="G16" s="786"/>
      <c r="H16" s="786"/>
      <c r="I16" s="786"/>
      <c r="J16" s="786"/>
      <c r="K16" s="786"/>
      <c r="L16" s="786"/>
      <c r="M16" s="792"/>
      <c r="N16" s="788"/>
      <c r="O16" s="790"/>
      <c r="P16" s="51"/>
      <c r="Q16" s="12"/>
      <c r="R16" s="13"/>
      <c r="S16" s="13"/>
      <c r="T16" s="13"/>
      <c r="U16" s="13"/>
      <c r="V16" s="13"/>
      <c r="W16" s="13"/>
      <c r="X16" s="13"/>
      <c r="Y16" s="13"/>
      <c r="Z16" s="13"/>
      <c r="AA16" s="13"/>
      <c r="AB16" s="13"/>
      <c r="AC16" s="13"/>
      <c r="AD16" s="13"/>
      <c r="AE16" s="13"/>
      <c r="AF16" s="34"/>
    </row>
    <row r="17" spans="1:32" ht="15" customHeight="1" x14ac:dyDescent="0.2">
      <c r="A17" s="52"/>
      <c r="B17" s="53"/>
      <c r="C17" s="53"/>
      <c r="D17" s="54"/>
      <c r="E17" s="786"/>
      <c r="F17" s="786"/>
      <c r="G17" s="786"/>
      <c r="H17" s="786"/>
      <c r="I17" s="786"/>
      <c r="J17" s="786"/>
      <c r="K17" s="786"/>
      <c r="L17" s="786"/>
      <c r="M17" s="792"/>
      <c r="N17" s="788"/>
      <c r="O17" s="790"/>
      <c r="P17" s="51"/>
      <c r="Q17" s="12"/>
      <c r="R17" s="13"/>
      <c r="S17" s="13"/>
      <c r="T17" s="13"/>
      <c r="U17" s="13"/>
      <c r="V17" s="13"/>
      <c r="W17" s="13"/>
      <c r="X17" s="13"/>
      <c r="Y17" s="13"/>
      <c r="Z17" s="13"/>
      <c r="AA17" s="13"/>
      <c r="AB17" s="13"/>
      <c r="AC17" s="13"/>
      <c r="AD17" s="13"/>
      <c r="AE17" s="13"/>
      <c r="AF17" s="34"/>
    </row>
    <row r="18" spans="1:32" ht="15" customHeight="1" x14ac:dyDescent="0.2">
      <c r="A18" s="52"/>
      <c r="B18" s="53"/>
      <c r="C18" s="53"/>
      <c r="D18" s="54"/>
      <c r="E18" s="786"/>
      <c r="F18" s="786"/>
      <c r="G18" s="786"/>
      <c r="H18" s="786"/>
      <c r="I18" s="786"/>
      <c r="J18" s="786"/>
      <c r="K18" s="786"/>
      <c r="L18" s="786"/>
      <c r="M18" s="792"/>
      <c r="N18" s="788"/>
      <c r="O18" s="790"/>
      <c r="P18" s="51"/>
      <c r="Q18" s="12"/>
      <c r="R18" s="13"/>
      <c r="S18" s="13"/>
      <c r="T18" s="13"/>
      <c r="U18" s="13"/>
      <c r="V18" s="13"/>
      <c r="W18" s="13"/>
      <c r="X18" s="13"/>
      <c r="Y18" s="13"/>
      <c r="Z18" s="13"/>
      <c r="AA18" s="13"/>
      <c r="AB18" s="13"/>
      <c r="AC18" s="13"/>
      <c r="AD18" s="13"/>
      <c r="AE18" s="13"/>
      <c r="AF18" s="34"/>
    </row>
    <row r="19" spans="1:32" ht="15" customHeight="1" x14ac:dyDescent="0.2">
      <c r="A19" s="55" t="s">
        <v>233</v>
      </c>
      <c r="B19" s="56"/>
      <c r="C19" s="56"/>
      <c r="D19" s="57"/>
      <c r="E19" s="786"/>
      <c r="F19" s="786"/>
      <c r="G19" s="786"/>
      <c r="H19" s="786"/>
      <c r="I19" s="786"/>
      <c r="J19" s="786"/>
      <c r="K19" s="786"/>
      <c r="L19" s="793"/>
      <c r="M19" s="792"/>
      <c r="N19" s="788"/>
      <c r="O19" s="790"/>
      <c r="P19" s="51"/>
      <c r="Q19" s="12"/>
      <c r="R19" s="13"/>
      <c r="S19" s="13"/>
      <c r="T19" s="13"/>
      <c r="U19" s="13"/>
      <c r="V19" s="13"/>
      <c r="W19" s="13"/>
      <c r="X19" s="13"/>
      <c r="Y19" s="13"/>
      <c r="Z19" s="13"/>
      <c r="AA19" s="13"/>
      <c r="AB19" s="13"/>
      <c r="AC19" s="13"/>
      <c r="AD19" s="13"/>
      <c r="AE19" s="13"/>
      <c r="AF19" s="34"/>
    </row>
    <row r="20" spans="1:32" ht="15" customHeight="1" x14ac:dyDescent="0.2">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2">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2">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2">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2">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2">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2">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5">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2">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2">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2">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2">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X3:Z7"/>
    <mergeCell ref="AA3:AC3"/>
    <mergeCell ref="AB8:AD8"/>
    <mergeCell ref="AD3:AF3"/>
    <mergeCell ref="AA4:AC7"/>
    <mergeCell ref="AD4:AF7"/>
    <mergeCell ref="AE8:AF8"/>
    <mergeCell ref="X1:AF1"/>
    <mergeCell ref="AA2:AC2"/>
    <mergeCell ref="AD2:AF2"/>
    <mergeCell ref="O2:Q2"/>
    <mergeCell ref="R2:T2"/>
    <mergeCell ref="U2:W2"/>
    <mergeCell ref="X2:Z2"/>
    <mergeCell ref="R1:T1"/>
    <mergeCell ref="U1:W1"/>
    <mergeCell ref="U3:W7"/>
    <mergeCell ref="A1:E5"/>
    <mergeCell ref="F1:N5"/>
    <mergeCell ref="O1:Q1"/>
    <mergeCell ref="R3:T7"/>
    <mergeCell ref="A6:G6"/>
    <mergeCell ref="H6:N6"/>
    <mergeCell ref="A7:G7"/>
    <mergeCell ref="H7:N7"/>
    <mergeCell ref="L13:L19"/>
    <mergeCell ref="C11:F11"/>
    <mergeCell ref="F13:F19"/>
    <mergeCell ref="O3:Q7"/>
    <mergeCell ref="G13:G19"/>
    <mergeCell ref="H13:H19"/>
    <mergeCell ref="M13:M19"/>
    <mergeCell ref="N13:N19"/>
    <mergeCell ref="E13:E19"/>
    <mergeCell ref="O13:O19"/>
    <mergeCell ref="I13:I19"/>
    <mergeCell ref="J13:J19"/>
    <mergeCell ref="K13:K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H51"/>
  <sheetViews>
    <sheetView showGridLines="0" topLeftCell="A28" zoomScale="75" workbookViewId="0">
      <selection sqref="A1:E5"/>
    </sheetView>
  </sheetViews>
  <sheetFormatPr defaultColWidth="4.21875" defaultRowHeight="15" customHeight="1" x14ac:dyDescent="0.2"/>
  <cols>
    <col min="1" max="1" width="9" style="9" customWidth="1"/>
    <col min="2" max="16384" width="4.21875" style="9"/>
  </cols>
  <sheetData>
    <row r="1" spans="1:34" s="259" customFormat="1" ht="12.75" customHeight="1" x14ac:dyDescent="0.2">
      <c r="A1" s="753" t="s">
        <v>477</v>
      </c>
      <c r="B1" s="754"/>
      <c r="C1" s="754"/>
      <c r="D1" s="754"/>
      <c r="E1" s="755"/>
      <c r="F1" s="794" t="s">
        <v>474</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4" s="259" customFormat="1" ht="12.75" customHeight="1" x14ac:dyDescent="0.2">
      <c r="A2" s="756"/>
      <c r="B2" s="757"/>
      <c r="C2" s="757"/>
      <c r="D2" s="757"/>
      <c r="E2" s="758"/>
      <c r="F2" s="756"/>
      <c r="G2" s="757"/>
      <c r="H2" s="757"/>
      <c r="I2" s="757"/>
      <c r="J2" s="757"/>
      <c r="K2" s="757"/>
      <c r="L2" s="757"/>
      <c r="M2" s="757"/>
      <c r="N2" s="758"/>
      <c r="O2" s="749" t="s">
        <v>473</v>
      </c>
      <c r="P2" s="749"/>
      <c r="Q2" s="749"/>
      <c r="R2" s="749" t="s">
        <v>473</v>
      </c>
      <c r="S2" s="749"/>
      <c r="T2" s="749"/>
      <c r="U2" s="749" t="s">
        <v>473</v>
      </c>
      <c r="V2" s="749"/>
      <c r="W2" s="749"/>
      <c r="X2" s="763" t="s">
        <v>308</v>
      </c>
      <c r="Y2" s="763"/>
      <c r="Z2" s="763"/>
      <c r="AA2" s="749" t="s">
        <v>306</v>
      </c>
      <c r="AB2" s="749"/>
      <c r="AC2" s="749"/>
      <c r="AD2" s="749" t="s">
        <v>237</v>
      </c>
      <c r="AE2" s="749"/>
      <c r="AF2" s="749"/>
    </row>
    <row r="3" spans="1:34" s="259" customFormat="1" ht="12.75" customHeight="1" x14ac:dyDescent="0.2">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238</v>
      </c>
      <c r="AB3" s="749"/>
      <c r="AC3" s="749"/>
      <c r="AD3" s="749" t="s">
        <v>238</v>
      </c>
      <c r="AE3" s="749"/>
      <c r="AF3" s="749"/>
    </row>
    <row r="4" spans="1:34" s="259" customFormat="1" ht="12.75" customHeight="1" x14ac:dyDescent="0.2">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4" s="259" customFormat="1" ht="12.75" customHeight="1" x14ac:dyDescent="0.2">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4" s="259" customFormat="1" ht="15" customHeight="1" x14ac:dyDescent="0.2">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4" s="259" customFormat="1" ht="15" customHeight="1" x14ac:dyDescent="0.2">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4"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475</v>
      </c>
      <c r="V8" s="261"/>
      <c r="W8" s="779"/>
      <c r="X8" s="780"/>
      <c r="Y8" s="781"/>
      <c r="Z8" s="782" t="s">
        <v>468</v>
      </c>
      <c r="AA8" s="783"/>
      <c r="AB8" s="784"/>
      <c r="AC8" s="780"/>
      <c r="AD8" s="781"/>
      <c r="AE8" s="782" t="s">
        <v>469</v>
      </c>
      <c r="AF8" s="783"/>
    </row>
    <row r="9" spans="1:34"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476</v>
      </c>
      <c r="V9" s="264"/>
      <c r="W9" s="773"/>
      <c r="X9" s="774"/>
      <c r="Y9" s="775"/>
      <c r="Z9" s="776" t="s">
        <v>471</v>
      </c>
      <c r="AA9" s="775"/>
      <c r="AB9" s="776"/>
      <c r="AC9" s="774"/>
      <c r="AD9" s="775"/>
      <c r="AE9" s="777"/>
      <c r="AF9" s="778"/>
    </row>
    <row r="11" spans="1:34" ht="15" customHeight="1" x14ac:dyDescent="0.2">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2">
      <c r="A13" s="95"/>
      <c r="B13" s="96"/>
      <c r="C13" s="96"/>
      <c r="D13" s="97" t="s">
        <v>233</v>
      </c>
      <c r="E13" s="785" t="s">
        <v>281</v>
      </c>
      <c r="F13" s="785" t="s">
        <v>283</v>
      </c>
      <c r="G13" s="785" t="s">
        <v>253</v>
      </c>
      <c r="H13" s="785" t="s">
        <v>304</v>
      </c>
      <c r="I13" s="785" t="s">
        <v>288</v>
      </c>
      <c r="J13" s="785" t="s">
        <v>303</v>
      </c>
      <c r="K13" s="785" t="s">
        <v>292</v>
      </c>
      <c r="L13" s="799" t="s">
        <v>274</v>
      </c>
      <c r="M13" s="795" t="s">
        <v>299</v>
      </c>
      <c r="N13" s="797" t="s">
        <v>300</v>
      </c>
      <c r="O13" s="98"/>
      <c r="P13" s="99"/>
      <c r="Q13" s="25"/>
      <c r="R13" s="15"/>
      <c r="S13" s="15"/>
      <c r="T13" s="15"/>
      <c r="U13" s="15"/>
      <c r="V13" s="15"/>
      <c r="W13" s="15"/>
      <c r="X13" s="15"/>
      <c r="Y13" s="15"/>
      <c r="Z13" s="15"/>
      <c r="AA13" s="15"/>
      <c r="AB13" s="15"/>
      <c r="AC13" s="15"/>
      <c r="AD13" s="15"/>
      <c r="AE13" s="15"/>
      <c r="AF13" s="26"/>
    </row>
    <row r="14" spans="1:34" ht="15" customHeight="1" x14ac:dyDescent="0.2">
      <c r="A14" s="100"/>
      <c r="B14" s="101"/>
      <c r="C14" s="101"/>
      <c r="D14" s="102"/>
      <c r="E14" s="786"/>
      <c r="F14" s="786"/>
      <c r="G14" s="786"/>
      <c r="H14" s="786"/>
      <c r="I14" s="786"/>
      <c r="J14" s="786"/>
      <c r="K14" s="786"/>
      <c r="L14" s="800"/>
      <c r="M14" s="796"/>
      <c r="N14" s="798"/>
      <c r="O14" s="98"/>
      <c r="P14" s="99"/>
      <c r="Q14" s="12"/>
      <c r="R14" s="13"/>
      <c r="S14" s="13"/>
      <c r="T14" s="13"/>
      <c r="U14" s="13"/>
      <c r="V14" s="13"/>
      <c r="W14" s="13"/>
      <c r="X14" s="13"/>
      <c r="Y14" s="13"/>
      <c r="Z14" s="13"/>
      <c r="AA14" s="13"/>
      <c r="AB14" s="13"/>
      <c r="AC14" s="13"/>
      <c r="AD14" s="13"/>
      <c r="AE14" s="13"/>
      <c r="AF14" s="34"/>
    </row>
    <row r="15" spans="1:34" ht="15" customHeight="1" x14ac:dyDescent="0.2">
      <c r="A15" s="100"/>
      <c r="B15" s="101"/>
      <c r="C15" s="101"/>
      <c r="D15" s="102"/>
      <c r="E15" s="786"/>
      <c r="F15" s="786"/>
      <c r="G15" s="786"/>
      <c r="H15" s="786"/>
      <c r="I15" s="786"/>
      <c r="J15" s="786"/>
      <c r="K15" s="786"/>
      <c r="L15" s="800"/>
      <c r="M15" s="796"/>
      <c r="N15" s="798"/>
      <c r="O15" s="98"/>
      <c r="P15" s="99"/>
      <c r="Q15" s="12"/>
      <c r="R15" s="13"/>
      <c r="S15" s="13"/>
      <c r="T15" s="13"/>
      <c r="U15" s="13"/>
      <c r="V15" s="13"/>
      <c r="W15" s="13"/>
      <c r="X15" s="13"/>
      <c r="Y15" s="13"/>
      <c r="Z15" s="13"/>
      <c r="AA15" s="13"/>
      <c r="AB15" s="13"/>
      <c r="AC15" s="13"/>
      <c r="AD15" s="13"/>
      <c r="AE15" s="13"/>
      <c r="AF15" s="34"/>
    </row>
    <row r="16" spans="1:34" ht="15" customHeight="1" x14ac:dyDescent="0.2">
      <c r="A16" s="100"/>
      <c r="B16" s="101"/>
      <c r="C16" s="101"/>
      <c r="D16" s="102"/>
      <c r="E16" s="786"/>
      <c r="F16" s="786"/>
      <c r="G16" s="786"/>
      <c r="H16" s="786"/>
      <c r="I16" s="786"/>
      <c r="J16" s="786"/>
      <c r="K16" s="786"/>
      <c r="L16" s="800"/>
      <c r="M16" s="796"/>
      <c r="N16" s="798"/>
      <c r="O16" s="98"/>
      <c r="P16" s="99"/>
      <c r="Q16" s="12"/>
      <c r="R16" s="13"/>
      <c r="S16" s="13"/>
      <c r="T16" s="13"/>
      <c r="U16" s="13"/>
      <c r="V16" s="13"/>
      <c r="W16" s="13"/>
      <c r="X16" s="13"/>
      <c r="Y16" s="13"/>
      <c r="Z16" s="13"/>
      <c r="AA16" s="13"/>
      <c r="AB16" s="13"/>
      <c r="AC16" s="13"/>
      <c r="AD16" s="13"/>
      <c r="AE16" s="13"/>
      <c r="AF16" s="34"/>
    </row>
    <row r="17" spans="1:32" ht="15" customHeight="1" x14ac:dyDescent="0.2">
      <c r="A17" s="100"/>
      <c r="B17" s="101"/>
      <c r="C17" s="101"/>
      <c r="D17" s="102"/>
      <c r="E17" s="786"/>
      <c r="F17" s="786"/>
      <c r="G17" s="786"/>
      <c r="H17" s="786"/>
      <c r="I17" s="786"/>
      <c r="J17" s="786"/>
      <c r="K17" s="786"/>
      <c r="L17" s="800"/>
      <c r="M17" s="796"/>
      <c r="N17" s="798"/>
      <c r="O17" s="98"/>
      <c r="P17" s="99"/>
      <c r="Q17" s="12"/>
      <c r="R17" s="13"/>
      <c r="S17" s="13"/>
      <c r="T17" s="13"/>
      <c r="U17" s="13"/>
      <c r="V17" s="13"/>
      <c r="W17" s="13"/>
      <c r="X17" s="13"/>
      <c r="Y17" s="13"/>
      <c r="Z17" s="13"/>
      <c r="AA17" s="13"/>
      <c r="AB17" s="13"/>
      <c r="AC17" s="13"/>
      <c r="AD17" s="13"/>
      <c r="AE17" s="13"/>
      <c r="AF17" s="34"/>
    </row>
    <row r="18" spans="1:32" ht="15" customHeight="1" x14ac:dyDescent="0.2">
      <c r="A18" s="100"/>
      <c r="B18" s="101"/>
      <c r="C18" s="101"/>
      <c r="D18" s="102"/>
      <c r="E18" s="786"/>
      <c r="F18" s="786"/>
      <c r="G18" s="786"/>
      <c r="H18" s="786"/>
      <c r="I18" s="786"/>
      <c r="J18" s="786"/>
      <c r="K18" s="786"/>
      <c r="L18" s="800"/>
      <c r="M18" s="796"/>
      <c r="N18" s="798"/>
      <c r="O18" s="98"/>
      <c r="P18" s="99"/>
      <c r="Q18" s="12"/>
      <c r="R18" s="13"/>
      <c r="S18" s="13"/>
      <c r="T18" s="13"/>
      <c r="U18" s="13"/>
      <c r="V18" s="13"/>
      <c r="W18" s="13"/>
      <c r="X18" s="13"/>
      <c r="Y18" s="13"/>
      <c r="Z18" s="13"/>
      <c r="AA18" s="13"/>
      <c r="AB18" s="13"/>
      <c r="AC18" s="13"/>
      <c r="AD18" s="13"/>
      <c r="AE18" s="13"/>
      <c r="AF18" s="34"/>
    </row>
    <row r="19" spans="1:32" ht="15" customHeight="1" x14ac:dyDescent="0.2">
      <c r="A19" s="103" t="s">
        <v>301</v>
      </c>
      <c r="B19" s="104"/>
      <c r="C19" s="104"/>
      <c r="D19" s="105"/>
      <c r="E19" s="793"/>
      <c r="F19" s="793"/>
      <c r="G19" s="793"/>
      <c r="H19" s="793"/>
      <c r="I19" s="793"/>
      <c r="J19" s="793"/>
      <c r="K19" s="793"/>
      <c r="L19" s="801"/>
      <c r="M19" s="796"/>
      <c r="N19" s="798"/>
      <c r="O19" s="98"/>
      <c r="P19" s="99"/>
      <c r="Q19" s="12"/>
      <c r="R19" s="13"/>
      <c r="S19" s="13"/>
      <c r="T19" s="13"/>
      <c r="U19" s="13"/>
      <c r="V19" s="13"/>
      <c r="W19" s="13"/>
      <c r="X19" s="13"/>
      <c r="Y19" s="13"/>
      <c r="Z19" s="13"/>
      <c r="AA19" s="13"/>
      <c r="AB19" s="13"/>
      <c r="AC19" s="13"/>
      <c r="AD19" s="13"/>
      <c r="AE19" s="13"/>
      <c r="AF19" s="34"/>
    </row>
    <row r="20" spans="1:32" ht="15" customHeight="1" x14ac:dyDescent="0.2">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2">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2">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2">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2">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2">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2">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2">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5">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2">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2">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2">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2">
      <c r="O50" s="13"/>
    </row>
    <row r="51" spans="15:15" ht="15" customHeight="1" x14ac:dyDescent="0.2">
      <c r="O51" s="13"/>
    </row>
  </sheetData>
  <mergeCells count="47">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N13:N19"/>
    <mergeCell ref="L13:L19"/>
    <mergeCell ref="H13:H19"/>
    <mergeCell ref="I13:I19"/>
    <mergeCell ref="J13:J19"/>
    <mergeCell ref="K13:K19"/>
    <mergeCell ref="G13:G19"/>
    <mergeCell ref="C11:F11"/>
    <mergeCell ref="E13:E19"/>
    <mergeCell ref="F13:F19"/>
    <mergeCell ref="M13:M19"/>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0.8" x14ac:dyDescent="0.2"/>
  <cols>
    <col min="1" max="1" width="3.88671875" style="140" hidden="1" customWidth="1"/>
    <col min="2" max="2" width="2.109375" style="140" customWidth="1"/>
    <col min="3" max="3" width="2.21875" style="140" customWidth="1"/>
    <col min="4" max="10" width="4.109375" style="140" customWidth="1"/>
    <col min="11" max="11" width="3.77734375" style="140" customWidth="1"/>
    <col min="12" max="18" width="4.109375" style="140" customWidth="1"/>
    <col min="19" max="19" width="3.77734375" style="140" customWidth="1"/>
    <col min="20" max="25" width="4.109375" style="140" customWidth="1"/>
    <col min="26" max="26" width="4.88671875" style="140" customWidth="1"/>
    <col min="27" max="27" width="3.44140625" style="140" customWidth="1"/>
    <col min="28" max="29" width="5.109375" style="140" customWidth="1"/>
    <col min="30" max="33" width="4.109375" style="140" customWidth="1"/>
    <col min="34" max="34" width="4.21875" style="140" customWidth="1"/>
    <col min="35" max="16384" width="8" style="140"/>
  </cols>
  <sheetData>
    <row r="1" spans="1:34" ht="13.2" x14ac:dyDescent="0.2">
      <c r="B1" s="805" t="s">
        <v>642</v>
      </c>
      <c r="C1" s="805"/>
      <c r="D1" s="805"/>
      <c r="E1" s="805"/>
      <c r="F1" s="805"/>
      <c r="G1" s="805"/>
      <c r="H1" s="806" t="s">
        <v>309</v>
      </c>
      <c r="I1" s="807"/>
      <c r="J1" s="807"/>
      <c r="K1" s="807"/>
      <c r="L1" s="807"/>
      <c r="M1" s="807"/>
      <c r="N1" s="807"/>
      <c r="O1" s="808"/>
      <c r="P1" s="802" t="s">
        <v>305</v>
      </c>
      <c r="Q1" s="802"/>
      <c r="R1" s="802"/>
      <c r="S1" s="802" t="s">
        <v>306</v>
      </c>
      <c r="T1" s="802"/>
      <c r="U1" s="802"/>
      <c r="V1" s="802" t="s">
        <v>237</v>
      </c>
      <c r="W1" s="802"/>
      <c r="X1" s="802"/>
      <c r="Y1" s="802" t="s">
        <v>307</v>
      </c>
      <c r="Z1" s="802"/>
      <c r="AA1" s="802"/>
      <c r="AB1" s="802"/>
      <c r="AC1" s="802"/>
      <c r="AD1" s="802"/>
      <c r="AE1" s="802"/>
      <c r="AF1" s="802"/>
      <c r="AG1" s="802"/>
      <c r="AH1" s="802"/>
    </row>
    <row r="2" spans="1:34" ht="13.2" x14ac:dyDescent="0.2">
      <c r="B2" s="805"/>
      <c r="C2" s="805"/>
      <c r="D2" s="805"/>
      <c r="E2" s="805"/>
      <c r="F2" s="805"/>
      <c r="G2" s="805"/>
      <c r="H2" s="809"/>
      <c r="I2" s="810"/>
      <c r="J2" s="810"/>
      <c r="K2" s="810"/>
      <c r="L2" s="810"/>
      <c r="M2" s="810"/>
      <c r="N2" s="810"/>
      <c r="O2" s="811"/>
      <c r="P2" s="803" t="s">
        <v>494</v>
      </c>
      <c r="Q2" s="802"/>
      <c r="R2" s="802"/>
      <c r="S2" s="803" t="s">
        <v>494</v>
      </c>
      <c r="T2" s="802"/>
      <c r="U2" s="802"/>
      <c r="V2" s="803" t="s">
        <v>494</v>
      </c>
      <c r="W2" s="802"/>
      <c r="X2" s="802"/>
      <c r="Y2" s="802" t="s">
        <v>308</v>
      </c>
      <c r="Z2" s="802"/>
      <c r="AA2" s="802"/>
      <c r="AB2" s="802"/>
      <c r="AC2" s="802" t="s">
        <v>306</v>
      </c>
      <c r="AD2" s="802"/>
      <c r="AE2" s="802"/>
      <c r="AF2" s="802" t="s">
        <v>237</v>
      </c>
      <c r="AG2" s="802"/>
      <c r="AH2" s="802"/>
    </row>
    <row r="3" spans="1:34" ht="13.2" x14ac:dyDescent="0.2">
      <c r="B3" s="805"/>
      <c r="C3" s="805"/>
      <c r="D3" s="805"/>
      <c r="E3" s="805"/>
      <c r="F3" s="805"/>
      <c r="G3" s="805"/>
      <c r="H3" s="809"/>
      <c r="I3" s="810"/>
      <c r="J3" s="810"/>
      <c r="K3" s="810"/>
      <c r="L3" s="810"/>
      <c r="M3" s="810"/>
      <c r="N3" s="810"/>
      <c r="O3" s="811"/>
      <c r="P3" s="804"/>
      <c r="Q3" s="804"/>
      <c r="R3" s="804"/>
      <c r="S3" s="804"/>
      <c r="T3" s="804"/>
      <c r="U3" s="804"/>
      <c r="V3" s="804"/>
      <c r="W3" s="804"/>
      <c r="X3" s="804"/>
      <c r="Y3" s="802"/>
      <c r="Z3" s="802"/>
      <c r="AA3" s="802"/>
      <c r="AB3" s="802"/>
      <c r="AC3" s="803" t="s">
        <v>495</v>
      </c>
      <c r="AD3" s="802"/>
      <c r="AE3" s="802"/>
      <c r="AF3" s="803" t="s">
        <v>495</v>
      </c>
      <c r="AG3" s="802"/>
      <c r="AH3" s="802"/>
    </row>
    <row r="4" spans="1:34" x14ac:dyDescent="0.2">
      <c r="B4" s="805"/>
      <c r="C4" s="805"/>
      <c r="D4" s="805"/>
      <c r="E4" s="805"/>
      <c r="F4" s="805"/>
      <c r="G4" s="805"/>
      <c r="H4" s="809"/>
      <c r="I4" s="810"/>
      <c r="J4" s="810"/>
      <c r="K4" s="810"/>
      <c r="L4" s="810"/>
      <c r="M4" s="810"/>
      <c r="N4" s="810"/>
      <c r="O4" s="811"/>
      <c r="P4" s="804"/>
      <c r="Q4" s="804"/>
      <c r="R4" s="804"/>
      <c r="S4" s="804"/>
      <c r="T4" s="804"/>
      <c r="U4" s="804"/>
      <c r="V4" s="804"/>
      <c r="W4" s="804"/>
      <c r="X4" s="804"/>
      <c r="Y4" s="802"/>
      <c r="Z4" s="802"/>
      <c r="AA4" s="802"/>
      <c r="AB4" s="802"/>
      <c r="AC4" s="802"/>
      <c r="AD4" s="802"/>
      <c r="AE4" s="802"/>
      <c r="AF4" s="802"/>
      <c r="AG4" s="802"/>
      <c r="AH4" s="802"/>
    </row>
    <row r="5" spans="1:34" x14ac:dyDescent="0.2">
      <c r="B5" s="805"/>
      <c r="C5" s="805"/>
      <c r="D5" s="805"/>
      <c r="E5" s="805"/>
      <c r="F5" s="805"/>
      <c r="G5" s="805"/>
      <c r="H5" s="812"/>
      <c r="I5" s="813"/>
      <c r="J5" s="813"/>
      <c r="K5" s="813"/>
      <c r="L5" s="813"/>
      <c r="M5" s="813"/>
      <c r="N5" s="813"/>
      <c r="O5" s="814"/>
      <c r="P5" s="804"/>
      <c r="Q5" s="804"/>
      <c r="R5" s="804"/>
      <c r="S5" s="804"/>
      <c r="T5" s="804"/>
      <c r="U5" s="804"/>
      <c r="V5" s="804"/>
      <c r="W5" s="804"/>
      <c r="X5" s="804"/>
      <c r="Y5" s="802"/>
      <c r="Z5" s="802"/>
      <c r="AA5" s="802"/>
      <c r="AB5" s="802"/>
      <c r="AC5" s="802"/>
      <c r="AD5" s="802"/>
      <c r="AE5" s="802"/>
      <c r="AF5" s="802"/>
      <c r="AG5" s="802"/>
      <c r="AH5" s="802"/>
    </row>
    <row r="6" spans="1:34" ht="17.25" customHeight="1" x14ac:dyDescent="0.2">
      <c r="B6" s="802" t="s">
        <v>465</v>
      </c>
      <c r="C6" s="802"/>
      <c r="D6" s="802"/>
      <c r="E6" s="802"/>
      <c r="F6" s="802"/>
      <c r="G6" s="802"/>
      <c r="H6" s="802"/>
      <c r="I6" s="802"/>
      <c r="J6" s="802" t="s">
        <v>466</v>
      </c>
      <c r="K6" s="802"/>
      <c r="L6" s="802"/>
      <c r="M6" s="802"/>
      <c r="N6" s="802"/>
      <c r="O6" s="802"/>
      <c r="P6" s="804"/>
      <c r="Q6" s="804"/>
      <c r="R6" s="804"/>
      <c r="S6" s="804"/>
      <c r="T6" s="804"/>
      <c r="U6" s="804"/>
      <c r="V6" s="804"/>
      <c r="W6" s="804"/>
      <c r="X6" s="804"/>
      <c r="Y6" s="802"/>
      <c r="Z6" s="802"/>
      <c r="AA6" s="802"/>
      <c r="AB6" s="802"/>
      <c r="AC6" s="802"/>
      <c r="AD6" s="802"/>
      <c r="AE6" s="802"/>
      <c r="AF6" s="802"/>
      <c r="AG6" s="802"/>
      <c r="AH6" s="802"/>
    </row>
    <row r="7" spans="1:34" ht="17.25" customHeight="1" x14ac:dyDescent="0.2">
      <c r="B7" s="802"/>
      <c r="C7" s="802"/>
      <c r="D7" s="802"/>
      <c r="E7" s="802"/>
      <c r="F7" s="802"/>
      <c r="G7" s="802"/>
      <c r="H7" s="802"/>
      <c r="I7" s="802"/>
      <c r="J7" s="802"/>
      <c r="K7" s="802"/>
      <c r="L7" s="802"/>
      <c r="M7" s="802"/>
      <c r="N7" s="802"/>
      <c r="O7" s="802"/>
      <c r="P7" s="804"/>
      <c r="Q7" s="804"/>
      <c r="R7" s="804"/>
      <c r="S7" s="804"/>
      <c r="T7" s="804"/>
      <c r="U7" s="804"/>
      <c r="V7" s="804"/>
      <c r="W7" s="804"/>
      <c r="X7" s="804"/>
      <c r="Y7" s="802"/>
      <c r="Z7" s="802"/>
      <c r="AA7" s="802"/>
      <c r="AB7" s="802"/>
      <c r="AC7" s="802"/>
      <c r="AD7" s="802"/>
      <c r="AE7" s="802"/>
      <c r="AF7" s="802"/>
      <c r="AG7" s="802"/>
      <c r="AH7" s="802"/>
    </row>
    <row r="8" spans="1:34" ht="17.25" customHeight="1" x14ac:dyDescent="0.2">
      <c r="B8" s="802" t="s">
        <v>310</v>
      </c>
      <c r="C8" s="802"/>
      <c r="D8" s="802"/>
      <c r="E8" s="802"/>
      <c r="F8" s="802"/>
      <c r="G8" s="802"/>
      <c r="H8" s="802"/>
      <c r="I8" s="802"/>
      <c r="J8" s="802"/>
      <c r="K8" s="802"/>
      <c r="L8" s="802"/>
      <c r="M8" s="802"/>
      <c r="N8" s="802"/>
      <c r="O8" s="802"/>
      <c r="P8" s="802" t="s">
        <v>311</v>
      </c>
      <c r="Q8" s="802"/>
      <c r="R8" s="802"/>
      <c r="S8" s="802"/>
      <c r="T8" s="802"/>
      <c r="U8" s="802" t="s">
        <v>312</v>
      </c>
      <c r="V8" s="802"/>
      <c r="W8" s="802"/>
      <c r="X8" s="803"/>
      <c r="Y8" s="803"/>
      <c r="Z8" s="803"/>
      <c r="AA8" s="802" t="s">
        <v>313</v>
      </c>
      <c r="AB8" s="802"/>
      <c r="AC8" s="802"/>
      <c r="AD8" s="803"/>
      <c r="AE8" s="803"/>
      <c r="AF8" s="803"/>
      <c r="AG8" s="802" t="s">
        <v>643</v>
      </c>
      <c r="AH8" s="802"/>
    </row>
    <row r="9" spans="1:34" ht="17.25" customHeight="1" x14ac:dyDescent="0.2">
      <c r="B9" s="802"/>
      <c r="C9" s="802"/>
      <c r="D9" s="802"/>
      <c r="E9" s="802"/>
      <c r="F9" s="802"/>
      <c r="G9" s="802"/>
      <c r="H9" s="802"/>
      <c r="I9" s="802"/>
      <c r="J9" s="802"/>
      <c r="K9" s="802"/>
      <c r="L9" s="802"/>
      <c r="M9" s="802"/>
      <c r="N9" s="802"/>
      <c r="O9" s="802"/>
      <c r="P9" s="802"/>
      <c r="Q9" s="802"/>
      <c r="R9" s="802"/>
      <c r="S9" s="802"/>
      <c r="T9" s="802"/>
      <c r="U9" s="802" t="s">
        <v>314</v>
      </c>
      <c r="V9" s="802"/>
      <c r="W9" s="802"/>
      <c r="X9" s="802"/>
      <c r="Y9" s="802"/>
      <c r="Z9" s="802"/>
      <c r="AA9" s="802" t="s">
        <v>315</v>
      </c>
      <c r="AB9" s="802"/>
      <c r="AC9" s="802"/>
      <c r="AD9" s="802"/>
      <c r="AE9" s="802"/>
      <c r="AF9" s="802"/>
      <c r="AG9" s="815"/>
      <c r="AH9" s="815"/>
    </row>
    <row r="10" spans="1:34" ht="6.75" customHeight="1" thickBot="1" x14ac:dyDescent="0.25"/>
    <row r="11" spans="1:34" s="421" customFormat="1" ht="27" customHeight="1" thickBot="1" x14ac:dyDescent="0.25">
      <c r="B11" s="824" t="s">
        <v>242</v>
      </c>
      <c r="C11" s="825"/>
      <c r="D11" s="825"/>
      <c r="E11" s="825"/>
      <c r="F11" s="867">
        <v>654</v>
      </c>
      <c r="G11" s="868"/>
      <c r="H11" s="868"/>
      <c r="I11" s="869"/>
      <c r="J11" s="422" t="s">
        <v>316</v>
      </c>
      <c r="K11" s="423"/>
      <c r="L11" s="423"/>
      <c r="M11" s="423"/>
      <c r="S11" s="422"/>
      <c r="T11" s="423"/>
      <c r="U11" s="423"/>
      <c r="V11" s="423"/>
      <c r="W11" s="423"/>
      <c r="X11" s="423"/>
      <c r="Y11" s="423"/>
      <c r="Z11" s="423"/>
      <c r="AA11" s="423"/>
      <c r="AB11" s="423"/>
      <c r="AC11" s="423"/>
    </row>
    <row r="12" spans="1:34" ht="27" customHeight="1" thickBot="1" x14ac:dyDescent="0.25">
      <c r="B12" s="816" t="s">
        <v>310</v>
      </c>
      <c r="C12" s="817"/>
      <c r="D12" s="817"/>
      <c r="E12" s="817"/>
      <c r="F12" s="870" t="s">
        <v>649</v>
      </c>
      <c r="G12" s="871"/>
      <c r="H12" s="871"/>
      <c r="I12" s="871"/>
      <c r="J12" s="871"/>
      <c r="K12" s="871"/>
      <c r="L12" s="871"/>
      <c r="M12" s="871"/>
      <c r="N12" s="872"/>
      <c r="O12" s="838" t="s">
        <v>208</v>
      </c>
      <c r="P12" s="839"/>
      <c r="Q12" s="840"/>
      <c r="R12" s="831"/>
      <c r="S12" s="831"/>
      <c r="T12" s="831"/>
      <c r="U12" s="831"/>
      <c r="V12" s="831"/>
      <c r="W12" s="831"/>
      <c r="X12" s="832"/>
    </row>
    <row r="13" spans="1:34" ht="6.75" customHeight="1" thickBot="1" x14ac:dyDescent="0.25"/>
    <row r="14" spans="1:34" ht="20.25" customHeight="1" x14ac:dyDescent="0.2">
      <c r="B14" s="818" t="s">
        <v>317</v>
      </c>
      <c r="C14" s="819"/>
      <c r="D14" s="819"/>
      <c r="E14" s="820"/>
      <c r="F14" s="826" t="s">
        <v>308</v>
      </c>
      <c r="G14" s="827"/>
      <c r="H14" s="827"/>
      <c r="I14" s="841"/>
      <c r="J14" s="826" t="s">
        <v>318</v>
      </c>
      <c r="K14" s="827"/>
      <c r="L14" s="827"/>
      <c r="M14" s="827"/>
      <c r="N14" s="841"/>
      <c r="O14" s="826" t="s">
        <v>319</v>
      </c>
      <c r="P14" s="827"/>
      <c r="Q14" s="827"/>
      <c r="R14" s="827"/>
      <c r="S14" s="826" t="s">
        <v>320</v>
      </c>
      <c r="T14" s="827"/>
      <c r="U14" s="827"/>
      <c r="V14" s="841"/>
      <c r="W14" s="826" t="s">
        <v>321</v>
      </c>
      <c r="X14" s="827"/>
      <c r="Y14" s="827"/>
      <c r="Z14" s="827"/>
      <c r="AA14" s="827"/>
      <c r="AB14" s="827"/>
      <c r="AC14" s="827"/>
      <c r="AD14" s="827"/>
      <c r="AE14" s="827"/>
      <c r="AF14" s="827"/>
      <c r="AG14" s="827"/>
      <c r="AH14" s="894"/>
    </row>
    <row r="15" spans="1:34" ht="40.5" customHeight="1" thickBot="1" x14ac:dyDescent="0.25">
      <c r="B15" s="821"/>
      <c r="C15" s="822"/>
      <c r="D15" s="822"/>
      <c r="E15" s="823"/>
      <c r="F15" s="828" t="s">
        <v>650</v>
      </c>
      <c r="G15" s="829"/>
      <c r="H15" s="829"/>
      <c r="I15" s="830"/>
      <c r="J15" s="828" t="s">
        <v>651</v>
      </c>
      <c r="K15" s="829"/>
      <c r="L15" s="829"/>
      <c r="M15" s="829"/>
      <c r="N15" s="830"/>
      <c r="O15" s="828" t="s">
        <v>652</v>
      </c>
      <c r="P15" s="829"/>
      <c r="Q15" s="829"/>
      <c r="R15" s="829"/>
      <c r="S15" s="833">
        <v>40040</v>
      </c>
      <c r="T15" s="834"/>
      <c r="U15" s="834"/>
      <c r="V15" s="835"/>
      <c r="W15" s="895" t="s">
        <v>625</v>
      </c>
      <c r="X15" s="896"/>
      <c r="Y15" s="896"/>
      <c r="Z15" s="896"/>
      <c r="AA15" s="896"/>
      <c r="AB15" s="896"/>
      <c r="AC15" s="896"/>
      <c r="AD15" s="896"/>
      <c r="AE15" s="896"/>
      <c r="AF15" s="896"/>
      <c r="AG15" s="896"/>
      <c r="AH15" s="897"/>
    </row>
    <row r="16" spans="1:34" ht="27" customHeight="1" x14ac:dyDescent="0.2">
      <c r="B16" s="873" t="s">
        <v>644</v>
      </c>
      <c r="C16" s="874"/>
      <c r="D16" s="874"/>
      <c r="E16" s="875"/>
      <c r="F16" s="876" t="s">
        <v>653</v>
      </c>
      <c r="G16" s="877"/>
      <c r="H16" s="877"/>
      <c r="I16" s="877"/>
      <c r="J16" s="877"/>
      <c r="K16" s="877"/>
      <c r="L16" s="877"/>
      <c r="M16" s="877"/>
      <c r="N16" s="877"/>
      <c r="O16" s="877"/>
      <c r="P16" s="877"/>
      <c r="Q16" s="877"/>
      <c r="R16" s="877"/>
      <c r="S16" s="877"/>
      <c r="T16" s="877"/>
      <c r="U16" s="877"/>
      <c r="V16" s="877"/>
      <c r="W16" s="877"/>
      <c r="X16" s="877"/>
      <c r="Y16" s="877"/>
      <c r="Z16" s="877"/>
      <c r="AA16" s="877"/>
      <c r="AB16" s="877"/>
      <c r="AC16" s="877"/>
      <c r="AD16" s="877"/>
      <c r="AE16" s="877"/>
      <c r="AF16" s="877"/>
      <c r="AG16" s="877"/>
      <c r="AH16" s="878"/>
    </row>
    <row r="17" spans="1:37" ht="27" customHeight="1" x14ac:dyDescent="0.2">
      <c r="B17" s="882" t="s">
        <v>322</v>
      </c>
      <c r="C17" s="883"/>
      <c r="D17" s="883"/>
      <c r="E17" s="884"/>
      <c r="F17" s="909" t="s">
        <v>654</v>
      </c>
      <c r="G17" s="910"/>
      <c r="H17" s="910"/>
      <c r="I17" s="910"/>
      <c r="J17" s="910"/>
      <c r="K17" s="910"/>
      <c r="L17" s="910"/>
      <c r="M17" s="910"/>
      <c r="N17" s="910"/>
      <c r="O17" s="910"/>
      <c r="P17" s="910"/>
      <c r="Q17" s="910"/>
      <c r="R17" s="910"/>
      <c r="S17" s="910"/>
      <c r="T17" s="910"/>
      <c r="U17" s="910"/>
      <c r="V17" s="910"/>
      <c r="W17" s="910"/>
      <c r="X17" s="910"/>
      <c r="Y17" s="910"/>
      <c r="Z17" s="910"/>
      <c r="AA17" s="910"/>
      <c r="AB17" s="910"/>
      <c r="AC17" s="910"/>
      <c r="AD17" s="910"/>
      <c r="AE17" s="910"/>
      <c r="AF17" s="910"/>
      <c r="AG17" s="910"/>
      <c r="AH17" s="911"/>
    </row>
    <row r="18" spans="1:37" ht="27" customHeight="1" x14ac:dyDescent="0.2">
      <c r="B18" s="885" t="s">
        <v>323</v>
      </c>
      <c r="C18" s="886"/>
      <c r="D18" s="886"/>
      <c r="E18" s="887"/>
      <c r="F18" s="909" t="s">
        <v>655</v>
      </c>
      <c r="G18" s="910"/>
      <c r="H18" s="910"/>
      <c r="I18" s="910"/>
      <c r="J18" s="910"/>
      <c r="K18" s="910"/>
      <c r="L18" s="910"/>
      <c r="M18" s="910"/>
      <c r="N18" s="916"/>
      <c r="O18" s="917" t="s">
        <v>274</v>
      </c>
      <c r="P18" s="918"/>
      <c r="Q18" s="918"/>
      <c r="R18" s="909"/>
      <c r="S18" s="910"/>
      <c r="T18" s="910"/>
      <c r="U18" s="910"/>
      <c r="V18" s="910"/>
      <c r="W18" s="910"/>
      <c r="X18" s="910"/>
      <c r="Y18" s="910"/>
      <c r="Z18" s="910"/>
      <c r="AA18" s="910"/>
      <c r="AB18" s="910"/>
      <c r="AC18" s="910"/>
      <c r="AD18" s="910"/>
      <c r="AE18" s="910"/>
      <c r="AF18" s="910"/>
      <c r="AG18" s="910"/>
      <c r="AH18" s="911"/>
    </row>
    <row r="19" spans="1:37" ht="37.5" customHeight="1" x14ac:dyDescent="0.2">
      <c r="B19" s="854" t="s">
        <v>324</v>
      </c>
      <c r="C19" s="855"/>
      <c r="D19" s="856"/>
      <c r="E19" s="141" t="s">
        <v>325</v>
      </c>
      <c r="F19" s="860" t="s">
        <v>656</v>
      </c>
      <c r="G19" s="861"/>
      <c r="H19" s="861"/>
      <c r="I19" s="861"/>
      <c r="J19" s="861"/>
      <c r="K19" s="861"/>
      <c r="L19" s="861"/>
      <c r="M19" s="861"/>
      <c r="N19" s="861"/>
      <c r="O19" s="861"/>
      <c r="P19" s="861"/>
      <c r="Q19" s="861"/>
      <c r="R19" s="861"/>
      <c r="S19" s="861"/>
      <c r="T19" s="861"/>
      <c r="U19" s="861"/>
      <c r="V19" s="861"/>
      <c r="W19" s="861"/>
      <c r="X19" s="861"/>
      <c r="Y19" s="861"/>
      <c r="Z19" s="861"/>
      <c r="AA19" s="861"/>
      <c r="AB19" s="861"/>
      <c r="AC19" s="861"/>
      <c r="AD19" s="861"/>
      <c r="AE19" s="861"/>
      <c r="AF19" s="861"/>
      <c r="AG19" s="861"/>
      <c r="AH19" s="912"/>
    </row>
    <row r="20" spans="1:37" ht="79.5" customHeight="1" x14ac:dyDescent="0.2">
      <c r="B20" s="857"/>
      <c r="C20" s="858"/>
      <c r="D20" s="859"/>
      <c r="E20" s="142" t="s">
        <v>326</v>
      </c>
      <c r="F20" s="913" t="s">
        <v>657</v>
      </c>
      <c r="G20" s="914"/>
      <c r="H20" s="914"/>
      <c r="I20" s="914"/>
      <c r="J20" s="914"/>
      <c r="K20" s="914"/>
      <c r="L20" s="914"/>
      <c r="M20" s="914"/>
      <c r="N20" s="914"/>
      <c r="O20" s="914"/>
      <c r="P20" s="914"/>
      <c r="Q20" s="914"/>
      <c r="R20" s="914"/>
      <c r="S20" s="914"/>
      <c r="T20" s="914"/>
      <c r="U20" s="914"/>
      <c r="V20" s="914"/>
      <c r="W20" s="914"/>
      <c r="X20" s="914"/>
      <c r="Y20" s="914"/>
      <c r="Z20" s="914"/>
      <c r="AA20" s="914"/>
      <c r="AB20" s="914"/>
      <c r="AC20" s="914"/>
      <c r="AD20" s="914"/>
      <c r="AE20" s="914"/>
      <c r="AF20" s="914"/>
      <c r="AG20" s="914"/>
      <c r="AH20" s="915"/>
    </row>
    <row r="21" spans="1:37" ht="27" customHeight="1" x14ac:dyDescent="0.2">
      <c r="B21" s="851" t="s">
        <v>231</v>
      </c>
      <c r="C21" s="852"/>
      <c r="D21" s="852"/>
      <c r="E21" s="853"/>
      <c r="F21" s="906" t="s">
        <v>645</v>
      </c>
      <c r="G21" s="907"/>
      <c r="H21" s="907"/>
      <c r="I21" s="907"/>
      <c r="J21" s="907"/>
      <c r="K21" s="907"/>
      <c r="L21" s="907"/>
      <c r="M21" s="907"/>
      <c r="N21" s="908"/>
      <c r="O21" s="903">
        <v>2</v>
      </c>
      <c r="P21" s="904"/>
      <c r="Q21" s="904"/>
      <c r="R21" s="920"/>
      <c r="S21" s="919" t="s">
        <v>646</v>
      </c>
      <c r="T21" s="886"/>
      <c r="U21" s="886"/>
      <c r="V21" s="887"/>
      <c r="W21" s="901" t="s">
        <v>647</v>
      </c>
      <c r="X21" s="902"/>
      <c r="Y21" s="902"/>
      <c r="Z21" s="902"/>
      <c r="AA21" s="903">
        <v>1</v>
      </c>
      <c r="AB21" s="904"/>
      <c r="AC21" s="904"/>
      <c r="AD21" s="904"/>
      <c r="AE21" s="904"/>
      <c r="AF21" s="904"/>
      <c r="AG21" s="904"/>
      <c r="AH21" s="905"/>
    </row>
    <row r="22" spans="1:37" ht="27" customHeight="1" thickBot="1" x14ac:dyDescent="0.25">
      <c r="B22" s="842" t="s">
        <v>327</v>
      </c>
      <c r="C22" s="843"/>
      <c r="D22" s="843"/>
      <c r="E22" s="844"/>
      <c r="F22" s="898"/>
      <c r="G22" s="899"/>
      <c r="H22" s="899"/>
      <c r="I22" s="899"/>
      <c r="J22" s="899"/>
      <c r="K22" s="899"/>
      <c r="L22" s="899"/>
      <c r="M22" s="899"/>
      <c r="N22" s="899"/>
      <c r="O22" s="899"/>
      <c r="P22" s="899"/>
      <c r="Q22" s="899"/>
      <c r="R22" s="899"/>
      <c r="S22" s="899"/>
      <c r="T22" s="899"/>
      <c r="U22" s="899"/>
      <c r="V22" s="899"/>
      <c r="W22" s="899"/>
      <c r="X22" s="899"/>
      <c r="Y22" s="899"/>
      <c r="Z22" s="899"/>
      <c r="AA22" s="899"/>
      <c r="AB22" s="899"/>
      <c r="AC22" s="899"/>
      <c r="AD22" s="899"/>
      <c r="AE22" s="899"/>
      <c r="AF22" s="899"/>
      <c r="AG22" s="899"/>
      <c r="AH22" s="900"/>
    </row>
    <row r="23" spans="1:37" ht="7.5" customHeight="1" thickBot="1" x14ac:dyDescent="0.25"/>
    <row r="24" spans="1:37" ht="20.25" customHeight="1" x14ac:dyDescent="0.2">
      <c r="B24" s="818" t="s">
        <v>328</v>
      </c>
      <c r="C24" s="819"/>
      <c r="D24" s="819"/>
      <c r="E24" s="820"/>
      <c r="F24" s="826" t="s">
        <v>308</v>
      </c>
      <c r="G24" s="827"/>
      <c r="H24" s="827"/>
      <c r="I24" s="841"/>
      <c r="J24" s="826" t="s">
        <v>318</v>
      </c>
      <c r="K24" s="827"/>
      <c r="L24" s="827"/>
      <c r="M24" s="827"/>
      <c r="N24" s="841"/>
      <c r="O24" s="826" t="s">
        <v>237</v>
      </c>
      <c r="P24" s="827"/>
      <c r="Q24" s="827"/>
      <c r="R24" s="841"/>
      <c r="S24" s="826" t="s">
        <v>236</v>
      </c>
      <c r="T24" s="827"/>
      <c r="U24" s="827"/>
      <c r="V24" s="827"/>
      <c r="W24" s="826" t="s">
        <v>329</v>
      </c>
      <c r="X24" s="827"/>
      <c r="Y24" s="827"/>
      <c r="Z24" s="827"/>
      <c r="AA24" s="826" t="s">
        <v>330</v>
      </c>
      <c r="AB24" s="827"/>
      <c r="AC24" s="827"/>
      <c r="AD24" s="841"/>
      <c r="AE24" s="826" t="s">
        <v>331</v>
      </c>
      <c r="AF24" s="827"/>
      <c r="AG24" s="827"/>
      <c r="AH24" s="894"/>
    </row>
    <row r="25" spans="1:37" ht="41.25" customHeight="1" thickBot="1" x14ac:dyDescent="0.25">
      <c r="B25" s="821"/>
      <c r="C25" s="822"/>
      <c r="D25" s="822"/>
      <c r="E25" s="823"/>
      <c r="F25" s="836"/>
      <c r="G25" s="837"/>
      <c r="H25" s="837"/>
      <c r="I25" s="893"/>
      <c r="J25" s="836"/>
      <c r="K25" s="837"/>
      <c r="L25" s="837"/>
      <c r="M25" s="837"/>
      <c r="N25" s="893"/>
      <c r="O25" s="836"/>
      <c r="P25" s="837"/>
      <c r="Q25" s="837"/>
      <c r="R25" s="893"/>
      <c r="S25" s="836"/>
      <c r="T25" s="837"/>
      <c r="U25" s="837"/>
      <c r="V25" s="837"/>
      <c r="W25" s="891"/>
      <c r="X25" s="892"/>
      <c r="Y25" s="892"/>
      <c r="Z25" s="892"/>
      <c r="AA25" s="888" t="s">
        <v>658</v>
      </c>
      <c r="AB25" s="889"/>
      <c r="AC25" s="889"/>
      <c r="AD25" s="890"/>
      <c r="AE25" s="836" t="s">
        <v>659</v>
      </c>
      <c r="AF25" s="837"/>
      <c r="AG25" s="837"/>
      <c r="AH25" s="921"/>
    </row>
    <row r="26" spans="1:37" s="148" customFormat="1" ht="5.25" customHeight="1" thickBot="1" x14ac:dyDescent="0.25">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2">
      <c r="B27" s="818" t="s">
        <v>332</v>
      </c>
      <c r="C27" s="819"/>
      <c r="D27" s="820"/>
      <c r="E27" s="274" t="s">
        <v>333</v>
      </c>
      <c r="F27" s="922" t="s">
        <v>660</v>
      </c>
      <c r="G27" s="923"/>
      <c r="H27" s="923"/>
      <c r="I27" s="923"/>
      <c r="J27" s="923"/>
      <c r="K27" s="923"/>
      <c r="L27" s="923"/>
      <c r="M27" s="923"/>
      <c r="N27" s="924"/>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5">
      <c r="B28" s="821"/>
      <c r="C28" s="822"/>
      <c r="D28" s="823"/>
      <c r="E28" s="275" t="s">
        <v>334</v>
      </c>
      <c r="F28" s="925" t="s">
        <v>661</v>
      </c>
      <c r="G28" s="926"/>
      <c r="H28" s="926"/>
      <c r="I28" s="926"/>
      <c r="J28" s="926"/>
      <c r="K28" s="926"/>
      <c r="L28" s="926"/>
      <c r="M28" s="926"/>
      <c r="N28" s="927"/>
      <c r="O28" s="931" t="s">
        <v>274</v>
      </c>
      <c r="P28" s="846"/>
      <c r="Q28" s="847"/>
      <c r="R28" s="925"/>
      <c r="S28" s="926"/>
      <c r="T28" s="926"/>
      <c r="U28" s="926"/>
      <c r="V28" s="926"/>
      <c r="W28" s="926"/>
      <c r="X28" s="926"/>
      <c r="Y28" s="926"/>
      <c r="Z28" s="926"/>
      <c r="AA28" s="926"/>
      <c r="AB28" s="926"/>
      <c r="AC28" s="926"/>
      <c r="AD28" s="926"/>
      <c r="AE28" s="926"/>
      <c r="AF28" s="926"/>
      <c r="AG28" s="926"/>
      <c r="AH28" s="932"/>
    </row>
    <row r="29" spans="1:37" s="151" customFormat="1" ht="6.75" customHeight="1" thickBot="1" x14ac:dyDescent="0.25">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2">
      <c r="A30" s="152"/>
      <c r="B30" s="879" t="s">
        <v>335</v>
      </c>
      <c r="C30" s="880"/>
      <c r="D30" s="880"/>
      <c r="E30" s="880"/>
      <c r="F30" s="880"/>
      <c r="G30" s="880"/>
      <c r="H30" s="880"/>
      <c r="I30" s="880"/>
      <c r="J30" s="880"/>
      <c r="K30" s="880"/>
      <c r="L30" s="880"/>
      <c r="M30" s="880"/>
      <c r="N30" s="880"/>
      <c r="O30" s="880"/>
      <c r="P30" s="880"/>
      <c r="Q30" s="880"/>
      <c r="R30" s="880"/>
      <c r="S30" s="880"/>
      <c r="T30" s="880"/>
      <c r="U30" s="880"/>
      <c r="V30" s="880"/>
      <c r="W30" s="880"/>
      <c r="X30" s="880"/>
      <c r="Y30" s="880"/>
      <c r="Z30" s="880"/>
      <c r="AA30" s="880"/>
      <c r="AB30" s="880"/>
      <c r="AC30" s="880"/>
      <c r="AD30" s="880"/>
      <c r="AE30" s="880"/>
      <c r="AF30" s="880"/>
      <c r="AG30" s="880"/>
      <c r="AH30" s="881"/>
      <c r="AI30" s="152"/>
      <c r="AJ30" s="152"/>
      <c r="AK30" s="152"/>
    </row>
    <row r="31" spans="1:37" s="151" customFormat="1" ht="27" customHeight="1" x14ac:dyDescent="0.2">
      <c r="B31" s="854" t="s">
        <v>336</v>
      </c>
      <c r="C31" s="855"/>
      <c r="D31" s="856"/>
      <c r="E31" s="276" t="s">
        <v>337</v>
      </c>
      <c r="F31" s="860" t="s">
        <v>662</v>
      </c>
      <c r="G31" s="861"/>
      <c r="H31" s="861"/>
      <c r="I31" s="861"/>
      <c r="J31" s="861"/>
      <c r="K31" s="861"/>
      <c r="L31" s="861"/>
      <c r="M31" s="861"/>
      <c r="N31" s="861"/>
      <c r="O31" s="861"/>
      <c r="P31" s="861"/>
      <c r="Q31" s="861"/>
      <c r="R31" s="861"/>
      <c r="S31" s="861"/>
      <c r="T31" s="861"/>
      <c r="U31" s="861"/>
      <c r="V31" s="861"/>
      <c r="W31" s="861"/>
      <c r="X31" s="861"/>
      <c r="Y31" s="861"/>
      <c r="Z31" s="861"/>
      <c r="AA31" s="861"/>
      <c r="AB31" s="861"/>
      <c r="AC31" s="861"/>
      <c r="AD31" s="861"/>
      <c r="AE31" s="861"/>
      <c r="AF31" s="861"/>
      <c r="AG31" s="861"/>
      <c r="AH31" s="912"/>
    </row>
    <row r="32" spans="1:37" s="151" customFormat="1" ht="27" customHeight="1" x14ac:dyDescent="0.2">
      <c r="B32" s="857"/>
      <c r="C32" s="858"/>
      <c r="D32" s="859"/>
      <c r="E32" s="276" t="s">
        <v>338</v>
      </c>
      <c r="F32" s="860" t="s">
        <v>663</v>
      </c>
      <c r="G32" s="861"/>
      <c r="H32" s="861"/>
      <c r="I32" s="861"/>
      <c r="J32" s="861"/>
      <c r="K32" s="861"/>
      <c r="L32" s="861"/>
      <c r="M32" s="861"/>
      <c r="N32" s="862"/>
      <c r="O32" s="917" t="s">
        <v>274</v>
      </c>
      <c r="P32" s="918"/>
      <c r="Q32" s="918"/>
      <c r="R32" s="860"/>
      <c r="S32" s="861"/>
      <c r="T32" s="861"/>
      <c r="U32" s="861"/>
      <c r="V32" s="861"/>
      <c r="W32" s="861"/>
      <c r="X32" s="861"/>
      <c r="Y32" s="861"/>
      <c r="Z32" s="861"/>
      <c r="AA32" s="861"/>
      <c r="AB32" s="861"/>
      <c r="AC32" s="861"/>
      <c r="AD32" s="861"/>
      <c r="AE32" s="861"/>
      <c r="AF32" s="861"/>
      <c r="AG32" s="861"/>
      <c r="AH32" s="912"/>
    </row>
    <row r="33" spans="2:34" s="151" customFormat="1" ht="27" customHeight="1" x14ac:dyDescent="0.2">
      <c r="B33" s="854" t="s">
        <v>339</v>
      </c>
      <c r="C33" s="855"/>
      <c r="D33" s="856"/>
      <c r="E33" s="276" t="s">
        <v>233</v>
      </c>
      <c r="F33" s="860" t="s">
        <v>283</v>
      </c>
      <c r="G33" s="861"/>
      <c r="H33" s="861"/>
      <c r="I33" s="861"/>
      <c r="J33" s="861"/>
      <c r="K33" s="861"/>
      <c r="L33" s="861"/>
      <c r="M33" s="861"/>
      <c r="N33" s="861"/>
      <c r="O33" s="917" t="s">
        <v>648</v>
      </c>
      <c r="P33" s="918"/>
      <c r="Q33" s="974"/>
      <c r="R33" s="860" t="s">
        <v>696</v>
      </c>
      <c r="S33" s="861"/>
      <c r="T33" s="861"/>
      <c r="U33" s="861"/>
      <c r="V33" s="862"/>
      <c r="W33" s="928" t="s">
        <v>274</v>
      </c>
      <c r="X33" s="929"/>
      <c r="Y33" s="929"/>
      <c r="Z33" s="860"/>
      <c r="AA33" s="861"/>
      <c r="AB33" s="861"/>
      <c r="AC33" s="861"/>
      <c r="AD33" s="861"/>
      <c r="AE33" s="861"/>
      <c r="AF33" s="861"/>
      <c r="AG33" s="861"/>
      <c r="AH33" s="912"/>
    </row>
    <row r="34" spans="2:34" s="151" customFormat="1" ht="27" customHeight="1" x14ac:dyDescent="0.2">
      <c r="B34" s="857"/>
      <c r="C34" s="858"/>
      <c r="D34" s="859"/>
      <c r="E34" s="276" t="s">
        <v>628</v>
      </c>
      <c r="F34" s="860" t="s">
        <v>664</v>
      </c>
      <c r="G34" s="861"/>
      <c r="H34" s="861"/>
      <c r="I34" s="861"/>
      <c r="J34" s="861"/>
      <c r="K34" s="861"/>
      <c r="L34" s="861"/>
      <c r="M34" s="861"/>
      <c r="N34" s="861"/>
      <c r="O34" s="917" t="s">
        <v>340</v>
      </c>
      <c r="P34" s="918"/>
      <c r="Q34" s="974"/>
      <c r="R34" s="860" t="s">
        <v>666</v>
      </c>
      <c r="S34" s="861"/>
      <c r="T34" s="861"/>
      <c r="U34" s="861"/>
      <c r="V34" s="862"/>
      <c r="W34" s="928" t="s">
        <v>274</v>
      </c>
      <c r="X34" s="929"/>
      <c r="Y34" s="929"/>
      <c r="Z34" s="860"/>
      <c r="AA34" s="861"/>
      <c r="AB34" s="861"/>
      <c r="AC34" s="861"/>
      <c r="AD34" s="861"/>
      <c r="AE34" s="861"/>
      <c r="AF34" s="861"/>
      <c r="AG34" s="861"/>
      <c r="AH34" s="912"/>
    </row>
    <row r="35" spans="2:34" s="151" customFormat="1" ht="27" customHeight="1" thickBot="1" x14ac:dyDescent="0.25">
      <c r="B35" s="842" t="s">
        <v>341</v>
      </c>
      <c r="C35" s="843"/>
      <c r="D35" s="844"/>
      <c r="E35" s="154" t="s">
        <v>342</v>
      </c>
      <c r="F35" s="848" t="s">
        <v>665</v>
      </c>
      <c r="G35" s="849"/>
      <c r="H35" s="849"/>
      <c r="I35" s="849"/>
      <c r="J35" s="849"/>
      <c r="K35" s="849"/>
      <c r="L35" s="849"/>
      <c r="M35" s="849"/>
      <c r="N35" s="850"/>
      <c r="O35" s="845" t="s">
        <v>343</v>
      </c>
      <c r="P35" s="846"/>
      <c r="Q35" s="847"/>
      <c r="R35" s="828"/>
      <c r="S35" s="829"/>
      <c r="T35" s="829"/>
      <c r="U35" s="829"/>
      <c r="V35" s="829"/>
      <c r="W35" s="829"/>
      <c r="X35" s="829"/>
      <c r="Y35" s="829"/>
      <c r="Z35" s="829"/>
      <c r="AA35" s="829"/>
      <c r="AB35" s="829"/>
      <c r="AC35" s="829"/>
      <c r="AD35" s="829"/>
      <c r="AE35" s="829"/>
      <c r="AF35" s="829"/>
      <c r="AG35" s="829"/>
      <c r="AH35" s="930"/>
    </row>
    <row r="36" spans="2:34" s="152" customFormat="1" ht="6" customHeight="1" thickBot="1" x14ac:dyDescent="0.25">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2">
      <c r="B37" s="863" t="s">
        <v>344</v>
      </c>
      <c r="C37" s="827"/>
      <c r="D37" s="827"/>
      <c r="E37" s="827"/>
      <c r="F37" s="864">
        <v>40055</v>
      </c>
      <c r="G37" s="865"/>
      <c r="H37" s="865"/>
      <c r="I37" s="865"/>
      <c r="J37" s="865"/>
      <c r="K37" s="865"/>
      <c r="L37" s="865"/>
      <c r="M37" s="865"/>
      <c r="N37" s="866"/>
      <c r="O37" s="826" t="s">
        <v>345</v>
      </c>
      <c r="P37" s="827"/>
      <c r="Q37" s="827"/>
      <c r="R37" s="939">
        <v>40055</v>
      </c>
      <c r="S37" s="940"/>
      <c r="T37" s="940"/>
      <c r="U37" s="940"/>
      <c r="V37" s="940"/>
      <c r="W37" s="966"/>
      <c r="X37" s="967"/>
      <c r="Y37" s="967"/>
      <c r="Z37" s="865"/>
      <c r="AA37" s="865"/>
      <c r="AB37" s="865"/>
      <c r="AC37" s="865"/>
      <c r="AD37" s="865"/>
      <c r="AE37" s="865"/>
      <c r="AF37" s="865"/>
      <c r="AG37" s="865"/>
      <c r="AH37" s="941"/>
    </row>
    <row r="38" spans="2:34" ht="151.5" customHeight="1" x14ac:dyDescent="0.2">
      <c r="B38" s="975" t="s">
        <v>346</v>
      </c>
      <c r="C38" s="976"/>
      <c r="D38" s="913" t="s">
        <v>667</v>
      </c>
      <c r="E38" s="914"/>
      <c r="F38" s="914"/>
      <c r="G38" s="914"/>
      <c r="H38" s="914"/>
      <c r="I38" s="914"/>
      <c r="J38" s="914"/>
      <c r="K38" s="914"/>
      <c r="L38" s="914"/>
      <c r="M38" s="914"/>
      <c r="N38" s="914"/>
      <c r="O38" s="914"/>
      <c r="P38" s="914"/>
      <c r="Q38" s="914"/>
      <c r="R38" s="914"/>
      <c r="S38" s="914"/>
      <c r="T38" s="914"/>
      <c r="U38" s="914"/>
      <c r="V38" s="914"/>
      <c r="W38" s="914"/>
      <c r="X38" s="914"/>
      <c r="Y38" s="914"/>
      <c r="Z38" s="914"/>
      <c r="AA38" s="914"/>
      <c r="AB38" s="914"/>
      <c r="AC38" s="914"/>
      <c r="AD38" s="914"/>
      <c r="AE38" s="914"/>
      <c r="AF38" s="914"/>
      <c r="AG38" s="914"/>
      <c r="AH38" s="915"/>
    </row>
    <row r="39" spans="2:34" ht="16.5" customHeight="1" x14ac:dyDescent="0.2">
      <c r="B39" s="977" t="s">
        <v>347</v>
      </c>
      <c r="C39" s="978"/>
      <c r="D39" s="942" t="s">
        <v>668</v>
      </c>
      <c r="E39" s="943"/>
      <c r="F39" s="943"/>
      <c r="G39" s="943"/>
      <c r="H39" s="943"/>
      <c r="I39" s="943"/>
      <c r="J39" s="943"/>
      <c r="K39" s="943"/>
      <c r="L39" s="943"/>
      <c r="M39" s="943"/>
      <c r="N39" s="943"/>
      <c r="O39" s="943"/>
      <c r="P39" s="943"/>
      <c r="Q39" s="943"/>
      <c r="R39" s="943"/>
      <c r="S39" s="943"/>
      <c r="T39" s="943"/>
      <c r="U39" s="943"/>
      <c r="V39" s="944"/>
      <c r="W39" s="951" t="s">
        <v>348</v>
      </c>
      <c r="X39" s="855"/>
      <c r="Y39" s="856"/>
      <c r="Z39" s="933" t="s">
        <v>349</v>
      </c>
      <c r="AA39" s="934"/>
      <c r="AB39" s="935"/>
      <c r="AC39" s="913"/>
      <c r="AD39" s="914"/>
      <c r="AE39" s="914"/>
      <c r="AF39" s="914"/>
      <c r="AG39" s="914"/>
      <c r="AH39" s="915"/>
    </row>
    <row r="40" spans="2:34" ht="16.5" customHeight="1" x14ac:dyDescent="0.2">
      <c r="B40" s="979"/>
      <c r="C40" s="976"/>
      <c r="D40" s="945"/>
      <c r="E40" s="946"/>
      <c r="F40" s="946"/>
      <c r="G40" s="946"/>
      <c r="H40" s="946"/>
      <c r="I40" s="946"/>
      <c r="J40" s="946"/>
      <c r="K40" s="946"/>
      <c r="L40" s="946"/>
      <c r="M40" s="946"/>
      <c r="N40" s="946"/>
      <c r="O40" s="946"/>
      <c r="P40" s="946"/>
      <c r="Q40" s="946"/>
      <c r="R40" s="946"/>
      <c r="S40" s="946"/>
      <c r="T40" s="946"/>
      <c r="U40" s="946"/>
      <c r="V40" s="947"/>
      <c r="W40" s="952"/>
      <c r="X40" s="953"/>
      <c r="Y40" s="954"/>
      <c r="Z40" s="933" t="s">
        <v>350</v>
      </c>
      <c r="AA40" s="934"/>
      <c r="AB40" s="935"/>
      <c r="AC40" s="936"/>
      <c r="AD40" s="937"/>
      <c r="AE40" s="937"/>
      <c r="AF40" s="937"/>
      <c r="AG40" s="937"/>
      <c r="AH40" s="938"/>
    </row>
    <row r="41" spans="2:34" ht="16.5" customHeight="1" x14ac:dyDescent="0.2">
      <c r="B41" s="979"/>
      <c r="C41" s="976"/>
      <c r="D41" s="945"/>
      <c r="E41" s="946"/>
      <c r="F41" s="946"/>
      <c r="G41" s="946"/>
      <c r="H41" s="946"/>
      <c r="I41" s="946"/>
      <c r="J41" s="946"/>
      <c r="K41" s="946"/>
      <c r="L41" s="946"/>
      <c r="M41" s="946"/>
      <c r="N41" s="946"/>
      <c r="O41" s="946"/>
      <c r="P41" s="946"/>
      <c r="Q41" s="946"/>
      <c r="R41" s="946"/>
      <c r="S41" s="946"/>
      <c r="T41" s="946"/>
      <c r="U41" s="946"/>
      <c r="V41" s="947"/>
      <c r="W41" s="952"/>
      <c r="X41" s="953"/>
      <c r="Y41" s="954"/>
      <c r="Z41" s="933" t="s">
        <v>351</v>
      </c>
      <c r="AA41" s="934"/>
      <c r="AB41" s="935"/>
      <c r="AC41" s="913"/>
      <c r="AD41" s="914"/>
      <c r="AE41" s="914"/>
      <c r="AF41" s="914"/>
      <c r="AG41" s="914"/>
      <c r="AH41" s="915"/>
    </row>
    <row r="42" spans="2:34" ht="16.5" customHeight="1" x14ac:dyDescent="0.2">
      <c r="B42" s="979"/>
      <c r="C42" s="976"/>
      <c r="D42" s="945"/>
      <c r="E42" s="946"/>
      <c r="F42" s="946"/>
      <c r="G42" s="946"/>
      <c r="H42" s="946"/>
      <c r="I42" s="946"/>
      <c r="J42" s="946"/>
      <c r="K42" s="946"/>
      <c r="L42" s="946"/>
      <c r="M42" s="946"/>
      <c r="N42" s="946"/>
      <c r="O42" s="946"/>
      <c r="P42" s="946"/>
      <c r="Q42" s="946"/>
      <c r="R42" s="946"/>
      <c r="S42" s="946"/>
      <c r="T42" s="946"/>
      <c r="U42" s="946"/>
      <c r="V42" s="947"/>
      <c r="W42" s="955"/>
      <c r="X42" s="858"/>
      <c r="Y42" s="859"/>
      <c r="Z42" s="933" t="s">
        <v>352</v>
      </c>
      <c r="AA42" s="934"/>
      <c r="AB42" s="935"/>
      <c r="AC42" s="936"/>
      <c r="AD42" s="937"/>
      <c r="AE42" s="937"/>
      <c r="AF42" s="937"/>
      <c r="AG42" s="937"/>
      <c r="AH42" s="938"/>
    </row>
    <row r="43" spans="2:34" ht="16.5" customHeight="1" x14ac:dyDescent="0.2">
      <c r="B43" s="979"/>
      <c r="C43" s="976"/>
      <c r="D43" s="945"/>
      <c r="E43" s="946"/>
      <c r="F43" s="946"/>
      <c r="G43" s="946"/>
      <c r="H43" s="946"/>
      <c r="I43" s="946"/>
      <c r="J43" s="946"/>
      <c r="K43" s="946"/>
      <c r="L43" s="946"/>
      <c r="M43" s="946"/>
      <c r="N43" s="946"/>
      <c r="O43" s="946"/>
      <c r="P43" s="946"/>
      <c r="Q43" s="946"/>
      <c r="R43" s="946"/>
      <c r="S43" s="946"/>
      <c r="T43" s="946"/>
      <c r="U43" s="946"/>
      <c r="V43" s="947"/>
      <c r="W43" s="951" t="s">
        <v>353</v>
      </c>
      <c r="X43" s="855"/>
      <c r="Y43" s="856"/>
      <c r="Z43" s="933" t="s">
        <v>354</v>
      </c>
      <c r="AA43" s="934"/>
      <c r="AB43" s="935"/>
      <c r="AC43" s="913"/>
      <c r="AD43" s="914"/>
      <c r="AE43" s="914"/>
      <c r="AF43" s="914"/>
      <c r="AG43" s="914"/>
      <c r="AH43" s="915"/>
    </row>
    <row r="44" spans="2:34" ht="16.5" customHeight="1" x14ac:dyDescent="0.2">
      <c r="B44" s="979"/>
      <c r="C44" s="976"/>
      <c r="D44" s="945"/>
      <c r="E44" s="946"/>
      <c r="F44" s="946"/>
      <c r="G44" s="946"/>
      <c r="H44" s="946"/>
      <c r="I44" s="946"/>
      <c r="J44" s="946"/>
      <c r="K44" s="946"/>
      <c r="L44" s="946"/>
      <c r="M44" s="946"/>
      <c r="N44" s="946"/>
      <c r="O44" s="946"/>
      <c r="P44" s="946"/>
      <c r="Q44" s="946"/>
      <c r="R44" s="946"/>
      <c r="S44" s="946"/>
      <c r="T44" s="946"/>
      <c r="U44" s="946"/>
      <c r="V44" s="947"/>
      <c r="W44" s="952"/>
      <c r="X44" s="953"/>
      <c r="Y44" s="954"/>
      <c r="Z44" s="933" t="s">
        <v>355</v>
      </c>
      <c r="AA44" s="934"/>
      <c r="AB44" s="935"/>
      <c r="AC44" s="913"/>
      <c r="AD44" s="914"/>
      <c r="AE44" s="914"/>
      <c r="AF44" s="914"/>
      <c r="AG44" s="914"/>
      <c r="AH44" s="915"/>
    </row>
    <row r="45" spans="2:34" ht="16.5" customHeight="1" x14ac:dyDescent="0.2">
      <c r="B45" s="979"/>
      <c r="C45" s="976"/>
      <c r="D45" s="945"/>
      <c r="E45" s="946"/>
      <c r="F45" s="946"/>
      <c r="G45" s="946"/>
      <c r="H45" s="946"/>
      <c r="I45" s="946"/>
      <c r="J45" s="946"/>
      <c r="K45" s="946"/>
      <c r="L45" s="946"/>
      <c r="M45" s="946"/>
      <c r="N45" s="946"/>
      <c r="O45" s="946"/>
      <c r="P45" s="946"/>
      <c r="Q45" s="946"/>
      <c r="R45" s="946"/>
      <c r="S45" s="946"/>
      <c r="T45" s="946"/>
      <c r="U45" s="946"/>
      <c r="V45" s="947"/>
      <c r="W45" s="952"/>
      <c r="X45" s="953"/>
      <c r="Y45" s="954"/>
      <c r="Z45" s="933" t="s">
        <v>356</v>
      </c>
      <c r="AA45" s="934"/>
      <c r="AB45" s="935"/>
      <c r="AC45" s="982"/>
      <c r="AD45" s="983"/>
      <c r="AE45" s="983"/>
      <c r="AF45" s="983"/>
      <c r="AG45" s="983"/>
      <c r="AH45" s="984"/>
    </row>
    <row r="46" spans="2:34" ht="16.5" customHeight="1" x14ac:dyDescent="0.2">
      <c r="B46" s="979"/>
      <c r="C46" s="976"/>
      <c r="D46" s="945"/>
      <c r="E46" s="946"/>
      <c r="F46" s="946"/>
      <c r="G46" s="946"/>
      <c r="H46" s="946"/>
      <c r="I46" s="946"/>
      <c r="J46" s="946"/>
      <c r="K46" s="946"/>
      <c r="L46" s="946"/>
      <c r="M46" s="946"/>
      <c r="N46" s="946"/>
      <c r="O46" s="946"/>
      <c r="P46" s="946"/>
      <c r="Q46" s="946"/>
      <c r="R46" s="946"/>
      <c r="S46" s="946"/>
      <c r="T46" s="946"/>
      <c r="U46" s="946"/>
      <c r="V46" s="947"/>
      <c r="W46" s="952"/>
      <c r="X46" s="953"/>
      <c r="Y46" s="954"/>
      <c r="Z46" s="933" t="s">
        <v>357</v>
      </c>
      <c r="AA46" s="934"/>
      <c r="AB46" s="935"/>
      <c r="AC46" s="913"/>
      <c r="AD46" s="914"/>
      <c r="AE46" s="914"/>
      <c r="AF46" s="914"/>
      <c r="AG46" s="914"/>
      <c r="AH46" s="915"/>
    </row>
    <row r="47" spans="2:34" ht="16.5" customHeight="1" x14ac:dyDescent="0.2">
      <c r="B47" s="979"/>
      <c r="C47" s="976"/>
      <c r="D47" s="945"/>
      <c r="E47" s="946"/>
      <c r="F47" s="946"/>
      <c r="G47" s="946"/>
      <c r="H47" s="946"/>
      <c r="I47" s="946"/>
      <c r="J47" s="946"/>
      <c r="K47" s="946"/>
      <c r="L47" s="946"/>
      <c r="M47" s="946"/>
      <c r="N47" s="946"/>
      <c r="O47" s="946"/>
      <c r="P47" s="946"/>
      <c r="Q47" s="946"/>
      <c r="R47" s="946"/>
      <c r="S47" s="946"/>
      <c r="T47" s="946"/>
      <c r="U47" s="946"/>
      <c r="V47" s="947"/>
      <c r="W47" s="952"/>
      <c r="X47" s="953"/>
      <c r="Y47" s="954"/>
      <c r="Z47" s="933" t="s">
        <v>351</v>
      </c>
      <c r="AA47" s="934"/>
      <c r="AB47" s="935"/>
      <c r="AC47" s="913"/>
      <c r="AD47" s="914"/>
      <c r="AE47" s="914"/>
      <c r="AF47" s="914"/>
      <c r="AG47" s="914"/>
      <c r="AH47" s="915"/>
    </row>
    <row r="48" spans="2:34" ht="16.5" customHeight="1" x14ac:dyDescent="0.2">
      <c r="B48" s="979"/>
      <c r="C48" s="976"/>
      <c r="D48" s="945"/>
      <c r="E48" s="946"/>
      <c r="F48" s="946"/>
      <c r="G48" s="946"/>
      <c r="H48" s="946"/>
      <c r="I48" s="946"/>
      <c r="J48" s="946"/>
      <c r="K48" s="946"/>
      <c r="L48" s="946"/>
      <c r="M48" s="946"/>
      <c r="N48" s="946"/>
      <c r="O48" s="946"/>
      <c r="P48" s="946"/>
      <c r="Q48" s="946"/>
      <c r="R48" s="946"/>
      <c r="S48" s="946"/>
      <c r="T48" s="946"/>
      <c r="U48" s="946"/>
      <c r="V48" s="947"/>
      <c r="W48" s="952"/>
      <c r="X48" s="953"/>
      <c r="Y48" s="954"/>
      <c r="Z48" s="933" t="s">
        <v>358</v>
      </c>
      <c r="AA48" s="934"/>
      <c r="AB48" s="935"/>
      <c r="AC48" s="936"/>
      <c r="AD48" s="937"/>
      <c r="AE48" s="937"/>
      <c r="AF48" s="937"/>
      <c r="AG48" s="937"/>
      <c r="AH48" s="938"/>
    </row>
    <row r="49" spans="2:34" ht="16.5" customHeight="1" x14ac:dyDescent="0.2">
      <c r="B49" s="979"/>
      <c r="C49" s="976"/>
      <c r="D49" s="945"/>
      <c r="E49" s="946"/>
      <c r="F49" s="946"/>
      <c r="G49" s="946"/>
      <c r="H49" s="946"/>
      <c r="I49" s="946"/>
      <c r="J49" s="946"/>
      <c r="K49" s="946"/>
      <c r="L49" s="946"/>
      <c r="M49" s="946"/>
      <c r="N49" s="946"/>
      <c r="O49" s="946"/>
      <c r="P49" s="946"/>
      <c r="Q49" s="946"/>
      <c r="R49" s="946"/>
      <c r="S49" s="946"/>
      <c r="T49" s="946"/>
      <c r="U49" s="946"/>
      <c r="V49" s="947"/>
      <c r="W49" s="952"/>
      <c r="X49" s="953"/>
      <c r="Y49" s="954"/>
      <c r="Z49" s="933" t="s">
        <v>359</v>
      </c>
      <c r="AA49" s="934"/>
      <c r="AB49" s="935"/>
      <c r="AC49" s="936"/>
      <c r="AD49" s="937"/>
      <c r="AE49" s="937"/>
      <c r="AF49" s="937"/>
      <c r="AG49" s="937"/>
      <c r="AH49" s="938"/>
    </row>
    <row r="50" spans="2:34" ht="16.5" customHeight="1" x14ac:dyDescent="0.2">
      <c r="B50" s="979"/>
      <c r="C50" s="976"/>
      <c r="D50" s="945"/>
      <c r="E50" s="946"/>
      <c r="F50" s="946"/>
      <c r="G50" s="946"/>
      <c r="H50" s="946"/>
      <c r="I50" s="946"/>
      <c r="J50" s="946"/>
      <c r="K50" s="946"/>
      <c r="L50" s="946"/>
      <c r="M50" s="946"/>
      <c r="N50" s="946"/>
      <c r="O50" s="946"/>
      <c r="P50" s="946"/>
      <c r="Q50" s="946"/>
      <c r="R50" s="946"/>
      <c r="S50" s="946"/>
      <c r="T50" s="946"/>
      <c r="U50" s="946"/>
      <c r="V50" s="947"/>
      <c r="W50" s="955"/>
      <c r="X50" s="858"/>
      <c r="Y50" s="859"/>
      <c r="Z50" s="933" t="s">
        <v>352</v>
      </c>
      <c r="AA50" s="934"/>
      <c r="AB50" s="935"/>
      <c r="AC50" s="936"/>
      <c r="AD50" s="937"/>
      <c r="AE50" s="937"/>
      <c r="AF50" s="937"/>
      <c r="AG50" s="937"/>
      <c r="AH50" s="938"/>
    </row>
    <row r="51" spans="2:34" ht="16.5" customHeight="1" x14ac:dyDescent="0.2">
      <c r="B51" s="979"/>
      <c r="C51" s="976"/>
      <c r="D51" s="945"/>
      <c r="E51" s="946"/>
      <c r="F51" s="946"/>
      <c r="G51" s="946"/>
      <c r="H51" s="946"/>
      <c r="I51" s="946"/>
      <c r="J51" s="946"/>
      <c r="K51" s="946"/>
      <c r="L51" s="946"/>
      <c r="M51" s="946"/>
      <c r="N51" s="946"/>
      <c r="O51" s="946"/>
      <c r="P51" s="946"/>
      <c r="Q51" s="946"/>
      <c r="R51" s="946"/>
      <c r="S51" s="946"/>
      <c r="T51" s="946"/>
      <c r="U51" s="946"/>
      <c r="V51" s="947"/>
      <c r="W51" s="956" t="s">
        <v>360</v>
      </c>
      <c r="X51" s="957"/>
      <c r="Y51" s="958"/>
      <c r="Z51" s="933" t="s">
        <v>361</v>
      </c>
      <c r="AA51" s="934"/>
      <c r="AB51" s="935"/>
      <c r="AC51" s="988"/>
      <c r="AD51" s="989"/>
      <c r="AE51" s="989"/>
      <c r="AF51" s="989"/>
      <c r="AG51" s="989"/>
      <c r="AH51" s="990"/>
    </row>
    <row r="52" spans="2:34" ht="16.5" customHeight="1" x14ac:dyDescent="0.2">
      <c r="B52" s="979"/>
      <c r="C52" s="976"/>
      <c r="D52" s="945"/>
      <c r="E52" s="946"/>
      <c r="F52" s="946"/>
      <c r="G52" s="946"/>
      <c r="H52" s="946"/>
      <c r="I52" s="946"/>
      <c r="J52" s="946"/>
      <c r="K52" s="946"/>
      <c r="L52" s="946"/>
      <c r="M52" s="946"/>
      <c r="N52" s="946"/>
      <c r="O52" s="946"/>
      <c r="P52" s="946"/>
      <c r="Q52" s="946"/>
      <c r="R52" s="946"/>
      <c r="S52" s="946"/>
      <c r="T52" s="946"/>
      <c r="U52" s="946"/>
      <c r="V52" s="947"/>
      <c r="W52" s="959"/>
      <c r="X52" s="960"/>
      <c r="Y52" s="961"/>
      <c r="Z52" s="933" t="s">
        <v>362</v>
      </c>
      <c r="AA52" s="934"/>
      <c r="AB52" s="935"/>
      <c r="AC52" s="985"/>
      <c r="AD52" s="986"/>
      <c r="AE52" s="986"/>
      <c r="AF52" s="986"/>
      <c r="AG52" s="986"/>
      <c r="AH52" s="987"/>
    </row>
    <row r="53" spans="2:34" ht="16.5" customHeight="1" x14ac:dyDescent="0.2">
      <c r="B53" s="979"/>
      <c r="C53" s="976"/>
      <c r="D53" s="945"/>
      <c r="E53" s="946"/>
      <c r="F53" s="946"/>
      <c r="G53" s="946"/>
      <c r="H53" s="946"/>
      <c r="I53" s="946"/>
      <c r="J53" s="946"/>
      <c r="K53" s="946"/>
      <c r="L53" s="946"/>
      <c r="M53" s="946"/>
      <c r="N53" s="946"/>
      <c r="O53" s="946"/>
      <c r="P53" s="946"/>
      <c r="Q53" s="946"/>
      <c r="R53" s="946"/>
      <c r="S53" s="946"/>
      <c r="T53" s="946"/>
      <c r="U53" s="946"/>
      <c r="V53" s="947"/>
      <c r="W53" s="959"/>
      <c r="X53" s="960"/>
      <c r="Y53" s="961"/>
      <c r="Z53" s="933" t="s">
        <v>363</v>
      </c>
      <c r="AA53" s="934"/>
      <c r="AB53" s="935"/>
      <c r="AC53" s="985"/>
      <c r="AD53" s="986"/>
      <c r="AE53" s="986"/>
      <c r="AF53" s="986"/>
      <c r="AG53" s="986"/>
      <c r="AH53" s="987"/>
    </row>
    <row r="54" spans="2:34" ht="16.5" customHeight="1" x14ac:dyDescent="0.2">
      <c r="B54" s="979"/>
      <c r="C54" s="976"/>
      <c r="D54" s="945"/>
      <c r="E54" s="946"/>
      <c r="F54" s="946"/>
      <c r="G54" s="946"/>
      <c r="H54" s="946"/>
      <c r="I54" s="946"/>
      <c r="J54" s="946"/>
      <c r="K54" s="946"/>
      <c r="L54" s="946"/>
      <c r="M54" s="946"/>
      <c r="N54" s="946"/>
      <c r="O54" s="946"/>
      <c r="P54" s="946"/>
      <c r="Q54" s="946"/>
      <c r="R54" s="946"/>
      <c r="S54" s="946"/>
      <c r="T54" s="946"/>
      <c r="U54" s="946"/>
      <c r="V54" s="947"/>
      <c r="W54" s="962"/>
      <c r="X54" s="963"/>
      <c r="Y54" s="964"/>
      <c r="Z54" s="933" t="s">
        <v>364</v>
      </c>
      <c r="AA54" s="934"/>
      <c r="AB54" s="935"/>
      <c r="AC54" s="913"/>
      <c r="AD54" s="914"/>
      <c r="AE54" s="914"/>
      <c r="AF54" s="914"/>
      <c r="AG54" s="914"/>
      <c r="AH54" s="915"/>
    </row>
    <row r="55" spans="2:34" ht="16.5" customHeight="1" x14ac:dyDescent="0.2">
      <c r="B55" s="979"/>
      <c r="C55" s="976"/>
      <c r="D55" s="945"/>
      <c r="E55" s="946"/>
      <c r="F55" s="946"/>
      <c r="G55" s="946"/>
      <c r="H55" s="946"/>
      <c r="I55" s="946"/>
      <c r="J55" s="946"/>
      <c r="K55" s="946"/>
      <c r="L55" s="946"/>
      <c r="M55" s="946"/>
      <c r="N55" s="946"/>
      <c r="O55" s="946"/>
      <c r="P55" s="946"/>
      <c r="Q55" s="946"/>
      <c r="R55" s="946"/>
      <c r="S55" s="946"/>
      <c r="T55" s="946"/>
      <c r="U55" s="946"/>
      <c r="V55" s="947"/>
      <c r="W55" s="952" t="s">
        <v>365</v>
      </c>
      <c r="X55" s="953"/>
      <c r="Y55" s="954"/>
      <c r="Z55" s="933" t="s">
        <v>366</v>
      </c>
      <c r="AA55" s="934"/>
      <c r="AB55" s="935"/>
      <c r="AC55" s="936"/>
      <c r="AD55" s="937"/>
      <c r="AE55" s="937"/>
      <c r="AF55" s="937"/>
      <c r="AG55" s="937"/>
      <c r="AH55" s="938"/>
    </row>
    <row r="56" spans="2:34" ht="16.5" customHeight="1" x14ac:dyDescent="0.2">
      <c r="B56" s="979"/>
      <c r="C56" s="976"/>
      <c r="D56" s="945"/>
      <c r="E56" s="946"/>
      <c r="F56" s="946"/>
      <c r="G56" s="946"/>
      <c r="H56" s="946"/>
      <c r="I56" s="946"/>
      <c r="J56" s="946"/>
      <c r="K56" s="946"/>
      <c r="L56" s="946"/>
      <c r="M56" s="946"/>
      <c r="N56" s="946"/>
      <c r="O56" s="946"/>
      <c r="P56" s="946"/>
      <c r="Q56" s="946"/>
      <c r="R56" s="946"/>
      <c r="S56" s="946"/>
      <c r="T56" s="946"/>
      <c r="U56" s="946"/>
      <c r="V56" s="947"/>
      <c r="W56" s="952"/>
      <c r="X56" s="953"/>
      <c r="Y56" s="954"/>
      <c r="Z56" s="933" t="s">
        <v>367</v>
      </c>
      <c r="AA56" s="934"/>
      <c r="AB56" s="935"/>
      <c r="AC56" s="936"/>
      <c r="AD56" s="937"/>
      <c r="AE56" s="937"/>
      <c r="AF56" s="937"/>
      <c r="AG56" s="937"/>
      <c r="AH56" s="938"/>
    </row>
    <row r="57" spans="2:34" ht="16.5" customHeight="1" thickBot="1" x14ac:dyDescent="0.25">
      <c r="B57" s="980"/>
      <c r="C57" s="981"/>
      <c r="D57" s="948"/>
      <c r="E57" s="949"/>
      <c r="F57" s="949"/>
      <c r="G57" s="949"/>
      <c r="H57" s="949"/>
      <c r="I57" s="949"/>
      <c r="J57" s="949"/>
      <c r="K57" s="949"/>
      <c r="L57" s="949"/>
      <c r="M57" s="949"/>
      <c r="N57" s="949"/>
      <c r="O57" s="949"/>
      <c r="P57" s="949"/>
      <c r="Q57" s="949"/>
      <c r="R57" s="949"/>
      <c r="S57" s="949"/>
      <c r="T57" s="949"/>
      <c r="U57" s="949"/>
      <c r="V57" s="950"/>
      <c r="W57" s="965"/>
      <c r="X57" s="822"/>
      <c r="Y57" s="823"/>
      <c r="Z57" s="968" t="s">
        <v>306</v>
      </c>
      <c r="AA57" s="969"/>
      <c r="AB57" s="970"/>
      <c r="AC57" s="971"/>
      <c r="AD57" s="972"/>
      <c r="AE57" s="972"/>
      <c r="AF57" s="972"/>
      <c r="AG57" s="972"/>
      <c r="AH57" s="973"/>
    </row>
    <row r="58" spans="2:34" ht="12" customHeight="1" x14ac:dyDescent="0.2">
      <c r="AH58" s="424"/>
    </row>
  </sheetData>
  <mergeCells count="167">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 ref="AC50:AH50"/>
    <mergeCell ref="Z56:AB56"/>
    <mergeCell ref="Z57:AB57"/>
    <mergeCell ref="AC55:AH55"/>
    <mergeCell ref="AC56:AH56"/>
    <mergeCell ref="AC57:AH57"/>
    <mergeCell ref="Z49:AB49"/>
    <mergeCell ref="Z50:AB50"/>
    <mergeCell ref="Z53:AB53"/>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12:E12"/>
    <mergeCell ref="B14:E15"/>
    <mergeCell ref="B11:E11"/>
    <mergeCell ref="O14:R14"/>
    <mergeCell ref="F15:I15"/>
    <mergeCell ref="R12:X12"/>
    <mergeCell ref="S15:V15"/>
    <mergeCell ref="S25:V25"/>
    <mergeCell ref="O12:Q12"/>
    <mergeCell ref="J24:N24"/>
    <mergeCell ref="AG8:AH8"/>
    <mergeCell ref="U8:W8"/>
    <mergeCell ref="X8:Z8"/>
    <mergeCell ref="AA8:AC8"/>
    <mergeCell ref="AA9:AC9"/>
    <mergeCell ref="AD9:AF9"/>
    <mergeCell ref="U9:W9"/>
    <mergeCell ref="X9:Z9"/>
    <mergeCell ref="AD8:AF8"/>
    <mergeCell ref="AG9:AH9"/>
    <mergeCell ref="Y1:AH1"/>
    <mergeCell ref="V1:X1"/>
    <mergeCell ref="V2:X2"/>
    <mergeCell ref="S1:U1"/>
    <mergeCell ref="S2:U2"/>
    <mergeCell ref="Y2:AB2"/>
    <mergeCell ref="AC4:AE7"/>
    <mergeCell ref="AF4:AH7"/>
    <mergeCell ref="Y3:AB7"/>
    <mergeCell ref="AF2:AH2"/>
    <mergeCell ref="AF3:AH3"/>
    <mergeCell ref="AC2:AE2"/>
    <mergeCell ref="AC3:AE3"/>
    <mergeCell ref="J7:O7"/>
    <mergeCell ref="B8:O8"/>
    <mergeCell ref="B9:O9"/>
    <mergeCell ref="P1:R1"/>
    <mergeCell ref="P2:R2"/>
    <mergeCell ref="V3:X7"/>
    <mergeCell ref="S3:U7"/>
    <mergeCell ref="P3:R7"/>
    <mergeCell ref="B1:G5"/>
    <mergeCell ref="H1:O5"/>
    <mergeCell ref="B6:I6"/>
    <mergeCell ref="J6:O6"/>
    <mergeCell ref="B7:I7"/>
    <mergeCell ref="P8:T8"/>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3203125" style="344" customWidth="1"/>
    <col min="3" max="3" width="15.109375" style="344" customWidth="1"/>
    <col min="4" max="4" width="10.77734375" style="344" customWidth="1"/>
    <col min="5" max="8" width="9.33203125" style="344" customWidth="1"/>
    <col min="9" max="10" width="14" style="344" hidden="1" customWidth="1" outlineLevel="1"/>
    <col min="11" max="11" width="9.33203125" style="344" customWidth="1" collapsed="1"/>
    <col min="12" max="12" width="9.33203125" style="343" customWidth="1"/>
    <col min="13" max="13" width="12.109375" style="343" customWidth="1"/>
    <col min="14" max="14" width="10.21875" style="343" customWidth="1"/>
    <col min="15" max="15" width="12.77734375" style="343" hidden="1" customWidth="1" outlineLevel="1"/>
    <col min="16" max="16" width="9.33203125" style="343" customWidth="1" collapsed="1"/>
    <col min="17" max="17" width="9.33203125" style="343" customWidth="1"/>
    <col min="18" max="18" width="19.77734375" style="343" customWidth="1"/>
    <col min="19" max="19" width="24.6640625" style="343" customWidth="1"/>
    <col min="20" max="20" width="11.6640625" style="343" customWidth="1"/>
    <col min="21" max="21" width="12.44140625" style="343" hidden="1" customWidth="1" outlineLevel="1"/>
    <col min="22" max="22" width="11.77734375" style="343" customWidth="1" collapsed="1"/>
    <col min="23" max="23" width="17.6640625" style="343" customWidth="1"/>
    <col min="24" max="24" width="13.44140625" style="343" hidden="1" customWidth="1" outlineLevel="1"/>
    <col min="25" max="25" width="16.6640625" style="343" customWidth="1" collapsed="1"/>
    <col min="26" max="26" width="16.77734375" style="343" customWidth="1"/>
    <col min="27" max="27" width="16.77734375" style="343" hidden="1" customWidth="1" outlineLevel="1"/>
    <col min="28" max="28" width="16.6640625" style="343" customWidth="1" collapsed="1"/>
    <col min="29" max="29" width="16.77734375" style="343" customWidth="1"/>
    <col min="30" max="30" width="16.77734375" style="343" hidden="1" customWidth="1" outlineLevel="1"/>
    <col min="31" max="31" width="13.109375" style="343" customWidth="1" collapsed="1"/>
    <col min="32" max="32" width="21.88671875" style="343" hidden="1" customWidth="1" outlineLevel="1"/>
    <col min="33" max="33" width="17.44140625" style="343" customWidth="1" collapsed="1"/>
    <col min="34" max="34" width="15.88671875" style="344" customWidth="1"/>
    <col min="35" max="35" width="15.21875" style="344" customWidth="1"/>
    <col min="36" max="37" width="11.44140625" style="344" customWidth="1"/>
    <col min="38" max="38" width="9.33203125" style="344" hidden="1" customWidth="1" outlineLevel="1"/>
    <col min="39" max="39" width="9.33203125" style="344" customWidth="1" collapsed="1"/>
    <col min="40" max="41" width="18.109375" style="343" hidden="1" customWidth="1" outlineLevel="1"/>
    <col min="42" max="42" width="18.109375" style="345" hidden="1" customWidth="1" outlineLevel="1"/>
    <col min="43" max="54" width="18.109375" style="343" hidden="1" customWidth="1" outlineLevel="1"/>
    <col min="55" max="55" width="8" style="343" customWidth="1" collapsed="1"/>
    <col min="56" max="16384" width="8" style="343"/>
  </cols>
  <sheetData>
    <row r="1" spans="1:76" ht="16.5" customHeight="1" x14ac:dyDescent="0.15">
      <c r="A1" s="991" t="s">
        <v>727</v>
      </c>
      <c r="B1" s="991"/>
      <c r="C1" s="992" t="s">
        <v>368</v>
      </c>
      <c r="D1" s="993"/>
      <c r="E1" s="993"/>
      <c r="F1" s="993"/>
      <c r="G1" s="994"/>
      <c r="H1" s="991" t="s">
        <v>465</v>
      </c>
      <c r="I1" s="991"/>
      <c r="J1" s="991"/>
      <c r="K1" s="991"/>
      <c r="L1" s="991"/>
      <c r="M1" s="991"/>
      <c r="N1" s="991" t="s">
        <v>466</v>
      </c>
      <c r="O1" s="991"/>
      <c r="P1" s="991"/>
      <c r="Q1" s="991"/>
      <c r="R1" s="991"/>
      <c r="S1" s="991" t="s">
        <v>310</v>
      </c>
      <c r="T1" s="991"/>
      <c r="U1" s="991"/>
      <c r="V1" s="991"/>
      <c r="W1" s="991"/>
      <c r="X1" s="342"/>
      <c r="Y1" s="991" t="s">
        <v>311</v>
      </c>
      <c r="Z1" s="991"/>
    </row>
    <row r="2" spans="1:76" ht="16.5" customHeight="1" x14ac:dyDescent="0.15">
      <c r="A2" s="991"/>
      <c r="B2" s="991"/>
      <c r="C2" s="995"/>
      <c r="D2" s="996"/>
      <c r="E2" s="996"/>
      <c r="F2" s="996"/>
      <c r="G2" s="997"/>
      <c r="H2" s="991"/>
      <c r="I2" s="991"/>
      <c r="J2" s="991"/>
      <c r="K2" s="991"/>
      <c r="L2" s="991"/>
      <c r="M2" s="991"/>
      <c r="N2" s="991"/>
      <c r="O2" s="991"/>
      <c r="P2" s="991"/>
      <c r="Q2" s="991"/>
      <c r="R2" s="991"/>
      <c r="S2" s="991"/>
      <c r="T2" s="991"/>
      <c r="U2" s="991"/>
      <c r="V2" s="991"/>
      <c r="W2" s="991"/>
      <c r="X2" s="342"/>
      <c r="Y2" s="991"/>
      <c r="Z2" s="991"/>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1005" t="s">
        <v>369</v>
      </c>
      <c r="D4" s="1006"/>
      <c r="E4" s="1006"/>
      <c r="F4" s="1006"/>
      <c r="G4" s="1007" t="s">
        <v>370</v>
      </c>
      <c r="H4" s="1008"/>
      <c r="I4" s="1008"/>
      <c r="J4" s="1008"/>
      <c r="K4" s="1009"/>
      <c r="L4" s="1010" t="s">
        <v>371</v>
      </c>
      <c r="M4" s="1011"/>
      <c r="N4" s="1011"/>
      <c r="O4" s="1011"/>
      <c r="P4" s="1011"/>
      <c r="Q4" s="1011"/>
      <c r="R4" s="1012"/>
      <c r="S4" s="1013" t="s">
        <v>372</v>
      </c>
      <c r="T4" s="1014"/>
      <c r="U4" s="1014"/>
      <c r="V4" s="1014"/>
      <c r="W4" s="1014"/>
      <c r="X4" s="1014"/>
      <c r="Y4" s="1014"/>
      <c r="Z4" s="1014"/>
      <c r="AA4" s="1014"/>
      <c r="AB4" s="1014"/>
      <c r="AC4" s="1014"/>
      <c r="AD4" s="1014"/>
      <c r="AE4" s="1014"/>
      <c r="AF4" s="1014"/>
      <c r="AG4" s="1015"/>
      <c r="AH4" s="1016" t="s">
        <v>373</v>
      </c>
      <c r="AI4" s="1017"/>
      <c r="AJ4" s="1017"/>
      <c r="AK4" s="1017"/>
      <c r="AL4" s="1017"/>
      <c r="AM4" s="1018"/>
      <c r="AN4" s="348"/>
      <c r="AO4" s="349"/>
      <c r="AP4" s="350"/>
      <c r="AQ4" s="351"/>
      <c r="AR4" s="351"/>
      <c r="AS4" s="1019"/>
      <c r="AT4" s="1019"/>
      <c r="AU4" s="1019"/>
      <c r="AV4" s="1019"/>
      <c r="AW4" s="1019"/>
      <c r="AX4" s="1019"/>
      <c r="AY4" s="1019"/>
      <c r="AZ4" s="1019"/>
      <c r="BA4" s="1019"/>
      <c r="BB4" s="1020"/>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998" t="s">
        <v>750</v>
      </c>
      <c r="Z5" s="999"/>
      <c r="AA5" s="533"/>
      <c r="AB5" s="533"/>
      <c r="AC5" s="533"/>
      <c r="AD5" s="533"/>
      <c r="AE5" s="369" t="s">
        <v>375</v>
      </c>
      <c r="AF5" s="370"/>
      <c r="AG5" s="371"/>
      <c r="AH5" s="372"/>
      <c r="AI5" s="373"/>
      <c r="AJ5" s="373" t="s">
        <v>376</v>
      </c>
      <c r="AK5" s="1000" t="s">
        <v>377</v>
      </c>
      <c r="AL5" s="1001"/>
      <c r="AM5" s="1002"/>
      <c r="AN5" s="374"/>
      <c r="AO5" s="349"/>
      <c r="AP5" s="375"/>
      <c r="AQ5" s="349"/>
      <c r="AR5" s="349"/>
      <c r="AS5" s="1003" t="s">
        <v>239</v>
      </c>
      <c r="AT5" s="1003"/>
      <c r="AU5" s="1003"/>
      <c r="AV5" s="1003"/>
      <c r="AW5" s="1003"/>
      <c r="AX5" s="1003"/>
      <c r="AY5" s="1003"/>
      <c r="AZ5" s="1003"/>
      <c r="BA5" s="1003"/>
      <c r="BB5" s="1004"/>
    </row>
    <row r="6" spans="1:76" s="401" customFormat="1" ht="23.25" customHeight="1" x14ac:dyDescent="0.2">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2">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5:Z5"/>
    <mergeCell ref="AK5:AM5"/>
    <mergeCell ref="AS5:BB5"/>
    <mergeCell ref="C4:F4"/>
    <mergeCell ref="G4:K4"/>
    <mergeCell ref="L4:R4"/>
    <mergeCell ref="S4:AG4"/>
    <mergeCell ref="AH4:AM4"/>
    <mergeCell ref="AS4:BB4"/>
    <mergeCell ref="A1:B2"/>
    <mergeCell ref="C1:G2"/>
    <mergeCell ref="H1:M1"/>
    <mergeCell ref="N1:R1"/>
    <mergeCell ref="S1:W1"/>
    <mergeCell ref="Y1:Z1"/>
    <mergeCell ref="H2:M2"/>
    <mergeCell ref="N2:R2"/>
    <mergeCell ref="S2:W2"/>
    <mergeCell ref="Y2:Z2"/>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formula1>$BD$3:$BX$3</formula1>
    </dataValidation>
    <dataValidation type="list" allowBlank="1" showInputMessage="1" showErrorMessage="1" sqref="AE8:AE9">
      <formula1>"　,関連あり,関連なし"</formula1>
    </dataValidation>
    <dataValidation type="list" allowBlank="1" showInputMessage="1" showErrorMessage="1" sqref="AC8:AC9">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formula1>"　,企画支援,要件定義,基本設計,詳細設計,製造,結合テスト,システムテスト,移行導入,その他"</formula1>
    </dataValidation>
    <dataValidation type="list" allowBlank="1" showInputMessage="1" showErrorMessage="1" sqref="Z8:Z9">
      <formula1>"　,テスト項目抽出漏れ,テスト実施漏れ,環境上の問題で後工程に確認予定,結果確認ミス,その他"</formula1>
    </dataValidation>
    <dataValidation type="list" allowBlank="1" showInputMessage="1" showErrorMessage="1" sqref="Y8:Y9">
      <formula1>"　,製造（単体テスト）,結合テスト,システムテスト"</formula1>
    </dataValidation>
    <dataValidation type="list" allowBlank="1" showInputMessage="1" showErrorMessage="1" sqref="W8:W9">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formula1>"　,バグである,バグでない,潜在バグ"</formula1>
    </dataValidation>
    <dataValidation type="list" allowBlank="1" showInputMessage="1" showErrorMessage="1" sqref="Q8:Q9">
      <formula1>"　,1,2,3"</formula1>
    </dataValidation>
    <dataValidation type="list" allowBlank="1" showInputMessage="1" showErrorMessage="1" sqref="P8:P9">
      <formula1>"　,1,2,3,4"</formula1>
    </dataValidation>
    <dataValidation type="list" allowBlank="1" showInputMessage="1" showErrorMessage="1" sqref="N8:N9">
      <formula1>"　,システムダウン,ABEND,データ内容不正,機能障害,形式不正,その他"</formula1>
    </dataValidation>
    <dataValidation type="list" allowBlank="1" showInputMessage="1" showErrorMessage="1" sqref="K8:K9">
      <formula1>"　,単体テスト,結合テスト,システムテスト,ユーザ確認テスト,移行導入"</formula1>
    </dataValidation>
    <dataValidation type="list" allowBlank="1" showInputMessage="1" showErrorMessage="1" sqref="A8:A9">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8671875" defaultRowHeight="15" customHeight="1" x14ac:dyDescent="0.2"/>
  <cols>
    <col min="1" max="1" width="9" style="174" customWidth="1"/>
    <col min="2" max="10" width="4.88671875" style="174"/>
    <col min="11" max="12" width="5.21875" style="174" bestFit="1" customWidth="1"/>
    <col min="13" max="15" width="4.88671875" style="174"/>
    <col min="16" max="16" width="5.21875" style="174" bestFit="1" customWidth="1"/>
    <col min="17" max="17" width="4.88671875" style="174"/>
    <col min="18" max="18" width="5.21875" style="174" bestFit="1" customWidth="1"/>
    <col min="19" max="16384" width="4.88671875" style="174"/>
  </cols>
  <sheetData>
    <row r="1" spans="1:49" s="5" customFormat="1" ht="12" customHeight="1" x14ac:dyDescent="0.2">
      <c r="A1" s="1021" t="s">
        <v>717</v>
      </c>
      <c r="B1" s="1022"/>
      <c r="C1" s="1022"/>
      <c r="D1" s="1022"/>
      <c r="E1" s="1023"/>
      <c r="F1" s="1030" t="s">
        <v>68</v>
      </c>
      <c r="G1" s="1030"/>
      <c r="H1" s="1030"/>
      <c r="I1" s="1030"/>
      <c r="J1" s="1030"/>
      <c r="K1" s="1030"/>
      <c r="L1" s="1030"/>
      <c r="M1" s="1030"/>
      <c r="N1" s="1030"/>
      <c r="O1" s="1030"/>
      <c r="P1" s="1030"/>
      <c r="Q1" s="1030"/>
      <c r="R1" s="1030"/>
      <c r="S1" s="1031" t="s">
        <v>305</v>
      </c>
      <c r="T1" s="1031"/>
      <c r="U1" s="1031"/>
      <c r="V1" s="1031" t="s">
        <v>306</v>
      </c>
      <c r="W1" s="1031"/>
      <c r="X1" s="1031"/>
      <c r="Y1" s="1031" t="s">
        <v>237</v>
      </c>
      <c r="Z1" s="1031"/>
      <c r="AA1" s="1031"/>
      <c r="AB1" s="1031" t="s">
        <v>307</v>
      </c>
      <c r="AC1" s="1031"/>
      <c r="AD1" s="1031"/>
      <c r="AE1" s="1031"/>
      <c r="AF1" s="1031"/>
      <c r="AG1" s="1031"/>
      <c r="AH1" s="1031"/>
      <c r="AI1" s="1031"/>
      <c r="AJ1" s="1031"/>
    </row>
    <row r="2" spans="1:49" s="5" customFormat="1" ht="12" customHeight="1" x14ac:dyDescent="0.2">
      <c r="A2" s="1024"/>
      <c r="B2" s="1025"/>
      <c r="C2" s="1025"/>
      <c r="D2" s="1025"/>
      <c r="E2" s="1026"/>
      <c r="F2" s="1030"/>
      <c r="G2" s="1030"/>
      <c r="H2" s="1030"/>
      <c r="I2" s="1030"/>
      <c r="J2" s="1030"/>
      <c r="K2" s="1030"/>
      <c r="L2" s="1030"/>
      <c r="M2" s="1030"/>
      <c r="N2" s="1030"/>
      <c r="O2" s="1030"/>
      <c r="P2" s="1030"/>
      <c r="Q2" s="1030"/>
      <c r="R2" s="1030"/>
      <c r="S2" s="1031" t="s">
        <v>718</v>
      </c>
      <c r="T2" s="1031"/>
      <c r="U2" s="1031"/>
      <c r="V2" s="1031" t="s">
        <v>718</v>
      </c>
      <c r="W2" s="1031"/>
      <c r="X2" s="1031"/>
      <c r="Y2" s="1031" t="s">
        <v>718</v>
      </c>
      <c r="Z2" s="1031"/>
      <c r="AA2" s="1031"/>
      <c r="AB2" s="1034" t="s">
        <v>308</v>
      </c>
      <c r="AC2" s="1034"/>
      <c r="AD2" s="1034"/>
      <c r="AE2" s="1031" t="s">
        <v>306</v>
      </c>
      <c r="AF2" s="1031"/>
      <c r="AG2" s="1031"/>
      <c r="AH2" s="1031" t="s">
        <v>237</v>
      </c>
      <c r="AI2" s="1031"/>
      <c r="AJ2" s="1031"/>
    </row>
    <row r="3" spans="1:49" s="5" customFormat="1" ht="12" customHeight="1" x14ac:dyDescent="0.2">
      <c r="A3" s="1024"/>
      <c r="B3" s="1025"/>
      <c r="C3" s="1025"/>
      <c r="D3" s="1025"/>
      <c r="E3" s="1026"/>
      <c r="F3" s="1030"/>
      <c r="G3" s="1030"/>
      <c r="H3" s="1030"/>
      <c r="I3" s="1030"/>
      <c r="J3" s="1030"/>
      <c r="K3" s="1030"/>
      <c r="L3" s="1030"/>
      <c r="M3" s="1030"/>
      <c r="N3" s="1030"/>
      <c r="O3" s="1030"/>
      <c r="P3" s="1030"/>
      <c r="Q3" s="1030"/>
      <c r="R3" s="1030"/>
      <c r="S3" s="1031"/>
      <c r="T3" s="1031"/>
      <c r="U3" s="1031"/>
      <c r="V3" s="1031"/>
      <c r="W3" s="1031"/>
      <c r="X3" s="1031"/>
      <c r="Y3" s="1031"/>
      <c r="Z3" s="1031"/>
      <c r="AA3" s="1031"/>
      <c r="AB3" s="1031"/>
      <c r="AC3" s="1031"/>
      <c r="AD3" s="1031"/>
      <c r="AE3" s="1031" t="s">
        <v>718</v>
      </c>
      <c r="AF3" s="1031"/>
      <c r="AG3" s="1031"/>
      <c r="AH3" s="1031" t="s">
        <v>718</v>
      </c>
      <c r="AI3" s="1031"/>
      <c r="AJ3" s="1031"/>
    </row>
    <row r="4" spans="1:49" s="5" customFormat="1" ht="12" customHeight="1" x14ac:dyDescent="0.2">
      <c r="A4" s="1024"/>
      <c r="B4" s="1025"/>
      <c r="C4" s="1025"/>
      <c r="D4" s="1025"/>
      <c r="E4" s="1026"/>
      <c r="F4" s="1030"/>
      <c r="G4" s="1030"/>
      <c r="H4" s="1030"/>
      <c r="I4" s="1030"/>
      <c r="J4" s="1030"/>
      <c r="K4" s="1030"/>
      <c r="L4" s="1030"/>
      <c r="M4" s="1030"/>
      <c r="N4" s="1030"/>
      <c r="O4" s="1030"/>
      <c r="P4" s="1030"/>
      <c r="Q4" s="1030"/>
      <c r="R4" s="1030"/>
      <c r="S4" s="1031"/>
      <c r="T4" s="1031"/>
      <c r="U4" s="1031"/>
      <c r="V4" s="1031"/>
      <c r="W4" s="1031"/>
      <c r="X4" s="1031"/>
      <c r="Y4" s="1031"/>
      <c r="Z4" s="1031"/>
      <c r="AA4" s="1031"/>
      <c r="AB4" s="1031"/>
      <c r="AC4" s="1031"/>
      <c r="AD4" s="1031"/>
      <c r="AE4" s="1035"/>
      <c r="AF4" s="1036"/>
      <c r="AG4" s="1037"/>
      <c r="AH4" s="1035"/>
      <c r="AI4" s="1036"/>
      <c r="AJ4" s="1037"/>
    </row>
    <row r="5" spans="1:49" s="5" customFormat="1" ht="12" customHeight="1" x14ac:dyDescent="0.2">
      <c r="A5" s="1027"/>
      <c r="B5" s="1028"/>
      <c r="C5" s="1028"/>
      <c r="D5" s="1028"/>
      <c r="E5" s="1029"/>
      <c r="F5" s="1030"/>
      <c r="G5" s="1030"/>
      <c r="H5" s="1030"/>
      <c r="I5" s="1030"/>
      <c r="J5" s="1030"/>
      <c r="K5" s="1030"/>
      <c r="L5" s="1030"/>
      <c r="M5" s="1030"/>
      <c r="N5" s="1030"/>
      <c r="O5" s="1030"/>
      <c r="P5" s="1030"/>
      <c r="Q5" s="1030"/>
      <c r="R5" s="1030"/>
      <c r="S5" s="1031"/>
      <c r="T5" s="1031"/>
      <c r="U5" s="1031"/>
      <c r="V5" s="1031"/>
      <c r="W5" s="1031"/>
      <c r="X5" s="1031"/>
      <c r="Y5" s="1031"/>
      <c r="Z5" s="1031"/>
      <c r="AA5" s="1031"/>
      <c r="AB5" s="1031"/>
      <c r="AC5" s="1031"/>
      <c r="AD5" s="1031"/>
      <c r="AE5" s="1038"/>
      <c r="AF5" s="1039"/>
      <c r="AG5" s="1040"/>
      <c r="AH5" s="1038"/>
      <c r="AI5" s="1039"/>
      <c r="AJ5" s="1040"/>
    </row>
    <row r="6" spans="1:49" s="5" customFormat="1" ht="12" customHeight="1" x14ac:dyDescent="0.2">
      <c r="A6" s="1032" t="s">
        <v>465</v>
      </c>
      <c r="B6" s="1032"/>
      <c r="C6" s="1032"/>
      <c r="D6" s="1032"/>
      <c r="E6" s="1032"/>
      <c r="F6" s="1032"/>
      <c r="G6" s="1032"/>
      <c r="H6" s="1032"/>
      <c r="I6" s="1032"/>
      <c r="J6" s="1032" t="s">
        <v>466</v>
      </c>
      <c r="K6" s="1032"/>
      <c r="L6" s="1032"/>
      <c r="M6" s="1032"/>
      <c r="N6" s="1032"/>
      <c r="O6" s="1032"/>
      <c r="P6" s="1032"/>
      <c r="Q6" s="1032"/>
      <c r="R6" s="1032"/>
      <c r="S6" s="1031"/>
      <c r="T6" s="1031"/>
      <c r="U6" s="1031"/>
      <c r="V6" s="1031"/>
      <c r="W6" s="1031"/>
      <c r="X6" s="1031"/>
      <c r="Y6" s="1031"/>
      <c r="Z6" s="1031"/>
      <c r="AA6" s="1031"/>
      <c r="AB6" s="1031"/>
      <c r="AC6" s="1031"/>
      <c r="AD6" s="1031"/>
      <c r="AE6" s="1038"/>
      <c r="AF6" s="1039"/>
      <c r="AG6" s="1040"/>
      <c r="AH6" s="1038"/>
      <c r="AI6" s="1039"/>
      <c r="AJ6" s="1040"/>
    </row>
    <row r="7" spans="1:49" s="5" customFormat="1" ht="12" customHeight="1" x14ac:dyDescent="0.2">
      <c r="A7" s="1033" t="s">
        <v>719</v>
      </c>
      <c r="B7" s="1032"/>
      <c r="C7" s="1032"/>
      <c r="D7" s="1032"/>
      <c r="E7" s="1032"/>
      <c r="F7" s="1032"/>
      <c r="G7" s="1032"/>
      <c r="H7" s="1032"/>
      <c r="I7" s="1032"/>
      <c r="J7" s="1033" t="s">
        <v>720</v>
      </c>
      <c r="K7" s="1032"/>
      <c r="L7" s="1032"/>
      <c r="M7" s="1032"/>
      <c r="N7" s="1032"/>
      <c r="O7" s="1032"/>
      <c r="P7" s="1032"/>
      <c r="Q7" s="1032"/>
      <c r="R7" s="1032"/>
      <c r="S7" s="1031"/>
      <c r="T7" s="1031"/>
      <c r="U7" s="1031"/>
      <c r="V7" s="1031"/>
      <c r="W7" s="1031"/>
      <c r="X7" s="1031"/>
      <c r="Y7" s="1031"/>
      <c r="Z7" s="1031"/>
      <c r="AA7" s="1031"/>
      <c r="AB7" s="1031"/>
      <c r="AC7" s="1031"/>
      <c r="AD7" s="1031"/>
      <c r="AE7" s="1041"/>
      <c r="AF7" s="1042"/>
      <c r="AG7" s="1043"/>
      <c r="AH7" s="1041"/>
      <c r="AI7" s="1042"/>
      <c r="AJ7" s="1043"/>
    </row>
    <row r="8" spans="1:49" s="5" customFormat="1" ht="12" customHeight="1" x14ac:dyDescent="0.2">
      <c r="A8" s="1032" t="s">
        <v>310</v>
      </c>
      <c r="B8" s="1032"/>
      <c r="C8" s="1032"/>
      <c r="D8" s="1032"/>
      <c r="E8" s="1032"/>
      <c r="F8" s="1032"/>
      <c r="G8" s="1032"/>
      <c r="H8" s="1032"/>
      <c r="I8" s="1032"/>
      <c r="J8" s="1032"/>
      <c r="K8" s="1032"/>
      <c r="L8" s="1032"/>
      <c r="M8" s="1032"/>
      <c r="N8" s="1032"/>
      <c r="O8" s="1032"/>
      <c r="P8" s="1032"/>
      <c r="Q8" s="1032"/>
      <c r="R8" s="1032"/>
      <c r="S8" s="762" t="s">
        <v>139</v>
      </c>
      <c r="T8" s="762"/>
      <c r="U8" s="762"/>
      <c r="V8" s="762"/>
      <c r="W8" s="762"/>
      <c r="X8" s="762"/>
      <c r="Y8" s="260" t="s">
        <v>721</v>
      </c>
      <c r="Z8" s="261"/>
      <c r="AA8" s="779">
        <v>42471</v>
      </c>
      <c r="AB8" s="780"/>
      <c r="AC8" s="781"/>
      <c r="AD8" s="782" t="s">
        <v>468</v>
      </c>
      <c r="AE8" s="783"/>
      <c r="AF8" s="784">
        <v>42515</v>
      </c>
      <c r="AG8" s="780"/>
      <c r="AH8" s="781"/>
      <c r="AI8" s="782" t="s">
        <v>469</v>
      </c>
      <c r="AJ8" s="783"/>
    </row>
    <row r="9" spans="1:49" s="5" customFormat="1" ht="12" customHeight="1" x14ac:dyDescent="0.2">
      <c r="A9" s="1033" t="s">
        <v>722</v>
      </c>
      <c r="B9" s="1032"/>
      <c r="C9" s="1032"/>
      <c r="D9" s="1032"/>
      <c r="E9" s="1032"/>
      <c r="F9" s="1032"/>
      <c r="G9" s="1032"/>
      <c r="H9" s="1032"/>
      <c r="I9" s="1032"/>
      <c r="J9" s="1032"/>
      <c r="K9" s="1032"/>
      <c r="L9" s="1032"/>
      <c r="M9" s="1032"/>
      <c r="N9" s="1032"/>
      <c r="O9" s="1032"/>
      <c r="P9" s="1032"/>
      <c r="Q9" s="1032"/>
      <c r="R9" s="1032"/>
      <c r="S9" s="1044" t="s">
        <v>723</v>
      </c>
      <c r="T9" s="762"/>
      <c r="U9" s="762"/>
      <c r="V9" s="762"/>
      <c r="W9" s="762"/>
      <c r="X9" s="762"/>
      <c r="Y9" s="263" t="s">
        <v>724</v>
      </c>
      <c r="Z9" s="264"/>
      <c r="AA9" s="1045" t="s">
        <v>725</v>
      </c>
      <c r="AB9" s="774"/>
      <c r="AC9" s="775"/>
      <c r="AD9" s="776" t="s">
        <v>471</v>
      </c>
      <c r="AE9" s="775"/>
      <c r="AF9" s="1046" t="s">
        <v>386</v>
      </c>
      <c r="AG9" s="774"/>
      <c r="AH9" s="775"/>
      <c r="AI9" s="777">
        <v>1.3</v>
      </c>
      <c r="AJ9" s="778"/>
    </row>
    <row r="10" spans="1:49" s="5" customFormat="1" ht="12" customHeight="1" x14ac:dyDescent="0.2">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2">
      <c r="A11" s="171" t="s">
        <v>208</v>
      </c>
      <c r="B11" s="172"/>
      <c r="C11" s="173"/>
      <c r="D11" s="1047" t="s">
        <v>288</v>
      </c>
      <c r="E11" s="1048"/>
      <c r="F11" s="1048"/>
      <c r="G11" s="1048"/>
      <c r="H11" s="1049"/>
      <c r="U11" s="709" t="s">
        <v>712</v>
      </c>
      <c r="V11" s="710"/>
      <c r="W11" s="553" t="s">
        <v>726</v>
      </c>
      <c r="X11" s="554"/>
      <c r="Y11" s="554"/>
      <c r="Z11" s="554"/>
      <c r="AA11" s="554"/>
      <c r="AB11" s="554"/>
      <c r="AC11" s="554"/>
      <c r="AD11" s="554"/>
      <c r="AE11" s="554"/>
      <c r="AF11" s="554"/>
      <c r="AG11" s="554"/>
      <c r="AH11" s="554"/>
      <c r="AI11" s="554"/>
      <c r="AJ11" s="555"/>
      <c r="AK11" s="528"/>
      <c r="AL11" s="528"/>
      <c r="AM11" s="528"/>
      <c r="AN11" s="528"/>
      <c r="AO11" s="528"/>
      <c r="AP11" s="528"/>
      <c r="AQ11" s="528"/>
      <c r="AR11" s="528"/>
      <c r="AS11" s="528"/>
      <c r="AT11" s="528"/>
      <c r="AU11" s="528"/>
      <c r="AV11" s="528"/>
      <c r="AW11" s="528"/>
    </row>
    <row r="12" spans="1:49" ht="15" customHeight="1" x14ac:dyDescent="0.2">
      <c r="U12" s="710"/>
      <c r="V12" s="710"/>
      <c r="W12" s="556"/>
      <c r="X12" s="557"/>
      <c r="Y12" s="557"/>
      <c r="Z12" s="557"/>
      <c r="AA12" s="557"/>
      <c r="AB12" s="557"/>
      <c r="AC12" s="557"/>
      <c r="AD12" s="557"/>
      <c r="AE12" s="557"/>
      <c r="AF12" s="557"/>
      <c r="AG12" s="557"/>
      <c r="AH12" s="557"/>
      <c r="AI12" s="557"/>
      <c r="AJ12" s="558"/>
      <c r="AK12" s="528"/>
      <c r="AL12" s="528"/>
      <c r="AM12" s="528"/>
      <c r="AN12" s="528"/>
      <c r="AO12" s="528"/>
      <c r="AP12" s="528"/>
      <c r="AQ12" s="528"/>
      <c r="AR12" s="528"/>
      <c r="AS12" s="528"/>
      <c r="AT12" s="528"/>
      <c r="AU12" s="528"/>
      <c r="AV12" s="528"/>
      <c r="AW12" s="528"/>
    </row>
    <row r="13" spans="1:49" ht="15" customHeight="1" x14ac:dyDescent="0.2">
      <c r="A13" s="175" t="s">
        <v>390</v>
      </c>
      <c r="U13" s="710"/>
      <c r="V13" s="710"/>
      <c r="W13" s="556"/>
      <c r="X13" s="557"/>
      <c r="Y13" s="557"/>
      <c r="Z13" s="557"/>
      <c r="AA13" s="557"/>
      <c r="AB13" s="557"/>
      <c r="AC13" s="557"/>
      <c r="AD13" s="557"/>
      <c r="AE13" s="557"/>
      <c r="AF13" s="557"/>
      <c r="AG13" s="557"/>
      <c r="AH13" s="557"/>
      <c r="AI13" s="557"/>
      <c r="AJ13" s="558"/>
      <c r="AK13" s="528"/>
      <c r="AL13" s="528"/>
    </row>
    <row r="14" spans="1:49" ht="15" customHeight="1" x14ac:dyDescent="0.2">
      <c r="A14" s="1051" t="s">
        <v>186</v>
      </c>
      <c r="B14" s="1052"/>
      <c r="C14" s="1052"/>
      <c r="D14" s="1053"/>
      <c r="E14" s="1051" t="s">
        <v>187</v>
      </c>
      <c r="F14" s="1052"/>
      <c r="G14" s="1053"/>
      <c r="H14" s="1051" t="s">
        <v>391</v>
      </c>
      <c r="I14" s="1052"/>
      <c r="J14" s="1052"/>
      <c r="K14" s="1053"/>
      <c r="L14" s="1051"/>
      <c r="M14" s="1052"/>
      <c r="N14" s="176" t="s">
        <v>392</v>
      </c>
      <c r="O14" s="1052"/>
      <c r="P14" s="1053"/>
      <c r="Q14" s="1051" t="s">
        <v>393</v>
      </c>
      <c r="R14" s="1052"/>
      <c r="S14" s="1053"/>
      <c r="U14" s="710"/>
      <c r="V14" s="710"/>
      <c r="W14" s="556"/>
      <c r="X14" s="557"/>
      <c r="Y14" s="557"/>
      <c r="Z14" s="557"/>
      <c r="AA14" s="557"/>
      <c r="AB14" s="557"/>
      <c r="AC14" s="557"/>
      <c r="AD14" s="557"/>
      <c r="AE14" s="557"/>
      <c r="AF14" s="557"/>
      <c r="AG14" s="557"/>
      <c r="AH14" s="557"/>
      <c r="AI14" s="557"/>
      <c r="AJ14" s="558"/>
      <c r="AK14" s="528"/>
      <c r="AL14" s="528"/>
    </row>
    <row r="15" spans="1:49" ht="15" customHeight="1" x14ac:dyDescent="0.2">
      <c r="A15" s="1054" t="s">
        <v>394</v>
      </c>
      <c r="B15" s="1055"/>
      <c r="C15" s="1055"/>
      <c r="D15" s="1056"/>
      <c r="E15" s="1060" t="s">
        <v>395</v>
      </c>
      <c r="F15" s="1061"/>
      <c r="G15" s="1062"/>
      <c r="H15" s="1060" t="s">
        <v>702</v>
      </c>
      <c r="I15" s="1061"/>
      <c r="J15" s="1061"/>
      <c r="K15" s="1062"/>
      <c r="L15" s="1063">
        <v>30.14</v>
      </c>
      <c r="M15" s="1064"/>
      <c r="N15" s="529" t="s">
        <v>302</v>
      </c>
      <c r="O15" s="1064">
        <v>180.23</v>
      </c>
      <c r="P15" s="1065"/>
      <c r="Q15" s="1063">
        <v>138.75</v>
      </c>
      <c r="R15" s="1064"/>
      <c r="S15" s="1065"/>
      <c r="U15" s="710"/>
      <c r="V15" s="710"/>
      <c r="W15" s="556"/>
      <c r="X15" s="557"/>
      <c r="Y15" s="557"/>
      <c r="Z15" s="557"/>
      <c r="AA15" s="557"/>
      <c r="AB15" s="557"/>
      <c r="AC15" s="557"/>
      <c r="AD15" s="557"/>
      <c r="AE15" s="557"/>
      <c r="AF15" s="557"/>
      <c r="AG15" s="557"/>
      <c r="AH15" s="557"/>
      <c r="AI15" s="557"/>
      <c r="AJ15" s="558"/>
      <c r="AK15" s="528"/>
      <c r="AL15" s="528"/>
    </row>
    <row r="16" spans="1:49" ht="15" customHeight="1" x14ac:dyDescent="0.2">
      <c r="A16" s="1057"/>
      <c r="B16" s="1058"/>
      <c r="C16" s="1058"/>
      <c r="D16" s="1059"/>
      <c r="E16" s="1066" t="s">
        <v>396</v>
      </c>
      <c r="F16" s="1067"/>
      <c r="G16" s="1068"/>
      <c r="H16" s="1066" t="s">
        <v>703</v>
      </c>
      <c r="I16" s="1067"/>
      <c r="J16" s="1067"/>
      <c r="K16" s="1068"/>
      <c r="L16" s="1069">
        <v>1.92</v>
      </c>
      <c r="M16" s="1070"/>
      <c r="N16" s="530" t="s">
        <v>302</v>
      </c>
      <c r="O16" s="1071">
        <v>2.88</v>
      </c>
      <c r="P16" s="1072"/>
      <c r="Q16" s="1073">
        <v>3.02</v>
      </c>
      <c r="R16" s="1071"/>
      <c r="S16" s="1072"/>
      <c r="U16" s="710"/>
      <c r="V16" s="710"/>
      <c r="W16" s="556"/>
      <c r="X16" s="557"/>
      <c r="Y16" s="557"/>
      <c r="Z16" s="557"/>
      <c r="AA16" s="557"/>
      <c r="AB16" s="557"/>
      <c r="AC16" s="557"/>
      <c r="AD16" s="557"/>
      <c r="AE16" s="557"/>
      <c r="AF16" s="557"/>
      <c r="AG16" s="557"/>
      <c r="AH16" s="557"/>
      <c r="AI16" s="557"/>
      <c r="AJ16" s="558"/>
      <c r="AK16" s="528"/>
      <c r="AL16" s="528"/>
    </row>
    <row r="17" spans="1:38" ht="15" customHeight="1" x14ac:dyDescent="0.2">
      <c r="A17" s="1080" t="s">
        <v>288</v>
      </c>
      <c r="B17" s="1081"/>
      <c r="C17" s="1081"/>
      <c r="D17" s="1082"/>
      <c r="E17" s="1086" t="s">
        <v>395</v>
      </c>
      <c r="F17" s="1087"/>
      <c r="G17" s="1088"/>
      <c r="H17" s="1086" t="s">
        <v>702</v>
      </c>
      <c r="I17" s="1087"/>
      <c r="J17" s="1087"/>
      <c r="K17" s="1088"/>
      <c r="L17" s="1076">
        <v>9.31</v>
      </c>
      <c r="M17" s="1074"/>
      <c r="N17" s="531" t="s">
        <v>302</v>
      </c>
      <c r="O17" s="1074">
        <v>60.18</v>
      </c>
      <c r="P17" s="1075"/>
      <c r="Q17" s="1076">
        <v>50.08</v>
      </c>
      <c r="R17" s="1074"/>
      <c r="S17" s="1075"/>
      <c r="U17" s="710"/>
      <c r="V17" s="710"/>
      <c r="W17" s="556"/>
      <c r="X17" s="557"/>
      <c r="Y17" s="557"/>
      <c r="Z17" s="557"/>
      <c r="AA17" s="557"/>
      <c r="AB17" s="557"/>
      <c r="AC17" s="557"/>
      <c r="AD17" s="557"/>
      <c r="AE17" s="557"/>
      <c r="AF17" s="557"/>
      <c r="AG17" s="557"/>
      <c r="AH17" s="557"/>
      <c r="AI17" s="557"/>
      <c r="AJ17" s="558"/>
      <c r="AK17" s="528"/>
      <c r="AL17" s="528"/>
    </row>
    <row r="18" spans="1:38" ht="15" customHeight="1" x14ac:dyDescent="0.2">
      <c r="A18" s="1083"/>
      <c r="B18" s="1084"/>
      <c r="C18" s="1084"/>
      <c r="D18" s="1085"/>
      <c r="E18" s="1083" t="s">
        <v>396</v>
      </c>
      <c r="F18" s="1084"/>
      <c r="G18" s="1085"/>
      <c r="H18" s="1083" t="s">
        <v>703</v>
      </c>
      <c r="I18" s="1084"/>
      <c r="J18" s="1084"/>
      <c r="K18" s="1085"/>
      <c r="L18" s="1089">
        <v>0.39800000000000002</v>
      </c>
      <c r="M18" s="1090"/>
      <c r="N18" s="532" t="s">
        <v>302</v>
      </c>
      <c r="O18" s="1078">
        <v>2.56</v>
      </c>
      <c r="P18" s="1079"/>
      <c r="Q18" s="1077">
        <v>0.5</v>
      </c>
      <c r="R18" s="1078"/>
      <c r="S18" s="1079"/>
      <c r="U18" s="1050"/>
      <c r="V18" s="1050"/>
      <c r="W18" s="556"/>
      <c r="X18" s="557"/>
      <c r="Y18" s="557"/>
      <c r="Z18" s="557"/>
      <c r="AA18" s="557"/>
      <c r="AB18" s="557"/>
      <c r="AC18" s="557"/>
      <c r="AD18" s="557"/>
      <c r="AE18" s="557"/>
      <c r="AF18" s="557"/>
      <c r="AG18" s="557"/>
      <c r="AH18" s="557"/>
      <c r="AI18" s="557"/>
      <c r="AJ18" s="558"/>
    </row>
    <row r="19" spans="1:38" ht="15" customHeight="1" x14ac:dyDescent="0.2">
      <c r="A19" s="1080" t="s">
        <v>206</v>
      </c>
      <c r="B19" s="1081"/>
      <c r="C19" s="1081"/>
      <c r="D19" s="1082"/>
      <c r="E19" s="1086" t="s">
        <v>395</v>
      </c>
      <c r="F19" s="1087"/>
      <c r="G19" s="1088"/>
      <c r="H19" s="1086" t="s">
        <v>702</v>
      </c>
      <c r="I19" s="1087"/>
      <c r="J19" s="1087"/>
      <c r="K19" s="1088"/>
      <c r="L19" s="1076">
        <v>5.03</v>
      </c>
      <c r="M19" s="1074"/>
      <c r="N19" s="531" t="s">
        <v>302</v>
      </c>
      <c r="O19" s="1074">
        <v>30.52</v>
      </c>
      <c r="P19" s="1075"/>
      <c r="Q19" s="1076"/>
      <c r="R19" s="1074"/>
      <c r="S19" s="1075"/>
      <c r="U19" s="1050"/>
      <c r="V19" s="1050"/>
      <c r="W19" s="556"/>
      <c r="X19" s="557"/>
      <c r="Y19" s="557"/>
      <c r="Z19" s="557"/>
      <c r="AA19" s="557"/>
      <c r="AB19" s="557"/>
      <c r="AC19" s="557"/>
      <c r="AD19" s="557"/>
      <c r="AE19" s="557"/>
      <c r="AF19" s="557"/>
      <c r="AG19" s="557"/>
      <c r="AH19" s="557"/>
      <c r="AI19" s="557"/>
      <c r="AJ19" s="558"/>
    </row>
    <row r="20" spans="1:38" ht="15" customHeight="1" x14ac:dyDescent="0.2">
      <c r="A20" s="1083"/>
      <c r="B20" s="1084"/>
      <c r="C20" s="1084"/>
      <c r="D20" s="1085"/>
      <c r="E20" s="1083" t="s">
        <v>396</v>
      </c>
      <c r="F20" s="1084"/>
      <c r="G20" s="1085"/>
      <c r="H20" s="1083" t="s">
        <v>703</v>
      </c>
      <c r="I20" s="1084"/>
      <c r="J20" s="1084"/>
      <c r="K20" s="1085"/>
      <c r="L20" s="1089">
        <v>0.06</v>
      </c>
      <c r="M20" s="1090"/>
      <c r="N20" s="532" t="s">
        <v>302</v>
      </c>
      <c r="O20" s="1078">
        <v>0.84</v>
      </c>
      <c r="P20" s="1079"/>
      <c r="Q20" s="1077"/>
      <c r="R20" s="1078"/>
      <c r="S20" s="1079"/>
      <c r="U20" s="1050"/>
      <c r="V20" s="1050"/>
      <c r="W20" s="556"/>
      <c r="X20" s="557"/>
      <c r="Y20" s="557"/>
      <c r="Z20" s="557"/>
      <c r="AA20" s="557"/>
      <c r="AB20" s="557"/>
      <c r="AC20" s="557"/>
      <c r="AD20" s="557"/>
      <c r="AE20" s="557"/>
      <c r="AF20" s="557"/>
      <c r="AG20" s="557"/>
      <c r="AH20" s="557"/>
      <c r="AI20" s="557"/>
      <c r="AJ20" s="558"/>
    </row>
    <row r="21" spans="1:38" ht="15" customHeight="1" x14ac:dyDescent="0.2">
      <c r="A21" s="1080" t="s">
        <v>715</v>
      </c>
      <c r="B21" s="1081"/>
      <c r="C21" s="1081"/>
      <c r="D21" s="1082"/>
      <c r="E21" s="1086" t="s">
        <v>395</v>
      </c>
      <c r="F21" s="1087"/>
      <c r="G21" s="1088"/>
      <c r="H21" s="1086" t="s">
        <v>702</v>
      </c>
      <c r="I21" s="1087"/>
      <c r="J21" s="1087"/>
      <c r="K21" s="1088"/>
      <c r="L21" s="1076">
        <v>5.03</v>
      </c>
      <c r="M21" s="1074"/>
      <c r="N21" s="531" t="s">
        <v>302</v>
      </c>
      <c r="O21" s="1074">
        <v>30.52</v>
      </c>
      <c r="P21" s="1075"/>
      <c r="Q21" s="1094"/>
      <c r="R21" s="1095"/>
      <c r="S21" s="1096"/>
      <c r="U21" s="1050"/>
      <c r="V21" s="1050"/>
      <c r="W21" s="556"/>
      <c r="X21" s="557"/>
      <c r="Y21" s="557"/>
      <c r="Z21" s="557"/>
      <c r="AA21" s="557"/>
      <c r="AB21" s="557"/>
      <c r="AC21" s="557"/>
      <c r="AD21" s="557"/>
      <c r="AE21" s="557"/>
      <c r="AF21" s="557"/>
      <c r="AG21" s="557"/>
      <c r="AH21" s="557"/>
      <c r="AI21" s="557"/>
      <c r="AJ21" s="558"/>
    </row>
    <row r="22" spans="1:38" ht="15" customHeight="1" x14ac:dyDescent="0.2">
      <c r="A22" s="1083"/>
      <c r="B22" s="1084"/>
      <c r="C22" s="1084"/>
      <c r="D22" s="1085"/>
      <c r="E22" s="1083" t="s">
        <v>396</v>
      </c>
      <c r="F22" s="1084"/>
      <c r="G22" s="1085"/>
      <c r="H22" s="1083" t="s">
        <v>703</v>
      </c>
      <c r="I22" s="1084"/>
      <c r="J22" s="1084"/>
      <c r="K22" s="1085"/>
      <c r="L22" s="1097"/>
      <c r="M22" s="1098"/>
      <c r="N22" s="1098"/>
      <c r="O22" s="1098"/>
      <c r="P22" s="1099"/>
      <c r="Q22" s="1091"/>
      <c r="R22" s="1092"/>
      <c r="S22" s="1093"/>
      <c r="U22" s="1050"/>
      <c r="V22" s="1050"/>
      <c r="W22" s="559"/>
      <c r="X22" s="560"/>
      <c r="Y22" s="560"/>
      <c r="Z22" s="560"/>
      <c r="AA22" s="560"/>
      <c r="AB22" s="560"/>
      <c r="AC22" s="560"/>
      <c r="AD22" s="560"/>
      <c r="AE22" s="560"/>
      <c r="AF22" s="560"/>
      <c r="AG22" s="560"/>
      <c r="AH22" s="560"/>
      <c r="AI22" s="560"/>
      <c r="AJ22" s="561"/>
    </row>
    <row r="24" spans="1:38" ht="15" customHeight="1" x14ac:dyDescent="0.2">
      <c r="A24" s="175" t="s">
        <v>397</v>
      </c>
    </row>
    <row r="45" spans="1:36" ht="15" customHeight="1" x14ac:dyDescent="0.2">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2">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2">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2">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2">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2">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2">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2">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2">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2">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H16:K16"/>
    <mergeCell ref="L16:M16"/>
    <mergeCell ref="O16:P16"/>
    <mergeCell ref="Q16:S16"/>
    <mergeCell ref="O17:P17"/>
    <mergeCell ref="Q17:S17"/>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AI8:AJ8"/>
    <mergeCell ref="A9:R9"/>
    <mergeCell ref="S9:X9"/>
    <mergeCell ref="AA9:AC9"/>
    <mergeCell ref="AD9:AE9"/>
    <mergeCell ref="AF9:AH9"/>
    <mergeCell ref="AI9:AJ9"/>
    <mergeCell ref="A8:R8"/>
    <mergeCell ref="S8:X8"/>
    <mergeCell ref="AA8:AC8"/>
    <mergeCell ref="AD8:AE8"/>
    <mergeCell ref="AF8:AH8"/>
    <mergeCell ref="AB3:AD7"/>
    <mergeCell ref="AE3:AG3"/>
    <mergeCell ref="AH3:AJ3"/>
    <mergeCell ref="AE4:AG7"/>
    <mergeCell ref="AH4:AJ7"/>
    <mergeCell ref="AB1:AJ1"/>
    <mergeCell ref="S2:U2"/>
    <mergeCell ref="V2:X2"/>
    <mergeCell ref="Y2:AA2"/>
    <mergeCell ref="AB2:AD2"/>
    <mergeCell ref="AE2:AG2"/>
    <mergeCell ref="AH2:AJ2"/>
    <mergeCell ref="A1:E5"/>
    <mergeCell ref="F1:R5"/>
    <mergeCell ref="S1:U1"/>
    <mergeCell ref="V1:X1"/>
    <mergeCell ref="Y1:AA1"/>
    <mergeCell ref="S3:U7"/>
    <mergeCell ref="V3:X7"/>
    <mergeCell ref="Y3:AA7"/>
    <mergeCell ref="A6:I6"/>
    <mergeCell ref="J6:R6"/>
    <mergeCell ref="A7:I7"/>
    <mergeCell ref="J7:R7"/>
  </mergeCells>
  <phoneticPr fontId="23"/>
  <printOptions horizontalCentered="1"/>
  <pageMargins left="0.27559055118110237" right="0.27559055118110237" top="0.55118110236220474" bottom="0.23622047244094491" header="0.27559055118110237" footer="0.15748031496062992"/>
  <pageSetup paperSize="9" scale="74"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640625" defaultRowHeight="13.2" x14ac:dyDescent="0.2"/>
  <cols>
    <col min="1" max="1" width="9" customWidth="1"/>
  </cols>
  <sheetData>
    <row r="1" spans="1:58" ht="13.5" customHeight="1" x14ac:dyDescent="0.2">
      <c r="A1" s="723" t="s">
        <v>30</v>
      </c>
      <c r="B1" s="723"/>
      <c r="C1" s="723"/>
      <c r="D1" s="723"/>
      <c r="E1" s="723"/>
      <c r="F1" s="723"/>
      <c r="G1" s="723"/>
      <c r="H1" s="723"/>
      <c r="I1" s="723"/>
      <c r="J1" s="723"/>
      <c r="K1" s="723" t="s">
        <v>71</v>
      </c>
      <c r="L1" s="723"/>
      <c r="M1" s="723"/>
      <c r="N1" s="723"/>
      <c r="O1" s="723"/>
      <c r="P1" s="723"/>
      <c r="Q1" s="723"/>
      <c r="R1" s="723"/>
      <c r="S1" s="723"/>
      <c r="T1" s="723"/>
      <c r="U1" s="723"/>
      <c r="V1" s="723"/>
      <c r="W1" s="723"/>
      <c r="X1" s="723"/>
      <c r="Y1" s="723"/>
      <c r="Z1" s="723"/>
      <c r="AA1" s="723"/>
      <c r="AB1" s="1115" t="s">
        <v>305</v>
      </c>
      <c r="AC1" s="1113"/>
      <c r="AD1" s="1113"/>
      <c r="AE1" s="1113"/>
      <c r="AF1" s="1114"/>
      <c r="AG1" s="1115" t="s">
        <v>306</v>
      </c>
      <c r="AH1" s="1113"/>
      <c r="AI1" s="1113"/>
      <c r="AJ1" s="1113"/>
      <c r="AK1" s="1114"/>
      <c r="AL1" s="1115" t="s">
        <v>237</v>
      </c>
      <c r="AM1" s="1113"/>
      <c r="AN1" s="1113"/>
      <c r="AO1" s="1113"/>
      <c r="AP1" s="1114"/>
      <c r="AQ1" s="1122" t="s">
        <v>566</v>
      </c>
      <c r="AR1" s="1123"/>
      <c r="AS1" s="1123"/>
      <c r="AT1" s="1123"/>
      <c r="AU1" s="1123"/>
      <c r="AV1" s="1123"/>
      <c r="AW1" s="1123"/>
      <c r="AX1" s="1123"/>
      <c r="AY1" s="1123"/>
      <c r="AZ1" s="1123"/>
      <c r="BA1" s="1123"/>
      <c r="BB1" s="1123"/>
      <c r="BC1" s="1123"/>
      <c r="BD1" s="1123"/>
      <c r="BE1" s="1123"/>
      <c r="BF1" s="1124"/>
    </row>
    <row r="2" spans="1:58" ht="13.5" customHeight="1" x14ac:dyDescent="0.2">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1115" t="s">
        <v>494</v>
      </c>
      <c r="AC2" s="1113"/>
      <c r="AD2" s="1113"/>
      <c r="AE2" s="1113"/>
      <c r="AF2" s="1114"/>
      <c r="AG2" s="1115" t="s">
        <v>494</v>
      </c>
      <c r="AH2" s="1113"/>
      <c r="AI2" s="1113"/>
      <c r="AJ2" s="1113"/>
      <c r="AK2" s="1114"/>
      <c r="AL2" s="1115" t="s">
        <v>494</v>
      </c>
      <c r="AM2" s="1113"/>
      <c r="AN2" s="1113"/>
      <c r="AO2" s="1113"/>
      <c r="AP2" s="1114"/>
      <c r="AQ2" s="1122" t="s">
        <v>308</v>
      </c>
      <c r="AR2" s="1123"/>
      <c r="AS2" s="1123"/>
      <c r="AT2" s="1123"/>
      <c r="AU2" s="1123"/>
      <c r="AV2" s="1124"/>
      <c r="AW2" s="1115" t="s">
        <v>306</v>
      </c>
      <c r="AX2" s="1113"/>
      <c r="AY2" s="1113"/>
      <c r="AZ2" s="1113"/>
      <c r="BA2" s="1114"/>
      <c r="BB2" s="1115" t="s">
        <v>619</v>
      </c>
      <c r="BC2" s="1113"/>
      <c r="BD2" s="1113"/>
      <c r="BE2" s="1113"/>
      <c r="BF2" s="1114"/>
    </row>
    <row r="3" spans="1:58" ht="13.5" customHeight="1" x14ac:dyDescent="0.2">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702"/>
      <c r="AC3" s="702"/>
      <c r="AD3" s="702"/>
      <c r="AE3" s="702"/>
      <c r="AF3" s="702"/>
      <c r="AG3" s="702"/>
      <c r="AH3" s="702"/>
      <c r="AI3" s="702"/>
      <c r="AJ3" s="702"/>
      <c r="AK3" s="702"/>
      <c r="AL3" s="702"/>
      <c r="AM3" s="702"/>
      <c r="AN3" s="702"/>
      <c r="AO3" s="702"/>
      <c r="AP3" s="702"/>
      <c r="AQ3" s="1104"/>
      <c r="AR3" s="1105"/>
      <c r="AS3" s="1105"/>
      <c r="AT3" s="1105"/>
      <c r="AU3" s="1105"/>
      <c r="AV3" s="1106"/>
      <c r="AW3" s="1113" t="s">
        <v>495</v>
      </c>
      <c r="AX3" s="1113"/>
      <c r="AY3" s="1113"/>
      <c r="AZ3" s="1113"/>
      <c r="BA3" s="1114"/>
      <c r="BB3" s="1115" t="s">
        <v>495</v>
      </c>
      <c r="BC3" s="1113"/>
      <c r="BD3" s="1113"/>
      <c r="BE3" s="1113"/>
      <c r="BF3" s="1114"/>
    </row>
    <row r="4" spans="1:58" ht="13.5" customHeight="1" x14ac:dyDescent="0.2">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702"/>
      <c r="AC4" s="702"/>
      <c r="AD4" s="702"/>
      <c r="AE4" s="702"/>
      <c r="AF4" s="702"/>
      <c r="AG4" s="702"/>
      <c r="AH4" s="702"/>
      <c r="AI4" s="702"/>
      <c r="AJ4" s="702"/>
      <c r="AK4" s="702"/>
      <c r="AL4" s="702"/>
      <c r="AM4" s="702"/>
      <c r="AN4" s="702"/>
      <c r="AO4" s="702"/>
      <c r="AP4" s="702"/>
      <c r="AQ4" s="1107"/>
      <c r="AR4" s="1108"/>
      <c r="AS4" s="1108"/>
      <c r="AT4" s="1108"/>
      <c r="AU4" s="1108"/>
      <c r="AV4" s="1109"/>
      <c r="AW4" s="1116"/>
      <c r="AX4" s="1117"/>
      <c r="AY4" s="1117"/>
      <c r="AZ4" s="1117"/>
      <c r="BA4" s="1118"/>
      <c r="BB4" s="1116"/>
      <c r="BC4" s="1117"/>
      <c r="BD4" s="1117"/>
      <c r="BE4" s="1117"/>
      <c r="BF4" s="1118"/>
    </row>
    <row r="5" spans="1:58" ht="13.5" customHeight="1" x14ac:dyDescent="0.2">
      <c r="A5" s="598" t="s">
        <v>465</v>
      </c>
      <c r="B5" s="598"/>
      <c r="C5" s="598"/>
      <c r="D5" s="598"/>
      <c r="E5" s="598"/>
      <c r="F5" s="598"/>
      <c r="G5" s="598"/>
      <c r="H5" s="598"/>
      <c r="I5" s="598"/>
      <c r="J5" s="598"/>
      <c r="K5" s="598"/>
      <c r="L5" s="598"/>
      <c r="M5" s="598"/>
      <c r="N5" s="598"/>
      <c r="O5" s="600" t="s">
        <v>466</v>
      </c>
      <c r="P5" s="600"/>
      <c r="Q5" s="600"/>
      <c r="R5" s="600"/>
      <c r="S5" s="600"/>
      <c r="T5" s="600"/>
      <c r="U5" s="600"/>
      <c r="V5" s="600"/>
      <c r="W5" s="600"/>
      <c r="X5" s="600"/>
      <c r="Y5" s="600"/>
      <c r="Z5" s="600"/>
      <c r="AA5" s="600"/>
      <c r="AB5" s="702"/>
      <c r="AC5" s="702"/>
      <c r="AD5" s="702"/>
      <c r="AE5" s="702"/>
      <c r="AF5" s="702"/>
      <c r="AG5" s="702"/>
      <c r="AH5" s="702"/>
      <c r="AI5" s="702"/>
      <c r="AJ5" s="702"/>
      <c r="AK5" s="702"/>
      <c r="AL5" s="702"/>
      <c r="AM5" s="702"/>
      <c r="AN5" s="702"/>
      <c r="AO5" s="702"/>
      <c r="AP5" s="702"/>
      <c r="AQ5" s="1107"/>
      <c r="AR5" s="1108"/>
      <c r="AS5" s="1108"/>
      <c r="AT5" s="1108"/>
      <c r="AU5" s="1108"/>
      <c r="AV5" s="1109"/>
      <c r="AW5" s="1116"/>
      <c r="AX5" s="1117"/>
      <c r="AY5" s="1117"/>
      <c r="AZ5" s="1117"/>
      <c r="BA5" s="1118"/>
      <c r="BB5" s="1116"/>
      <c r="BC5" s="1117"/>
      <c r="BD5" s="1117"/>
      <c r="BE5" s="1117"/>
      <c r="BF5" s="1118"/>
    </row>
    <row r="6" spans="1:58" x14ac:dyDescent="0.2">
      <c r="A6" s="598"/>
      <c r="B6" s="598"/>
      <c r="C6" s="598"/>
      <c r="D6" s="598"/>
      <c r="E6" s="598"/>
      <c r="F6" s="598"/>
      <c r="G6" s="598"/>
      <c r="H6" s="598"/>
      <c r="I6" s="598"/>
      <c r="J6" s="598"/>
      <c r="K6" s="598"/>
      <c r="L6" s="598"/>
      <c r="M6" s="598"/>
      <c r="N6" s="598"/>
      <c r="O6" s="600"/>
      <c r="P6" s="600"/>
      <c r="Q6" s="600"/>
      <c r="R6" s="600"/>
      <c r="S6" s="600"/>
      <c r="T6" s="600"/>
      <c r="U6" s="600"/>
      <c r="V6" s="600"/>
      <c r="W6" s="600"/>
      <c r="X6" s="600"/>
      <c r="Y6" s="600"/>
      <c r="Z6" s="600"/>
      <c r="AA6" s="600"/>
      <c r="AB6" s="702"/>
      <c r="AC6" s="702"/>
      <c r="AD6" s="702"/>
      <c r="AE6" s="702"/>
      <c r="AF6" s="702"/>
      <c r="AG6" s="702"/>
      <c r="AH6" s="702"/>
      <c r="AI6" s="702"/>
      <c r="AJ6" s="702"/>
      <c r="AK6" s="702"/>
      <c r="AL6" s="702"/>
      <c r="AM6" s="702"/>
      <c r="AN6" s="702"/>
      <c r="AO6" s="702"/>
      <c r="AP6" s="702"/>
      <c r="AQ6" s="1110"/>
      <c r="AR6" s="1111"/>
      <c r="AS6" s="1111"/>
      <c r="AT6" s="1111"/>
      <c r="AU6" s="1111"/>
      <c r="AV6" s="1112"/>
      <c r="AW6" s="1119"/>
      <c r="AX6" s="1120"/>
      <c r="AY6" s="1120"/>
      <c r="AZ6" s="1120"/>
      <c r="BA6" s="1121"/>
      <c r="BB6" s="1119"/>
      <c r="BC6" s="1120"/>
      <c r="BD6" s="1120"/>
      <c r="BE6" s="1120"/>
      <c r="BF6" s="1121"/>
    </row>
    <row r="7" spans="1:58" ht="13.5" customHeight="1" x14ac:dyDescent="0.2">
      <c r="A7" s="598" t="s">
        <v>310</v>
      </c>
      <c r="B7" s="598"/>
      <c r="C7" s="598"/>
      <c r="D7" s="598"/>
      <c r="E7" s="598"/>
      <c r="F7" s="598"/>
      <c r="G7" s="598"/>
      <c r="H7" s="598"/>
      <c r="I7" s="598"/>
      <c r="J7" s="598"/>
      <c r="K7" s="598"/>
      <c r="L7" s="598"/>
      <c r="M7" s="598"/>
      <c r="N7" s="598"/>
      <c r="O7" s="600" t="s">
        <v>311</v>
      </c>
      <c r="P7" s="600"/>
      <c r="Q7" s="600"/>
      <c r="R7" s="600"/>
      <c r="S7" s="600"/>
      <c r="T7" s="600"/>
      <c r="U7" s="600"/>
      <c r="V7" s="600"/>
      <c r="W7" s="600"/>
      <c r="X7" s="600"/>
      <c r="Y7" s="600"/>
      <c r="Z7" s="600"/>
      <c r="AA7" s="600"/>
      <c r="AB7" s="600" t="s">
        <v>312</v>
      </c>
      <c r="AC7" s="600"/>
      <c r="AD7" s="600"/>
      <c r="AE7" s="600"/>
      <c r="AF7" s="600"/>
      <c r="AG7" s="600"/>
      <c r="AH7" s="600"/>
      <c r="AI7" s="600"/>
      <c r="AJ7" s="600"/>
      <c r="AK7" s="600"/>
      <c r="AL7" s="600"/>
      <c r="AM7" s="600"/>
      <c r="AN7" s="600"/>
      <c r="AO7" s="600"/>
      <c r="AP7" s="600" t="s">
        <v>313</v>
      </c>
      <c r="AQ7" s="600"/>
      <c r="AR7" s="600"/>
      <c r="AS7" s="600"/>
      <c r="AT7" s="600"/>
      <c r="AU7" s="600"/>
      <c r="AV7" s="600"/>
      <c r="AW7" s="600"/>
      <c r="AX7" s="600"/>
      <c r="AY7" s="600"/>
      <c r="AZ7" s="600"/>
      <c r="BA7" s="600"/>
      <c r="BB7" s="600"/>
      <c r="BC7" s="600"/>
      <c r="BD7" s="598" t="s">
        <v>31</v>
      </c>
      <c r="BE7" s="598"/>
      <c r="BF7" s="598"/>
    </row>
    <row r="8" spans="1:58" x14ac:dyDescent="0.2">
      <c r="A8" s="598"/>
      <c r="B8" s="598"/>
      <c r="C8" s="598"/>
      <c r="D8" s="598"/>
      <c r="E8" s="598"/>
      <c r="F8" s="598"/>
      <c r="G8" s="598"/>
      <c r="H8" s="598"/>
      <c r="I8" s="598"/>
      <c r="J8" s="598"/>
      <c r="K8" s="598"/>
      <c r="L8" s="598"/>
      <c r="M8" s="598"/>
      <c r="N8" s="598"/>
      <c r="O8" s="600"/>
      <c r="P8" s="600"/>
      <c r="Q8" s="600"/>
      <c r="R8" s="600"/>
      <c r="S8" s="600"/>
      <c r="T8" s="600"/>
      <c r="U8" s="600"/>
      <c r="V8" s="600"/>
      <c r="W8" s="600"/>
      <c r="X8" s="600"/>
      <c r="Y8" s="600"/>
      <c r="Z8" s="600"/>
      <c r="AA8" s="600"/>
      <c r="AB8" s="600" t="s">
        <v>568</v>
      </c>
      <c r="AC8" s="600"/>
      <c r="AD8" s="600"/>
      <c r="AE8" s="600"/>
      <c r="AF8" s="600"/>
      <c r="AG8" s="600"/>
      <c r="AH8" s="600"/>
      <c r="AI8" s="598"/>
      <c r="AJ8" s="598"/>
      <c r="AK8" s="598"/>
      <c r="AL8" s="598"/>
      <c r="AM8" s="598"/>
      <c r="AN8" s="598"/>
      <c r="AO8" s="598"/>
      <c r="AP8" s="600" t="s">
        <v>315</v>
      </c>
      <c r="AQ8" s="600"/>
      <c r="AR8" s="600"/>
      <c r="AS8" s="600"/>
      <c r="AT8" s="600"/>
      <c r="AU8" s="600"/>
      <c r="AV8" s="600"/>
      <c r="AW8" s="598"/>
      <c r="AX8" s="598"/>
      <c r="AY8" s="598"/>
      <c r="AZ8" s="598"/>
      <c r="BA8" s="598"/>
      <c r="BB8" s="598"/>
      <c r="BC8" s="598"/>
      <c r="BD8" s="599"/>
      <c r="BE8" s="599"/>
      <c r="BF8" s="599"/>
    </row>
    <row r="9" spans="1:58" x14ac:dyDescent="0.2">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2">
      <c r="A10" s="624" t="s">
        <v>208</v>
      </c>
      <c r="B10" s="624"/>
      <c r="C10" s="624"/>
      <c r="D10" s="624"/>
      <c r="E10" s="624"/>
      <c r="F10" s="624"/>
      <c r="G10" s="624"/>
      <c r="H10" s="624"/>
      <c r="I10" s="624"/>
      <c r="J10" s="624"/>
      <c r="K10" s="624"/>
      <c r="L10" s="598" t="s">
        <v>160</v>
      </c>
      <c r="M10" s="598"/>
      <c r="N10" s="598"/>
      <c r="O10" s="598"/>
      <c r="P10" s="598"/>
      <c r="Q10" s="598"/>
      <c r="R10" s="598"/>
      <c r="S10" s="598"/>
      <c r="T10" s="598"/>
      <c r="U10" s="598"/>
      <c r="V10" s="598"/>
      <c r="W10" s="598"/>
      <c r="X10" s="598"/>
      <c r="Y10" s="598"/>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2">
      <c r="A11" s="624"/>
      <c r="B11" s="624"/>
      <c r="C11" s="624"/>
      <c r="D11" s="624"/>
      <c r="E11" s="624"/>
      <c r="F11" s="624"/>
      <c r="G11" s="624"/>
      <c r="H11" s="624"/>
      <c r="I11" s="624"/>
      <c r="J11" s="624"/>
      <c r="K11" s="624"/>
      <c r="L11" s="598"/>
      <c r="M11" s="598"/>
      <c r="N11" s="598"/>
      <c r="O11" s="598"/>
      <c r="P11" s="598"/>
      <c r="Q11" s="598"/>
      <c r="R11" s="598"/>
      <c r="S11" s="598"/>
      <c r="T11" s="598"/>
      <c r="U11" s="598"/>
      <c r="V11" s="598"/>
      <c r="W11" s="598"/>
      <c r="X11" s="598"/>
      <c r="Y11" s="598"/>
      <c r="Z11" s="301"/>
      <c r="AA11" s="301"/>
      <c r="AB11" s="301"/>
      <c r="AC11" s="301"/>
      <c r="AD11" s="301"/>
      <c r="AG11" s="709" t="s">
        <v>712</v>
      </c>
      <c r="AH11" s="710"/>
      <c r="AI11" s="733"/>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2">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10"/>
      <c r="AH12" s="710"/>
      <c r="AI12" s="736"/>
      <c r="AJ12" s="1125"/>
      <c r="AK12" s="1125"/>
      <c r="AL12" s="1125"/>
      <c r="AM12" s="1125"/>
      <c r="AN12" s="1125"/>
      <c r="AO12" s="1125"/>
      <c r="AP12" s="1125"/>
      <c r="AQ12" s="1125"/>
      <c r="AR12" s="1125"/>
      <c r="AS12" s="1125"/>
      <c r="AT12" s="1125"/>
      <c r="AU12" s="1125"/>
      <c r="AV12" s="1125"/>
      <c r="AW12" s="1125"/>
      <c r="AX12" s="1125"/>
      <c r="AY12" s="1125"/>
      <c r="AZ12" s="1125"/>
      <c r="BA12" s="1125"/>
      <c r="BB12" s="1125"/>
      <c r="BC12" s="1125"/>
      <c r="BD12" s="1125"/>
      <c r="BE12" s="1125"/>
      <c r="BF12" s="738"/>
    </row>
    <row r="13" spans="1:58" x14ac:dyDescent="0.2">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10"/>
      <c r="AH13" s="710"/>
      <c r="AI13" s="736"/>
      <c r="AJ13" s="1125"/>
      <c r="AK13" s="1125"/>
      <c r="AL13" s="1125"/>
      <c r="AM13" s="1125"/>
      <c r="AN13" s="1125"/>
      <c r="AO13" s="1125"/>
      <c r="AP13" s="1125"/>
      <c r="AQ13" s="1125"/>
      <c r="AR13" s="1125"/>
      <c r="AS13" s="1125"/>
      <c r="AT13" s="1125"/>
      <c r="AU13" s="1125"/>
      <c r="AV13" s="1125"/>
      <c r="AW13" s="1125"/>
      <c r="AX13" s="1125"/>
      <c r="AY13" s="1125"/>
      <c r="AZ13" s="1125"/>
      <c r="BA13" s="1125"/>
      <c r="BB13" s="1125"/>
      <c r="BC13" s="1125"/>
      <c r="BD13" s="1125"/>
      <c r="BE13" s="1125"/>
      <c r="BF13" s="738"/>
    </row>
    <row r="14" spans="1:58" ht="13.5" customHeight="1" x14ac:dyDescent="0.2">
      <c r="A14" s="624" t="s">
        <v>186</v>
      </c>
      <c r="B14" s="624"/>
      <c r="C14" s="624"/>
      <c r="D14" s="624"/>
      <c r="E14" s="624"/>
      <c r="F14" s="624"/>
      <c r="G14" s="624"/>
      <c r="H14" s="624"/>
      <c r="I14" s="624"/>
      <c r="J14" s="624" t="s">
        <v>187</v>
      </c>
      <c r="K14" s="624"/>
      <c r="L14" s="624"/>
      <c r="M14" s="624"/>
      <c r="N14" s="624"/>
      <c r="O14" s="624"/>
      <c r="P14" s="624" t="s">
        <v>391</v>
      </c>
      <c r="Q14" s="624"/>
      <c r="R14" s="624"/>
      <c r="S14" s="624"/>
      <c r="T14" s="624"/>
      <c r="U14" s="624"/>
      <c r="V14" s="624"/>
      <c r="W14" s="624"/>
      <c r="X14" s="624"/>
      <c r="Y14" s="742" t="s">
        <v>392</v>
      </c>
      <c r="Z14" s="1152"/>
      <c r="AA14" s="1152"/>
      <c r="AB14" s="1152"/>
      <c r="AC14" s="1152"/>
      <c r="AD14" s="1152"/>
      <c r="AE14" s="1153"/>
      <c r="AG14" s="710"/>
      <c r="AH14" s="710"/>
      <c r="AI14" s="736"/>
      <c r="AJ14" s="1125"/>
      <c r="AK14" s="1125"/>
      <c r="AL14" s="1125"/>
      <c r="AM14" s="1125"/>
      <c r="AN14" s="1125"/>
      <c r="AO14" s="1125"/>
      <c r="AP14" s="1125"/>
      <c r="AQ14" s="1125"/>
      <c r="AR14" s="1125"/>
      <c r="AS14" s="1125"/>
      <c r="AT14" s="1125"/>
      <c r="AU14" s="1125"/>
      <c r="AV14" s="1125"/>
      <c r="AW14" s="1125"/>
      <c r="AX14" s="1125"/>
      <c r="AY14" s="1125"/>
      <c r="AZ14" s="1125"/>
      <c r="BA14" s="1125"/>
      <c r="BB14" s="1125"/>
      <c r="BC14" s="1125"/>
      <c r="BD14" s="1125"/>
      <c r="BE14" s="1125"/>
      <c r="BF14" s="738"/>
    </row>
    <row r="15" spans="1:58" x14ac:dyDescent="0.2">
      <c r="A15" s="625" t="s">
        <v>32</v>
      </c>
      <c r="B15" s="625"/>
      <c r="C15" s="625"/>
      <c r="D15" s="625"/>
      <c r="E15" s="625"/>
      <c r="F15" s="625"/>
      <c r="G15" s="625"/>
      <c r="H15" s="625"/>
      <c r="I15" s="625"/>
      <c r="J15" s="1100" t="s">
        <v>395</v>
      </c>
      <c r="K15" s="1100"/>
      <c r="L15" s="1100"/>
      <c r="M15" s="1100"/>
      <c r="N15" s="1100"/>
      <c r="O15" s="1100"/>
      <c r="P15" s="1100" t="s">
        <v>704</v>
      </c>
      <c r="Q15" s="1100"/>
      <c r="R15" s="1100"/>
      <c r="S15" s="1100"/>
      <c r="T15" s="1100"/>
      <c r="U15" s="1100"/>
      <c r="V15" s="1100"/>
      <c r="W15" s="1100"/>
      <c r="X15" s="1100"/>
      <c r="Y15" s="1101" t="s">
        <v>706</v>
      </c>
      <c r="Z15" s="1101"/>
      <c r="AA15" s="1101"/>
      <c r="AB15" s="1101"/>
      <c r="AC15" s="1101"/>
      <c r="AD15" s="1101"/>
      <c r="AE15" s="1101"/>
      <c r="AG15" s="710"/>
      <c r="AH15" s="710"/>
      <c r="AI15" s="736"/>
      <c r="AJ15" s="1125"/>
      <c r="AK15" s="1125"/>
      <c r="AL15" s="1125"/>
      <c r="AM15" s="1125"/>
      <c r="AN15" s="1125"/>
      <c r="AO15" s="1125"/>
      <c r="AP15" s="1125"/>
      <c r="AQ15" s="1125"/>
      <c r="AR15" s="1125"/>
      <c r="AS15" s="1125"/>
      <c r="AT15" s="1125"/>
      <c r="AU15" s="1125"/>
      <c r="AV15" s="1125"/>
      <c r="AW15" s="1125"/>
      <c r="AX15" s="1125"/>
      <c r="AY15" s="1125"/>
      <c r="AZ15" s="1125"/>
      <c r="BA15" s="1125"/>
      <c r="BB15" s="1125"/>
      <c r="BC15" s="1125"/>
      <c r="BD15" s="1125"/>
      <c r="BE15" s="1125"/>
      <c r="BF15" s="738"/>
    </row>
    <row r="16" spans="1:58" x14ac:dyDescent="0.2">
      <c r="A16" s="625"/>
      <c r="B16" s="625"/>
      <c r="C16" s="625"/>
      <c r="D16" s="625"/>
      <c r="E16" s="625"/>
      <c r="F16" s="625"/>
      <c r="G16" s="625"/>
      <c r="H16" s="625"/>
      <c r="I16" s="625"/>
      <c r="J16" s="1102" t="s">
        <v>396</v>
      </c>
      <c r="K16" s="1102"/>
      <c r="L16" s="1102"/>
      <c r="M16" s="1102"/>
      <c r="N16" s="1102"/>
      <c r="O16" s="1102"/>
      <c r="P16" s="1102" t="s">
        <v>705</v>
      </c>
      <c r="Q16" s="1102"/>
      <c r="R16" s="1102"/>
      <c r="S16" s="1102"/>
      <c r="T16" s="1102"/>
      <c r="U16" s="1102"/>
      <c r="V16" s="1102"/>
      <c r="W16" s="1102"/>
      <c r="X16" s="1102"/>
      <c r="Y16" s="1103" t="s">
        <v>707</v>
      </c>
      <c r="Z16" s="1103"/>
      <c r="AA16" s="1103"/>
      <c r="AB16" s="1103"/>
      <c r="AC16" s="1103"/>
      <c r="AD16" s="1103"/>
      <c r="AE16" s="1103"/>
      <c r="AG16" s="710"/>
      <c r="AH16" s="710"/>
      <c r="AI16" s="736"/>
      <c r="AJ16" s="1125"/>
      <c r="AK16" s="1125"/>
      <c r="AL16" s="1125"/>
      <c r="AM16" s="1125"/>
      <c r="AN16" s="1125"/>
      <c r="AO16" s="1125"/>
      <c r="AP16" s="1125"/>
      <c r="AQ16" s="1125"/>
      <c r="AR16" s="1125"/>
      <c r="AS16" s="1125"/>
      <c r="AT16" s="1125"/>
      <c r="AU16" s="1125"/>
      <c r="AV16" s="1125"/>
      <c r="AW16" s="1125"/>
      <c r="AX16" s="1125"/>
      <c r="AY16" s="1125"/>
      <c r="AZ16" s="1125"/>
      <c r="BA16" s="1125"/>
      <c r="BB16" s="1125"/>
      <c r="BC16" s="1125"/>
      <c r="BD16" s="1125"/>
      <c r="BE16" s="1125"/>
      <c r="BF16" s="738"/>
    </row>
    <row r="17" spans="1:58" x14ac:dyDescent="0.2">
      <c r="A17" s="625" t="s">
        <v>288</v>
      </c>
      <c r="B17" s="625"/>
      <c r="C17" s="625"/>
      <c r="D17" s="625"/>
      <c r="E17" s="625"/>
      <c r="F17" s="625"/>
      <c r="G17" s="625"/>
      <c r="H17" s="625"/>
      <c r="I17" s="625"/>
      <c r="J17" s="1100" t="s">
        <v>395</v>
      </c>
      <c r="K17" s="1100"/>
      <c r="L17" s="1100"/>
      <c r="M17" s="1100"/>
      <c r="N17" s="1100"/>
      <c r="O17" s="1100"/>
      <c r="P17" s="1100" t="s">
        <v>704</v>
      </c>
      <c r="Q17" s="1100"/>
      <c r="R17" s="1100"/>
      <c r="S17" s="1100"/>
      <c r="T17" s="1100"/>
      <c r="U17" s="1100"/>
      <c r="V17" s="1100"/>
      <c r="W17" s="1100"/>
      <c r="X17" s="1100"/>
      <c r="Y17" s="1101" t="s">
        <v>708</v>
      </c>
      <c r="Z17" s="1101"/>
      <c r="AA17" s="1101"/>
      <c r="AB17" s="1101"/>
      <c r="AC17" s="1101"/>
      <c r="AD17" s="1101"/>
      <c r="AE17" s="1101"/>
      <c r="AG17" s="710"/>
      <c r="AH17" s="710"/>
      <c r="AI17" s="736"/>
      <c r="AJ17" s="1125"/>
      <c r="AK17" s="1125"/>
      <c r="AL17" s="1125"/>
      <c r="AM17" s="1125"/>
      <c r="AN17" s="1125"/>
      <c r="AO17" s="1125"/>
      <c r="AP17" s="1125"/>
      <c r="AQ17" s="1125"/>
      <c r="AR17" s="1125"/>
      <c r="AS17" s="1125"/>
      <c r="AT17" s="1125"/>
      <c r="AU17" s="1125"/>
      <c r="AV17" s="1125"/>
      <c r="AW17" s="1125"/>
      <c r="AX17" s="1125"/>
      <c r="AY17" s="1125"/>
      <c r="AZ17" s="1125"/>
      <c r="BA17" s="1125"/>
      <c r="BB17" s="1125"/>
      <c r="BC17" s="1125"/>
      <c r="BD17" s="1125"/>
      <c r="BE17" s="1125"/>
      <c r="BF17" s="738"/>
    </row>
    <row r="18" spans="1:58" x14ac:dyDescent="0.2">
      <c r="A18" s="625"/>
      <c r="B18" s="625"/>
      <c r="C18" s="625"/>
      <c r="D18" s="625"/>
      <c r="E18" s="625"/>
      <c r="F18" s="625"/>
      <c r="G18" s="625"/>
      <c r="H18" s="625"/>
      <c r="I18" s="625"/>
      <c r="J18" s="1102" t="s">
        <v>396</v>
      </c>
      <c r="K18" s="1102"/>
      <c r="L18" s="1102"/>
      <c r="M18" s="1102"/>
      <c r="N18" s="1102"/>
      <c r="O18" s="1102"/>
      <c r="P18" s="1102" t="s">
        <v>705</v>
      </c>
      <c r="Q18" s="1102"/>
      <c r="R18" s="1102"/>
      <c r="S18" s="1102"/>
      <c r="T18" s="1102"/>
      <c r="U18" s="1102"/>
      <c r="V18" s="1102"/>
      <c r="W18" s="1102"/>
      <c r="X18" s="1102"/>
      <c r="Y18" s="1103" t="s">
        <v>709</v>
      </c>
      <c r="Z18" s="1103"/>
      <c r="AA18" s="1103"/>
      <c r="AB18" s="1103"/>
      <c r="AC18" s="1103"/>
      <c r="AD18" s="1103"/>
      <c r="AE18" s="1103"/>
      <c r="AG18" s="1050"/>
      <c r="AH18" s="1050"/>
      <c r="AI18" s="736"/>
      <c r="AJ18" s="1125"/>
      <c r="AK18" s="1125"/>
      <c r="AL18" s="1125"/>
      <c r="AM18" s="1125"/>
      <c r="AN18" s="1125"/>
      <c r="AO18" s="1125"/>
      <c r="AP18" s="1125"/>
      <c r="AQ18" s="1125"/>
      <c r="AR18" s="1125"/>
      <c r="AS18" s="1125"/>
      <c r="AT18" s="1125"/>
      <c r="AU18" s="1125"/>
      <c r="AV18" s="1125"/>
      <c r="AW18" s="1125"/>
      <c r="AX18" s="1125"/>
      <c r="AY18" s="1125"/>
      <c r="AZ18" s="1125"/>
      <c r="BA18" s="1125"/>
      <c r="BB18" s="1125"/>
      <c r="BC18" s="1125"/>
      <c r="BD18" s="1125"/>
      <c r="BE18" s="1125"/>
      <c r="BF18" s="738"/>
    </row>
    <row r="19" spans="1:58" x14ac:dyDescent="0.2">
      <c r="A19" s="625" t="s">
        <v>206</v>
      </c>
      <c r="B19" s="625"/>
      <c r="C19" s="625"/>
      <c r="D19" s="625"/>
      <c r="E19" s="625"/>
      <c r="F19" s="625"/>
      <c r="G19" s="625"/>
      <c r="H19" s="625"/>
      <c r="I19" s="625"/>
      <c r="J19" s="1100" t="s">
        <v>395</v>
      </c>
      <c r="K19" s="1100"/>
      <c r="L19" s="1100"/>
      <c r="M19" s="1100"/>
      <c r="N19" s="1100"/>
      <c r="O19" s="1100"/>
      <c r="P19" s="1100" t="s">
        <v>704</v>
      </c>
      <c r="Q19" s="1100"/>
      <c r="R19" s="1100"/>
      <c r="S19" s="1100"/>
      <c r="T19" s="1100"/>
      <c r="U19" s="1100"/>
      <c r="V19" s="1100"/>
      <c r="W19" s="1100"/>
      <c r="X19" s="1100"/>
      <c r="Y19" s="1101" t="s">
        <v>710</v>
      </c>
      <c r="Z19" s="1101"/>
      <c r="AA19" s="1101"/>
      <c r="AB19" s="1101"/>
      <c r="AC19" s="1101"/>
      <c r="AD19" s="1101"/>
      <c r="AE19" s="1101"/>
      <c r="AG19" s="1050"/>
      <c r="AH19" s="1050"/>
      <c r="AI19" s="736"/>
      <c r="AJ19" s="1125"/>
      <c r="AK19" s="1125"/>
      <c r="AL19" s="1125"/>
      <c r="AM19" s="1125"/>
      <c r="AN19" s="1125"/>
      <c r="AO19" s="1125"/>
      <c r="AP19" s="1125"/>
      <c r="AQ19" s="1125"/>
      <c r="AR19" s="1125"/>
      <c r="AS19" s="1125"/>
      <c r="AT19" s="1125"/>
      <c r="AU19" s="1125"/>
      <c r="AV19" s="1125"/>
      <c r="AW19" s="1125"/>
      <c r="AX19" s="1125"/>
      <c r="AY19" s="1125"/>
      <c r="AZ19" s="1125"/>
      <c r="BA19" s="1125"/>
      <c r="BB19" s="1125"/>
      <c r="BC19" s="1125"/>
      <c r="BD19" s="1125"/>
      <c r="BE19" s="1125"/>
      <c r="BF19" s="738"/>
    </row>
    <row r="20" spans="1:58" x14ac:dyDescent="0.2">
      <c r="A20" s="625"/>
      <c r="B20" s="625"/>
      <c r="C20" s="625"/>
      <c r="D20" s="625"/>
      <c r="E20" s="625"/>
      <c r="F20" s="625"/>
      <c r="G20" s="625"/>
      <c r="H20" s="625"/>
      <c r="I20" s="625"/>
      <c r="J20" s="1102" t="s">
        <v>396</v>
      </c>
      <c r="K20" s="1102"/>
      <c r="L20" s="1102"/>
      <c r="M20" s="1102"/>
      <c r="N20" s="1102"/>
      <c r="O20" s="1102"/>
      <c r="P20" s="1102" t="s">
        <v>705</v>
      </c>
      <c r="Q20" s="1102"/>
      <c r="R20" s="1102"/>
      <c r="S20" s="1102"/>
      <c r="T20" s="1102"/>
      <c r="U20" s="1102"/>
      <c r="V20" s="1102"/>
      <c r="W20" s="1102"/>
      <c r="X20" s="1102"/>
      <c r="Y20" s="1103" t="s">
        <v>711</v>
      </c>
      <c r="Z20" s="1103"/>
      <c r="AA20" s="1103"/>
      <c r="AB20" s="1103"/>
      <c r="AC20" s="1103"/>
      <c r="AD20" s="1103"/>
      <c r="AE20" s="1103"/>
      <c r="AG20" s="1050"/>
      <c r="AH20" s="1050"/>
      <c r="AI20" s="736"/>
      <c r="AJ20" s="1125"/>
      <c r="AK20" s="1125"/>
      <c r="AL20" s="1125"/>
      <c r="AM20" s="1125"/>
      <c r="AN20" s="1125"/>
      <c r="AO20" s="1125"/>
      <c r="AP20" s="1125"/>
      <c r="AQ20" s="1125"/>
      <c r="AR20" s="1125"/>
      <c r="AS20" s="1125"/>
      <c r="AT20" s="1125"/>
      <c r="AU20" s="1125"/>
      <c r="AV20" s="1125"/>
      <c r="AW20" s="1125"/>
      <c r="AX20" s="1125"/>
      <c r="AY20" s="1125"/>
      <c r="AZ20" s="1125"/>
      <c r="BA20" s="1125"/>
      <c r="BB20" s="1125"/>
      <c r="BC20" s="1125"/>
      <c r="BD20" s="1125"/>
      <c r="BE20" s="1125"/>
      <c r="BF20" s="738"/>
    </row>
    <row r="21" spans="1:58" x14ac:dyDescent="0.2">
      <c r="A21" s="631" t="s">
        <v>716</v>
      </c>
      <c r="B21" s="631"/>
      <c r="C21" s="631"/>
      <c r="D21" s="631"/>
      <c r="E21" s="631"/>
      <c r="F21" s="631"/>
      <c r="G21" s="631"/>
      <c r="H21" s="631"/>
      <c r="I21" s="631"/>
      <c r="J21" s="1100" t="s">
        <v>395</v>
      </c>
      <c r="K21" s="1100"/>
      <c r="L21" s="1100"/>
      <c r="M21" s="1100"/>
      <c r="N21" s="1100"/>
      <c r="O21" s="1100"/>
      <c r="P21" s="1100" t="s">
        <v>704</v>
      </c>
      <c r="Q21" s="1100"/>
      <c r="R21" s="1100"/>
      <c r="S21" s="1100"/>
      <c r="T21" s="1100"/>
      <c r="U21" s="1100"/>
      <c r="V21" s="1100"/>
      <c r="W21" s="1100"/>
      <c r="X21" s="1100"/>
      <c r="Y21" s="1101" t="s">
        <v>714</v>
      </c>
      <c r="Z21" s="1101"/>
      <c r="AA21" s="1101"/>
      <c r="AB21" s="1101"/>
      <c r="AC21" s="1101"/>
      <c r="AD21" s="1101"/>
      <c r="AE21" s="1101"/>
      <c r="AG21" s="1050"/>
      <c r="AH21" s="1050"/>
      <c r="AI21" s="736"/>
      <c r="AJ21" s="1125"/>
      <c r="AK21" s="1125"/>
      <c r="AL21" s="1125"/>
      <c r="AM21" s="1125"/>
      <c r="AN21" s="1125"/>
      <c r="AO21" s="1125"/>
      <c r="AP21" s="1125"/>
      <c r="AQ21" s="1125"/>
      <c r="AR21" s="1125"/>
      <c r="AS21" s="1125"/>
      <c r="AT21" s="1125"/>
      <c r="AU21" s="1125"/>
      <c r="AV21" s="1125"/>
      <c r="AW21" s="1125"/>
      <c r="AX21" s="1125"/>
      <c r="AY21" s="1125"/>
      <c r="AZ21" s="1125"/>
      <c r="BA21" s="1125"/>
      <c r="BB21" s="1125"/>
      <c r="BC21" s="1125"/>
      <c r="BD21" s="1125"/>
      <c r="BE21" s="1125"/>
      <c r="BF21" s="738"/>
    </row>
    <row r="22" spans="1:58" x14ac:dyDescent="0.2">
      <c r="A22" s="631"/>
      <c r="B22" s="631"/>
      <c r="C22" s="631"/>
      <c r="D22" s="631"/>
      <c r="E22" s="631"/>
      <c r="F22" s="631"/>
      <c r="G22" s="631"/>
      <c r="H22" s="631"/>
      <c r="I22" s="631"/>
      <c r="J22" s="1102" t="s">
        <v>396</v>
      </c>
      <c r="K22" s="1102"/>
      <c r="L22" s="1102"/>
      <c r="M22" s="1102"/>
      <c r="N22" s="1102"/>
      <c r="O22" s="1102"/>
      <c r="P22" s="1102" t="s">
        <v>705</v>
      </c>
      <c r="Q22" s="1102"/>
      <c r="R22" s="1102"/>
      <c r="S22" s="1102"/>
      <c r="T22" s="1102"/>
      <c r="U22" s="1102"/>
      <c r="V22" s="1102"/>
      <c r="W22" s="1102"/>
      <c r="X22" s="1102"/>
      <c r="Y22" s="1103" t="s">
        <v>714</v>
      </c>
      <c r="Z22" s="1103"/>
      <c r="AA22" s="1103"/>
      <c r="AB22" s="1103"/>
      <c r="AC22" s="1103"/>
      <c r="AD22" s="1103"/>
      <c r="AE22" s="1103"/>
      <c r="AG22" s="1050"/>
      <c r="AH22" s="1050"/>
      <c r="AI22" s="739"/>
      <c r="AJ22" s="740"/>
      <c r="AK22" s="740"/>
      <c r="AL22" s="740"/>
      <c r="AM22" s="740"/>
      <c r="AN22" s="740"/>
      <c r="AO22" s="740"/>
      <c r="AP22" s="740"/>
      <c r="AQ22" s="740"/>
      <c r="AR22" s="740"/>
      <c r="AS22" s="740"/>
      <c r="AT22" s="740"/>
      <c r="AU22" s="740"/>
      <c r="AV22" s="740"/>
      <c r="AW22" s="740"/>
      <c r="AX22" s="740"/>
      <c r="AY22" s="740"/>
      <c r="AZ22" s="740"/>
      <c r="BA22" s="740"/>
      <c r="BB22" s="740"/>
      <c r="BC22" s="740"/>
      <c r="BD22" s="740"/>
      <c r="BE22" s="740"/>
      <c r="BF22" s="741"/>
    </row>
    <row r="23" spans="1:58" x14ac:dyDescent="0.2">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2">
      <c r="A24" t="s">
        <v>33</v>
      </c>
    </row>
    <row r="25" spans="1:58" ht="13.5" customHeight="1" x14ac:dyDescent="0.2">
      <c r="A25" s="1146" t="s">
        <v>410</v>
      </c>
      <c r="B25" s="1147"/>
      <c r="C25" s="1147"/>
      <c r="D25" s="1147"/>
      <c r="E25" s="1147"/>
      <c r="F25" s="1147"/>
      <c r="G25" s="1147"/>
      <c r="H25" s="1147"/>
      <c r="I25" s="1147"/>
      <c r="J25" s="1147"/>
      <c r="K25" s="1148"/>
      <c r="L25" s="1146" t="s">
        <v>34</v>
      </c>
      <c r="M25" s="1147"/>
      <c r="N25" s="1147"/>
      <c r="O25" s="1147"/>
      <c r="P25" s="1147"/>
      <c r="Q25" s="1147"/>
      <c r="R25" s="1148"/>
      <c r="S25" s="1146" t="s">
        <v>411</v>
      </c>
      <c r="T25" s="1147"/>
      <c r="U25" s="1147"/>
      <c r="V25" s="1147"/>
      <c r="W25" s="1147"/>
      <c r="X25" s="1147"/>
      <c r="Y25" s="1148"/>
      <c r="Z25" s="1145" t="s">
        <v>35</v>
      </c>
      <c r="AA25" s="1145"/>
      <c r="AB25" s="1145"/>
      <c r="AC25" s="1145"/>
      <c r="AD25" s="1145"/>
      <c r="AE25" s="1145"/>
      <c r="AF25" s="1145"/>
      <c r="AG25" s="1145"/>
      <c r="AH25" s="1145"/>
      <c r="AI25" s="1145"/>
      <c r="AJ25" s="1145" t="s">
        <v>405</v>
      </c>
      <c r="AK25" s="1145"/>
      <c r="AL25" s="1145"/>
      <c r="AM25" s="1145"/>
      <c r="AN25" s="1145"/>
      <c r="AO25" s="1145"/>
      <c r="AP25" s="1145"/>
      <c r="AQ25" s="1145" t="s">
        <v>36</v>
      </c>
      <c r="AR25" s="1145"/>
      <c r="AS25" s="1145"/>
      <c r="AT25" s="1145"/>
      <c r="AU25" s="1145"/>
      <c r="AV25" s="1145"/>
      <c r="AW25" s="1145"/>
      <c r="AX25" s="1145"/>
      <c r="AY25" s="1145"/>
      <c r="AZ25" s="1145"/>
    </row>
    <row r="26" spans="1:58" x14ac:dyDescent="0.2">
      <c r="A26" s="1149"/>
      <c r="B26" s="1150"/>
      <c r="C26" s="1150"/>
      <c r="D26" s="1150"/>
      <c r="E26" s="1150"/>
      <c r="F26" s="1150"/>
      <c r="G26" s="1150"/>
      <c r="H26" s="1150"/>
      <c r="I26" s="1150"/>
      <c r="J26" s="1150"/>
      <c r="K26" s="1151"/>
      <c r="L26" s="1149"/>
      <c r="M26" s="1150"/>
      <c r="N26" s="1150"/>
      <c r="O26" s="1150"/>
      <c r="P26" s="1150"/>
      <c r="Q26" s="1150"/>
      <c r="R26" s="1151"/>
      <c r="S26" s="1149"/>
      <c r="T26" s="1150"/>
      <c r="U26" s="1150"/>
      <c r="V26" s="1150"/>
      <c r="W26" s="1150"/>
      <c r="X26" s="1150"/>
      <c r="Y26" s="1151"/>
      <c r="Z26" s="1145"/>
      <c r="AA26" s="1145"/>
      <c r="AB26" s="1145"/>
      <c r="AC26" s="1145"/>
      <c r="AD26" s="1145"/>
      <c r="AE26" s="1145"/>
      <c r="AF26" s="1145"/>
      <c r="AG26" s="1145"/>
      <c r="AH26" s="1145"/>
      <c r="AI26" s="1145"/>
      <c r="AJ26" s="1145"/>
      <c r="AK26" s="1145"/>
      <c r="AL26" s="1145"/>
      <c r="AM26" s="1145"/>
      <c r="AN26" s="1145"/>
      <c r="AO26" s="1145"/>
      <c r="AP26" s="1145"/>
      <c r="AQ26" s="1145"/>
      <c r="AR26" s="1145"/>
      <c r="AS26" s="1145"/>
      <c r="AT26" s="1145"/>
      <c r="AU26" s="1145"/>
      <c r="AV26" s="1145"/>
      <c r="AW26" s="1145"/>
      <c r="AX26" s="1145"/>
      <c r="AY26" s="1145"/>
      <c r="AZ26" s="1145"/>
    </row>
    <row r="27" spans="1:58" x14ac:dyDescent="0.2">
      <c r="A27" s="1138" t="s">
        <v>37</v>
      </c>
      <c r="B27" s="1139"/>
      <c r="C27" s="1139"/>
      <c r="D27" s="1139"/>
      <c r="E27" s="1139"/>
      <c r="F27" s="1139"/>
      <c r="G27" s="1139"/>
      <c r="H27" s="1139"/>
      <c r="I27" s="1139"/>
      <c r="J27" s="1139"/>
      <c r="K27" s="1140"/>
      <c r="L27" s="1144">
        <v>300</v>
      </c>
      <c r="M27" s="1144"/>
      <c r="N27" s="1144"/>
      <c r="O27" s="1144"/>
      <c r="P27" s="1144"/>
      <c r="Q27" s="1144"/>
      <c r="R27" s="1144"/>
      <c r="S27" s="1144">
        <v>20</v>
      </c>
      <c r="T27" s="1144"/>
      <c r="U27" s="1144"/>
      <c r="V27" s="1144"/>
      <c r="W27" s="1144"/>
      <c r="X27" s="1144"/>
      <c r="Y27" s="1144"/>
      <c r="Z27" s="1132">
        <f>IF(AND(L27&lt;&gt;"",S27&lt;&gt;""),L27/S27,"")</f>
        <v>15</v>
      </c>
      <c r="AA27" s="1133"/>
      <c r="AB27" s="1133"/>
      <c r="AC27" s="1133"/>
      <c r="AD27" s="1133"/>
      <c r="AE27" s="1133"/>
      <c r="AF27" s="1133"/>
      <c r="AG27" s="1133"/>
      <c r="AH27" s="1133"/>
      <c r="AI27" s="1134"/>
      <c r="AJ27" s="1126">
        <v>30</v>
      </c>
      <c r="AK27" s="1127"/>
      <c r="AL27" s="1127"/>
      <c r="AM27" s="1127"/>
      <c r="AN27" s="1127"/>
      <c r="AO27" s="1127"/>
      <c r="AP27" s="1128"/>
      <c r="AQ27" s="1132">
        <f>IF(AND(S27&lt;&gt;"",AJ27&lt;&gt;""),AJ27/S27,"")</f>
        <v>1.5</v>
      </c>
      <c r="AR27" s="1133"/>
      <c r="AS27" s="1133"/>
      <c r="AT27" s="1133"/>
      <c r="AU27" s="1133"/>
      <c r="AV27" s="1133"/>
      <c r="AW27" s="1133"/>
      <c r="AX27" s="1133"/>
      <c r="AY27" s="1133"/>
      <c r="AZ27" s="1134"/>
    </row>
    <row r="28" spans="1:58" x14ac:dyDescent="0.2">
      <c r="A28" s="1141"/>
      <c r="B28" s="1142"/>
      <c r="C28" s="1142"/>
      <c r="D28" s="1142"/>
      <c r="E28" s="1142"/>
      <c r="F28" s="1142"/>
      <c r="G28" s="1142"/>
      <c r="H28" s="1142"/>
      <c r="I28" s="1142"/>
      <c r="J28" s="1142"/>
      <c r="K28" s="1143"/>
      <c r="L28" s="1144"/>
      <c r="M28" s="1144"/>
      <c r="N28" s="1144"/>
      <c r="O28" s="1144"/>
      <c r="P28" s="1144"/>
      <c r="Q28" s="1144"/>
      <c r="R28" s="1144"/>
      <c r="S28" s="1144"/>
      <c r="T28" s="1144"/>
      <c r="U28" s="1144"/>
      <c r="V28" s="1144"/>
      <c r="W28" s="1144"/>
      <c r="X28" s="1144"/>
      <c r="Y28" s="1144"/>
      <c r="Z28" s="1135"/>
      <c r="AA28" s="1136"/>
      <c r="AB28" s="1136"/>
      <c r="AC28" s="1136"/>
      <c r="AD28" s="1136"/>
      <c r="AE28" s="1136"/>
      <c r="AF28" s="1136"/>
      <c r="AG28" s="1136"/>
      <c r="AH28" s="1136"/>
      <c r="AI28" s="1137"/>
      <c r="AJ28" s="1129"/>
      <c r="AK28" s="1130"/>
      <c r="AL28" s="1130"/>
      <c r="AM28" s="1130"/>
      <c r="AN28" s="1130"/>
      <c r="AO28" s="1130"/>
      <c r="AP28" s="1131"/>
      <c r="AQ28" s="1135"/>
      <c r="AR28" s="1136"/>
      <c r="AS28" s="1136"/>
      <c r="AT28" s="1136"/>
      <c r="AU28" s="1136"/>
      <c r="AV28" s="1136"/>
      <c r="AW28" s="1136"/>
      <c r="AX28" s="1136"/>
      <c r="AY28" s="1136"/>
      <c r="AZ28" s="1137"/>
    </row>
    <row r="29" spans="1:58" x14ac:dyDescent="0.2">
      <c r="A29" s="1138" t="s">
        <v>38</v>
      </c>
      <c r="B29" s="1139"/>
      <c r="C29" s="1139"/>
      <c r="D29" s="1139"/>
      <c r="E29" s="1139"/>
      <c r="F29" s="1139"/>
      <c r="G29" s="1139"/>
      <c r="H29" s="1139"/>
      <c r="I29" s="1139"/>
      <c r="J29" s="1139"/>
      <c r="K29" s="1140"/>
      <c r="L29" s="1144">
        <v>1500</v>
      </c>
      <c r="M29" s="1144"/>
      <c r="N29" s="1144"/>
      <c r="O29" s="1144"/>
      <c r="P29" s="1144"/>
      <c r="Q29" s="1144"/>
      <c r="R29" s="1144"/>
      <c r="S29" s="1144">
        <v>60</v>
      </c>
      <c r="T29" s="1144"/>
      <c r="U29" s="1144"/>
      <c r="V29" s="1144"/>
      <c r="W29" s="1144"/>
      <c r="X29" s="1144"/>
      <c r="Y29" s="1144"/>
      <c r="Z29" s="1132">
        <f>IF(AND(L29&lt;&gt;"",S29&lt;&gt;""),L29/S29,"")</f>
        <v>25</v>
      </c>
      <c r="AA29" s="1133"/>
      <c r="AB29" s="1133"/>
      <c r="AC29" s="1133"/>
      <c r="AD29" s="1133"/>
      <c r="AE29" s="1133"/>
      <c r="AF29" s="1133"/>
      <c r="AG29" s="1133"/>
      <c r="AH29" s="1133"/>
      <c r="AI29" s="1134"/>
      <c r="AJ29" s="1126">
        <v>29</v>
      </c>
      <c r="AK29" s="1127"/>
      <c r="AL29" s="1127"/>
      <c r="AM29" s="1127"/>
      <c r="AN29" s="1127"/>
      <c r="AO29" s="1127"/>
      <c r="AP29" s="1128"/>
      <c r="AQ29" s="1132">
        <f>IF(AND(S29&lt;&gt;"",AJ29&lt;&gt;""),AJ29/S29,"")</f>
        <v>0.48333333333333334</v>
      </c>
      <c r="AR29" s="1133"/>
      <c r="AS29" s="1133"/>
      <c r="AT29" s="1133"/>
      <c r="AU29" s="1133"/>
      <c r="AV29" s="1133"/>
      <c r="AW29" s="1133"/>
      <c r="AX29" s="1133"/>
      <c r="AY29" s="1133"/>
      <c r="AZ29" s="1134"/>
    </row>
    <row r="30" spans="1:58" x14ac:dyDescent="0.2">
      <c r="A30" s="1141"/>
      <c r="B30" s="1142"/>
      <c r="C30" s="1142"/>
      <c r="D30" s="1142"/>
      <c r="E30" s="1142"/>
      <c r="F30" s="1142"/>
      <c r="G30" s="1142"/>
      <c r="H30" s="1142"/>
      <c r="I30" s="1142"/>
      <c r="J30" s="1142"/>
      <c r="K30" s="1143"/>
      <c r="L30" s="1144"/>
      <c r="M30" s="1144"/>
      <c r="N30" s="1144"/>
      <c r="O30" s="1144"/>
      <c r="P30" s="1144"/>
      <c r="Q30" s="1144"/>
      <c r="R30" s="1144"/>
      <c r="S30" s="1144"/>
      <c r="T30" s="1144"/>
      <c r="U30" s="1144"/>
      <c r="V30" s="1144"/>
      <c r="W30" s="1144"/>
      <c r="X30" s="1144"/>
      <c r="Y30" s="1144"/>
      <c r="Z30" s="1135"/>
      <c r="AA30" s="1136"/>
      <c r="AB30" s="1136"/>
      <c r="AC30" s="1136"/>
      <c r="AD30" s="1136"/>
      <c r="AE30" s="1136"/>
      <c r="AF30" s="1136"/>
      <c r="AG30" s="1136"/>
      <c r="AH30" s="1136"/>
      <c r="AI30" s="1137"/>
      <c r="AJ30" s="1129"/>
      <c r="AK30" s="1130"/>
      <c r="AL30" s="1130"/>
      <c r="AM30" s="1130"/>
      <c r="AN30" s="1130"/>
      <c r="AO30" s="1130"/>
      <c r="AP30" s="1131"/>
      <c r="AQ30" s="1135"/>
      <c r="AR30" s="1136"/>
      <c r="AS30" s="1136"/>
      <c r="AT30" s="1136"/>
      <c r="AU30" s="1136"/>
      <c r="AV30" s="1136"/>
      <c r="AW30" s="1136"/>
      <c r="AX30" s="1136"/>
      <c r="AY30" s="1136"/>
      <c r="AZ30" s="1137"/>
    </row>
    <row r="31" spans="1:58" x14ac:dyDescent="0.2">
      <c r="A31" s="1138" t="s">
        <v>39</v>
      </c>
      <c r="B31" s="1139"/>
      <c r="C31" s="1139"/>
      <c r="D31" s="1139"/>
      <c r="E31" s="1139"/>
      <c r="F31" s="1139"/>
      <c r="G31" s="1139"/>
      <c r="H31" s="1139"/>
      <c r="I31" s="1139"/>
      <c r="J31" s="1139"/>
      <c r="K31" s="1140"/>
      <c r="L31" s="1144">
        <v>8000</v>
      </c>
      <c r="M31" s="1144"/>
      <c r="N31" s="1144"/>
      <c r="O31" s="1144"/>
      <c r="P31" s="1144"/>
      <c r="Q31" s="1144"/>
      <c r="R31" s="1144"/>
      <c r="S31" s="1144">
        <v>140</v>
      </c>
      <c r="T31" s="1144"/>
      <c r="U31" s="1144"/>
      <c r="V31" s="1144"/>
      <c r="W31" s="1144"/>
      <c r="X31" s="1144"/>
      <c r="Y31" s="1144"/>
      <c r="Z31" s="1132">
        <f>IF(AND(L31&lt;&gt;"",S31&lt;&gt;""),L31/S31,"")</f>
        <v>57.142857142857146</v>
      </c>
      <c r="AA31" s="1133"/>
      <c r="AB31" s="1133"/>
      <c r="AC31" s="1133"/>
      <c r="AD31" s="1133"/>
      <c r="AE31" s="1133"/>
      <c r="AF31" s="1133"/>
      <c r="AG31" s="1133"/>
      <c r="AH31" s="1133"/>
      <c r="AI31" s="1134"/>
      <c r="AJ31" s="1126">
        <v>41</v>
      </c>
      <c r="AK31" s="1127"/>
      <c r="AL31" s="1127"/>
      <c r="AM31" s="1127"/>
      <c r="AN31" s="1127"/>
      <c r="AO31" s="1127"/>
      <c r="AP31" s="1128"/>
      <c r="AQ31" s="1132">
        <f>IF(AND(S31&lt;&gt;"",AJ31&lt;&gt;""),AJ31/S31,"")</f>
        <v>0.29285714285714287</v>
      </c>
      <c r="AR31" s="1133"/>
      <c r="AS31" s="1133"/>
      <c r="AT31" s="1133"/>
      <c r="AU31" s="1133"/>
      <c r="AV31" s="1133"/>
      <c r="AW31" s="1133"/>
      <c r="AX31" s="1133"/>
      <c r="AY31" s="1133"/>
      <c r="AZ31" s="1134"/>
    </row>
    <row r="32" spans="1:58" x14ac:dyDescent="0.2">
      <c r="A32" s="1141"/>
      <c r="B32" s="1142"/>
      <c r="C32" s="1142"/>
      <c r="D32" s="1142"/>
      <c r="E32" s="1142"/>
      <c r="F32" s="1142"/>
      <c r="G32" s="1142"/>
      <c r="H32" s="1142"/>
      <c r="I32" s="1142"/>
      <c r="J32" s="1142"/>
      <c r="K32" s="1143"/>
      <c r="L32" s="1144"/>
      <c r="M32" s="1144"/>
      <c r="N32" s="1144"/>
      <c r="O32" s="1144"/>
      <c r="P32" s="1144"/>
      <c r="Q32" s="1144"/>
      <c r="R32" s="1144"/>
      <c r="S32" s="1144"/>
      <c r="T32" s="1144"/>
      <c r="U32" s="1144"/>
      <c r="V32" s="1144"/>
      <c r="W32" s="1144"/>
      <c r="X32" s="1144"/>
      <c r="Y32" s="1144"/>
      <c r="Z32" s="1135"/>
      <c r="AA32" s="1136"/>
      <c r="AB32" s="1136"/>
      <c r="AC32" s="1136"/>
      <c r="AD32" s="1136"/>
      <c r="AE32" s="1136"/>
      <c r="AF32" s="1136"/>
      <c r="AG32" s="1136"/>
      <c r="AH32" s="1136"/>
      <c r="AI32" s="1137"/>
      <c r="AJ32" s="1129"/>
      <c r="AK32" s="1130"/>
      <c r="AL32" s="1130"/>
      <c r="AM32" s="1130"/>
      <c r="AN32" s="1130"/>
      <c r="AO32" s="1130"/>
      <c r="AP32" s="1131"/>
      <c r="AQ32" s="1135"/>
      <c r="AR32" s="1136"/>
      <c r="AS32" s="1136"/>
      <c r="AT32" s="1136"/>
      <c r="AU32" s="1136"/>
      <c r="AV32" s="1136"/>
      <c r="AW32" s="1136"/>
      <c r="AX32" s="1136"/>
      <c r="AY32" s="1136"/>
      <c r="AZ32" s="1137"/>
    </row>
    <row r="33" spans="1:52" x14ac:dyDescent="0.2">
      <c r="A33" s="1138"/>
      <c r="B33" s="1139"/>
      <c r="C33" s="1139"/>
      <c r="D33" s="1139"/>
      <c r="E33" s="1139"/>
      <c r="F33" s="1139"/>
      <c r="G33" s="1139"/>
      <c r="H33" s="1139"/>
      <c r="I33" s="1139"/>
      <c r="J33" s="1139"/>
      <c r="K33" s="1140"/>
      <c r="L33" s="1144"/>
      <c r="M33" s="1144"/>
      <c r="N33" s="1144"/>
      <c r="O33" s="1144"/>
      <c r="P33" s="1144"/>
      <c r="Q33" s="1144"/>
      <c r="R33" s="1144"/>
      <c r="S33" s="1144"/>
      <c r="T33" s="1144"/>
      <c r="U33" s="1144"/>
      <c r="V33" s="1144"/>
      <c r="W33" s="1144"/>
      <c r="X33" s="1144"/>
      <c r="Y33" s="1144"/>
      <c r="Z33" s="1132" t="str">
        <f>IF(AND(L33&lt;&gt;"",S33&lt;&gt;""),L33/S33,"")</f>
        <v/>
      </c>
      <c r="AA33" s="1133"/>
      <c r="AB33" s="1133"/>
      <c r="AC33" s="1133"/>
      <c r="AD33" s="1133"/>
      <c r="AE33" s="1133"/>
      <c r="AF33" s="1133"/>
      <c r="AG33" s="1133"/>
      <c r="AH33" s="1133"/>
      <c r="AI33" s="1134"/>
      <c r="AJ33" s="1126"/>
      <c r="AK33" s="1127"/>
      <c r="AL33" s="1127"/>
      <c r="AM33" s="1127"/>
      <c r="AN33" s="1127"/>
      <c r="AO33" s="1127"/>
      <c r="AP33" s="1128"/>
      <c r="AQ33" s="1132" t="str">
        <f>IF(AND(S33&lt;&gt;"",AJ33&lt;&gt;""),AJ33/S33,"")</f>
        <v/>
      </c>
      <c r="AR33" s="1133"/>
      <c r="AS33" s="1133"/>
      <c r="AT33" s="1133"/>
      <c r="AU33" s="1133"/>
      <c r="AV33" s="1133"/>
      <c r="AW33" s="1133"/>
      <c r="AX33" s="1133"/>
      <c r="AY33" s="1133"/>
      <c r="AZ33" s="1134"/>
    </row>
    <row r="34" spans="1:52" x14ac:dyDescent="0.2">
      <c r="A34" s="1141"/>
      <c r="B34" s="1142"/>
      <c r="C34" s="1142"/>
      <c r="D34" s="1142"/>
      <c r="E34" s="1142"/>
      <c r="F34" s="1142"/>
      <c r="G34" s="1142"/>
      <c r="H34" s="1142"/>
      <c r="I34" s="1142"/>
      <c r="J34" s="1142"/>
      <c r="K34" s="1143"/>
      <c r="L34" s="1144"/>
      <c r="M34" s="1144"/>
      <c r="N34" s="1144"/>
      <c r="O34" s="1144"/>
      <c r="P34" s="1144"/>
      <c r="Q34" s="1144"/>
      <c r="R34" s="1144"/>
      <c r="S34" s="1144"/>
      <c r="T34" s="1144"/>
      <c r="U34" s="1144"/>
      <c r="V34" s="1144"/>
      <c r="W34" s="1144"/>
      <c r="X34" s="1144"/>
      <c r="Y34" s="1144"/>
      <c r="Z34" s="1135"/>
      <c r="AA34" s="1136"/>
      <c r="AB34" s="1136"/>
      <c r="AC34" s="1136"/>
      <c r="AD34" s="1136"/>
      <c r="AE34" s="1136"/>
      <c r="AF34" s="1136"/>
      <c r="AG34" s="1136"/>
      <c r="AH34" s="1136"/>
      <c r="AI34" s="1137"/>
      <c r="AJ34" s="1129"/>
      <c r="AK34" s="1130"/>
      <c r="AL34" s="1130"/>
      <c r="AM34" s="1130"/>
      <c r="AN34" s="1130"/>
      <c r="AO34" s="1130"/>
      <c r="AP34" s="1131"/>
      <c r="AQ34" s="1135"/>
      <c r="AR34" s="1136"/>
      <c r="AS34" s="1136"/>
      <c r="AT34" s="1136"/>
      <c r="AU34" s="1136"/>
      <c r="AV34" s="1136"/>
      <c r="AW34" s="1136"/>
      <c r="AX34" s="1136"/>
      <c r="AY34" s="1136"/>
      <c r="AZ34" s="1137"/>
    </row>
    <row r="35" spans="1:52" x14ac:dyDescent="0.2">
      <c r="A35" s="1138"/>
      <c r="B35" s="1139"/>
      <c r="C35" s="1139"/>
      <c r="D35" s="1139"/>
      <c r="E35" s="1139"/>
      <c r="F35" s="1139"/>
      <c r="G35" s="1139"/>
      <c r="H35" s="1139"/>
      <c r="I35" s="1139"/>
      <c r="J35" s="1139"/>
      <c r="K35" s="1140"/>
      <c r="L35" s="1144"/>
      <c r="M35" s="1144"/>
      <c r="N35" s="1144"/>
      <c r="O35" s="1144"/>
      <c r="P35" s="1144"/>
      <c r="Q35" s="1144"/>
      <c r="R35" s="1144"/>
      <c r="S35" s="1144"/>
      <c r="T35" s="1144"/>
      <c r="U35" s="1144"/>
      <c r="V35" s="1144"/>
      <c r="W35" s="1144"/>
      <c r="X35" s="1144"/>
      <c r="Y35" s="1144"/>
      <c r="Z35" s="1132" t="str">
        <f>IF(AND(L35&lt;&gt;"",S35&lt;&gt;""),L35/S35,"")</f>
        <v/>
      </c>
      <c r="AA35" s="1133"/>
      <c r="AB35" s="1133"/>
      <c r="AC35" s="1133"/>
      <c r="AD35" s="1133"/>
      <c r="AE35" s="1133"/>
      <c r="AF35" s="1133"/>
      <c r="AG35" s="1133"/>
      <c r="AH35" s="1133"/>
      <c r="AI35" s="1134"/>
      <c r="AJ35" s="1126"/>
      <c r="AK35" s="1127"/>
      <c r="AL35" s="1127"/>
      <c r="AM35" s="1127"/>
      <c r="AN35" s="1127"/>
      <c r="AO35" s="1127"/>
      <c r="AP35" s="1128"/>
      <c r="AQ35" s="1132" t="str">
        <f>IF(AND(S35&lt;&gt;"",AJ35&lt;&gt;""),AJ35/S35,"")</f>
        <v/>
      </c>
      <c r="AR35" s="1133"/>
      <c r="AS35" s="1133"/>
      <c r="AT35" s="1133"/>
      <c r="AU35" s="1133"/>
      <c r="AV35" s="1133"/>
      <c r="AW35" s="1133"/>
      <c r="AX35" s="1133"/>
      <c r="AY35" s="1133"/>
      <c r="AZ35" s="1134"/>
    </row>
    <row r="36" spans="1:52" x14ac:dyDescent="0.2">
      <c r="A36" s="1141"/>
      <c r="B36" s="1142"/>
      <c r="C36" s="1142"/>
      <c r="D36" s="1142"/>
      <c r="E36" s="1142"/>
      <c r="F36" s="1142"/>
      <c r="G36" s="1142"/>
      <c r="H36" s="1142"/>
      <c r="I36" s="1142"/>
      <c r="J36" s="1142"/>
      <c r="K36" s="1143"/>
      <c r="L36" s="1144"/>
      <c r="M36" s="1144"/>
      <c r="N36" s="1144"/>
      <c r="O36" s="1144"/>
      <c r="P36" s="1144"/>
      <c r="Q36" s="1144"/>
      <c r="R36" s="1144"/>
      <c r="S36" s="1144"/>
      <c r="T36" s="1144"/>
      <c r="U36" s="1144"/>
      <c r="V36" s="1144"/>
      <c r="W36" s="1144"/>
      <c r="X36" s="1144"/>
      <c r="Y36" s="1144"/>
      <c r="Z36" s="1135"/>
      <c r="AA36" s="1136"/>
      <c r="AB36" s="1136"/>
      <c r="AC36" s="1136"/>
      <c r="AD36" s="1136"/>
      <c r="AE36" s="1136"/>
      <c r="AF36" s="1136"/>
      <c r="AG36" s="1136"/>
      <c r="AH36" s="1136"/>
      <c r="AI36" s="1137"/>
      <c r="AJ36" s="1129"/>
      <c r="AK36" s="1130"/>
      <c r="AL36" s="1130"/>
      <c r="AM36" s="1130"/>
      <c r="AN36" s="1130"/>
      <c r="AO36" s="1130"/>
      <c r="AP36" s="1131"/>
      <c r="AQ36" s="1135"/>
      <c r="AR36" s="1136"/>
      <c r="AS36" s="1136"/>
      <c r="AT36" s="1136"/>
      <c r="AU36" s="1136"/>
      <c r="AV36" s="1136"/>
      <c r="AW36" s="1136"/>
      <c r="AX36" s="1136"/>
      <c r="AY36" s="1136"/>
      <c r="AZ36" s="1137"/>
    </row>
    <row r="37" spans="1:52" x14ac:dyDescent="0.2">
      <c r="A37" s="1138"/>
      <c r="B37" s="1139"/>
      <c r="C37" s="1139"/>
      <c r="D37" s="1139"/>
      <c r="E37" s="1139"/>
      <c r="F37" s="1139"/>
      <c r="G37" s="1139"/>
      <c r="H37" s="1139"/>
      <c r="I37" s="1139"/>
      <c r="J37" s="1139"/>
      <c r="K37" s="1140"/>
      <c r="L37" s="1144"/>
      <c r="M37" s="1144"/>
      <c r="N37" s="1144"/>
      <c r="O37" s="1144"/>
      <c r="P37" s="1144"/>
      <c r="Q37" s="1144"/>
      <c r="R37" s="1144"/>
      <c r="S37" s="1144"/>
      <c r="T37" s="1144"/>
      <c r="U37" s="1144"/>
      <c r="V37" s="1144"/>
      <c r="W37" s="1144"/>
      <c r="X37" s="1144"/>
      <c r="Y37" s="1144"/>
      <c r="Z37" s="1132" t="str">
        <f>IF(AND(L37&lt;&gt;"",S37&lt;&gt;""),L37/S37,"")</f>
        <v/>
      </c>
      <c r="AA37" s="1133"/>
      <c r="AB37" s="1133"/>
      <c r="AC37" s="1133"/>
      <c r="AD37" s="1133"/>
      <c r="AE37" s="1133"/>
      <c r="AF37" s="1133"/>
      <c r="AG37" s="1133"/>
      <c r="AH37" s="1133"/>
      <c r="AI37" s="1134"/>
      <c r="AJ37" s="1126"/>
      <c r="AK37" s="1127"/>
      <c r="AL37" s="1127"/>
      <c r="AM37" s="1127"/>
      <c r="AN37" s="1127"/>
      <c r="AO37" s="1127"/>
      <c r="AP37" s="1128"/>
      <c r="AQ37" s="1132" t="str">
        <f>IF(AND(S37&lt;&gt;"",AJ37&lt;&gt;""),AJ37/S37,"")</f>
        <v/>
      </c>
      <c r="AR37" s="1133"/>
      <c r="AS37" s="1133"/>
      <c r="AT37" s="1133"/>
      <c r="AU37" s="1133"/>
      <c r="AV37" s="1133"/>
      <c r="AW37" s="1133"/>
      <c r="AX37" s="1133"/>
      <c r="AY37" s="1133"/>
      <c r="AZ37" s="1134"/>
    </row>
    <row r="38" spans="1:52" x14ac:dyDescent="0.2">
      <c r="A38" s="1141"/>
      <c r="B38" s="1142"/>
      <c r="C38" s="1142"/>
      <c r="D38" s="1142"/>
      <c r="E38" s="1142"/>
      <c r="F38" s="1142"/>
      <c r="G38" s="1142"/>
      <c r="H38" s="1142"/>
      <c r="I38" s="1142"/>
      <c r="J38" s="1142"/>
      <c r="K38" s="1143"/>
      <c r="L38" s="1144"/>
      <c r="M38" s="1144"/>
      <c r="N38" s="1144"/>
      <c r="O38" s="1144"/>
      <c r="P38" s="1144"/>
      <c r="Q38" s="1144"/>
      <c r="R38" s="1144"/>
      <c r="S38" s="1144"/>
      <c r="T38" s="1144"/>
      <c r="U38" s="1144"/>
      <c r="V38" s="1144"/>
      <c r="W38" s="1144"/>
      <c r="X38" s="1144"/>
      <c r="Y38" s="1144"/>
      <c r="Z38" s="1135"/>
      <c r="AA38" s="1136"/>
      <c r="AB38" s="1136"/>
      <c r="AC38" s="1136"/>
      <c r="AD38" s="1136"/>
      <c r="AE38" s="1136"/>
      <c r="AF38" s="1136"/>
      <c r="AG38" s="1136"/>
      <c r="AH38" s="1136"/>
      <c r="AI38" s="1137"/>
      <c r="AJ38" s="1129"/>
      <c r="AK38" s="1130"/>
      <c r="AL38" s="1130"/>
      <c r="AM38" s="1130"/>
      <c r="AN38" s="1130"/>
      <c r="AO38" s="1130"/>
      <c r="AP38" s="1131"/>
      <c r="AQ38" s="1135"/>
      <c r="AR38" s="1136"/>
      <c r="AS38" s="1136"/>
      <c r="AT38" s="1136"/>
      <c r="AU38" s="1136"/>
      <c r="AV38" s="1136"/>
      <c r="AW38" s="1136"/>
      <c r="AX38" s="1136"/>
      <c r="AY38" s="1136"/>
      <c r="AZ38" s="1137"/>
    </row>
    <row r="39" spans="1:52" x14ac:dyDescent="0.2">
      <c r="A39" s="1138"/>
      <c r="B39" s="1139"/>
      <c r="C39" s="1139"/>
      <c r="D39" s="1139"/>
      <c r="E39" s="1139"/>
      <c r="F39" s="1139"/>
      <c r="G39" s="1139"/>
      <c r="H39" s="1139"/>
      <c r="I39" s="1139"/>
      <c r="J39" s="1139"/>
      <c r="K39" s="1140"/>
      <c r="L39" s="1144"/>
      <c r="M39" s="1144"/>
      <c r="N39" s="1144"/>
      <c r="O39" s="1144"/>
      <c r="P39" s="1144"/>
      <c r="Q39" s="1144"/>
      <c r="R39" s="1144"/>
      <c r="S39" s="1144"/>
      <c r="T39" s="1144"/>
      <c r="U39" s="1144"/>
      <c r="V39" s="1144"/>
      <c r="W39" s="1144"/>
      <c r="X39" s="1144"/>
      <c r="Y39" s="1144"/>
      <c r="Z39" s="1132" t="str">
        <f>IF(AND(L39&lt;&gt;"",S39&lt;&gt;""),L39/S39,"")</f>
        <v/>
      </c>
      <c r="AA39" s="1133"/>
      <c r="AB39" s="1133"/>
      <c r="AC39" s="1133"/>
      <c r="AD39" s="1133"/>
      <c r="AE39" s="1133"/>
      <c r="AF39" s="1133"/>
      <c r="AG39" s="1133"/>
      <c r="AH39" s="1133"/>
      <c r="AI39" s="1134"/>
      <c r="AJ39" s="1126"/>
      <c r="AK39" s="1127"/>
      <c r="AL39" s="1127"/>
      <c r="AM39" s="1127"/>
      <c r="AN39" s="1127"/>
      <c r="AO39" s="1127"/>
      <c r="AP39" s="1128"/>
      <c r="AQ39" s="1132" t="str">
        <f>IF(AND(S39&lt;&gt;"",AJ39&lt;&gt;""),AJ39/S39,"")</f>
        <v/>
      </c>
      <c r="AR39" s="1133"/>
      <c r="AS39" s="1133"/>
      <c r="AT39" s="1133"/>
      <c r="AU39" s="1133"/>
      <c r="AV39" s="1133"/>
      <c r="AW39" s="1133"/>
      <c r="AX39" s="1133"/>
      <c r="AY39" s="1133"/>
      <c r="AZ39" s="1134"/>
    </row>
    <row r="40" spans="1:52" x14ac:dyDescent="0.2">
      <c r="A40" s="1141"/>
      <c r="B40" s="1142"/>
      <c r="C40" s="1142"/>
      <c r="D40" s="1142"/>
      <c r="E40" s="1142"/>
      <c r="F40" s="1142"/>
      <c r="G40" s="1142"/>
      <c r="H40" s="1142"/>
      <c r="I40" s="1142"/>
      <c r="J40" s="1142"/>
      <c r="K40" s="1143"/>
      <c r="L40" s="1144"/>
      <c r="M40" s="1144"/>
      <c r="N40" s="1144"/>
      <c r="O40" s="1144"/>
      <c r="P40" s="1144"/>
      <c r="Q40" s="1144"/>
      <c r="R40" s="1144"/>
      <c r="S40" s="1144"/>
      <c r="T40" s="1144"/>
      <c r="U40" s="1144"/>
      <c r="V40" s="1144"/>
      <c r="W40" s="1144"/>
      <c r="X40" s="1144"/>
      <c r="Y40" s="1144"/>
      <c r="Z40" s="1135"/>
      <c r="AA40" s="1136"/>
      <c r="AB40" s="1136"/>
      <c r="AC40" s="1136"/>
      <c r="AD40" s="1136"/>
      <c r="AE40" s="1136"/>
      <c r="AF40" s="1136"/>
      <c r="AG40" s="1136"/>
      <c r="AH40" s="1136"/>
      <c r="AI40" s="1137"/>
      <c r="AJ40" s="1129"/>
      <c r="AK40" s="1130"/>
      <c r="AL40" s="1130"/>
      <c r="AM40" s="1130"/>
      <c r="AN40" s="1130"/>
      <c r="AO40" s="1130"/>
      <c r="AP40" s="1131"/>
      <c r="AQ40" s="1135"/>
      <c r="AR40" s="1136"/>
      <c r="AS40" s="1136"/>
      <c r="AT40" s="1136"/>
      <c r="AU40" s="1136"/>
      <c r="AV40" s="1136"/>
      <c r="AW40" s="1136"/>
      <c r="AX40" s="1136"/>
      <c r="AY40" s="1136"/>
      <c r="AZ40" s="1137"/>
    </row>
    <row r="41" spans="1:52" x14ac:dyDescent="0.2">
      <c r="A41" s="1138"/>
      <c r="B41" s="1139"/>
      <c r="C41" s="1139"/>
      <c r="D41" s="1139"/>
      <c r="E41" s="1139"/>
      <c r="F41" s="1139"/>
      <c r="G41" s="1139"/>
      <c r="H41" s="1139"/>
      <c r="I41" s="1139"/>
      <c r="J41" s="1139"/>
      <c r="K41" s="1140"/>
      <c r="L41" s="1144"/>
      <c r="M41" s="1144"/>
      <c r="N41" s="1144"/>
      <c r="O41" s="1144"/>
      <c r="P41" s="1144"/>
      <c r="Q41" s="1144"/>
      <c r="R41" s="1144"/>
      <c r="S41" s="1144"/>
      <c r="T41" s="1144"/>
      <c r="U41" s="1144"/>
      <c r="V41" s="1144"/>
      <c r="W41" s="1144"/>
      <c r="X41" s="1144"/>
      <c r="Y41" s="1144"/>
      <c r="Z41" s="1132" t="str">
        <f>IF(AND(L41&lt;&gt;"",S41&lt;&gt;""),L41/S41,"")</f>
        <v/>
      </c>
      <c r="AA41" s="1133"/>
      <c r="AB41" s="1133"/>
      <c r="AC41" s="1133"/>
      <c r="AD41" s="1133"/>
      <c r="AE41" s="1133"/>
      <c r="AF41" s="1133"/>
      <c r="AG41" s="1133"/>
      <c r="AH41" s="1133"/>
      <c r="AI41" s="1134"/>
      <c r="AJ41" s="1126"/>
      <c r="AK41" s="1127"/>
      <c r="AL41" s="1127"/>
      <c r="AM41" s="1127"/>
      <c r="AN41" s="1127"/>
      <c r="AO41" s="1127"/>
      <c r="AP41" s="1128"/>
      <c r="AQ41" s="1132" t="str">
        <f>IF(AND(S41&lt;&gt;"",AJ41&lt;&gt;""),AJ41/S41,"")</f>
        <v/>
      </c>
      <c r="AR41" s="1133"/>
      <c r="AS41" s="1133"/>
      <c r="AT41" s="1133"/>
      <c r="AU41" s="1133"/>
      <c r="AV41" s="1133"/>
      <c r="AW41" s="1133"/>
      <c r="AX41" s="1133"/>
      <c r="AY41" s="1133"/>
      <c r="AZ41" s="1134"/>
    </row>
    <row r="42" spans="1:52" x14ac:dyDescent="0.2">
      <c r="A42" s="1141"/>
      <c r="B42" s="1142"/>
      <c r="C42" s="1142"/>
      <c r="D42" s="1142"/>
      <c r="E42" s="1142"/>
      <c r="F42" s="1142"/>
      <c r="G42" s="1142"/>
      <c r="H42" s="1142"/>
      <c r="I42" s="1142"/>
      <c r="J42" s="1142"/>
      <c r="K42" s="1143"/>
      <c r="L42" s="1144"/>
      <c r="M42" s="1144"/>
      <c r="N42" s="1144"/>
      <c r="O42" s="1144"/>
      <c r="P42" s="1144"/>
      <c r="Q42" s="1144"/>
      <c r="R42" s="1144"/>
      <c r="S42" s="1144"/>
      <c r="T42" s="1144"/>
      <c r="U42" s="1144"/>
      <c r="V42" s="1144"/>
      <c r="W42" s="1144"/>
      <c r="X42" s="1144"/>
      <c r="Y42" s="1144"/>
      <c r="Z42" s="1135"/>
      <c r="AA42" s="1136"/>
      <c r="AB42" s="1136"/>
      <c r="AC42" s="1136"/>
      <c r="AD42" s="1136"/>
      <c r="AE42" s="1136"/>
      <c r="AF42" s="1136"/>
      <c r="AG42" s="1136"/>
      <c r="AH42" s="1136"/>
      <c r="AI42" s="1137"/>
      <c r="AJ42" s="1129"/>
      <c r="AK42" s="1130"/>
      <c r="AL42" s="1130"/>
      <c r="AM42" s="1130"/>
      <c r="AN42" s="1130"/>
      <c r="AO42" s="1130"/>
      <c r="AP42" s="1131"/>
      <c r="AQ42" s="1135"/>
      <c r="AR42" s="1136"/>
      <c r="AS42" s="1136"/>
      <c r="AT42" s="1136"/>
      <c r="AU42" s="1136"/>
      <c r="AV42" s="1136"/>
      <c r="AW42" s="1136"/>
      <c r="AX42" s="1136"/>
      <c r="AY42" s="1136"/>
      <c r="AZ42" s="1137"/>
    </row>
    <row r="43" spans="1:52" x14ac:dyDescent="0.2">
      <c r="A43" s="1138"/>
      <c r="B43" s="1139"/>
      <c r="C43" s="1139"/>
      <c r="D43" s="1139"/>
      <c r="E43" s="1139"/>
      <c r="F43" s="1139"/>
      <c r="G43" s="1139"/>
      <c r="H43" s="1139"/>
      <c r="I43" s="1139"/>
      <c r="J43" s="1139"/>
      <c r="K43" s="1140"/>
      <c r="L43" s="1144"/>
      <c r="M43" s="1144"/>
      <c r="N43" s="1144"/>
      <c r="O43" s="1144"/>
      <c r="P43" s="1144"/>
      <c r="Q43" s="1144"/>
      <c r="R43" s="1144"/>
      <c r="S43" s="1144"/>
      <c r="T43" s="1144"/>
      <c r="U43" s="1144"/>
      <c r="V43" s="1144"/>
      <c r="W43" s="1144"/>
      <c r="X43" s="1144"/>
      <c r="Y43" s="1144"/>
      <c r="Z43" s="1132" t="str">
        <f>IF(AND(L43&lt;&gt;"",S43&lt;&gt;""),L43/S43,"")</f>
        <v/>
      </c>
      <c r="AA43" s="1133"/>
      <c r="AB43" s="1133"/>
      <c r="AC43" s="1133"/>
      <c r="AD43" s="1133"/>
      <c r="AE43" s="1133"/>
      <c r="AF43" s="1133"/>
      <c r="AG43" s="1133"/>
      <c r="AH43" s="1133"/>
      <c r="AI43" s="1134"/>
      <c r="AJ43" s="1126"/>
      <c r="AK43" s="1127"/>
      <c r="AL43" s="1127"/>
      <c r="AM43" s="1127"/>
      <c r="AN43" s="1127"/>
      <c r="AO43" s="1127"/>
      <c r="AP43" s="1128"/>
      <c r="AQ43" s="1132" t="str">
        <f>IF(AND(S43&lt;&gt;"",AJ43&lt;&gt;""),AJ43/S43,"")</f>
        <v/>
      </c>
      <c r="AR43" s="1133"/>
      <c r="AS43" s="1133"/>
      <c r="AT43" s="1133"/>
      <c r="AU43" s="1133"/>
      <c r="AV43" s="1133"/>
      <c r="AW43" s="1133"/>
      <c r="AX43" s="1133"/>
      <c r="AY43" s="1133"/>
      <c r="AZ43" s="1134"/>
    </row>
    <row r="44" spans="1:52" x14ac:dyDescent="0.2">
      <c r="A44" s="1141"/>
      <c r="B44" s="1142"/>
      <c r="C44" s="1142"/>
      <c r="D44" s="1142"/>
      <c r="E44" s="1142"/>
      <c r="F44" s="1142"/>
      <c r="G44" s="1142"/>
      <c r="H44" s="1142"/>
      <c r="I44" s="1142"/>
      <c r="J44" s="1142"/>
      <c r="K44" s="1143"/>
      <c r="L44" s="1144"/>
      <c r="M44" s="1144"/>
      <c r="N44" s="1144"/>
      <c r="O44" s="1144"/>
      <c r="P44" s="1144"/>
      <c r="Q44" s="1144"/>
      <c r="R44" s="1144"/>
      <c r="S44" s="1144"/>
      <c r="T44" s="1144"/>
      <c r="U44" s="1144"/>
      <c r="V44" s="1144"/>
      <c r="W44" s="1144"/>
      <c r="X44" s="1144"/>
      <c r="Y44" s="1144"/>
      <c r="Z44" s="1135"/>
      <c r="AA44" s="1136"/>
      <c r="AB44" s="1136"/>
      <c r="AC44" s="1136"/>
      <c r="AD44" s="1136"/>
      <c r="AE44" s="1136"/>
      <c r="AF44" s="1136"/>
      <c r="AG44" s="1136"/>
      <c r="AH44" s="1136"/>
      <c r="AI44" s="1137"/>
      <c r="AJ44" s="1129"/>
      <c r="AK44" s="1130"/>
      <c r="AL44" s="1130"/>
      <c r="AM44" s="1130"/>
      <c r="AN44" s="1130"/>
      <c r="AO44" s="1130"/>
      <c r="AP44" s="1131"/>
      <c r="AQ44" s="1135"/>
      <c r="AR44" s="1136"/>
      <c r="AS44" s="1136"/>
      <c r="AT44" s="1136"/>
      <c r="AU44" s="1136"/>
      <c r="AV44" s="1136"/>
      <c r="AW44" s="1136"/>
      <c r="AX44" s="1136"/>
      <c r="AY44" s="1136"/>
      <c r="AZ44" s="1137"/>
    </row>
  </sheetData>
  <mergeCells count="134">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 ref="AQ29:AZ30"/>
    <mergeCell ref="A31:K32"/>
    <mergeCell ref="L31:R32"/>
    <mergeCell ref="S31:Y32"/>
    <mergeCell ref="Z31:AI32"/>
    <mergeCell ref="AJ31:AP32"/>
    <mergeCell ref="AQ31:AZ32"/>
    <mergeCell ref="A29:K30"/>
    <mergeCell ref="L29:R30"/>
    <mergeCell ref="S29:Y3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s>
  <phoneticPr fontId="23"/>
  <dataValidations count="1">
    <dataValidation type="list" allowBlank="1" showInputMessage="1" showErrorMessage="1" sqref="L10:Y11">
      <formula1>"　,製造,結合テスト,システムテスト"</formula1>
    </dataValidation>
  </dataValidations>
  <pageMargins left="0.35433070866141736" right="0.39370078740157483" top="0.6692913385826772" bottom="0.47244094488188981" header="0.27559055118110237" footer="0.27559055118110237"/>
  <pageSetup paperSize="9" scale="85"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AJ50"/>
  <sheetViews>
    <sheetView showGridLines="0" topLeftCell="A37" zoomScale="75" workbookViewId="0">
      <selection sqref="A1:E5"/>
    </sheetView>
  </sheetViews>
  <sheetFormatPr defaultColWidth="4.21875" defaultRowHeight="15" customHeight="1" x14ac:dyDescent="0.2"/>
  <cols>
    <col min="1" max="1" width="9" style="493" customWidth="1"/>
    <col min="2" max="16384" width="4.21875" style="493"/>
  </cols>
  <sheetData>
    <row r="1" spans="1:36" ht="12.75" customHeight="1" x14ac:dyDescent="0.2">
      <c r="A1" s="1158" t="s">
        <v>692</v>
      </c>
      <c r="B1" s="1159"/>
      <c r="C1" s="1159"/>
      <c r="D1" s="1159"/>
      <c r="E1" s="1160"/>
      <c r="F1" s="1167" t="s">
        <v>486</v>
      </c>
      <c r="G1" s="1159"/>
      <c r="H1" s="1159"/>
      <c r="I1" s="1159"/>
      <c r="J1" s="1159"/>
      <c r="K1" s="1159"/>
      <c r="L1" s="1159"/>
      <c r="M1" s="1159"/>
      <c r="N1" s="1160"/>
      <c r="O1" s="1157" t="s">
        <v>305</v>
      </c>
      <c r="P1" s="1157"/>
      <c r="Q1" s="1157"/>
      <c r="R1" s="1157" t="s">
        <v>306</v>
      </c>
      <c r="S1" s="1157"/>
      <c r="T1" s="1157"/>
      <c r="U1" s="1157" t="s">
        <v>237</v>
      </c>
      <c r="V1" s="1157"/>
      <c r="W1" s="1157"/>
      <c r="X1" s="1157" t="s">
        <v>307</v>
      </c>
      <c r="Y1" s="1157"/>
      <c r="Z1" s="1157"/>
      <c r="AA1" s="1157"/>
      <c r="AB1" s="1157"/>
      <c r="AC1" s="1157"/>
      <c r="AD1" s="1157"/>
      <c r="AE1" s="1157"/>
      <c r="AF1" s="1157"/>
    </row>
    <row r="2" spans="1:36" ht="12.75" customHeight="1" x14ac:dyDescent="0.2">
      <c r="A2" s="1161"/>
      <c r="B2" s="1162"/>
      <c r="C2" s="1162"/>
      <c r="D2" s="1162"/>
      <c r="E2" s="1163"/>
      <c r="F2" s="1161"/>
      <c r="G2" s="1162"/>
      <c r="H2" s="1162"/>
      <c r="I2" s="1162"/>
      <c r="J2" s="1162"/>
      <c r="K2" s="1162"/>
      <c r="L2" s="1162"/>
      <c r="M2" s="1162"/>
      <c r="N2" s="1163"/>
      <c r="O2" s="1157" t="s">
        <v>473</v>
      </c>
      <c r="P2" s="1157"/>
      <c r="Q2" s="1157"/>
      <c r="R2" s="1157" t="s">
        <v>473</v>
      </c>
      <c r="S2" s="1157"/>
      <c r="T2" s="1157"/>
      <c r="U2" s="1157" t="s">
        <v>473</v>
      </c>
      <c r="V2" s="1157"/>
      <c r="W2" s="1157"/>
      <c r="X2" s="1177" t="s">
        <v>308</v>
      </c>
      <c r="Y2" s="1177"/>
      <c r="Z2" s="1177"/>
      <c r="AA2" s="1157" t="s">
        <v>306</v>
      </c>
      <c r="AB2" s="1157"/>
      <c r="AC2" s="1157"/>
      <c r="AD2" s="1157" t="s">
        <v>237</v>
      </c>
      <c r="AE2" s="1157"/>
      <c r="AF2" s="1157"/>
    </row>
    <row r="3" spans="1:36" ht="12.75" customHeight="1" x14ac:dyDescent="0.2">
      <c r="A3" s="1161"/>
      <c r="B3" s="1162"/>
      <c r="C3" s="1162"/>
      <c r="D3" s="1162"/>
      <c r="E3" s="1163"/>
      <c r="F3" s="1161"/>
      <c r="G3" s="1162"/>
      <c r="H3" s="1162"/>
      <c r="I3" s="1162"/>
      <c r="J3" s="1162"/>
      <c r="K3" s="1162"/>
      <c r="L3" s="1162"/>
      <c r="M3" s="1162"/>
      <c r="N3" s="1163"/>
      <c r="O3" s="1157"/>
      <c r="P3" s="1157"/>
      <c r="Q3" s="1157"/>
      <c r="R3" s="1157"/>
      <c r="S3" s="1157"/>
      <c r="T3" s="1157"/>
      <c r="U3" s="1157"/>
      <c r="V3" s="1157"/>
      <c r="W3" s="1157"/>
      <c r="X3" s="1157"/>
      <c r="Y3" s="1157"/>
      <c r="Z3" s="1157"/>
      <c r="AA3" s="1157" t="s">
        <v>238</v>
      </c>
      <c r="AB3" s="1157"/>
      <c r="AC3" s="1157"/>
      <c r="AD3" s="1157" t="s">
        <v>238</v>
      </c>
      <c r="AE3" s="1157"/>
      <c r="AF3" s="1157"/>
    </row>
    <row r="4" spans="1:36" ht="12.75" customHeight="1" x14ac:dyDescent="0.2">
      <c r="A4" s="1161"/>
      <c r="B4" s="1162"/>
      <c r="C4" s="1162"/>
      <c r="D4" s="1162"/>
      <c r="E4" s="1163"/>
      <c r="F4" s="1161"/>
      <c r="G4" s="1162"/>
      <c r="H4" s="1162"/>
      <c r="I4" s="1162"/>
      <c r="J4" s="1162"/>
      <c r="K4" s="1162"/>
      <c r="L4" s="1162"/>
      <c r="M4" s="1162"/>
      <c r="N4" s="1163"/>
      <c r="O4" s="1157"/>
      <c r="P4" s="1157"/>
      <c r="Q4" s="1157"/>
      <c r="R4" s="1157"/>
      <c r="S4" s="1157"/>
      <c r="T4" s="1157"/>
      <c r="U4" s="1157"/>
      <c r="V4" s="1157"/>
      <c r="W4" s="1157"/>
      <c r="X4" s="1157"/>
      <c r="Y4" s="1157"/>
      <c r="Z4" s="1157"/>
      <c r="AA4" s="1168"/>
      <c r="AB4" s="1169"/>
      <c r="AC4" s="1170"/>
      <c r="AD4" s="1168"/>
      <c r="AE4" s="1169"/>
      <c r="AF4" s="1170"/>
    </row>
    <row r="5" spans="1:36" ht="12.75" customHeight="1" x14ac:dyDescent="0.2">
      <c r="A5" s="1164"/>
      <c r="B5" s="1165"/>
      <c r="C5" s="1165"/>
      <c r="D5" s="1165"/>
      <c r="E5" s="1166"/>
      <c r="F5" s="1164"/>
      <c r="G5" s="1165"/>
      <c r="H5" s="1165"/>
      <c r="I5" s="1165"/>
      <c r="J5" s="1165"/>
      <c r="K5" s="1165"/>
      <c r="L5" s="1165"/>
      <c r="M5" s="1165"/>
      <c r="N5" s="1166"/>
      <c r="O5" s="1157"/>
      <c r="P5" s="1157"/>
      <c r="Q5" s="1157"/>
      <c r="R5" s="1157"/>
      <c r="S5" s="1157"/>
      <c r="T5" s="1157"/>
      <c r="U5" s="1157"/>
      <c r="V5" s="1157"/>
      <c r="W5" s="1157"/>
      <c r="X5" s="1157"/>
      <c r="Y5" s="1157"/>
      <c r="Z5" s="1157"/>
      <c r="AA5" s="1171"/>
      <c r="AB5" s="1172"/>
      <c r="AC5" s="1173"/>
      <c r="AD5" s="1171"/>
      <c r="AE5" s="1172"/>
      <c r="AF5" s="1173"/>
    </row>
    <row r="6" spans="1:36" ht="15" customHeight="1" x14ac:dyDescent="0.2">
      <c r="A6" s="1157" t="s">
        <v>465</v>
      </c>
      <c r="B6" s="1157"/>
      <c r="C6" s="1157"/>
      <c r="D6" s="1157"/>
      <c r="E6" s="1157"/>
      <c r="F6" s="1157"/>
      <c r="G6" s="1157"/>
      <c r="H6" s="1157" t="s">
        <v>466</v>
      </c>
      <c r="I6" s="1157"/>
      <c r="J6" s="1157"/>
      <c r="K6" s="1157"/>
      <c r="L6" s="1157"/>
      <c r="M6" s="1157"/>
      <c r="N6" s="1157"/>
      <c r="O6" s="1157"/>
      <c r="P6" s="1157"/>
      <c r="Q6" s="1157"/>
      <c r="R6" s="1157"/>
      <c r="S6" s="1157"/>
      <c r="T6" s="1157"/>
      <c r="U6" s="1157"/>
      <c r="V6" s="1157"/>
      <c r="W6" s="1157"/>
      <c r="X6" s="1157"/>
      <c r="Y6" s="1157"/>
      <c r="Z6" s="1157"/>
      <c r="AA6" s="1171"/>
      <c r="AB6" s="1172"/>
      <c r="AC6" s="1173"/>
      <c r="AD6" s="1171"/>
      <c r="AE6" s="1172"/>
      <c r="AF6" s="1173"/>
    </row>
    <row r="7" spans="1:36" ht="15" customHeight="1" x14ac:dyDescent="0.2">
      <c r="A7" s="1157"/>
      <c r="B7" s="1157"/>
      <c r="C7" s="1157"/>
      <c r="D7" s="1157"/>
      <c r="E7" s="1157"/>
      <c r="F7" s="1157"/>
      <c r="G7" s="1157"/>
      <c r="H7" s="1157"/>
      <c r="I7" s="1157"/>
      <c r="J7" s="1157"/>
      <c r="K7" s="1157"/>
      <c r="L7" s="1157"/>
      <c r="M7" s="1157"/>
      <c r="N7" s="1157"/>
      <c r="O7" s="1157"/>
      <c r="P7" s="1157"/>
      <c r="Q7" s="1157"/>
      <c r="R7" s="1157"/>
      <c r="S7" s="1157"/>
      <c r="T7" s="1157"/>
      <c r="U7" s="1157"/>
      <c r="V7" s="1157"/>
      <c r="W7" s="1157"/>
      <c r="X7" s="1157"/>
      <c r="Y7" s="1157"/>
      <c r="Z7" s="1157"/>
      <c r="AA7" s="1174"/>
      <c r="AB7" s="1175"/>
      <c r="AC7" s="1176"/>
      <c r="AD7" s="1174"/>
      <c r="AE7" s="1175"/>
      <c r="AF7" s="1176"/>
    </row>
    <row r="8" spans="1:36"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693</v>
      </c>
      <c r="V8" s="261"/>
      <c r="W8" s="779"/>
      <c r="X8" s="780"/>
      <c r="Y8" s="781"/>
      <c r="Z8" s="782" t="s">
        <v>468</v>
      </c>
      <c r="AA8" s="783"/>
      <c r="AB8" s="784"/>
      <c r="AC8" s="780"/>
      <c r="AD8" s="781"/>
      <c r="AE8" s="782" t="s">
        <v>469</v>
      </c>
      <c r="AF8" s="783"/>
    </row>
    <row r="9" spans="1:36"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694</v>
      </c>
      <c r="V9" s="264"/>
      <c r="W9" s="773"/>
      <c r="X9" s="774"/>
      <c r="Y9" s="775"/>
      <c r="Z9" s="776" t="s">
        <v>471</v>
      </c>
      <c r="AA9" s="775"/>
      <c r="AB9" s="776"/>
      <c r="AC9" s="774"/>
      <c r="AD9" s="775"/>
      <c r="AE9" s="777"/>
      <c r="AF9" s="778"/>
    </row>
    <row r="11" spans="1:36" ht="15" customHeight="1" x14ac:dyDescent="0.2">
      <c r="A11" s="494" t="s">
        <v>208</v>
      </c>
      <c r="B11" s="495"/>
      <c r="C11" s="1154" t="s">
        <v>695</v>
      </c>
      <c r="D11" s="1155"/>
      <c r="E11" s="1155"/>
      <c r="F11" s="115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2">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2">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2">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2">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2">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2">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2">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2">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2">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2">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2">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2">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2">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2">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2">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2">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2">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2">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2">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2">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2">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2">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2">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2">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2">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2">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2">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2">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2">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2">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2">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2">
      <c r="A43" s="507"/>
      <c r="B43" s="515"/>
      <c r="C43" s="439" t="s">
        <v>288</v>
      </c>
      <c r="D43" s="509"/>
      <c r="E43" s="510"/>
      <c r="F43" s="441">
        <v>9</v>
      </c>
      <c r="G43" s="511"/>
      <c r="H43" s="496"/>
      <c r="I43" s="496"/>
      <c r="J43" s="496"/>
      <c r="K43" s="496"/>
      <c r="L43" s="496"/>
      <c r="M43" s="496"/>
      <c r="N43" s="512"/>
      <c r="O43" s="496"/>
      <c r="AF43" s="496"/>
      <c r="AG43" s="496"/>
    </row>
    <row r="44" spans="1:33" ht="15" customHeight="1" x14ac:dyDescent="0.2">
      <c r="A44" s="507"/>
      <c r="B44" s="515"/>
      <c r="C44" s="439" t="s">
        <v>303</v>
      </c>
      <c r="D44" s="509"/>
      <c r="E44" s="510"/>
      <c r="F44" s="441">
        <v>9</v>
      </c>
      <c r="G44" s="511"/>
      <c r="H44" s="496"/>
      <c r="I44" s="496"/>
      <c r="J44" s="496"/>
      <c r="K44" s="496"/>
      <c r="L44" s="496"/>
      <c r="M44" s="496"/>
      <c r="N44" s="512"/>
      <c r="O44" s="496"/>
      <c r="AF44" s="496"/>
      <c r="AG44" s="496"/>
    </row>
    <row r="45" spans="1:33" ht="15" customHeight="1" x14ac:dyDescent="0.2">
      <c r="A45" s="507"/>
      <c r="B45" s="515"/>
      <c r="C45" s="439" t="s">
        <v>292</v>
      </c>
      <c r="D45" s="509"/>
      <c r="E45" s="510"/>
      <c r="F45" s="441">
        <v>9</v>
      </c>
      <c r="G45" s="511"/>
      <c r="H45" s="496"/>
      <c r="I45" s="496"/>
      <c r="J45" s="496"/>
      <c r="K45" s="496"/>
      <c r="L45" s="496"/>
      <c r="M45" s="496"/>
      <c r="N45" s="512"/>
      <c r="O45" s="496"/>
      <c r="AF45" s="496"/>
      <c r="AG45" s="496"/>
    </row>
    <row r="46" spans="1:33" ht="15" customHeight="1" x14ac:dyDescent="0.2">
      <c r="A46" s="507"/>
      <c r="B46" s="515"/>
      <c r="C46" s="446" t="s">
        <v>274</v>
      </c>
      <c r="D46" s="513"/>
      <c r="E46" s="514"/>
      <c r="F46" s="448">
        <v>1</v>
      </c>
      <c r="G46" s="511"/>
      <c r="H46" s="496"/>
      <c r="I46" s="496"/>
      <c r="J46" s="496"/>
      <c r="K46" s="496"/>
      <c r="L46" s="496"/>
      <c r="M46" s="496"/>
      <c r="N46" s="512"/>
      <c r="O46" s="496"/>
      <c r="AF46" s="496"/>
      <c r="AG46" s="496"/>
    </row>
    <row r="47" spans="1:33" ht="15" customHeight="1" x14ac:dyDescent="0.2">
      <c r="A47" s="517"/>
      <c r="B47" s="518"/>
      <c r="C47" s="518"/>
      <c r="D47" s="518"/>
      <c r="E47" s="518"/>
      <c r="F47" s="519"/>
      <c r="G47" s="520"/>
      <c r="H47" s="521"/>
      <c r="I47" s="521"/>
      <c r="J47" s="521"/>
      <c r="K47" s="521"/>
      <c r="L47" s="521"/>
      <c r="M47" s="521"/>
      <c r="N47" s="522"/>
      <c r="O47" s="496"/>
      <c r="AF47" s="496"/>
      <c r="AG47" s="496"/>
    </row>
    <row r="48" spans="1:33" ht="15" customHeight="1" x14ac:dyDescent="0.2">
      <c r="B48" s="496"/>
      <c r="C48" s="496"/>
      <c r="D48" s="496"/>
      <c r="E48" s="496"/>
      <c r="F48" s="496"/>
      <c r="G48" s="496"/>
      <c r="H48" s="496"/>
      <c r="I48" s="496"/>
      <c r="J48" s="496"/>
      <c r="K48" s="496"/>
      <c r="L48" s="496"/>
      <c r="M48" s="496"/>
      <c r="N48" s="496"/>
      <c r="O48" s="496"/>
      <c r="AF48" s="496"/>
      <c r="AG48" s="496"/>
    </row>
    <row r="49" spans="32:33" ht="15" customHeight="1" x14ac:dyDescent="0.2">
      <c r="AF49" s="496"/>
      <c r="AG49" s="496"/>
    </row>
    <row r="50" spans="32:33" ht="15" customHeight="1" x14ac:dyDescent="0.2">
      <c r="AG50" s="496"/>
    </row>
  </sheetData>
  <mergeCells count="37">
    <mergeCell ref="Z9:AA9"/>
    <mergeCell ref="AB9:AD9"/>
    <mergeCell ref="AE9:AF9"/>
    <mergeCell ref="Z8:AA8"/>
    <mergeCell ref="AB8:AD8"/>
    <mergeCell ref="X1:AF1"/>
    <mergeCell ref="O2:Q2"/>
    <mergeCell ref="R2:T2"/>
    <mergeCell ref="U2:W2"/>
    <mergeCell ref="X2:Z2"/>
    <mergeCell ref="AA2:AC2"/>
    <mergeCell ref="AD2:AF2"/>
    <mergeCell ref="O8:T8"/>
    <mergeCell ref="A7:G7"/>
    <mergeCell ref="AE8:AF8"/>
    <mergeCell ref="AA3:AC3"/>
    <mergeCell ref="AD3:AF3"/>
    <mergeCell ref="AA4:AC7"/>
    <mergeCell ref="AD4:AF7"/>
    <mergeCell ref="A6:G6"/>
    <mergeCell ref="X3:Z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G45"/>
  <sheetViews>
    <sheetView showGridLines="0" topLeftCell="A28" zoomScale="75" workbookViewId="0">
      <selection sqref="A1:E5"/>
    </sheetView>
  </sheetViews>
  <sheetFormatPr defaultColWidth="4.21875" defaultRowHeight="15" customHeight="1" x14ac:dyDescent="0.2"/>
  <cols>
    <col min="1" max="1" width="9" style="9" customWidth="1"/>
    <col min="2" max="16384" width="4.21875" style="9"/>
  </cols>
  <sheetData>
    <row r="1" spans="1:33" s="270" customFormat="1" ht="12.75" customHeight="1" x14ac:dyDescent="0.2">
      <c r="A1" s="1178" t="s">
        <v>626</v>
      </c>
      <c r="B1" s="1179"/>
      <c r="C1" s="1179"/>
      <c r="D1" s="1179"/>
      <c r="E1" s="1180"/>
      <c r="F1" s="1187" t="s">
        <v>487</v>
      </c>
      <c r="G1" s="1179"/>
      <c r="H1" s="1179"/>
      <c r="I1" s="1179"/>
      <c r="J1" s="1179"/>
      <c r="K1" s="1179"/>
      <c r="L1" s="1179"/>
      <c r="M1" s="1179"/>
      <c r="N1" s="1180"/>
      <c r="O1" s="1189" t="s">
        <v>305</v>
      </c>
      <c r="P1" s="1189"/>
      <c r="Q1" s="1189"/>
      <c r="R1" s="1189" t="s">
        <v>306</v>
      </c>
      <c r="S1" s="1189"/>
      <c r="T1" s="1189"/>
      <c r="U1" s="1189" t="s">
        <v>237</v>
      </c>
      <c r="V1" s="1189"/>
      <c r="W1" s="1189"/>
      <c r="X1" s="1189" t="s">
        <v>307</v>
      </c>
      <c r="Y1" s="1189"/>
      <c r="Z1" s="1189"/>
      <c r="AA1" s="1189"/>
      <c r="AB1" s="1189"/>
      <c r="AC1" s="1189"/>
      <c r="AD1" s="1189"/>
      <c r="AE1" s="1189"/>
      <c r="AF1" s="1189"/>
    </row>
    <row r="2" spans="1:33" s="270" customFormat="1" ht="12.75" customHeight="1" x14ac:dyDescent="0.2">
      <c r="A2" s="1181"/>
      <c r="B2" s="1182"/>
      <c r="C2" s="1182"/>
      <c r="D2" s="1182"/>
      <c r="E2" s="1183"/>
      <c r="F2" s="1181"/>
      <c r="G2" s="1182"/>
      <c r="H2" s="1182"/>
      <c r="I2" s="1182"/>
      <c r="J2" s="1182"/>
      <c r="K2" s="1182"/>
      <c r="L2" s="1182"/>
      <c r="M2" s="1182"/>
      <c r="N2" s="1183"/>
      <c r="O2" s="1189" t="s">
        <v>488</v>
      </c>
      <c r="P2" s="1189"/>
      <c r="Q2" s="1189"/>
      <c r="R2" s="1189" t="s">
        <v>488</v>
      </c>
      <c r="S2" s="1189"/>
      <c r="T2" s="1189"/>
      <c r="U2" s="1189" t="s">
        <v>488</v>
      </c>
      <c r="V2" s="1189"/>
      <c r="W2" s="1189"/>
      <c r="X2" s="1190" t="s">
        <v>308</v>
      </c>
      <c r="Y2" s="1190"/>
      <c r="Z2" s="1190"/>
      <c r="AA2" s="1189" t="s">
        <v>306</v>
      </c>
      <c r="AB2" s="1189"/>
      <c r="AC2" s="1189"/>
      <c r="AD2" s="1189" t="s">
        <v>237</v>
      </c>
      <c r="AE2" s="1189"/>
      <c r="AF2" s="1189"/>
    </row>
    <row r="3" spans="1:33" s="270" customFormat="1" ht="12.75" customHeight="1" x14ac:dyDescent="0.2">
      <c r="A3" s="1181"/>
      <c r="B3" s="1182"/>
      <c r="C3" s="1182"/>
      <c r="D3" s="1182"/>
      <c r="E3" s="1183"/>
      <c r="F3" s="1181"/>
      <c r="G3" s="1182"/>
      <c r="H3" s="1182"/>
      <c r="I3" s="1182"/>
      <c r="J3" s="1182"/>
      <c r="K3" s="1182"/>
      <c r="L3" s="1182"/>
      <c r="M3" s="1182"/>
      <c r="N3" s="1183"/>
      <c r="O3" s="1189"/>
      <c r="P3" s="1189"/>
      <c r="Q3" s="1189"/>
      <c r="R3" s="1189"/>
      <c r="S3" s="1189"/>
      <c r="T3" s="1189"/>
      <c r="U3" s="1189"/>
      <c r="V3" s="1189"/>
      <c r="W3" s="1189"/>
      <c r="X3" s="1189"/>
      <c r="Y3" s="1189"/>
      <c r="Z3" s="1189"/>
      <c r="AA3" s="1189" t="s">
        <v>488</v>
      </c>
      <c r="AB3" s="1189"/>
      <c r="AC3" s="1189"/>
      <c r="AD3" s="1189" t="s">
        <v>488</v>
      </c>
      <c r="AE3" s="1189"/>
      <c r="AF3" s="1189"/>
    </row>
    <row r="4" spans="1:33" s="270" customFormat="1" ht="12.75" customHeight="1" x14ac:dyDescent="0.2">
      <c r="A4" s="1181"/>
      <c r="B4" s="1182"/>
      <c r="C4" s="1182"/>
      <c r="D4" s="1182"/>
      <c r="E4" s="1183"/>
      <c r="F4" s="1181"/>
      <c r="G4" s="1182"/>
      <c r="H4" s="1182"/>
      <c r="I4" s="1182"/>
      <c r="J4" s="1182"/>
      <c r="K4" s="1182"/>
      <c r="L4" s="1182"/>
      <c r="M4" s="1182"/>
      <c r="N4" s="1183"/>
      <c r="O4" s="1189"/>
      <c r="P4" s="1189"/>
      <c r="Q4" s="1189"/>
      <c r="R4" s="1189"/>
      <c r="S4" s="1189"/>
      <c r="T4" s="1189"/>
      <c r="U4" s="1189"/>
      <c r="V4" s="1189"/>
      <c r="W4" s="1189"/>
      <c r="X4" s="1189"/>
      <c r="Y4" s="1189"/>
      <c r="Z4" s="1189"/>
      <c r="AA4" s="1191"/>
      <c r="AB4" s="1192"/>
      <c r="AC4" s="1193"/>
      <c r="AD4" s="1191"/>
      <c r="AE4" s="1192"/>
      <c r="AF4" s="1193"/>
    </row>
    <row r="5" spans="1:33" s="270" customFormat="1" ht="12.75" customHeight="1" x14ac:dyDescent="0.2">
      <c r="A5" s="1184"/>
      <c r="B5" s="1185"/>
      <c r="C5" s="1185"/>
      <c r="D5" s="1185"/>
      <c r="E5" s="1186"/>
      <c r="F5" s="1184"/>
      <c r="G5" s="1185"/>
      <c r="H5" s="1185"/>
      <c r="I5" s="1185"/>
      <c r="J5" s="1185"/>
      <c r="K5" s="1185"/>
      <c r="L5" s="1185"/>
      <c r="M5" s="1185"/>
      <c r="N5" s="1186"/>
      <c r="O5" s="1189"/>
      <c r="P5" s="1189"/>
      <c r="Q5" s="1189"/>
      <c r="R5" s="1189"/>
      <c r="S5" s="1189"/>
      <c r="T5" s="1189"/>
      <c r="U5" s="1189"/>
      <c r="V5" s="1189"/>
      <c r="W5" s="1189"/>
      <c r="X5" s="1189"/>
      <c r="Y5" s="1189"/>
      <c r="Z5" s="1189"/>
      <c r="AA5" s="1194"/>
      <c r="AB5" s="1195"/>
      <c r="AC5" s="1196"/>
      <c r="AD5" s="1194"/>
      <c r="AE5" s="1195"/>
      <c r="AF5" s="1196"/>
    </row>
    <row r="6" spans="1:33" s="270" customFormat="1" ht="15" customHeight="1" x14ac:dyDescent="0.2">
      <c r="A6" s="1189" t="s">
        <v>465</v>
      </c>
      <c r="B6" s="1189"/>
      <c r="C6" s="1189"/>
      <c r="D6" s="1189"/>
      <c r="E6" s="1189"/>
      <c r="F6" s="1189"/>
      <c r="G6" s="1189"/>
      <c r="H6" s="1189" t="s">
        <v>466</v>
      </c>
      <c r="I6" s="1189"/>
      <c r="J6" s="1189"/>
      <c r="K6" s="1189"/>
      <c r="L6" s="1189"/>
      <c r="M6" s="1189"/>
      <c r="N6" s="1189"/>
      <c r="O6" s="1189"/>
      <c r="P6" s="1189"/>
      <c r="Q6" s="1189"/>
      <c r="R6" s="1189"/>
      <c r="S6" s="1189"/>
      <c r="T6" s="1189"/>
      <c r="U6" s="1189"/>
      <c r="V6" s="1189"/>
      <c r="W6" s="1189"/>
      <c r="X6" s="1189"/>
      <c r="Y6" s="1189"/>
      <c r="Z6" s="1189"/>
      <c r="AA6" s="1194"/>
      <c r="AB6" s="1195"/>
      <c r="AC6" s="1196"/>
      <c r="AD6" s="1194"/>
      <c r="AE6" s="1195"/>
      <c r="AF6" s="1196"/>
    </row>
    <row r="7" spans="1:33" s="270" customFormat="1" ht="15" customHeight="1" x14ac:dyDescent="0.2">
      <c r="A7" s="1189"/>
      <c r="B7" s="1189"/>
      <c r="C7" s="1189"/>
      <c r="D7" s="1189"/>
      <c r="E7" s="1189"/>
      <c r="F7" s="1189"/>
      <c r="G7" s="1189"/>
      <c r="H7" s="1189"/>
      <c r="I7" s="1189"/>
      <c r="J7" s="1189"/>
      <c r="K7" s="1189"/>
      <c r="L7" s="1189"/>
      <c r="M7" s="1189"/>
      <c r="N7" s="1189"/>
      <c r="O7" s="1189"/>
      <c r="P7" s="1189"/>
      <c r="Q7" s="1189"/>
      <c r="R7" s="1189"/>
      <c r="S7" s="1189"/>
      <c r="T7" s="1189"/>
      <c r="U7" s="1189"/>
      <c r="V7" s="1189"/>
      <c r="W7" s="1189"/>
      <c r="X7" s="1189"/>
      <c r="Y7" s="1189"/>
      <c r="Z7" s="1189"/>
      <c r="AA7" s="1197"/>
      <c r="AB7" s="1198"/>
      <c r="AC7" s="1199"/>
      <c r="AD7" s="1197"/>
      <c r="AE7" s="1198"/>
      <c r="AF7" s="1199"/>
    </row>
    <row r="8" spans="1:33"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489</v>
      </c>
      <c r="V8" s="261"/>
      <c r="W8" s="779"/>
      <c r="X8" s="780"/>
      <c r="Y8" s="781"/>
      <c r="Z8" s="782" t="s">
        <v>468</v>
      </c>
      <c r="AA8" s="783"/>
      <c r="AB8" s="784"/>
      <c r="AC8" s="780"/>
      <c r="AD8" s="781"/>
      <c r="AE8" s="782" t="s">
        <v>469</v>
      </c>
      <c r="AF8" s="783"/>
    </row>
    <row r="9" spans="1:33"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490</v>
      </c>
      <c r="V9" s="264"/>
      <c r="W9" s="773"/>
      <c r="X9" s="774"/>
      <c r="Y9" s="775"/>
      <c r="Z9" s="776" t="s">
        <v>471</v>
      </c>
      <c r="AA9" s="775"/>
      <c r="AB9" s="776"/>
      <c r="AC9" s="774"/>
      <c r="AD9" s="775"/>
      <c r="AE9" s="777"/>
      <c r="AF9" s="778"/>
    </row>
    <row r="11" spans="1:33" ht="15" customHeight="1" x14ac:dyDescent="0.2">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2">
      <c r="A13" s="48"/>
      <c r="B13" s="49"/>
      <c r="C13" s="49"/>
      <c r="D13" s="49"/>
      <c r="E13" s="50" t="s">
        <v>423</v>
      </c>
      <c r="F13" s="785" t="s">
        <v>185</v>
      </c>
      <c r="G13" s="785" t="s">
        <v>163</v>
      </c>
      <c r="H13" s="785" t="s">
        <v>427</v>
      </c>
      <c r="I13" s="785" t="s">
        <v>429</v>
      </c>
      <c r="J13" s="785" t="s">
        <v>431</v>
      </c>
      <c r="K13" s="799" t="s">
        <v>184</v>
      </c>
      <c r="L13" s="787" t="s">
        <v>299</v>
      </c>
      <c r="M13" s="789" t="s">
        <v>300</v>
      </c>
      <c r="O13" s="25"/>
      <c r="P13" s="15"/>
      <c r="Q13" s="15"/>
      <c r="R13" s="15"/>
      <c r="S13" s="15"/>
      <c r="T13" s="15"/>
      <c r="U13" s="15"/>
      <c r="V13" s="15"/>
      <c r="W13" s="15"/>
      <c r="X13" s="15"/>
      <c r="Y13" s="15"/>
      <c r="Z13" s="15"/>
      <c r="AA13" s="15"/>
      <c r="AB13" s="15"/>
      <c r="AC13" s="15"/>
      <c r="AD13" s="15"/>
      <c r="AE13" s="15"/>
      <c r="AF13" s="26"/>
    </row>
    <row r="14" spans="1:33" ht="15" customHeight="1" x14ac:dyDescent="0.2">
      <c r="A14" s="52"/>
      <c r="B14" s="53"/>
      <c r="C14" s="53"/>
      <c r="D14" s="53"/>
      <c r="E14" s="54"/>
      <c r="F14" s="786"/>
      <c r="G14" s="786"/>
      <c r="H14" s="786"/>
      <c r="I14" s="786"/>
      <c r="J14" s="786"/>
      <c r="K14" s="800"/>
      <c r="L14" s="788"/>
      <c r="M14" s="790"/>
      <c r="O14" s="12"/>
      <c r="P14" s="13"/>
      <c r="Q14" s="13"/>
      <c r="R14" s="13"/>
      <c r="S14" s="13"/>
      <c r="T14" s="13"/>
      <c r="U14" s="13"/>
      <c r="V14" s="13"/>
      <c r="W14" s="13"/>
      <c r="X14" s="13"/>
      <c r="Y14" s="13"/>
      <c r="Z14" s="13"/>
      <c r="AA14" s="13"/>
      <c r="AB14" s="13"/>
      <c r="AC14" s="13"/>
      <c r="AD14" s="13"/>
      <c r="AE14" s="13"/>
      <c r="AF14" s="34"/>
    </row>
    <row r="15" spans="1:33" ht="15" customHeight="1" x14ac:dyDescent="0.2">
      <c r="A15" s="52"/>
      <c r="B15" s="53"/>
      <c r="C15" s="53"/>
      <c r="D15" s="53"/>
      <c r="E15" s="54"/>
      <c r="F15" s="786"/>
      <c r="G15" s="786"/>
      <c r="H15" s="786"/>
      <c r="I15" s="786"/>
      <c r="J15" s="786"/>
      <c r="K15" s="800"/>
      <c r="L15" s="788"/>
      <c r="M15" s="790"/>
      <c r="O15" s="12"/>
      <c r="P15" s="13"/>
      <c r="Q15" s="13"/>
      <c r="R15" s="13"/>
      <c r="S15" s="13"/>
      <c r="T15" s="13"/>
      <c r="U15" s="13"/>
      <c r="V15" s="13"/>
      <c r="W15" s="13"/>
      <c r="X15" s="13"/>
      <c r="Y15" s="13"/>
      <c r="Z15" s="13"/>
      <c r="AA15" s="13"/>
      <c r="AB15" s="13"/>
      <c r="AC15" s="13"/>
      <c r="AD15" s="13"/>
      <c r="AE15" s="13"/>
      <c r="AF15" s="34"/>
    </row>
    <row r="16" spans="1:33" ht="15" customHeight="1" x14ac:dyDescent="0.2">
      <c r="A16" s="52"/>
      <c r="B16" s="53"/>
      <c r="C16" s="53"/>
      <c r="D16" s="53"/>
      <c r="E16" s="54"/>
      <c r="F16" s="786"/>
      <c r="G16" s="786"/>
      <c r="H16" s="786"/>
      <c r="I16" s="786"/>
      <c r="J16" s="786"/>
      <c r="K16" s="800"/>
      <c r="L16" s="788"/>
      <c r="M16" s="790"/>
      <c r="O16" s="12"/>
      <c r="P16" s="13"/>
      <c r="Q16" s="13"/>
      <c r="R16" s="13"/>
      <c r="S16" s="13"/>
      <c r="T16" s="13"/>
      <c r="U16" s="13"/>
      <c r="V16" s="13"/>
      <c r="W16" s="13"/>
      <c r="X16" s="13"/>
      <c r="Y16" s="13"/>
      <c r="Z16" s="13"/>
      <c r="AA16" s="13"/>
      <c r="AB16" s="13"/>
      <c r="AC16" s="13"/>
      <c r="AD16" s="13"/>
      <c r="AE16" s="13"/>
      <c r="AF16" s="34"/>
    </row>
    <row r="17" spans="1:32" ht="15" customHeight="1" x14ac:dyDescent="0.2">
      <c r="A17" s="52"/>
      <c r="B17" s="53"/>
      <c r="C17" s="53"/>
      <c r="D17" s="53"/>
      <c r="E17" s="54"/>
      <c r="F17" s="786"/>
      <c r="G17" s="786"/>
      <c r="H17" s="786"/>
      <c r="I17" s="786"/>
      <c r="J17" s="786"/>
      <c r="K17" s="800"/>
      <c r="L17" s="788"/>
      <c r="M17" s="790"/>
      <c r="O17" s="12"/>
      <c r="P17" s="13"/>
      <c r="Q17" s="13"/>
      <c r="R17" s="13"/>
      <c r="S17" s="13"/>
      <c r="T17" s="13"/>
      <c r="U17" s="13"/>
      <c r="V17" s="13"/>
      <c r="W17" s="13"/>
      <c r="X17" s="13"/>
      <c r="Y17" s="13"/>
      <c r="Z17" s="13"/>
      <c r="AA17" s="13"/>
      <c r="AB17" s="13"/>
      <c r="AC17" s="13"/>
      <c r="AD17" s="13"/>
      <c r="AE17" s="13"/>
      <c r="AF17" s="34"/>
    </row>
    <row r="18" spans="1:32" ht="15" customHeight="1" x14ac:dyDescent="0.2">
      <c r="A18" s="52"/>
      <c r="B18" s="53"/>
      <c r="C18" s="53"/>
      <c r="D18" s="53"/>
      <c r="E18" s="54"/>
      <c r="F18" s="786"/>
      <c r="G18" s="786"/>
      <c r="H18" s="786"/>
      <c r="I18" s="786"/>
      <c r="J18" s="786"/>
      <c r="K18" s="800"/>
      <c r="L18" s="788"/>
      <c r="M18" s="790"/>
      <c r="O18" s="12"/>
      <c r="P18" s="13"/>
      <c r="Q18" s="13"/>
      <c r="R18" s="13"/>
      <c r="S18" s="13"/>
      <c r="T18" s="13"/>
      <c r="U18" s="13"/>
      <c r="V18" s="13"/>
      <c r="W18" s="13"/>
      <c r="X18" s="13"/>
      <c r="Y18" s="13"/>
      <c r="Z18" s="13"/>
      <c r="AA18" s="13"/>
      <c r="AB18" s="13"/>
      <c r="AC18" s="13"/>
      <c r="AD18" s="13"/>
      <c r="AE18" s="13"/>
      <c r="AF18" s="34"/>
    </row>
    <row r="19" spans="1:32" ht="15" customHeight="1" x14ac:dyDescent="0.2">
      <c r="A19" s="55" t="s">
        <v>413</v>
      </c>
      <c r="B19" s="56"/>
      <c r="C19" s="56"/>
      <c r="D19" s="56"/>
      <c r="E19" s="57"/>
      <c r="F19" s="786"/>
      <c r="G19" s="786"/>
      <c r="H19" s="786"/>
      <c r="I19" s="786"/>
      <c r="J19" s="786"/>
      <c r="K19" s="800"/>
      <c r="L19" s="788"/>
      <c r="M19" s="1188"/>
      <c r="O19" s="12"/>
      <c r="P19" s="13"/>
      <c r="Q19" s="13"/>
      <c r="R19" s="13"/>
      <c r="S19" s="13"/>
      <c r="T19" s="13"/>
      <c r="U19" s="13"/>
      <c r="V19" s="13"/>
      <c r="W19" s="13"/>
      <c r="X19" s="13"/>
      <c r="Y19" s="13"/>
      <c r="Z19" s="13"/>
      <c r="AA19" s="13"/>
      <c r="AB19" s="13"/>
      <c r="AC19" s="13"/>
      <c r="AD19" s="13"/>
      <c r="AE19" s="13"/>
      <c r="AF19" s="34"/>
    </row>
    <row r="20" spans="1:32" ht="15" customHeight="1" x14ac:dyDescent="0.2">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2">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2">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2">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2">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2">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2">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2">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2">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2">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2">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2">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2">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2">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2">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2">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5">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2">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2">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2">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O1:Q1"/>
    <mergeCell ref="R1:T1"/>
    <mergeCell ref="O3:Q7"/>
    <mergeCell ref="R3:T7"/>
    <mergeCell ref="A6:G6"/>
    <mergeCell ref="H6:N6"/>
    <mergeCell ref="A7:G7"/>
    <mergeCell ref="H7:N7"/>
    <mergeCell ref="C11:F11"/>
    <mergeCell ref="J13:J19"/>
    <mergeCell ref="K13:K19"/>
    <mergeCell ref="L13:L19"/>
    <mergeCell ref="A1:E5"/>
    <mergeCell ref="F1:N5"/>
    <mergeCell ref="M13:M19"/>
    <mergeCell ref="H13:H19"/>
    <mergeCell ref="F13:F19"/>
    <mergeCell ref="G13:G19"/>
    <mergeCell ref="I13:I19"/>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G45"/>
  <sheetViews>
    <sheetView showGridLines="0" topLeftCell="A31" zoomScale="75" workbookViewId="0">
      <selection sqref="A1:E5"/>
    </sheetView>
  </sheetViews>
  <sheetFormatPr defaultColWidth="4.21875" defaultRowHeight="15" customHeight="1" x14ac:dyDescent="0.2"/>
  <cols>
    <col min="1" max="1" width="9" style="9" customWidth="1"/>
    <col min="2" max="16384" width="4.21875" style="9"/>
  </cols>
  <sheetData>
    <row r="1" spans="1:33" s="270" customFormat="1" ht="12.75" customHeight="1" x14ac:dyDescent="0.2">
      <c r="A1" s="1178" t="s">
        <v>627</v>
      </c>
      <c r="B1" s="1179"/>
      <c r="C1" s="1179"/>
      <c r="D1" s="1179"/>
      <c r="E1" s="1180"/>
      <c r="F1" s="1187" t="s">
        <v>632</v>
      </c>
      <c r="G1" s="1179"/>
      <c r="H1" s="1179"/>
      <c r="I1" s="1179"/>
      <c r="J1" s="1179"/>
      <c r="K1" s="1179"/>
      <c r="L1" s="1179"/>
      <c r="M1" s="1179"/>
      <c r="N1" s="1180"/>
      <c r="O1" s="1189" t="s">
        <v>305</v>
      </c>
      <c r="P1" s="1189"/>
      <c r="Q1" s="1189"/>
      <c r="R1" s="1189" t="s">
        <v>306</v>
      </c>
      <c r="S1" s="1189"/>
      <c r="T1" s="1189"/>
      <c r="U1" s="1189" t="s">
        <v>237</v>
      </c>
      <c r="V1" s="1189"/>
      <c r="W1" s="1189"/>
      <c r="X1" s="1189" t="s">
        <v>307</v>
      </c>
      <c r="Y1" s="1189"/>
      <c r="Z1" s="1189"/>
      <c r="AA1" s="1189"/>
      <c r="AB1" s="1189"/>
      <c r="AC1" s="1189"/>
      <c r="AD1" s="1189"/>
      <c r="AE1" s="1189"/>
      <c r="AF1" s="1189"/>
    </row>
    <row r="2" spans="1:33" s="270" customFormat="1" ht="12.75" customHeight="1" x14ac:dyDescent="0.2">
      <c r="A2" s="1181"/>
      <c r="B2" s="1182"/>
      <c r="C2" s="1182"/>
      <c r="D2" s="1182"/>
      <c r="E2" s="1183"/>
      <c r="F2" s="1181"/>
      <c r="G2" s="1182"/>
      <c r="H2" s="1182"/>
      <c r="I2" s="1182"/>
      <c r="J2" s="1182"/>
      <c r="K2" s="1182"/>
      <c r="L2" s="1182"/>
      <c r="M2" s="1182"/>
      <c r="N2" s="1183"/>
      <c r="O2" s="1189" t="s">
        <v>473</v>
      </c>
      <c r="P2" s="1189"/>
      <c r="Q2" s="1189"/>
      <c r="R2" s="1189" t="s">
        <v>473</v>
      </c>
      <c r="S2" s="1189"/>
      <c r="T2" s="1189"/>
      <c r="U2" s="1189" t="s">
        <v>473</v>
      </c>
      <c r="V2" s="1189"/>
      <c r="W2" s="1189"/>
      <c r="X2" s="1190" t="s">
        <v>308</v>
      </c>
      <c r="Y2" s="1190"/>
      <c r="Z2" s="1190"/>
      <c r="AA2" s="1189" t="s">
        <v>306</v>
      </c>
      <c r="AB2" s="1189"/>
      <c r="AC2" s="1189"/>
      <c r="AD2" s="1189" t="s">
        <v>237</v>
      </c>
      <c r="AE2" s="1189"/>
      <c r="AF2" s="1189"/>
    </row>
    <row r="3" spans="1:33" s="270" customFormat="1" ht="12.75" customHeight="1" x14ac:dyDescent="0.2">
      <c r="A3" s="1181"/>
      <c r="B3" s="1182"/>
      <c r="C3" s="1182"/>
      <c r="D3" s="1182"/>
      <c r="E3" s="1183"/>
      <c r="F3" s="1181"/>
      <c r="G3" s="1182"/>
      <c r="H3" s="1182"/>
      <c r="I3" s="1182"/>
      <c r="J3" s="1182"/>
      <c r="K3" s="1182"/>
      <c r="L3" s="1182"/>
      <c r="M3" s="1182"/>
      <c r="N3" s="1183"/>
      <c r="O3" s="1189"/>
      <c r="P3" s="1189"/>
      <c r="Q3" s="1189"/>
      <c r="R3" s="1189"/>
      <c r="S3" s="1189"/>
      <c r="T3" s="1189"/>
      <c r="U3" s="1189"/>
      <c r="V3" s="1189"/>
      <c r="W3" s="1189"/>
      <c r="X3" s="1189"/>
      <c r="Y3" s="1189"/>
      <c r="Z3" s="1189"/>
      <c r="AA3" s="1189" t="s">
        <v>238</v>
      </c>
      <c r="AB3" s="1189"/>
      <c r="AC3" s="1189"/>
      <c r="AD3" s="1189" t="s">
        <v>238</v>
      </c>
      <c r="AE3" s="1189"/>
      <c r="AF3" s="1189"/>
    </row>
    <row r="4" spans="1:33" s="270" customFormat="1" ht="12.75" customHeight="1" x14ac:dyDescent="0.2">
      <c r="A4" s="1181"/>
      <c r="B4" s="1182"/>
      <c r="C4" s="1182"/>
      <c r="D4" s="1182"/>
      <c r="E4" s="1183"/>
      <c r="F4" s="1181"/>
      <c r="G4" s="1182"/>
      <c r="H4" s="1182"/>
      <c r="I4" s="1182"/>
      <c r="J4" s="1182"/>
      <c r="K4" s="1182"/>
      <c r="L4" s="1182"/>
      <c r="M4" s="1182"/>
      <c r="N4" s="1183"/>
      <c r="O4" s="1189"/>
      <c r="P4" s="1189"/>
      <c r="Q4" s="1189"/>
      <c r="R4" s="1189"/>
      <c r="S4" s="1189"/>
      <c r="T4" s="1189"/>
      <c r="U4" s="1189"/>
      <c r="V4" s="1189"/>
      <c r="W4" s="1189"/>
      <c r="X4" s="1189"/>
      <c r="Y4" s="1189"/>
      <c r="Z4" s="1189"/>
      <c r="AA4" s="1191"/>
      <c r="AB4" s="1192"/>
      <c r="AC4" s="1193"/>
      <c r="AD4" s="1191"/>
      <c r="AE4" s="1192"/>
      <c r="AF4" s="1193"/>
    </row>
    <row r="5" spans="1:33" s="270" customFormat="1" ht="12.75" customHeight="1" x14ac:dyDescent="0.2">
      <c r="A5" s="1184"/>
      <c r="B5" s="1185"/>
      <c r="C5" s="1185"/>
      <c r="D5" s="1185"/>
      <c r="E5" s="1186"/>
      <c r="F5" s="1184"/>
      <c r="G5" s="1185"/>
      <c r="H5" s="1185"/>
      <c r="I5" s="1185"/>
      <c r="J5" s="1185"/>
      <c r="K5" s="1185"/>
      <c r="L5" s="1185"/>
      <c r="M5" s="1185"/>
      <c r="N5" s="1186"/>
      <c r="O5" s="1189"/>
      <c r="P5" s="1189"/>
      <c r="Q5" s="1189"/>
      <c r="R5" s="1189"/>
      <c r="S5" s="1189"/>
      <c r="T5" s="1189"/>
      <c r="U5" s="1189"/>
      <c r="V5" s="1189"/>
      <c r="W5" s="1189"/>
      <c r="X5" s="1189"/>
      <c r="Y5" s="1189"/>
      <c r="Z5" s="1189"/>
      <c r="AA5" s="1194"/>
      <c r="AB5" s="1195"/>
      <c r="AC5" s="1196"/>
      <c r="AD5" s="1194"/>
      <c r="AE5" s="1195"/>
      <c r="AF5" s="1196"/>
    </row>
    <row r="6" spans="1:33" s="270" customFormat="1" ht="15" customHeight="1" x14ac:dyDescent="0.2">
      <c r="A6" s="1189" t="s">
        <v>465</v>
      </c>
      <c r="B6" s="1189"/>
      <c r="C6" s="1189"/>
      <c r="D6" s="1189"/>
      <c r="E6" s="1189"/>
      <c r="F6" s="1189"/>
      <c r="G6" s="1189"/>
      <c r="H6" s="1189" t="s">
        <v>466</v>
      </c>
      <c r="I6" s="1189"/>
      <c r="J6" s="1189"/>
      <c r="K6" s="1189"/>
      <c r="L6" s="1189"/>
      <c r="M6" s="1189"/>
      <c r="N6" s="1189"/>
      <c r="O6" s="1189"/>
      <c r="P6" s="1189"/>
      <c r="Q6" s="1189"/>
      <c r="R6" s="1189"/>
      <c r="S6" s="1189"/>
      <c r="T6" s="1189"/>
      <c r="U6" s="1189"/>
      <c r="V6" s="1189"/>
      <c r="W6" s="1189"/>
      <c r="X6" s="1189"/>
      <c r="Y6" s="1189"/>
      <c r="Z6" s="1189"/>
      <c r="AA6" s="1194"/>
      <c r="AB6" s="1195"/>
      <c r="AC6" s="1196"/>
      <c r="AD6" s="1194"/>
      <c r="AE6" s="1195"/>
      <c r="AF6" s="1196"/>
    </row>
    <row r="7" spans="1:33" s="270" customFormat="1" ht="15" customHeight="1" x14ac:dyDescent="0.2">
      <c r="A7" s="1189"/>
      <c r="B7" s="1189"/>
      <c r="C7" s="1189"/>
      <c r="D7" s="1189"/>
      <c r="E7" s="1189"/>
      <c r="F7" s="1189"/>
      <c r="G7" s="1189"/>
      <c r="H7" s="1189"/>
      <c r="I7" s="1189"/>
      <c r="J7" s="1189"/>
      <c r="K7" s="1189"/>
      <c r="L7" s="1189"/>
      <c r="M7" s="1189"/>
      <c r="N7" s="1189"/>
      <c r="O7" s="1189"/>
      <c r="P7" s="1189"/>
      <c r="Q7" s="1189"/>
      <c r="R7" s="1189"/>
      <c r="S7" s="1189"/>
      <c r="T7" s="1189"/>
      <c r="U7" s="1189"/>
      <c r="V7" s="1189"/>
      <c r="W7" s="1189"/>
      <c r="X7" s="1189"/>
      <c r="Y7" s="1189"/>
      <c r="Z7" s="1189"/>
      <c r="AA7" s="1197"/>
      <c r="AB7" s="1198"/>
      <c r="AC7" s="1199"/>
      <c r="AD7" s="1197"/>
      <c r="AE7" s="1198"/>
      <c r="AF7" s="1199"/>
    </row>
    <row r="8" spans="1:33"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634</v>
      </c>
      <c r="V8" s="261"/>
      <c r="W8" s="779"/>
      <c r="X8" s="780"/>
      <c r="Y8" s="781"/>
      <c r="Z8" s="782" t="s">
        <v>468</v>
      </c>
      <c r="AA8" s="783"/>
      <c r="AB8" s="784"/>
      <c r="AC8" s="780"/>
      <c r="AD8" s="781"/>
      <c r="AE8" s="782" t="s">
        <v>469</v>
      </c>
      <c r="AF8" s="783"/>
    </row>
    <row r="9" spans="1:33"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635</v>
      </c>
      <c r="V9" s="264"/>
      <c r="W9" s="773"/>
      <c r="X9" s="774"/>
      <c r="Y9" s="775"/>
      <c r="Z9" s="776" t="s">
        <v>471</v>
      </c>
      <c r="AA9" s="775"/>
      <c r="AB9" s="776"/>
      <c r="AC9" s="774"/>
      <c r="AD9" s="775"/>
      <c r="AE9" s="777"/>
      <c r="AF9" s="778"/>
    </row>
    <row r="11" spans="1:33" ht="15" customHeight="1" x14ac:dyDescent="0.2">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2">
      <c r="A13" s="304"/>
      <c r="B13" s="305"/>
      <c r="C13" s="305"/>
      <c r="D13" s="305"/>
      <c r="E13" s="306" t="s">
        <v>423</v>
      </c>
      <c r="F13" s="1200" t="s">
        <v>185</v>
      </c>
      <c r="G13" s="1200" t="s">
        <v>163</v>
      </c>
      <c r="H13" s="1200" t="s">
        <v>427</v>
      </c>
      <c r="I13" s="1200" t="s">
        <v>429</v>
      </c>
      <c r="J13" s="1200" t="s">
        <v>431</v>
      </c>
      <c r="K13" s="1203" t="s">
        <v>184</v>
      </c>
      <c r="L13" s="1206" t="s">
        <v>299</v>
      </c>
      <c r="M13" s="1209" t="s">
        <v>300</v>
      </c>
      <c r="O13" s="25"/>
      <c r="P13" s="15"/>
      <c r="Q13" s="15"/>
      <c r="R13" s="15"/>
      <c r="S13" s="15"/>
      <c r="T13" s="15"/>
      <c r="U13" s="15"/>
      <c r="V13" s="15"/>
      <c r="W13" s="15"/>
      <c r="X13" s="15"/>
      <c r="Y13" s="15"/>
      <c r="Z13" s="15"/>
      <c r="AA13" s="15"/>
      <c r="AB13" s="15"/>
      <c r="AC13" s="15"/>
      <c r="AD13" s="15"/>
      <c r="AE13" s="15"/>
      <c r="AF13" s="26"/>
    </row>
    <row r="14" spans="1:33" ht="15" customHeight="1" x14ac:dyDescent="0.2">
      <c r="A14" s="307"/>
      <c r="B14" s="308"/>
      <c r="C14" s="308"/>
      <c r="D14" s="308"/>
      <c r="E14" s="309"/>
      <c r="F14" s="1201"/>
      <c r="G14" s="1201"/>
      <c r="H14" s="1201"/>
      <c r="I14" s="1201"/>
      <c r="J14" s="1201"/>
      <c r="K14" s="1204"/>
      <c r="L14" s="1207"/>
      <c r="M14" s="1210"/>
      <c r="O14" s="12"/>
      <c r="P14" s="13"/>
      <c r="Q14" s="13"/>
      <c r="R14" s="13"/>
      <c r="S14" s="13"/>
      <c r="T14" s="13"/>
      <c r="U14" s="13"/>
      <c r="V14" s="13"/>
      <c r="W14" s="13"/>
      <c r="X14" s="13"/>
      <c r="Y14" s="13"/>
      <c r="Z14" s="13"/>
      <c r="AA14" s="13"/>
      <c r="AB14" s="13"/>
      <c r="AC14" s="13"/>
      <c r="AD14" s="13"/>
      <c r="AE14" s="13"/>
      <c r="AF14" s="34"/>
    </row>
    <row r="15" spans="1:33" ht="15" customHeight="1" x14ac:dyDescent="0.2">
      <c r="A15" s="307"/>
      <c r="B15" s="308"/>
      <c r="C15" s="308"/>
      <c r="D15" s="308"/>
      <c r="E15" s="309"/>
      <c r="F15" s="1201"/>
      <c r="G15" s="1201"/>
      <c r="H15" s="1201"/>
      <c r="I15" s="1201"/>
      <c r="J15" s="1201"/>
      <c r="K15" s="1204"/>
      <c r="L15" s="1207"/>
      <c r="M15" s="1210"/>
      <c r="O15" s="12"/>
      <c r="P15" s="13"/>
      <c r="Q15" s="13"/>
      <c r="R15" s="13"/>
      <c r="S15" s="13"/>
      <c r="T15" s="13"/>
      <c r="U15" s="13"/>
      <c r="V15" s="13"/>
      <c r="W15" s="13"/>
      <c r="X15" s="13"/>
      <c r="Y15" s="13"/>
      <c r="Z15" s="13"/>
      <c r="AA15" s="13"/>
      <c r="AB15" s="13"/>
      <c r="AC15" s="13"/>
      <c r="AD15" s="13"/>
      <c r="AE15" s="13"/>
      <c r="AF15" s="34"/>
    </row>
    <row r="16" spans="1:33" ht="15" customHeight="1" x14ac:dyDescent="0.2">
      <c r="A16" s="307"/>
      <c r="B16" s="308"/>
      <c r="C16" s="308"/>
      <c r="D16" s="308"/>
      <c r="E16" s="309"/>
      <c r="F16" s="1201"/>
      <c r="G16" s="1201"/>
      <c r="H16" s="1201"/>
      <c r="I16" s="1201"/>
      <c r="J16" s="1201"/>
      <c r="K16" s="1204"/>
      <c r="L16" s="1207"/>
      <c r="M16" s="1210"/>
      <c r="O16" s="12"/>
      <c r="P16" s="13"/>
      <c r="Q16" s="13"/>
      <c r="R16" s="13"/>
      <c r="S16" s="13"/>
      <c r="T16" s="13"/>
      <c r="U16" s="13"/>
      <c r="V16" s="13"/>
      <c r="W16" s="13"/>
      <c r="X16" s="13"/>
      <c r="Y16" s="13"/>
      <c r="Z16" s="13"/>
      <c r="AA16" s="13"/>
      <c r="AB16" s="13"/>
      <c r="AC16" s="13"/>
      <c r="AD16" s="13"/>
      <c r="AE16" s="13"/>
      <c r="AF16" s="34"/>
    </row>
    <row r="17" spans="1:32" ht="15" customHeight="1" x14ac:dyDescent="0.2">
      <c r="A17" s="307"/>
      <c r="B17" s="308"/>
      <c r="C17" s="308"/>
      <c r="D17" s="308"/>
      <c r="E17" s="309"/>
      <c r="F17" s="1201"/>
      <c r="G17" s="1201"/>
      <c r="H17" s="1201"/>
      <c r="I17" s="1201"/>
      <c r="J17" s="1201"/>
      <c r="K17" s="1204"/>
      <c r="L17" s="1207"/>
      <c r="M17" s="1210"/>
      <c r="O17" s="12"/>
      <c r="P17" s="13"/>
      <c r="Q17" s="13"/>
      <c r="R17" s="13"/>
      <c r="S17" s="13"/>
      <c r="T17" s="13"/>
      <c r="U17" s="13"/>
      <c r="V17" s="13"/>
      <c r="W17" s="13"/>
      <c r="X17" s="13"/>
      <c r="Y17" s="13"/>
      <c r="Z17" s="13"/>
      <c r="AA17" s="13"/>
      <c r="AB17" s="13"/>
      <c r="AC17" s="13"/>
      <c r="AD17" s="13"/>
      <c r="AE17" s="13"/>
      <c r="AF17" s="34"/>
    </row>
    <row r="18" spans="1:32" ht="15" customHeight="1" x14ac:dyDescent="0.2">
      <c r="A18" s="307"/>
      <c r="B18" s="308"/>
      <c r="C18" s="308"/>
      <c r="D18" s="308"/>
      <c r="E18" s="309"/>
      <c r="F18" s="1201"/>
      <c r="G18" s="1201"/>
      <c r="H18" s="1201"/>
      <c r="I18" s="1201"/>
      <c r="J18" s="1201"/>
      <c r="K18" s="1204"/>
      <c r="L18" s="1207"/>
      <c r="M18" s="1210"/>
      <c r="O18" s="12"/>
      <c r="P18" s="13"/>
      <c r="Q18" s="13"/>
      <c r="R18" s="13"/>
      <c r="S18" s="13"/>
      <c r="T18" s="13"/>
      <c r="U18" s="13"/>
      <c r="V18" s="13"/>
      <c r="W18" s="13"/>
      <c r="X18" s="13"/>
      <c r="Y18" s="13"/>
      <c r="Z18" s="13"/>
      <c r="AA18" s="13"/>
      <c r="AB18" s="13"/>
      <c r="AC18" s="13"/>
      <c r="AD18" s="13"/>
      <c r="AE18" s="13"/>
      <c r="AF18" s="34"/>
    </row>
    <row r="19" spans="1:32" ht="15" customHeight="1" x14ac:dyDescent="0.2">
      <c r="A19" s="310" t="s">
        <v>636</v>
      </c>
      <c r="B19" s="311"/>
      <c r="C19" s="311"/>
      <c r="D19" s="311"/>
      <c r="E19" s="312"/>
      <c r="F19" s="1202"/>
      <c r="G19" s="1202"/>
      <c r="H19" s="1202"/>
      <c r="I19" s="1202"/>
      <c r="J19" s="1202"/>
      <c r="K19" s="1205"/>
      <c r="L19" s="1208"/>
      <c r="M19" s="1211"/>
      <c r="O19" s="12"/>
      <c r="P19" s="13"/>
      <c r="Q19" s="13"/>
      <c r="R19" s="13"/>
      <c r="S19" s="13"/>
      <c r="T19" s="13"/>
      <c r="U19" s="13"/>
      <c r="V19" s="13"/>
      <c r="W19" s="13"/>
      <c r="X19" s="13"/>
      <c r="Y19" s="13"/>
      <c r="Z19" s="13"/>
      <c r="AA19" s="13"/>
      <c r="AB19" s="13"/>
      <c r="AC19" s="13"/>
      <c r="AD19" s="13"/>
      <c r="AE19" s="13"/>
      <c r="AF19" s="34"/>
    </row>
    <row r="20" spans="1:32" ht="15" customHeight="1" x14ac:dyDescent="0.2">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2">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5">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2">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2">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2">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2">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2">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2">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2">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2">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2">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2">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2">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2">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2">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2">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2">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2">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2">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M13:M19"/>
    <mergeCell ref="F13:F19"/>
    <mergeCell ref="G13:G19"/>
    <mergeCell ref="H13:H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G95"/>
  <sheetViews>
    <sheetView showGridLines="0" topLeftCell="A31" zoomScale="75" workbookViewId="0">
      <selection sqref="A1:E5"/>
    </sheetView>
  </sheetViews>
  <sheetFormatPr defaultColWidth="4.21875" defaultRowHeight="15" customHeight="1" x14ac:dyDescent="0.2"/>
  <cols>
    <col min="1" max="1" width="9" style="9" customWidth="1"/>
    <col min="2" max="10" width="4.21875" style="9"/>
    <col min="11" max="11" width="4.21875" style="9" customWidth="1"/>
    <col min="12" max="16384" width="4.21875" style="9"/>
  </cols>
  <sheetData>
    <row r="1" spans="1:33" s="270" customFormat="1" ht="12.75" customHeight="1" x14ac:dyDescent="0.2">
      <c r="A1" s="1178" t="s">
        <v>688</v>
      </c>
      <c r="B1" s="1179"/>
      <c r="C1" s="1179"/>
      <c r="D1" s="1179"/>
      <c r="E1" s="1180"/>
      <c r="F1" s="1187" t="s">
        <v>633</v>
      </c>
      <c r="G1" s="1179"/>
      <c r="H1" s="1179"/>
      <c r="I1" s="1179"/>
      <c r="J1" s="1179"/>
      <c r="K1" s="1179"/>
      <c r="L1" s="1179"/>
      <c r="M1" s="1179"/>
      <c r="N1" s="1180"/>
      <c r="O1" s="1189" t="s">
        <v>305</v>
      </c>
      <c r="P1" s="1189"/>
      <c r="Q1" s="1189"/>
      <c r="R1" s="1189" t="s">
        <v>306</v>
      </c>
      <c r="S1" s="1189"/>
      <c r="T1" s="1189"/>
      <c r="U1" s="1189" t="s">
        <v>237</v>
      </c>
      <c r="V1" s="1189"/>
      <c r="W1" s="1189"/>
      <c r="X1" s="1189" t="s">
        <v>307</v>
      </c>
      <c r="Y1" s="1189"/>
      <c r="Z1" s="1189"/>
      <c r="AA1" s="1189"/>
      <c r="AB1" s="1189"/>
      <c r="AC1" s="1189"/>
      <c r="AD1" s="1189"/>
      <c r="AE1" s="1189"/>
      <c r="AF1" s="1189"/>
    </row>
    <row r="2" spans="1:33" s="270" customFormat="1" ht="12.75" customHeight="1" x14ac:dyDescent="0.2">
      <c r="A2" s="1181"/>
      <c r="B2" s="1182"/>
      <c r="C2" s="1182"/>
      <c r="D2" s="1182"/>
      <c r="E2" s="1183"/>
      <c r="F2" s="1181"/>
      <c r="G2" s="1182"/>
      <c r="H2" s="1182"/>
      <c r="I2" s="1182"/>
      <c r="J2" s="1182"/>
      <c r="K2" s="1182"/>
      <c r="L2" s="1182"/>
      <c r="M2" s="1182"/>
      <c r="N2" s="1183"/>
      <c r="O2" s="1189" t="s">
        <v>473</v>
      </c>
      <c r="P2" s="1189"/>
      <c r="Q2" s="1189"/>
      <c r="R2" s="1189" t="s">
        <v>473</v>
      </c>
      <c r="S2" s="1189"/>
      <c r="T2" s="1189"/>
      <c r="U2" s="1189" t="s">
        <v>473</v>
      </c>
      <c r="V2" s="1189"/>
      <c r="W2" s="1189"/>
      <c r="X2" s="1190" t="s">
        <v>308</v>
      </c>
      <c r="Y2" s="1190"/>
      <c r="Z2" s="1190"/>
      <c r="AA2" s="1189" t="s">
        <v>306</v>
      </c>
      <c r="AB2" s="1189"/>
      <c r="AC2" s="1189"/>
      <c r="AD2" s="1189" t="s">
        <v>237</v>
      </c>
      <c r="AE2" s="1189"/>
      <c r="AF2" s="1189"/>
    </row>
    <row r="3" spans="1:33" s="270" customFormat="1" ht="12.75" customHeight="1" x14ac:dyDescent="0.2">
      <c r="A3" s="1181"/>
      <c r="B3" s="1182"/>
      <c r="C3" s="1182"/>
      <c r="D3" s="1182"/>
      <c r="E3" s="1183"/>
      <c r="F3" s="1181"/>
      <c r="G3" s="1182"/>
      <c r="H3" s="1182"/>
      <c r="I3" s="1182"/>
      <c r="J3" s="1182"/>
      <c r="K3" s="1182"/>
      <c r="L3" s="1182"/>
      <c r="M3" s="1182"/>
      <c r="N3" s="1183"/>
      <c r="O3" s="1212"/>
      <c r="P3" s="1212"/>
      <c r="Q3" s="1212"/>
      <c r="R3" s="1212"/>
      <c r="S3" s="1212"/>
      <c r="T3" s="1212"/>
      <c r="U3" s="1212"/>
      <c r="V3" s="1212"/>
      <c r="W3" s="1212"/>
      <c r="X3" s="1212"/>
      <c r="Y3" s="1212"/>
      <c r="Z3" s="1212"/>
      <c r="AA3" s="1189" t="s">
        <v>238</v>
      </c>
      <c r="AB3" s="1189"/>
      <c r="AC3" s="1189"/>
      <c r="AD3" s="1189" t="s">
        <v>238</v>
      </c>
      <c r="AE3" s="1189"/>
      <c r="AF3" s="1189"/>
    </row>
    <row r="4" spans="1:33" s="270" customFormat="1" ht="12.75" customHeight="1" x14ac:dyDescent="0.2">
      <c r="A4" s="1181"/>
      <c r="B4" s="1182"/>
      <c r="C4" s="1182"/>
      <c r="D4" s="1182"/>
      <c r="E4" s="1183"/>
      <c r="F4" s="1181"/>
      <c r="G4" s="1182"/>
      <c r="H4" s="1182"/>
      <c r="I4" s="1182"/>
      <c r="J4" s="1182"/>
      <c r="K4" s="1182"/>
      <c r="L4" s="1182"/>
      <c r="M4" s="1182"/>
      <c r="N4" s="1183"/>
      <c r="O4" s="1212"/>
      <c r="P4" s="1212"/>
      <c r="Q4" s="1212"/>
      <c r="R4" s="1212"/>
      <c r="S4" s="1212"/>
      <c r="T4" s="1212"/>
      <c r="U4" s="1212"/>
      <c r="V4" s="1212"/>
      <c r="W4" s="1212"/>
      <c r="X4" s="1212"/>
      <c r="Y4" s="1212"/>
      <c r="Z4" s="1212"/>
      <c r="AA4" s="1213"/>
      <c r="AB4" s="1214"/>
      <c r="AC4" s="1215"/>
      <c r="AD4" s="1213"/>
      <c r="AE4" s="1214"/>
      <c r="AF4" s="1215"/>
    </row>
    <row r="5" spans="1:33" s="270" customFormat="1" ht="12.75" customHeight="1" x14ac:dyDescent="0.2">
      <c r="A5" s="1184"/>
      <c r="B5" s="1185"/>
      <c r="C5" s="1185"/>
      <c r="D5" s="1185"/>
      <c r="E5" s="1186"/>
      <c r="F5" s="1184"/>
      <c r="G5" s="1185"/>
      <c r="H5" s="1185"/>
      <c r="I5" s="1185"/>
      <c r="J5" s="1185"/>
      <c r="K5" s="1185"/>
      <c r="L5" s="1185"/>
      <c r="M5" s="1185"/>
      <c r="N5" s="1186"/>
      <c r="O5" s="1212"/>
      <c r="P5" s="1212"/>
      <c r="Q5" s="1212"/>
      <c r="R5" s="1212"/>
      <c r="S5" s="1212"/>
      <c r="T5" s="1212"/>
      <c r="U5" s="1212"/>
      <c r="V5" s="1212"/>
      <c r="W5" s="1212"/>
      <c r="X5" s="1212"/>
      <c r="Y5" s="1212"/>
      <c r="Z5" s="1212"/>
      <c r="AA5" s="1216"/>
      <c r="AB5" s="1217"/>
      <c r="AC5" s="1218"/>
      <c r="AD5" s="1216"/>
      <c r="AE5" s="1217"/>
      <c r="AF5" s="1218"/>
    </row>
    <row r="6" spans="1:33" s="270" customFormat="1" ht="12.75" customHeight="1" x14ac:dyDescent="0.2">
      <c r="A6" s="1189" t="s">
        <v>465</v>
      </c>
      <c r="B6" s="1189"/>
      <c r="C6" s="1189"/>
      <c r="D6" s="1189"/>
      <c r="E6" s="1189"/>
      <c r="F6" s="1189"/>
      <c r="G6" s="1189"/>
      <c r="H6" s="1189" t="s">
        <v>466</v>
      </c>
      <c r="I6" s="1189"/>
      <c r="J6" s="1189"/>
      <c r="K6" s="1189"/>
      <c r="L6" s="1189"/>
      <c r="M6" s="1189"/>
      <c r="N6" s="1189"/>
      <c r="O6" s="1212"/>
      <c r="P6" s="1212"/>
      <c r="Q6" s="1212"/>
      <c r="R6" s="1212"/>
      <c r="S6" s="1212"/>
      <c r="T6" s="1212"/>
      <c r="U6" s="1212"/>
      <c r="V6" s="1212"/>
      <c r="W6" s="1212"/>
      <c r="X6" s="1212"/>
      <c r="Y6" s="1212"/>
      <c r="Z6" s="1212"/>
      <c r="AA6" s="1216"/>
      <c r="AB6" s="1217"/>
      <c r="AC6" s="1218"/>
      <c r="AD6" s="1216"/>
      <c r="AE6" s="1217"/>
      <c r="AF6" s="1218"/>
    </row>
    <row r="7" spans="1:33" s="270" customFormat="1" ht="15" customHeight="1" x14ac:dyDescent="0.2">
      <c r="A7" s="1189"/>
      <c r="B7" s="1189"/>
      <c r="C7" s="1189"/>
      <c r="D7" s="1189"/>
      <c r="E7" s="1189"/>
      <c r="F7" s="1189"/>
      <c r="G7" s="1189"/>
      <c r="H7" s="1189"/>
      <c r="I7" s="1189"/>
      <c r="J7" s="1189"/>
      <c r="K7" s="1189"/>
      <c r="L7" s="1189"/>
      <c r="M7" s="1189"/>
      <c r="N7" s="1189"/>
      <c r="O7" s="1212"/>
      <c r="P7" s="1212"/>
      <c r="Q7" s="1212"/>
      <c r="R7" s="1212"/>
      <c r="S7" s="1212"/>
      <c r="T7" s="1212"/>
      <c r="U7" s="1212"/>
      <c r="V7" s="1212"/>
      <c r="W7" s="1212"/>
      <c r="X7" s="1212"/>
      <c r="Y7" s="1212"/>
      <c r="Z7" s="1212"/>
      <c r="AA7" s="1219"/>
      <c r="AB7" s="1220"/>
      <c r="AC7" s="1221"/>
      <c r="AD7" s="1219"/>
      <c r="AE7" s="1220"/>
      <c r="AF7" s="1221"/>
    </row>
    <row r="8" spans="1:33" s="270"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638</v>
      </c>
      <c r="V8" s="261"/>
      <c r="W8" s="779"/>
      <c r="X8" s="780"/>
      <c r="Y8" s="781"/>
      <c r="Z8" s="782" t="s">
        <v>468</v>
      </c>
      <c r="AA8" s="783"/>
      <c r="AB8" s="784"/>
      <c r="AC8" s="780"/>
      <c r="AD8" s="781"/>
      <c r="AE8" s="782" t="s">
        <v>469</v>
      </c>
      <c r="AF8" s="783"/>
    </row>
    <row r="9" spans="1:33"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639</v>
      </c>
      <c r="V9" s="264"/>
      <c r="W9" s="773"/>
      <c r="X9" s="774"/>
      <c r="Y9" s="775"/>
      <c r="Z9" s="776" t="s">
        <v>471</v>
      </c>
      <c r="AA9" s="775"/>
      <c r="AB9" s="776"/>
      <c r="AC9" s="774"/>
      <c r="AD9" s="775"/>
      <c r="AE9" s="777"/>
      <c r="AF9" s="778"/>
    </row>
    <row r="11" spans="1:33" ht="15" customHeight="1" x14ac:dyDescent="0.2">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2">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2">
      <c r="A13" s="304"/>
      <c r="B13" s="305"/>
      <c r="C13" s="305"/>
      <c r="D13" s="305"/>
      <c r="E13" s="306" t="s">
        <v>631</v>
      </c>
      <c r="F13" s="1200" t="s">
        <v>286</v>
      </c>
      <c r="G13" s="1200" t="s">
        <v>288</v>
      </c>
      <c r="H13" s="1200" t="s">
        <v>303</v>
      </c>
      <c r="I13" s="1206" t="s">
        <v>299</v>
      </c>
      <c r="J13" s="1209"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2">
      <c r="A14" s="307"/>
      <c r="B14" s="308"/>
      <c r="C14" s="308"/>
      <c r="D14" s="308"/>
      <c r="E14" s="309"/>
      <c r="F14" s="1201"/>
      <c r="G14" s="1201"/>
      <c r="H14" s="1201"/>
      <c r="I14" s="1207"/>
      <c r="J14" s="1210"/>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2">
      <c r="A15" s="307"/>
      <c r="B15" s="308"/>
      <c r="C15" s="308"/>
      <c r="D15" s="308"/>
      <c r="E15" s="309"/>
      <c r="F15" s="1201"/>
      <c r="G15" s="1201"/>
      <c r="H15" s="1201"/>
      <c r="I15" s="1207"/>
      <c r="J15" s="1210"/>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2">
      <c r="A16" s="307"/>
      <c r="B16" s="308"/>
      <c r="C16" s="308"/>
      <c r="D16" s="308"/>
      <c r="E16" s="309"/>
      <c r="F16" s="1201"/>
      <c r="G16" s="1201"/>
      <c r="H16" s="1201"/>
      <c r="I16" s="1207"/>
      <c r="J16" s="1210"/>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2">
      <c r="A17" s="307"/>
      <c r="B17" s="308"/>
      <c r="C17" s="308"/>
      <c r="D17" s="308"/>
      <c r="E17" s="309"/>
      <c r="F17" s="1201"/>
      <c r="G17" s="1201"/>
      <c r="H17" s="1201"/>
      <c r="I17" s="1207"/>
      <c r="J17" s="1210"/>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2">
      <c r="A18" s="307"/>
      <c r="B18" s="308"/>
      <c r="C18" s="308"/>
      <c r="D18" s="308"/>
      <c r="E18" s="309"/>
      <c r="F18" s="1201"/>
      <c r="G18" s="1201"/>
      <c r="H18" s="1201"/>
      <c r="I18" s="1207"/>
      <c r="J18" s="1210"/>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2">
      <c r="A19" s="310" t="s">
        <v>413</v>
      </c>
      <c r="B19" s="311"/>
      <c r="C19" s="311"/>
      <c r="D19" s="311"/>
      <c r="E19" s="312"/>
      <c r="F19" s="1201"/>
      <c r="G19" s="1201"/>
      <c r="H19" s="1201"/>
      <c r="I19" s="1207"/>
      <c r="J19" s="1211"/>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2">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2">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2">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2">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2">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2">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2">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2">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2">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2">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2">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2">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2">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2">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2">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2">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5">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2">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2">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2">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2">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2">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2">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2">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2">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2">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2">
      <c r="K46" s="13"/>
      <c r="L46" s="13"/>
      <c r="M46" s="13"/>
    </row>
    <row r="47" spans="1:32" ht="15" customHeight="1" x14ac:dyDescent="0.2">
      <c r="K47" s="13"/>
      <c r="L47" s="13"/>
      <c r="M47" s="13"/>
    </row>
    <row r="48" spans="1:32" ht="15" customHeight="1" x14ac:dyDescent="0.2">
      <c r="K48" s="13"/>
      <c r="L48" s="13"/>
      <c r="M48" s="13"/>
    </row>
    <row r="49" spans="11:13" ht="15" customHeight="1" x14ac:dyDescent="0.2">
      <c r="K49" s="13"/>
      <c r="L49" s="13"/>
      <c r="M49" s="13"/>
    </row>
    <row r="50" spans="11:13" ht="15" customHeight="1" x14ac:dyDescent="0.2">
      <c r="K50" s="13"/>
      <c r="L50" s="13"/>
      <c r="M50" s="13"/>
    </row>
    <row r="51" spans="11:13" ht="15" customHeight="1" x14ac:dyDescent="0.2">
      <c r="K51" s="13"/>
      <c r="L51" s="13"/>
      <c r="M51" s="13"/>
    </row>
    <row r="52" spans="11:13" ht="15" customHeight="1" x14ac:dyDescent="0.2">
      <c r="K52" s="13"/>
      <c r="L52" s="13"/>
      <c r="M52" s="13"/>
    </row>
    <row r="53" spans="11:13" ht="15" customHeight="1" x14ac:dyDescent="0.2">
      <c r="K53" s="13"/>
      <c r="L53" s="13"/>
      <c r="M53" s="13"/>
    </row>
    <row r="54" spans="11:13" ht="15" customHeight="1" x14ac:dyDescent="0.2">
      <c r="K54" s="13"/>
      <c r="L54" s="13"/>
      <c r="M54" s="13"/>
    </row>
    <row r="55" spans="11:13" ht="15" customHeight="1" x14ac:dyDescent="0.2">
      <c r="K55" s="13"/>
      <c r="L55" s="13"/>
      <c r="M55" s="13"/>
    </row>
    <row r="56" spans="11:13" ht="15" customHeight="1" x14ac:dyDescent="0.2">
      <c r="K56" s="13"/>
      <c r="L56" s="13"/>
      <c r="M56" s="13"/>
    </row>
    <row r="57" spans="11:13" ht="15" customHeight="1" x14ac:dyDescent="0.2">
      <c r="K57" s="13"/>
      <c r="L57" s="13"/>
      <c r="M57" s="13"/>
    </row>
    <row r="58" spans="11:13" ht="15" customHeight="1" x14ac:dyDescent="0.2">
      <c r="K58" s="13"/>
      <c r="L58" s="13"/>
      <c r="M58" s="13"/>
    </row>
    <row r="59" spans="11:13" ht="15" customHeight="1" x14ac:dyDescent="0.2">
      <c r="K59" s="13"/>
      <c r="L59" s="13"/>
    </row>
    <row r="60" spans="11:13" ht="15" customHeight="1" x14ac:dyDescent="0.2">
      <c r="K60" s="13"/>
      <c r="L60" s="13"/>
    </row>
    <row r="61" spans="11:13" ht="15" customHeight="1" x14ac:dyDescent="0.2">
      <c r="K61" s="13"/>
      <c r="L61" s="13"/>
    </row>
    <row r="62" spans="11:13" ht="15" customHeight="1" x14ac:dyDescent="0.2">
      <c r="K62" s="13"/>
      <c r="L62" s="13"/>
    </row>
    <row r="63" spans="11:13" ht="15" customHeight="1" x14ac:dyDescent="0.2">
      <c r="K63" s="13"/>
      <c r="L63" s="13"/>
    </row>
    <row r="64" spans="11:13" ht="15" customHeight="1" x14ac:dyDescent="0.2">
      <c r="K64" s="13"/>
      <c r="L64" s="13"/>
    </row>
    <row r="65" spans="12:12" ht="15" customHeight="1" x14ac:dyDescent="0.2">
      <c r="L65" s="13"/>
    </row>
    <row r="66" spans="12:12" ht="15" customHeight="1" x14ac:dyDescent="0.2">
      <c r="L66" s="13"/>
    </row>
    <row r="67" spans="12:12" ht="15" customHeight="1" x14ac:dyDescent="0.2">
      <c r="L67" s="13"/>
    </row>
    <row r="68" spans="12:12" ht="15" customHeight="1" x14ac:dyDescent="0.2">
      <c r="L68" s="13"/>
    </row>
    <row r="69" spans="12:12" ht="15" customHeight="1" x14ac:dyDescent="0.2">
      <c r="L69" s="13"/>
    </row>
    <row r="70" spans="12:12" ht="15" customHeight="1" x14ac:dyDescent="0.2">
      <c r="L70" s="13"/>
    </row>
    <row r="71" spans="12:12" ht="15" customHeight="1" x14ac:dyDescent="0.2">
      <c r="L71" s="13"/>
    </row>
    <row r="72" spans="12:12" ht="15" customHeight="1" x14ac:dyDescent="0.2">
      <c r="L72" s="13"/>
    </row>
    <row r="73" spans="12:12" ht="15" customHeight="1" x14ac:dyDescent="0.2">
      <c r="L73" s="13"/>
    </row>
    <row r="74" spans="12:12" ht="15" customHeight="1" x14ac:dyDescent="0.2">
      <c r="L74" s="13"/>
    </row>
    <row r="75" spans="12:12" ht="15" customHeight="1" x14ac:dyDescent="0.2">
      <c r="L75" s="13"/>
    </row>
    <row r="76" spans="12:12" ht="15" customHeight="1" x14ac:dyDescent="0.2">
      <c r="L76" s="13"/>
    </row>
    <row r="77" spans="12:12" ht="15" customHeight="1" x14ac:dyDescent="0.2">
      <c r="L77" s="13"/>
    </row>
    <row r="78" spans="12:12" ht="15" customHeight="1" x14ac:dyDescent="0.2">
      <c r="L78" s="13"/>
    </row>
    <row r="79" spans="12:12" ht="15" customHeight="1" x14ac:dyDescent="0.2">
      <c r="L79" s="13"/>
    </row>
    <row r="80" spans="12:12" ht="15" customHeight="1" x14ac:dyDescent="0.2">
      <c r="L80" s="13"/>
    </row>
    <row r="81" spans="12:12" ht="15" customHeight="1" x14ac:dyDescent="0.2">
      <c r="L81" s="13"/>
    </row>
    <row r="82" spans="12:12" ht="15" customHeight="1" x14ac:dyDescent="0.2">
      <c r="L82" s="13"/>
    </row>
    <row r="83" spans="12:12" ht="15" customHeight="1" x14ac:dyDescent="0.2">
      <c r="L83" s="13"/>
    </row>
    <row r="84" spans="12:12" ht="15" customHeight="1" x14ac:dyDescent="0.2">
      <c r="L84" s="13"/>
    </row>
    <row r="85" spans="12:12" ht="15" customHeight="1" x14ac:dyDescent="0.2">
      <c r="L85" s="13"/>
    </row>
    <row r="86" spans="12:12" ht="15" customHeight="1" x14ac:dyDescent="0.2">
      <c r="L86" s="13"/>
    </row>
    <row r="87" spans="12:12" ht="15" customHeight="1" x14ac:dyDescent="0.2">
      <c r="L87" s="13"/>
    </row>
    <row r="88" spans="12:12" ht="15" customHeight="1" x14ac:dyDescent="0.2">
      <c r="L88" s="13"/>
    </row>
    <row r="89" spans="12:12" ht="15" customHeight="1" x14ac:dyDescent="0.2">
      <c r="L89" s="13"/>
    </row>
    <row r="90" spans="12:12" ht="15" customHeight="1" x14ac:dyDescent="0.2">
      <c r="L90" s="13"/>
    </row>
    <row r="91" spans="12:12" ht="15" customHeight="1" x14ac:dyDescent="0.2">
      <c r="L91" s="13"/>
    </row>
    <row r="92" spans="12:12" ht="15" customHeight="1" x14ac:dyDescent="0.2">
      <c r="L92" s="13"/>
    </row>
    <row r="93" spans="12:12" ht="15" customHeight="1" x14ac:dyDescent="0.2">
      <c r="L93" s="13"/>
    </row>
    <row r="94" spans="12:12" ht="15" customHeight="1" x14ac:dyDescent="0.2">
      <c r="L94" s="13"/>
    </row>
    <row r="95" spans="12:12" ht="15" customHeight="1" x14ac:dyDescent="0.2">
      <c r="L95" s="13"/>
    </row>
  </sheetData>
  <mergeCells count="42">
    <mergeCell ref="C11:F11"/>
    <mergeCell ref="J13:J19"/>
    <mergeCell ref="H13:H19"/>
    <mergeCell ref="F13:F19"/>
    <mergeCell ref="G13:G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AF91"/>
  <sheetViews>
    <sheetView showGridLines="0" topLeftCell="A31" zoomScale="75" workbookViewId="0">
      <selection sqref="A1:E5"/>
    </sheetView>
  </sheetViews>
  <sheetFormatPr defaultColWidth="4.21875" defaultRowHeight="15" customHeight="1" x14ac:dyDescent="0.2"/>
  <cols>
    <col min="1" max="1" width="9" style="425" customWidth="1"/>
    <col min="2" max="16384" width="4.21875" style="425"/>
  </cols>
  <sheetData>
    <row r="1" spans="1:32" ht="12.75" customHeight="1" x14ac:dyDescent="0.2">
      <c r="A1" s="1236" t="s">
        <v>689</v>
      </c>
      <c r="B1" s="1237"/>
      <c r="C1" s="1237"/>
      <c r="D1" s="1237"/>
      <c r="E1" s="1238"/>
      <c r="F1" s="1245" t="s">
        <v>675</v>
      </c>
      <c r="G1" s="1237"/>
      <c r="H1" s="1237"/>
      <c r="I1" s="1237"/>
      <c r="J1" s="1237"/>
      <c r="K1" s="1237"/>
      <c r="L1" s="1237"/>
      <c r="M1" s="1237"/>
      <c r="N1" s="1238"/>
      <c r="O1" s="1222" t="s">
        <v>305</v>
      </c>
      <c r="P1" s="1222"/>
      <c r="Q1" s="1222"/>
      <c r="R1" s="1222" t="s">
        <v>306</v>
      </c>
      <c r="S1" s="1222"/>
      <c r="T1" s="1222"/>
      <c r="U1" s="1222" t="s">
        <v>237</v>
      </c>
      <c r="V1" s="1222"/>
      <c r="W1" s="1222"/>
      <c r="X1" s="1222" t="s">
        <v>307</v>
      </c>
      <c r="Y1" s="1222"/>
      <c r="Z1" s="1222"/>
      <c r="AA1" s="1222"/>
      <c r="AB1" s="1222"/>
      <c r="AC1" s="1222"/>
      <c r="AD1" s="1222"/>
      <c r="AE1" s="1222"/>
      <c r="AF1" s="1222"/>
    </row>
    <row r="2" spans="1:32" ht="12.75" customHeight="1" x14ac:dyDescent="0.2">
      <c r="A2" s="1239"/>
      <c r="B2" s="1240"/>
      <c r="C2" s="1240"/>
      <c r="D2" s="1240"/>
      <c r="E2" s="1241"/>
      <c r="F2" s="1239"/>
      <c r="G2" s="1240"/>
      <c r="H2" s="1240"/>
      <c r="I2" s="1240"/>
      <c r="J2" s="1240"/>
      <c r="K2" s="1240"/>
      <c r="L2" s="1240"/>
      <c r="M2" s="1240"/>
      <c r="N2" s="1241"/>
      <c r="O2" s="1222" t="s">
        <v>473</v>
      </c>
      <c r="P2" s="1222"/>
      <c r="Q2" s="1222"/>
      <c r="R2" s="1222" t="s">
        <v>473</v>
      </c>
      <c r="S2" s="1222"/>
      <c r="T2" s="1222"/>
      <c r="U2" s="1222" t="s">
        <v>473</v>
      </c>
      <c r="V2" s="1222"/>
      <c r="W2" s="1222"/>
      <c r="X2" s="1246" t="s">
        <v>308</v>
      </c>
      <c r="Y2" s="1246"/>
      <c r="Z2" s="1246"/>
      <c r="AA2" s="1222" t="s">
        <v>306</v>
      </c>
      <c r="AB2" s="1222"/>
      <c r="AC2" s="1222"/>
      <c r="AD2" s="1222" t="s">
        <v>237</v>
      </c>
      <c r="AE2" s="1222"/>
      <c r="AF2" s="1222"/>
    </row>
    <row r="3" spans="1:32" ht="12.75" customHeight="1" x14ac:dyDescent="0.2">
      <c r="A3" s="1239"/>
      <c r="B3" s="1240"/>
      <c r="C3" s="1240"/>
      <c r="D3" s="1240"/>
      <c r="E3" s="1241"/>
      <c r="F3" s="1239"/>
      <c r="G3" s="1240"/>
      <c r="H3" s="1240"/>
      <c r="I3" s="1240"/>
      <c r="J3" s="1240"/>
      <c r="K3" s="1240"/>
      <c r="L3" s="1240"/>
      <c r="M3" s="1240"/>
      <c r="N3" s="1241"/>
      <c r="O3" s="1235"/>
      <c r="P3" s="1235"/>
      <c r="Q3" s="1235"/>
      <c r="R3" s="1235"/>
      <c r="S3" s="1235"/>
      <c r="T3" s="1235"/>
      <c r="U3" s="1235"/>
      <c r="V3" s="1235"/>
      <c r="W3" s="1235"/>
      <c r="X3" s="1235"/>
      <c r="Y3" s="1235"/>
      <c r="Z3" s="1235"/>
      <c r="AA3" s="1222" t="s">
        <v>238</v>
      </c>
      <c r="AB3" s="1222"/>
      <c r="AC3" s="1222"/>
      <c r="AD3" s="1222" t="s">
        <v>238</v>
      </c>
      <c r="AE3" s="1222"/>
      <c r="AF3" s="1222"/>
    </row>
    <row r="4" spans="1:32" ht="12.75" customHeight="1" x14ac:dyDescent="0.2">
      <c r="A4" s="1239"/>
      <c r="B4" s="1240"/>
      <c r="C4" s="1240"/>
      <c r="D4" s="1240"/>
      <c r="E4" s="1241"/>
      <c r="F4" s="1239"/>
      <c r="G4" s="1240"/>
      <c r="H4" s="1240"/>
      <c r="I4" s="1240"/>
      <c r="J4" s="1240"/>
      <c r="K4" s="1240"/>
      <c r="L4" s="1240"/>
      <c r="M4" s="1240"/>
      <c r="N4" s="1241"/>
      <c r="O4" s="1235"/>
      <c r="P4" s="1235"/>
      <c r="Q4" s="1235"/>
      <c r="R4" s="1235"/>
      <c r="S4" s="1235"/>
      <c r="T4" s="1235"/>
      <c r="U4" s="1235"/>
      <c r="V4" s="1235"/>
      <c r="W4" s="1235"/>
      <c r="X4" s="1235"/>
      <c r="Y4" s="1235"/>
      <c r="Z4" s="1235"/>
      <c r="AA4" s="1223"/>
      <c r="AB4" s="1224"/>
      <c r="AC4" s="1225"/>
      <c r="AD4" s="1223"/>
      <c r="AE4" s="1224"/>
      <c r="AF4" s="1225"/>
    </row>
    <row r="5" spans="1:32" ht="12.75" customHeight="1" x14ac:dyDescent="0.2">
      <c r="A5" s="1242"/>
      <c r="B5" s="1243"/>
      <c r="C5" s="1243"/>
      <c r="D5" s="1243"/>
      <c r="E5" s="1244"/>
      <c r="F5" s="1242"/>
      <c r="G5" s="1243"/>
      <c r="H5" s="1243"/>
      <c r="I5" s="1243"/>
      <c r="J5" s="1243"/>
      <c r="K5" s="1243"/>
      <c r="L5" s="1243"/>
      <c r="M5" s="1243"/>
      <c r="N5" s="1244"/>
      <c r="O5" s="1235"/>
      <c r="P5" s="1235"/>
      <c r="Q5" s="1235"/>
      <c r="R5" s="1235"/>
      <c r="S5" s="1235"/>
      <c r="T5" s="1235"/>
      <c r="U5" s="1235"/>
      <c r="V5" s="1235"/>
      <c r="W5" s="1235"/>
      <c r="X5" s="1235"/>
      <c r="Y5" s="1235"/>
      <c r="Z5" s="1235"/>
      <c r="AA5" s="1226"/>
      <c r="AB5" s="1227"/>
      <c r="AC5" s="1228"/>
      <c r="AD5" s="1226"/>
      <c r="AE5" s="1227"/>
      <c r="AF5" s="1228"/>
    </row>
    <row r="6" spans="1:32" ht="12.75" customHeight="1" x14ac:dyDescent="0.2">
      <c r="A6" s="1222" t="s">
        <v>465</v>
      </c>
      <c r="B6" s="1222"/>
      <c r="C6" s="1222"/>
      <c r="D6" s="1222"/>
      <c r="E6" s="1222"/>
      <c r="F6" s="1222"/>
      <c r="G6" s="1222"/>
      <c r="H6" s="1222" t="s">
        <v>466</v>
      </c>
      <c r="I6" s="1222"/>
      <c r="J6" s="1222"/>
      <c r="K6" s="1222"/>
      <c r="L6" s="1222"/>
      <c r="M6" s="1222"/>
      <c r="N6" s="1222"/>
      <c r="O6" s="1235"/>
      <c r="P6" s="1235"/>
      <c r="Q6" s="1235"/>
      <c r="R6" s="1235"/>
      <c r="S6" s="1235"/>
      <c r="T6" s="1235"/>
      <c r="U6" s="1235"/>
      <c r="V6" s="1235"/>
      <c r="W6" s="1235"/>
      <c r="X6" s="1235"/>
      <c r="Y6" s="1235"/>
      <c r="Z6" s="1235"/>
      <c r="AA6" s="1226"/>
      <c r="AB6" s="1227"/>
      <c r="AC6" s="1228"/>
      <c r="AD6" s="1226"/>
      <c r="AE6" s="1227"/>
      <c r="AF6" s="1228"/>
    </row>
    <row r="7" spans="1:32" ht="15" customHeight="1" x14ac:dyDescent="0.2">
      <c r="A7" s="1222"/>
      <c r="B7" s="1222"/>
      <c r="C7" s="1222"/>
      <c r="D7" s="1222"/>
      <c r="E7" s="1222"/>
      <c r="F7" s="1222"/>
      <c r="G7" s="1222"/>
      <c r="H7" s="1222"/>
      <c r="I7" s="1222"/>
      <c r="J7" s="1222"/>
      <c r="K7" s="1222"/>
      <c r="L7" s="1222"/>
      <c r="M7" s="1222"/>
      <c r="N7" s="1222"/>
      <c r="O7" s="1235"/>
      <c r="P7" s="1235"/>
      <c r="Q7" s="1235"/>
      <c r="R7" s="1235"/>
      <c r="S7" s="1235"/>
      <c r="T7" s="1235"/>
      <c r="U7" s="1235"/>
      <c r="V7" s="1235"/>
      <c r="W7" s="1235"/>
      <c r="X7" s="1235"/>
      <c r="Y7" s="1235"/>
      <c r="Z7" s="1235"/>
      <c r="AA7" s="1229"/>
      <c r="AB7" s="1230"/>
      <c r="AC7" s="1231"/>
      <c r="AD7" s="1229"/>
      <c r="AE7" s="1230"/>
      <c r="AF7" s="1231"/>
    </row>
    <row r="8" spans="1:32"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676</v>
      </c>
      <c r="V8" s="261"/>
      <c r="W8" s="779"/>
      <c r="X8" s="780"/>
      <c r="Y8" s="781"/>
      <c r="Z8" s="782" t="s">
        <v>468</v>
      </c>
      <c r="AA8" s="783"/>
      <c r="AB8" s="784"/>
      <c r="AC8" s="780"/>
      <c r="AD8" s="781"/>
      <c r="AE8" s="782" t="s">
        <v>469</v>
      </c>
      <c r="AF8" s="783"/>
    </row>
    <row r="9" spans="1:32"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677</v>
      </c>
      <c r="V9" s="264"/>
      <c r="W9" s="773"/>
      <c r="X9" s="774"/>
      <c r="Y9" s="775"/>
      <c r="Z9" s="776" t="s">
        <v>471</v>
      </c>
      <c r="AA9" s="775"/>
      <c r="AB9" s="776"/>
      <c r="AC9" s="774"/>
      <c r="AD9" s="775"/>
      <c r="AE9" s="777"/>
      <c r="AF9" s="778"/>
    </row>
    <row r="10" spans="1:32" s="262" customFormat="1" ht="15" customHeight="1" x14ac:dyDescent="0.2">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2">
      <c r="A11" s="426" t="s">
        <v>208</v>
      </c>
      <c r="B11" s="427"/>
      <c r="C11" s="1253"/>
      <c r="D11" s="1254"/>
      <c r="E11" s="1254"/>
      <c r="F11" s="1255"/>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2">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2">
      <c r="A13" s="470"/>
      <c r="B13" s="471"/>
      <c r="C13" s="471"/>
      <c r="D13" s="471"/>
      <c r="E13" s="472" t="s">
        <v>233</v>
      </c>
      <c r="F13" s="1247" t="s">
        <v>674</v>
      </c>
      <c r="G13" s="1247" t="s">
        <v>281</v>
      </c>
      <c r="H13" s="1247" t="s">
        <v>678</v>
      </c>
      <c r="I13" s="1247" t="s">
        <v>679</v>
      </c>
      <c r="J13" s="1247" t="s">
        <v>451</v>
      </c>
      <c r="K13" s="1247" t="s">
        <v>114</v>
      </c>
      <c r="L13" s="1247" t="s">
        <v>115</v>
      </c>
      <c r="M13" s="1247" t="s">
        <v>680</v>
      </c>
      <c r="N13" s="1247" t="s">
        <v>274</v>
      </c>
      <c r="O13" s="1250" t="s">
        <v>299</v>
      </c>
      <c r="P13" s="1232" t="s">
        <v>300</v>
      </c>
      <c r="R13" s="434"/>
      <c r="S13" s="429"/>
      <c r="T13" s="429"/>
      <c r="U13" s="429"/>
      <c r="V13" s="429"/>
      <c r="W13" s="429"/>
      <c r="X13" s="429"/>
      <c r="Y13" s="429"/>
      <c r="Z13" s="429"/>
      <c r="AA13" s="429"/>
      <c r="AB13" s="429"/>
      <c r="AC13" s="429"/>
      <c r="AD13" s="429"/>
      <c r="AE13" s="429"/>
      <c r="AF13" s="435"/>
    </row>
    <row r="14" spans="1:32" ht="15" customHeight="1" x14ac:dyDescent="0.2">
      <c r="A14" s="473"/>
      <c r="B14" s="474"/>
      <c r="C14" s="474"/>
      <c r="D14" s="474"/>
      <c r="E14" s="475"/>
      <c r="F14" s="1248"/>
      <c r="G14" s="1248"/>
      <c r="H14" s="1248"/>
      <c r="I14" s="1248"/>
      <c r="J14" s="1248"/>
      <c r="K14" s="1248"/>
      <c r="L14" s="1248"/>
      <c r="M14" s="1248"/>
      <c r="N14" s="1248"/>
      <c r="O14" s="1251"/>
      <c r="P14" s="1233"/>
      <c r="R14" s="442"/>
      <c r="S14" s="428"/>
      <c r="T14" s="428"/>
      <c r="U14" s="428"/>
      <c r="V14" s="428"/>
      <c r="W14" s="428"/>
      <c r="X14" s="428"/>
      <c r="Y14" s="428"/>
      <c r="Z14" s="428"/>
      <c r="AA14" s="428"/>
      <c r="AB14" s="428"/>
      <c r="AC14" s="428"/>
      <c r="AD14" s="428"/>
      <c r="AE14" s="428"/>
      <c r="AF14" s="443"/>
    </row>
    <row r="15" spans="1:32" ht="15" customHeight="1" x14ac:dyDescent="0.2">
      <c r="A15" s="473"/>
      <c r="B15" s="474"/>
      <c r="C15" s="474"/>
      <c r="D15" s="474"/>
      <c r="E15" s="475"/>
      <c r="F15" s="1248"/>
      <c r="G15" s="1248"/>
      <c r="H15" s="1248"/>
      <c r="I15" s="1248"/>
      <c r="J15" s="1248"/>
      <c r="K15" s="1248"/>
      <c r="L15" s="1248"/>
      <c r="M15" s="1248"/>
      <c r="N15" s="1248"/>
      <c r="O15" s="1251"/>
      <c r="P15" s="1233"/>
      <c r="R15" s="442"/>
      <c r="S15" s="428"/>
      <c r="T15" s="428"/>
      <c r="U15" s="428"/>
      <c r="V15" s="428"/>
      <c r="W15" s="428"/>
      <c r="X15" s="428"/>
      <c r="Y15" s="428"/>
      <c r="Z15" s="428"/>
      <c r="AA15" s="428"/>
      <c r="AB15" s="428"/>
      <c r="AC15" s="428"/>
      <c r="AD15" s="428"/>
      <c r="AE15" s="428"/>
      <c r="AF15" s="443"/>
    </row>
    <row r="16" spans="1:32" ht="15" customHeight="1" x14ac:dyDescent="0.2">
      <c r="A16" s="473"/>
      <c r="B16" s="474"/>
      <c r="C16" s="474"/>
      <c r="D16" s="474"/>
      <c r="E16" s="475"/>
      <c r="F16" s="1248"/>
      <c r="G16" s="1248"/>
      <c r="H16" s="1248"/>
      <c r="I16" s="1248"/>
      <c r="J16" s="1248"/>
      <c r="K16" s="1248"/>
      <c r="L16" s="1248"/>
      <c r="M16" s="1248"/>
      <c r="N16" s="1248"/>
      <c r="O16" s="1251"/>
      <c r="P16" s="1233"/>
      <c r="R16" s="442"/>
      <c r="S16" s="428"/>
      <c r="T16" s="428"/>
      <c r="U16" s="428"/>
      <c r="V16" s="428"/>
      <c r="W16" s="428"/>
      <c r="X16" s="428"/>
      <c r="Y16" s="428"/>
      <c r="Z16" s="428"/>
      <c r="AA16" s="428"/>
      <c r="AB16" s="428"/>
      <c r="AC16" s="428"/>
      <c r="AD16" s="428"/>
      <c r="AE16" s="428"/>
      <c r="AF16" s="443"/>
    </row>
    <row r="17" spans="1:32" ht="15" customHeight="1" x14ac:dyDescent="0.2">
      <c r="A17" s="473"/>
      <c r="B17" s="474"/>
      <c r="C17" s="474"/>
      <c r="D17" s="474"/>
      <c r="E17" s="475"/>
      <c r="F17" s="1248"/>
      <c r="G17" s="1248"/>
      <c r="H17" s="1248"/>
      <c r="I17" s="1248"/>
      <c r="J17" s="1248"/>
      <c r="K17" s="1248"/>
      <c r="L17" s="1248"/>
      <c r="M17" s="1248"/>
      <c r="N17" s="1248"/>
      <c r="O17" s="1251"/>
      <c r="P17" s="1233"/>
      <c r="R17" s="442"/>
      <c r="S17" s="428"/>
      <c r="T17" s="428"/>
      <c r="U17" s="428"/>
      <c r="V17" s="428"/>
      <c r="W17" s="428"/>
      <c r="X17" s="428"/>
      <c r="Y17" s="428"/>
      <c r="Z17" s="428"/>
      <c r="AA17" s="428"/>
      <c r="AB17" s="428"/>
      <c r="AC17" s="428"/>
      <c r="AD17" s="428"/>
      <c r="AE17" s="428"/>
      <c r="AF17" s="443"/>
    </row>
    <row r="18" spans="1:32" ht="15" customHeight="1" x14ac:dyDescent="0.2">
      <c r="A18" s="473"/>
      <c r="B18" s="474"/>
      <c r="C18" s="474"/>
      <c r="D18" s="474"/>
      <c r="E18" s="475"/>
      <c r="F18" s="1248"/>
      <c r="G18" s="1248"/>
      <c r="H18" s="1248"/>
      <c r="I18" s="1248"/>
      <c r="J18" s="1248"/>
      <c r="K18" s="1248"/>
      <c r="L18" s="1248"/>
      <c r="M18" s="1248"/>
      <c r="N18" s="1248"/>
      <c r="O18" s="1251"/>
      <c r="P18" s="1233"/>
      <c r="R18" s="442"/>
      <c r="S18" s="428"/>
      <c r="T18" s="428"/>
      <c r="U18" s="428"/>
      <c r="V18" s="428"/>
      <c r="W18" s="428"/>
      <c r="X18" s="428"/>
      <c r="Y18" s="428"/>
      <c r="Z18" s="428"/>
      <c r="AA18" s="428"/>
      <c r="AB18" s="428"/>
      <c r="AC18" s="428"/>
      <c r="AD18" s="428"/>
      <c r="AE18" s="428"/>
      <c r="AF18" s="443"/>
    </row>
    <row r="19" spans="1:32" ht="15" customHeight="1" x14ac:dyDescent="0.2">
      <c r="A19" s="476" t="s">
        <v>648</v>
      </c>
      <c r="B19" s="477"/>
      <c r="C19" s="477"/>
      <c r="D19" s="477"/>
      <c r="E19" s="478"/>
      <c r="F19" s="1249"/>
      <c r="G19" s="1249"/>
      <c r="H19" s="1249"/>
      <c r="I19" s="1249"/>
      <c r="J19" s="1249"/>
      <c r="K19" s="1249"/>
      <c r="L19" s="1249"/>
      <c r="M19" s="1249"/>
      <c r="N19" s="1249"/>
      <c r="O19" s="1252"/>
      <c r="P19" s="1234"/>
      <c r="R19" s="442"/>
      <c r="S19" s="428"/>
      <c r="T19" s="428"/>
      <c r="U19" s="428"/>
      <c r="V19" s="428"/>
      <c r="W19" s="428"/>
      <c r="X19" s="428"/>
      <c r="Y19" s="428"/>
      <c r="Z19" s="428"/>
      <c r="AA19" s="428"/>
      <c r="AB19" s="428"/>
      <c r="AC19" s="428"/>
      <c r="AD19" s="428"/>
      <c r="AE19" s="428"/>
      <c r="AF19" s="443"/>
    </row>
    <row r="20" spans="1:32" ht="15" customHeight="1" x14ac:dyDescent="0.2">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2">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2">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2">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2">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2">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2">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2">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5">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2">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2">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2">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2">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2">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2">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2">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2">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2">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2">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2">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2">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2">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2">
      <c r="K42" s="428"/>
      <c r="L42" s="428"/>
      <c r="M42" s="428"/>
    </row>
    <row r="43" spans="1:32" ht="15" customHeight="1" x14ac:dyDescent="0.2">
      <c r="K43" s="428"/>
      <c r="L43" s="428"/>
      <c r="M43" s="428"/>
    </row>
    <row r="44" spans="1:32" ht="15" customHeight="1" x14ac:dyDescent="0.2">
      <c r="K44" s="428"/>
      <c r="L44" s="428"/>
      <c r="M44" s="428"/>
    </row>
    <row r="45" spans="1:32" ht="15" customHeight="1" x14ac:dyDescent="0.2">
      <c r="K45" s="428"/>
      <c r="L45" s="428"/>
      <c r="M45" s="428"/>
    </row>
    <row r="46" spans="1:32" ht="15" customHeight="1" x14ac:dyDescent="0.2">
      <c r="K46" s="428"/>
      <c r="L46" s="428"/>
      <c r="M46" s="428"/>
    </row>
    <row r="47" spans="1:32" ht="15" customHeight="1" x14ac:dyDescent="0.2">
      <c r="K47" s="428"/>
      <c r="L47" s="428"/>
      <c r="M47" s="428"/>
    </row>
    <row r="48" spans="1:32" ht="15" customHeight="1" x14ac:dyDescent="0.2">
      <c r="K48" s="428"/>
      <c r="L48" s="428"/>
      <c r="M48" s="428"/>
    </row>
    <row r="49" spans="11:13" ht="15" customHeight="1" x14ac:dyDescent="0.2">
      <c r="K49" s="428"/>
      <c r="L49" s="428"/>
      <c r="M49" s="428"/>
    </row>
    <row r="50" spans="11:13" ht="15" customHeight="1" x14ac:dyDescent="0.2">
      <c r="K50" s="428"/>
      <c r="L50" s="428"/>
      <c r="M50" s="428"/>
    </row>
    <row r="51" spans="11:13" ht="15" customHeight="1" x14ac:dyDescent="0.2">
      <c r="K51" s="428"/>
      <c r="L51" s="428"/>
      <c r="M51" s="428"/>
    </row>
    <row r="52" spans="11:13" ht="15" customHeight="1" x14ac:dyDescent="0.2">
      <c r="K52" s="428"/>
      <c r="L52" s="428"/>
      <c r="M52" s="428"/>
    </row>
    <row r="53" spans="11:13" ht="15" customHeight="1" x14ac:dyDescent="0.2">
      <c r="K53" s="428"/>
      <c r="L53" s="428"/>
      <c r="M53" s="428"/>
    </row>
    <row r="54" spans="11:13" ht="15" customHeight="1" x14ac:dyDescent="0.2">
      <c r="K54" s="428"/>
      <c r="L54" s="428"/>
      <c r="M54" s="428"/>
    </row>
    <row r="55" spans="11:13" ht="15" customHeight="1" x14ac:dyDescent="0.2">
      <c r="K55" s="428"/>
      <c r="L55" s="428"/>
    </row>
    <row r="56" spans="11:13" ht="15" customHeight="1" x14ac:dyDescent="0.2">
      <c r="K56" s="428"/>
      <c r="L56" s="428"/>
    </row>
    <row r="57" spans="11:13" ht="15" customHeight="1" x14ac:dyDescent="0.2">
      <c r="K57" s="428"/>
      <c r="L57" s="428"/>
    </row>
    <row r="58" spans="11:13" ht="15" customHeight="1" x14ac:dyDescent="0.2">
      <c r="K58" s="428"/>
      <c r="L58" s="428"/>
    </row>
    <row r="59" spans="11:13" ht="15" customHeight="1" x14ac:dyDescent="0.2">
      <c r="K59" s="428"/>
      <c r="L59" s="428"/>
    </row>
    <row r="60" spans="11:13" ht="15" customHeight="1" x14ac:dyDescent="0.2">
      <c r="K60" s="428"/>
      <c r="L60" s="428"/>
    </row>
    <row r="61" spans="11:13" ht="15" customHeight="1" x14ac:dyDescent="0.2">
      <c r="L61" s="428"/>
    </row>
    <row r="62" spans="11:13" ht="15" customHeight="1" x14ac:dyDescent="0.2">
      <c r="L62" s="428"/>
    </row>
    <row r="63" spans="11:13" ht="15" customHeight="1" x14ac:dyDescent="0.2">
      <c r="L63" s="428"/>
    </row>
    <row r="64" spans="11:13" ht="15" customHeight="1" x14ac:dyDescent="0.2">
      <c r="L64" s="428"/>
    </row>
    <row r="65" spans="12:12" ht="15" customHeight="1" x14ac:dyDescent="0.2">
      <c r="L65" s="428"/>
    </row>
    <row r="66" spans="12:12" ht="15" customHeight="1" x14ac:dyDescent="0.2">
      <c r="L66" s="428"/>
    </row>
    <row r="67" spans="12:12" ht="15" customHeight="1" x14ac:dyDescent="0.2">
      <c r="L67" s="428"/>
    </row>
    <row r="68" spans="12:12" ht="15" customHeight="1" x14ac:dyDescent="0.2">
      <c r="L68" s="428"/>
    </row>
    <row r="69" spans="12:12" ht="15" customHeight="1" x14ac:dyDescent="0.2">
      <c r="L69" s="428"/>
    </row>
    <row r="70" spans="12:12" ht="15" customHeight="1" x14ac:dyDescent="0.2">
      <c r="L70" s="428"/>
    </row>
    <row r="71" spans="12:12" ht="15" customHeight="1" x14ac:dyDescent="0.2">
      <c r="L71" s="428"/>
    </row>
    <row r="72" spans="12:12" ht="15" customHeight="1" x14ac:dyDescent="0.2">
      <c r="L72" s="428"/>
    </row>
    <row r="73" spans="12:12" ht="15" customHeight="1" x14ac:dyDescent="0.2">
      <c r="L73" s="428"/>
    </row>
    <row r="74" spans="12:12" ht="15" customHeight="1" x14ac:dyDescent="0.2">
      <c r="L74" s="428"/>
    </row>
    <row r="75" spans="12:12" ht="15" customHeight="1" x14ac:dyDescent="0.2">
      <c r="L75" s="428"/>
    </row>
    <row r="76" spans="12:12" ht="15" customHeight="1" x14ac:dyDescent="0.2">
      <c r="L76" s="428"/>
    </row>
    <row r="77" spans="12:12" ht="15" customHeight="1" x14ac:dyDescent="0.2">
      <c r="L77" s="428"/>
    </row>
    <row r="78" spans="12:12" ht="15" customHeight="1" x14ac:dyDescent="0.2">
      <c r="L78" s="428"/>
    </row>
    <row r="79" spans="12:12" ht="15" customHeight="1" x14ac:dyDescent="0.2">
      <c r="L79" s="428"/>
    </row>
    <row r="80" spans="12:12" ht="15" customHeight="1" x14ac:dyDescent="0.2">
      <c r="L80" s="428"/>
    </row>
    <row r="81" spans="12:12" ht="15" customHeight="1" x14ac:dyDescent="0.2">
      <c r="L81" s="428"/>
    </row>
    <row r="82" spans="12:12" ht="15" customHeight="1" x14ac:dyDescent="0.2">
      <c r="L82" s="428"/>
    </row>
    <row r="83" spans="12:12" ht="15" customHeight="1" x14ac:dyDescent="0.2">
      <c r="L83" s="428"/>
    </row>
    <row r="84" spans="12:12" ht="15" customHeight="1" x14ac:dyDescent="0.2">
      <c r="L84" s="428"/>
    </row>
    <row r="85" spans="12:12" ht="15" customHeight="1" x14ac:dyDescent="0.2">
      <c r="L85" s="428"/>
    </row>
    <row r="86" spans="12:12" ht="15" customHeight="1" x14ac:dyDescent="0.2">
      <c r="L86" s="428"/>
    </row>
    <row r="87" spans="12:12" ht="15" customHeight="1" x14ac:dyDescent="0.2">
      <c r="L87" s="428"/>
    </row>
    <row r="88" spans="12:12" ht="15" customHeight="1" x14ac:dyDescent="0.2">
      <c r="L88" s="428"/>
    </row>
    <row r="89" spans="12:12" ht="15" customHeight="1" x14ac:dyDescent="0.2">
      <c r="L89" s="428"/>
    </row>
    <row r="90" spans="12:12" ht="15" customHeight="1" x14ac:dyDescent="0.2">
      <c r="L90" s="428"/>
    </row>
    <row r="91" spans="12:12" ht="15" customHeight="1" x14ac:dyDescent="0.2">
      <c r="L91" s="428"/>
    </row>
  </sheetData>
  <mergeCells count="48">
    <mergeCell ref="F13:F19"/>
    <mergeCell ref="M13:M19"/>
    <mergeCell ref="O13:O19"/>
    <mergeCell ref="C11:F11"/>
    <mergeCell ref="I13:I19"/>
    <mergeCell ref="J13:J19"/>
    <mergeCell ref="K13:K19"/>
    <mergeCell ref="L13:L19"/>
    <mergeCell ref="H13:H19"/>
    <mergeCell ref="N13:N19"/>
    <mergeCell ref="G13:G19"/>
    <mergeCell ref="AA2:AC2"/>
    <mergeCell ref="X2:Z2"/>
    <mergeCell ref="W8:Y8"/>
    <mergeCell ref="X1:AF1"/>
    <mergeCell ref="R1:T1"/>
    <mergeCell ref="U1:W1"/>
    <mergeCell ref="R2:T2"/>
    <mergeCell ref="AD2:AF2"/>
    <mergeCell ref="AA3:AC3"/>
    <mergeCell ref="X3:Z7"/>
    <mergeCell ref="R3:T7"/>
    <mergeCell ref="U2:W2"/>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E9:AF9"/>
    <mergeCell ref="AD3:AF3"/>
    <mergeCell ref="AB8:AD8"/>
    <mergeCell ref="AA4:AC7"/>
    <mergeCell ref="AD4:AF7"/>
    <mergeCell ref="AE8:AF8"/>
    <mergeCell ref="Z8:AA8"/>
    <mergeCell ref="Z9:AA9"/>
    <mergeCell ref="AB9:AD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AG64"/>
  <sheetViews>
    <sheetView showGridLines="0" topLeftCell="B37" zoomScale="85" zoomScaleNormal="85" workbookViewId="0">
      <selection activeCell="AL16" sqref="AL16"/>
    </sheetView>
  </sheetViews>
  <sheetFormatPr defaultColWidth="4.21875" defaultRowHeight="15" customHeight="1" x14ac:dyDescent="0.2"/>
  <cols>
    <col min="1" max="1" width="9" style="9" customWidth="1"/>
    <col min="2" max="2" width="4.21875" style="9"/>
    <col min="3" max="11" width="4.44140625" style="9" bestFit="1" customWidth="1"/>
    <col min="12" max="12" width="4.21875" style="9"/>
    <col min="13" max="13" width="4.44140625" style="9" bestFit="1" customWidth="1"/>
    <col min="14" max="19" width="4.21875" style="9"/>
    <col min="20" max="20" width="4.44140625" style="9" bestFit="1" customWidth="1"/>
    <col min="21" max="21" width="5" style="9" bestFit="1" customWidth="1"/>
    <col min="22" max="22" width="4.44140625" style="9" bestFit="1" customWidth="1"/>
    <col min="23" max="23" width="4.21875" style="9"/>
    <col min="24" max="24" width="4.44140625" style="9" bestFit="1" customWidth="1"/>
    <col min="25" max="26" width="4.21875" style="9"/>
    <col min="27" max="28" width="4.33203125" style="9" bestFit="1" customWidth="1"/>
    <col min="29" max="29" width="4.21875" style="9"/>
    <col min="30" max="30" width="4.33203125" style="9" bestFit="1" customWidth="1"/>
    <col min="31" max="16384" width="4.21875" style="9"/>
  </cols>
  <sheetData>
    <row r="1" spans="1:33" s="272" customFormat="1" ht="12.75" customHeight="1" x14ac:dyDescent="0.2">
      <c r="A1" s="1312" t="s">
        <v>491</v>
      </c>
      <c r="B1" s="1313"/>
      <c r="C1" s="1313"/>
      <c r="D1" s="1313"/>
      <c r="E1" s="1314"/>
      <c r="F1" s="1312" t="s">
        <v>83</v>
      </c>
      <c r="G1" s="1313"/>
      <c r="H1" s="1313"/>
      <c r="I1" s="1313"/>
      <c r="J1" s="1313"/>
      <c r="K1" s="1313"/>
      <c r="L1" s="1313"/>
      <c r="M1" s="1313"/>
      <c r="N1" s="1314"/>
      <c r="O1" s="1321" t="s">
        <v>305</v>
      </c>
      <c r="P1" s="1321"/>
      <c r="Q1" s="1321"/>
      <c r="R1" s="1321" t="s">
        <v>306</v>
      </c>
      <c r="S1" s="1321"/>
      <c r="T1" s="1321"/>
      <c r="U1" s="1321" t="s">
        <v>237</v>
      </c>
      <c r="V1" s="1321"/>
      <c r="W1" s="1321"/>
      <c r="X1" s="1321" t="s">
        <v>307</v>
      </c>
      <c r="Y1" s="1321"/>
      <c r="Z1" s="1321"/>
      <c r="AA1" s="1321"/>
      <c r="AB1" s="1321"/>
      <c r="AC1" s="1321"/>
      <c r="AD1" s="1321"/>
      <c r="AE1" s="1321"/>
      <c r="AF1" s="1321"/>
      <c r="AG1" s="271"/>
    </row>
    <row r="2" spans="1:33" s="272" customFormat="1" ht="12.75" customHeight="1" x14ac:dyDescent="0.2">
      <c r="A2" s="1315"/>
      <c r="B2" s="1316"/>
      <c r="C2" s="1316"/>
      <c r="D2" s="1316"/>
      <c r="E2" s="1317"/>
      <c r="F2" s="1315"/>
      <c r="G2" s="1316"/>
      <c r="H2" s="1316"/>
      <c r="I2" s="1316"/>
      <c r="J2" s="1316"/>
      <c r="K2" s="1316"/>
      <c r="L2" s="1316"/>
      <c r="M2" s="1316"/>
      <c r="N2" s="1317"/>
      <c r="O2" s="1321" t="s">
        <v>473</v>
      </c>
      <c r="P2" s="1321"/>
      <c r="Q2" s="1321"/>
      <c r="R2" s="1321" t="s">
        <v>473</v>
      </c>
      <c r="S2" s="1321"/>
      <c r="T2" s="1321"/>
      <c r="U2" s="1321" t="s">
        <v>473</v>
      </c>
      <c r="V2" s="1321"/>
      <c r="W2" s="1321"/>
      <c r="X2" s="1327" t="s">
        <v>308</v>
      </c>
      <c r="Y2" s="1327"/>
      <c r="Z2" s="1327"/>
      <c r="AA2" s="1321" t="s">
        <v>306</v>
      </c>
      <c r="AB2" s="1321"/>
      <c r="AC2" s="1321"/>
      <c r="AD2" s="1321" t="s">
        <v>237</v>
      </c>
      <c r="AE2" s="1321"/>
      <c r="AF2" s="1321"/>
      <c r="AG2" s="271"/>
    </row>
    <row r="3" spans="1:33" s="272" customFormat="1" ht="12.75" customHeight="1" x14ac:dyDescent="0.2">
      <c r="A3" s="1315"/>
      <c r="B3" s="1316"/>
      <c r="C3" s="1316"/>
      <c r="D3" s="1316"/>
      <c r="E3" s="1317"/>
      <c r="F3" s="1315"/>
      <c r="G3" s="1316"/>
      <c r="H3" s="1316"/>
      <c r="I3" s="1316"/>
      <c r="J3" s="1316"/>
      <c r="K3" s="1316"/>
      <c r="L3" s="1316"/>
      <c r="M3" s="1316"/>
      <c r="N3" s="1317"/>
      <c r="O3" s="1321"/>
      <c r="P3" s="1321"/>
      <c r="Q3" s="1321"/>
      <c r="R3" s="1321"/>
      <c r="S3" s="1321"/>
      <c r="T3" s="1321"/>
      <c r="U3" s="1321"/>
      <c r="V3" s="1321"/>
      <c r="W3" s="1321"/>
      <c r="X3" s="1321"/>
      <c r="Y3" s="1321"/>
      <c r="Z3" s="1321"/>
      <c r="AA3" s="1321" t="s">
        <v>238</v>
      </c>
      <c r="AB3" s="1321"/>
      <c r="AC3" s="1321"/>
      <c r="AD3" s="1321" t="s">
        <v>238</v>
      </c>
      <c r="AE3" s="1321"/>
      <c r="AF3" s="1321"/>
      <c r="AG3" s="271"/>
    </row>
    <row r="4" spans="1:33" s="272" customFormat="1" ht="12.75" customHeight="1" x14ac:dyDescent="0.2">
      <c r="A4" s="1315"/>
      <c r="B4" s="1316"/>
      <c r="C4" s="1316"/>
      <c r="D4" s="1316"/>
      <c r="E4" s="1317"/>
      <c r="F4" s="1315"/>
      <c r="G4" s="1316"/>
      <c r="H4" s="1316"/>
      <c r="I4" s="1316"/>
      <c r="J4" s="1316"/>
      <c r="K4" s="1316"/>
      <c r="L4" s="1316"/>
      <c r="M4" s="1316"/>
      <c r="N4" s="1317"/>
      <c r="O4" s="1321"/>
      <c r="P4" s="1321"/>
      <c r="Q4" s="1321"/>
      <c r="R4" s="1321"/>
      <c r="S4" s="1321"/>
      <c r="T4" s="1321"/>
      <c r="U4" s="1321"/>
      <c r="V4" s="1321"/>
      <c r="W4" s="1321"/>
      <c r="X4" s="1321"/>
      <c r="Y4" s="1321"/>
      <c r="Z4" s="1321"/>
      <c r="AA4" s="1328"/>
      <c r="AB4" s="1329"/>
      <c r="AC4" s="1330"/>
      <c r="AD4" s="1328"/>
      <c r="AE4" s="1329"/>
      <c r="AF4" s="1330"/>
      <c r="AG4" s="271"/>
    </row>
    <row r="5" spans="1:33" s="272" customFormat="1" ht="12.75" customHeight="1" x14ac:dyDescent="0.2">
      <c r="A5" s="1318"/>
      <c r="B5" s="1319"/>
      <c r="C5" s="1319"/>
      <c r="D5" s="1319"/>
      <c r="E5" s="1320"/>
      <c r="F5" s="1318"/>
      <c r="G5" s="1319"/>
      <c r="H5" s="1319"/>
      <c r="I5" s="1319"/>
      <c r="J5" s="1319"/>
      <c r="K5" s="1319"/>
      <c r="L5" s="1319"/>
      <c r="M5" s="1319"/>
      <c r="N5" s="1320"/>
      <c r="O5" s="1321"/>
      <c r="P5" s="1321"/>
      <c r="Q5" s="1321"/>
      <c r="R5" s="1321"/>
      <c r="S5" s="1321"/>
      <c r="T5" s="1321"/>
      <c r="U5" s="1321"/>
      <c r="V5" s="1321"/>
      <c r="W5" s="1321"/>
      <c r="X5" s="1321"/>
      <c r="Y5" s="1321"/>
      <c r="Z5" s="1321"/>
      <c r="AA5" s="1331"/>
      <c r="AB5" s="1332"/>
      <c r="AC5" s="1333"/>
      <c r="AD5" s="1331"/>
      <c r="AE5" s="1332"/>
      <c r="AF5" s="1333"/>
      <c r="AG5" s="271"/>
    </row>
    <row r="6" spans="1:33" s="272" customFormat="1" ht="15" customHeight="1" x14ac:dyDescent="0.2">
      <c r="A6" s="1321" t="s">
        <v>465</v>
      </c>
      <c r="B6" s="1321"/>
      <c r="C6" s="1321"/>
      <c r="D6" s="1321"/>
      <c r="E6" s="1321"/>
      <c r="F6" s="1321"/>
      <c r="G6" s="1321"/>
      <c r="H6" s="1321" t="s">
        <v>466</v>
      </c>
      <c r="I6" s="1321"/>
      <c r="J6" s="1321"/>
      <c r="K6" s="1321"/>
      <c r="L6" s="1321"/>
      <c r="M6" s="1321"/>
      <c r="N6" s="1321"/>
      <c r="O6" s="1321"/>
      <c r="P6" s="1321"/>
      <c r="Q6" s="1321"/>
      <c r="R6" s="1321"/>
      <c r="S6" s="1321"/>
      <c r="T6" s="1321"/>
      <c r="U6" s="1321"/>
      <c r="V6" s="1321"/>
      <c r="W6" s="1321"/>
      <c r="X6" s="1321"/>
      <c r="Y6" s="1321"/>
      <c r="Z6" s="1321"/>
      <c r="AA6" s="1331"/>
      <c r="AB6" s="1332"/>
      <c r="AC6" s="1333"/>
      <c r="AD6" s="1331"/>
      <c r="AE6" s="1332"/>
      <c r="AF6" s="1333"/>
      <c r="AG6" s="271"/>
    </row>
    <row r="7" spans="1:33" s="272" customFormat="1" ht="15" customHeight="1" x14ac:dyDescent="0.2">
      <c r="A7" s="1321"/>
      <c r="B7" s="1321"/>
      <c r="C7" s="1321"/>
      <c r="D7" s="1321"/>
      <c r="E7" s="1321"/>
      <c r="F7" s="1321"/>
      <c r="G7" s="1321"/>
      <c r="H7" s="1321"/>
      <c r="I7" s="1321"/>
      <c r="J7" s="1321"/>
      <c r="K7" s="1321"/>
      <c r="L7" s="1321"/>
      <c r="M7" s="1321"/>
      <c r="N7" s="1321"/>
      <c r="O7" s="1321"/>
      <c r="P7" s="1321"/>
      <c r="Q7" s="1321"/>
      <c r="R7" s="1321"/>
      <c r="S7" s="1321"/>
      <c r="T7" s="1321"/>
      <c r="U7" s="1321"/>
      <c r="V7" s="1321"/>
      <c r="W7" s="1321"/>
      <c r="X7" s="1321"/>
      <c r="Y7" s="1321"/>
      <c r="Z7" s="1321"/>
      <c r="AA7" s="1334"/>
      <c r="AB7" s="1335"/>
      <c r="AC7" s="1336"/>
      <c r="AD7" s="1334"/>
      <c r="AE7" s="1335"/>
      <c r="AF7" s="1336"/>
      <c r="AG7" s="271"/>
    </row>
    <row r="8" spans="1:33" s="262" customFormat="1" ht="15" customHeight="1" x14ac:dyDescent="0.2">
      <c r="A8" s="762" t="s">
        <v>310</v>
      </c>
      <c r="B8" s="762"/>
      <c r="C8" s="762"/>
      <c r="D8" s="762"/>
      <c r="E8" s="762"/>
      <c r="F8" s="762"/>
      <c r="G8" s="762"/>
      <c r="H8" s="762"/>
      <c r="I8" s="762"/>
      <c r="J8" s="762"/>
      <c r="K8" s="762"/>
      <c r="L8" s="762"/>
      <c r="M8" s="762"/>
      <c r="N8" s="762"/>
      <c r="O8" s="762" t="s">
        <v>139</v>
      </c>
      <c r="P8" s="762"/>
      <c r="Q8" s="762"/>
      <c r="R8" s="762"/>
      <c r="S8" s="762"/>
      <c r="T8" s="762"/>
      <c r="U8" s="260" t="s">
        <v>492</v>
      </c>
      <c r="V8" s="261"/>
      <c r="W8" s="779"/>
      <c r="X8" s="780"/>
      <c r="Y8" s="781"/>
      <c r="Z8" s="782" t="s">
        <v>468</v>
      </c>
      <c r="AA8" s="783"/>
      <c r="AB8" s="784"/>
      <c r="AC8" s="780"/>
      <c r="AD8" s="781"/>
      <c r="AE8" s="782" t="s">
        <v>469</v>
      </c>
      <c r="AF8" s="783"/>
      <c r="AG8" s="273"/>
    </row>
    <row r="9" spans="1:33" s="262" customFormat="1" ht="15" customHeight="1" x14ac:dyDescent="0.2">
      <c r="A9" s="762"/>
      <c r="B9" s="762"/>
      <c r="C9" s="762"/>
      <c r="D9" s="762"/>
      <c r="E9" s="762"/>
      <c r="F9" s="762"/>
      <c r="G9" s="762"/>
      <c r="H9" s="762"/>
      <c r="I9" s="762"/>
      <c r="J9" s="762"/>
      <c r="K9" s="762"/>
      <c r="L9" s="762"/>
      <c r="M9" s="762"/>
      <c r="N9" s="762"/>
      <c r="O9" s="762"/>
      <c r="P9" s="762"/>
      <c r="Q9" s="762"/>
      <c r="R9" s="762"/>
      <c r="S9" s="762"/>
      <c r="T9" s="762"/>
      <c r="U9" s="263" t="s">
        <v>493</v>
      </c>
      <c r="V9" s="264"/>
      <c r="W9" s="773"/>
      <c r="X9" s="774"/>
      <c r="Y9" s="775"/>
      <c r="Z9" s="776" t="s">
        <v>471</v>
      </c>
      <c r="AA9" s="775"/>
      <c r="AB9" s="776"/>
      <c r="AC9" s="774"/>
      <c r="AD9" s="775"/>
      <c r="AE9" s="777"/>
      <c r="AF9" s="778"/>
      <c r="AG9" s="273"/>
    </row>
    <row r="10" spans="1:33" ht="4.5" customHeight="1" x14ac:dyDescent="0.2"/>
    <row r="11" spans="1:33" s="203" customFormat="1" ht="10.5" customHeight="1" x14ac:dyDescent="0.2">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2">
      <c r="A12" s="1304" t="s">
        <v>186</v>
      </c>
      <c r="B12" s="1305"/>
      <c r="C12" s="204" t="s">
        <v>268</v>
      </c>
      <c r="D12" s="204" t="s">
        <v>447</v>
      </c>
      <c r="E12" s="1297" t="s">
        <v>448</v>
      </c>
      <c r="F12" s="1298"/>
      <c r="G12" s="1298"/>
      <c r="H12" s="1298"/>
      <c r="I12" s="1299"/>
      <c r="J12" s="204" t="s">
        <v>449</v>
      </c>
      <c r="K12" s="1297" t="s">
        <v>450</v>
      </c>
      <c r="L12" s="1298"/>
      <c r="M12" s="1298"/>
      <c r="N12" s="1298"/>
      <c r="O12" s="1299"/>
      <c r="P12" s="202"/>
      <c r="Q12" s="201"/>
      <c r="R12" s="1304" t="s">
        <v>186</v>
      </c>
      <c r="S12" s="1305"/>
      <c r="T12" s="204" t="s">
        <v>451</v>
      </c>
      <c r="U12" s="204" t="s">
        <v>452</v>
      </c>
      <c r="V12" s="1297" t="s">
        <v>453</v>
      </c>
      <c r="W12" s="1298"/>
      <c r="X12" s="1298"/>
      <c r="Y12" s="1298"/>
      <c r="Z12" s="1299"/>
      <c r="AA12" s="204" t="s">
        <v>454</v>
      </c>
      <c r="AB12" s="1297" t="s">
        <v>455</v>
      </c>
      <c r="AC12" s="1298"/>
      <c r="AD12" s="1298"/>
      <c r="AE12" s="1298"/>
      <c r="AF12" s="1299"/>
    </row>
    <row r="13" spans="1:33" s="203" customFormat="1" ht="10.5" customHeight="1" thickBot="1" x14ac:dyDescent="0.25">
      <c r="A13" s="1306"/>
      <c r="B13" s="1307"/>
      <c r="C13" s="207" t="s">
        <v>456</v>
      </c>
      <c r="D13" s="207" t="s">
        <v>457</v>
      </c>
      <c r="E13" s="205"/>
      <c r="F13" s="208" t="s">
        <v>458</v>
      </c>
      <c r="G13" s="206"/>
      <c r="H13" s="1300" t="s">
        <v>393</v>
      </c>
      <c r="I13" s="1301"/>
      <c r="J13" s="207" t="s">
        <v>267</v>
      </c>
      <c r="K13" s="209"/>
      <c r="L13" s="211" t="s">
        <v>458</v>
      </c>
      <c r="M13" s="210"/>
      <c r="N13" s="1300" t="s">
        <v>393</v>
      </c>
      <c r="O13" s="1301"/>
      <c r="P13" s="202"/>
      <c r="Q13" s="201"/>
      <c r="R13" s="1306"/>
      <c r="S13" s="1307"/>
      <c r="T13" s="207" t="s">
        <v>456</v>
      </c>
      <c r="U13" s="207" t="s">
        <v>459</v>
      </c>
      <c r="V13" s="205"/>
      <c r="W13" s="208" t="s">
        <v>458</v>
      </c>
      <c r="X13" s="206"/>
      <c r="Y13" s="1300" t="s">
        <v>393</v>
      </c>
      <c r="Z13" s="1301"/>
      <c r="AA13" s="207" t="s">
        <v>460</v>
      </c>
      <c r="AB13" s="209"/>
      <c r="AC13" s="211" t="s">
        <v>458</v>
      </c>
      <c r="AD13" s="210"/>
      <c r="AE13" s="1300" t="s">
        <v>393</v>
      </c>
      <c r="AF13" s="1301"/>
    </row>
    <row r="14" spans="1:33" s="203" customFormat="1" ht="10.5" customHeight="1" thickTop="1" x14ac:dyDescent="0.2">
      <c r="A14" s="212" t="s">
        <v>281</v>
      </c>
      <c r="B14" s="213"/>
      <c r="C14" s="214">
        <v>50</v>
      </c>
      <c r="D14" s="215">
        <v>5</v>
      </c>
      <c r="E14" s="216">
        <v>0.1</v>
      </c>
      <c r="F14" s="217" t="s">
        <v>461</v>
      </c>
      <c r="G14" s="218">
        <v>0.2</v>
      </c>
      <c r="H14" s="1302">
        <f>5/50</f>
        <v>0.1</v>
      </c>
      <c r="I14" s="1303"/>
      <c r="J14" s="214">
        <v>6</v>
      </c>
      <c r="K14" s="216">
        <v>0.1</v>
      </c>
      <c r="L14" s="217" t="s">
        <v>461</v>
      </c>
      <c r="M14" s="218">
        <v>0.5</v>
      </c>
      <c r="N14" s="1302">
        <f t="shared" ref="N14:N20" si="0">J14/C14</f>
        <v>0.12</v>
      </c>
      <c r="O14" s="1303"/>
      <c r="P14" s="202"/>
      <c r="Q14" s="201"/>
      <c r="R14" s="212" t="s">
        <v>462</v>
      </c>
      <c r="S14" s="213"/>
      <c r="T14" s="214">
        <v>5250</v>
      </c>
      <c r="U14" s="214">
        <v>3000</v>
      </c>
      <c r="V14" s="216">
        <v>0.2</v>
      </c>
      <c r="W14" s="217" t="s">
        <v>106</v>
      </c>
      <c r="X14" s="218">
        <v>0.5</v>
      </c>
      <c r="Y14" s="1302">
        <f>U14/T14</f>
        <v>0.5714285714285714</v>
      </c>
      <c r="Z14" s="1303"/>
      <c r="AA14" s="214">
        <v>190</v>
      </c>
      <c r="AB14" s="216">
        <v>0.04</v>
      </c>
      <c r="AC14" s="217" t="s">
        <v>106</v>
      </c>
      <c r="AD14" s="218">
        <v>0.08</v>
      </c>
      <c r="AE14" s="1302">
        <f>AA14/T14</f>
        <v>3.619047619047619E-2</v>
      </c>
      <c r="AF14" s="1303"/>
    </row>
    <row r="15" spans="1:33" s="203" customFormat="1" ht="10.5" customHeight="1" x14ac:dyDescent="0.2">
      <c r="A15" s="219" t="s">
        <v>283</v>
      </c>
      <c r="B15" s="220"/>
      <c r="C15" s="221">
        <v>90</v>
      </c>
      <c r="D15" s="222">
        <v>12</v>
      </c>
      <c r="E15" s="223">
        <v>0.1</v>
      </c>
      <c r="F15" s="224" t="s">
        <v>107</v>
      </c>
      <c r="G15" s="225">
        <v>0.2</v>
      </c>
      <c r="H15" s="1293">
        <f t="shared" ref="H15:H20" si="1">D15/C15</f>
        <v>0.13333333333333333</v>
      </c>
      <c r="I15" s="1294"/>
      <c r="J15" s="221">
        <v>18</v>
      </c>
      <c r="K15" s="223">
        <v>0.15</v>
      </c>
      <c r="L15" s="224" t="s">
        <v>107</v>
      </c>
      <c r="M15" s="225">
        <v>0.5</v>
      </c>
      <c r="N15" s="1293">
        <f t="shared" si="0"/>
        <v>0.2</v>
      </c>
      <c r="O15" s="1294"/>
      <c r="P15" s="202"/>
      <c r="Q15" s="201"/>
      <c r="R15" s="219" t="s">
        <v>288</v>
      </c>
      <c r="S15" s="220"/>
      <c r="T15" s="221">
        <v>4510</v>
      </c>
      <c r="U15" s="221">
        <v>2400</v>
      </c>
      <c r="V15" s="223">
        <v>0.4</v>
      </c>
      <c r="W15" s="224" t="s">
        <v>108</v>
      </c>
      <c r="X15" s="225">
        <v>0.5</v>
      </c>
      <c r="Y15" s="1293">
        <f>U15/T15</f>
        <v>0.53215077605321504</v>
      </c>
      <c r="Z15" s="1294"/>
      <c r="AA15" s="221">
        <v>310</v>
      </c>
      <c r="AB15" s="223">
        <v>0.03</v>
      </c>
      <c r="AC15" s="224" t="s">
        <v>108</v>
      </c>
      <c r="AD15" s="225">
        <v>0.06</v>
      </c>
      <c r="AE15" s="1293">
        <f>AA15/T15</f>
        <v>6.8736141906873618E-2</v>
      </c>
      <c r="AF15" s="1294"/>
    </row>
    <row r="16" spans="1:33" s="203" customFormat="1" ht="10.5" customHeight="1" x14ac:dyDescent="0.2">
      <c r="A16" s="219" t="s">
        <v>253</v>
      </c>
      <c r="B16" s="220"/>
      <c r="C16" s="221">
        <v>200</v>
      </c>
      <c r="D16" s="222">
        <v>36</v>
      </c>
      <c r="E16" s="223">
        <v>0.1</v>
      </c>
      <c r="F16" s="224" t="s">
        <v>109</v>
      </c>
      <c r="G16" s="225">
        <v>0.2</v>
      </c>
      <c r="H16" s="1293">
        <f t="shared" si="1"/>
        <v>0.18</v>
      </c>
      <c r="I16" s="1294"/>
      <c r="J16" s="221">
        <v>32</v>
      </c>
      <c r="K16" s="223">
        <v>0.15</v>
      </c>
      <c r="L16" s="224" t="s">
        <v>109</v>
      </c>
      <c r="M16" s="225">
        <v>0.3</v>
      </c>
      <c r="N16" s="1293">
        <f t="shared" si="0"/>
        <v>0.16</v>
      </c>
      <c r="O16" s="1294"/>
      <c r="P16" s="202"/>
      <c r="Q16" s="201"/>
      <c r="R16" s="219" t="s">
        <v>206</v>
      </c>
      <c r="S16" s="220"/>
      <c r="T16" s="221">
        <v>3500</v>
      </c>
      <c r="U16" s="221">
        <v>1900</v>
      </c>
      <c r="V16" s="223">
        <v>0.4</v>
      </c>
      <c r="W16" s="224" t="s">
        <v>109</v>
      </c>
      <c r="X16" s="225">
        <v>0.5</v>
      </c>
      <c r="Y16" s="1293">
        <f>U16/T16</f>
        <v>0.54285714285714282</v>
      </c>
      <c r="Z16" s="1294"/>
      <c r="AA16" s="221">
        <v>240</v>
      </c>
      <c r="AB16" s="223">
        <v>0.02</v>
      </c>
      <c r="AC16" s="224" t="s">
        <v>109</v>
      </c>
      <c r="AD16" s="225">
        <v>0.05</v>
      </c>
      <c r="AE16" s="1293">
        <f>AA16/T16</f>
        <v>6.8571428571428575E-2</v>
      </c>
      <c r="AF16" s="1294"/>
    </row>
    <row r="17" spans="1:32" s="203" customFormat="1" ht="10.5" customHeight="1" x14ac:dyDescent="0.2">
      <c r="A17" s="219" t="s">
        <v>286</v>
      </c>
      <c r="B17" s="220"/>
      <c r="C17" s="221">
        <v>300</v>
      </c>
      <c r="D17" s="222">
        <v>40</v>
      </c>
      <c r="E17" s="223">
        <v>0.1</v>
      </c>
      <c r="F17" s="224" t="s">
        <v>106</v>
      </c>
      <c r="G17" s="225">
        <v>0.2</v>
      </c>
      <c r="H17" s="1293">
        <f t="shared" si="1"/>
        <v>0.13333333333333333</v>
      </c>
      <c r="I17" s="1294"/>
      <c r="J17" s="221">
        <v>32</v>
      </c>
      <c r="K17" s="223">
        <v>0.15</v>
      </c>
      <c r="L17" s="224" t="s">
        <v>106</v>
      </c>
      <c r="M17" s="225">
        <v>0.3</v>
      </c>
      <c r="N17" s="1293">
        <f t="shared" si="0"/>
        <v>0.10666666666666667</v>
      </c>
      <c r="O17" s="1294"/>
      <c r="P17" s="202"/>
      <c r="Q17" s="201"/>
      <c r="R17" s="226" t="s">
        <v>713</v>
      </c>
      <c r="S17" s="227"/>
      <c r="T17" s="228">
        <v>10000</v>
      </c>
      <c r="U17" s="228">
        <v>12535</v>
      </c>
      <c r="V17" s="230"/>
      <c r="W17" s="231" t="s">
        <v>106</v>
      </c>
      <c r="X17" s="232"/>
      <c r="Y17" s="1256">
        <f>U17/T17</f>
        <v>1.2535000000000001</v>
      </c>
      <c r="Z17" s="1257"/>
      <c r="AA17" s="228">
        <v>10</v>
      </c>
      <c r="AB17" s="230"/>
      <c r="AC17" s="231" t="s">
        <v>106</v>
      </c>
      <c r="AD17" s="232"/>
      <c r="AE17" s="1256">
        <f>AA17/T17</f>
        <v>1E-3</v>
      </c>
      <c r="AF17" s="1257"/>
    </row>
    <row r="18" spans="1:32" s="203" customFormat="1" ht="10.5" customHeight="1" x14ac:dyDescent="0.2">
      <c r="A18" s="219" t="s">
        <v>288</v>
      </c>
      <c r="B18" s="220"/>
      <c r="C18" s="221">
        <v>200</v>
      </c>
      <c r="D18" s="222">
        <v>36</v>
      </c>
      <c r="E18" s="223">
        <v>0.1</v>
      </c>
      <c r="F18" s="224" t="s">
        <v>108</v>
      </c>
      <c r="G18" s="225">
        <v>0.2</v>
      </c>
      <c r="H18" s="1293">
        <f t="shared" si="1"/>
        <v>0.18</v>
      </c>
      <c r="I18" s="1294"/>
      <c r="J18" s="221">
        <v>32</v>
      </c>
      <c r="K18" s="223">
        <v>0.15</v>
      </c>
      <c r="L18" s="224" t="s">
        <v>108</v>
      </c>
      <c r="M18" s="225">
        <v>0.3</v>
      </c>
      <c r="N18" s="1293">
        <f t="shared" si="0"/>
        <v>0.16</v>
      </c>
      <c r="O18" s="1294"/>
      <c r="P18" s="202"/>
      <c r="Q18" s="201"/>
      <c r="T18" s="233" t="s">
        <v>110</v>
      </c>
    </row>
    <row r="19" spans="1:32" s="203" customFormat="1" ht="10.5" customHeight="1" x14ac:dyDescent="0.2">
      <c r="A19" s="219" t="s">
        <v>303</v>
      </c>
      <c r="B19" s="220"/>
      <c r="C19" s="221">
        <v>200</v>
      </c>
      <c r="D19" s="222">
        <v>36</v>
      </c>
      <c r="E19" s="223">
        <v>0.1</v>
      </c>
      <c r="F19" s="224" t="s">
        <v>108</v>
      </c>
      <c r="G19" s="225">
        <v>0.2</v>
      </c>
      <c r="H19" s="1293">
        <f t="shared" si="1"/>
        <v>0.18</v>
      </c>
      <c r="I19" s="1294"/>
      <c r="J19" s="221">
        <v>32</v>
      </c>
      <c r="K19" s="223">
        <v>0.15</v>
      </c>
      <c r="L19" s="224" t="s">
        <v>108</v>
      </c>
      <c r="M19" s="225">
        <v>0.3</v>
      </c>
      <c r="N19" s="1293">
        <f t="shared" si="0"/>
        <v>0.16</v>
      </c>
      <c r="O19" s="1294"/>
      <c r="P19" s="202"/>
      <c r="Q19" s="201"/>
    </row>
    <row r="20" spans="1:32" s="203" customFormat="1" ht="10.5" customHeight="1" x14ac:dyDescent="0.2">
      <c r="A20" s="226" t="s">
        <v>292</v>
      </c>
      <c r="B20" s="227"/>
      <c r="C20" s="228">
        <v>300</v>
      </c>
      <c r="D20" s="229">
        <v>40</v>
      </c>
      <c r="E20" s="230">
        <v>0.1</v>
      </c>
      <c r="F20" s="231" t="s">
        <v>111</v>
      </c>
      <c r="G20" s="232">
        <v>0.2</v>
      </c>
      <c r="H20" s="1256">
        <f t="shared" si="1"/>
        <v>0.13333333333333333</v>
      </c>
      <c r="I20" s="1257"/>
      <c r="J20" s="228">
        <v>18</v>
      </c>
      <c r="K20" s="230">
        <v>0.15</v>
      </c>
      <c r="L20" s="231" t="s">
        <v>111</v>
      </c>
      <c r="M20" s="232">
        <v>0.3</v>
      </c>
      <c r="N20" s="1256">
        <f t="shared" si="0"/>
        <v>0.06</v>
      </c>
      <c r="O20" s="1257"/>
      <c r="P20" s="202"/>
      <c r="Q20" s="201"/>
    </row>
    <row r="21" spans="1:32" s="203" customFormat="1" ht="3" customHeight="1" x14ac:dyDescent="0.2">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2">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277" t="s">
        <v>299</v>
      </c>
      <c r="L23" s="1278"/>
      <c r="M23" s="1258" t="s">
        <v>116</v>
      </c>
      <c r="N23" s="1259"/>
      <c r="O23" s="1260"/>
      <c r="P23" s="238"/>
      <c r="Q23" s="239"/>
      <c r="R23" s="234" t="s">
        <v>381</v>
      </c>
      <c r="S23" s="235"/>
      <c r="T23" s="236" t="s">
        <v>186</v>
      </c>
      <c r="U23" s="1277" t="s">
        <v>451</v>
      </c>
      <c r="V23" s="1278"/>
      <c r="W23" s="1277" t="s">
        <v>288</v>
      </c>
      <c r="X23" s="1278"/>
      <c r="Y23" s="1277" t="s">
        <v>303</v>
      </c>
      <c r="Z23" s="1278"/>
      <c r="AA23" s="1275" t="s">
        <v>299</v>
      </c>
      <c r="AB23" s="1275"/>
      <c r="AC23" s="1258" t="s">
        <v>116</v>
      </c>
      <c r="AD23" s="1259"/>
      <c r="AE23" s="1259"/>
      <c r="AF23" s="1260"/>
    </row>
    <row r="24" spans="1:32" s="203" customFormat="1" ht="10.5" customHeight="1" thickTop="1" x14ac:dyDescent="0.2">
      <c r="A24" s="240" t="s">
        <v>280</v>
      </c>
      <c r="B24" s="241"/>
      <c r="C24" s="242"/>
      <c r="D24" s="243">
        <v>1</v>
      </c>
      <c r="E24" s="243">
        <v>0</v>
      </c>
      <c r="F24" s="243">
        <v>0</v>
      </c>
      <c r="G24" s="243">
        <v>2</v>
      </c>
      <c r="H24" s="243">
        <v>0</v>
      </c>
      <c r="I24" s="243">
        <v>2</v>
      </c>
      <c r="J24" s="243">
        <v>0</v>
      </c>
      <c r="K24" s="1322">
        <f>SUM($D$24:$J$24)</f>
        <v>5</v>
      </c>
      <c r="L24" s="1323"/>
      <c r="M24" s="1324"/>
      <c r="N24" s="1325"/>
      <c r="O24" s="1326"/>
      <c r="P24" s="244"/>
      <c r="Q24" s="245"/>
      <c r="R24" s="240" t="s">
        <v>117</v>
      </c>
      <c r="S24" s="241"/>
      <c r="T24" s="242"/>
      <c r="U24" s="1282">
        <v>0</v>
      </c>
      <c r="V24" s="1283"/>
      <c r="W24" s="1282">
        <v>15</v>
      </c>
      <c r="X24" s="1283"/>
      <c r="Y24" s="1282">
        <v>8</v>
      </c>
      <c r="Z24" s="1283"/>
      <c r="AA24" s="1281">
        <f>SUM($U$24:$Z$24)</f>
        <v>23</v>
      </c>
      <c r="AB24" s="1281"/>
      <c r="AC24" s="1261"/>
      <c r="AD24" s="1262"/>
      <c r="AE24" s="1262"/>
      <c r="AF24" s="1263"/>
    </row>
    <row r="25" spans="1:32" s="203" customFormat="1" ht="10.5" customHeight="1" x14ac:dyDescent="0.2">
      <c r="A25" s="219" t="s">
        <v>282</v>
      </c>
      <c r="B25" s="246"/>
      <c r="C25" s="247"/>
      <c r="D25" s="248">
        <v>1</v>
      </c>
      <c r="E25" s="248">
        <v>1</v>
      </c>
      <c r="F25" s="248">
        <v>0</v>
      </c>
      <c r="G25" s="248">
        <v>0</v>
      </c>
      <c r="H25" s="248">
        <v>1</v>
      </c>
      <c r="I25" s="248">
        <v>0</v>
      </c>
      <c r="J25" s="248">
        <v>1</v>
      </c>
      <c r="K25" s="1295">
        <f>SUM($D$25:$J$25)</f>
        <v>4</v>
      </c>
      <c r="L25" s="1296"/>
      <c r="M25" s="1284"/>
      <c r="N25" s="1285"/>
      <c r="O25" s="1286"/>
      <c r="P25" s="244"/>
      <c r="Q25" s="245"/>
      <c r="R25" s="219" t="s">
        <v>118</v>
      </c>
      <c r="S25" s="246"/>
      <c r="T25" s="247"/>
      <c r="U25" s="1279">
        <v>0</v>
      </c>
      <c r="V25" s="1280"/>
      <c r="W25" s="1279">
        <v>36</v>
      </c>
      <c r="X25" s="1280"/>
      <c r="Y25" s="1279">
        <v>10</v>
      </c>
      <c r="Z25" s="1280"/>
      <c r="AA25" s="1274">
        <f>SUM($U$25:$Z$25)</f>
        <v>46</v>
      </c>
      <c r="AB25" s="1274"/>
      <c r="AC25" s="1264"/>
      <c r="AD25" s="1265"/>
      <c r="AE25" s="1265"/>
      <c r="AF25" s="1266"/>
    </row>
    <row r="26" spans="1:32" s="203" customFormat="1" ht="10.5" customHeight="1" x14ac:dyDescent="0.2">
      <c r="A26" s="219" t="s">
        <v>284</v>
      </c>
      <c r="B26" s="246"/>
      <c r="C26" s="247"/>
      <c r="D26" s="248">
        <v>1</v>
      </c>
      <c r="E26" s="248">
        <v>0</v>
      </c>
      <c r="F26" s="248">
        <v>0</v>
      </c>
      <c r="G26" s="248">
        <v>1</v>
      </c>
      <c r="H26" s="248">
        <v>0</v>
      </c>
      <c r="I26" s="248">
        <v>0</v>
      </c>
      <c r="J26" s="248">
        <v>0</v>
      </c>
      <c r="K26" s="1295">
        <f>SUM($D$26:$J$26)</f>
        <v>2</v>
      </c>
      <c r="L26" s="1296"/>
      <c r="M26" s="1284"/>
      <c r="N26" s="1285"/>
      <c r="O26" s="1286"/>
      <c r="P26" s="244"/>
      <c r="Q26" s="245"/>
      <c r="R26" s="219" t="s">
        <v>427</v>
      </c>
      <c r="S26" s="246"/>
      <c r="T26" s="247"/>
      <c r="U26" s="1279">
        <v>0</v>
      </c>
      <c r="V26" s="1280"/>
      <c r="W26" s="1279">
        <v>10</v>
      </c>
      <c r="X26" s="1280"/>
      <c r="Y26" s="1279">
        <v>3</v>
      </c>
      <c r="Z26" s="1280"/>
      <c r="AA26" s="1274">
        <f>SUM($U$26:$Z$26)</f>
        <v>13</v>
      </c>
      <c r="AB26" s="1274"/>
      <c r="AC26" s="1264"/>
      <c r="AD26" s="1265"/>
      <c r="AE26" s="1265"/>
      <c r="AF26" s="1266"/>
    </row>
    <row r="27" spans="1:32" s="203" customFormat="1" ht="10.5" customHeight="1" x14ac:dyDescent="0.2">
      <c r="A27" s="219" t="s">
        <v>285</v>
      </c>
      <c r="B27" s="246"/>
      <c r="C27" s="247"/>
      <c r="D27" s="248">
        <v>0</v>
      </c>
      <c r="E27" s="248">
        <v>1</v>
      </c>
      <c r="F27" s="248">
        <v>3</v>
      </c>
      <c r="G27" s="248">
        <v>0</v>
      </c>
      <c r="H27" s="248">
        <v>0</v>
      </c>
      <c r="I27" s="248">
        <v>1</v>
      </c>
      <c r="J27" s="248">
        <v>3</v>
      </c>
      <c r="K27" s="1295">
        <f>SUM($D$27:$J$27)</f>
        <v>8</v>
      </c>
      <c r="L27" s="1296"/>
      <c r="M27" s="1284"/>
      <c r="N27" s="1285"/>
      <c r="O27" s="1286"/>
      <c r="P27" s="244"/>
      <c r="Q27" s="245"/>
      <c r="R27" s="219" t="s">
        <v>429</v>
      </c>
      <c r="S27" s="246"/>
      <c r="T27" s="247"/>
      <c r="U27" s="1279">
        <v>0</v>
      </c>
      <c r="V27" s="1280"/>
      <c r="W27" s="1279">
        <v>167</v>
      </c>
      <c r="X27" s="1280"/>
      <c r="Y27" s="1279">
        <v>142</v>
      </c>
      <c r="Z27" s="1280"/>
      <c r="AA27" s="1274">
        <f>SUM($U$27:$Z$27)</f>
        <v>309</v>
      </c>
      <c r="AB27" s="1274"/>
      <c r="AC27" s="1264"/>
      <c r="AD27" s="1265"/>
      <c r="AE27" s="1265"/>
      <c r="AF27" s="1266"/>
    </row>
    <row r="28" spans="1:32" s="203" customFormat="1" ht="10.5" customHeight="1" x14ac:dyDescent="0.2">
      <c r="A28" s="219" t="s">
        <v>287</v>
      </c>
      <c r="B28" s="246"/>
      <c r="C28" s="247"/>
      <c r="D28" s="248">
        <v>1</v>
      </c>
      <c r="E28" s="248">
        <v>2</v>
      </c>
      <c r="F28" s="248">
        <v>0</v>
      </c>
      <c r="G28" s="248">
        <v>0</v>
      </c>
      <c r="H28" s="248">
        <v>1</v>
      </c>
      <c r="I28" s="248">
        <v>0</v>
      </c>
      <c r="J28" s="248">
        <v>0</v>
      </c>
      <c r="K28" s="1295">
        <f>SUM($D$28:$J$28)</f>
        <v>4</v>
      </c>
      <c r="L28" s="1296"/>
      <c r="M28" s="1284"/>
      <c r="N28" s="1285"/>
      <c r="O28" s="1286"/>
      <c r="P28" s="244"/>
      <c r="Q28" s="245"/>
      <c r="R28" s="219" t="s">
        <v>431</v>
      </c>
      <c r="S28" s="246"/>
      <c r="T28" s="247"/>
      <c r="U28" s="1279">
        <v>0</v>
      </c>
      <c r="V28" s="1280"/>
      <c r="W28" s="1279">
        <v>72</v>
      </c>
      <c r="X28" s="1280"/>
      <c r="Y28" s="1279">
        <v>62</v>
      </c>
      <c r="Z28" s="1280"/>
      <c r="AA28" s="1274">
        <f>SUM($U$28:$Z$28)</f>
        <v>134</v>
      </c>
      <c r="AB28" s="1274"/>
      <c r="AC28" s="1264"/>
      <c r="AD28" s="1265"/>
      <c r="AE28" s="1265"/>
      <c r="AF28" s="1266"/>
    </row>
    <row r="29" spans="1:32" s="203" customFormat="1" ht="10.5" customHeight="1" thickBot="1" x14ac:dyDescent="0.25">
      <c r="A29" s="219" t="s">
        <v>289</v>
      </c>
      <c r="B29" s="246"/>
      <c r="C29" s="247"/>
      <c r="D29" s="248">
        <v>0</v>
      </c>
      <c r="E29" s="248">
        <v>0</v>
      </c>
      <c r="F29" s="248">
        <v>1</v>
      </c>
      <c r="G29" s="248">
        <v>0</v>
      </c>
      <c r="H29" s="248">
        <v>0</v>
      </c>
      <c r="I29" s="248">
        <v>0</v>
      </c>
      <c r="J29" s="248">
        <v>1</v>
      </c>
      <c r="K29" s="1295">
        <f>SUM($D$29:$J$29)</f>
        <v>2</v>
      </c>
      <c r="L29" s="1296"/>
      <c r="M29" s="1284"/>
      <c r="N29" s="1285"/>
      <c r="O29" s="1286"/>
      <c r="P29" s="244"/>
      <c r="Q29" s="245"/>
      <c r="R29" s="249" t="s">
        <v>274</v>
      </c>
      <c r="S29" s="250"/>
      <c r="T29" s="251"/>
      <c r="U29" s="1279">
        <v>0</v>
      </c>
      <c r="V29" s="1280"/>
      <c r="W29" s="1279">
        <v>10</v>
      </c>
      <c r="X29" s="1280"/>
      <c r="Y29" s="1279">
        <v>15</v>
      </c>
      <c r="Z29" s="1280"/>
      <c r="AA29" s="1273">
        <f>SUM($U$29:$Z$29)</f>
        <v>25</v>
      </c>
      <c r="AB29" s="1273"/>
      <c r="AC29" s="1267"/>
      <c r="AD29" s="1268"/>
      <c r="AE29" s="1268"/>
      <c r="AF29" s="1269"/>
    </row>
    <row r="30" spans="1:32" s="203" customFormat="1" ht="10.5" customHeight="1" thickTop="1" x14ac:dyDescent="0.2">
      <c r="A30" s="219" t="s">
        <v>291</v>
      </c>
      <c r="B30" s="246"/>
      <c r="C30" s="247"/>
      <c r="D30" s="248">
        <v>1</v>
      </c>
      <c r="E30" s="248">
        <v>0</v>
      </c>
      <c r="F30" s="248">
        <v>0</v>
      </c>
      <c r="G30" s="248">
        <v>0</v>
      </c>
      <c r="H30" s="248">
        <v>3</v>
      </c>
      <c r="I30" s="248">
        <v>0</v>
      </c>
      <c r="J30" s="248">
        <v>0</v>
      </c>
      <c r="K30" s="1295">
        <f>SUM($D$30:$J$30)</f>
        <v>4</v>
      </c>
      <c r="L30" s="1296"/>
      <c r="M30" s="1284"/>
      <c r="N30" s="1285"/>
      <c r="O30" s="1286"/>
      <c r="P30" s="244"/>
      <c r="Q30" s="245"/>
      <c r="R30" s="252" t="s">
        <v>299</v>
      </c>
      <c r="S30" s="253"/>
      <c r="T30" s="254"/>
      <c r="U30" s="1276">
        <f>SUM($U$24:$V$29)</f>
        <v>0</v>
      </c>
      <c r="V30" s="1276"/>
      <c r="W30" s="1276">
        <f>SUM($W$24:$X$29)</f>
        <v>310</v>
      </c>
      <c r="X30" s="1276"/>
      <c r="Y30" s="1276">
        <f>SUM($Y$24:$Z$29)</f>
        <v>240</v>
      </c>
      <c r="Z30" s="1276"/>
      <c r="AA30" s="1276">
        <f>SUM($U$30:$Z$30)</f>
        <v>550</v>
      </c>
      <c r="AB30" s="1276"/>
      <c r="AC30" s="1270"/>
      <c r="AD30" s="1271"/>
      <c r="AE30" s="1271"/>
      <c r="AF30" s="1272"/>
    </row>
    <row r="31" spans="1:32" s="203" customFormat="1" ht="10.5" customHeight="1" x14ac:dyDescent="0.2">
      <c r="A31" s="255" t="s">
        <v>293</v>
      </c>
      <c r="B31" s="256"/>
      <c r="C31" s="247"/>
      <c r="D31" s="248">
        <v>0</v>
      </c>
      <c r="E31" s="248">
        <v>0</v>
      </c>
      <c r="F31" s="248">
        <v>0</v>
      </c>
      <c r="G31" s="248">
        <v>1</v>
      </c>
      <c r="H31" s="248">
        <v>0</v>
      </c>
      <c r="I31" s="248">
        <v>3</v>
      </c>
      <c r="J31" s="248">
        <v>0</v>
      </c>
      <c r="K31" s="1295">
        <f>SUM($D$31:$J$31)</f>
        <v>4</v>
      </c>
      <c r="L31" s="1296"/>
      <c r="M31" s="1284"/>
      <c r="N31" s="1285"/>
      <c r="O31" s="1286"/>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5">
      <c r="A32" s="249" t="s">
        <v>274</v>
      </c>
      <c r="B32" s="250"/>
      <c r="C32" s="251"/>
      <c r="D32" s="257">
        <v>0</v>
      </c>
      <c r="E32" s="257">
        <v>1</v>
      </c>
      <c r="F32" s="257">
        <v>0</v>
      </c>
      <c r="G32" s="257">
        <v>0</v>
      </c>
      <c r="H32" s="257">
        <v>0</v>
      </c>
      <c r="I32" s="257">
        <v>0</v>
      </c>
      <c r="J32" s="257">
        <v>1</v>
      </c>
      <c r="K32" s="1308">
        <f>SUM($D$32:$J$32)</f>
        <v>2</v>
      </c>
      <c r="L32" s="1309"/>
      <c r="M32" s="1287"/>
      <c r="N32" s="1288"/>
      <c r="O32" s="1289"/>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2">
      <c r="A33" s="252" t="s">
        <v>299</v>
      </c>
      <c r="B33" s="253"/>
      <c r="C33" s="254"/>
      <c r="D33" s="258">
        <f>SUM($D$24:$D$32)</f>
        <v>5</v>
      </c>
      <c r="E33" s="258">
        <f>SUM($E$24:$E$32)</f>
        <v>5</v>
      </c>
      <c r="F33" s="258">
        <f>SUM($F$24:$F$32)</f>
        <v>4</v>
      </c>
      <c r="G33" s="258">
        <f>SUM($G$24:$G$32)</f>
        <v>4</v>
      </c>
      <c r="H33" s="258">
        <f>SUM($H$24:$H$32)</f>
        <v>5</v>
      </c>
      <c r="I33" s="258">
        <f>SUM($I$24:$I$32)</f>
        <v>6</v>
      </c>
      <c r="J33" s="258">
        <f>SUM($J$24:$J$32)</f>
        <v>6</v>
      </c>
      <c r="K33" s="1310">
        <f>SUM($D$33:$J$33)</f>
        <v>35</v>
      </c>
      <c r="L33" s="1311"/>
      <c r="M33" s="1290"/>
      <c r="N33" s="1291"/>
      <c r="O33" s="1292"/>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2">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2">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277" t="s">
        <v>299</v>
      </c>
      <c r="L36" s="1278"/>
      <c r="M36" s="1258" t="s">
        <v>116</v>
      </c>
      <c r="N36" s="1259"/>
      <c r="O36" s="1260"/>
      <c r="P36" s="238"/>
      <c r="R36" s="234" t="s">
        <v>381</v>
      </c>
      <c r="S36" s="235"/>
      <c r="T36" s="236" t="s">
        <v>186</v>
      </c>
      <c r="U36" s="1277" t="s">
        <v>451</v>
      </c>
      <c r="V36" s="1278"/>
      <c r="W36" s="1277" t="s">
        <v>288</v>
      </c>
      <c r="X36" s="1278"/>
      <c r="Y36" s="1277" t="s">
        <v>303</v>
      </c>
      <c r="Z36" s="1278"/>
      <c r="AA36" s="1275" t="s">
        <v>299</v>
      </c>
      <c r="AB36" s="1275"/>
      <c r="AC36" s="1258" t="s">
        <v>116</v>
      </c>
      <c r="AD36" s="1259"/>
      <c r="AE36" s="1259"/>
      <c r="AF36" s="1260"/>
    </row>
    <row r="37" spans="1:32" s="203" customFormat="1" ht="10.5" customHeight="1" thickTop="1" x14ac:dyDescent="0.2">
      <c r="A37" s="240" t="s">
        <v>269</v>
      </c>
      <c r="B37" s="241"/>
      <c r="C37" s="242"/>
      <c r="D37" s="243">
        <v>0</v>
      </c>
      <c r="E37" s="243">
        <v>1</v>
      </c>
      <c r="F37" s="243">
        <v>0</v>
      </c>
      <c r="G37" s="243">
        <v>0</v>
      </c>
      <c r="H37" s="243">
        <v>1</v>
      </c>
      <c r="I37" s="243">
        <v>0</v>
      </c>
      <c r="J37" s="243">
        <v>0</v>
      </c>
      <c r="K37" s="1322">
        <f>SUM($D$37:$J$37)</f>
        <v>2</v>
      </c>
      <c r="L37" s="1323"/>
      <c r="M37" s="1324"/>
      <c r="N37" s="1325"/>
      <c r="O37" s="1326"/>
      <c r="P37" s="244"/>
      <c r="Q37" s="201"/>
      <c r="R37" s="240" t="s">
        <v>121</v>
      </c>
      <c r="S37" s="241"/>
      <c r="T37" s="242"/>
      <c r="U37" s="1282">
        <v>0</v>
      </c>
      <c r="V37" s="1283"/>
      <c r="W37" s="1282">
        <v>45</v>
      </c>
      <c r="X37" s="1283"/>
      <c r="Y37" s="1282">
        <v>16</v>
      </c>
      <c r="Z37" s="1283"/>
      <c r="AA37" s="1281">
        <f>SUM($U$37:$Z$37)</f>
        <v>61</v>
      </c>
      <c r="AB37" s="1281"/>
      <c r="AC37" s="1261"/>
      <c r="AD37" s="1262"/>
      <c r="AE37" s="1262"/>
      <c r="AF37" s="1263"/>
    </row>
    <row r="38" spans="1:32" s="203" customFormat="1" ht="10.5" customHeight="1" x14ac:dyDescent="0.2">
      <c r="A38" s="219" t="s">
        <v>271</v>
      </c>
      <c r="B38" s="246"/>
      <c r="C38" s="247"/>
      <c r="D38" s="248">
        <v>1</v>
      </c>
      <c r="E38" s="248">
        <v>0</v>
      </c>
      <c r="F38" s="248">
        <v>3</v>
      </c>
      <c r="G38" s="248">
        <v>1</v>
      </c>
      <c r="H38" s="248">
        <v>0</v>
      </c>
      <c r="I38" s="248">
        <v>1</v>
      </c>
      <c r="J38" s="248">
        <v>0</v>
      </c>
      <c r="K38" s="1295">
        <f>SUM($D$38:$J$38)</f>
        <v>6</v>
      </c>
      <c r="L38" s="1296"/>
      <c r="M38" s="1284"/>
      <c r="N38" s="1285"/>
      <c r="O38" s="1286"/>
      <c r="P38" s="244"/>
      <c r="Q38" s="201"/>
      <c r="R38" s="219" t="s">
        <v>122</v>
      </c>
      <c r="S38" s="246"/>
      <c r="T38" s="247"/>
      <c r="U38" s="1279">
        <v>0</v>
      </c>
      <c r="V38" s="1280"/>
      <c r="W38" s="1279">
        <v>12</v>
      </c>
      <c r="X38" s="1280"/>
      <c r="Y38" s="1279">
        <v>18</v>
      </c>
      <c r="Z38" s="1280"/>
      <c r="AA38" s="1274">
        <f>SUM($U$38:$Z$38)</f>
        <v>30</v>
      </c>
      <c r="AB38" s="1274"/>
      <c r="AC38" s="1264"/>
      <c r="AD38" s="1265"/>
      <c r="AE38" s="1265"/>
      <c r="AF38" s="1266"/>
    </row>
    <row r="39" spans="1:32" s="203" customFormat="1" ht="10.5" customHeight="1" x14ac:dyDescent="0.2">
      <c r="A39" s="219" t="s">
        <v>273</v>
      </c>
      <c r="B39" s="246"/>
      <c r="C39" s="247"/>
      <c r="D39" s="248">
        <v>0</v>
      </c>
      <c r="E39" s="248">
        <v>1</v>
      </c>
      <c r="F39" s="248">
        <v>0</v>
      </c>
      <c r="G39" s="248">
        <v>0</v>
      </c>
      <c r="H39" s="248">
        <v>0</v>
      </c>
      <c r="I39" s="248">
        <v>0</v>
      </c>
      <c r="J39" s="248">
        <v>1</v>
      </c>
      <c r="K39" s="1295">
        <f>SUM($D$39:$J$39)</f>
        <v>2</v>
      </c>
      <c r="L39" s="1296"/>
      <c r="M39" s="1284"/>
      <c r="N39" s="1285"/>
      <c r="O39" s="1286"/>
      <c r="P39" s="244"/>
      <c r="Q39" s="201"/>
      <c r="R39" s="219" t="s">
        <v>123</v>
      </c>
      <c r="S39" s="246"/>
      <c r="T39" s="247"/>
      <c r="U39" s="1279">
        <v>0</v>
      </c>
      <c r="V39" s="1280"/>
      <c r="W39" s="1279">
        <v>19</v>
      </c>
      <c r="X39" s="1280"/>
      <c r="Y39" s="1279">
        <v>14</v>
      </c>
      <c r="Z39" s="1280"/>
      <c r="AA39" s="1274">
        <f>SUM($U$39:$Z$39)</f>
        <v>33</v>
      </c>
      <c r="AB39" s="1274"/>
      <c r="AC39" s="1264"/>
      <c r="AD39" s="1265"/>
      <c r="AE39" s="1265"/>
      <c r="AF39" s="1266"/>
    </row>
    <row r="40" spans="1:32" s="203" customFormat="1" ht="10.5" customHeight="1" x14ac:dyDescent="0.2">
      <c r="A40" s="219" t="s">
        <v>275</v>
      </c>
      <c r="B40" s="246"/>
      <c r="C40" s="247"/>
      <c r="D40" s="248">
        <v>2</v>
      </c>
      <c r="E40" s="248">
        <v>0</v>
      </c>
      <c r="F40" s="248">
        <v>0</v>
      </c>
      <c r="G40" s="248">
        <v>0</v>
      </c>
      <c r="H40" s="248">
        <v>1</v>
      </c>
      <c r="I40" s="248">
        <v>0</v>
      </c>
      <c r="J40" s="248">
        <v>0</v>
      </c>
      <c r="K40" s="1295">
        <f>SUM($D$40:$J$40)</f>
        <v>3</v>
      </c>
      <c r="L40" s="1296"/>
      <c r="M40" s="1284"/>
      <c r="N40" s="1285"/>
      <c r="O40" s="1286"/>
      <c r="P40" s="244"/>
      <c r="Q40" s="201"/>
      <c r="R40" s="219" t="s">
        <v>124</v>
      </c>
      <c r="S40" s="246"/>
      <c r="T40" s="247"/>
      <c r="U40" s="1279">
        <v>0</v>
      </c>
      <c r="V40" s="1280"/>
      <c r="W40" s="1279">
        <v>56</v>
      </c>
      <c r="X40" s="1280"/>
      <c r="Y40" s="1279">
        <v>19</v>
      </c>
      <c r="Z40" s="1280"/>
      <c r="AA40" s="1274">
        <f>SUM($U$40:$Z$40)</f>
        <v>75</v>
      </c>
      <c r="AB40" s="1274"/>
      <c r="AC40" s="1264"/>
      <c r="AD40" s="1265"/>
      <c r="AE40" s="1265"/>
      <c r="AF40" s="1266"/>
    </row>
    <row r="41" spans="1:32" s="203" customFormat="1" ht="10.5" customHeight="1" x14ac:dyDescent="0.2">
      <c r="A41" s="219" t="s">
        <v>276</v>
      </c>
      <c r="B41" s="246"/>
      <c r="C41" s="247"/>
      <c r="D41" s="248">
        <v>0</v>
      </c>
      <c r="E41" s="248">
        <v>3</v>
      </c>
      <c r="F41" s="248">
        <v>1</v>
      </c>
      <c r="G41" s="248">
        <v>1</v>
      </c>
      <c r="H41" s="248">
        <v>0</v>
      </c>
      <c r="I41" s="248">
        <v>1</v>
      </c>
      <c r="J41" s="248">
        <v>0</v>
      </c>
      <c r="K41" s="1295">
        <f>SUM($D$41:$J$41)</f>
        <v>6</v>
      </c>
      <c r="L41" s="1296"/>
      <c r="M41" s="1284"/>
      <c r="N41" s="1285"/>
      <c r="O41" s="1286"/>
      <c r="P41" s="244"/>
      <c r="Q41" s="201"/>
      <c r="R41" s="219" t="s">
        <v>125</v>
      </c>
      <c r="S41" s="246"/>
      <c r="T41" s="247"/>
      <c r="U41" s="1279">
        <v>0</v>
      </c>
      <c r="V41" s="1280"/>
      <c r="W41" s="1279">
        <v>174</v>
      </c>
      <c r="X41" s="1280"/>
      <c r="Y41" s="1279">
        <v>149</v>
      </c>
      <c r="Z41" s="1280"/>
      <c r="AA41" s="1274">
        <f>SUM($U$41:$Z$41)</f>
        <v>323</v>
      </c>
      <c r="AB41" s="1274"/>
      <c r="AC41" s="1264"/>
      <c r="AD41" s="1265"/>
      <c r="AE41" s="1265"/>
      <c r="AF41" s="1266"/>
    </row>
    <row r="42" spans="1:32" s="203" customFormat="1" ht="10.5" customHeight="1" thickBot="1" x14ac:dyDescent="0.25">
      <c r="A42" s="219" t="s">
        <v>277</v>
      </c>
      <c r="B42" s="246"/>
      <c r="C42" s="247"/>
      <c r="D42" s="248">
        <v>0</v>
      </c>
      <c r="E42" s="248">
        <v>0</v>
      </c>
      <c r="F42" s="248">
        <v>0</v>
      </c>
      <c r="G42" s="248">
        <v>0</v>
      </c>
      <c r="H42" s="248">
        <v>0</v>
      </c>
      <c r="I42" s="248">
        <v>0</v>
      </c>
      <c r="J42" s="248">
        <v>1</v>
      </c>
      <c r="K42" s="1295">
        <f>SUM($D$42:$J$42)</f>
        <v>1</v>
      </c>
      <c r="L42" s="1296"/>
      <c r="M42" s="1284"/>
      <c r="N42" s="1285"/>
      <c r="O42" s="1286"/>
      <c r="P42" s="244"/>
      <c r="Q42" s="201"/>
      <c r="R42" s="249" t="s">
        <v>274</v>
      </c>
      <c r="S42" s="250"/>
      <c r="T42" s="251"/>
      <c r="U42" s="1279">
        <v>0</v>
      </c>
      <c r="V42" s="1280"/>
      <c r="W42" s="1279">
        <v>4</v>
      </c>
      <c r="X42" s="1280"/>
      <c r="Y42" s="1279">
        <v>24</v>
      </c>
      <c r="Z42" s="1280"/>
      <c r="AA42" s="1273">
        <f>SUM($U$42:$Z$42)</f>
        <v>28</v>
      </c>
      <c r="AB42" s="1273"/>
      <c r="AC42" s="1267"/>
      <c r="AD42" s="1268"/>
      <c r="AE42" s="1268"/>
      <c r="AF42" s="1269"/>
    </row>
    <row r="43" spans="1:32" s="203" customFormat="1" ht="10.5" customHeight="1" thickTop="1" x14ac:dyDescent="0.2">
      <c r="A43" s="219" t="s">
        <v>278</v>
      </c>
      <c r="B43" s="246"/>
      <c r="C43" s="247"/>
      <c r="D43" s="248">
        <v>1</v>
      </c>
      <c r="E43" s="248">
        <v>0</v>
      </c>
      <c r="F43" s="248">
        <v>1</v>
      </c>
      <c r="G43" s="248">
        <v>0</v>
      </c>
      <c r="H43" s="248">
        <v>0</v>
      </c>
      <c r="I43" s="248">
        <v>0</v>
      </c>
      <c r="J43" s="248">
        <v>0</v>
      </c>
      <c r="K43" s="1295">
        <f>SUM($D$43:$J$43)</f>
        <v>2</v>
      </c>
      <c r="L43" s="1296"/>
      <c r="M43" s="1284"/>
      <c r="N43" s="1285"/>
      <c r="O43" s="1286"/>
      <c r="P43" s="244"/>
      <c r="R43" s="252" t="s">
        <v>299</v>
      </c>
      <c r="S43" s="253"/>
      <c r="T43" s="254"/>
      <c r="U43" s="1276">
        <f>SUM($U$37:$V$42)</f>
        <v>0</v>
      </c>
      <c r="V43" s="1276"/>
      <c r="W43" s="1276">
        <f>SUM($W$37:$X$42)</f>
        <v>310</v>
      </c>
      <c r="X43" s="1276"/>
      <c r="Y43" s="1276">
        <f>SUM($Y$37:$Z$42)</f>
        <v>240</v>
      </c>
      <c r="Z43" s="1276"/>
      <c r="AA43" s="1276">
        <f>SUM($U$43:$Z$43)</f>
        <v>550</v>
      </c>
      <c r="AB43" s="1276"/>
      <c r="AC43" s="1270"/>
      <c r="AD43" s="1271"/>
      <c r="AE43" s="1271"/>
      <c r="AF43" s="1272"/>
    </row>
    <row r="44" spans="1:32" s="203" customFormat="1" ht="10.5" customHeight="1" x14ac:dyDescent="0.2">
      <c r="A44" s="255" t="s">
        <v>279</v>
      </c>
      <c r="B44" s="256"/>
      <c r="C44" s="247"/>
      <c r="D44" s="248">
        <v>0</v>
      </c>
      <c r="E44" s="248">
        <v>0</v>
      </c>
      <c r="F44" s="248">
        <v>0</v>
      </c>
      <c r="G44" s="248">
        <v>1</v>
      </c>
      <c r="H44" s="248">
        <v>1</v>
      </c>
      <c r="I44" s="248">
        <v>0</v>
      </c>
      <c r="J44" s="248">
        <v>1</v>
      </c>
      <c r="K44" s="1295">
        <f>SUM($D$44:$J$44)</f>
        <v>3</v>
      </c>
      <c r="L44" s="1296"/>
      <c r="M44" s="1284"/>
      <c r="N44" s="1285"/>
      <c r="O44" s="1286"/>
      <c r="P44" s="244"/>
    </row>
    <row r="45" spans="1:32" s="203" customFormat="1" ht="10.5" customHeight="1" thickBot="1" x14ac:dyDescent="0.25">
      <c r="A45" s="249" t="s">
        <v>274</v>
      </c>
      <c r="B45" s="250"/>
      <c r="C45" s="251"/>
      <c r="D45" s="257">
        <v>0</v>
      </c>
      <c r="E45" s="257">
        <v>1</v>
      </c>
      <c r="F45" s="257">
        <v>0</v>
      </c>
      <c r="G45" s="257">
        <v>0</v>
      </c>
      <c r="H45" s="257">
        <v>0</v>
      </c>
      <c r="I45" s="257">
        <v>0</v>
      </c>
      <c r="J45" s="257">
        <v>0</v>
      </c>
      <c r="K45" s="1308">
        <f>SUM($D$45:$J$45)</f>
        <v>1</v>
      </c>
      <c r="L45" s="1309"/>
      <c r="M45" s="1287"/>
      <c r="N45" s="1288"/>
      <c r="O45" s="1289"/>
      <c r="P45" s="244"/>
    </row>
    <row r="46" spans="1:32" s="203" customFormat="1" ht="10.5" customHeight="1" thickTop="1" x14ac:dyDescent="0.2">
      <c r="A46" s="252" t="s">
        <v>299</v>
      </c>
      <c r="B46" s="253"/>
      <c r="C46" s="254"/>
      <c r="D46" s="258">
        <f>SUM($D$37:$D$45)</f>
        <v>4</v>
      </c>
      <c r="E46" s="258">
        <f>SUM($E$37:$E$45)</f>
        <v>6</v>
      </c>
      <c r="F46" s="258">
        <f>SUM($F$37:$F$45)</f>
        <v>5</v>
      </c>
      <c r="G46" s="258">
        <f>SUM($G$37:$G$45)</f>
        <v>3</v>
      </c>
      <c r="H46" s="258">
        <f>SUM($H$37:$H$45)</f>
        <v>3</v>
      </c>
      <c r="I46" s="258">
        <f>SUM($I$37:$I$45)</f>
        <v>2</v>
      </c>
      <c r="J46" s="258">
        <f>SUM($J$37:$J$45)</f>
        <v>3</v>
      </c>
      <c r="K46" s="1310">
        <f>SUM($D$46:$J$46)</f>
        <v>26</v>
      </c>
      <c r="L46" s="1311"/>
      <c r="M46" s="1290"/>
      <c r="N46" s="1291"/>
      <c r="O46" s="1292"/>
      <c r="P46" s="244"/>
    </row>
    <row r="47" spans="1:32" s="203" customFormat="1" ht="6" customHeight="1" x14ac:dyDescent="0.2">
      <c r="A47" s="201"/>
      <c r="B47" s="201"/>
      <c r="C47" s="201"/>
      <c r="D47" s="201"/>
      <c r="E47" s="201"/>
      <c r="F47" s="201"/>
      <c r="G47" s="201"/>
      <c r="H47" s="201"/>
      <c r="I47" s="201"/>
      <c r="J47" s="201"/>
      <c r="K47" s="201"/>
      <c r="L47" s="201"/>
      <c r="M47" s="201"/>
      <c r="N47" s="201"/>
      <c r="O47" s="201"/>
      <c r="P47" s="202"/>
    </row>
    <row r="48" spans="1:32" s="203" customFormat="1" ht="10.5" customHeight="1" x14ac:dyDescent="0.2">
      <c r="P48" s="202"/>
    </row>
    <row r="49" spans="16:16" s="203" customFormat="1" ht="10.5" customHeight="1" x14ac:dyDescent="0.2">
      <c r="P49" s="202"/>
    </row>
    <row r="50" spans="16:16" s="203" customFormat="1" ht="10.5" customHeight="1" x14ac:dyDescent="0.2">
      <c r="P50" s="202"/>
    </row>
    <row r="51" spans="16:16" s="203" customFormat="1" ht="10.5" customHeight="1" x14ac:dyDescent="0.2">
      <c r="P51" s="202"/>
    </row>
    <row r="52" spans="16:16" s="203" customFormat="1" ht="10.5" customHeight="1" x14ac:dyDescent="0.2">
      <c r="P52" s="202"/>
    </row>
    <row r="53" spans="16:16" s="203" customFormat="1" ht="10.5" customHeight="1" x14ac:dyDescent="0.2">
      <c r="P53" s="202"/>
    </row>
    <row r="54" spans="16:16" s="203" customFormat="1" ht="10.5" customHeight="1" x14ac:dyDescent="0.2">
      <c r="P54" s="202"/>
    </row>
    <row r="55" spans="16:16" s="203" customFormat="1" ht="10.5" customHeight="1" x14ac:dyDescent="0.2">
      <c r="P55" s="202"/>
    </row>
    <row r="56" spans="16:16" s="203" customFormat="1" ht="10.5" customHeight="1" x14ac:dyDescent="0.2">
      <c r="P56" s="202"/>
    </row>
    <row r="57" spans="16:16" s="203" customFormat="1" ht="10.5" customHeight="1" x14ac:dyDescent="0.2">
      <c r="P57" s="202"/>
    </row>
    <row r="58" spans="16:16" s="203" customFormat="1" ht="10.5" customHeight="1" x14ac:dyDescent="0.2">
      <c r="P58" s="202"/>
    </row>
    <row r="59" spans="16:16" s="203" customFormat="1" ht="10.5" customHeight="1" x14ac:dyDescent="0.2">
      <c r="P59" s="202"/>
    </row>
    <row r="60" spans="16:16" s="203" customFormat="1" ht="10.5" customHeight="1" x14ac:dyDescent="0.2">
      <c r="P60" s="202"/>
    </row>
    <row r="61" spans="16:16" s="203" customFormat="1" ht="10.5" customHeight="1" x14ac:dyDescent="0.2">
      <c r="P61" s="202"/>
    </row>
    <row r="62" spans="16:16" s="203" customFormat="1" ht="10.5" customHeight="1" x14ac:dyDescent="0.2">
      <c r="P62" s="202"/>
    </row>
    <row r="63" spans="16:16" s="203" customFormat="1" ht="10.5" customHeight="1" x14ac:dyDescent="0.2">
      <c r="P63" s="202"/>
    </row>
    <row r="64" spans="16:16" ht="6" customHeight="1" x14ac:dyDescent="0.2"/>
  </sheetData>
  <mergeCells count="192">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V12:Z12"/>
    <mergeCell ref="AB12:AF12"/>
    <mergeCell ref="AE13:AF13"/>
    <mergeCell ref="Y13:Z13"/>
    <mergeCell ref="H14:I14"/>
    <mergeCell ref="H15:I15"/>
    <mergeCell ref="A12:B13"/>
    <mergeCell ref="E12:I12"/>
    <mergeCell ref="H13:I13"/>
    <mergeCell ref="N13:O13"/>
    <mergeCell ref="K12:O12"/>
    <mergeCell ref="R12:S13"/>
    <mergeCell ref="H16:I16"/>
    <mergeCell ref="K38:L38"/>
    <mergeCell ref="K26:L26"/>
    <mergeCell ref="H17:I17"/>
    <mergeCell ref="H20:I20"/>
    <mergeCell ref="K27:L27"/>
    <mergeCell ref="K28:L28"/>
    <mergeCell ref="K29:L29"/>
    <mergeCell ref="K23:L23"/>
    <mergeCell ref="K36:L36"/>
    <mergeCell ref="H18:I18"/>
    <mergeCell ref="H19:I19"/>
    <mergeCell ref="K30:L30"/>
    <mergeCell ref="U37:V37"/>
    <mergeCell ref="W37:X37"/>
    <mergeCell ref="M29:O29"/>
    <mergeCell ref="W29:X29"/>
    <mergeCell ref="M32:O32"/>
    <mergeCell ref="M33:O33"/>
    <mergeCell ref="M36:O36"/>
    <mergeCell ref="Y29:Z29"/>
    <mergeCell ref="Y30:Z30"/>
    <mergeCell ref="U30:V30"/>
    <mergeCell ref="Y37:Z37"/>
    <mergeCell ref="M30:O30"/>
    <mergeCell ref="U29:V29"/>
    <mergeCell ref="U27:V27"/>
    <mergeCell ref="W27:X27"/>
    <mergeCell ref="W30:X30"/>
    <mergeCell ref="M27:O27"/>
    <mergeCell ref="M28:O28"/>
    <mergeCell ref="W25:X25"/>
    <mergeCell ref="M26:O26"/>
    <mergeCell ref="W26:X26"/>
    <mergeCell ref="W28:X2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2.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5F2043-444C-499A-AE43-E9C6115E6F30}">
  <ds:schemaRefs>
    <ds:schemaRef ds:uri="http://schemas.openxmlformats.org/package/2006/metadata/core-properties"/>
    <ds:schemaRef ds:uri="http://schemas.microsoft.com/office/infopath/2007/PartnerControls"/>
    <ds:schemaRef ds:uri="http://www.w3.org/XML/1998/namespace"/>
    <ds:schemaRef ds:uri="http://schemas.microsoft.com/office/2006/documentManagement/types"/>
    <ds:schemaRef ds:uri="http://purl.org/dc/elements/1.1/"/>
    <ds:schemaRef ds:uri="http://purl.org/dc/dcmitype/"/>
    <ds:schemaRef ds:uri="http://schemas.microsoft.com/office/2006/metadata/properties"/>
    <ds:schemaRef ds:uri="http://purl.org/dc/terms/"/>
    <ds:schemaRef ds:uri="13831506-a54c-44b6-81ec-db683ac6e1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八代　典久-MSYS</cp:lastModifiedBy>
  <cp:lastPrinted>2017-03-29T01:45:56Z</cp:lastPrinted>
  <dcterms:created xsi:type="dcterms:W3CDTF">2010-03-11T07:22:40Z</dcterms:created>
  <dcterms:modified xsi:type="dcterms:W3CDTF">2019-03-05T12:18:43Z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