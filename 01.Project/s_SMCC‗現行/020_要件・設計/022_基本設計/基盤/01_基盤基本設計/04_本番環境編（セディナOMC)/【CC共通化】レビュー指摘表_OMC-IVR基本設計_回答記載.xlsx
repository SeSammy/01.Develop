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admin\Desktop\cedyna-ivr\12.FD-WAS\"/>
    </mc:Choice>
  </mc:AlternateContent>
  <xr:revisionPtr revIDLastSave="0" documentId="13_ncr:1_{903C8E96-8712-4A81-904E-62D611B1F7C9}" xr6:coauthVersionLast="41" xr6:coauthVersionMax="41" xr10:uidLastSave="{00000000-0000-0000-0000-000000000000}"/>
  <bookViews>
    <workbookView xWindow="57480" yWindow="-120" windowWidth="29040" windowHeight="16440" xr2:uid="{00000000-000D-0000-FFFF-FFFF00000000}"/>
  </bookViews>
  <sheets>
    <sheet name="レビュー指摘表" sheetId="30" r:id="rId1"/>
  </sheets>
  <externalReferences>
    <externalReference r:id="rId2"/>
    <externalReference r:id="rId3"/>
    <externalReference r:id="rId4"/>
  </externalReferences>
  <definedNames>
    <definedName name="_xlnm._FilterDatabase" localSheetId="0" hidden="1">レビュー指摘表!$A$20:$CI$20</definedName>
    <definedName name="d">[1]分類区分内詳細項目!$A$7:$A$9</definedName>
    <definedName name="_xlnm.Print_Titles" localSheetId="0">レビュー指摘表!$19:$20</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2" i="30" l="1"/>
  <c r="A23" i="30" s="1"/>
  <c r="A24" i="30" s="1"/>
  <c r="A25" i="30" s="1"/>
  <c r="A26" i="30" s="1"/>
  <c r="A27" i="30" s="1"/>
  <c r="A28" i="30" s="1"/>
  <c r="A29" i="30" s="1"/>
  <c r="A30" i="30" s="1"/>
  <c r="CE16" i="30" l="1"/>
</calcChain>
</file>

<file path=xl/sharedStrings.xml><?xml version="1.0" encoding="utf-8"?>
<sst xmlns="http://schemas.openxmlformats.org/spreadsheetml/2006/main" count="106" uniqueCount="81">
  <si>
    <t>QLT03-1</t>
    <phoneticPr fontId="22"/>
  </si>
  <si>
    <t>作成日</t>
    <rPh sb="0" eb="2">
      <t>サクセイ</t>
    </rPh>
    <rPh sb="2" eb="3">
      <t>ビ</t>
    </rPh>
    <phoneticPr fontId="22"/>
  </si>
  <si>
    <t>条件付完了（注）</t>
    <rPh sb="0" eb="2">
      <t>ジョウケン</t>
    </rPh>
    <rPh sb="2" eb="3">
      <t>ツキ</t>
    </rPh>
    <rPh sb="3" eb="5">
      <t>カンリョウ</t>
    </rPh>
    <rPh sb="6" eb="7">
      <t>チュウ</t>
    </rPh>
    <phoneticPr fontId="22"/>
  </si>
  <si>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2"/>
  </si>
  <si>
    <t>新規/改定</t>
    <rPh sb="0" eb="2">
      <t>シンキ</t>
    </rPh>
    <rPh sb="3" eb="5">
      <t>カイテイ</t>
    </rPh>
    <phoneticPr fontId="22"/>
  </si>
  <si>
    <t>レビュー日付</t>
    <rPh sb="4" eb="6">
      <t>ヒヅケ</t>
    </rPh>
    <phoneticPr fontId="22"/>
  </si>
  <si>
    <t>検討結果および修正内容</t>
    <rPh sb="0" eb="2">
      <t>ケントウ</t>
    </rPh>
    <rPh sb="2" eb="4">
      <t>ケッカ</t>
    </rPh>
    <rPh sb="7" eb="9">
      <t>シュウセイ</t>
    </rPh>
    <rPh sb="9" eb="11">
      <t>ナイヨウ</t>
    </rPh>
    <phoneticPr fontId="22"/>
  </si>
  <si>
    <t>修正要否</t>
    <rPh sb="0" eb="2">
      <t>シュウセイ</t>
    </rPh>
    <rPh sb="2" eb="4">
      <t>ヨウヒ</t>
    </rPh>
    <phoneticPr fontId="22"/>
  </si>
  <si>
    <t>修正担当者</t>
    <rPh sb="0" eb="2">
      <t>シュウセイ</t>
    </rPh>
    <rPh sb="2" eb="5">
      <t>タントウシャ</t>
    </rPh>
    <phoneticPr fontId="22"/>
  </si>
  <si>
    <t>修正確認者</t>
    <rPh sb="0" eb="2">
      <t>シュウセイ</t>
    </rPh>
    <rPh sb="2" eb="4">
      <t>カクニン</t>
    </rPh>
    <rPh sb="4" eb="5">
      <t>シャ</t>
    </rPh>
    <phoneticPr fontId="22"/>
  </si>
  <si>
    <t>基本設計</t>
  </si>
  <si>
    <t>□</t>
  </si>
  <si>
    <t>対象工程</t>
    <rPh sb="0" eb="2">
      <t>タイショウ</t>
    </rPh>
    <rPh sb="2" eb="4">
      <t>コウテイ</t>
    </rPh>
    <phoneticPr fontId="22"/>
  </si>
  <si>
    <t>サブシステム</t>
    <phoneticPr fontId="22"/>
  </si>
  <si>
    <t>レビュー種別</t>
    <rPh sb="4" eb="6">
      <t>シュベツ</t>
    </rPh>
    <phoneticPr fontId="22"/>
  </si>
  <si>
    <t>レビュー対象成果物</t>
    <rPh sb="4" eb="6">
      <t>タイショウ</t>
    </rPh>
    <rPh sb="6" eb="8">
      <t>セイカ</t>
    </rPh>
    <rPh sb="8" eb="9">
      <t>ブツ</t>
    </rPh>
    <phoneticPr fontId="22"/>
  </si>
  <si>
    <t>レビュー者</t>
    <rPh sb="4" eb="5">
      <t>シャ</t>
    </rPh>
    <phoneticPr fontId="22"/>
  </si>
  <si>
    <t>レビュー結果</t>
    <rPh sb="4" eb="6">
      <t>ケッカ</t>
    </rPh>
    <phoneticPr fontId="22"/>
  </si>
  <si>
    <t>特記事項</t>
    <rPh sb="0" eb="2">
      <t>トッキ</t>
    </rPh>
    <rPh sb="2" eb="4">
      <t>ジコウ</t>
    </rPh>
    <phoneticPr fontId="22"/>
  </si>
  <si>
    <t>完了</t>
    <rPh sb="0" eb="2">
      <t>カンリョウ</t>
    </rPh>
    <phoneticPr fontId="22"/>
  </si>
  <si>
    <t>再レビュー</t>
    <rPh sb="0" eb="1">
      <t>サイ</t>
    </rPh>
    <phoneticPr fontId="22"/>
  </si>
  <si>
    <t>成果物名</t>
    <rPh sb="0" eb="2">
      <t>セイカ</t>
    </rPh>
    <rPh sb="2" eb="3">
      <t>ブツ</t>
    </rPh>
    <rPh sb="3" eb="4">
      <t>メイ</t>
    </rPh>
    <phoneticPr fontId="22"/>
  </si>
  <si>
    <t>設計規模</t>
    <rPh sb="0" eb="2">
      <t>セッケイ</t>
    </rPh>
    <rPh sb="2" eb="4">
      <t>キボ</t>
    </rPh>
    <phoneticPr fontId="22"/>
  </si>
  <si>
    <t>レビュー回数</t>
    <rPh sb="4" eb="6">
      <t>カイスウ</t>
    </rPh>
    <phoneticPr fontId="22"/>
  </si>
  <si>
    <t>参加人数</t>
    <rPh sb="0" eb="2">
      <t>サンカ</t>
    </rPh>
    <rPh sb="2" eb="4">
      <t>ニンズウ</t>
    </rPh>
    <phoneticPr fontId="22"/>
  </si>
  <si>
    <t>レビュー時間</t>
    <rPh sb="4" eb="6">
      <t>ジカン</t>
    </rPh>
    <phoneticPr fontId="22"/>
  </si>
  <si>
    <t>レビュー工数</t>
    <rPh sb="4" eb="6">
      <t>コウスウ</t>
    </rPh>
    <phoneticPr fontId="22"/>
  </si>
  <si>
    <t>No.</t>
    <phoneticPr fontId="22"/>
  </si>
  <si>
    <t>記述箇所</t>
    <rPh sb="0" eb="2">
      <t>キジュツ</t>
    </rPh>
    <rPh sb="2" eb="4">
      <t>カショ</t>
    </rPh>
    <phoneticPr fontId="22"/>
  </si>
  <si>
    <t>指摘事項</t>
    <rPh sb="0" eb="2">
      <t>シテキ</t>
    </rPh>
    <rPh sb="2" eb="4">
      <t>ジコウ</t>
    </rPh>
    <phoneticPr fontId="22"/>
  </si>
  <si>
    <t>指摘者</t>
    <rPh sb="0" eb="2">
      <t>シテキ</t>
    </rPh>
    <rPh sb="2" eb="3">
      <t>シャ</t>
    </rPh>
    <phoneticPr fontId="22"/>
  </si>
  <si>
    <t>発生種別</t>
    <rPh sb="0" eb="2">
      <t>ハッセイ</t>
    </rPh>
    <rPh sb="2" eb="4">
      <t>シュベツ</t>
    </rPh>
    <phoneticPr fontId="22"/>
  </si>
  <si>
    <t>指摘現象</t>
    <rPh sb="0" eb="2">
      <t>シテキ</t>
    </rPh>
    <rPh sb="2" eb="4">
      <t>ゲンショウ</t>
    </rPh>
    <phoneticPr fontId="22"/>
  </si>
  <si>
    <t>重要度</t>
    <rPh sb="0" eb="3">
      <t>ジュウヨウド</t>
    </rPh>
    <phoneticPr fontId="22"/>
  </si>
  <si>
    <t>指摘原因</t>
    <rPh sb="0" eb="2">
      <t>シテキ</t>
    </rPh>
    <rPh sb="2" eb="4">
      <t>ゲンイン</t>
    </rPh>
    <phoneticPr fontId="22"/>
  </si>
  <si>
    <t>混入工程</t>
    <rPh sb="0" eb="2">
      <t>コンニュウ</t>
    </rPh>
    <rPh sb="2" eb="4">
      <t>コウテイ</t>
    </rPh>
    <phoneticPr fontId="22"/>
  </si>
  <si>
    <t>レビュー指摘表</t>
    <rPh sb="4" eb="6">
      <t>シテキ</t>
    </rPh>
    <rPh sb="6" eb="7">
      <t>ヒョウ</t>
    </rPh>
    <phoneticPr fontId="22"/>
  </si>
  <si>
    <t>担当者</t>
    <rPh sb="0" eb="3">
      <t>タントウシャ</t>
    </rPh>
    <phoneticPr fontId="22"/>
  </si>
  <si>
    <t>承認者</t>
    <rPh sb="0" eb="2">
      <t>ショウニン</t>
    </rPh>
    <rPh sb="2" eb="3">
      <t>シャ</t>
    </rPh>
    <phoneticPr fontId="22"/>
  </si>
  <si>
    <t>確認者</t>
    <rPh sb="0" eb="2">
      <t>カクニン</t>
    </rPh>
    <rPh sb="2" eb="3">
      <t>シャ</t>
    </rPh>
    <phoneticPr fontId="22"/>
  </si>
  <si>
    <t>会社名</t>
    <rPh sb="0" eb="2">
      <t>カイシャ</t>
    </rPh>
    <rPh sb="2" eb="3">
      <t>メイ</t>
    </rPh>
    <phoneticPr fontId="22"/>
  </si>
  <si>
    <t>プロジェクト名</t>
    <rPh sb="6" eb="7">
      <t>メイ</t>
    </rPh>
    <phoneticPr fontId="22"/>
  </si>
  <si>
    <t>契約番号</t>
    <rPh sb="0" eb="2">
      <t>ケイヤク</t>
    </rPh>
    <rPh sb="2" eb="4">
      <t>バンゴウ</t>
    </rPh>
    <phoneticPr fontId="22"/>
  </si>
  <si>
    <t>作成者</t>
    <rPh sb="0" eb="3">
      <t>サクセイシャ</t>
    </rPh>
    <phoneticPr fontId="22"/>
  </si>
  <si>
    <t>修正確認日</t>
    <rPh sb="0" eb="2">
      <t>シュウセイ</t>
    </rPh>
    <rPh sb="2" eb="4">
      <t>カクニン</t>
    </rPh>
    <rPh sb="4" eb="5">
      <t>ビ</t>
    </rPh>
    <phoneticPr fontId="22"/>
  </si>
  <si>
    <t>修正日</t>
    <rPh sb="0" eb="2">
      <t>シュウセイ</t>
    </rPh>
    <rPh sb="2" eb="3">
      <t>ビ</t>
    </rPh>
    <phoneticPr fontId="22"/>
  </si>
  <si>
    <t>部署名</t>
    <rPh sb="0" eb="2">
      <t>ブショ</t>
    </rPh>
    <rPh sb="2" eb="3">
      <t>メイ</t>
    </rPh>
    <phoneticPr fontId="22"/>
  </si>
  <si>
    <t>システム名</t>
    <rPh sb="4" eb="5">
      <t>メイ</t>
    </rPh>
    <phoneticPr fontId="22"/>
  </si>
  <si>
    <t xml:space="preserve">20  /  /  </t>
    <phoneticPr fontId="22"/>
  </si>
  <si>
    <t xml:space="preserve">20  /  /  </t>
    <phoneticPr fontId="22"/>
  </si>
  <si>
    <t>委託先欄</t>
    <rPh sb="0" eb="3">
      <t>イタクサキ</t>
    </rPh>
    <rPh sb="3" eb="4">
      <t>ラン</t>
    </rPh>
    <phoneticPr fontId="22"/>
  </si>
  <si>
    <t>成果物ＩＤ</t>
    <rPh sb="0" eb="2">
      <t>セイカ</t>
    </rPh>
    <rPh sb="2" eb="3">
      <t>ブツ</t>
    </rPh>
    <phoneticPr fontId="22"/>
  </si>
  <si>
    <t>【セディナ】WAS構築基本設計書_IVR_OMC版.xlsx</t>
    <phoneticPr fontId="22"/>
  </si>
  <si>
    <t>顧客レビュー</t>
  </si>
  <si>
    <t>2.HWSW構成</t>
    <phoneticPr fontId="22"/>
  </si>
  <si>
    <t>ポートセッション数がＣＦ、ＯＭＣ合計で２００となった認識です。</t>
    <rPh sb="8" eb="9">
      <t>スウ</t>
    </rPh>
    <rPh sb="16" eb="18">
      <t>ゴウケイ</t>
    </rPh>
    <rPh sb="26" eb="28">
      <t>ニンシキ</t>
    </rPh>
    <phoneticPr fontId="22"/>
  </si>
  <si>
    <t>セディナ屋</t>
    <rPh sb="4" eb="5">
      <t>オク</t>
    </rPh>
    <phoneticPr fontId="22"/>
  </si>
  <si>
    <t>3-2.NWセグメントイメージ図</t>
    <phoneticPr fontId="22"/>
  </si>
  <si>
    <t>CFのNW構成図が削除されています。（追記になっていない）</t>
    <rPh sb="5" eb="8">
      <t>コウセイズ</t>
    </rPh>
    <rPh sb="9" eb="11">
      <t>サクジョ</t>
    </rPh>
    <rPh sb="19" eb="21">
      <t>ツイキ</t>
    </rPh>
    <phoneticPr fontId="22"/>
  </si>
  <si>
    <t>戸田のタンデム、業務ＤＢとの直接通信はない認識です。I/Fサーバーを中継する認識です。</t>
    <rPh sb="0" eb="2">
      <t>トダ</t>
    </rPh>
    <rPh sb="8" eb="10">
      <t>ギョウム</t>
    </rPh>
    <rPh sb="14" eb="16">
      <t>チョクセツ</t>
    </rPh>
    <rPh sb="16" eb="18">
      <t>ツウシン</t>
    </rPh>
    <rPh sb="21" eb="23">
      <t>ニンシキ</t>
    </rPh>
    <rPh sb="34" eb="36">
      <t>チュウケイ</t>
    </rPh>
    <rPh sb="38" eb="40">
      <t>ニンシキ</t>
    </rPh>
    <phoneticPr fontId="22"/>
  </si>
  <si>
    <t>戸田にG/Wサーバは、存在しません。
I/Fサーバーになります。</t>
    <rPh sb="0" eb="2">
      <t>トダ</t>
    </rPh>
    <rPh sb="11" eb="13">
      <t>ソンザイ</t>
    </rPh>
    <phoneticPr fontId="22"/>
  </si>
  <si>
    <t>3-3.セグメント利用一覧</t>
    <phoneticPr fontId="22"/>
  </si>
  <si>
    <t>「G/Wサーバを中継してタンデムと」→「I/Fサーバーを中継してタンデム、業務ＤＢサーバーと」</t>
    <rPh sb="28" eb="30">
      <t>チュウケイ</t>
    </rPh>
    <rPh sb="37" eb="39">
      <t>ギョウム</t>
    </rPh>
    <phoneticPr fontId="22"/>
  </si>
  <si>
    <t>4-1-2.設計方針</t>
    <phoneticPr fontId="22"/>
  </si>
  <si>
    <t>「・ドメイン名は現行のドメイン名を踏襲する。」は、OMCは現行がない認識です</t>
    <rPh sb="29" eb="31">
      <t>ゲンコウ</t>
    </rPh>
    <rPh sb="34" eb="36">
      <t>ニンシキ</t>
    </rPh>
    <phoneticPr fontId="22"/>
  </si>
  <si>
    <t>5-2-2.ログ保管</t>
    <phoneticPr fontId="22"/>
  </si>
  <si>
    <t>「IVRデータログ、アプリケーションログ」がCFログと比較して削除されている</t>
    <rPh sb="27" eb="29">
      <t>ヒカク</t>
    </rPh>
    <rPh sb="31" eb="33">
      <t>サクジョ</t>
    </rPh>
    <phoneticPr fontId="22"/>
  </si>
  <si>
    <t>7-4.ユーザ管理</t>
    <phoneticPr fontId="22"/>
  </si>
  <si>
    <t>ミドルウェアの管理ユーザーにMySQLは追加不要でしょうか。</t>
    <rPh sb="7" eb="9">
      <t>カンリ</t>
    </rPh>
    <rPh sb="20" eb="22">
      <t>ツイカ</t>
    </rPh>
    <rPh sb="22" eb="24">
      <t>フヨウ</t>
    </rPh>
    <phoneticPr fontId="22"/>
  </si>
  <si>
    <t>9-2.障害対策方式</t>
    <phoneticPr fontId="22"/>
  </si>
  <si>
    <t>WAS障害発生時の表記がCF、OMCの識別がないので曖昧さがあります。</t>
    <rPh sb="9" eb="11">
      <t>ヒョウキ</t>
    </rPh>
    <rPh sb="19" eb="21">
      <t>シキベツ</t>
    </rPh>
    <rPh sb="26" eb="28">
      <t>アイマイ</t>
    </rPh>
    <phoneticPr fontId="22"/>
  </si>
  <si>
    <t>セッションポートがCF,OMC合計で200となるように修正致しました。</t>
    <rPh sb="15" eb="17">
      <t>ゴウケイ</t>
    </rPh>
    <rPh sb="27" eb="29">
      <t>シュウセイ</t>
    </rPh>
    <rPh sb="29" eb="30">
      <t>イタ</t>
    </rPh>
    <phoneticPr fontId="22"/>
  </si>
  <si>
    <t>CF側のNW構成図を復元致しました。</t>
    <rPh sb="2" eb="3">
      <t>ガワ</t>
    </rPh>
    <rPh sb="6" eb="9">
      <t>コウセイズ</t>
    </rPh>
    <rPh sb="10" eb="12">
      <t>フクゲン</t>
    </rPh>
    <rPh sb="12" eb="13">
      <t>イタ</t>
    </rPh>
    <phoneticPr fontId="22"/>
  </si>
  <si>
    <t>NTT-TX</t>
    <phoneticPr fontId="22"/>
  </si>
  <si>
    <t>I/Fサーバーに修正致しました。</t>
    <rPh sb="8" eb="10">
      <t>シュウセイ</t>
    </rPh>
    <rPh sb="10" eb="11">
      <t>イタ</t>
    </rPh>
    <phoneticPr fontId="22"/>
  </si>
  <si>
    <t>「I/Fサーバーを中継してタンデム、業務ＤＢサーバーと」に修正致しました。</t>
    <rPh sb="29" eb="31">
      <t>シュウセイ</t>
    </rPh>
    <rPh sb="31" eb="32">
      <t>イタ</t>
    </rPh>
    <phoneticPr fontId="22"/>
  </si>
  <si>
    <t>セグメント単位の構成図を表しているため、通信経路の記載はしておりません。</t>
    <rPh sb="5" eb="7">
      <t>タンイ</t>
    </rPh>
    <rPh sb="8" eb="11">
      <t>コウセイズ</t>
    </rPh>
    <rPh sb="12" eb="13">
      <t>アラワ</t>
    </rPh>
    <rPh sb="20" eb="22">
      <t>ツウシン</t>
    </rPh>
    <rPh sb="22" eb="24">
      <t>ケイロ</t>
    </rPh>
    <rPh sb="25" eb="27">
      <t>キサイ</t>
    </rPh>
    <phoneticPr fontId="22"/>
  </si>
  <si>
    <t>現行運用を踏襲して"root"で管理する想定です。
また、MySQLへ接続するのはOMC-IVRサーバのみです。</t>
    <rPh sb="0" eb="2">
      <t>ゲンコウ</t>
    </rPh>
    <rPh sb="2" eb="4">
      <t>ウンヨウ</t>
    </rPh>
    <rPh sb="5" eb="7">
      <t>トウシュウ</t>
    </rPh>
    <rPh sb="16" eb="18">
      <t>カンリ</t>
    </rPh>
    <rPh sb="20" eb="22">
      <t>ソウテイ</t>
    </rPh>
    <rPh sb="35" eb="37">
      <t>セツゾク</t>
    </rPh>
    <phoneticPr fontId="22"/>
  </si>
  <si>
    <t>障害発生がCFかOMCなのか区別致しました。</t>
    <rPh sb="0" eb="2">
      <t>ショウガイ</t>
    </rPh>
    <rPh sb="2" eb="4">
      <t>ハッセイ</t>
    </rPh>
    <rPh sb="14" eb="16">
      <t>クベツ</t>
    </rPh>
    <rPh sb="16" eb="17">
      <t>イタ</t>
    </rPh>
    <phoneticPr fontId="22"/>
  </si>
  <si>
    <t>WAS#3#4に設定しているWeblogicドメイン名に修正致しました。</t>
    <rPh sb="8" eb="10">
      <t>セッテイ</t>
    </rPh>
    <rPh sb="26" eb="27">
      <t>メイ</t>
    </rPh>
    <rPh sb="28" eb="30">
      <t>シュウセイ</t>
    </rPh>
    <rPh sb="30" eb="31">
      <t>イタ</t>
    </rPh>
    <phoneticPr fontId="22"/>
  </si>
  <si>
    <t>アプリ側と調整してOMC-IVRではトレースログにアプリケーションログの内容を踏襲しております。
トレースログの保存方法については、設計書記載誤りのため"AEPの標準ログ出力機能を使用"と修正致します。</t>
    <rPh sb="3" eb="4">
      <t>ガワ</t>
    </rPh>
    <rPh sb="5" eb="7">
      <t>チョウセイ</t>
    </rPh>
    <rPh sb="56" eb="58">
      <t>ホゾン</t>
    </rPh>
    <rPh sb="58" eb="60">
      <t>ホウホウ</t>
    </rPh>
    <rPh sb="94" eb="96">
      <t>シュウセイ</t>
    </rPh>
    <rPh sb="96" eb="97">
      <t>イタ</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</si>
</sst>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quot;回目&quot;"/>
    <numFmt numFmtId="177" formatCode="#&quot;時間&quot;"/>
    <numFmt numFmtId="178" formatCode="#&quot;人&quot;"/>
    <numFmt numFmtId="179" formatCode="#&quot;枚&quot;"/>
    <numFmt numFmtId="180" formatCode="#.#&quot;時間&quot;"/>
  </numFmts>
  <fonts count="25"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sz val="16"/>
      <name val="ＭＳ Ｐゴシック"/>
      <family val="3"/>
      <charset val="128"/>
    </font>
    <font>
      <sz val="11"/>
      <color rgb="FFFF0000"/>
      <name val="ＭＳ Ｐゴシック"/>
      <family val="3"/>
      <charset val="128"/>
    </font>
  </fonts>
  <fills count="27">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2">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23" borderId="3" applyNumberFormat="0" applyFont="0" applyAlignment="0" applyProtection="0">
      <alignment vertical="center"/>
    </xf>
    <xf numFmtId="0" fontId="10" fillId="0" borderId="4" applyNumberFormat="0" applyFill="0" applyAlignment="0" applyProtection="0">
      <alignment vertical="center"/>
    </xf>
    <xf numFmtId="0" fontId="11" fillId="5" borderId="0" applyNumberFormat="0" applyBorder="0" applyAlignment="0" applyProtection="0">
      <alignment vertical="center"/>
    </xf>
    <xf numFmtId="0" fontId="2" fillId="3" borderId="1"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3" borderId="9" applyNumberFormat="0" applyAlignment="0" applyProtection="0">
      <alignment vertical="center"/>
    </xf>
    <xf numFmtId="0" fontId="18" fillId="0" borderId="0" applyNumberFormat="0" applyFill="0" applyBorder="0" applyAlignment="0" applyProtection="0">
      <alignment vertical="center"/>
    </xf>
    <xf numFmtId="6" fontId="8" fillId="0" borderId="0" applyFont="0" applyFill="0" applyBorder="0" applyAlignment="0" applyProtection="0">
      <alignment vertical="center"/>
    </xf>
    <xf numFmtId="0" fontId="19" fillId="8" borderId="1" applyNumberFormat="0" applyAlignment="0" applyProtection="0">
      <alignment vertical="center"/>
    </xf>
    <xf numFmtId="0" fontId="8" fillId="0" borderId="0">
      <alignment vertical="center"/>
    </xf>
    <xf numFmtId="0" fontId="8" fillId="0" borderId="0">
      <alignment vertical="center"/>
    </xf>
    <xf numFmtId="0" fontId="1" fillId="2" borderId="0" applyNumberFormat="0" applyBorder="0" applyAlignment="0" applyProtection="0">
      <alignment vertical="center"/>
    </xf>
    <xf numFmtId="0" fontId="17" fillId="3" borderId="9" applyNumberFormat="0" applyAlignment="0" applyProtection="0">
      <alignment vertical="center"/>
    </xf>
    <xf numFmtId="0" fontId="12"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7"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5" fillId="0" borderId="7" applyNumberFormat="0" applyFill="0" applyAlignment="0" applyProtection="0">
      <alignment vertical="center"/>
    </xf>
    <xf numFmtId="0" fontId="10"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1" fillId="0" borderId="0"/>
    <xf numFmtId="0" fontId="8" fillId="0" borderId="0"/>
    <xf numFmtId="0" fontId="8" fillId="0" borderId="0"/>
    <xf numFmtId="0" fontId="8" fillId="0" borderId="0"/>
    <xf numFmtId="0" fontId="8" fillId="0" borderId="0"/>
    <xf numFmtId="0" fontId="21" fillId="0" borderId="0"/>
    <xf numFmtId="0" fontId="8" fillId="0" borderId="0"/>
    <xf numFmtId="0" fontId="8" fillId="0" borderId="0"/>
  </cellStyleXfs>
  <cellXfs count="129">
    <xf numFmtId="0" fontId="0" fillId="0" borderId="0" xfId="0"/>
    <xf numFmtId="0" fontId="0" fillId="0" borderId="0" xfId="0" applyFill="1" applyBorder="1" applyAlignment="1">
      <alignment vertical="center" wrapText="1"/>
    </xf>
    <xf numFmtId="0" fontId="20" fillId="0" borderId="0" xfId="0" applyFont="1"/>
    <xf numFmtId="0" fontId="0" fillId="0" borderId="15" xfId="0" applyFont="1" applyFill="1" applyBorder="1" applyAlignment="1">
      <alignment horizontal="center" vertical="center" wrapText="1"/>
    </xf>
    <xf numFmtId="0" fontId="0" fillId="0" borderId="15" xfId="0" applyBorder="1" applyAlignment="1">
      <alignment horizontal="left" vertical="center" wrapText="1"/>
    </xf>
    <xf numFmtId="14" fontId="0" fillId="0" borderId="15" xfId="0" applyNumberFormat="1" applyFont="1" applyBorder="1" applyAlignment="1">
      <alignment horizontal="center" vertical="center" wrapText="1"/>
    </xf>
    <xf numFmtId="0" fontId="0" fillId="0" borderId="15" xfId="0" applyFont="1" applyBorder="1" applyAlignment="1">
      <alignment horizontal="left" vertical="center" wrapText="1"/>
    </xf>
    <xf numFmtId="0" fontId="0" fillId="0" borderId="15" xfId="0" applyFont="1" applyBorder="1" applyAlignment="1">
      <alignment horizontal="center" vertical="center" wrapText="1"/>
    </xf>
    <xf numFmtId="0" fontId="0" fillId="0" borderId="15" xfId="0" applyBorder="1" applyAlignment="1">
      <alignment horizontal="center" vertical="center" wrapText="1"/>
    </xf>
    <xf numFmtId="0" fontId="0" fillId="0" borderId="10" xfId="0" applyFont="1" applyBorder="1" applyAlignment="1">
      <alignment horizontal="left" vertical="center" wrapText="1"/>
    </xf>
    <xf numFmtId="0" fontId="0" fillId="0" borderId="13" xfId="0" applyFont="1" applyBorder="1" applyAlignment="1">
      <alignment horizontal="left" vertical="center" wrapText="1"/>
    </xf>
    <xf numFmtId="0" fontId="0" fillId="0" borderId="11" xfId="0" applyFont="1" applyBorder="1" applyAlignment="1">
      <alignment horizontal="left" vertical="center" wrapText="1"/>
    </xf>
    <xf numFmtId="14" fontId="0" fillId="0" borderId="10" xfId="0" applyNumberFormat="1" applyFont="1" applyBorder="1" applyAlignment="1">
      <alignment horizontal="center" vertical="center" wrapText="1"/>
    </xf>
    <xf numFmtId="14" fontId="0" fillId="0" borderId="13" xfId="0" applyNumberFormat="1" applyFont="1" applyBorder="1" applyAlignment="1">
      <alignment horizontal="center" vertical="center" wrapText="1"/>
    </xf>
    <xf numFmtId="14" fontId="0" fillId="0" borderId="11" xfId="0" applyNumberFormat="1" applyFont="1" applyBorder="1" applyAlignment="1">
      <alignment horizontal="center" vertical="center" wrapText="1"/>
    </xf>
    <xf numFmtId="0" fontId="24" fillId="0" borderId="10"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wrapText="1"/>
    </xf>
    <xf numFmtId="0" fontId="24" fillId="0" borderId="10" xfId="0" applyFont="1" applyBorder="1" applyAlignment="1">
      <alignment horizontal="left" vertical="center" wrapText="1"/>
    </xf>
    <xf numFmtId="0" fontId="24" fillId="0" borderId="13" xfId="0" applyFont="1" applyBorder="1" applyAlignment="1">
      <alignment horizontal="left" vertical="center" wrapText="1"/>
    </xf>
    <xf numFmtId="0" fontId="24" fillId="0" borderId="11" xfId="0" applyFont="1" applyBorder="1" applyAlignment="1">
      <alignment horizontal="left" vertical="center" wrapText="1"/>
    </xf>
    <xf numFmtId="0" fontId="0" fillId="0" borderId="10" xfId="0" applyFont="1" applyBorder="1" applyAlignment="1">
      <alignment horizontal="center" vertical="center" wrapText="1"/>
    </xf>
    <xf numFmtId="14" fontId="0" fillId="0" borderId="10" xfId="0" quotePrefix="1" applyNumberFormat="1" applyFont="1" applyBorder="1" applyAlignment="1">
      <alignment horizontal="center" vertical="center" wrapText="1"/>
    </xf>
    <xf numFmtId="14" fontId="0" fillId="0" borderId="13" xfId="0" quotePrefix="1" applyNumberFormat="1" applyFont="1" applyBorder="1" applyAlignment="1">
      <alignment horizontal="center" vertical="center" wrapText="1"/>
    </xf>
    <xf numFmtId="14" fontId="0" fillId="0" borderId="11" xfId="0" quotePrefix="1" applyNumberFormat="1" applyFont="1" applyBorder="1" applyAlignment="1">
      <alignment horizontal="center" vertical="center" wrapText="1"/>
    </xf>
    <xf numFmtId="14" fontId="24" fillId="0" borderId="10" xfId="0" applyNumberFormat="1" applyFont="1" applyFill="1" applyBorder="1" applyAlignment="1">
      <alignment horizontal="center" vertical="center" wrapText="1"/>
    </xf>
    <xf numFmtId="14" fontId="24" fillId="0" borderId="13" xfId="0" applyNumberFormat="1" applyFont="1" applyFill="1" applyBorder="1" applyAlignment="1">
      <alignment horizontal="center" vertical="center" wrapText="1"/>
    </xf>
    <xf numFmtId="14" fontId="24" fillId="0" borderId="11" xfId="0" applyNumberFormat="1" applyFont="1" applyFill="1" applyBorder="1" applyAlignment="1">
      <alignment horizontal="center" vertical="center" wrapText="1"/>
    </xf>
    <xf numFmtId="0" fontId="24" fillId="0" borderId="10" xfId="0" applyFont="1" applyFill="1" applyBorder="1" applyAlignment="1">
      <alignment horizontal="left" vertical="center" wrapText="1"/>
    </xf>
    <xf numFmtId="0" fontId="24" fillId="0" borderId="13" xfId="0" applyFont="1" applyFill="1" applyBorder="1" applyAlignment="1">
      <alignment horizontal="left" vertical="center" wrapText="1"/>
    </xf>
    <xf numFmtId="0" fontId="24" fillId="0" borderId="11" xfId="0" applyFont="1" applyFill="1" applyBorder="1" applyAlignment="1">
      <alignment horizontal="left" vertical="center" wrapText="1"/>
    </xf>
    <xf numFmtId="0" fontId="0" fillId="24" borderId="16" xfId="0" applyFill="1" applyBorder="1" applyAlignment="1">
      <alignment horizontal="center" vertical="center" wrapText="1"/>
    </xf>
    <xf numFmtId="0" fontId="0" fillId="24" borderId="14" xfId="0" applyFill="1" applyBorder="1" applyAlignment="1">
      <alignment horizontal="center" vertical="center" wrapText="1"/>
    </xf>
    <xf numFmtId="0" fontId="0" fillId="24" borderId="17" xfId="0" applyFill="1" applyBorder="1" applyAlignment="1">
      <alignment horizontal="center" vertical="center" wrapText="1"/>
    </xf>
    <xf numFmtId="0" fontId="0" fillId="24" borderId="19" xfId="0" applyFill="1" applyBorder="1" applyAlignment="1">
      <alignment horizontal="center" vertical="center" wrapText="1"/>
    </xf>
    <xf numFmtId="0" fontId="0" fillId="24" borderId="20" xfId="0" applyFill="1" applyBorder="1" applyAlignment="1">
      <alignment horizontal="center" vertical="center" wrapText="1"/>
    </xf>
    <xf numFmtId="0" fontId="0" fillId="24" borderId="21" xfId="0" applyFill="1" applyBorder="1" applyAlignment="1">
      <alignment horizontal="center" vertical="center" wrapText="1"/>
    </xf>
    <xf numFmtId="0" fontId="0" fillId="25" borderId="15" xfId="0" applyFill="1" applyBorder="1" applyAlignment="1">
      <alignment horizontal="center"/>
    </xf>
    <xf numFmtId="0" fontId="0" fillId="25" borderId="10" xfId="0" applyFill="1" applyBorder="1" applyAlignment="1">
      <alignment horizontal="center"/>
    </xf>
    <xf numFmtId="0" fontId="0" fillId="25" borderId="13" xfId="0" applyFill="1" applyBorder="1" applyAlignment="1">
      <alignment horizontal="center"/>
    </xf>
    <xf numFmtId="0" fontId="0" fillId="25" borderId="11" xfId="0" applyFill="1" applyBorder="1" applyAlignment="1">
      <alignment horizontal="center"/>
    </xf>
    <xf numFmtId="180" fontId="0" fillId="0" borderId="16" xfId="0" applyNumberFormat="1" applyFill="1" applyBorder="1" applyAlignment="1">
      <alignment horizontal="right" vertical="center" wrapText="1"/>
    </xf>
    <xf numFmtId="180" fontId="0" fillId="0" borderId="14" xfId="0" applyNumberFormat="1" applyFill="1" applyBorder="1" applyAlignment="1">
      <alignment horizontal="right" vertical="center" wrapText="1"/>
    </xf>
    <xf numFmtId="180" fontId="0" fillId="0" borderId="17" xfId="0" applyNumberFormat="1" applyFill="1" applyBorder="1" applyAlignment="1">
      <alignment horizontal="right" vertical="center" wrapText="1"/>
    </xf>
    <xf numFmtId="180" fontId="0" fillId="0" borderId="19" xfId="0" applyNumberFormat="1" applyFill="1" applyBorder="1" applyAlignment="1">
      <alignment horizontal="right" vertical="center" wrapText="1"/>
    </xf>
    <xf numFmtId="180" fontId="0" fillId="0" borderId="20" xfId="0" applyNumberFormat="1" applyFill="1" applyBorder="1" applyAlignment="1">
      <alignment horizontal="right" vertical="center" wrapText="1"/>
    </xf>
    <xf numFmtId="180" fontId="0" fillId="0" borderId="21" xfId="0" applyNumberFormat="1" applyFill="1" applyBorder="1" applyAlignment="1">
      <alignment horizontal="right" vertical="center" wrapText="1"/>
    </xf>
    <xf numFmtId="0" fontId="0" fillId="26" borderId="15" xfId="0" applyFill="1" applyBorder="1" applyAlignment="1">
      <alignment horizontal="center"/>
    </xf>
    <xf numFmtId="0" fontId="0" fillId="24" borderId="15" xfId="0" applyFill="1" applyBorder="1" applyAlignment="1">
      <alignment horizontal="center"/>
    </xf>
    <xf numFmtId="176" fontId="0" fillId="0" borderId="16" xfId="0" applyNumberFormat="1" applyBorder="1" applyAlignment="1">
      <alignment horizontal="right" vertical="center" wrapText="1"/>
    </xf>
    <xf numFmtId="176" fontId="0" fillId="0" borderId="14" xfId="0" applyNumberFormat="1" applyBorder="1" applyAlignment="1">
      <alignment horizontal="right" vertical="center" wrapText="1"/>
    </xf>
    <xf numFmtId="176" fontId="0" fillId="0" borderId="17" xfId="0" applyNumberFormat="1" applyBorder="1" applyAlignment="1">
      <alignment horizontal="right" vertical="center" wrapText="1"/>
    </xf>
    <xf numFmtId="176" fontId="0" fillId="0" borderId="19" xfId="0" applyNumberFormat="1" applyBorder="1" applyAlignment="1">
      <alignment horizontal="right" vertical="center" wrapText="1"/>
    </xf>
    <xf numFmtId="176" fontId="0" fillId="0" borderId="20" xfId="0" applyNumberFormat="1" applyBorder="1" applyAlignment="1">
      <alignment horizontal="right" vertical="center" wrapText="1"/>
    </xf>
    <xf numFmtId="176" fontId="0" fillId="0" borderId="21" xfId="0" applyNumberFormat="1" applyBorder="1" applyAlignment="1">
      <alignment horizontal="right" vertical="center" wrapText="1"/>
    </xf>
    <xf numFmtId="0" fontId="0" fillId="0" borderId="16"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79" fontId="0" fillId="0" borderId="16" xfId="0" applyNumberFormat="1" applyFill="1" applyBorder="1" applyAlignment="1">
      <alignment horizontal="right" vertical="center" wrapText="1"/>
    </xf>
    <xf numFmtId="179" fontId="0" fillId="0" borderId="14" xfId="0" applyNumberFormat="1" applyFill="1" applyBorder="1" applyAlignment="1">
      <alignment horizontal="right" vertical="center" wrapText="1"/>
    </xf>
    <xf numFmtId="179" fontId="0" fillId="0" borderId="17" xfId="0" applyNumberFormat="1" applyFill="1" applyBorder="1" applyAlignment="1">
      <alignment horizontal="right" vertical="center" wrapText="1"/>
    </xf>
    <xf numFmtId="179" fontId="0" fillId="0" borderId="19" xfId="0" applyNumberFormat="1" applyFill="1" applyBorder="1" applyAlignment="1">
      <alignment horizontal="right" vertical="center" wrapText="1"/>
    </xf>
    <xf numFmtId="179" fontId="0" fillId="0" borderId="20" xfId="0" applyNumberFormat="1" applyFill="1" applyBorder="1" applyAlignment="1">
      <alignment horizontal="right" vertical="center" wrapText="1"/>
    </xf>
    <xf numFmtId="179" fontId="0" fillId="0" borderId="21" xfId="0" applyNumberFormat="1" applyFill="1" applyBorder="1" applyAlignment="1">
      <alignment horizontal="right" vertical="center" wrapText="1"/>
    </xf>
    <xf numFmtId="178" fontId="0" fillId="0" borderId="16" xfId="0" applyNumberFormat="1" applyFill="1" applyBorder="1" applyAlignment="1">
      <alignment horizontal="right" vertical="center" wrapText="1"/>
    </xf>
    <xf numFmtId="178" fontId="0" fillId="0" borderId="14" xfId="0" applyNumberFormat="1" applyFill="1" applyBorder="1" applyAlignment="1">
      <alignment horizontal="right" vertical="center" wrapText="1"/>
    </xf>
    <xf numFmtId="178" fontId="0" fillId="0" borderId="17" xfId="0" applyNumberFormat="1" applyFill="1" applyBorder="1" applyAlignment="1">
      <alignment horizontal="right" vertical="center" wrapText="1"/>
    </xf>
    <xf numFmtId="178" fontId="0" fillId="0" borderId="19" xfId="0" applyNumberFormat="1" applyFill="1" applyBorder="1" applyAlignment="1">
      <alignment horizontal="right" vertical="center" wrapText="1"/>
    </xf>
    <xf numFmtId="178" fontId="0" fillId="0" borderId="20" xfId="0" applyNumberFormat="1" applyFill="1" applyBorder="1" applyAlignment="1">
      <alignment horizontal="right" vertical="center" wrapText="1"/>
    </xf>
    <xf numFmtId="178" fontId="0" fillId="0" borderId="21" xfId="0" applyNumberFormat="1" applyFill="1" applyBorder="1" applyAlignment="1">
      <alignment horizontal="right" vertical="center" wrapText="1"/>
    </xf>
    <xf numFmtId="0" fontId="0" fillId="0" borderId="12"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18"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9" xfId="0" applyBorder="1" applyAlignment="1">
      <alignment horizontal="center"/>
    </xf>
    <xf numFmtId="0" fontId="0" fillId="0" borderId="20" xfId="0" applyBorder="1" applyAlignment="1">
      <alignment horizontal="center"/>
    </xf>
    <xf numFmtId="14" fontId="0" fillId="0" borderId="16"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7" xfId="0" applyNumberFormat="1" applyBorder="1" applyAlignment="1">
      <alignment horizontal="center" vertical="center" wrapText="1"/>
    </xf>
    <xf numFmtId="14" fontId="0" fillId="0" borderId="19" xfId="0" applyNumberFormat="1" applyBorder="1" applyAlignment="1">
      <alignment horizontal="center" vertical="center" wrapText="1"/>
    </xf>
    <xf numFmtId="14" fontId="0" fillId="0" borderId="20" xfId="0" applyNumberFormat="1" applyBorder="1" applyAlignment="1">
      <alignment horizontal="center" vertical="center" wrapText="1"/>
    </xf>
    <xf numFmtId="14" fontId="0" fillId="0" borderId="21" xfId="0" applyNumberFormat="1" applyBorder="1" applyAlignment="1">
      <alignment horizontal="center" vertical="center" wrapText="1"/>
    </xf>
    <xf numFmtId="0" fontId="0" fillId="0" borderId="16" xfId="0" applyBorder="1" applyAlignment="1">
      <alignment vertical="center" wrapText="1"/>
    </xf>
    <xf numFmtId="0" fontId="0" fillId="0" borderId="14" xfId="0" applyBorder="1" applyAlignment="1">
      <alignment vertical="center" wrapText="1"/>
    </xf>
    <xf numFmtId="0" fontId="0" fillId="0" borderId="17" xfId="0" applyBorder="1" applyAlignment="1">
      <alignment vertical="center" wrapText="1"/>
    </xf>
    <xf numFmtId="0" fontId="0" fillId="0" borderId="12" xfId="0" applyBorder="1" applyAlignment="1">
      <alignment vertical="center" wrapText="1"/>
    </xf>
    <xf numFmtId="0" fontId="0" fillId="0" borderId="0"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14" xfId="0" applyBorder="1" applyAlignment="1">
      <alignment horizontal="left"/>
    </xf>
    <xf numFmtId="0" fontId="0" fillId="0" borderId="17" xfId="0" applyBorder="1" applyAlignment="1">
      <alignment horizontal="left"/>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177" fontId="0" fillId="0" borderId="16" xfId="0" applyNumberFormat="1" applyBorder="1" applyAlignment="1">
      <alignment horizontal="right" vertical="center" wrapText="1"/>
    </xf>
    <xf numFmtId="177" fontId="0" fillId="0" borderId="14" xfId="0" applyNumberFormat="1" applyBorder="1" applyAlignment="1">
      <alignment horizontal="right" vertical="center" wrapText="1"/>
    </xf>
    <xf numFmtId="177" fontId="0" fillId="0" borderId="17" xfId="0" applyNumberFormat="1" applyBorder="1" applyAlignment="1">
      <alignment horizontal="right" vertical="center" wrapText="1"/>
    </xf>
    <xf numFmtId="177" fontId="0" fillId="0" borderId="19" xfId="0" applyNumberFormat="1" applyBorder="1" applyAlignment="1">
      <alignment horizontal="right" vertical="center" wrapText="1"/>
    </xf>
    <xf numFmtId="177" fontId="0" fillId="0" borderId="20" xfId="0" applyNumberFormat="1" applyBorder="1" applyAlignment="1">
      <alignment horizontal="right" vertical="center" wrapText="1"/>
    </xf>
    <xf numFmtId="177" fontId="0" fillId="0" borderId="21" xfId="0" applyNumberFormat="1" applyBorder="1" applyAlignment="1">
      <alignment horizontal="right" vertical="center" wrapText="1"/>
    </xf>
    <xf numFmtId="14" fontId="0" fillId="0" borderId="10" xfId="0" applyNumberFormat="1" applyBorder="1" applyAlignment="1">
      <alignment horizontal="center" vertical="center" wrapText="1"/>
    </xf>
    <xf numFmtId="14" fontId="0" fillId="0" borderId="13" xfId="0" applyNumberFormat="1" applyBorder="1" applyAlignment="1">
      <alignment horizontal="center" vertical="center" wrapText="1"/>
    </xf>
    <xf numFmtId="14" fontId="0" fillId="0" borderId="11" xfId="0" applyNumberFormat="1" applyBorder="1" applyAlignment="1">
      <alignment horizontal="center" vertical="center" wrapText="1"/>
    </xf>
    <xf numFmtId="0" fontId="0" fillId="24" borderId="15" xfId="0" applyFill="1" applyBorder="1" applyAlignment="1">
      <alignment horizontal="center" vertical="center" wrapText="1"/>
    </xf>
    <xf numFmtId="0" fontId="0" fillId="24" borderId="11" xfId="0" applyFill="1" applyBorder="1" applyAlignment="1">
      <alignment horizontal="center"/>
    </xf>
    <xf numFmtId="0" fontId="23" fillId="0" borderId="16" xfId="0" applyFont="1" applyBorder="1" applyAlignment="1">
      <alignment horizontal="center" vertical="center"/>
    </xf>
    <xf numFmtId="0" fontId="23" fillId="0" borderId="14" xfId="0" applyFont="1" applyBorder="1" applyAlignment="1">
      <alignment horizontal="center" vertical="center"/>
    </xf>
    <xf numFmtId="0" fontId="23" fillId="0" borderId="12" xfId="0" applyFont="1" applyBorder="1" applyAlignment="1">
      <alignment horizontal="center" vertical="center"/>
    </xf>
    <xf numFmtId="0" fontId="23" fillId="0" borderId="0" xfId="0" applyFont="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5" xfId="0" applyFill="1" applyBorder="1" applyAlignment="1">
      <alignment horizontal="left" vertical="center" wrapText="1"/>
    </xf>
    <xf numFmtId="0" fontId="0" fillId="24" borderId="12" xfId="0" applyFill="1" applyBorder="1" applyAlignment="1">
      <alignment horizontal="center" vertical="center" wrapText="1"/>
    </xf>
    <xf numFmtId="0" fontId="0" fillId="24" borderId="0" xfId="0" applyFill="1" applyBorder="1" applyAlignment="1">
      <alignment horizontal="center" vertical="center" wrapText="1"/>
    </xf>
    <xf numFmtId="0" fontId="0" fillId="24" borderId="18"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1" xfId="0" applyFill="1" applyBorder="1" applyAlignment="1">
      <alignment horizontal="center" vertical="center" wrapText="1"/>
    </xf>
    <xf numFmtId="0" fontId="24" fillId="0" borderId="15" xfId="0" applyFont="1" applyBorder="1" applyAlignment="1">
      <alignment horizontal="left" vertical="center" wrapText="1"/>
    </xf>
  </cellXfs>
  <cellStyles count="72">
    <cellStyle name="?" xfId="1" xr:uid="{00000000-0005-0000-0000-000000000000}"/>
    <cellStyle name="?_テスト状況管理表20091211" xfId="2" xr:uid="{00000000-0005-0000-0000-000001000000}"/>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通貨 2" xfId="42" xr:uid="{00000000-0005-0000-0000-000029000000}"/>
    <cellStyle name="入力" xfId="43" builtinId="20" customBuiltin="1"/>
    <cellStyle name="標準" xfId="0" builtinId="0"/>
    <cellStyle name="標準 2" xfId="44" xr:uid="{00000000-0005-0000-0000-00002C000000}"/>
    <cellStyle name="標準 3" xfId="45" xr:uid="{00000000-0005-0000-0000-00002D000000}"/>
    <cellStyle name="良い" xfId="46" builtinId="26" customBuiltin="1"/>
    <cellStyle name="㼿" xfId="47" xr:uid="{00000000-0005-0000-0000-00002F000000}"/>
    <cellStyle name="㼿?" xfId="48" xr:uid="{00000000-0005-0000-0000-000030000000}"/>
    <cellStyle name="㼿_（営業秘密作成）プロジェクト状況報告書(週次)_v3" xfId="49" xr:uid="{00000000-0005-0000-0000-000031000000}"/>
    <cellStyle name="㼿_pmformat_3_100301" xfId="50" xr:uid="{00000000-0005-0000-0000-000032000000}"/>
    <cellStyle name="㼿_pmformat_4_100315" xfId="51" xr:uid="{00000000-0005-0000-0000-000033000000}"/>
    <cellStyle name="㼿_pmformat_partner_reituki_2_100301" xfId="52" xr:uid="{00000000-0005-0000-0000-000034000000}"/>
    <cellStyle name="㼿_pmformat_reituki_1_091225" xfId="53" xr:uid="{00000000-0005-0000-0000-000035000000}"/>
    <cellStyle name="㼿_pmformat_reituki_1_100115" xfId="54" xr:uid="{00000000-0005-0000-0000-000036000000}"/>
    <cellStyle name="㼿_pmformat_reituki_4_100315" xfId="55" xr:uid="{00000000-0005-0000-0000-000037000000}"/>
    <cellStyle name="㼿_コピー ～ pmformat_reituki_4_100315" xfId="56" xr:uid="{00000000-0005-0000-0000-000038000000}"/>
    <cellStyle name="㼿_プロジェクト状況報告書_最終提示案" xfId="57" xr:uid="{00000000-0005-0000-0000-000039000000}"/>
    <cellStyle name="㼿㼿" xfId="58" xr:uid="{00000000-0005-0000-0000-00003A000000}"/>
    <cellStyle name="㼿㼿?" xfId="59" xr:uid="{00000000-0005-0000-0000-00003B000000}"/>
    <cellStyle name="㼿㼿㼿" xfId="60" xr:uid="{00000000-0005-0000-0000-00003C000000}"/>
    <cellStyle name="㼿㼿㼿?" xfId="61" xr:uid="{00000000-0005-0000-0000-00003D000000}"/>
    <cellStyle name="㼿㼿㼿㼿㼿㼿?" xfId="62" xr:uid="{00000000-0005-0000-0000-00003E000000}"/>
    <cellStyle name="㼿㼿㼿㼿㼿㼿㼿㼿㼿㼿㼿㼿" xfId="63" xr:uid="{00000000-0005-0000-0000-00003F000000}"/>
    <cellStyle name="㼿㼿㼿㼿㼿㼿㼿㼿㼿㼿㼿㼿?" xfId="64" xr:uid="{00000000-0005-0000-0000-000040000000}"/>
    <cellStyle name="㼿㼿㼿㼿㼿㼿㼿㼿㼿㼿㼿㼿㼿" xfId="65" xr:uid="{00000000-0005-0000-0000-000041000000}"/>
    <cellStyle name="㼿㼿㼿㼿㼿㼿㼿㼿㼿㼿㼿㼿㼿㼿㼿?" xfId="66" xr:uid="{00000000-0005-0000-0000-000042000000}"/>
    <cellStyle name="㼿㼿㼿㼿㼿㼿㼿㼿㼿㼿㼿㼿㼿㼿㼿㼿㼿㼿㼿㼿㼿㼿㼿?" xfId="67" xr:uid="{00000000-0005-0000-0000-000043000000}"/>
    <cellStyle name="㼿㼿㼿㼿㼿㼿㼿㼿㼿㼿㼿㼿㼿㼿㼿㼿㼿㼿㼿㼿㼿㼿㼿㼿" xfId="68" xr:uid="{00000000-0005-0000-0000-000044000000}"/>
    <cellStyle name="㼿㼿㼿㼿㼿㼿㼿㼿㼿㼿㼿㼿㼿㼿㼿㼿㼿㼿㼿㼿㼿㼿㼿㼿?" xfId="69" xr:uid="{00000000-0005-0000-0000-000045000000}"/>
    <cellStyle name="㼿㼿㼿㼿㼿㼿㼿㼿㼿㼿㼿㼿㼿㼿㼿㼿㼿㼿㼿㼿㼿㼿㼿㼿㼿㼿" xfId="70" xr:uid="{00000000-0005-0000-0000-000046000000}"/>
    <cellStyle name="㼿㼿㼿㼿㼿㼿㼿㼿㼿㼿㼿㼿㼿㼿㼿㼿㼿㼿㼿㼿㼿㼿㼿㼿㼿㼿㼿㼿㼿㼿㼿㼿㼿?" xfId="71" xr:uid="{00000000-0005-0000-0000-000047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8</xdr:col>
      <xdr:colOff>139212</xdr:colOff>
      <xdr:row>16</xdr:row>
      <xdr:rowOff>212481</xdr:rowOff>
    </xdr:from>
    <xdr:to>
      <xdr:col>19</xdr:col>
      <xdr:colOff>0</xdr:colOff>
      <xdr:row>19</xdr:row>
      <xdr:rowOff>73269</xdr:rowOff>
    </xdr:to>
    <xdr:sp macro="" textlink="">
      <xdr:nvSpPr>
        <xdr:cNvPr id="4" name="吹き出し: 四角形 3">
          <a:extLst>
            <a:ext uri="{FF2B5EF4-FFF2-40B4-BE49-F238E27FC236}">
              <a16:creationId xmlns:a16="http://schemas.microsoft.com/office/drawing/2014/main" id="{7BB7EF73-96C8-4918-8285-A4758C46024B}"/>
            </a:ext>
          </a:extLst>
        </xdr:cNvPr>
        <xdr:cNvSpPr/>
      </xdr:nvSpPr>
      <xdr:spPr>
        <a:xfrm>
          <a:off x="1875693" y="3311769"/>
          <a:ext cx="2036884" cy="769327"/>
        </a:xfrm>
        <a:prstGeom prst="wedgeRectCallout">
          <a:avLst>
            <a:gd name="adj1" fmla="val -16157"/>
            <a:gd name="adj2" fmla="val 6726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000">
              <a:solidFill>
                <a:schemeClr val="lt1"/>
              </a:solidFill>
              <a:effectLst/>
              <a:latin typeface="+mn-lt"/>
              <a:ea typeface="+mn-ea"/>
              <a:cs typeface="+mn-cs"/>
            </a:rPr>
            <a:t>指摘のとおり合計数が</a:t>
          </a:r>
          <a:r>
            <a:rPr kumimoji="1" lang="en-US" altLang="ja-JP" sz="1000">
              <a:solidFill>
                <a:schemeClr val="lt1"/>
              </a:solidFill>
              <a:effectLst/>
              <a:latin typeface="+mn-lt"/>
              <a:ea typeface="+mn-ea"/>
              <a:cs typeface="+mn-cs"/>
            </a:rPr>
            <a:t>200</a:t>
          </a:r>
          <a:r>
            <a:rPr kumimoji="1" lang="ja-JP" altLang="ja-JP" sz="1000">
              <a:solidFill>
                <a:schemeClr val="lt1"/>
              </a:solidFill>
              <a:effectLst/>
              <a:latin typeface="+mn-lt"/>
              <a:ea typeface="+mn-ea"/>
              <a:cs typeface="+mn-cs"/>
            </a:rPr>
            <a:t>記載の修正をお願いします。</a:t>
          </a:r>
          <a:endParaRPr lang="ja-JP" altLang="ja-JP" sz="1000">
            <a:effectLst/>
          </a:endParaRPr>
        </a:p>
      </xdr:txBody>
    </xdr:sp>
    <xdr:clientData/>
  </xdr:twoCellAnchor>
  <xdr:twoCellAnchor>
    <xdr:from>
      <xdr:col>38</xdr:col>
      <xdr:colOff>167055</xdr:colOff>
      <xdr:row>20</xdr:row>
      <xdr:rowOff>115765</xdr:rowOff>
    </xdr:from>
    <xdr:to>
      <xdr:col>49</xdr:col>
      <xdr:colOff>27842</xdr:colOff>
      <xdr:row>21</xdr:row>
      <xdr:rowOff>313592</xdr:rowOff>
    </xdr:to>
    <xdr:sp macro="" textlink="">
      <xdr:nvSpPr>
        <xdr:cNvPr id="5" name="吹き出し: 四角形 4">
          <a:extLst>
            <a:ext uri="{FF2B5EF4-FFF2-40B4-BE49-F238E27FC236}">
              <a16:creationId xmlns:a16="http://schemas.microsoft.com/office/drawing/2014/main" id="{EB0A0322-0C1B-450E-AF51-8A948CBD2EF2}"/>
            </a:ext>
          </a:extLst>
        </xdr:cNvPr>
        <xdr:cNvSpPr/>
      </xdr:nvSpPr>
      <xdr:spPr>
        <a:xfrm>
          <a:off x="7838343" y="4292111"/>
          <a:ext cx="2036884" cy="769327"/>
        </a:xfrm>
        <a:prstGeom prst="wedgeRectCallout">
          <a:avLst>
            <a:gd name="adj1" fmla="val -84143"/>
            <a:gd name="adj2" fmla="val 7488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lt1"/>
              </a:solidFill>
              <a:effectLst/>
              <a:latin typeface="+mn-lt"/>
              <a:ea typeface="+mn-ea"/>
              <a:cs typeface="+mn-cs"/>
            </a:rPr>
            <a:t>基本的に</a:t>
          </a:r>
          <a:r>
            <a:rPr kumimoji="1" lang="en-US" altLang="ja-JP" sz="1000">
              <a:solidFill>
                <a:schemeClr val="lt1"/>
              </a:solidFill>
              <a:effectLst/>
              <a:latin typeface="+mn-lt"/>
              <a:ea typeface="+mn-ea"/>
              <a:cs typeface="+mn-cs"/>
            </a:rPr>
            <a:t>CF</a:t>
          </a:r>
          <a:r>
            <a:rPr kumimoji="1" lang="ja-JP" altLang="en-US" sz="1000">
              <a:solidFill>
                <a:schemeClr val="lt1"/>
              </a:solidFill>
              <a:effectLst/>
              <a:latin typeface="+mn-lt"/>
              <a:ea typeface="+mn-ea"/>
              <a:cs typeface="+mn-cs"/>
            </a:rPr>
            <a:t>の情報（</a:t>
          </a:r>
          <a:r>
            <a:rPr kumimoji="1" lang="en-US" altLang="ja-JP" sz="1000">
              <a:solidFill>
                <a:schemeClr val="lt1"/>
              </a:solidFill>
              <a:effectLst/>
              <a:latin typeface="+mn-lt"/>
              <a:ea typeface="+mn-ea"/>
              <a:cs typeface="+mn-cs"/>
            </a:rPr>
            <a:t>MPP</a:t>
          </a:r>
          <a:r>
            <a:rPr kumimoji="1" lang="ja-JP" altLang="en-US" sz="1000">
              <a:solidFill>
                <a:schemeClr val="lt1"/>
              </a:solidFill>
              <a:effectLst/>
              <a:latin typeface="+mn-lt"/>
              <a:ea typeface="+mn-ea"/>
              <a:cs typeface="+mn-cs"/>
            </a:rPr>
            <a:t>や</a:t>
          </a:r>
          <a:r>
            <a:rPr kumimoji="1" lang="en-US" altLang="ja-JP" sz="1000">
              <a:solidFill>
                <a:schemeClr val="lt1"/>
              </a:solidFill>
              <a:effectLst/>
              <a:latin typeface="+mn-lt"/>
              <a:ea typeface="+mn-ea"/>
              <a:cs typeface="+mn-cs"/>
            </a:rPr>
            <a:t>EPM</a:t>
          </a:r>
          <a:r>
            <a:rPr kumimoji="1" lang="ja-JP" altLang="en-US" sz="1000">
              <a:solidFill>
                <a:schemeClr val="lt1"/>
              </a:solidFill>
              <a:effectLst/>
              <a:latin typeface="+mn-lt"/>
              <a:ea typeface="+mn-ea"/>
              <a:cs typeface="+mn-cs"/>
            </a:rPr>
            <a:t>の記載等）を残した上で追記しているため、</a:t>
          </a:r>
          <a:r>
            <a:rPr kumimoji="1" lang="en-US" altLang="ja-JP" sz="1000">
              <a:solidFill>
                <a:schemeClr val="lt1"/>
              </a:solidFill>
              <a:effectLst/>
              <a:latin typeface="+mn-lt"/>
              <a:ea typeface="+mn-ea"/>
              <a:cs typeface="+mn-cs"/>
            </a:rPr>
            <a:t>NW</a:t>
          </a:r>
          <a:r>
            <a:rPr kumimoji="1" lang="ja-JP" altLang="en-US" sz="1000">
              <a:solidFill>
                <a:schemeClr val="lt1"/>
              </a:solidFill>
              <a:effectLst/>
              <a:latin typeface="+mn-lt"/>
              <a:ea typeface="+mn-ea"/>
              <a:cs typeface="+mn-cs"/>
            </a:rPr>
            <a:t>図についても</a:t>
          </a:r>
          <a:r>
            <a:rPr kumimoji="1" lang="en-US" altLang="ja-JP" sz="1000">
              <a:solidFill>
                <a:schemeClr val="lt1"/>
              </a:solidFill>
              <a:effectLst/>
              <a:latin typeface="+mn-lt"/>
              <a:ea typeface="+mn-ea"/>
              <a:cs typeface="+mn-cs"/>
            </a:rPr>
            <a:t>CF</a:t>
          </a:r>
          <a:r>
            <a:rPr kumimoji="1" lang="ja-JP" altLang="en-US" sz="1000">
              <a:solidFill>
                <a:schemeClr val="lt1"/>
              </a:solidFill>
              <a:effectLst/>
              <a:latin typeface="+mn-lt"/>
              <a:ea typeface="+mn-ea"/>
              <a:cs typeface="+mn-cs"/>
            </a:rPr>
            <a:t>は残していただけますでしょうか。</a:t>
          </a:r>
          <a:endParaRPr lang="ja-JP" altLang="ja-JP" sz="1000">
            <a:effectLst/>
          </a:endParaRPr>
        </a:p>
      </xdr:txBody>
    </xdr:sp>
    <xdr:clientData/>
  </xdr:twoCellAnchor>
  <xdr:twoCellAnchor>
    <xdr:from>
      <xdr:col>49</xdr:col>
      <xdr:colOff>143608</xdr:colOff>
      <xdr:row>21</xdr:row>
      <xdr:rowOff>70338</xdr:rowOff>
    </xdr:from>
    <xdr:to>
      <xdr:col>60</xdr:col>
      <xdr:colOff>4396</xdr:colOff>
      <xdr:row>22</xdr:row>
      <xdr:rowOff>268165</xdr:rowOff>
    </xdr:to>
    <xdr:sp macro="" textlink="">
      <xdr:nvSpPr>
        <xdr:cNvPr id="6" name="吹き出し: 四角形 5">
          <a:extLst>
            <a:ext uri="{FF2B5EF4-FFF2-40B4-BE49-F238E27FC236}">
              <a16:creationId xmlns:a16="http://schemas.microsoft.com/office/drawing/2014/main" id="{8BBD0F8A-CC85-4302-A974-5A233235551D}"/>
            </a:ext>
          </a:extLst>
        </xdr:cNvPr>
        <xdr:cNvSpPr/>
      </xdr:nvSpPr>
      <xdr:spPr>
        <a:xfrm>
          <a:off x="9990993" y="4818184"/>
          <a:ext cx="2036884" cy="769327"/>
        </a:xfrm>
        <a:prstGeom prst="wedgeRectCallout">
          <a:avLst>
            <a:gd name="adj1" fmla="val -83783"/>
            <a:gd name="adj2" fmla="val 615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指摘のとおり修正ください。</a:t>
          </a:r>
          <a:endParaRPr lang="en-US" altLang="ja-JP"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（名前の変更だけで結構です）</a:t>
          </a:r>
          <a:endParaRPr lang="ja-JP" altLang="ja-JP" sz="1000">
            <a:effectLst/>
          </a:endParaRPr>
        </a:p>
      </xdr:txBody>
    </xdr:sp>
    <xdr:clientData/>
  </xdr:twoCellAnchor>
  <xdr:twoCellAnchor>
    <xdr:from>
      <xdr:col>56</xdr:col>
      <xdr:colOff>183172</xdr:colOff>
      <xdr:row>22</xdr:row>
      <xdr:rowOff>271095</xdr:rowOff>
    </xdr:from>
    <xdr:to>
      <xdr:col>67</xdr:col>
      <xdr:colOff>124557</xdr:colOff>
      <xdr:row>23</xdr:row>
      <xdr:rowOff>468922</xdr:rowOff>
    </xdr:to>
    <xdr:sp macro="" textlink="">
      <xdr:nvSpPr>
        <xdr:cNvPr id="7" name="吹き出し: 四角形 6">
          <a:extLst>
            <a:ext uri="{FF2B5EF4-FFF2-40B4-BE49-F238E27FC236}">
              <a16:creationId xmlns:a16="http://schemas.microsoft.com/office/drawing/2014/main" id="{936F4A0F-1F1E-4956-AF5B-E6DF0CF64149}"/>
            </a:ext>
          </a:extLst>
        </xdr:cNvPr>
        <xdr:cNvSpPr/>
      </xdr:nvSpPr>
      <xdr:spPr>
        <a:xfrm>
          <a:off x="11415345" y="5590441"/>
          <a:ext cx="2117481" cy="769327"/>
        </a:xfrm>
        <a:prstGeom prst="wedgeRectCallout">
          <a:avLst>
            <a:gd name="adj1" fmla="val -130545"/>
            <a:gd name="adj2" fmla="val 2726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通信経路を記載しているわけではないので、</a:t>
          </a:r>
          <a:r>
            <a:rPr lang="en-US" altLang="ja-JP" sz="1000">
              <a:effectLst/>
            </a:rPr>
            <a:t>I/F</a:t>
          </a:r>
          <a:r>
            <a:rPr lang="ja-JP" altLang="en-US" sz="1000">
              <a:effectLst/>
            </a:rPr>
            <a:t>サーバを中継することを図示する必要は無いかと存じます。認識相違ありますでしょうか？</a:t>
          </a:r>
          <a:endParaRPr lang="ja-JP" altLang="ja-JP" sz="1000">
            <a:effectLst/>
          </a:endParaRPr>
        </a:p>
      </xdr:txBody>
    </xdr:sp>
    <xdr:clientData/>
  </xdr:twoCellAnchor>
  <xdr:twoCellAnchor>
    <xdr:from>
      <xdr:col>57</xdr:col>
      <xdr:colOff>101110</xdr:colOff>
      <xdr:row>23</xdr:row>
      <xdr:rowOff>386860</xdr:rowOff>
    </xdr:from>
    <xdr:to>
      <xdr:col>67</xdr:col>
      <xdr:colOff>159725</xdr:colOff>
      <xdr:row>25</xdr:row>
      <xdr:rowOff>13187</xdr:rowOff>
    </xdr:to>
    <xdr:sp macro="" textlink="">
      <xdr:nvSpPr>
        <xdr:cNvPr id="8" name="吹き出し: 四角形 7">
          <a:extLst>
            <a:ext uri="{FF2B5EF4-FFF2-40B4-BE49-F238E27FC236}">
              <a16:creationId xmlns:a16="http://schemas.microsoft.com/office/drawing/2014/main" id="{99562D0D-C613-43D2-9F79-AB97BE0A0953}"/>
            </a:ext>
          </a:extLst>
        </xdr:cNvPr>
        <xdr:cNvSpPr/>
      </xdr:nvSpPr>
      <xdr:spPr>
        <a:xfrm>
          <a:off x="11531110" y="6277706"/>
          <a:ext cx="2036884" cy="769327"/>
        </a:xfrm>
        <a:prstGeom prst="wedgeRectCallout">
          <a:avLst>
            <a:gd name="adj1" fmla="val -225150"/>
            <a:gd name="adj2" fmla="val 1107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指摘のとおり修正ください。</a:t>
          </a:r>
          <a:endParaRPr lang="en-US" altLang="ja-JP"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（記載の修正だけで結構です）</a:t>
          </a:r>
          <a:endParaRPr lang="ja-JP" altLang="ja-JP" sz="1000">
            <a:effectLst/>
          </a:endParaRPr>
        </a:p>
      </xdr:txBody>
    </xdr:sp>
    <xdr:clientData/>
  </xdr:twoCellAnchor>
  <xdr:twoCellAnchor>
    <xdr:from>
      <xdr:col>61</xdr:col>
      <xdr:colOff>4395</xdr:colOff>
      <xdr:row>24</xdr:row>
      <xdr:rowOff>414701</xdr:rowOff>
    </xdr:from>
    <xdr:to>
      <xdr:col>71</xdr:col>
      <xdr:colOff>63010</xdr:colOff>
      <xdr:row>26</xdr:row>
      <xdr:rowOff>41028</xdr:rowOff>
    </xdr:to>
    <xdr:sp macro="" textlink="">
      <xdr:nvSpPr>
        <xdr:cNvPr id="9" name="吹き出し: 四角形 8">
          <a:extLst>
            <a:ext uri="{FF2B5EF4-FFF2-40B4-BE49-F238E27FC236}">
              <a16:creationId xmlns:a16="http://schemas.microsoft.com/office/drawing/2014/main" id="{A02EF234-35C5-4775-ABE6-99A4FFD071F8}"/>
            </a:ext>
          </a:extLst>
        </xdr:cNvPr>
        <xdr:cNvSpPr/>
      </xdr:nvSpPr>
      <xdr:spPr>
        <a:xfrm>
          <a:off x="12225703" y="6877047"/>
          <a:ext cx="2036884" cy="769327"/>
        </a:xfrm>
        <a:prstGeom prst="wedgeRectCallout">
          <a:avLst>
            <a:gd name="adj1" fmla="val -90257"/>
            <a:gd name="adj2" fmla="val 110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ドメイン名はお伝えした内容で修正ください。</a:t>
          </a:r>
          <a:endParaRPr lang="en-US" altLang="ja-JP"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a:t>
          </a:r>
          <a:r>
            <a:rPr lang="en-US" altLang="ja-JP" sz="1000">
              <a:effectLst/>
            </a:rPr>
            <a:t>CF</a:t>
          </a:r>
          <a:r>
            <a:rPr lang="ja-JP" altLang="en-US" sz="1000">
              <a:effectLst/>
            </a:rPr>
            <a:t>とは別ドメインとする旨、名称は現在の設定どおりで良いです）</a:t>
          </a:r>
          <a:endParaRPr lang="ja-JP" altLang="ja-JP" sz="1000">
            <a:effectLst/>
          </a:endParaRPr>
        </a:p>
      </xdr:txBody>
    </xdr:sp>
    <xdr:clientData/>
  </xdr:twoCellAnchor>
  <xdr:twoCellAnchor>
    <xdr:from>
      <xdr:col>53</xdr:col>
      <xdr:colOff>17583</xdr:colOff>
      <xdr:row>25</xdr:row>
      <xdr:rowOff>354620</xdr:rowOff>
    </xdr:from>
    <xdr:to>
      <xdr:col>71</xdr:col>
      <xdr:colOff>109903</xdr:colOff>
      <xdr:row>26</xdr:row>
      <xdr:rowOff>552447</xdr:rowOff>
    </xdr:to>
    <xdr:sp macro="" textlink="">
      <xdr:nvSpPr>
        <xdr:cNvPr id="10" name="吹き出し: 四角形 9">
          <a:extLst>
            <a:ext uri="{FF2B5EF4-FFF2-40B4-BE49-F238E27FC236}">
              <a16:creationId xmlns:a16="http://schemas.microsoft.com/office/drawing/2014/main" id="{B3F53D38-4AAE-4D7C-9C74-17B37E4946CC}"/>
            </a:ext>
          </a:extLst>
        </xdr:cNvPr>
        <xdr:cNvSpPr/>
      </xdr:nvSpPr>
      <xdr:spPr>
        <a:xfrm>
          <a:off x="10656275" y="7388466"/>
          <a:ext cx="3653205" cy="769327"/>
        </a:xfrm>
        <a:prstGeom prst="wedgeRectCallout">
          <a:avLst>
            <a:gd name="adj1" fmla="val -134214"/>
            <a:gd name="adj2" fmla="val 205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rPr>
            <a:t>2</a:t>
          </a:r>
          <a:r>
            <a:rPr lang="ja-JP" altLang="en-US" sz="1000">
              <a:effectLst/>
            </a:rPr>
            <a:t>つのログを合わせてトレースログとしている認識ですが、該当のログ関連はアプリ側で設計した内容でしょうか？</a:t>
          </a:r>
          <a:endParaRPr lang="en-US" altLang="ja-JP"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基盤として設計した内容であれば、その背景と考え方をご教示ください。</a:t>
          </a:r>
          <a:endParaRPr lang="ja-JP" altLang="ja-JP" sz="1000">
            <a:effectLst/>
          </a:endParaRPr>
        </a:p>
      </xdr:txBody>
    </xdr:sp>
    <xdr:clientData/>
  </xdr:twoCellAnchor>
  <xdr:twoCellAnchor>
    <xdr:from>
      <xdr:col>49</xdr:col>
      <xdr:colOff>161190</xdr:colOff>
      <xdr:row>26</xdr:row>
      <xdr:rowOff>490904</xdr:rowOff>
    </xdr:from>
    <xdr:to>
      <xdr:col>63</xdr:col>
      <xdr:colOff>109902</xdr:colOff>
      <xdr:row>28</xdr:row>
      <xdr:rowOff>117231</xdr:rowOff>
    </xdr:to>
    <xdr:sp macro="" textlink="">
      <xdr:nvSpPr>
        <xdr:cNvPr id="11" name="吹き出し: 四角形 10">
          <a:extLst>
            <a:ext uri="{FF2B5EF4-FFF2-40B4-BE49-F238E27FC236}">
              <a16:creationId xmlns:a16="http://schemas.microsoft.com/office/drawing/2014/main" id="{9E12D160-DBDA-46D5-AC7F-C16CE814AE05}"/>
            </a:ext>
          </a:extLst>
        </xdr:cNvPr>
        <xdr:cNvSpPr/>
      </xdr:nvSpPr>
      <xdr:spPr>
        <a:xfrm>
          <a:off x="10008575" y="8096250"/>
          <a:ext cx="2718289" cy="769327"/>
        </a:xfrm>
        <a:prstGeom prst="wedgeRectCallout">
          <a:avLst>
            <a:gd name="adj1" fmla="val -70849"/>
            <a:gd name="adj2" fmla="val 1202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rPr>
            <a:t>MySQL</a:t>
          </a:r>
          <a:r>
            <a:rPr lang="ja-JP" altLang="en-US" sz="1000">
              <a:effectLst/>
            </a:rPr>
            <a:t>関連はアプリ側で設計なのであれば、枠だけ用意し「アプリ側で記載いただきたく」という内容にしておいてください。</a:t>
          </a:r>
          <a:endParaRPr lang="en-US" altLang="ja-JP"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認識相違ありましたらお教えください。</a:t>
          </a:r>
          <a:endParaRPr lang="ja-JP" altLang="ja-JP" sz="1000">
            <a:effectLst/>
          </a:endParaRPr>
        </a:p>
      </xdr:txBody>
    </xdr:sp>
    <xdr:clientData/>
  </xdr:twoCellAnchor>
  <xdr:twoCellAnchor>
    <xdr:from>
      <xdr:col>46</xdr:col>
      <xdr:colOff>159725</xdr:colOff>
      <xdr:row>28</xdr:row>
      <xdr:rowOff>291612</xdr:rowOff>
    </xdr:from>
    <xdr:to>
      <xdr:col>57</xdr:col>
      <xdr:colOff>20513</xdr:colOff>
      <xdr:row>31</xdr:row>
      <xdr:rowOff>95251</xdr:rowOff>
    </xdr:to>
    <xdr:sp macro="" textlink="">
      <xdr:nvSpPr>
        <xdr:cNvPr id="12" name="吹き出し: 四角形 11">
          <a:extLst>
            <a:ext uri="{FF2B5EF4-FFF2-40B4-BE49-F238E27FC236}">
              <a16:creationId xmlns:a16="http://schemas.microsoft.com/office/drawing/2014/main" id="{8A80F6D4-7565-47B7-811A-C138D4DDE60C}"/>
            </a:ext>
          </a:extLst>
        </xdr:cNvPr>
        <xdr:cNvSpPr/>
      </xdr:nvSpPr>
      <xdr:spPr>
        <a:xfrm>
          <a:off x="9413629" y="9376997"/>
          <a:ext cx="2036884" cy="1115158"/>
        </a:xfrm>
        <a:prstGeom prst="wedgeRectCallout">
          <a:avLst>
            <a:gd name="adj1" fmla="val -105725"/>
            <a:gd name="adj2" fmla="val -3407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例えば</a:t>
          </a:r>
          <a:r>
            <a:rPr lang="en-US" altLang="ja-JP" sz="1000">
              <a:effectLst/>
            </a:rPr>
            <a:t>26</a:t>
          </a:r>
          <a:r>
            <a:rPr lang="ja-JP" altLang="en-US" sz="1000">
              <a:effectLst/>
            </a:rPr>
            <a:t>行目の機能実装方式について「</a:t>
          </a:r>
          <a:r>
            <a:rPr lang="en-US" altLang="ja-JP" sz="1000">
              <a:effectLst/>
            </a:rPr>
            <a:t>WAS</a:t>
          </a:r>
          <a:r>
            <a:rPr lang="ja-JP" altLang="en-US" sz="1000">
              <a:effectLst/>
            </a:rPr>
            <a:t>障害発生時」と記載されているのを、「</a:t>
          </a:r>
          <a:r>
            <a:rPr lang="en-US" altLang="ja-JP" sz="1000">
              <a:effectLst/>
            </a:rPr>
            <a:t>WAS</a:t>
          </a:r>
          <a:r>
            <a:rPr lang="ja-JP" altLang="en-US" sz="1000">
              <a:effectLst/>
            </a:rPr>
            <a:t>（</a:t>
          </a:r>
          <a:r>
            <a:rPr lang="en-US" altLang="ja-JP" sz="1000">
              <a:effectLst/>
            </a:rPr>
            <a:t>CF)</a:t>
          </a:r>
          <a:r>
            <a:rPr lang="ja-JP" altLang="en-US" sz="1000">
              <a:effectLst/>
            </a:rPr>
            <a:t>障害発生時」というように修正ください。</a:t>
          </a:r>
          <a:endParaRPr lang="en-US" altLang="ja-JP"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rPr>
            <a:t>OMC</a:t>
          </a:r>
          <a:r>
            <a:rPr lang="ja-JP" altLang="en-US" sz="1000">
              <a:effectLst/>
            </a:rPr>
            <a:t>側は「</a:t>
          </a:r>
          <a:r>
            <a:rPr lang="en-US" altLang="ja-JP" sz="1000">
              <a:effectLst/>
            </a:rPr>
            <a:t>WAS</a:t>
          </a:r>
          <a:r>
            <a:rPr lang="ja-JP" altLang="en-US" sz="1000">
              <a:effectLst/>
            </a:rPr>
            <a:t>（</a:t>
          </a:r>
          <a:r>
            <a:rPr lang="en-US" altLang="ja-JP" sz="1000">
              <a:effectLst/>
            </a:rPr>
            <a:t>OMC)</a:t>
          </a:r>
          <a:r>
            <a:rPr lang="ja-JP" altLang="en-US" sz="1000">
              <a:effectLst/>
            </a:rPr>
            <a:t>障害発生時」と追記ください。</a:t>
          </a:r>
          <a:endParaRPr lang="en-US" altLang="ja-JP" sz="1000">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pageSetUpPr fitToPage="1"/>
  </sheetPr>
  <dimension ref="A1:CI30"/>
  <sheetViews>
    <sheetView tabSelected="1" topLeftCell="A23" zoomScale="130" zoomScaleNormal="130" zoomScaleSheetLayoutView="85" workbookViewId="0">
      <selection activeCell="Z23" sqref="Z23:AL23"/>
    </sheetView>
  </sheetViews>
  <sheetFormatPr defaultColWidth="2.625" defaultRowHeight="13.5" x14ac:dyDescent="0.15"/>
  <cols>
    <col min="1" max="1" width="4.625" customWidth="1"/>
    <col min="2" max="87" width="2.625" customWidth="1"/>
  </cols>
  <sheetData>
    <row r="1" spans="1:87" x14ac:dyDescent="0.15">
      <c r="A1" s="112" t="s">
        <v>0</v>
      </c>
      <c r="B1" s="113"/>
      <c r="C1" s="113"/>
      <c r="D1" s="113"/>
      <c r="E1" s="113"/>
      <c r="F1" s="113"/>
      <c r="G1" s="113"/>
      <c r="H1" s="113"/>
      <c r="I1" s="113"/>
      <c r="J1" s="113"/>
      <c r="K1" s="112" t="s">
        <v>36</v>
      </c>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6"/>
      <c r="BE1" s="60" t="s">
        <v>38</v>
      </c>
      <c r="BF1" s="60"/>
      <c r="BG1" s="60"/>
      <c r="BH1" s="60"/>
      <c r="BI1" s="60"/>
      <c r="BJ1" s="60" t="s">
        <v>39</v>
      </c>
      <c r="BK1" s="60"/>
      <c r="BL1" s="60"/>
      <c r="BM1" s="60"/>
      <c r="BN1" s="60"/>
      <c r="BO1" s="60" t="s">
        <v>37</v>
      </c>
      <c r="BP1" s="60"/>
      <c r="BQ1" s="60"/>
      <c r="BR1" s="60"/>
      <c r="BS1" s="60"/>
      <c r="BT1" s="60" t="s">
        <v>50</v>
      </c>
      <c r="BU1" s="60"/>
      <c r="BV1" s="60"/>
      <c r="BW1" s="60"/>
      <c r="BX1" s="60"/>
      <c r="BY1" s="60"/>
      <c r="BZ1" s="60"/>
      <c r="CA1" s="60"/>
      <c r="CB1" s="60"/>
      <c r="CC1" s="60"/>
      <c r="CD1" s="60"/>
      <c r="CE1" s="60"/>
      <c r="CF1" s="60"/>
      <c r="CG1" s="60"/>
      <c r="CH1" s="60"/>
      <c r="CI1" s="60"/>
    </row>
    <row r="2" spans="1:87" x14ac:dyDescent="0.15">
      <c r="A2" s="114"/>
      <c r="B2" s="115"/>
      <c r="C2" s="115"/>
      <c r="D2" s="115"/>
      <c r="E2" s="115"/>
      <c r="F2" s="115"/>
      <c r="G2" s="115"/>
      <c r="H2" s="115"/>
      <c r="I2" s="115"/>
      <c r="J2" s="115"/>
      <c r="K2" s="114"/>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7"/>
      <c r="BE2" s="60" t="s">
        <v>48</v>
      </c>
      <c r="BF2" s="60"/>
      <c r="BG2" s="60"/>
      <c r="BH2" s="60"/>
      <c r="BI2" s="60"/>
      <c r="BJ2" s="60" t="s">
        <v>48</v>
      </c>
      <c r="BK2" s="60"/>
      <c r="BL2" s="60"/>
      <c r="BM2" s="60"/>
      <c r="BN2" s="60"/>
      <c r="BO2" s="60" t="s">
        <v>48</v>
      </c>
      <c r="BP2" s="60"/>
      <c r="BQ2" s="60"/>
      <c r="BR2" s="60"/>
      <c r="BS2" s="60"/>
      <c r="BT2" s="60" t="s">
        <v>40</v>
      </c>
      <c r="BU2" s="60"/>
      <c r="BV2" s="60"/>
      <c r="BW2" s="60"/>
      <c r="BX2" s="60"/>
      <c r="BY2" s="60"/>
      <c r="BZ2" s="60" t="s">
        <v>39</v>
      </c>
      <c r="CA2" s="60"/>
      <c r="CB2" s="60"/>
      <c r="CC2" s="60"/>
      <c r="CD2" s="60"/>
      <c r="CE2" s="60" t="s">
        <v>37</v>
      </c>
      <c r="CF2" s="60"/>
      <c r="CG2" s="60"/>
      <c r="CH2" s="60"/>
      <c r="CI2" s="60"/>
    </row>
    <row r="3" spans="1:87" x14ac:dyDescent="0.15">
      <c r="A3" s="114"/>
      <c r="B3" s="115"/>
      <c r="C3" s="115"/>
      <c r="D3" s="115"/>
      <c r="E3" s="115"/>
      <c r="F3" s="115"/>
      <c r="G3" s="115"/>
      <c r="H3" s="115"/>
      <c r="I3" s="115"/>
      <c r="J3" s="115"/>
      <c r="K3" s="114"/>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7"/>
      <c r="BE3" s="8"/>
      <c r="BF3" s="8"/>
      <c r="BG3" s="8"/>
      <c r="BH3" s="8"/>
      <c r="BI3" s="8"/>
      <c r="BJ3" s="8"/>
      <c r="BK3" s="8"/>
      <c r="BL3" s="8"/>
      <c r="BM3" s="8"/>
      <c r="BN3" s="8"/>
      <c r="BO3" s="8"/>
      <c r="BP3" s="8"/>
      <c r="BQ3" s="8"/>
      <c r="BR3" s="8"/>
      <c r="BS3" s="8"/>
      <c r="BT3" s="8"/>
      <c r="BU3" s="8"/>
      <c r="BV3" s="8"/>
      <c r="BW3" s="8"/>
      <c r="BX3" s="8"/>
      <c r="BY3" s="8"/>
      <c r="BZ3" s="60" t="s">
        <v>49</v>
      </c>
      <c r="CA3" s="60"/>
      <c r="CB3" s="60"/>
      <c r="CC3" s="60"/>
      <c r="CD3" s="60"/>
      <c r="CE3" s="60" t="s">
        <v>49</v>
      </c>
      <c r="CF3" s="60"/>
      <c r="CG3" s="60"/>
      <c r="CH3" s="60"/>
      <c r="CI3" s="60"/>
    </row>
    <row r="4" spans="1:87" x14ac:dyDescent="0.15">
      <c r="A4" s="114"/>
      <c r="B4" s="115"/>
      <c r="C4" s="115"/>
      <c r="D4" s="115"/>
      <c r="E4" s="115"/>
      <c r="F4" s="115"/>
      <c r="G4" s="115"/>
      <c r="H4" s="115"/>
      <c r="I4" s="115"/>
      <c r="J4" s="115"/>
      <c r="K4" s="114"/>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7"/>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row>
    <row r="5" spans="1:87" x14ac:dyDescent="0.15">
      <c r="A5" s="98" t="s">
        <v>46</v>
      </c>
      <c r="B5" s="99"/>
      <c r="C5" s="99"/>
      <c r="D5" s="99"/>
      <c r="E5" s="99"/>
      <c r="F5" s="99"/>
      <c r="G5" s="99"/>
      <c r="H5" s="99"/>
      <c r="I5" s="99"/>
      <c r="J5" s="99"/>
      <c r="K5" s="99"/>
      <c r="L5" s="99"/>
      <c r="M5" s="99"/>
      <c r="N5" s="99"/>
      <c r="O5" s="99"/>
      <c r="P5" s="99"/>
      <c r="Q5" s="99"/>
      <c r="R5" s="99"/>
      <c r="S5" s="99"/>
      <c r="T5" s="99"/>
      <c r="U5" s="99"/>
      <c r="V5" s="99"/>
      <c r="W5" s="100"/>
      <c r="X5" s="98" t="s">
        <v>47</v>
      </c>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100"/>
      <c r="BE5" s="100"/>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row>
    <row r="6" spans="1:87" x14ac:dyDescent="0.15">
      <c r="A6" s="98"/>
      <c r="B6" s="99"/>
      <c r="C6" s="99"/>
      <c r="D6" s="99"/>
      <c r="E6" s="99"/>
      <c r="F6" s="99"/>
      <c r="G6" s="99"/>
      <c r="H6" s="99"/>
      <c r="I6" s="99"/>
      <c r="J6" s="99"/>
      <c r="K6" s="99"/>
      <c r="L6" s="99"/>
      <c r="M6" s="99"/>
      <c r="N6" s="99"/>
      <c r="O6" s="99"/>
      <c r="P6" s="99"/>
      <c r="Q6" s="99"/>
      <c r="R6" s="99"/>
      <c r="S6" s="99"/>
      <c r="T6" s="99"/>
      <c r="U6" s="99"/>
      <c r="V6" s="99"/>
      <c r="W6" s="100"/>
      <c r="X6" s="98"/>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100"/>
      <c r="BE6" s="100"/>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row>
    <row r="7" spans="1:87" x14ac:dyDescent="0.15">
      <c r="A7" s="98" t="s">
        <v>41</v>
      </c>
      <c r="B7" s="99"/>
      <c r="C7" s="99"/>
      <c r="D7" s="99"/>
      <c r="E7" s="99"/>
      <c r="F7" s="99"/>
      <c r="G7" s="99"/>
      <c r="H7" s="99"/>
      <c r="I7" s="99"/>
      <c r="J7" s="99"/>
      <c r="K7" s="99"/>
      <c r="L7" s="99"/>
      <c r="M7" s="99"/>
      <c r="N7" s="99"/>
      <c r="O7" s="99"/>
      <c r="P7" s="99"/>
      <c r="Q7" s="99"/>
      <c r="R7" s="99"/>
      <c r="S7" s="99"/>
      <c r="T7" s="99"/>
      <c r="U7" s="99"/>
      <c r="V7" s="99"/>
      <c r="W7" s="100"/>
      <c r="X7" s="98" t="s">
        <v>42</v>
      </c>
      <c r="Y7" s="99"/>
      <c r="Z7" s="99"/>
      <c r="AA7" s="99"/>
      <c r="AB7" s="99"/>
      <c r="AC7" s="99"/>
      <c r="AD7" s="99"/>
      <c r="AE7" s="99"/>
      <c r="AF7" s="99"/>
      <c r="AG7" s="99"/>
      <c r="AH7" s="99"/>
      <c r="AI7" s="99"/>
      <c r="AJ7" s="99"/>
      <c r="AK7" s="99"/>
      <c r="AL7" s="100"/>
      <c r="AM7" s="98" t="s">
        <v>1</v>
      </c>
      <c r="AN7" s="99"/>
      <c r="AO7" s="99"/>
      <c r="AP7" s="99"/>
      <c r="AQ7" s="99"/>
      <c r="AR7" s="99"/>
      <c r="AS7" s="99"/>
      <c r="AT7" s="99"/>
      <c r="AU7" s="100"/>
      <c r="AV7" s="98" t="s">
        <v>43</v>
      </c>
      <c r="AW7" s="99"/>
      <c r="AX7" s="99"/>
      <c r="AY7" s="99"/>
      <c r="AZ7" s="99"/>
      <c r="BA7" s="99"/>
      <c r="BB7" s="99"/>
      <c r="BC7" s="99"/>
      <c r="BD7" s="100"/>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row>
    <row r="8" spans="1:87" x14ac:dyDescent="0.15">
      <c r="A8" s="98"/>
      <c r="B8" s="99"/>
      <c r="C8" s="99"/>
      <c r="D8" s="99"/>
      <c r="E8" s="99"/>
      <c r="F8" s="99"/>
      <c r="G8" s="99"/>
      <c r="H8" s="99"/>
      <c r="I8" s="99"/>
      <c r="J8" s="99"/>
      <c r="K8" s="99"/>
      <c r="L8" s="99"/>
      <c r="M8" s="99"/>
      <c r="N8" s="99"/>
      <c r="O8" s="99"/>
      <c r="P8" s="99"/>
      <c r="Q8" s="99"/>
      <c r="R8" s="99"/>
      <c r="S8" s="99"/>
      <c r="T8" s="99"/>
      <c r="U8" s="99"/>
      <c r="V8" s="99"/>
      <c r="W8" s="100"/>
      <c r="X8" s="98"/>
      <c r="Y8" s="99"/>
      <c r="Z8" s="99"/>
      <c r="AA8" s="99"/>
      <c r="AB8" s="99"/>
      <c r="AC8" s="99"/>
      <c r="AD8" s="99"/>
      <c r="AE8" s="99"/>
      <c r="AF8" s="99"/>
      <c r="AG8" s="99"/>
      <c r="AH8" s="99"/>
      <c r="AI8" s="99"/>
      <c r="AJ8" s="99"/>
      <c r="AK8" s="99"/>
      <c r="AL8" s="100"/>
      <c r="AM8" s="107"/>
      <c r="AN8" s="108"/>
      <c r="AO8" s="108"/>
      <c r="AP8" s="108"/>
      <c r="AQ8" s="108"/>
      <c r="AR8" s="108"/>
      <c r="AS8" s="108"/>
      <c r="AT8" s="108"/>
      <c r="AU8" s="109"/>
      <c r="AV8" s="98"/>
      <c r="AW8" s="99"/>
      <c r="AX8" s="99"/>
      <c r="AY8" s="99"/>
      <c r="AZ8" s="99"/>
      <c r="BA8" s="99"/>
      <c r="BB8" s="99"/>
      <c r="BC8" s="99"/>
      <c r="BD8" s="100"/>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row>
    <row r="10" spans="1:87" ht="13.5" customHeight="1" x14ac:dyDescent="0.15">
      <c r="A10" s="110" t="s">
        <v>12</v>
      </c>
      <c r="B10" s="110"/>
      <c r="C10" s="110"/>
      <c r="D10" s="110"/>
      <c r="E10" s="110"/>
      <c r="F10" s="110"/>
      <c r="G10" s="110"/>
      <c r="H10" s="110"/>
      <c r="I10" s="110"/>
      <c r="J10" s="110"/>
      <c r="K10" s="110" t="s">
        <v>13</v>
      </c>
      <c r="L10" s="110"/>
      <c r="M10" s="110"/>
      <c r="N10" s="110"/>
      <c r="O10" s="110"/>
      <c r="P10" s="110"/>
      <c r="Q10" s="110"/>
      <c r="R10" s="110"/>
      <c r="S10" s="110"/>
      <c r="T10" s="110"/>
      <c r="U10" s="110"/>
      <c r="V10" s="110" t="s">
        <v>14</v>
      </c>
      <c r="W10" s="110"/>
      <c r="X10" s="110"/>
      <c r="Y10" s="110"/>
      <c r="Z10" s="110"/>
      <c r="AA10" s="110"/>
      <c r="AB10" s="110"/>
      <c r="AC10" s="110"/>
      <c r="AD10" s="110"/>
      <c r="AE10" s="110"/>
      <c r="AF10" s="110"/>
      <c r="AG10" s="110"/>
      <c r="AH10" s="110"/>
      <c r="AI10" s="110"/>
      <c r="AJ10" s="110"/>
      <c r="AK10" s="110"/>
      <c r="AL10" s="110"/>
      <c r="AM10" s="1"/>
      <c r="AN10" s="1"/>
      <c r="AO10" s="1"/>
      <c r="AP10" s="1"/>
      <c r="AQ10" s="1"/>
      <c r="AR10" s="1"/>
      <c r="AS10" s="1"/>
      <c r="AT10" s="1"/>
      <c r="AU10" s="1"/>
      <c r="AV10" s="1"/>
      <c r="AW10" s="40" t="s">
        <v>17</v>
      </c>
      <c r="AX10" s="40"/>
      <c r="AY10" s="40"/>
      <c r="AZ10" s="40"/>
      <c r="BA10" s="40"/>
      <c r="BB10" s="40"/>
      <c r="BC10" s="40"/>
      <c r="BD10" s="40"/>
      <c r="BE10" s="40"/>
      <c r="BF10" s="40"/>
      <c r="BG10" s="40"/>
      <c r="BH10" s="40"/>
      <c r="BI10" s="41" t="s">
        <v>18</v>
      </c>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3"/>
    </row>
    <row r="11" spans="1:87" x14ac:dyDescent="0.15">
      <c r="A11" s="110"/>
      <c r="B11" s="110"/>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
      <c r="AN11" s="1"/>
      <c r="AO11" s="1"/>
      <c r="AP11" s="1"/>
      <c r="AQ11" s="1"/>
      <c r="AR11" s="1"/>
      <c r="AS11" s="1"/>
      <c r="AT11" s="1"/>
      <c r="AU11" s="1"/>
      <c r="AV11" s="1"/>
      <c r="AW11" s="58" t="s">
        <v>11</v>
      </c>
      <c r="AX11" s="59"/>
      <c r="AY11" s="59"/>
      <c r="AZ11" s="59"/>
      <c r="BA11" s="96" t="s">
        <v>19</v>
      </c>
      <c r="BB11" s="96"/>
      <c r="BC11" s="96"/>
      <c r="BD11" s="96"/>
      <c r="BE11" s="96"/>
      <c r="BF11" s="96"/>
      <c r="BG11" s="96"/>
      <c r="BH11" s="97"/>
      <c r="BI11" s="87"/>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9"/>
    </row>
    <row r="12" spans="1:87" ht="13.5" customHeight="1" x14ac:dyDescent="0.15">
      <c r="A12" s="8" t="s">
        <v>10</v>
      </c>
      <c r="B12" s="8"/>
      <c r="C12" s="8"/>
      <c r="D12" s="8"/>
      <c r="E12" s="8"/>
      <c r="F12" s="8"/>
      <c r="G12" s="8"/>
      <c r="H12" s="8"/>
      <c r="I12" s="8"/>
      <c r="J12" s="8"/>
      <c r="K12" s="8"/>
      <c r="L12" s="8"/>
      <c r="M12" s="8"/>
      <c r="N12" s="8"/>
      <c r="O12" s="8"/>
      <c r="P12" s="8"/>
      <c r="Q12" s="8"/>
      <c r="R12" s="8"/>
      <c r="S12" s="8"/>
      <c r="T12" s="8"/>
      <c r="U12" s="8"/>
      <c r="V12" s="8" t="s">
        <v>53</v>
      </c>
      <c r="W12" s="8"/>
      <c r="X12" s="8"/>
      <c r="Y12" s="8"/>
      <c r="Z12" s="8"/>
      <c r="AA12" s="8"/>
      <c r="AB12" s="8"/>
      <c r="AC12" s="8"/>
      <c r="AD12" s="8"/>
      <c r="AE12" s="8"/>
      <c r="AF12" s="8"/>
      <c r="AG12" s="8"/>
      <c r="AH12" s="8"/>
      <c r="AI12" s="8"/>
      <c r="AJ12" s="8"/>
      <c r="AK12" s="8"/>
      <c r="AL12" s="8"/>
      <c r="AM12" s="1"/>
      <c r="AN12" s="1"/>
      <c r="AO12" s="1"/>
      <c r="AP12" s="1"/>
      <c r="AQ12" s="1"/>
      <c r="AR12" s="1"/>
      <c r="AS12" s="1"/>
      <c r="AT12" s="1"/>
      <c r="AU12" s="1"/>
      <c r="AV12" s="1"/>
      <c r="AW12" s="73" t="s">
        <v>11</v>
      </c>
      <c r="AX12" s="74"/>
      <c r="AY12" s="74"/>
      <c r="AZ12" s="74"/>
      <c r="BA12" s="75" t="s">
        <v>2</v>
      </c>
      <c r="BB12" s="75"/>
      <c r="BC12" s="75"/>
      <c r="BD12" s="75"/>
      <c r="BE12" s="75"/>
      <c r="BF12" s="75"/>
      <c r="BG12" s="75"/>
      <c r="BH12" s="76"/>
      <c r="BI12" s="90"/>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2"/>
    </row>
    <row r="13" spans="1:87" x14ac:dyDescent="0.1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1"/>
      <c r="AN13" s="1"/>
      <c r="AO13" s="1"/>
      <c r="AP13" s="1"/>
      <c r="AQ13" s="1"/>
      <c r="AR13" s="1"/>
      <c r="AS13" s="1"/>
      <c r="AT13" s="1"/>
      <c r="AU13" s="1"/>
      <c r="AV13" s="1"/>
      <c r="AW13" s="79" t="s">
        <v>11</v>
      </c>
      <c r="AX13" s="80"/>
      <c r="AY13" s="80"/>
      <c r="AZ13" s="80"/>
      <c r="BA13" s="77" t="s">
        <v>20</v>
      </c>
      <c r="BB13" s="77"/>
      <c r="BC13" s="77"/>
      <c r="BD13" s="77"/>
      <c r="BE13" s="77"/>
      <c r="BF13" s="77"/>
      <c r="BG13" s="77"/>
      <c r="BH13" s="78"/>
      <c r="BI13" s="93"/>
      <c r="BJ13" s="94"/>
      <c r="BK13" s="94"/>
      <c r="BL13" s="94"/>
      <c r="BM13" s="94"/>
      <c r="BN13" s="94"/>
      <c r="BO13" s="94"/>
      <c r="BP13" s="94"/>
      <c r="BQ13" s="94"/>
      <c r="BR13" s="94"/>
      <c r="BS13" s="94"/>
      <c r="BT13" s="94"/>
      <c r="BU13" s="94"/>
      <c r="BV13" s="94"/>
      <c r="BW13" s="94"/>
      <c r="BX13" s="94"/>
      <c r="BY13" s="94"/>
      <c r="BZ13" s="94"/>
      <c r="CA13" s="94"/>
      <c r="CB13" s="94"/>
      <c r="CC13" s="94"/>
      <c r="CD13" s="94"/>
      <c r="CE13" s="94"/>
      <c r="CF13" s="94"/>
      <c r="CG13" s="94"/>
      <c r="CH13" s="94"/>
      <c r="CI13" s="95"/>
    </row>
    <row r="14" spans="1:87" x14ac:dyDescent="0.15">
      <c r="BB14" s="2" t="s">
        <v>3</v>
      </c>
      <c r="BC14" s="2"/>
    </row>
    <row r="15" spans="1:87" x14ac:dyDescent="0.15">
      <c r="A15" s="34" t="s">
        <v>15</v>
      </c>
      <c r="B15" s="35"/>
      <c r="C15" s="35"/>
      <c r="D15" s="35"/>
      <c r="E15" s="35"/>
      <c r="F15" s="35"/>
      <c r="G15" s="35"/>
      <c r="H15" s="35"/>
      <c r="I15" s="35"/>
      <c r="J15" s="36"/>
      <c r="K15" s="111" t="s">
        <v>51</v>
      </c>
      <c r="L15" s="111"/>
      <c r="M15" s="111"/>
      <c r="N15" s="111"/>
      <c r="O15" s="51"/>
      <c r="P15" s="51"/>
      <c r="Q15" s="51"/>
      <c r="R15" s="51"/>
      <c r="S15" s="51"/>
      <c r="T15" s="51"/>
      <c r="U15" s="51"/>
      <c r="V15" s="110" t="s">
        <v>21</v>
      </c>
      <c r="W15" s="110"/>
      <c r="X15" s="110"/>
      <c r="Y15" s="110"/>
      <c r="Z15" s="110"/>
      <c r="AA15" s="110"/>
      <c r="AB15" s="110"/>
      <c r="AC15" s="110"/>
      <c r="AD15" s="110"/>
      <c r="AE15" s="110"/>
      <c r="AF15" s="110"/>
      <c r="AG15" s="110"/>
      <c r="AH15" s="110"/>
      <c r="AI15" s="110"/>
      <c r="AJ15" s="110"/>
      <c r="AK15" s="110"/>
      <c r="AL15" s="110"/>
      <c r="AM15" s="51" t="s">
        <v>4</v>
      </c>
      <c r="AN15" s="51"/>
      <c r="AO15" s="51"/>
      <c r="AP15" s="51"/>
      <c r="AQ15" s="51" t="s">
        <v>22</v>
      </c>
      <c r="AR15" s="51"/>
      <c r="AS15" s="51"/>
      <c r="AT15" s="51"/>
      <c r="AU15" s="51"/>
      <c r="AV15" s="51" t="s">
        <v>16</v>
      </c>
      <c r="AW15" s="51"/>
      <c r="AX15" s="51"/>
      <c r="AY15" s="51"/>
      <c r="AZ15" s="51"/>
      <c r="BA15" s="51"/>
      <c r="BB15" s="51"/>
      <c r="BC15" s="51"/>
      <c r="BD15" s="51"/>
      <c r="BE15" s="51"/>
      <c r="BF15" s="51"/>
      <c r="BG15" s="51"/>
      <c r="BH15" s="51"/>
      <c r="BI15" s="51"/>
      <c r="BJ15" s="51"/>
      <c r="BK15" s="51" t="s">
        <v>23</v>
      </c>
      <c r="BL15" s="51"/>
      <c r="BM15" s="51"/>
      <c r="BN15" s="51"/>
      <c r="BO15" s="51"/>
      <c r="BP15" s="51" t="s">
        <v>5</v>
      </c>
      <c r="BQ15" s="51"/>
      <c r="BR15" s="51"/>
      <c r="BS15" s="51"/>
      <c r="BT15" s="51"/>
      <c r="BU15" s="51" t="s">
        <v>24</v>
      </c>
      <c r="BV15" s="51"/>
      <c r="BW15" s="51"/>
      <c r="BX15" s="51"/>
      <c r="BY15" s="51"/>
      <c r="BZ15" s="51" t="s">
        <v>25</v>
      </c>
      <c r="CA15" s="51"/>
      <c r="CB15" s="51"/>
      <c r="CC15" s="51"/>
      <c r="CD15" s="51"/>
      <c r="CE15" s="50" t="s">
        <v>26</v>
      </c>
      <c r="CF15" s="50"/>
      <c r="CG15" s="50"/>
      <c r="CH15" s="50"/>
      <c r="CI15" s="50"/>
    </row>
    <row r="16" spans="1:87" ht="45" customHeight="1" x14ac:dyDescent="0.15">
      <c r="A16" s="119"/>
      <c r="B16" s="120"/>
      <c r="C16" s="120"/>
      <c r="D16" s="120"/>
      <c r="E16" s="120"/>
      <c r="F16" s="120"/>
      <c r="G16" s="120"/>
      <c r="H16" s="120"/>
      <c r="I16" s="120"/>
      <c r="J16" s="121"/>
      <c r="K16" s="118"/>
      <c r="L16" s="118"/>
      <c r="M16" s="118"/>
      <c r="N16" s="118"/>
      <c r="O16" s="118"/>
      <c r="P16" s="118"/>
      <c r="Q16" s="118"/>
      <c r="R16" s="118"/>
      <c r="S16" s="118"/>
      <c r="T16" s="118"/>
      <c r="U16" s="118"/>
      <c r="V16" s="118" t="s">
        <v>52</v>
      </c>
      <c r="W16" s="118"/>
      <c r="X16" s="118"/>
      <c r="Y16" s="118"/>
      <c r="Z16" s="118"/>
      <c r="AA16" s="118"/>
      <c r="AB16" s="118"/>
      <c r="AC16" s="118"/>
      <c r="AD16" s="118"/>
      <c r="AE16" s="118"/>
      <c r="AF16" s="118"/>
      <c r="AG16" s="118"/>
      <c r="AH16" s="118"/>
      <c r="AI16" s="118"/>
      <c r="AJ16" s="118"/>
      <c r="AK16" s="118"/>
      <c r="AL16" s="118"/>
      <c r="AM16" s="122"/>
      <c r="AN16" s="123"/>
      <c r="AO16" s="123"/>
      <c r="AP16" s="124"/>
      <c r="AQ16" s="61"/>
      <c r="AR16" s="62"/>
      <c r="AS16" s="62"/>
      <c r="AT16" s="62"/>
      <c r="AU16" s="63"/>
      <c r="AV16" s="4"/>
      <c r="AW16" s="4"/>
      <c r="AX16" s="4"/>
      <c r="AY16" s="4"/>
      <c r="AZ16" s="4"/>
      <c r="BA16" s="4"/>
      <c r="BB16" s="4"/>
      <c r="BC16" s="4"/>
      <c r="BD16" s="4"/>
      <c r="BE16" s="4"/>
      <c r="BF16" s="4"/>
      <c r="BG16" s="4"/>
      <c r="BH16" s="4"/>
      <c r="BI16" s="4"/>
      <c r="BJ16" s="4"/>
      <c r="BK16" s="52"/>
      <c r="BL16" s="53"/>
      <c r="BM16" s="53"/>
      <c r="BN16" s="53"/>
      <c r="BO16" s="54"/>
      <c r="BP16" s="81"/>
      <c r="BQ16" s="82"/>
      <c r="BR16" s="82"/>
      <c r="BS16" s="82"/>
      <c r="BT16" s="83"/>
      <c r="BU16" s="67"/>
      <c r="BV16" s="68"/>
      <c r="BW16" s="68"/>
      <c r="BX16" s="68"/>
      <c r="BY16" s="69"/>
      <c r="BZ16" s="44"/>
      <c r="CA16" s="45"/>
      <c r="CB16" s="45"/>
      <c r="CC16" s="45"/>
      <c r="CD16" s="46"/>
      <c r="CE16" s="101">
        <f>BU16*BZ16</f>
        <v>0</v>
      </c>
      <c r="CF16" s="102"/>
      <c r="CG16" s="102"/>
      <c r="CH16" s="102"/>
      <c r="CI16" s="103"/>
    </row>
    <row r="17" spans="1:87" ht="45" customHeight="1" x14ac:dyDescent="0.15">
      <c r="A17" s="37"/>
      <c r="B17" s="38"/>
      <c r="C17" s="38"/>
      <c r="D17" s="38"/>
      <c r="E17" s="38"/>
      <c r="F17" s="38"/>
      <c r="G17" s="38"/>
      <c r="H17" s="38"/>
      <c r="I17" s="38"/>
      <c r="J17" s="39"/>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25"/>
      <c r="AN17" s="126"/>
      <c r="AO17" s="126"/>
      <c r="AP17" s="127"/>
      <c r="AQ17" s="64"/>
      <c r="AR17" s="65"/>
      <c r="AS17" s="65"/>
      <c r="AT17" s="65"/>
      <c r="AU17" s="66"/>
      <c r="AV17" s="4"/>
      <c r="AW17" s="4"/>
      <c r="AX17" s="4"/>
      <c r="AY17" s="4"/>
      <c r="AZ17" s="4"/>
      <c r="BA17" s="4"/>
      <c r="BB17" s="4"/>
      <c r="BC17" s="4"/>
      <c r="BD17" s="4"/>
      <c r="BE17" s="4"/>
      <c r="BF17" s="4"/>
      <c r="BG17" s="4"/>
      <c r="BH17" s="4"/>
      <c r="BI17" s="4"/>
      <c r="BJ17" s="4"/>
      <c r="BK17" s="55"/>
      <c r="BL17" s="56"/>
      <c r="BM17" s="56"/>
      <c r="BN17" s="56"/>
      <c r="BO17" s="57"/>
      <c r="BP17" s="84"/>
      <c r="BQ17" s="85"/>
      <c r="BR17" s="85"/>
      <c r="BS17" s="85"/>
      <c r="BT17" s="86"/>
      <c r="BU17" s="70"/>
      <c r="BV17" s="71"/>
      <c r="BW17" s="71"/>
      <c r="BX17" s="71"/>
      <c r="BY17" s="72"/>
      <c r="BZ17" s="47"/>
      <c r="CA17" s="48"/>
      <c r="CB17" s="48"/>
      <c r="CC17" s="48"/>
      <c r="CD17" s="49"/>
      <c r="CE17" s="104"/>
      <c r="CF17" s="105"/>
      <c r="CG17" s="105"/>
      <c r="CH17" s="105"/>
      <c r="CI17" s="106"/>
    </row>
    <row r="19" spans="1:87" x14ac:dyDescent="0.15">
      <c r="A19" s="110" t="s">
        <v>27</v>
      </c>
      <c r="B19" s="110" t="s">
        <v>28</v>
      </c>
      <c r="C19" s="110"/>
      <c r="D19" s="110"/>
      <c r="E19" s="110"/>
      <c r="F19" s="110"/>
      <c r="G19" s="110"/>
      <c r="H19" s="110"/>
      <c r="I19" s="110"/>
      <c r="J19" s="110"/>
      <c r="K19" s="34" t="s">
        <v>29</v>
      </c>
      <c r="L19" s="35"/>
      <c r="M19" s="35"/>
      <c r="N19" s="35"/>
      <c r="O19" s="35"/>
      <c r="P19" s="35"/>
      <c r="Q19" s="35"/>
      <c r="R19" s="35"/>
      <c r="S19" s="35"/>
      <c r="T19" s="35"/>
      <c r="U19" s="36"/>
      <c r="V19" s="34" t="s">
        <v>30</v>
      </c>
      <c r="W19" s="35"/>
      <c r="X19" s="35"/>
      <c r="Y19" s="36"/>
      <c r="Z19" s="34" t="s">
        <v>6</v>
      </c>
      <c r="AA19" s="35"/>
      <c r="AB19" s="35"/>
      <c r="AC19" s="35"/>
      <c r="AD19" s="35"/>
      <c r="AE19" s="35"/>
      <c r="AF19" s="35"/>
      <c r="AG19" s="35"/>
      <c r="AH19" s="35"/>
      <c r="AI19" s="35"/>
      <c r="AJ19" s="35"/>
      <c r="AK19" s="35"/>
      <c r="AL19" s="36"/>
      <c r="AM19" s="34" t="s">
        <v>7</v>
      </c>
      <c r="AN19" s="35"/>
      <c r="AO19" s="35"/>
      <c r="AP19" s="36"/>
      <c r="AQ19" s="34" t="s">
        <v>31</v>
      </c>
      <c r="AR19" s="35"/>
      <c r="AS19" s="35"/>
      <c r="AT19" s="35"/>
      <c r="AU19" s="36"/>
      <c r="AV19" s="34" t="s">
        <v>32</v>
      </c>
      <c r="AW19" s="35"/>
      <c r="AX19" s="35"/>
      <c r="AY19" s="35"/>
      <c r="AZ19" s="36"/>
      <c r="BA19" s="34" t="s">
        <v>33</v>
      </c>
      <c r="BB19" s="35"/>
      <c r="BC19" s="35"/>
      <c r="BD19" s="36"/>
      <c r="BE19" s="34" t="s">
        <v>34</v>
      </c>
      <c r="BF19" s="35"/>
      <c r="BG19" s="35"/>
      <c r="BH19" s="35"/>
      <c r="BI19" s="35"/>
      <c r="BJ19" s="36"/>
      <c r="BK19" s="34" t="s">
        <v>35</v>
      </c>
      <c r="BL19" s="35"/>
      <c r="BM19" s="35"/>
      <c r="BN19" s="35"/>
      <c r="BO19" s="36"/>
      <c r="BP19" s="34" t="s">
        <v>45</v>
      </c>
      <c r="BQ19" s="35"/>
      <c r="BR19" s="35"/>
      <c r="BS19" s="35"/>
      <c r="BT19" s="36"/>
      <c r="BU19" s="34" t="s">
        <v>8</v>
      </c>
      <c r="BV19" s="35"/>
      <c r="BW19" s="35"/>
      <c r="BX19" s="35"/>
      <c r="BY19" s="36"/>
      <c r="BZ19" s="34" t="s">
        <v>44</v>
      </c>
      <c r="CA19" s="35"/>
      <c r="CB19" s="35"/>
      <c r="CC19" s="35"/>
      <c r="CD19" s="36"/>
      <c r="CE19" s="34" t="s">
        <v>9</v>
      </c>
      <c r="CF19" s="35"/>
      <c r="CG19" s="35"/>
      <c r="CH19" s="35"/>
      <c r="CI19" s="36"/>
    </row>
    <row r="20" spans="1:87" x14ac:dyDescent="0.15">
      <c r="A20" s="110"/>
      <c r="B20" s="110"/>
      <c r="C20" s="110"/>
      <c r="D20" s="110"/>
      <c r="E20" s="110"/>
      <c r="F20" s="110"/>
      <c r="G20" s="110"/>
      <c r="H20" s="110"/>
      <c r="I20" s="110"/>
      <c r="J20" s="110"/>
      <c r="K20" s="37"/>
      <c r="L20" s="38"/>
      <c r="M20" s="38"/>
      <c r="N20" s="38"/>
      <c r="O20" s="38"/>
      <c r="P20" s="38"/>
      <c r="Q20" s="38"/>
      <c r="R20" s="38"/>
      <c r="S20" s="38"/>
      <c r="T20" s="38"/>
      <c r="U20" s="39"/>
      <c r="V20" s="37"/>
      <c r="W20" s="38"/>
      <c r="X20" s="38"/>
      <c r="Y20" s="39"/>
      <c r="Z20" s="37"/>
      <c r="AA20" s="38"/>
      <c r="AB20" s="38"/>
      <c r="AC20" s="38"/>
      <c r="AD20" s="38"/>
      <c r="AE20" s="38"/>
      <c r="AF20" s="38"/>
      <c r="AG20" s="38"/>
      <c r="AH20" s="38"/>
      <c r="AI20" s="38"/>
      <c r="AJ20" s="38"/>
      <c r="AK20" s="38"/>
      <c r="AL20" s="39"/>
      <c r="AM20" s="37"/>
      <c r="AN20" s="38"/>
      <c r="AO20" s="38"/>
      <c r="AP20" s="39"/>
      <c r="AQ20" s="37"/>
      <c r="AR20" s="38"/>
      <c r="AS20" s="38"/>
      <c r="AT20" s="38"/>
      <c r="AU20" s="39"/>
      <c r="AV20" s="37"/>
      <c r="AW20" s="38"/>
      <c r="AX20" s="38"/>
      <c r="AY20" s="38"/>
      <c r="AZ20" s="39"/>
      <c r="BA20" s="37"/>
      <c r="BB20" s="38"/>
      <c r="BC20" s="38"/>
      <c r="BD20" s="39"/>
      <c r="BE20" s="37"/>
      <c r="BF20" s="38"/>
      <c r="BG20" s="38"/>
      <c r="BH20" s="38"/>
      <c r="BI20" s="38"/>
      <c r="BJ20" s="39"/>
      <c r="BK20" s="37"/>
      <c r="BL20" s="38"/>
      <c r="BM20" s="38"/>
      <c r="BN20" s="38"/>
      <c r="BO20" s="39"/>
      <c r="BP20" s="37"/>
      <c r="BQ20" s="38"/>
      <c r="BR20" s="38"/>
      <c r="BS20" s="38"/>
      <c r="BT20" s="39"/>
      <c r="BU20" s="37"/>
      <c r="BV20" s="38"/>
      <c r="BW20" s="38"/>
      <c r="BX20" s="38"/>
      <c r="BY20" s="39"/>
      <c r="BZ20" s="37"/>
      <c r="CA20" s="38"/>
      <c r="CB20" s="38"/>
      <c r="CC20" s="38"/>
      <c r="CD20" s="39"/>
      <c r="CE20" s="37"/>
      <c r="CF20" s="38"/>
      <c r="CG20" s="38"/>
      <c r="CH20" s="38"/>
      <c r="CI20" s="39"/>
    </row>
    <row r="21" spans="1:87" ht="45" customHeight="1" x14ac:dyDescent="0.15">
      <c r="A21" s="3">
        <v>1</v>
      </c>
      <c r="B21" s="18" t="s">
        <v>54</v>
      </c>
      <c r="C21" s="19"/>
      <c r="D21" s="19"/>
      <c r="E21" s="19"/>
      <c r="F21" s="19"/>
      <c r="G21" s="19"/>
      <c r="H21" s="19"/>
      <c r="I21" s="19"/>
      <c r="J21" s="20"/>
      <c r="K21" s="18" t="s">
        <v>55</v>
      </c>
      <c r="L21" s="19"/>
      <c r="M21" s="19"/>
      <c r="N21" s="19"/>
      <c r="O21" s="19"/>
      <c r="P21" s="19"/>
      <c r="Q21" s="19"/>
      <c r="R21" s="19"/>
      <c r="S21" s="19"/>
      <c r="T21" s="19"/>
      <c r="U21" s="20"/>
      <c r="V21" s="18" t="s">
        <v>56</v>
      </c>
      <c r="W21" s="19"/>
      <c r="X21" s="19"/>
      <c r="Y21" s="20"/>
      <c r="Z21" s="21" t="s">
        <v>71</v>
      </c>
      <c r="AA21" s="22"/>
      <c r="AB21" s="22"/>
      <c r="AC21" s="22"/>
      <c r="AD21" s="22"/>
      <c r="AE21" s="22"/>
      <c r="AF21" s="22"/>
      <c r="AG21" s="22"/>
      <c r="AH21" s="22"/>
      <c r="AI21" s="22"/>
      <c r="AJ21" s="22"/>
      <c r="AK21" s="22"/>
      <c r="AL21" s="23"/>
      <c r="AM21" s="24"/>
      <c r="AN21" s="16"/>
      <c r="AO21" s="16"/>
      <c r="AP21" s="17"/>
      <c r="AQ21" s="9"/>
      <c r="AR21" s="10"/>
      <c r="AS21" s="10"/>
      <c r="AT21" s="10"/>
      <c r="AU21" s="11"/>
      <c r="AV21" s="9"/>
      <c r="AW21" s="10"/>
      <c r="AX21" s="10"/>
      <c r="AY21" s="10"/>
      <c r="AZ21" s="11"/>
      <c r="BA21" s="24"/>
      <c r="BB21" s="16"/>
      <c r="BC21" s="16"/>
      <c r="BD21" s="17"/>
      <c r="BE21" s="9"/>
      <c r="BF21" s="10"/>
      <c r="BG21" s="10"/>
      <c r="BH21" s="10"/>
      <c r="BI21" s="10"/>
      <c r="BJ21" s="11"/>
      <c r="BK21" s="9"/>
      <c r="BL21" s="10"/>
      <c r="BM21" s="10"/>
      <c r="BN21" s="10"/>
      <c r="BO21" s="11"/>
      <c r="BP21" s="12"/>
      <c r="BQ21" s="13"/>
      <c r="BR21" s="13"/>
      <c r="BS21" s="13"/>
      <c r="BT21" s="14"/>
      <c r="BU21" s="15" t="s">
        <v>73</v>
      </c>
      <c r="BV21" s="16"/>
      <c r="BW21" s="16"/>
      <c r="BX21" s="16"/>
      <c r="BY21" s="17"/>
      <c r="BZ21" s="12"/>
      <c r="CA21" s="13"/>
      <c r="CB21" s="13"/>
      <c r="CC21" s="13"/>
      <c r="CD21" s="14"/>
      <c r="CE21" s="9"/>
      <c r="CF21" s="10"/>
      <c r="CG21" s="10"/>
      <c r="CH21" s="10"/>
      <c r="CI21" s="11"/>
    </row>
    <row r="22" spans="1:87" ht="45" customHeight="1" x14ac:dyDescent="0.15">
      <c r="A22" s="3">
        <f>A21+1</f>
        <v>2</v>
      </c>
      <c r="B22" s="18" t="s">
        <v>57</v>
      </c>
      <c r="C22" s="19"/>
      <c r="D22" s="19"/>
      <c r="E22" s="19"/>
      <c r="F22" s="19"/>
      <c r="G22" s="19"/>
      <c r="H22" s="19"/>
      <c r="I22" s="19"/>
      <c r="J22" s="20"/>
      <c r="K22" s="18" t="s">
        <v>58</v>
      </c>
      <c r="L22" s="19"/>
      <c r="M22" s="19"/>
      <c r="N22" s="19"/>
      <c r="O22" s="19"/>
      <c r="P22" s="19"/>
      <c r="Q22" s="19"/>
      <c r="R22" s="19"/>
      <c r="S22" s="19"/>
      <c r="T22" s="19"/>
      <c r="U22" s="20"/>
      <c r="V22" s="18" t="s">
        <v>56</v>
      </c>
      <c r="W22" s="19"/>
      <c r="X22" s="19"/>
      <c r="Y22" s="20"/>
      <c r="Z22" s="21" t="s">
        <v>72</v>
      </c>
      <c r="AA22" s="10"/>
      <c r="AB22" s="10"/>
      <c r="AC22" s="10"/>
      <c r="AD22" s="10"/>
      <c r="AE22" s="10"/>
      <c r="AF22" s="10"/>
      <c r="AG22" s="10"/>
      <c r="AH22" s="10"/>
      <c r="AI22" s="10"/>
      <c r="AJ22" s="10"/>
      <c r="AK22" s="10"/>
      <c r="AL22" s="11"/>
      <c r="AM22" s="24"/>
      <c r="AN22" s="16"/>
      <c r="AO22" s="16"/>
      <c r="AP22" s="17"/>
      <c r="AQ22" s="9"/>
      <c r="AR22" s="10"/>
      <c r="AS22" s="10"/>
      <c r="AT22" s="10"/>
      <c r="AU22" s="11"/>
      <c r="AV22" s="9"/>
      <c r="AW22" s="10"/>
      <c r="AX22" s="10"/>
      <c r="AY22" s="10"/>
      <c r="AZ22" s="11"/>
      <c r="BA22" s="24"/>
      <c r="BB22" s="16"/>
      <c r="BC22" s="16"/>
      <c r="BD22" s="17"/>
      <c r="BE22" s="9"/>
      <c r="BF22" s="10"/>
      <c r="BG22" s="10"/>
      <c r="BH22" s="10"/>
      <c r="BI22" s="10"/>
      <c r="BJ22" s="11"/>
      <c r="BK22" s="9"/>
      <c r="BL22" s="10"/>
      <c r="BM22" s="10"/>
      <c r="BN22" s="10"/>
      <c r="BO22" s="11"/>
      <c r="BP22" s="25"/>
      <c r="BQ22" s="26"/>
      <c r="BR22" s="26"/>
      <c r="BS22" s="26"/>
      <c r="BT22" s="27"/>
      <c r="BU22" s="15" t="s">
        <v>73</v>
      </c>
      <c r="BV22" s="16"/>
      <c r="BW22" s="16"/>
      <c r="BX22" s="16"/>
      <c r="BY22" s="17"/>
      <c r="BZ22" s="28"/>
      <c r="CA22" s="29"/>
      <c r="CB22" s="29"/>
      <c r="CC22" s="29"/>
      <c r="CD22" s="30"/>
      <c r="CE22" s="31"/>
      <c r="CF22" s="32"/>
      <c r="CG22" s="32"/>
      <c r="CH22" s="32"/>
      <c r="CI22" s="33"/>
    </row>
    <row r="23" spans="1:87" ht="45" customHeight="1" x14ac:dyDescent="0.15">
      <c r="A23" s="3">
        <f t="shared" ref="A23:A30" si="0">A22+1</f>
        <v>3</v>
      </c>
      <c r="B23" s="18" t="s">
        <v>57</v>
      </c>
      <c r="C23" s="19"/>
      <c r="D23" s="19"/>
      <c r="E23" s="19"/>
      <c r="F23" s="19"/>
      <c r="G23" s="19"/>
      <c r="H23" s="19"/>
      <c r="I23" s="19"/>
      <c r="J23" s="20"/>
      <c r="K23" s="18" t="s">
        <v>60</v>
      </c>
      <c r="L23" s="19"/>
      <c r="M23" s="19"/>
      <c r="N23" s="19"/>
      <c r="O23" s="19"/>
      <c r="P23" s="19"/>
      <c r="Q23" s="19"/>
      <c r="R23" s="19"/>
      <c r="S23" s="19"/>
      <c r="T23" s="19"/>
      <c r="U23" s="20"/>
      <c r="V23" s="18" t="s">
        <v>56</v>
      </c>
      <c r="W23" s="19"/>
      <c r="X23" s="19"/>
      <c r="Y23" s="20"/>
      <c r="Z23" s="21" t="s">
        <v>74</v>
      </c>
      <c r="AA23" s="10"/>
      <c r="AB23" s="10"/>
      <c r="AC23" s="10"/>
      <c r="AD23" s="10"/>
      <c r="AE23" s="10"/>
      <c r="AF23" s="10"/>
      <c r="AG23" s="10"/>
      <c r="AH23" s="10"/>
      <c r="AI23" s="10"/>
      <c r="AJ23" s="10"/>
      <c r="AK23" s="10"/>
      <c r="AL23" s="11"/>
      <c r="AM23" s="24"/>
      <c r="AN23" s="16"/>
      <c r="AO23" s="16"/>
      <c r="AP23" s="17"/>
      <c r="AQ23" s="9"/>
      <c r="AR23" s="10"/>
      <c r="AS23" s="10"/>
      <c r="AT23" s="10"/>
      <c r="AU23" s="11"/>
      <c r="AV23" s="9"/>
      <c r="AW23" s="10"/>
      <c r="AX23" s="10"/>
      <c r="AY23" s="10"/>
      <c r="AZ23" s="11"/>
      <c r="BA23" s="24"/>
      <c r="BB23" s="16"/>
      <c r="BC23" s="16"/>
      <c r="BD23" s="17"/>
      <c r="BE23" s="9"/>
      <c r="BF23" s="10"/>
      <c r="BG23" s="10"/>
      <c r="BH23" s="10"/>
      <c r="BI23" s="10"/>
      <c r="BJ23" s="11"/>
      <c r="BK23" s="9"/>
      <c r="BL23" s="10"/>
      <c r="BM23" s="10"/>
      <c r="BN23" s="10"/>
      <c r="BO23" s="11"/>
      <c r="BP23" s="25"/>
      <c r="BQ23" s="26"/>
      <c r="BR23" s="26"/>
      <c r="BS23" s="26"/>
      <c r="BT23" s="27"/>
      <c r="BU23" s="15" t="s">
        <v>73</v>
      </c>
      <c r="BV23" s="16"/>
      <c r="BW23" s="16"/>
      <c r="BX23" s="16"/>
      <c r="BY23" s="17"/>
      <c r="BZ23" s="12"/>
      <c r="CA23" s="13"/>
      <c r="CB23" s="13"/>
      <c r="CC23" s="13"/>
      <c r="CD23" s="14"/>
      <c r="CE23" s="9"/>
      <c r="CF23" s="10"/>
      <c r="CG23" s="10"/>
      <c r="CH23" s="10"/>
      <c r="CI23" s="11"/>
    </row>
    <row r="24" spans="1:87" ht="45" customHeight="1" x14ac:dyDescent="0.15">
      <c r="A24" s="3">
        <f t="shared" si="0"/>
        <v>4</v>
      </c>
      <c r="B24" s="18" t="s">
        <v>57</v>
      </c>
      <c r="C24" s="19"/>
      <c r="D24" s="19"/>
      <c r="E24" s="19"/>
      <c r="F24" s="19"/>
      <c r="G24" s="19"/>
      <c r="H24" s="19"/>
      <c r="I24" s="19"/>
      <c r="J24" s="20"/>
      <c r="K24" s="18" t="s">
        <v>59</v>
      </c>
      <c r="L24" s="19"/>
      <c r="M24" s="19"/>
      <c r="N24" s="19"/>
      <c r="O24" s="19"/>
      <c r="P24" s="19"/>
      <c r="Q24" s="19"/>
      <c r="R24" s="19"/>
      <c r="S24" s="19"/>
      <c r="T24" s="19"/>
      <c r="U24" s="20"/>
      <c r="V24" s="18" t="s">
        <v>56</v>
      </c>
      <c r="W24" s="19"/>
      <c r="X24" s="19"/>
      <c r="Y24" s="20"/>
      <c r="Z24" s="21" t="s">
        <v>76</v>
      </c>
      <c r="AA24" s="10"/>
      <c r="AB24" s="10"/>
      <c r="AC24" s="10"/>
      <c r="AD24" s="10"/>
      <c r="AE24" s="10"/>
      <c r="AF24" s="10"/>
      <c r="AG24" s="10"/>
      <c r="AH24" s="10"/>
      <c r="AI24" s="10"/>
      <c r="AJ24" s="10"/>
      <c r="AK24" s="10"/>
      <c r="AL24" s="11"/>
      <c r="AM24" s="24"/>
      <c r="AN24" s="16"/>
      <c r="AO24" s="16"/>
      <c r="AP24" s="17"/>
      <c r="AQ24" s="9"/>
      <c r="AR24" s="10"/>
      <c r="AS24" s="10"/>
      <c r="AT24" s="10"/>
      <c r="AU24" s="11"/>
      <c r="AV24" s="9"/>
      <c r="AW24" s="10"/>
      <c r="AX24" s="10"/>
      <c r="AY24" s="10"/>
      <c r="AZ24" s="11"/>
      <c r="BA24" s="24"/>
      <c r="BB24" s="16"/>
      <c r="BC24" s="16"/>
      <c r="BD24" s="17"/>
      <c r="BE24" s="9"/>
      <c r="BF24" s="10"/>
      <c r="BG24" s="10"/>
      <c r="BH24" s="10"/>
      <c r="BI24" s="10"/>
      <c r="BJ24" s="11"/>
      <c r="BK24" s="9"/>
      <c r="BL24" s="10"/>
      <c r="BM24" s="10"/>
      <c r="BN24" s="10"/>
      <c r="BO24" s="11"/>
      <c r="BP24" s="12"/>
      <c r="BQ24" s="13"/>
      <c r="BR24" s="13"/>
      <c r="BS24" s="13"/>
      <c r="BT24" s="14"/>
      <c r="BU24" s="15" t="s">
        <v>73</v>
      </c>
      <c r="BV24" s="16"/>
      <c r="BW24" s="16"/>
      <c r="BX24" s="16"/>
      <c r="BY24" s="17"/>
      <c r="BZ24" s="12"/>
      <c r="CA24" s="13"/>
      <c r="CB24" s="13"/>
      <c r="CC24" s="13"/>
      <c r="CD24" s="14"/>
      <c r="CE24" s="9"/>
      <c r="CF24" s="10"/>
      <c r="CG24" s="10"/>
      <c r="CH24" s="10"/>
      <c r="CI24" s="11"/>
    </row>
    <row r="25" spans="1:87" ht="45" customHeight="1" x14ac:dyDescent="0.15">
      <c r="A25" s="3">
        <f t="shared" si="0"/>
        <v>5</v>
      </c>
      <c r="B25" s="18" t="s">
        <v>61</v>
      </c>
      <c r="C25" s="19"/>
      <c r="D25" s="19"/>
      <c r="E25" s="19"/>
      <c r="F25" s="19"/>
      <c r="G25" s="19"/>
      <c r="H25" s="19"/>
      <c r="I25" s="19"/>
      <c r="J25" s="20"/>
      <c r="K25" s="18" t="s">
        <v>62</v>
      </c>
      <c r="L25" s="19"/>
      <c r="M25" s="19"/>
      <c r="N25" s="19"/>
      <c r="O25" s="19"/>
      <c r="P25" s="19"/>
      <c r="Q25" s="19"/>
      <c r="R25" s="19"/>
      <c r="S25" s="19"/>
      <c r="T25" s="19"/>
      <c r="U25" s="20"/>
      <c r="V25" s="18" t="s">
        <v>56</v>
      </c>
      <c r="W25" s="19"/>
      <c r="X25" s="19"/>
      <c r="Y25" s="20"/>
      <c r="Z25" s="128" t="s">
        <v>75</v>
      </c>
      <c r="AA25" s="6"/>
      <c r="AB25" s="6"/>
      <c r="AC25" s="6"/>
      <c r="AD25" s="6"/>
      <c r="AE25" s="6"/>
      <c r="AF25" s="6"/>
      <c r="AG25" s="6"/>
      <c r="AH25" s="6"/>
      <c r="AI25" s="6"/>
      <c r="AJ25" s="6"/>
      <c r="AK25" s="6"/>
      <c r="AL25" s="6"/>
      <c r="AM25" s="7"/>
      <c r="AN25" s="7"/>
      <c r="AO25" s="7"/>
      <c r="AP25" s="7"/>
      <c r="AQ25" s="4"/>
      <c r="AR25" s="4"/>
      <c r="AS25" s="4"/>
      <c r="AT25" s="4"/>
      <c r="AU25" s="4"/>
      <c r="AV25" s="4"/>
      <c r="AW25" s="4"/>
      <c r="AX25" s="4"/>
      <c r="AY25" s="4"/>
      <c r="AZ25" s="4"/>
      <c r="BA25" s="8"/>
      <c r="BB25" s="8"/>
      <c r="BC25" s="8"/>
      <c r="BD25" s="8"/>
      <c r="BE25" s="4"/>
      <c r="BF25" s="4"/>
      <c r="BG25" s="4"/>
      <c r="BH25" s="4"/>
      <c r="BI25" s="4"/>
      <c r="BJ25" s="4"/>
      <c r="BK25" s="4"/>
      <c r="BL25" s="4"/>
      <c r="BM25" s="4"/>
      <c r="BN25" s="4"/>
      <c r="BO25" s="4"/>
      <c r="BP25" s="5"/>
      <c r="BQ25" s="5"/>
      <c r="BR25" s="5"/>
      <c r="BS25" s="5"/>
      <c r="BT25" s="5"/>
      <c r="BU25" s="15" t="s">
        <v>73</v>
      </c>
      <c r="BV25" s="16"/>
      <c r="BW25" s="16"/>
      <c r="BX25" s="16"/>
      <c r="BY25" s="17"/>
      <c r="BZ25" s="5"/>
      <c r="CA25" s="5"/>
      <c r="CB25" s="5"/>
      <c r="CC25" s="5"/>
      <c r="CD25" s="5"/>
      <c r="CE25" s="6"/>
      <c r="CF25" s="6"/>
      <c r="CG25" s="6"/>
      <c r="CH25" s="6"/>
      <c r="CI25" s="6"/>
    </row>
    <row r="26" spans="1:87" ht="45" customHeight="1" x14ac:dyDescent="0.15">
      <c r="A26" s="3">
        <f t="shared" si="0"/>
        <v>6</v>
      </c>
      <c r="B26" s="18" t="s">
        <v>63</v>
      </c>
      <c r="C26" s="19"/>
      <c r="D26" s="19"/>
      <c r="E26" s="19"/>
      <c r="F26" s="19"/>
      <c r="G26" s="19"/>
      <c r="H26" s="19"/>
      <c r="I26" s="19"/>
      <c r="J26" s="20"/>
      <c r="K26" s="18" t="s">
        <v>64</v>
      </c>
      <c r="L26" s="19"/>
      <c r="M26" s="19"/>
      <c r="N26" s="19"/>
      <c r="O26" s="19"/>
      <c r="P26" s="19"/>
      <c r="Q26" s="19"/>
      <c r="R26" s="19"/>
      <c r="S26" s="19"/>
      <c r="T26" s="19"/>
      <c r="U26" s="20"/>
      <c r="V26" s="18" t="s">
        <v>56</v>
      </c>
      <c r="W26" s="19"/>
      <c r="X26" s="19"/>
      <c r="Y26" s="20"/>
      <c r="Z26" s="21" t="s">
        <v>79</v>
      </c>
      <c r="AA26" s="22"/>
      <c r="AB26" s="22"/>
      <c r="AC26" s="22"/>
      <c r="AD26" s="22"/>
      <c r="AE26" s="22"/>
      <c r="AF26" s="22"/>
      <c r="AG26" s="22"/>
      <c r="AH26" s="22"/>
      <c r="AI26" s="22"/>
      <c r="AJ26" s="22"/>
      <c r="AK26" s="22"/>
      <c r="AL26" s="23"/>
      <c r="AM26" s="24"/>
      <c r="AN26" s="16"/>
      <c r="AO26" s="16"/>
      <c r="AP26" s="17"/>
      <c r="AQ26" s="9"/>
      <c r="AR26" s="10"/>
      <c r="AS26" s="10"/>
      <c r="AT26" s="10"/>
      <c r="AU26" s="11"/>
      <c r="AV26" s="9"/>
      <c r="AW26" s="10"/>
      <c r="AX26" s="10"/>
      <c r="AY26" s="10"/>
      <c r="AZ26" s="11"/>
      <c r="BA26" s="24"/>
      <c r="BB26" s="16"/>
      <c r="BC26" s="16"/>
      <c r="BD26" s="17"/>
      <c r="BE26" s="9"/>
      <c r="BF26" s="10"/>
      <c r="BG26" s="10"/>
      <c r="BH26" s="10"/>
      <c r="BI26" s="10"/>
      <c r="BJ26" s="11"/>
      <c r="BK26" s="9"/>
      <c r="BL26" s="10"/>
      <c r="BM26" s="10"/>
      <c r="BN26" s="10"/>
      <c r="BO26" s="11"/>
      <c r="BP26" s="12"/>
      <c r="BQ26" s="13"/>
      <c r="BR26" s="13"/>
      <c r="BS26" s="13"/>
      <c r="BT26" s="14"/>
      <c r="BU26" s="15" t="s">
        <v>73</v>
      </c>
      <c r="BV26" s="16"/>
      <c r="BW26" s="16"/>
      <c r="BX26" s="16"/>
      <c r="BY26" s="17"/>
      <c r="BZ26" s="12"/>
      <c r="CA26" s="13"/>
      <c r="CB26" s="13"/>
      <c r="CC26" s="13"/>
      <c r="CD26" s="14"/>
      <c r="CE26" s="9"/>
      <c r="CF26" s="10"/>
      <c r="CG26" s="10"/>
      <c r="CH26" s="10"/>
      <c r="CI26" s="11"/>
    </row>
    <row r="27" spans="1:87" ht="81" customHeight="1" x14ac:dyDescent="0.15">
      <c r="A27" s="3">
        <f t="shared" si="0"/>
        <v>7</v>
      </c>
      <c r="B27" s="18" t="s">
        <v>65</v>
      </c>
      <c r="C27" s="19"/>
      <c r="D27" s="19"/>
      <c r="E27" s="19"/>
      <c r="F27" s="19"/>
      <c r="G27" s="19"/>
      <c r="H27" s="19"/>
      <c r="I27" s="19"/>
      <c r="J27" s="20"/>
      <c r="K27" s="18" t="s">
        <v>66</v>
      </c>
      <c r="L27" s="19"/>
      <c r="M27" s="19"/>
      <c r="N27" s="19"/>
      <c r="O27" s="19"/>
      <c r="P27" s="19"/>
      <c r="Q27" s="19"/>
      <c r="R27" s="19"/>
      <c r="S27" s="19"/>
      <c r="T27" s="19"/>
      <c r="U27" s="20"/>
      <c r="V27" s="18" t="s">
        <v>56</v>
      </c>
      <c r="W27" s="19"/>
      <c r="X27" s="19"/>
      <c r="Y27" s="20"/>
      <c r="Z27" s="21" t="s">
        <v>80</v>
      </c>
      <c r="AA27" s="22"/>
      <c r="AB27" s="22"/>
      <c r="AC27" s="22"/>
      <c r="AD27" s="22"/>
      <c r="AE27" s="22"/>
      <c r="AF27" s="22"/>
      <c r="AG27" s="22"/>
      <c r="AH27" s="22"/>
      <c r="AI27" s="22"/>
      <c r="AJ27" s="22"/>
      <c r="AK27" s="22"/>
      <c r="AL27" s="23"/>
      <c r="AM27" s="24"/>
      <c r="AN27" s="16"/>
      <c r="AO27" s="16"/>
      <c r="AP27" s="17"/>
      <c r="AQ27" s="9"/>
      <c r="AR27" s="10"/>
      <c r="AS27" s="10"/>
      <c r="AT27" s="10"/>
      <c r="AU27" s="11"/>
      <c r="AV27" s="9"/>
      <c r="AW27" s="10"/>
      <c r="AX27" s="10"/>
      <c r="AY27" s="10"/>
      <c r="AZ27" s="11"/>
      <c r="BA27" s="24"/>
      <c r="BB27" s="16"/>
      <c r="BC27" s="16"/>
      <c r="BD27" s="17"/>
      <c r="BE27" s="9"/>
      <c r="BF27" s="10"/>
      <c r="BG27" s="10"/>
      <c r="BH27" s="10"/>
      <c r="BI27" s="10"/>
      <c r="BJ27" s="11"/>
      <c r="BK27" s="9"/>
      <c r="BL27" s="10"/>
      <c r="BM27" s="10"/>
      <c r="BN27" s="10"/>
      <c r="BO27" s="11"/>
      <c r="BP27" s="25"/>
      <c r="BQ27" s="26"/>
      <c r="BR27" s="26"/>
      <c r="BS27" s="26"/>
      <c r="BT27" s="27"/>
      <c r="BU27" s="15" t="s">
        <v>73</v>
      </c>
      <c r="BV27" s="16"/>
      <c r="BW27" s="16"/>
      <c r="BX27" s="16"/>
      <c r="BY27" s="17"/>
      <c r="BZ27" s="28"/>
      <c r="CA27" s="29"/>
      <c r="CB27" s="29"/>
      <c r="CC27" s="29"/>
      <c r="CD27" s="30"/>
      <c r="CE27" s="31"/>
      <c r="CF27" s="32"/>
      <c r="CG27" s="32"/>
      <c r="CH27" s="32"/>
      <c r="CI27" s="33"/>
    </row>
    <row r="28" spans="1:87" ht="61.5" customHeight="1" x14ac:dyDescent="0.15">
      <c r="A28" s="3">
        <f t="shared" si="0"/>
        <v>8</v>
      </c>
      <c r="B28" s="18" t="s">
        <v>67</v>
      </c>
      <c r="C28" s="19"/>
      <c r="D28" s="19"/>
      <c r="E28" s="19"/>
      <c r="F28" s="19"/>
      <c r="G28" s="19"/>
      <c r="H28" s="19"/>
      <c r="I28" s="19"/>
      <c r="J28" s="20"/>
      <c r="K28" s="18" t="s">
        <v>68</v>
      </c>
      <c r="L28" s="19"/>
      <c r="M28" s="19"/>
      <c r="N28" s="19"/>
      <c r="O28" s="19"/>
      <c r="P28" s="19"/>
      <c r="Q28" s="19"/>
      <c r="R28" s="19"/>
      <c r="S28" s="19"/>
      <c r="T28" s="19"/>
      <c r="U28" s="20"/>
      <c r="V28" s="18" t="s">
        <v>56</v>
      </c>
      <c r="W28" s="19"/>
      <c r="X28" s="19"/>
      <c r="Y28" s="20"/>
      <c r="Z28" s="21" t="s">
        <v>77</v>
      </c>
      <c r="AA28" s="22"/>
      <c r="AB28" s="22"/>
      <c r="AC28" s="22"/>
      <c r="AD28" s="22"/>
      <c r="AE28" s="22"/>
      <c r="AF28" s="22"/>
      <c r="AG28" s="22"/>
      <c r="AH28" s="22"/>
      <c r="AI28" s="22"/>
      <c r="AJ28" s="22"/>
      <c r="AK28" s="22"/>
      <c r="AL28" s="23"/>
      <c r="AM28" s="24"/>
      <c r="AN28" s="16"/>
      <c r="AO28" s="16"/>
      <c r="AP28" s="17"/>
      <c r="AQ28" s="9"/>
      <c r="AR28" s="10"/>
      <c r="AS28" s="10"/>
      <c r="AT28" s="10"/>
      <c r="AU28" s="11"/>
      <c r="AV28" s="9"/>
      <c r="AW28" s="10"/>
      <c r="AX28" s="10"/>
      <c r="AY28" s="10"/>
      <c r="AZ28" s="11"/>
      <c r="BA28" s="24"/>
      <c r="BB28" s="16"/>
      <c r="BC28" s="16"/>
      <c r="BD28" s="17"/>
      <c r="BE28" s="9"/>
      <c r="BF28" s="10"/>
      <c r="BG28" s="10"/>
      <c r="BH28" s="10"/>
      <c r="BI28" s="10"/>
      <c r="BJ28" s="11"/>
      <c r="BK28" s="9"/>
      <c r="BL28" s="10"/>
      <c r="BM28" s="10"/>
      <c r="BN28" s="10"/>
      <c r="BO28" s="11"/>
      <c r="BP28" s="25"/>
      <c r="BQ28" s="26"/>
      <c r="BR28" s="26"/>
      <c r="BS28" s="26"/>
      <c r="BT28" s="27"/>
      <c r="BU28" s="15" t="s">
        <v>73</v>
      </c>
      <c r="BV28" s="16"/>
      <c r="BW28" s="16"/>
      <c r="BX28" s="16"/>
      <c r="BY28" s="17"/>
      <c r="BZ28" s="12"/>
      <c r="CA28" s="13"/>
      <c r="CB28" s="13"/>
      <c r="CC28" s="13"/>
      <c r="CD28" s="14"/>
      <c r="CE28" s="9"/>
      <c r="CF28" s="10"/>
      <c r="CG28" s="10"/>
      <c r="CH28" s="10"/>
      <c r="CI28" s="11"/>
    </row>
    <row r="29" spans="1:87" ht="45" customHeight="1" x14ac:dyDescent="0.15">
      <c r="A29" s="3">
        <f t="shared" si="0"/>
        <v>9</v>
      </c>
      <c r="B29" s="18" t="s">
        <v>69</v>
      </c>
      <c r="C29" s="19"/>
      <c r="D29" s="19"/>
      <c r="E29" s="19"/>
      <c r="F29" s="19"/>
      <c r="G29" s="19"/>
      <c r="H29" s="19"/>
      <c r="I29" s="19"/>
      <c r="J29" s="20"/>
      <c r="K29" s="18" t="s">
        <v>70</v>
      </c>
      <c r="L29" s="19"/>
      <c r="M29" s="19"/>
      <c r="N29" s="19"/>
      <c r="O29" s="19"/>
      <c r="P29" s="19"/>
      <c r="Q29" s="19"/>
      <c r="R29" s="19"/>
      <c r="S29" s="19"/>
      <c r="T29" s="19"/>
      <c r="U29" s="20"/>
      <c r="V29" s="18" t="s">
        <v>56</v>
      </c>
      <c r="W29" s="19"/>
      <c r="X29" s="19"/>
      <c r="Y29" s="20"/>
      <c r="Z29" s="21" t="s">
        <v>78</v>
      </c>
      <c r="AA29" s="22"/>
      <c r="AB29" s="22"/>
      <c r="AC29" s="22"/>
      <c r="AD29" s="22"/>
      <c r="AE29" s="22"/>
      <c r="AF29" s="22"/>
      <c r="AG29" s="22"/>
      <c r="AH29" s="22"/>
      <c r="AI29" s="22"/>
      <c r="AJ29" s="22"/>
      <c r="AK29" s="22"/>
      <c r="AL29" s="23"/>
      <c r="AM29" s="24"/>
      <c r="AN29" s="16"/>
      <c r="AO29" s="16"/>
      <c r="AP29" s="17"/>
      <c r="AQ29" s="9"/>
      <c r="AR29" s="10"/>
      <c r="AS29" s="10"/>
      <c r="AT29" s="10"/>
      <c r="AU29" s="11"/>
      <c r="AV29" s="9"/>
      <c r="AW29" s="10"/>
      <c r="AX29" s="10"/>
      <c r="AY29" s="10"/>
      <c r="AZ29" s="11"/>
      <c r="BA29" s="24"/>
      <c r="BB29" s="16"/>
      <c r="BC29" s="16"/>
      <c r="BD29" s="17"/>
      <c r="BE29" s="9"/>
      <c r="BF29" s="10"/>
      <c r="BG29" s="10"/>
      <c r="BH29" s="10"/>
      <c r="BI29" s="10"/>
      <c r="BJ29" s="11"/>
      <c r="BK29" s="9"/>
      <c r="BL29" s="10"/>
      <c r="BM29" s="10"/>
      <c r="BN29" s="10"/>
      <c r="BO29" s="11"/>
      <c r="BP29" s="12"/>
      <c r="BQ29" s="13"/>
      <c r="BR29" s="13"/>
      <c r="BS29" s="13"/>
      <c r="BT29" s="14"/>
      <c r="BU29" s="15" t="s">
        <v>73</v>
      </c>
      <c r="BV29" s="16"/>
      <c r="BW29" s="16"/>
      <c r="BX29" s="16"/>
      <c r="BY29" s="17"/>
      <c r="BZ29" s="12"/>
      <c r="CA29" s="13"/>
      <c r="CB29" s="13"/>
      <c r="CC29" s="13"/>
      <c r="CD29" s="14"/>
      <c r="CE29" s="9"/>
      <c r="CF29" s="10"/>
      <c r="CG29" s="10"/>
      <c r="CH29" s="10"/>
      <c r="CI29" s="11"/>
    </row>
    <row r="30" spans="1:87" ht="45" customHeight="1" x14ac:dyDescent="0.15">
      <c r="A30" s="3">
        <f t="shared" si="0"/>
        <v>10</v>
      </c>
      <c r="B30" s="4"/>
      <c r="C30" s="4"/>
      <c r="D30" s="4"/>
      <c r="E30" s="4"/>
      <c r="F30" s="4"/>
      <c r="G30" s="4"/>
      <c r="H30" s="4"/>
      <c r="I30" s="4"/>
      <c r="J30" s="4"/>
      <c r="K30" s="4"/>
      <c r="L30" s="4"/>
      <c r="M30" s="4"/>
      <c r="N30" s="4"/>
      <c r="O30" s="4"/>
      <c r="P30" s="4"/>
      <c r="Q30" s="4"/>
      <c r="R30" s="4"/>
      <c r="S30" s="4"/>
      <c r="T30" s="4"/>
      <c r="U30" s="4"/>
      <c r="V30" s="4"/>
      <c r="W30" s="4"/>
      <c r="X30" s="4"/>
      <c r="Y30" s="4"/>
      <c r="Z30" s="6"/>
      <c r="AA30" s="6"/>
      <c r="AB30" s="6"/>
      <c r="AC30" s="6"/>
      <c r="AD30" s="6"/>
      <c r="AE30" s="6"/>
      <c r="AF30" s="6"/>
      <c r="AG30" s="6"/>
      <c r="AH30" s="6"/>
      <c r="AI30" s="6"/>
      <c r="AJ30" s="6"/>
      <c r="AK30" s="6"/>
      <c r="AL30" s="6"/>
      <c r="AM30" s="7"/>
      <c r="AN30" s="7"/>
      <c r="AO30" s="7"/>
      <c r="AP30" s="7"/>
      <c r="AQ30" s="4"/>
      <c r="AR30" s="4"/>
      <c r="AS30" s="4"/>
      <c r="AT30" s="4"/>
      <c r="AU30" s="4"/>
      <c r="AV30" s="4"/>
      <c r="AW30" s="4"/>
      <c r="AX30" s="4"/>
      <c r="AY30" s="4"/>
      <c r="AZ30" s="4"/>
      <c r="BA30" s="8"/>
      <c r="BB30" s="8"/>
      <c r="BC30" s="8"/>
      <c r="BD30" s="8"/>
      <c r="BE30" s="4"/>
      <c r="BF30" s="4"/>
      <c r="BG30" s="4"/>
      <c r="BH30" s="4"/>
      <c r="BI30" s="4"/>
      <c r="BJ30" s="4"/>
      <c r="BK30" s="4"/>
      <c r="BL30" s="4"/>
      <c r="BM30" s="4"/>
      <c r="BN30" s="4"/>
      <c r="BO30" s="4"/>
      <c r="BP30" s="5"/>
      <c r="BQ30" s="5"/>
      <c r="BR30" s="5"/>
      <c r="BS30" s="5"/>
      <c r="BT30" s="5"/>
      <c r="BU30" s="6"/>
      <c r="BV30" s="6"/>
      <c r="BW30" s="6"/>
      <c r="BX30" s="6"/>
      <c r="BY30" s="6"/>
      <c r="BZ30" s="5"/>
      <c r="CA30" s="5"/>
      <c r="CB30" s="5"/>
      <c r="CC30" s="5"/>
      <c r="CD30" s="5"/>
      <c r="CE30" s="6"/>
      <c r="CF30" s="6"/>
      <c r="CG30" s="6"/>
      <c r="CH30" s="6"/>
      <c r="CI30" s="6"/>
    </row>
  </sheetData>
  <autoFilter ref="A20:CI20" xr:uid="{00000000-0009-0000-0000-000000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8" showButton="0"/>
    <filterColumn colId="39" showButton="0"/>
    <filterColumn colId="40" showButton="0"/>
    <filterColumn colId="42" showButton="0"/>
    <filterColumn colId="43" showButton="0"/>
    <filterColumn colId="44" showButton="0"/>
    <filterColumn colId="45" showButton="0"/>
    <filterColumn colId="47" showButton="0"/>
    <filterColumn colId="48" showButton="0"/>
    <filterColumn colId="49" showButton="0"/>
    <filterColumn colId="50" showButton="0"/>
    <filterColumn colId="52" showButton="0"/>
    <filterColumn colId="53" showButton="0"/>
    <filterColumn colId="54" showButton="0"/>
    <filterColumn colId="56" showButton="0"/>
    <filterColumn colId="57" showButton="0"/>
    <filterColumn colId="58" showButton="0"/>
    <filterColumn colId="59" showButton="0"/>
    <filterColumn colId="60" showButton="0"/>
    <filterColumn colId="62" showButton="0"/>
    <filterColumn colId="63" showButton="0"/>
    <filterColumn colId="64" showButton="0"/>
    <filterColumn colId="65" showButton="0"/>
    <filterColumn colId="67" showButton="0"/>
    <filterColumn colId="68" showButton="0"/>
    <filterColumn colId="69" showButton="0"/>
    <filterColumn colId="70" showButton="0"/>
    <filterColumn colId="72" showButton="0"/>
    <filterColumn colId="73" showButton="0"/>
    <filterColumn colId="74" showButton="0"/>
    <filterColumn colId="75" showButton="0"/>
    <filterColumn colId="77" showButton="0"/>
    <filterColumn colId="78" showButton="0"/>
    <filterColumn colId="79" showButton="0"/>
    <filterColumn colId="80" showButton="0"/>
    <filterColumn colId="82" showButton="0"/>
    <filterColumn colId="83" showButton="0"/>
    <filterColumn colId="84" showButton="0"/>
    <filterColumn colId="85" showButton="0"/>
  </autoFilter>
  <mergeCells count="223">
    <mergeCell ref="BK25:BO25"/>
    <mergeCell ref="BP25:BT25"/>
    <mergeCell ref="BU25:BY25"/>
    <mergeCell ref="BZ25:CD25"/>
    <mergeCell ref="CE25:CI25"/>
    <mergeCell ref="B25:J25"/>
    <mergeCell ref="K25:U25"/>
    <mergeCell ref="V25:Y25"/>
    <mergeCell ref="Z25:AL25"/>
    <mergeCell ref="AM25:AP25"/>
    <mergeCell ref="AQ25:AU25"/>
    <mergeCell ref="AV25:AZ25"/>
    <mergeCell ref="BA25:BD25"/>
    <mergeCell ref="BE25:BJ25"/>
    <mergeCell ref="B21:J21"/>
    <mergeCell ref="K21:U21"/>
    <mergeCell ref="V21:Y21"/>
    <mergeCell ref="Z21:AL21"/>
    <mergeCell ref="AM21:AP21"/>
    <mergeCell ref="B22:J22"/>
    <mergeCell ref="K22:U22"/>
    <mergeCell ref="V22:Y22"/>
    <mergeCell ref="Z22:AL22"/>
    <mergeCell ref="AM22:AP22"/>
    <mergeCell ref="AM19:AP20"/>
    <mergeCell ref="AM16:AP17"/>
    <mergeCell ref="AQ19:AU20"/>
    <mergeCell ref="BZ24:CD24"/>
    <mergeCell ref="CE24:CI24"/>
    <mergeCell ref="AQ21:AU21"/>
    <mergeCell ref="AV21:AZ21"/>
    <mergeCell ref="BA21:BD21"/>
    <mergeCell ref="BE21:BJ21"/>
    <mergeCell ref="BK21:BO21"/>
    <mergeCell ref="AV22:AZ22"/>
    <mergeCell ref="BA22:BD22"/>
    <mergeCell ref="BE22:BJ22"/>
    <mergeCell ref="BK22:BO22"/>
    <mergeCell ref="BP22:BT22"/>
    <mergeCell ref="BU22:BY22"/>
    <mergeCell ref="AQ22:AU22"/>
    <mergeCell ref="AQ24:AU24"/>
    <mergeCell ref="AV24:AZ24"/>
    <mergeCell ref="BA24:BD24"/>
    <mergeCell ref="BE24:BJ24"/>
    <mergeCell ref="BP21:BT21"/>
    <mergeCell ref="BU21:BY21"/>
    <mergeCell ref="BZ21:CD21"/>
    <mergeCell ref="A19:A20"/>
    <mergeCell ref="B19:J20"/>
    <mergeCell ref="K19:U20"/>
    <mergeCell ref="V19:Y20"/>
    <mergeCell ref="Z19:AL20"/>
    <mergeCell ref="K16:U17"/>
    <mergeCell ref="V16:AL17"/>
    <mergeCell ref="A15:J17"/>
    <mergeCell ref="K10:U11"/>
    <mergeCell ref="V10:AL11"/>
    <mergeCell ref="CE4:CI8"/>
    <mergeCell ref="K12:U13"/>
    <mergeCell ref="V12:AL13"/>
    <mergeCell ref="AM15:AP15"/>
    <mergeCell ref="V15:AL15"/>
    <mergeCell ref="K15:U15"/>
    <mergeCell ref="X8:AL8"/>
    <mergeCell ref="A1:J4"/>
    <mergeCell ref="K1:BD4"/>
    <mergeCell ref="A5:W5"/>
    <mergeCell ref="X5:BD5"/>
    <mergeCell ref="CE2:CI2"/>
    <mergeCell ref="CE3:CI3"/>
    <mergeCell ref="BZ2:CD2"/>
    <mergeCell ref="BZ3:CD3"/>
    <mergeCell ref="BO3:BS8"/>
    <mergeCell ref="BJ3:BN8"/>
    <mergeCell ref="AM7:AU7"/>
    <mergeCell ref="A10:J11"/>
    <mergeCell ref="A12:J13"/>
    <mergeCell ref="BT1:CI1"/>
    <mergeCell ref="BJ1:BN1"/>
    <mergeCell ref="BO1:BS1"/>
    <mergeCell ref="BJ2:BN2"/>
    <mergeCell ref="BO2:BS2"/>
    <mergeCell ref="A6:W6"/>
    <mergeCell ref="X6:BD6"/>
    <mergeCell ref="A7:W7"/>
    <mergeCell ref="A8:W8"/>
    <mergeCell ref="X7:AL7"/>
    <mergeCell ref="BT2:BY2"/>
    <mergeCell ref="BZ4:CD8"/>
    <mergeCell ref="AM8:AU8"/>
    <mergeCell ref="BE1:BI1"/>
    <mergeCell ref="BE2:BI2"/>
    <mergeCell ref="AQ16:AU17"/>
    <mergeCell ref="AV16:BJ17"/>
    <mergeCell ref="BE19:BJ20"/>
    <mergeCell ref="BU16:BY17"/>
    <mergeCell ref="BT3:BY8"/>
    <mergeCell ref="AW12:AZ12"/>
    <mergeCell ref="BA12:BH12"/>
    <mergeCell ref="BA13:BH13"/>
    <mergeCell ref="AW13:AZ13"/>
    <mergeCell ref="AV15:BJ15"/>
    <mergeCell ref="BP16:BT17"/>
    <mergeCell ref="AQ15:AU15"/>
    <mergeCell ref="BI11:CI13"/>
    <mergeCell ref="BA11:BH11"/>
    <mergeCell ref="BK15:BO15"/>
    <mergeCell ref="AV7:BD7"/>
    <mergeCell ref="AV8:BD8"/>
    <mergeCell ref="BE3:BI8"/>
    <mergeCell ref="CE16:CI17"/>
    <mergeCell ref="BP19:BT20"/>
    <mergeCell ref="BU19:BY20"/>
    <mergeCell ref="BZ19:CD20"/>
    <mergeCell ref="BZ23:CD23"/>
    <mergeCell ref="CE23:CI23"/>
    <mergeCell ref="CE19:CI20"/>
    <mergeCell ref="BK19:BO20"/>
    <mergeCell ref="BA19:BD20"/>
    <mergeCell ref="AV19:AZ20"/>
    <mergeCell ref="AW10:BH10"/>
    <mergeCell ref="BI10:CI10"/>
    <mergeCell ref="BZ16:CD17"/>
    <mergeCell ref="CE15:CI15"/>
    <mergeCell ref="BZ15:CD15"/>
    <mergeCell ref="BU15:BY15"/>
    <mergeCell ref="BP15:BT15"/>
    <mergeCell ref="BK16:BO17"/>
    <mergeCell ref="AW11:AZ11"/>
    <mergeCell ref="CE21:CI21"/>
    <mergeCell ref="BZ22:CD22"/>
    <mergeCell ref="CE22:CI22"/>
    <mergeCell ref="BK24:BO24"/>
    <mergeCell ref="BP24:BT24"/>
    <mergeCell ref="BU24:BY24"/>
    <mergeCell ref="B23:J23"/>
    <mergeCell ref="K23:U23"/>
    <mergeCell ref="V23:Y23"/>
    <mergeCell ref="Z23:AL23"/>
    <mergeCell ref="AM23:AP23"/>
    <mergeCell ref="AQ23:AU23"/>
    <mergeCell ref="AV23:AZ23"/>
    <mergeCell ref="BA23:BD23"/>
    <mergeCell ref="BE23:BJ23"/>
    <mergeCell ref="BK23:BO23"/>
    <mergeCell ref="BP23:BT23"/>
    <mergeCell ref="BU23:BY23"/>
    <mergeCell ref="B24:J24"/>
    <mergeCell ref="K24:U24"/>
    <mergeCell ref="V24:Y24"/>
    <mergeCell ref="Z24:AL24"/>
    <mergeCell ref="AM24:AP24"/>
    <mergeCell ref="B26:J26"/>
    <mergeCell ref="K26:U26"/>
    <mergeCell ref="V26:Y26"/>
    <mergeCell ref="Z26:AL26"/>
    <mergeCell ref="AM26:AP26"/>
    <mergeCell ref="AQ26:AU26"/>
    <mergeCell ref="AV26:AZ26"/>
    <mergeCell ref="BA26:BD26"/>
    <mergeCell ref="BE26:BJ26"/>
    <mergeCell ref="BP28:BT28"/>
    <mergeCell ref="BU28:BY28"/>
    <mergeCell ref="BZ28:CD28"/>
    <mergeCell ref="CE28:CI28"/>
    <mergeCell ref="B27:J27"/>
    <mergeCell ref="K27:U27"/>
    <mergeCell ref="V27:Y27"/>
    <mergeCell ref="Z27:AL27"/>
    <mergeCell ref="AM27:AP27"/>
    <mergeCell ref="AQ27:AU27"/>
    <mergeCell ref="AV27:AZ27"/>
    <mergeCell ref="BA27:BD27"/>
    <mergeCell ref="BE27:BJ27"/>
    <mergeCell ref="BK26:BO26"/>
    <mergeCell ref="BP26:BT26"/>
    <mergeCell ref="BU26:BY26"/>
    <mergeCell ref="BZ26:CD26"/>
    <mergeCell ref="CE26:CI26"/>
    <mergeCell ref="BK27:BO27"/>
    <mergeCell ref="BP27:BT27"/>
    <mergeCell ref="BU27:BY27"/>
    <mergeCell ref="BZ27:CD27"/>
    <mergeCell ref="CE27:CI27"/>
    <mergeCell ref="BK29:BO29"/>
    <mergeCell ref="BP29:BT29"/>
    <mergeCell ref="BU29:BY29"/>
    <mergeCell ref="BZ29:CD29"/>
    <mergeCell ref="CE29:CI29"/>
    <mergeCell ref="B28:J28"/>
    <mergeCell ref="K28:U28"/>
    <mergeCell ref="V28:Y28"/>
    <mergeCell ref="Z28:AL28"/>
    <mergeCell ref="AM28:AP28"/>
    <mergeCell ref="B29:J29"/>
    <mergeCell ref="K29:U29"/>
    <mergeCell ref="V29:Y29"/>
    <mergeCell ref="Z29:AL29"/>
    <mergeCell ref="AM29:AP29"/>
    <mergeCell ref="AQ29:AU29"/>
    <mergeCell ref="AV29:AZ29"/>
    <mergeCell ref="BA29:BD29"/>
    <mergeCell ref="BE29:BJ29"/>
    <mergeCell ref="AQ28:AU28"/>
    <mergeCell ref="AV28:AZ28"/>
    <mergeCell ref="BA28:BD28"/>
    <mergeCell ref="BE28:BJ28"/>
    <mergeCell ref="BK28:BO28"/>
    <mergeCell ref="BK30:BO30"/>
    <mergeCell ref="BP30:BT30"/>
    <mergeCell ref="BU30:BY30"/>
    <mergeCell ref="BZ30:CD30"/>
    <mergeCell ref="CE30:CI30"/>
    <mergeCell ref="B30:J30"/>
    <mergeCell ref="K30:U30"/>
    <mergeCell ref="V30:Y30"/>
    <mergeCell ref="Z30:AL30"/>
    <mergeCell ref="AM30:AP30"/>
    <mergeCell ref="AQ30:AU30"/>
    <mergeCell ref="AV30:AZ30"/>
    <mergeCell ref="BA30:BD30"/>
    <mergeCell ref="BE30:BJ30"/>
  </mergeCells>
  <phoneticPr fontId="22"/>
  <dataValidations count="11">
    <dataValidation type="list" allowBlank="1" showInputMessage="1" showErrorMessage="1" sqref="AW11:AW13" xr:uid="{00000000-0002-0000-0000-000000000000}">
      <formula1>"□,■"</formula1>
    </dataValidation>
    <dataValidation type="list" allowBlank="1" showInputMessage="1" showErrorMessage="1" sqref="AQ12:AV13" xr:uid="{00000000-0002-0000-0000-000001000000}">
      <formula1>"　,チームレビュー,プロジェクトレビュー,顧客レビュー,工程完了レビュー"</formula1>
    </dataValidation>
    <dataValidation type="list" allowBlank="1" showInputMessage="1" showErrorMessage="1" sqref="A12" xr:uid="{00000000-0002-0000-0000-000002000000}">
      <formula1>"　,企画支援,要件定義,基本設計,詳細設計,製造,結合テスト,システムテスト,移行／導入"</formula1>
    </dataValidation>
    <dataValidation type="list" allowBlank="1" showInputMessage="1" showErrorMessage="1" sqref="AM16:AP17" xr:uid="{00000000-0002-0000-0000-000003000000}">
      <formula1>"　,新規,改定"</formula1>
    </dataValidation>
    <dataValidation type="list" allowBlank="1" showInputMessage="1" showErrorMessage="1" sqref="V12:AL13" xr:uid="{00000000-0002-0000-0000-000004000000}">
      <formula1>"　,チームレビュー,プロジェクトレビュー,顧客レビュー"</formula1>
    </dataValidation>
    <dataValidation type="list" allowBlank="1" showInputMessage="1" showErrorMessage="1" sqref="AM21:AP30" xr:uid="{00000000-0002-0000-0000-000005000000}">
      <formula1>"　,要,否"</formula1>
    </dataValidation>
    <dataValidation type="list" allowBlank="1" showInputMessage="1" showErrorMessage="1" sqref="BA21:BD30" xr:uid="{00000000-0002-0000-0000-000006000000}">
      <formula1>"　,高,中,低"</formula1>
    </dataValidation>
    <dataValidation type="list" allowBlank="1" showInputMessage="1" showErrorMessage="1" sqref="AQ21:AU30" xr:uid="{00000000-0002-0000-0000-000007000000}">
      <formula1>"　,設計,ドキュメント化,要求仕様の変更"</formula1>
    </dataValidation>
    <dataValidation type="list" allowBlank="1" showInputMessage="1" showErrorMessage="1" sqref="AV21:AZ30" xr:uid="{00000000-0002-0000-0000-000008000000}">
      <formula1>"　,設計漏れ,設計誤り,説明内容不明確,標準違反,再利用誤り,表現上の記述不良,設計の改善,非指摘扱い"</formula1>
    </dataValidation>
    <dataValidation type="list" allowBlank="1" showInputMessage="1" showErrorMessage="1" sqref="BE21:BJ30" xr:uid="{00000000-0002-0000-0000-000009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0" xr:uid="{00000000-0002-0000-0000-00000A000000}">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2.xml><?xml version="1.0" encoding="utf-8"?>
<ds:datastoreItem xmlns:ds="http://schemas.openxmlformats.org/officeDocument/2006/customXml" ds:itemID="{DD5F2043-444C-499A-AE43-E9C6115E6F30}">
  <ds:schemaRefs>
    <ds:schemaRef ds:uri="http://purl.org/dc/dcmitype/"/>
    <ds:schemaRef ds:uri="http://schemas.microsoft.com/office/2006/documentManagement/types"/>
    <ds:schemaRef ds:uri="http://purl.org/dc/terms/"/>
    <ds:schemaRef ds:uri="13831506-a54c-44b6-81ec-db683ac6e124"/>
    <ds:schemaRef ds:uri="http://schemas.openxmlformats.org/package/2006/metadata/core-properties"/>
    <ds:schemaRef ds:uri="http://purl.org/dc/elements/1.1/"/>
    <ds:schemaRef ds:uri="http://www.w3.org/XML/1998/namespac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レビュー指摘表</vt:lpstr>
      <vt:lpstr>レビュー指摘表!Print_Titles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admin</cp:lastModifiedBy>
  <cp:lastPrinted>2017-03-29T01:45:56Z</cp:lastPrinted>
  <dcterms:created xsi:type="dcterms:W3CDTF">2010-03-11T07:22:40Z</dcterms:created>
  <dcterms:modified xsi:type="dcterms:W3CDTF">2019-09-06T04:17:41Z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