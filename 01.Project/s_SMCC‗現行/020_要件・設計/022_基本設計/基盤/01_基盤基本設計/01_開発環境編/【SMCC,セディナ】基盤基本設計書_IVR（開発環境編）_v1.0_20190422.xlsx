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codeName="ThisWorkbook"/>
  <mc:AlternateContent xmlns:mc="http://schemas.openxmlformats.org/markup-compatibility/2006">
    <mc:Choice Requires="x15">
      <x15ac:absPath xmlns:x15ac="http://schemas.microsoft.com/office/spreadsheetml/2010/11/ac" url="\\10.44.61.150\c$\tmp\JRI_DATA\20190422_IVR基盤基本設計（開発編）\"/>
    </mc:Choice>
  </mc:AlternateContent>
  <bookViews>
    <workbookView xWindow="0" yWindow="0" windowWidth="28800" windowHeight="12450" tabRatio="898" activeTab="1"/>
  </bookViews>
  <sheets>
    <sheet name="表紙 " sheetId="72" r:id="rId1"/>
    <sheet name="改訂履歴 " sheetId="73" r:id="rId2"/>
    <sheet name="基本設計目次" sheetId="74" r:id="rId3"/>
    <sheet name="0. はじめに" sheetId="70" r:id="rId4"/>
    <sheet name="1.システム概要" sheetId="75" r:id="rId5"/>
    <sheet name="2.HWSW構成" sheetId="77" r:id="rId6"/>
    <sheet name="3.NW構成" sheetId="78" r:id="rId7"/>
    <sheet name="4.ミドルウェア設計" sheetId="96" r:id="rId8"/>
    <sheet name="5.ログ管理" sheetId="97" r:id="rId9"/>
    <sheet name="6.バックアップ・リストア処理方式設計" sheetId="84" r:id="rId10"/>
    <sheet name="7.セキュリティ設計" sheetId="90" r:id="rId11"/>
    <sheet name="8.拡張性設計" sheetId="81" r:id="rId12"/>
    <sheet name="9.障害対策設計" sheetId="82"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8"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7"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7"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7"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7"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ｐ" localSheetId="4" hidden="1">#REF!</definedName>
    <definedName name="ｐ" localSheetId="5" hidden="1">#REF!</definedName>
    <definedName name="ｐ" localSheetId="6" hidden="1">#REF!</definedName>
    <definedName name="ｐ" localSheetId="7" hidden="1">#REF!</definedName>
    <definedName name="ｐ" localSheetId="8"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はじめに'!$A$1:$CE$67</definedName>
    <definedName name="_xlnm.Print_Area" localSheetId="4">'1.システム概要'!$A$1:$CE$212</definedName>
    <definedName name="_xlnm.Print_Area" localSheetId="5">'2.HWSW構成'!$A$1:$CE$261</definedName>
    <definedName name="_xlnm.Print_Area" localSheetId="6">'3.NW構成'!$A$1:$CE$215</definedName>
    <definedName name="_xlnm.Print_Area" localSheetId="7">'4.ミドルウェア設計'!$A$1:$CE$483</definedName>
    <definedName name="_xlnm.Print_Area" localSheetId="8">'5.ログ管理'!$A$1:$CE$85</definedName>
    <definedName name="_xlnm.Print_Area" localSheetId="9">'6.バックアップ・リストア処理方式設計'!$A$1:$CE$217</definedName>
    <definedName name="_xlnm.Print_Area" localSheetId="10">'7.セキュリティ設計'!$A$1:$CE$238</definedName>
    <definedName name="_xlnm.Print_Area" localSheetId="11">'8.拡張性設計'!$A$1:$CE$49</definedName>
    <definedName name="_xlnm.Print_Area" localSheetId="12">'9.障害対策設計'!$A$1:$CE$49</definedName>
    <definedName name="_xlnm.Print_Area" localSheetId="2">基本設計目次!$A$1:$CE$52</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8"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71027"/>
</workbook>
</file>

<file path=xl/calcChain.xml><?xml version="1.0" encoding="utf-8"?>
<calcChain xmlns="http://schemas.openxmlformats.org/spreadsheetml/2006/main">
  <c r="BM212" i="84" l="1"/>
  <c r="BM211" i="84"/>
  <c r="BM208" i="84"/>
  <c r="BM207" i="84"/>
  <c r="BM206" i="84"/>
  <c r="BM205" i="84"/>
  <c r="AS141" i="78" l="1"/>
  <c r="AS138" i="78"/>
  <c r="AS139" i="78" s="1"/>
  <c r="AS142" i="78" l="1"/>
  <c r="AS143" i="78" s="1"/>
  <c r="AG184" i="77" l="1"/>
  <c r="AG141" i="77"/>
  <c r="AG90" i="77"/>
  <c r="AG44" i="77"/>
  <c r="CP211" i="84" l="1"/>
  <c r="CI211" i="84"/>
  <c r="CR210" i="84"/>
  <c r="CK210" i="84"/>
  <c r="CL210" i="84" s="1"/>
  <c r="CM210" i="84" l="1"/>
  <c r="CN210" i="84" s="1"/>
  <c r="CO210" i="84" s="1"/>
  <c r="CS210" i="84"/>
  <c r="CT210" i="84" s="1"/>
  <c r="CU210" i="84" s="1"/>
  <c r="CV210" i="84" s="1"/>
  <c r="CJ211" i="84" l="1"/>
  <c r="BM210" i="84" s="1"/>
  <c r="CQ211" i="84"/>
  <c r="BM213" i="84" l="1"/>
</calcChain>
</file>

<file path=xl/sharedStrings.xml><?xml version="1.0" encoding="utf-8"?>
<sst xmlns="http://schemas.openxmlformats.org/spreadsheetml/2006/main" count="1981" uniqueCount="1233">
  <si>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</si>
  <si>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</si>
  <si>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</si>
  <si>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</si>
  <si>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</si>
  <si>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</si>
  <si>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</si>
  <si>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</si>
  <si>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</si>
  <si>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</si>
  <si>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コンタクトセンター共通化</t>
    <phoneticPr fontId="2"/>
  </si>
  <si>
    <t>コールセンターシステム</t>
    <phoneticPr fontId="2"/>
  </si>
  <si>
    <t>IVR基盤基本設計書では要件定義書および現行基本設計書の内容に基づき、IVRシステム基盤の主な設計方針を定義する。</t>
    <rPh sb="3" eb="5">
      <t>キバン</t>
    </rPh>
    <rPh sb="5" eb="7">
      <t>キホン</t>
    </rPh>
    <rPh sb="7" eb="9">
      <t>セッケイ</t>
    </rPh>
    <rPh sb="9" eb="10">
      <t>ショ</t>
    </rPh>
    <rPh sb="12" eb="14">
      <t>ヨウケン</t>
    </rPh>
    <rPh sb="14" eb="16">
      <t>テイギ</t>
    </rPh>
    <rPh sb="16" eb="17">
      <t>ショ</t>
    </rPh>
    <rPh sb="20" eb="22">
      <t>ゲンコウ</t>
    </rPh>
    <rPh sb="22" eb="24">
      <t>キホン</t>
    </rPh>
    <rPh sb="24" eb="27">
      <t>セッケイショ</t>
    </rPh>
    <rPh sb="28" eb="30">
      <t>ナイヨウ</t>
    </rPh>
    <rPh sb="31" eb="32">
      <t>モト</t>
    </rPh>
    <rPh sb="42" eb="44">
      <t>キバン</t>
    </rPh>
    <rPh sb="45" eb="46">
      <t>オモ</t>
    </rPh>
    <rPh sb="47" eb="49">
      <t>セッケイ</t>
    </rPh>
    <rPh sb="49" eb="51">
      <t>ホウシン</t>
    </rPh>
    <rPh sb="52" eb="54">
      <t>テイギ</t>
    </rPh>
    <phoneticPr fontId="2"/>
  </si>
  <si>
    <r>
      <t>IVR基盤基本設計書は</t>
    </r>
    <r>
      <rPr>
        <sz val="10"/>
        <rFont val="ＭＳ Ｐゴシック"/>
        <family val="3"/>
        <charset val="128"/>
      </rPr>
      <t>「開発環境IVRシステム構築」に伴う基盤部分の基本設計を行うことが目的である。</t>
    </r>
    <rPh sb="3" eb="5">
      <t>キバン</t>
    </rPh>
    <rPh sb="5" eb="7">
      <t>キホン</t>
    </rPh>
    <rPh sb="7" eb="9">
      <t>セッケイ</t>
    </rPh>
    <rPh sb="9" eb="10">
      <t>ショ</t>
    </rPh>
    <rPh sb="12" eb="14">
      <t>カイハツ</t>
    </rPh>
    <rPh sb="14" eb="16">
      <t>カンキョウ</t>
    </rPh>
    <rPh sb="23" eb="25">
      <t>コウチク</t>
    </rPh>
    <rPh sb="27" eb="28">
      <t>トモナ</t>
    </rPh>
    <rPh sb="29" eb="31">
      <t>キバン</t>
    </rPh>
    <rPh sb="31" eb="33">
      <t>ブブン</t>
    </rPh>
    <rPh sb="34" eb="36">
      <t>キホン</t>
    </rPh>
    <rPh sb="36" eb="38">
      <t>セッケイ</t>
    </rPh>
    <rPh sb="39" eb="40">
      <t>オコナ</t>
    </rPh>
    <rPh sb="44" eb="46">
      <t>モクテキ</t>
    </rPh>
    <phoneticPr fontId="2"/>
  </si>
  <si>
    <t>IVR基盤基本設計書の作成にあたり、各ドキュメントの種類とそのドキュメントに対する位置付けを定義する。</t>
    <phoneticPr fontId="2"/>
  </si>
  <si>
    <t>IVR基盤関連のドキュメント体系について以下記述する。</t>
    <rPh sb="3" eb="5">
      <t>キバン</t>
    </rPh>
    <rPh sb="5" eb="7">
      <t>カンレン</t>
    </rPh>
    <rPh sb="14" eb="16">
      <t>タイケイ</t>
    </rPh>
    <rPh sb="20" eb="22">
      <t>イカ</t>
    </rPh>
    <rPh sb="22" eb="24">
      <t>キジュツ</t>
    </rPh>
    <phoneticPr fontId="2"/>
  </si>
  <si>
    <r>
      <t>基盤基本設計書(開発環境編)</t>
    </r>
    <r>
      <rPr>
        <sz val="11"/>
        <rFont val="ＭＳ Ｐゴシック"/>
        <family val="3"/>
        <charset val="128"/>
      </rPr>
      <t>　　はじめに</t>
    </r>
    <rPh sb="0" eb="2">
      <t>キバン</t>
    </rPh>
    <rPh sb="2" eb="4">
      <t>キホン</t>
    </rPh>
    <rPh sb="4" eb="7">
      <t>セッケイショ</t>
    </rPh>
    <rPh sb="8" eb="10">
      <t>カイハツ</t>
    </rPh>
    <rPh sb="10" eb="12">
      <t>カンキョウ</t>
    </rPh>
    <rPh sb="12" eb="13">
      <t>ヘン</t>
    </rPh>
    <phoneticPr fontId="2"/>
  </si>
  <si>
    <t>IVR</t>
    <phoneticPr fontId="2"/>
  </si>
  <si>
    <t>0. はじめに</t>
    <phoneticPr fontId="2"/>
  </si>
  <si>
    <t>【SMCC,セディナ社　CTI基盤システム】</t>
    <rPh sb="15" eb="17">
      <t>キバン</t>
    </rPh>
    <phoneticPr fontId="2"/>
  </si>
  <si>
    <t>開発環境編</t>
    <rPh sb="0" eb="2">
      <t>カイハツ</t>
    </rPh>
    <rPh sb="2" eb="4">
      <t>カンキョウ</t>
    </rPh>
    <rPh sb="4" eb="5">
      <t>ヘン</t>
    </rPh>
    <phoneticPr fontId="2"/>
  </si>
  <si>
    <t>丸紅情報システムズ株式会社</t>
    <rPh sb="0" eb="2">
      <t>マルベニ</t>
    </rPh>
    <rPh sb="2" eb="4">
      <t>ジョウホウ</t>
    </rPh>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</si>
  <si>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</si>
  <si>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</si>
  <si>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</si>
  <si>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</si>
  <si>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</si>
  <si>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</si>
  <si>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</si>
  <si>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コールセンターシステム</t>
    <phoneticPr fontId="2"/>
  </si>
  <si>
    <t>コンタクトセンター共通化</t>
    <phoneticPr fontId="2"/>
  </si>
  <si>
    <t>目次</t>
    <rPh sb="0" eb="2">
      <t>モクジ</t>
    </rPh>
    <phoneticPr fontId="2"/>
  </si>
  <si>
    <r>
      <t>基盤基本設計書(開発環境編)</t>
    </r>
    <r>
      <rPr>
        <sz val="11"/>
        <color indexed="8"/>
        <rFont val="ＭＳ Ｐゴシック"/>
        <family val="3"/>
        <charset val="128"/>
      </rPr>
      <t>　　改訂履歴</t>
    </r>
    <rPh sb="0" eb="2">
      <t>キバン</t>
    </rPh>
    <rPh sb="2" eb="7">
      <t>キホンセッケイショ</t>
    </rPh>
    <rPh sb="8" eb="10">
      <t>カイハツ</t>
    </rPh>
    <rPh sb="10" eb="12">
      <t>カンキョウ</t>
    </rPh>
    <rPh sb="12" eb="13">
      <t>ヘン</t>
    </rPh>
    <rPh sb="16" eb="18">
      <t>カイテイ</t>
    </rPh>
    <rPh sb="18" eb="20">
      <t>リレキ</t>
    </rPh>
    <phoneticPr fontId="2"/>
  </si>
  <si>
    <t>MSYS木全/飛鷹</t>
    <rPh sb="4" eb="6">
      <t>キマタ</t>
    </rPh>
    <rPh sb="7" eb="9">
      <t>ヒダカ</t>
    </rPh>
    <phoneticPr fontId="2"/>
  </si>
  <si>
    <r>
      <t>基盤基本設計書(開発環境編)</t>
    </r>
    <r>
      <rPr>
        <sz val="11"/>
        <rFont val="ＭＳ Ｐゴシック"/>
        <family val="3"/>
        <charset val="128"/>
      </rPr>
      <t>　　基本設計目次</t>
    </r>
    <rPh sb="0" eb="2">
      <t>キバン</t>
    </rPh>
    <rPh sb="2" eb="4">
      <t>キホン</t>
    </rPh>
    <rPh sb="4" eb="7">
      <t>セッケイショ</t>
    </rPh>
    <rPh sb="8" eb="10">
      <t>カイハツ</t>
    </rPh>
    <rPh sb="10" eb="12">
      <t>カンキョウ</t>
    </rPh>
    <rPh sb="12" eb="13">
      <t>ヘン</t>
    </rPh>
    <rPh sb="16" eb="18">
      <t>キホン</t>
    </rPh>
    <rPh sb="18" eb="20">
      <t>セッケイ</t>
    </rPh>
    <rPh sb="20" eb="2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</si>
  <si>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</si>
  <si>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</si>
  <si>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</si>
  <si>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基盤基本設計書
(IVRシステム）</t>
    <rPh sb="0" eb="2">
      <t>キバン</t>
    </rPh>
    <rPh sb="2" eb="4">
      <t>キホン</t>
    </rPh>
    <rPh sb="4" eb="6">
      <t>セッケイ</t>
    </rPh>
    <rPh sb="6" eb="7">
      <t>ショ</t>
    </rPh>
    <phoneticPr fontId="2"/>
  </si>
  <si>
    <t/>
  </si>
  <si>
    <t>0-1.ドキュメントの目的</t>
  </si>
  <si>
    <t>0-2.ドキュメントの記述範囲</t>
  </si>
  <si>
    <t>0-3.ドキュメントの位置付け</t>
  </si>
  <si>
    <t>1-1.システム概要</t>
  </si>
  <si>
    <t>1.システム概要</t>
    <phoneticPr fontId="25"/>
  </si>
  <si>
    <t>0.はじめに</t>
    <phoneticPr fontId="25"/>
  </si>
  <si>
    <t>DB#2</t>
    <phoneticPr fontId="25"/>
  </si>
  <si>
    <t>IVRの稼働に必要なマスタ情報、IVRシステムの操作履歴等を保持する。</t>
    <phoneticPr fontId="25"/>
  </si>
  <si>
    <t>DB#1</t>
    <phoneticPr fontId="25"/>
  </si>
  <si>
    <t>IVR音声フロー・管理画面をWebアプリケーションとして提供する。</t>
    <rPh sb="3" eb="5">
      <t>オンセイ</t>
    </rPh>
    <rPh sb="9" eb="11">
      <t>カンリ</t>
    </rPh>
    <rPh sb="11" eb="13">
      <t>ガメン</t>
    </rPh>
    <phoneticPr fontId="25"/>
  </si>
  <si>
    <t>WAS</t>
    <phoneticPr fontId="25"/>
  </si>
  <si>
    <t>MPP：PBXとIVR間の音声通信を提供する。</t>
    <phoneticPr fontId="25"/>
  </si>
  <si>
    <t>EPM：MPP/WASの管理機能を提供する。</t>
    <rPh sb="12" eb="14">
      <t>カンリ</t>
    </rPh>
    <rPh sb="14" eb="16">
      <t>キノウ</t>
    </rPh>
    <rPh sb="17" eb="19">
      <t>テイキョウ</t>
    </rPh>
    <phoneticPr fontId="39"/>
  </si>
  <si>
    <t>EPM/MPP</t>
    <phoneticPr fontId="25"/>
  </si>
  <si>
    <t>構成</t>
    <rPh sb="0" eb="2">
      <t>コウセイ</t>
    </rPh>
    <phoneticPr fontId="25"/>
  </si>
  <si>
    <t>役割</t>
    <rPh sb="0" eb="2">
      <t>ヤクワリ</t>
    </rPh>
    <phoneticPr fontId="25"/>
  </si>
  <si>
    <t>機器名</t>
    <rPh sb="0" eb="2">
      <t>キキ</t>
    </rPh>
    <rPh sb="2" eb="3">
      <t>メイ</t>
    </rPh>
    <phoneticPr fontId="25"/>
  </si>
  <si>
    <t>本システムを構成する各サーバの役割を以下に示す。</t>
    <rPh sb="0" eb="1">
      <t>ホン</t>
    </rPh>
    <rPh sb="6" eb="8">
      <t>コウセイ</t>
    </rPh>
    <rPh sb="10" eb="11">
      <t>カク</t>
    </rPh>
    <rPh sb="15" eb="17">
      <t>ヤクワリ</t>
    </rPh>
    <rPh sb="18" eb="20">
      <t>イカ</t>
    </rPh>
    <rPh sb="21" eb="22">
      <t>シメ</t>
    </rPh>
    <phoneticPr fontId="25"/>
  </si>
  <si>
    <t>本システムと周辺システムの構成を以下に示す。</t>
  </si>
  <si>
    <t>本システム（開発環境）においても、本番環境と同様のプロダクト（バージョン）で仮想構成を構築し、開発テストを実施することを目的とする。</t>
    <rPh sb="17" eb="19">
      <t>ホンバン</t>
    </rPh>
    <rPh sb="19" eb="21">
      <t>カンキョウ</t>
    </rPh>
    <rPh sb="22" eb="24">
      <t>ドウヨウ</t>
    </rPh>
    <phoneticPr fontId="25"/>
  </si>
  <si>
    <t>1-1.システム概要</t>
    <rPh sb="8" eb="10">
      <t>ガイヨウ</t>
    </rPh>
    <phoneticPr fontId="2"/>
  </si>
  <si>
    <t>1.システム概要</t>
    <rPh sb="6" eb="8">
      <t>ガイヨウ</t>
    </rPh>
    <phoneticPr fontId="2"/>
  </si>
  <si>
    <r>
      <t>基盤基本設計書(開発環境編)</t>
    </r>
    <r>
      <rPr>
        <sz val="11"/>
        <rFont val="ＭＳ Ｐゴシック"/>
        <family val="3"/>
        <charset val="128"/>
      </rPr>
      <t>　　システム概要</t>
    </r>
    <rPh sb="0" eb="2">
      <t>キバン</t>
    </rPh>
    <rPh sb="2" eb="4">
      <t>キホン</t>
    </rPh>
    <rPh sb="4" eb="7">
      <t>セッケイショ</t>
    </rPh>
    <rPh sb="8" eb="10">
      <t>カイハツ</t>
    </rPh>
    <rPh sb="10" eb="12">
      <t>カンキョウ</t>
    </rPh>
    <rPh sb="12" eb="13">
      <t>ヘン</t>
    </rPh>
    <rPh sb="20" eb="22">
      <t>ガイヨウ</t>
    </rPh>
    <phoneticPr fontId="2"/>
  </si>
  <si>
    <t>DB</t>
    <phoneticPr fontId="25"/>
  </si>
  <si>
    <t>備考</t>
    <rPh sb="0" eb="2">
      <t>ビコウ</t>
    </rPh>
    <phoneticPr fontId="25"/>
  </si>
  <si>
    <t>IVR</t>
    <phoneticPr fontId="2"/>
  </si>
  <si>
    <t>コンタクトセンター共通化</t>
    <phoneticPr fontId="2"/>
  </si>
  <si>
    <t>コールセンターシステム</t>
    <phoneticPr fontId="2"/>
  </si>
  <si>
    <t>r17.5</t>
    <phoneticPr fontId="25"/>
  </si>
  <si>
    <t>Arcserve Backup Virtual Machines Agent</t>
  </si>
  <si>
    <t>Arcserve</t>
    <phoneticPr fontId="25"/>
  </si>
  <si>
    <t>セゾン情報</t>
    <phoneticPr fontId="25"/>
  </si>
  <si>
    <t>11.5</t>
    <phoneticPr fontId="25"/>
  </si>
  <si>
    <t>JP1/AJS3-Agent</t>
  </si>
  <si>
    <t>JP1/Base</t>
  </si>
  <si>
    <t>HITACHI</t>
    <phoneticPr fontId="25"/>
  </si>
  <si>
    <t>v9 Advanced</t>
    <phoneticPr fontId="25"/>
  </si>
  <si>
    <t>Oracle ARK</t>
    <phoneticPr fontId="25"/>
  </si>
  <si>
    <t xml:space="preserve">LifeKeeper for Linux </t>
  </si>
  <si>
    <t>サイオス</t>
    <phoneticPr fontId="25"/>
  </si>
  <si>
    <t>Oracle JDK</t>
    <phoneticPr fontId="25"/>
  </si>
  <si>
    <t>12cR2</t>
    <phoneticPr fontId="25"/>
  </si>
  <si>
    <t xml:space="preserve">Oracle Client </t>
    <phoneticPr fontId="25"/>
  </si>
  <si>
    <t>Oracle Database</t>
    <phoneticPr fontId="25"/>
  </si>
  <si>
    <t>Oracle</t>
    <phoneticPr fontId="25"/>
  </si>
  <si>
    <t>ミドルウェア</t>
    <phoneticPr fontId="25"/>
  </si>
  <si>
    <t>7.4</t>
    <phoneticPr fontId="25"/>
  </si>
  <si>
    <t>Red Hat Enterprise Linux</t>
    <phoneticPr fontId="25"/>
  </si>
  <si>
    <t>Red Hat</t>
  </si>
  <si>
    <t>OS</t>
    <phoneticPr fontId="25"/>
  </si>
  <si>
    <t>v1</t>
    <phoneticPr fontId="25"/>
  </si>
  <si>
    <t>RSCクライアント HSM79V1</t>
    <phoneticPr fontId="25"/>
  </si>
  <si>
    <t>日本HP</t>
    <phoneticPr fontId="25"/>
  </si>
  <si>
    <t>Oracle WebLogic Server</t>
    <phoneticPr fontId="25"/>
  </si>
  <si>
    <t>7.2.1</t>
    <phoneticPr fontId="25"/>
  </si>
  <si>
    <t>Avaya</t>
    <phoneticPr fontId="25"/>
  </si>
  <si>
    <t>6.8</t>
    <phoneticPr fontId="25"/>
  </si>
  <si>
    <t>Avaya Enterprise Linux</t>
    <phoneticPr fontId="25"/>
  </si>
  <si>
    <t>バージョン</t>
    <phoneticPr fontId="25"/>
  </si>
  <si>
    <t>ソフトウェア</t>
    <phoneticPr fontId="25"/>
  </si>
  <si>
    <t>メーカー</t>
    <phoneticPr fontId="25"/>
  </si>
  <si>
    <t>分類</t>
    <rPh sb="0" eb="2">
      <t>ブンルイ</t>
    </rPh>
    <phoneticPr fontId="25"/>
  </si>
  <si>
    <t>各サーバのソフトウェア構成を以下に示す。</t>
  </si>
  <si>
    <t>-</t>
    <phoneticPr fontId="25"/>
  </si>
  <si>
    <t>WAS</t>
    <phoneticPr fontId="25"/>
  </si>
  <si>
    <t>合計</t>
    <rPh sb="0" eb="2">
      <t>ゴウケイ</t>
    </rPh>
    <phoneticPr fontId="25"/>
  </si>
  <si>
    <t>本システムのサーバは全てWindows共通基盤の仮想環境上に構築する。</t>
    <rPh sb="0" eb="1">
      <t>ホン</t>
    </rPh>
    <rPh sb="19" eb="21">
      <t>キョウツウ</t>
    </rPh>
    <rPh sb="21" eb="23">
      <t>キバン</t>
    </rPh>
    <phoneticPr fontId="2"/>
  </si>
  <si>
    <t>ハードウェアはWindows共通基盤およびストレージクラウドの機器を用いる。個別機器の導入は無い。</t>
    <phoneticPr fontId="25"/>
  </si>
  <si>
    <r>
      <t>基盤基本設計書(開発環境編)</t>
    </r>
    <r>
      <rPr>
        <sz val="11"/>
        <rFont val="ＭＳ Ｐゴシック"/>
        <family val="3"/>
        <charset val="128"/>
      </rPr>
      <t>　　HWSW構成</t>
    </r>
    <rPh sb="0" eb="2">
      <t>キバン</t>
    </rPh>
    <rPh sb="2" eb="4">
      <t>キホン</t>
    </rPh>
    <rPh sb="4" eb="7">
      <t>セッケイショ</t>
    </rPh>
    <rPh sb="8" eb="10">
      <t>カイハツ</t>
    </rPh>
    <rPh sb="10" eb="12">
      <t>カンキョウ</t>
    </rPh>
    <rPh sb="12" eb="13">
      <t>ヘン</t>
    </rPh>
    <rPh sb="20" eb="22">
      <t>コウセイ</t>
    </rPh>
    <phoneticPr fontId="2"/>
  </si>
  <si>
    <t>-</t>
    <phoneticPr fontId="25"/>
  </si>
  <si>
    <t>GW</t>
    <phoneticPr fontId="25"/>
  </si>
  <si>
    <t>ハートビート</t>
    <phoneticPr fontId="25"/>
  </si>
  <si>
    <t>データ</t>
    <phoneticPr fontId="25"/>
  </si>
  <si>
    <t>PBX管理</t>
    <phoneticPr fontId="25"/>
  </si>
  <si>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5"/>
  </si>
  <si>
    <t>DB#1障害時</t>
    <rPh sb="4" eb="7">
      <t>ショウガイジ</t>
    </rPh>
    <phoneticPr fontId="2"/>
  </si>
  <si>
    <t>通常時</t>
    <rPh sb="0" eb="3">
      <t>ツウジョウジ</t>
    </rPh>
    <phoneticPr fontId="2"/>
  </si>
  <si>
    <t>NTPプロトコル</t>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</si>
  <si>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1"/>
  </si>
  <si>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5"/>
  </si>
  <si>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5"/>
  </si>
  <si>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5"/>
  </si>
  <si>
    <t>・LifeKeeperによるDBサーバの相互生死監視を行う。</t>
    <rPh sb="27" eb="28">
      <t>オコナ</t>
    </rPh>
    <phoneticPr fontId="25"/>
  </si>
  <si>
    <t>1</t>
    <phoneticPr fontId="25"/>
  </si>
  <si>
    <t>Static</t>
    <phoneticPr fontId="25"/>
  </si>
  <si>
    <t>eth2</t>
    <phoneticPr fontId="25"/>
  </si>
  <si>
    <t>・バックアップのためBackup/Syslogサーバと通信を行う。</t>
  </si>
  <si>
    <t>仮想：1</t>
    <rPh sb="0" eb="1">
      <t>カソウ</t>
    </rPh>
    <phoneticPr fontId="25"/>
  </si>
  <si>
    <t>・時刻同期のためNTPサーバと通信を行う。</t>
  </si>
  <si>
    <t>物理：1</t>
    <rPh sb="0" eb="1">
      <t>ブツリ</t>
    </rPh>
    <phoneticPr fontId="25"/>
  </si>
  <si>
    <t>業務LAN</t>
  </si>
  <si>
    <t>PBX管理</t>
  </si>
  <si>
    <t>Static</t>
  </si>
  <si>
    <t>eth1</t>
    <phoneticPr fontId="25"/>
  </si>
  <si>
    <t>・HULFT連携のため周辺システム（IBMホスト、集配信HUB）と通信を行う。</t>
    <phoneticPr fontId="25"/>
  </si>
  <si>
    <t>・マスタデータの参照、メンテナンスのためWASと通信を行う。</t>
    <phoneticPr fontId="25"/>
  </si>
  <si>
    <t>有</t>
    <phoneticPr fontId="25"/>
  </si>
  <si>
    <t>eth0</t>
  </si>
  <si>
    <t>・CTI連携のためAESと通信を行う。</t>
    <rPh sb="4" eb="6">
      <t>レンケイ</t>
    </rPh>
    <rPh sb="13" eb="15">
      <t>ツウシン</t>
    </rPh>
    <rPh sb="16" eb="17">
      <t>オコナ</t>
    </rPh>
    <phoneticPr fontId="25"/>
  </si>
  <si>
    <t>PBX制御音声</t>
    <phoneticPr fontId="25"/>
  </si>
  <si>
    <t>・音声フローをMPPへ送信する。</t>
  </si>
  <si>
    <t>・電文連携のため周辺システム（統合AP、統合DB、チャネル統合基盤、タンデム）と通信を行う。</t>
  </si>
  <si>
    <t>・管理業務実行のためPC端末と通信を行う。</t>
  </si>
  <si>
    <t>・内線接続セッション制御のためCTI基盤と通信を行う。</t>
    <phoneticPr fontId="25"/>
  </si>
  <si>
    <t>・AEPのライセンス管理のためWASと通信を行う。</t>
    <rPh sb="10" eb="12">
      <t>カンリ</t>
    </rPh>
    <phoneticPr fontId="25"/>
  </si>
  <si>
    <t>PBX管理</t>
    <rPh sb="3" eb="5">
      <t>カンリ</t>
    </rPh>
    <phoneticPr fontId="25"/>
  </si>
  <si>
    <t>数量</t>
    <rPh sb="0" eb="1">
      <t>スウ</t>
    </rPh>
    <rPh sb="1" eb="2">
      <t>リョウ</t>
    </rPh>
    <phoneticPr fontId="25"/>
  </si>
  <si>
    <t>(※1)</t>
    <phoneticPr fontId="25"/>
  </si>
  <si>
    <t>通信用途および主な対向先</t>
    <rPh sb="2" eb="4">
      <t>ヨウト</t>
    </rPh>
    <rPh sb="7" eb="8">
      <t>オモ</t>
    </rPh>
    <phoneticPr fontId="2"/>
  </si>
  <si>
    <t>接続セグメント</t>
    <rPh sb="0" eb="2">
      <t>セツゾク</t>
    </rPh>
    <phoneticPr fontId="2"/>
  </si>
  <si>
    <t>デフォルト</t>
    <phoneticPr fontId="25"/>
  </si>
  <si>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</si>
  <si>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</si>
  <si>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</si>
  <si>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セグメントごとの通信用途は次項を参照。</t>
    <rPh sb="8" eb="10">
      <t>ツウシン</t>
    </rPh>
    <rPh sb="10" eb="12">
      <t>ヨウト</t>
    </rPh>
    <rPh sb="13" eb="14">
      <t>ジ</t>
    </rPh>
    <rPh sb="16" eb="18">
      <t>サンショウ</t>
    </rPh>
    <phoneticPr fontId="25"/>
  </si>
  <si>
    <t>本システムのセグメント構成図を以下に記述する。</t>
    <rPh sb="0" eb="1">
      <t>ホン</t>
    </rPh>
    <rPh sb="11" eb="14">
      <t>コウセイズ</t>
    </rPh>
    <rPh sb="15" eb="17">
      <t>イカ</t>
    </rPh>
    <rPh sb="18" eb="20">
      <t>キジュツ</t>
    </rPh>
    <phoneticPr fontId="2"/>
  </si>
  <si>
    <t>・拠点業務端末からの通信</t>
    <phoneticPr fontId="25"/>
  </si>
  <si>
    <t>・周辺システム（統合AP、統合DB、チャネル統合基盤、タンデム）との電文連携</t>
    <rPh sb="1" eb="3">
      <t>シュウヘン</t>
    </rPh>
    <rPh sb="8" eb="10">
      <t>トウゴウ</t>
    </rPh>
    <rPh sb="13" eb="15">
      <t>トウゴウ</t>
    </rPh>
    <rPh sb="22" eb="24">
      <t>トウゴウ</t>
    </rPh>
    <rPh sb="24" eb="26">
      <t>キバン</t>
    </rPh>
    <rPh sb="34" eb="36">
      <t>デンブン</t>
    </rPh>
    <rPh sb="36" eb="38">
      <t>レンケイ</t>
    </rPh>
    <phoneticPr fontId="25"/>
  </si>
  <si>
    <t>・周辺システム（IBMホスト、集配信HUB）とのHULFT連携</t>
  </si>
  <si>
    <t>データ</t>
  </si>
  <si>
    <t>・Backup/Syslogサーバとのバックアップ通信</t>
    <phoneticPr fontId="25"/>
  </si>
  <si>
    <t>・IVR関連機器メンテナンスアクセス通信</t>
    <rPh sb="4" eb="6">
      <t>カンレン</t>
    </rPh>
    <rPh sb="6" eb="8">
      <t>キキ</t>
    </rPh>
    <phoneticPr fontId="25"/>
  </si>
  <si>
    <t>・AESとのCTI連携</t>
    <rPh sb="9" eb="11">
      <t>レンケイ</t>
    </rPh>
    <phoneticPr fontId="2"/>
  </si>
  <si>
    <t>・PBXとの受架電</t>
    <rPh sb="6" eb="7">
      <t>ウケ</t>
    </rPh>
    <rPh sb="7" eb="8">
      <t>カ</t>
    </rPh>
    <rPh sb="8" eb="9">
      <t>デン</t>
    </rPh>
    <phoneticPr fontId="25"/>
  </si>
  <si>
    <t>PBX制御音声</t>
  </si>
  <si>
    <t>音声NW</t>
    <rPh sb="0" eb="2">
      <t>オンセイ</t>
    </rPh>
    <phoneticPr fontId="2"/>
  </si>
  <si>
    <t>セグメント</t>
    <phoneticPr fontId="25"/>
  </si>
  <si>
    <t>NW種別</t>
    <rPh sb="2" eb="4">
      <t>シュベツ</t>
    </rPh>
    <phoneticPr fontId="2"/>
  </si>
  <si>
    <t>以下に利用セグメント用途を記述する。</t>
    <rPh sb="0" eb="2">
      <t>イカ</t>
    </rPh>
    <rPh sb="3" eb="5">
      <t>リヨウ</t>
    </rPh>
    <rPh sb="10" eb="12">
      <t>ヨウト</t>
    </rPh>
    <rPh sb="13" eb="15">
      <t>キジュツ</t>
    </rPh>
    <phoneticPr fontId="25"/>
  </si>
  <si>
    <t>NWセグメントの種別は下記4種類となり、本番環境と同様とする。</t>
    <rPh sb="14" eb="16">
      <t>シュルイ</t>
    </rPh>
    <rPh sb="20" eb="22">
      <t>ホンバン</t>
    </rPh>
    <rPh sb="22" eb="24">
      <t>カンキョウ</t>
    </rPh>
    <rPh sb="25" eb="27">
      <t>ドウヨウ</t>
    </rPh>
    <phoneticPr fontId="2"/>
  </si>
  <si>
    <r>
      <t>基盤基本設計書(開発環境編)</t>
    </r>
    <r>
      <rPr>
        <sz val="11"/>
        <rFont val="ＭＳ Ｐゴシック"/>
        <family val="3"/>
        <charset val="128"/>
      </rPr>
      <t>　　NW構成</t>
    </r>
    <rPh sb="0" eb="2">
      <t>キバン</t>
    </rPh>
    <rPh sb="2" eb="4">
      <t>キホン</t>
    </rPh>
    <rPh sb="4" eb="7">
      <t>セッケイショ</t>
    </rPh>
    <rPh sb="8" eb="10">
      <t>カイハツ</t>
    </rPh>
    <rPh sb="10" eb="12">
      <t>カンキョウ</t>
    </rPh>
    <rPh sb="12" eb="13">
      <t>ヘン</t>
    </rPh>
    <rPh sb="18" eb="20">
      <t>コウセイ</t>
    </rPh>
    <phoneticPr fontId="2"/>
  </si>
  <si>
    <t>以下にLifeKeeper構成図を記載する。</t>
    <rPh sb="0" eb="2">
      <t>イカ</t>
    </rPh>
    <rPh sb="13" eb="15">
      <t>コウセイ</t>
    </rPh>
    <rPh sb="15" eb="16">
      <t>ズ</t>
    </rPh>
    <rPh sb="17" eb="19">
      <t>キサイ</t>
    </rPh>
    <phoneticPr fontId="25"/>
  </si>
  <si>
    <t>・オンライン業務に影響が発生する障害時は、自動フェールオーバーの対象とし、</t>
    <rPh sb="18" eb="19">
      <t>ジ</t>
    </rPh>
    <rPh sb="21" eb="23">
      <t>ジドウ</t>
    </rPh>
    <rPh sb="32" eb="34">
      <t>タイショウ</t>
    </rPh>
    <phoneticPr fontId="25"/>
  </si>
  <si>
    <t>・ハートビート間隔は、現行システムと同様に3秒間隔で10回とする。</t>
    <rPh sb="22" eb="23">
      <t>ビョウ</t>
    </rPh>
    <rPh sb="23" eb="25">
      <t>カンカク</t>
    </rPh>
    <rPh sb="28" eb="29">
      <t>カイ</t>
    </rPh>
    <phoneticPr fontId="25"/>
  </si>
  <si>
    <t>・コミュニケーションパスは、TCP/IPを使用し、ハートビートセグメントおよびデータセグメントの2本で冗長化する。</t>
    <rPh sb="21" eb="23">
      <t>シヨウ</t>
    </rPh>
    <rPh sb="49" eb="50">
      <t>ホン</t>
    </rPh>
    <rPh sb="51" eb="53">
      <t>ジョウチョウ</t>
    </rPh>
    <rPh sb="53" eb="54">
      <t>カ</t>
    </rPh>
    <phoneticPr fontId="25"/>
  </si>
  <si>
    <t>以下に設計方針を記載する。</t>
    <rPh sb="0" eb="2">
      <t>イカ</t>
    </rPh>
    <rPh sb="3" eb="5">
      <t>セッケイ</t>
    </rPh>
    <rPh sb="5" eb="7">
      <t>ホウシン</t>
    </rPh>
    <rPh sb="8" eb="10">
      <t>キサイ</t>
    </rPh>
    <phoneticPr fontId="25"/>
  </si>
  <si>
    <t>以下に設計範囲を記載する。</t>
    <rPh sb="0" eb="2">
      <t>イカ</t>
    </rPh>
    <rPh sb="8" eb="10">
      <t>キサイ</t>
    </rPh>
    <phoneticPr fontId="25"/>
  </si>
  <si>
    <t>DBサーバにLifeKeeperを導入し、DB#1で障害が発生した場合は、OracleDBおよび論理JP1をDB#2に切り替える。</t>
    <rPh sb="17" eb="19">
      <t>ドウニュウ</t>
    </rPh>
    <rPh sb="26" eb="28">
      <t>ショウガイ</t>
    </rPh>
    <rPh sb="29" eb="31">
      <t>ハッセイ</t>
    </rPh>
    <rPh sb="33" eb="35">
      <t>バアイ</t>
    </rPh>
    <rPh sb="48" eb="50">
      <t>ロンリ</t>
    </rPh>
    <rPh sb="59" eb="60">
      <t>キ</t>
    </rPh>
    <rPh sb="61" eb="62">
      <t>カ</t>
    </rPh>
    <phoneticPr fontId="25"/>
  </si>
  <si>
    <t>システムダウンを回避する。</t>
  </si>
  <si>
    <t>システム障害を監視しアクティブサーバに障害が発生した場合に、スタンバイサーバに自動的に処理の切り替え(フェイルオーバー)を行うことで</t>
  </si>
  <si>
    <t>LifeKeeperは、HAクラスタソフトウェアである。ミッションクリティカルなシステムの高可用性を実現する。</t>
  </si>
  <si>
    <t>※1：JP1/AJS3の前提製品</t>
    <rPh sb="12" eb="14">
      <t>ゼンテイ</t>
    </rPh>
    <rPh sb="14" eb="16">
      <t>セイヒン</t>
    </rPh>
    <phoneticPr fontId="25"/>
  </si>
  <si>
    <t>以下にジョブ管理構成図を記載する。</t>
    <rPh sb="0" eb="2">
      <t>イカ</t>
    </rPh>
    <rPh sb="6" eb="8">
      <t>カンリ</t>
    </rPh>
    <rPh sb="8" eb="10">
      <t>コウセイ</t>
    </rPh>
    <rPh sb="10" eb="11">
      <t>ズ</t>
    </rPh>
    <rPh sb="12" eb="14">
      <t>キサイ</t>
    </rPh>
    <phoneticPr fontId="25"/>
  </si>
  <si>
    <t>・他システムとのジョブネット連携を実施する場合は、原則JP1イベントによる連携とする。</t>
    <rPh sb="1" eb="2">
      <t>ホカ</t>
    </rPh>
    <rPh sb="14" eb="16">
      <t>レンケイ</t>
    </rPh>
    <rPh sb="17" eb="19">
      <t>ジッシ</t>
    </rPh>
    <rPh sb="21" eb="23">
      <t>バアイ</t>
    </rPh>
    <phoneticPr fontId="25"/>
  </si>
  <si>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</si>
  <si>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</si>
  <si>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5"/>
  </si>
  <si>
    <t>以下に接続構成図を記載する。</t>
    <rPh sb="0" eb="2">
      <t>イカ</t>
    </rPh>
    <rPh sb="3" eb="5">
      <t>セツゾク</t>
    </rPh>
    <rPh sb="5" eb="7">
      <t>コウセイ</t>
    </rPh>
    <rPh sb="7" eb="8">
      <t>ズ</t>
    </rPh>
    <rPh sb="9" eb="11">
      <t>キサイ</t>
    </rPh>
    <phoneticPr fontId="25"/>
  </si>
  <si>
    <t>・不正なアクセスを防止するため、転送グループに登録されていないホストからは接続できないようにする。</t>
    <rPh sb="1" eb="3">
      <t>フセイ</t>
    </rPh>
    <rPh sb="9" eb="11">
      <t>ボウシ</t>
    </rPh>
    <phoneticPr fontId="25"/>
  </si>
  <si>
    <t>DBサーバにHULFTを導入し、資料受付データをIBMホスト、キャンペーン受付データを集配信HUBへHULFT転送する。</t>
    <rPh sb="16" eb="18">
      <t>シリョウ</t>
    </rPh>
    <rPh sb="18" eb="20">
      <t>ウケツケ</t>
    </rPh>
    <rPh sb="37" eb="39">
      <t>ウケツケ</t>
    </rPh>
    <rPh sb="43" eb="44">
      <t>シュウ</t>
    </rPh>
    <rPh sb="44" eb="46">
      <t>ハイシン</t>
    </rPh>
    <rPh sb="55" eb="57">
      <t>テンソウ</t>
    </rPh>
    <phoneticPr fontId="25"/>
  </si>
  <si>
    <t>TCP／IPプロトコルを使って安全、確実に送り届ける。</t>
  </si>
  <si>
    <t>HULFTは、データの送受信を行うファイル連携ミドルウェアである。</t>
  </si>
  <si>
    <t>以下にDB構成図を記載する。</t>
    <rPh sb="0" eb="2">
      <t>イカ</t>
    </rPh>
    <rPh sb="5" eb="7">
      <t>コウセイ</t>
    </rPh>
    <rPh sb="7" eb="8">
      <t>ズ</t>
    </rPh>
    <rPh sb="9" eb="11">
      <t>キサイ</t>
    </rPh>
    <phoneticPr fontId="25"/>
  </si>
  <si>
    <t>・表領域名、ユーザスキーマ名は現行の名称を踏襲する。</t>
    <rPh sb="1" eb="2">
      <t>ヒョウ</t>
    </rPh>
    <rPh sb="4" eb="5">
      <t>メイ</t>
    </rPh>
    <rPh sb="13" eb="14">
      <t>メイ</t>
    </rPh>
    <rPh sb="15" eb="17">
      <t>ゲンコウ</t>
    </rPh>
    <rPh sb="18" eb="20">
      <t>メイショウ</t>
    </rPh>
    <rPh sb="21" eb="23">
      <t>トウシュウ</t>
    </rPh>
    <phoneticPr fontId="25"/>
  </si>
  <si>
    <t>・障害発生直前までのDB復旧可能にするため、アーカイブログモードとする。</t>
    <rPh sb="1" eb="3">
      <t>ショウガイ</t>
    </rPh>
    <rPh sb="3" eb="5">
      <t>ハッセイ</t>
    </rPh>
    <rPh sb="5" eb="7">
      <t>チョクゼン</t>
    </rPh>
    <rPh sb="12" eb="14">
      <t>フッキュウ</t>
    </rPh>
    <rPh sb="14" eb="16">
      <t>カノウ</t>
    </rPh>
    <phoneticPr fontId="25"/>
  </si>
  <si>
    <t>・レスポンスを考慮し、専用サーバ構成とする。</t>
    <rPh sb="11" eb="13">
      <t>センヨウ</t>
    </rPh>
    <rPh sb="16" eb="18">
      <t>コウセイ</t>
    </rPh>
    <phoneticPr fontId="25"/>
  </si>
  <si>
    <t>DBサーバにOracle DBを導入し、IVRの稼働に必要なマスタ情報、IVRシステムの操作履歴等を保持する。</t>
    <rPh sb="16" eb="18">
      <t>ドウニュウ</t>
    </rPh>
    <phoneticPr fontId="25"/>
  </si>
  <si>
    <t>データは共有ディスクに格納され、RDBMSによって管理される。</t>
    <rPh sb="4" eb="6">
      <t>キョウユウ</t>
    </rPh>
    <rPh sb="11" eb="13">
      <t>カクノウ</t>
    </rPh>
    <rPh sb="25" eb="27">
      <t>カンリ</t>
    </rPh>
    <phoneticPr fontId="25"/>
  </si>
  <si>
    <t>クライアント（プログラム）はSQLを使ってデータベースに処理を要求し、RDBMSはクライアントの要求に従ってデータ処理を実行する。</t>
    <rPh sb="18" eb="19">
      <t>ツカ</t>
    </rPh>
    <rPh sb="28" eb="30">
      <t>ショリ</t>
    </rPh>
    <rPh sb="31" eb="33">
      <t>ヨウキュウ</t>
    </rPh>
    <rPh sb="48" eb="50">
      <t>ヨウキュウ</t>
    </rPh>
    <rPh sb="51" eb="52">
      <t>シタガ</t>
    </rPh>
    <rPh sb="57" eb="59">
      <t>ショリ</t>
    </rPh>
    <rPh sb="60" eb="62">
      <t>ジッコウ</t>
    </rPh>
    <phoneticPr fontId="25"/>
  </si>
  <si>
    <t>以下に構成図を記載する。</t>
    <rPh sb="0" eb="2">
      <t>イカ</t>
    </rPh>
    <rPh sb="3" eb="5">
      <t>コウセイ</t>
    </rPh>
    <rPh sb="5" eb="6">
      <t>ズ</t>
    </rPh>
    <rPh sb="7" eb="9">
      <t>キサイ</t>
    </rPh>
    <phoneticPr fontId="25"/>
  </si>
  <si>
    <t>・WebLogic Serverログは製品機能にてログローテーションを行い、GCログは標準出力ログに出力することで運用ツールにてログローテーションを行う。</t>
  </si>
  <si>
    <t>・Apacheは業務要件として不要なため、利用しない。</t>
  </si>
  <si>
    <t>・ドメイン名は現行のドメイン名を踏襲する。</t>
    <rPh sb="5" eb="6">
      <t>メイ</t>
    </rPh>
    <rPh sb="7" eb="9">
      <t>ゲンコウ</t>
    </rPh>
    <rPh sb="14" eb="15">
      <t>メイ</t>
    </rPh>
    <rPh sb="16" eb="18">
      <t>トウシュウ</t>
    </rPh>
    <phoneticPr fontId="25"/>
  </si>
  <si>
    <t>WASサーバにWebLogic Serverを導入し、管理画面・IVR音声フローをWebアプリケーションとして提供する。</t>
    <rPh sb="23" eb="25">
      <t>ドウニュウ</t>
    </rPh>
    <phoneticPr fontId="25"/>
  </si>
  <si>
    <t>・</t>
    <phoneticPr fontId="25"/>
  </si>
  <si>
    <t>拡張方法</t>
    <rPh sb="0" eb="2">
      <t>カクチョウ</t>
    </rPh>
    <rPh sb="2" eb="4">
      <t>ホウホウ</t>
    </rPh>
    <phoneticPr fontId="25"/>
  </si>
  <si>
    <t>拡張性要件</t>
    <rPh sb="0" eb="3">
      <t>カクチョウセイ</t>
    </rPh>
    <rPh sb="3" eb="5">
      <t>ヨウケン</t>
    </rPh>
    <phoneticPr fontId="25"/>
  </si>
  <si>
    <t>前述の方針に従い、サーバー毎の拡張性要件を明確にし、要件を満たす拡張方法について以下に記述する。</t>
    <rPh sb="0" eb="2">
      <t>ゼンジュツ</t>
    </rPh>
    <rPh sb="3" eb="5">
      <t>ホウシン</t>
    </rPh>
    <rPh sb="6" eb="7">
      <t>シタガ</t>
    </rPh>
    <rPh sb="13" eb="14">
      <t>マイ</t>
    </rPh>
    <rPh sb="15" eb="18">
      <t>カクチョウセイ</t>
    </rPh>
    <rPh sb="18" eb="20">
      <t>ヨウケン</t>
    </rPh>
    <rPh sb="21" eb="23">
      <t>メイカク</t>
    </rPh>
    <rPh sb="26" eb="28">
      <t>ヨウケン</t>
    </rPh>
    <rPh sb="29" eb="30">
      <t>ミ</t>
    </rPh>
    <rPh sb="32" eb="34">
      <t>カクチョウ</t>
    </rPh>
    <rPh sb="34" eb="36">
      <t>ホウホウ</t>
    </rPh>
    <rPh sb="40" eb="42">
      <t>イカ</t>
    </rPh>
    <rPh sb="43" eb="45">
      <t>キジュツ</t>
    </rPh>
    <phoneticPr fontId="25"/>
  </si>
  <si>
    <t>本システムは開発環境であり、最大受付呼数を10として設計を行うため、拡張性は考慮しない。</t>
    <rPh sb="0" eb="1">
      <t>ホン</t>
    </rPh>
    <phoneticPr fontId="25"/>
  </si>
  <si>
    <r>
      <t>基盤基本設計書(開発環境編)</t>
    </r>
    <r>
      <rPr>
        <sz val="11"/>
        <rFont val="ＭＳ Ｐゴシック"/>
        <family val="3"/>
        <charset val="128"/>
      </rPr>
      <t>　　拡張性設計</t>
    </r>
    <rPh sb="0" eb="2">
      <t>キバン</t>
    </rPh>
    <rPh sb="2" eb="4">
      <t>キホン</t>
    </rPh>
    <rPh sb="4" eb="7">
      <t>セッケイショ</t>
    </rPh>
    <rPh sb="8" eb="10">
      <t>カイハツ</t>
    </rPh>
    <rPh sb="10" eb="12">
      <t>カンキョウ</t>
    </rPh>
    <rPh sb="12" eb="13">
      <t>ヘン</t>
    </rPh>
    <rPh sb="16" eb="19">
      <t>カクチョウセイ</t>
    </rPh>
    <rPh sb="19" eb="21">
      <t>セッケイ</t>
    </rPh>
    <phoneticPr fontId="2"/>
  </si>
  <si>
    <t>シングル構成とする。</t>
    <rPh sb="4" eb="6">
      <t>コウセイ</t>
    </rPh>
    <phoneticPr fontId="25"/>
  </si>
  <si>
    <t>機能実装方式</t>
    <rPh sb="0" eb="2">
      <t>キノウ</t>
    </rPh>
    <rPh sb="2" eb="4">
      <t>ジッソウ</t>
    </rPh>
    <rPh sb="4" eb="6">
      <t>ホウシキ</t>
    </rPh>
    <phoneticPr fontId="25"/>
  </si>
  <si>
    <r>
      <t>基盤基本設計書(開発環境編)</t>
    </r>
    <r>
      <rPr>
        <sz val="11"/>
        <rFont val="ＭＳ Ｐゴシック"/>
        <family val="3"/>
        <charset val="128"/>
      </rPr>
      <t>　　信頼性設計</t>
    </r>
    <rPh sb="0" eb="2">
      <t>キバン</t>
    </rPh>
    <rPh sb="2" eb="4">
      <t>キホン</t>
    </rPh>
    <rPh sb="4" eb="7">
      <t>セッケイショ</t>
    </rPh>
    <rPh sb="8" eb="10">
      <t>カイハツ</t>
    </rPh>
    <rPh sb="10" eb="12">
      <t>カンキョウ</t>
    </rPh>
    <rPh sb="12" eb="13">
      <t>ヘン</t>
    </rPh>
    <rPh sb="16" eb="19">
      <t>シンライセイ</t>
    </rPh>
    <rPh sb="19" eb="21">
      <t>セッケイ</t>
    </rPh>
    <phoneticPr fontId="2"/>
  </si>
  <si>
    <t>180日</t>
    <rPh sb="3" eb="4">
      <t>ヒ</t>
    </rPh>
    <phoneticPr fontId="19"/>
  </si>
  <si>
    <t>IVR管理画面調査用ログ</t>
    <rPh sb="7" eb="9">
      <t>チョウサ</t>
    </rPh>
    <rPh sb="9" eb="10">
      <t>ヨウ</t>
    </rPh>
    <phoneticPr fontId="19"/>
  </si>
  <si>
    <t>EPM管理画面調査用ログ</t>
    <rPh sb="7" eb="9">
      <t>チョウサ</t>
    </rPh>
    <rPh sb="9" eb="10">
      <t>ヨウ</t>
    </rPh>
    <phoneticPr fontId="19"/>
  </si>
  <si>
    <t>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</si>
  <si>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</si>
  <si>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</si>
  <si>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5"/>
  </si>
  <si>
    <t>HULFT機能で作成</t>
    <rPh sb="5" eb="7">
      <t>キノウ</t>
    </rPh>
    <phoneticPr fontId="19"/>
  </si>
  <si>
    <t>ホスト連携データ調査用ログ</t>
    <rPh sb="8" eb="10">
      <t>チョウサ</t>
    </rPh>
    <rPh sb="10" eb="11">
      <t>ヨウ</t>
    </rPh>
    <phoneticPr fontId="19"/>
  </si>
  <si>
    <t>ホスト連携データ</t>
  </si>
  <si>
    <t>オラクル標準機能を使用</t>
  </si>
  <si>
    <t>Oracle DB調査用ログ</t>
    <rPh sb="9" eb="11">
      <t>チョウサ</t>
    </rPh>
    <rPh sb="11" eb="12">
      <t>ヨウ</t>
    </rPh>
    <phoneticPr fontId="19"/>
  </si>
  <si>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</si>
  <si>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</si>
  <si>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</si>
  <si>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</si>
  <si>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</si>
  <si>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</si>
  <si>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</si>
  <si>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</si>
  <si>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</si>
  <si>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</si>
  <si>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OS標準機能を使用</t>
  </si>
  <si>
    <t>システム調査用ログ</t>
    <rPh sb="4" eb="6">
      <t>チョウサ</t>
    </rPh>
    <rPh sb="6" eb="7">
      <t>ヨウ</t>
    </rPh>
    <phoneticPr fontId="19"/>
  </si>
  <si>
    <t>運用管理</t>
    <rPh sb="0" eb="2">
      <t>ウンヨウ</t>
    </rPh>
    <rPh sb="2" eb="4">
      <t>カンリ</t>
    </rPh>
    <phoneticPr fontId="25"/>
  </si>
  <si>
    <t>保存方法</t>
    <rPh sb="0" eb="2">
      <t>ホゾン</t>
    </rPh>
    <rPh sb="2" eb="4">
      <t>ホウホウ</t>
    </rPh>
    <phoneticPr fontId="19"/>
  </si>
  <si>
    <t>保存目的</t>
    <rPh sb="0" eb="2">
      <t>ホゾン</t>
    </rPh>
    <rPh sb="2" eb="4">
      <t>モクテキ</t>
    </rPh>
    <phoneticPr fontId="19"/>
  </si>
  <si>
    <t>ログ名</t>
    <rPh sb="2" eb="3">
      <t>メイ</t>
    </rPh>
    <phoneticPr fontId="25"/>
  </si>
  <si>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</si>
  <si>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5"/>
  </si>
  <si>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</si>
  <si>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</si>
  <si>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</si>
  <si>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</si>
  <si>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</si>
  <si>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</si>
  <si>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</si>
  <si>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</si>
  <si>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</si>
  <si>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</si>
  <si>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</si>
  <si>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</si>
  <si>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</si>
  <si>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ファイルはtgz形式を想定</t>
    <rPh sb="8" eb="10">
      <t>ケイシキ</t>
    </rPh>
    <rPh sb="11" eb="13">
      <t>ソウテイ</t>
    </rPh>
    <phoneticPr fontId="2"/>
  </si>
  <si>
    <t>対象ディレクトリバックアップ</t>
    <rPh sb="0" eb="2">
      <t>タイショウ</t>
    </rPh>
    <phoneticPr fontId="2"/>
  </si>
  <si>
    <t>日次</t>
    <rPh sb="0" eb="2">
      <t>ニチジ</t>
    </rPh>
    <phoneticPr fontId="2"/>
  </si>
  <si>
    <t>DB</t>
    <phoneticPr fontId="2"/>
  </si>
  <si>
    <t>録音ファイル</t>
    <rPh sb="0" eb="2">
      <t>ロクオン</t>
    </rPh>
    <phoneticPr fontId="2"/>
  </si>
  <si>
    <t>WAS</t>
    <phoneticPr fontId="2"/>
  </si>
  <si>
    <t>オンラインフルバックアップ</t>
    <phoneticPr fontId="2"/>
  </si>
  <si>
    <t>Oracleフルバックアップ</t>
    <phoneticPr fontId="2"/>
  </si>
  <si>
    <t>週次</t>
    <rPh sb="0" eb="1">
      <t>シュウ</t>
    </rPh>
    <rPh sb="1" eb="2">
      <t>ツギ</t>
    </rPh>
    <phoneticPr fontId="2"/>
  </si>
  <si>
    <t>IVRDB内データ</t>
    <rPh sb="5" eb="6">
      <t>ナイ</t>
    </rPh>
    <phoneticPr fontId="2"/>
  </si>
  <si>
    <t>アーカイブログファイル</t>
    <phoneticPr fontId="2"/>
  </si>
  <si>
    <t>データ</t>
    <phoneticPr fontId="2"/>
  </si>
  <si>
    <t>OSのエクスポートコマンド</t>
    <phoneticPr fontId="2"/>
  </si>
  <si>
    <t>システム設定可変時</t>
    <rPh sb="4" eb="6">
      <t>セッテイ</t>
    </rPh>
    <rPh sb="6" eb="8">
      <t>カヘン</t>
    </rPh>
    <rPh sb="8" eb="9">
      <t>ジ</t>
    </rPh>
    <phoneticPr fontId="2"/>
  </si>
  <si>
    <t>DBシステムバックアップ</t>
  </si>
  <si>
    <t>WASシステムバックアップ</t>
  </si>
  <si>
    <t>システム</t>
    <phoneticPr fontId="2"/>
  </si>
  <si>
    <t>合計容量
(※1)　</t>
    <rPh sb="0" eb="2">
      <t>ゴウケイ</t>
    </rPh>
    <rPh sb="2" eb="4">
      <t>ヨウリョウ</t>
    </rPh>
    <phoneticPr fontId="25"/>
  </si>
  <si>
    <t>保管期間・世代</t>
    <rPh sb="0" eb="2">
      <t>ホカン</t>
    </rPh>
    <rPh sb="2" eb="4">
      <t>キカン</t>
    </rPh>
    <rPh sb="5" eb="7">
      <t>セダイ</t>
    </rPh>
    <phoneticPr fontId="25"/>
  </si>
  <si>
    <t>容量
（目安）</t>
    <rPh sb="0" eb="2">
      <t>ヨウリョウ</t>
    </rPh>
    <rPh sb="4" eb="6">
      <t>メヤス</t>
    </rPh>
    <phoneticPr fontId="2"/>
  </si>
  <si>
    <t>保存方法</t>
    <rPh sb="0" eb="2">
      <t>ホゾン</t>
    </rPh>
    <rPh sb="2" eb="4">
      <t>ホウホウ</t>
    </rPh>
    <phoneticPr fontId="2"/>
  </si>
  <si>
    <t>サイクル</t>
    <phoneticPr fontId="2"/>
  </si>
  <si>
    <t>対象機器</t>
    <rPh sb="0" eb="2">
      <t>タイショウ</t>
    </rPh>
    <rPh sb="2" eb="4">
      <t>キキ</t>
    </rPh>
    <phoneticPr fontId="2"/>
  </si>
  <si>
    <t>データ</t>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</si>
  <si>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5"/>
  </si>
  <si>
    <t>各サーバで以下の処理を日次でスケジューリングする。</t>
  </si>
  <si>
    <t>リストア実施時は、該当システムが停止していることを前提とする。（ログ等のリストアは除く）</t>
  </si>
  <si>
    <t>業務データのリストアは毎回対象が異なり、定型的な作業では無いため、運用部門への引継ぎは行わず、開発・維持部門で実施する。</t>
    <rPh sb="0" eb="2">
      <t>ギョウム</t>
    </rPh>
    <rPh sb="33" eb="35">
      <t>ウンヨウ</t>
    </rPh>
    <rPh sb="35" eb="37">
      <t>ブモン</t>
    </rPh>
    <rPh sb="39" eb="41">
      <t>ヒキツ</t>
    </rPh>
    <rPh sb="43" eb="44">
      <t>オコナ</t>
    </rPh>
    <rPh sb="47" eb="49">
      <t>カイハツ</t>
    </rPh>
    <rPh sb="50" eb="52">
      <t>イジ</t>
    </rPh>
    <rPh sb="52" eb="54">
      <t>ブモン</t>
    </rPh>
    <phoneticPr fontId="1"/>
  </si>
  <si>
    <t>⑤ 一定期間経過した圧縮データを削除する。</t>
    <rPh sb="10" eb="12">
      <t>アッシュク</t>
    </rPh>
    <phoneticPr fontId="25"/>
  </si>
  <si>
    <t>③ workディレクトリのデータは全て削除する。</t>
    <phoneticPr fontId="25"/>
  </si>
  <si>
    <t>② workディレクトリに収集したデータ全てを対象に1つのファイルに圧縮する。</t>
    <phoneticPr fontId="25"/>
  </si>
  <si>
    <t>① 収集対象のデータをworkディレクトリにコピーする。</t>
    <rPh sb="2" eb="4">
      <t>シュウシュウ</t>
    </rPh>
    <rPh sb="4" eb="6">
      <t>タイショウ</t>
    </rPh>
    <phoneticPr fontId="25"/>
  </si>
  <si>
    <t>対象サーバに保管している業務データを特定ディレクトリに収集し、バックアップを取得する。</t>
    <rPh sb="0" eb="2">
      <t>タイショウ</t>
    </rPh>
    <rPh sb="6" eb="8">
      <t>ホカン</t>
    </rPh>
    <rPh sb="12" eb="14">
      <t>ギョウム</t>
    </rPh>
    <rPh sb="38" eb="40">
      <t>シュトク</t>
    </rPh>
    <phoneticPr fontId="25"/>
  </si>
  <si>
    <t>リカバリの際は、完全回復を目標としたアーカイブログの適用によるロールフォワードを行う。</t>
    <phoneticPr fontId="25"/>
  </si>
  <si>
    <t>DBの一部機能が継続使用可能な障害の場合においても、DBリストア/リカバリ作業中のアクセスは基本的に禁止する方針とする。</t>
    <phoneticPr fontId="25"/>
  </si>
  <si>
    <t>リストア/リカバリ作業の失敗に備えて、障害発生時の状態をバックアップしてからリストア/リカバリ作業に入る方針とする。</t>
    <phoneticPr fontId="25"/>
  </si>
  <si>
    <t>DBデータは手動でバックアップからリストア/リカバリ作業を実施する。</t>
    <phoneticPr fontId="25"/>
  </si>
  <si>
    <t>② NFSマウントしたBackup/Syslogサーバのバックアップ用共有フォルダへRMANバックアップセットを取得する。</t>
    <rPh sb="34" eb="35">
      <t>ヨウ</t>
    </rPh>
    <rPh sb="35" eb="37">
      <t>キョウユウ</t>
    </rPh>
    <rPh sb="56" eb="58">
      <t>シュトク</t>
    </rPh>
    <phoneticPr fontId="25"/>
  </si>
  <si>
    <t>① ターゲットデータベースよりRMANを用いてバックアップ対象となるデータを抽出する。</t>
    <phoneticPr fontId="25"/>
  </si>
  <si>
    <t>バックアップは、サービス停止時間の影響、障害直前までの完全リカバリを目的とするため、Oracleを停止しない状態でのバックアップ（オンラインバックアップ）とする。</t>
    <phoneticPr fontId="25"/>
  </si>
  <si>
    <t>RMAN（Recovery Manager）を使用して、Oracleデータベースのバックアップを取得する。</t>
    <phoneticPr fontId="25"/>
  </si>
  <si>
    <t>DB</t>
  </si>
  <si>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5"/>
  </si>
  <si>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5"/>
  </si>
  <si>
    <t>RHEL</t>
    <phoneticPr fontId="25"/>
  </si>
  <si>
    <t>リストア方式</t>
    <rPh sb="4" eb="6">
      <t>ホウシキ</t>
    </rPh>
    <phoneticPr fontId="25"/>
  </si>
  <si>
    <t>バックアップ方式</t>
    <rPh sb="6" eb="8">
      <t>ホウシキ</t>
    </rPh>
    <phoneticPr fontId="25"/>
  </si>
  <si>
    <t>対象機器</t>
    <rPh sb="0" eb="2">
      <t>タイショウ</t>
    </rPh>
    <rPh sb="2" eb="4">
      <t>キキ</t>
    </rPh>
    <phoneticPr fontId="25"/>
  </si>
  <si>
    <t>OS種別</t>
    <rPh sb="2" eb="4">
      <t>シュベツ</t>
    </rPh>
    <phoneticPr fontId="25"/>
  </si>
  <si>
    <t>本システムにおけるシステムバックアップ/リストア方式の一覧を以下に示す。</t>
    <rPh sb="0" eb="1">
      <t>ホン</t>
    </rPh>
    <rPh sb="24" eb="26">
      <t>ホウシキ</t>
    </rPh>
    <rPh sb="27" eb="29">
      <t>イチラン</t>
    </rPh>
    <rPh sb="30" eb="32">
      <t>イカ</t>
    </rPh>
    <rPh sb="33" eb="34">
      <t>シメ</t>
    </rPh>
    <phoneticPr fontId="25"/>
  </si>
  <si>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5"/>
  </si>
  <si>
    <t>・</t>
    <phoneticPr fontId="25"/>
  </si>
  <si>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5"/>
  </si>
  <si>
    <t>古いOSシステムイメージの削除についても、手動で削除する。</t>
    <rPh sb="0" eb="1">
      <t>フル</t>
    </rPh>
    <rPh sb="13" eb="15">
      <t>サクジョ</t>
    </rPh>
    <rPh sb="21" eb="23">
      <t>シュドウ</t>
    </rPh>
    <rPh sb="24" eb="26">
      <t>サクジョ</t>
    </rPh>
    <phoneticPr fontId="25"/>
  </si>
  <si>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5"/>
  </si>
  <si>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5"/>
  </si>
  <si>
    <t>リストア実施時は、該当システムが停止していることを前提とする。（ログ等のリストアは除く）</t>
    <phoneticPr fontId="25"/>
  </si>
  <si>
    <t>リストアは毎回対象が異なり、定型的な作業では無いため手動で実施する。</t>
    <phoneticPr fontId="25"/>
  </si>
  <si>
    <t>運用負荷ができうる限り軽減されるよう、自動化が可能なものは自動化する。</t>
    <phoneticPr fontId="25"/>
  </si>
  <si>
    <t>障害時に、確実かつ迅速にデータ復旧が可能となる方式をとる。</t>
    <phoneticPr fontId="25"/>
  </si>
  <si>
    <t>フル</t>
    <phoneticPr fontId="25"/>
  </si>
  <si>
    <t>日次</t>
    <rPh sb="0" eb="2">
      <t>ニチジ</t>
    </rPh>
    <phoneticPr fontId="25"/>
  </si>
  <si>
    <t>2世代</t>
    <phoneticPr fontId="25"/>
  </si>
  <si>
    <t>フル</t>
    <phoneticPr fontId="25"/>
  </si>
  <si>
    <t>DB</t>
    <phoneticPr fontId="25"/>
  </si>
  <si>
    <t>障害時の復旧を目的としたバックアップ。DBサーバの録音ファイルをバックアップする。定例作業として収集対象のデータを自動的に取得する。</t>
    <rPh sb="0" eb="2">
      <t>ショウガイ</t>
    </rPh>
    <rPh sb="2" eb="3">
      <t>ジ</t>
    </rPh>
    <rPh sb="4" eb="6">
      <t>フッキュウ</t>
    </rPh>
    <rPh sb="7" eb="9">
      <t>モクテキ</t>
    </rPh>
    <phoneticPr fontId="25"/>
  </si>
  <si>
    <t>業務データ</t>
    <rPh sb="0" eb="2">
      <t>ギョウム</t>
    </rPh>
    <phoneticPr fontId="25"/>
  </si>
  <si>
    <t>2週分</t>
    <rPh sb="1" eb="2">
      <t>シュウ</t>
    </rPh>
    <rPh sb="2" eb="3">
      <t>ブン</t>
    </rPh>
    <phoneticPr fontId="25"/>
  </si>
  <si>
    <t>差分</t>
    <rPh sb="0" eb="2">
      <t>サブン</t>
    </rPh>
    <phoneticPr fontId="25"/>
  </si>
  <si>
    <t>週次</t>
    <rPh sb="0" eb="1">
      <t>シュウ</t>
    </rPh>
    <rPh sb="1" eb="2">
      <t>ツギ</t>
    </rPh>
    <phoneticPr fontId="25"/>
  </si>
  <si>
    <t>障害時の復旧を目的としたバックアップ。DBサーバのOracleデータベースをバックアップする。定例作業として自動的にサービス稼働中にオンラインバックアップとして取得する。</t>
    <rPh sb="0" eb="2">
      <t>ショウガイ</t>
    </rPh>
    <rPh sb="2" eb="3">
      <t>ジ</t>
    </rPh>
    <rPh sb="4" eb="6">
      <t>フッキュウ</t>
    </rPh>
    <rPh sb="7" eb="9">
      <t>モクテキ</t>
    </rPh>
    <phoneticPr fontId="25"/>
  </si>
  <si>
    <t>DBデータ</t>
    <phoneticPr fontId="25"/>
  </si>
  <si>
    <t>データ</t>
    <phoneticPr fontId="25"/>
  </si>
  <si>
    <t>2世代</t>
    <rPh sb="1" eb="3">
      <t>セダイ</t>
    </rPh>
    <phoneticPr fontId="25"/>
  </si>
  <si>
    <t>随時</t>
    <rPh sb="0" eb="2">
      <t>ズイジ</t>
    </rPh>
    <phoneticPr fontId="25"/>
  </si>
  <si>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5"/>
  </si>
  <si>
    <t>OSシステムイメージ</t>
    <phoneticPr fontId="25"/>
  </si>
  <si>
    <t>システム</t>
    <phoneticPr fontId="25"/>
  </si>
  <si>
    <t>タイミング</t>
    <phoneticPr fontId="25"/>
  </si>
  <si>
    <t>概要</t>
    <rPh sb="0" eb="2">
      <t>ガイヨウ</t>
    </rPh>
    <phoneticPr fontId="25"/>
  </si>
  <si>
    <t>バックアップ対象</t>
    <rPh sb="6" eb="8">
      <t>タイショウ</t>
    </rPh>
    <phoneticPr fontId="25"/>
  </si>
  <si>
    <t>区分</t>
    <rPh sb="0" eb="2">
      <t>クブン</t>
    </rPh>
    <phoneticPr fontId="25"/>
  </si>
  <si>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5"/>
  </si>
  <si>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5"/>
  </si>
  <si>
    <t>IVR</t>
    <phoneticPr fontId="2"/>
  </si>
  <si>
    <t>コンタクトセンター共通化</t>
    <phoneticPr fontId="2"/>
  </si>
  <si>
    <t>コールセンターシステム</t>
    <phoneticPr fontId="2"/>
  </si>
  <si>
    <t>それ以外の通信は、原則全ての通信を拒否する。</t>
    <rPh sb="5" eb="7">
      <t>ツウシン</t>
    </rPh>
    <phoneticPr fontId="25"/>
  </si>
  <si>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5"/>
  </si>
  <si>
    <t>本システム（開発環境）の改ざん検知は、現行同様実施しない。</t>
    <rPh sb="0" eb="1">
      <t>ホン</t>
    </rPh>
    <rPh sb="6" eb="8">
      <t>カイハツ</t>
    </rPh>
    <rPh sb="8" eb="10">
      <t>カンキョウ</t>
    </rPh>
    <rPh sb="12" eb="13">
      <t>カイ</t>
    </rPh>
    <rPh sb="15" eb="17">
      <t>ケンチ</t>
    </rPh>
    <rPh sb="19" eb="21">
      <t>ゲンコウ</t>
    </rPh>
    <rPh sb="21" eb="23">
      <t>ドウヨウ</t>
    </rPh>
    <rPh sb="23" eb="25">
      <t>ジッシ</t>
    </rPh>
    <phoneticPr fontId="25"/>
  </si>
  <si>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</si>
  <si>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</si>
  <si>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5"/>
  </si>
  <si>
    <t>サーバへのログイン履歴、ログイン失敗履歴、ユーザ変更（su）履歴は、原則として180日間、サーバ上にログとして保管する。</t>
    <rPh sb="42" eb="43">
      <t>ヒ</t>
    </rPh>
    <rPh sb="43" eb="44">
      <t>アイダ</t>
    </rPh>
    <phoneticPr fontId="25"/>
  </si>
  <si>
    <t>可能な限り無効化または除去するものとする。</t>
    <rPh sb="0" eb="2">
      <t>カノウ</t>
    </rPh>
    <rPh sb="3" eb="4">
      <t>カギ</t>
    </rPh>
    <rPh sb="5" eb="8">
      <t>ムコウカ</t>
    </rPh>
    <rPh sb="11" eb="13">
      <t>ジョキョ</t>
    </rPh>
    <phoneticPr fontId="25"/>
  </si>
  <si>
    <t>ネットワークに接続される本システムにおいては、デフォルトで作成されるユーザおよびグループIDのいくつかがセキュリティ上の弱点となり、</t>
    <rPh sb="29" eb="31">
      <t>サクセイ</t>
    </rPh>
    <phoneticPr fontId="25"/>
  </si>
  <si>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5"/>
  </si>
  <si>
    <t>【システムID設計方針】</t>
    <rPh sb="7" eb="9">
      <t>セッケイ</t>
    </rPh>
    <rPh sb="9" eb="11">
      <t>ホウシン</t>
    </rPh>
    <phoneticPr fontId="25"/>
  </si>
  <si>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5"/>
  </si>
  <si>
    <t>説明</t>
    <rPh sb="0" eb="2">
      <t>セツメイ</t>
    </rPh>
    <phoneticPr fontId="25"/>
  </si>
  <si>
    <t>・</t>
    <phoneticPr fontId="25"/>
  </si>
  <si>
    <t>システムID・貸出IDともに初期構築時に全ID・パスワードを作成する。</t>
    <phoneticPr fontId="25"/>
  </si>
  <si>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</si>
  <si>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</si>
  <si>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</si>
  <si>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</si>
  <si>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</si>
  <si>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</si>
  <si>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</si>
  <si>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</si>
  <si>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5"/>
  </si>
  <si>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5"/>
  </si>
  <si>
    <t>・ハッシュ関数：SHA-2（SHA-256）</t>
    <rPh sb="5" eb="7">
      <t>カンスウ</t>
    </rPh>
    <phoneticPr fontId="25"/>
  </si>
  <si>
    <t>・公開鍵方式：RSA（2048）</t>
    <rPh sb="1" eb="3">
      <t>コウカイ</t>
    </rPh>
    <rPh sb="3" eb="4">
      <t>カギ</t>
    </rPh>
    <rPh sb="4" eb="6">
      <t>ホウシキ</t>
    </rPh>
    <phoneticPr fontId="25"/>
  </si>
  <si>
    <r>
      <t>基盤基本設計書(開発環境編)</t>
    </r>
    <r>
      <rPr>
        <sz val="11"/>
        <rFont val="ＭＳ Ｐゴシック"/>
        <family val="3"/>
        <charset val="128"/>
      </rPr>
      <t>　　セキュリティ設計</t>
    </r>
    <rPh sb="0" eb="2">
      <t>キバン</t>
    </rPh>
    <rPh sb="2" eb="4">
      <t>キホン</t>
    </rPh>
    <rPh sb="4" eb="7">
      <t>セッケイショ</t>
    </rPh>
    <rPh sb="8" eb="10">
      <t>カイハツ</t>
    </rPh>
    <rPh sb="10" eb="12">
      <t>カンキョウ</t>
    </rPh>
    <rPh sb="12" eb="13">
      <t>ヘン</t>
    </rPh>
    <rPh sb="22" eb="24">
      <t>セッケイ</t>
    </rPh>
    <phoneticPr fontId="2"/>
  </si>
  <si>
    <t>v8 Enterprise</t>
    <phoneticPr fontId="25"/>
  </si>
  <si>
    <t>時刻同期は、NTP（Network Time Protocol)を使用して行う。参照先NTPサーバは大和センター内開発環境NTPサーバとなる。</t>
    <rPh sb="0" eb="2">
      <t>ジコク</t>
    </rPh>
    <rPh sb="2" eb="4">
      <t>ドウキ</t>
    </rPh>
    <rPh sb="33" eb="35">
      <t>シヨウ</t>
    </rPh>
    <rPh sb="37" eb="38">
      <t>オコナ</t>
    </rPh>
    <rPh sb="40" eb="42">
      <t>サンショウ</t>
    </rPh>
    <rPh sb="42" eb="43">
      <t>サキ</t>
    </rPh>
    <rPh sb="50" eb="52">
      <t>ヤマト</t>
    </rPh>
    <rPh sb="56" eb="57">
      <t>ナイ</t>
    </rPh>
    <rPh sb="57" eb="59">
      <t>カイハツ</t>
    </rPh>
    <rPh sb="59" eb="61">
      <t>カンキョウ</t>
    </rPh>
    <phoneticPr fontId="4"/>
  </si>
  <si>
    <t>DBサーバがIVRシステムの代表サーバとして大和センター内開発環境NTPサーバと時刻同期し、他の時刻同期機能を持つ機器はDBサーバを同期先とする。</t>
    <rPh sb="14" eb="16">
      <t>ダイヒョウ</t>
    </rPh>
    <rPh sb="22" eb="24">
      <t>ヤマト</t>
    </rPh>
    <rPh sb="28" eb="29">
      <t>ナイ</t>
    </rPh>
    <rPh sb="29" eb="31">
      <t>カイハツ</t>
    </rPh>
    <rPh sb="31" eb="33">
      <t>カンキョウ</t>
    </rPh>
    <rPh sb="40" eb="42">
      <t>ジコク</t>
    </rPh>
    <rPh sb="42" eb="44">
      <t>ドウキ</t>
    </rPh>
    <rPh sb="46" eb="47">
      <t>タ</t>
    </rPh>
    <rPh sb="48" eb="50">
      <t>ジコク</t>
    </rPh>
    <rPh sb="50" eb="52">
      <t>ドウキ</t>
    </rPh>
    <rPh sb="52" eb="54">
      <t>キノウ</t>
    </rPh>
    <rPh sb="55" eb="56">
      <t>モ</t>
    </rPh>
    <rPh sb="57" eb="59">
      <t>キキ</t>
    </rPh>
    <phoneticPr fontId="4"/>
  </si>
  <si>
    <t>IVRシステムで実行するジョブネットの実行を管理する。</t>
    <rPh sb="8" eb="10">
      <t>ジッコウ</t>
    </rPh>
    <rPh sb="19" eb="21">
      <t>ジッコウ</t>
    </rPh>
    <rPh sb="22" eb="24">
      <t>カンリ</t>
    </rPh>
    <phoneticPr fontId="25"/>
  </si>
  <si>
    <t>OS</t>
    <phoneticPr fontId="25"/>
  </si>
  <si>
    <t>ミドルウェア</t>
    <phoneticPr fontId="25"/>
  </si>
  <si>
    <t>Microsoft</t>
    <phoneticPr fontId="25"/>
  </si>
  <si>
    <t>Windows Server</t>
    <phoneticPr fontId="25"/>
  </si>
  <si>
    <t>2016 Standard</t>
    <phoneticPr fontId="25"/>
  </si>
  <si>
    <t>McAfee</t>
    <phoneticPr fontId="25"/>
  </si>
  <si>
    <t>McAfee ePolicy MA(McAfeeAgent)</t>
  </si>
  <si>
    <t>McAfee ePolicy VSE(VirusScanE)</t>
  </si>
  <si>
    <t>4.8.3</t>
  </si>
  <si>
    <t>8.8.10</t>
  </si>
  <si>
    <t>Empirix</t>
    <phoneticPr fontId="25"/>
  </si>
  <si>
    <t>Hammer</t>
    <phoneticPr fontId="25"/>
  </si>
  <si>
    <t>・時刻同期のためDBサーバと通信を行う。</t>
    <rPh sb="1" eb="3">
      <t>ジコク</t>
    </rPh>
    <rPh sb="3" eb="5">
      <t>ドウキ</t>
    </rPh>
    <rPh sb="14" eb="16">
      <t>ツウシン</t>
    </rPh>
    <rPh sb="17" eb="18">
      <t>オコナ</t>
    </rPh>
    <phoneticPr fontId="25"/>
  </si>
  <si>
    <t>・時刻同期のためDBサーバと通信を行う。</t>
    <phoneticPr fontId="25"/>
  </si>
  <si>
    <t>・パターンファイル取得のためePolicyマネージャと通信を行う。</t>
    <phoneticPr fontId="25"/>
  </si>
  <si>
    <t>Windows</t>
    <phoneticPr fontId="25"/>
  </si>
  <si>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5"/>
  </si>
  <si>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5"/>
  </si>
  <si>
    <t>Windows Server バックアップ</t>
    <phoneticPr fontId="2"/>
  </si>
  <si>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5"/>
  </si>
  <si>
    <t>方針</t>
    <rPh sb="0" eb="2">
      <t>ホウシン</t>
    </rPh>
    <phoneticPr fontId="25"/>
  </si>
  <si>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5"/>
  </si>
  <si>
    <t>処理</t>
    <rPh sb="0" eb="2">
      <t>ショリ</t>
    </rPh>
    <phoneticPr fontId="25"/>
  </si>
  <si>
    <t>パターンファイル更新</t>
    <rPh sb="8" eb="10">
      <t>コウシン</t>
    </rPh>
    <phoneticPr fontId="25"/>
  </si>
  <si>
    <t>ウイルス対策基盤の構成概要図を以下に示す。</t>
    <rPh sb="4" eb="6">
      <t>タイサク</t>
    </rPh>
    <rPh sb="6" eb="8">
      <t>キバン</t>
    </rPh>
    <rPh sb="9" eb="11">
      <t>コウセイ</t>
    </rPh>
    <rPh sb="11" eb="13">
      <t>ガイヨウ</t>
    </rPh>
    <rPh sb="13" eb="14">
      <t>ズ</t>
    </rPh>
    <rPh sb="15" eb="17">
      <t>イカ</t>
    </rPh>
    <rPh sb="18" eb="19">
      <t>シメ</t>
    </rPh>
    <phoneticPr fontId="25"/>
  </si>
  <si>
    <t>出力対象</t>
    <rPh sb="0" eb="2">
      <t>シュツリョク</t>
    </rPh>
    <rPh sb="2" eb="4">
      <t>タイショウ</t>
    </rPh>
    <phoneticPr fontId="25"/>
  </si>
  <si>
    <t>時間、成否</t>
    <rPh sb="0" eb="2">
      <t>ジカン</t>
    </rPh>
    <rPh sb="3" eb="5">
      <t>セイヒ</t>
    </rPh>
    <phoneticPr fontId="25"/>
  </si>
  <si>
    <t>ウイルス対策ソフトの各処理の実行タイミングを以下に示す。</t>
    <rPh sb="4" eb="6">
      <t>タイサク</t>
    </rPh>
    <rPh sb="10" eb="11">
      <t>カク</t>
    </rPh>
    <rPh sb="11" eb="13">
      <t>ショリ</t>
    </rPh>
    <rPh sb="14" eb="16">
      <t>ジッコウ</t>
    </rPh>
    <rPh sb="22" eb="24">
      <t>イカ</t>
    </rPh>
    <rPh sb="25" eb="26">
      <t>シメ</t>
    </rPh>
    <phoneticPr fontId="25"/>
  </si>
  <si>
    <t>対象</t>
    <rPh sb="0" eb="2">
      <t>タイショウ</t>
    </rPh>
    <phoneticPr fontId="25"/>
  </si>
  <si>
    <t>【凡例】　○：対象　×：対象外</t>
    <rPh sb="1" eb="3">
      <t>ハンレイ</t>
    </rPh>
    <rPh sb="7" eb="9">
      <t>タイショウ</t>
    </rPh>
    <rPh sb="12" eb="15">
      <t>タイショウガイ</t>
    </rPh>
    <phoneticPr fontId="25"/>
  </si>
  <si>
    <t>JP1ログ</t>
  </si>
  <si>
    <t>JP1調査用ログ</t>
    <rPh sb="3" eb="5">
      <t>チョウサ</t>
    </rPh>
    <rPh sb="5" eb="6">
      <t>ヨウ</t>
    </rPh>
    <phoneticPr fontId="19"/>
  </si>
  <si>
    <t>G7</t>
    <phoneticPr fontId="25"/>
  </si>
  <si>
    <t>ホスト名のネーミングルールについて、「基本設計書_PBX_CTI_その他（開発環境編）」-「共通_別紙1_SMCC_ホスト名ネーミングルール」にて記述する。</t>
    <phoneticPr fontId="2"/>
  </si>
  <si>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5"/>
  </si>
  <si>
    <t>月</t>
    <rPh sb="0" eb="1">
      <t>ゲツ</t>
    </rPh>
    <phoneticPr fontId="25"/>
  </si>
  <si>
    <t>火</t>
    <rPh sb="0" eb="1">
      <t>ヒ</t>
    </rPh>
    <phoneticPr fontId="25"/>
  </si>
  <si>
    <t>水</t>
    <rPh sb="0" eb="1">
      <t>スイ</t>
    </rPh>
    <phoneticPr fontId="25"/>
  </si>
  <si>
    <t>木</t>
    <rPh sb="0" eb="1">
      <t>モク</t>
    </rPh>
    <phoneticPr fontId="25"/>
  </si>
  <si>
    <t>金</t>
    <rPh sb="0" eb="1">
      <t>キン</t>
    </rPh>
    <phoneticPr fontId="25"/>
  </si>
  <si>
    <t>土</t>
    <rPh sb="0" eb="1">
      <t>ツチ</t>
    </rPh>
    <phoneticPr fontId="25"/>
  </si>
  <si>
    <t>日</t>
    <rPh sb="0" eb="1">
      <t>ヒ</t>
    </rPh>
    <phoneticPr fontId="25"/>
  </si>
  <si>
    <t>フル</t>
    <phoneticPr fontId="25"/>
  </si>
  <si>
    <t>差分</t>
    <rPh sb="0" eb="2">
      <t>サブン</t>
    </rPh>
    <phoneticPr fontId="25"/>
  </si>
  <si>
    <t>以下にRMANを用いたバックアップ方式を記載する。</t>
  </si>
  <si>
    <t>日次の差分バックアップタイプは累積増分バックアップ方式（常にフルバックアップからの差分）とする。</t>
  </si>
  <si>
    <t>Oracle DBは、リレーショナル・データベース管理システム（Relational Database Management System（以下、RDBMSと略す））である。</t>
    <rPh sb="25" eb="27">
      <t>カンリ</t>
    </rPh>
    <rPh sb="70" eb="72">
      <t>イカ</t>
    </rPh>
    <rPh sb="79" eb="80">
      <t>リャク</t>
    </rPh>
    <phoneticPr fontId="25"/>
  </si>
  <si>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</si>
  <si>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5"/>
  </si>
  <si>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5"/>
  </si>
  <si>
    <t>※　Windows共通基盤の構成は、「【Ｗｉｎｄｏｗｓ共通基盤（カスタムサービス）】利用ガイドライン」-「１．３　システム構成・仕様」を参照。</t>
    <phoneticPr fontId="25"/>
  </si>
  <si>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</si>
  <si>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週次でフルバックアップ、日次で差分バックアップを自動的に取得する。差分バックアップは、リカバリ手順の簡易性やバックアップ失敗時の影響を考慮し、</t>
    <rPh sb="0" eb="2">
      <t>シュウジ</t>
    </rPh>
    <rPh sb="12" eb="14">
      <t>ニチジ</t>
    </rPh>
    <rPh sb="15" eb="17">
      <t>サブン</t>
    </rPh>
    <rPh sb="24" eb="27">
      <t>ジドウテキ</t>
    </rPh>
    <rPh sb="28" eb="30">
      <t>シュトク</t>
    </rPh>
    <phoneticPr fontId="25"/>
  </si>
  <si>
    <t>④ バックアップ製品であるArcserveを用いて、backupディレクトリの圧縮データをBackup/Syslogサーバにバックアップする。</t>
    <phoneticPr fontId="25"/>
  </si>
  <si>
    <r>
      <t>基盤基本設計書(開発環境編)</t>
    </r>
    <r>
      <rPr>
        <sz val="11"/>
        <rFont val="ＭＳ Ｐゴシック"/>
        <family val="3"/>
        <charset val="128"/>
      </rPr>
      <t>　　ログ管理</t>
    </r>
    <rPh sb="0" eb="2">
      <t>キバン</t>
    </rPh>
    <rPh sb="2" eb="4">
      <t>キホン</t>
    </rPh>
    <rPh sb="4" eb="7">
      <t>セッケイショ</t>
    </rPh>
    <rPh sb="8" eb="10">
      <t>カイハツ</t>
    </rPh>
    <rPh sb="10" eb="12">
      <t>カンキョウ</t>
    </rPh>
    <rPh sb="12" eb="13">
      <t>ヘン</t>
    </rPh>
    <rPh sb="18" eb="20">
      <t>カンリ</t>
    </rPh>
    <phoneticPr fontId="2"/>
  </si>
  <si>
    <r>
      <t>基盤基本設計書(開発環境編)</t>
    </r>
    <r>
      <rPr>
        <sz val="11"/>
        <rFont val="ＭＳ Ｐゴシック"/>
        <family val="3"/>
        <charset val="128"/>
      </rPr>
      <t>　　バックアップ処理方式設計</t>
    </r>
    <rPh sb="0" eb="2">
      <t>キバン</t>
    </rPh>
    <rPh sb="2" eb="4">
      <t>キホン</t>
    </rPh>
    <rPh sb="4" eb="7">
      <t>セッケイショ</t>
    </rPh>
    <rPh sb="8" eb="10">
      <t>カイハツ</t>
    </rPh>
    <rPh sb="10" eb="12">
      <t>カンキョウ</t>
    </rPh>
    <rPh sb="12" eb="13">
      <t>ヘン</t>
    </rPh>
    <rPh sb="22" eb="24">
      <t>ショリ</t>
    </rPh>
    <rPh sb="24" eb="26">
      <t>ホウシキ</t>
    </rPh>
    <rPh sb="26" eb="28">
      <t>セッケイ</t>
    </rPh>
    <phoneticPr fontId="2"/>
  </si>
  <si>
    <t>データNW</t>
    <phoneticPr fontId="25"/>
  </si>
  <si>
    <t>Oracle</t>
  </si>
  <si>
    <t>Oracle</t>
    <phoneticPr fontId="25"/>
  </si>
  <si>
    <t xml:space="preserve">Oracle Client </t>
    <phoneticPr fontId="25"/>
  </si>
  <si>
    <t>JP1/AJS3-Agent</t>
    <phoneticPr fontId="25"/>
  </si>
  <si>
    <t>JP1/AJS3-Agent</t>
    <phoneticPr fontId="25"/>
  </si>
  <si>
    <t>Oracle JDK</t>
    <phoneticPr fontId="25"/>
  </si>
  <si>
    <t>HULFT for Linux</t>
    <phoneticPr fontId="25"/>
  </si>
  <si>
    <t>役割</t>
    <rPh sb="0" eb="2">
      <t>ヤクワリ</t>
    </rPh>
    <phoneticPr fontId="25"/>
  </si>
  <si>
    <t>MPP：PBXとIVR間の音声通信を提供する。</t>
  </si>
  <si>
    <t>IVRの稼働に必要なマスタ情報、IVRシステムの操作履歴等を保持する。</t>
  </si>
  <si>
    <t>稼働系×1、待機系×1</t>
    <phoneticPr fontId="25"/>
  </si>
  <si>
    <t>項目</t>
    <rPh sb="0" eb="2">
      <t>コウモク</t>
    </rPh>
    <phoneticPr fontId="25"/>
  </si>
  <si>
    <t>NIC</t>
  </si>
  <si>
    <t>選定</t>
    <rPh sb="0" eb="2">
      <t>センテイ</t>
    </rPh>
    <phoneticPr fontId="25"/>
  </si>
  <si>
    <t>スペック</t>
  </si>
  <si>
    <t>ローカルディスク</t>
    <phoneticPr fontId="25"/>
  </si>
  <si>
    <t>共有ディスク</t>
    <rPh sb="0" eb="2">
      <t>キョウユウ</t>
    </rPh>
    <phoneticPr fontId="25"/>
  </si>
  <si>
    <t>EPM/MPP</t>
    <phoneticPr fontId="25"/>
  </si>
  <si>
    <t>WAS</t>
    <phoneticPr fontId="25"/>
  </si>
  <si>
    <t>Oracle JDKは頻繁にバージョンアップが行われるため構築時点の最新版を導入する。なお、本書執筆時点（2018年12月14日）の最新版は左記のとおり。</t>
    <rPh sb="11" eb="13">
      <t>ヒンパン</t>
    </rPh>
    <rPh sb="23" eb="24">
      <t>オコナ</t>
    </rPh>
    <rPh sb="29" eb="31">
      <t>コウチク</t>
    </rPh>
    <rPh sb="31" eb="33">
      <t>ジテン</t>
    </rPh>
    <rPh sb="34" eb="36">
      <t>サイシン</t>
    </rPh>
    <rPh sb="36" eb="37">
      <t>ハン</t>
    </rPh>
    <rPh sb="38" eb="40">
      <t>ドウニュウ</t>
    </rPh>
    <rPh sb="46" eb="48">
      <t>ホンショ</t>
    </rPh>
    <rPh sb="48" eb="50">
      <t>シッピツ</t>
    </rPh>
    <rPh sb="50" eb="52">
      <t>ジテン</t>
    </rPh>
    <rPh sb="57" eb="58">
      <t>ネン</t>
    </rPh>
    <rPh sb="60" eb="61">
      <t>ガツ</t>
    </rPh>
    <rPh sb="63" eb="64">
      <t>ヒ</t>
    </rPh>
    <rPh sb="66" eb="69">
      <t>サイシンバン</t>
    </rPh>
    <rPh sb="70" eb="72">
      <t>サキ</t>
    </rPh>
    <phoneticPr fontId="25"/>
  </si>
  <si>
    <t>16 GB</t>
    <phoneticPr fontId="25"/>
  </si>
  <si>
    <t>※1　機器別選定スペック</t>
    <rPh sb="3" eb="5">
      <t>キキ</t>
    </rPh>
    <rPh sb="5" eb="6">
      <t>ベツ</t>
    </rPh>
    <rPh sb="6" eb="8">
      <t>センテイ</t>
    </rPh>
    <phoneticPr fontId="2"/>
  </si>
  <si>
    <t>台数</t>
    <rPh sb="0" eb="2">
      <t>ダイスウ</t>
    </rPh>
    <phoneticPr fontId="25"/>
  </si>
  <si>
    <t>現行のサイジングをベースに、現行システムのリソース利用実績を加味してJRIにて算出。</t>
    <phoneticPr fontId="25"/>
  </si>
  <si>
    <t>選定根拠</t>
    <rPh sb="0" eb="2">
      <t>センテイ</t>
    </rPh>
    <rPh sb="2" eb="4">
      <t>コンキョ</t>
    </rPh>
    <phoneticPr fontId="2"/>
  </si>
  <si>
    <t>※1</t>
    <phoneticPr fontId="25"/>
  </si>
  <si>
    <t>PBX管理</t>
    <phoneticPr fontId="25"/>
  </si>
  <si>
    <t>運用管理</t>
    <phoneticPr fontId="25"/>
  </si>
  <si>
    <t>運用管理</t>
    <phoneticPr fontId="25"/>
  </si>
  <si>
    <t>WAS</t>
  </si>
  <si>
    <t>・SSL証明書は、外部への公開は行わないため、自己署名を作成し、keystoreに格納する。</t>
    <rPh sb="28" eb="30">
      <t>サクセイ</t>
    </rPh>
    <rPh sb="41" eb="43">
      <t>カクノウ</t>
    </rPh>
    <phoneticPr fontId="25"/>
  </si>
  <si>
    <t>IVR管理画面からアクセスした際のログ。（SMCCアクセスログ）</t>
    <rPh sb="3" eb="5">
      <t>カンリ</t>
    </rPh>
    <rPh sb="5" eb="7">
      <t>ガメン</t>
    </rPh>
    <rPh sb="15" eb="16">
      <t>サイ</t>
    </rPh>
    <phoneticPr fontId="2"/>
  </si>
  <si>
    <t>アプリケーションにて出力</t>
    <rPh sb="10" eb="12">
      <t>シュツリョク</t>
    </rPh>
    <phoneticPr fontId="19"/>
  </si>
  <si>
    <t>ログイン・ログアウト履歴</t>
    <rPh sb="10" eb="12">
      <t>リレキ</t>
    </rPh>
    <phoneticPr fontId="25"/>
  </si>
  <si>
    <t>監査証跡</t>
    <rPh sb="0" eb="2">
      <t>カンサ</t>
    </rPh>
    <rPh sb="2" eb="4">
      <t>ショウセキ</t>
    </rPh>
    <phoneticPr fontId="19"/>
  </si>
  <si>
    <t>365日</t>
    <rPh sb="3" eb="4">
      <t>ヒ</t>
    </rPh>
    <phoneticPr fontId="19"/>
  </si>
  <si>
    <t>(1)物理機器</t>
    <rPh sb="3" eb="5">
      <t>ブツリ</t>
    </rPh>
    <rPh sb="5" eb="7">
      <t>キキ</t>
    </rPh>
    <phoneticPr fontId="25"/>
  </si>
  <si>
    <t>(2)仮想機器</t>
    <rPh sb="3" eb="5">
      <t>カソウ</t>
    </rPh>
    <rPh sb="5" eb="7">
      <t>キキ</t>
    </rPh>
    <phoneticPr fontId="25"/>
  </si>
  <si>
    <t>(1)バックアップ方針</t>
    <rPh sb="9" eb="11">
      <t>ホウシン</t>
    </rPh>
    <phoneticPr fontId="25"/>
  </si>
  <si>
    <t>(2)リストア方針</t>
    <rPh sb="7" eb="9">
      <t>ホウシン</t>
    </rPh>
    <phoneticPr fontId="25"/>
  </si>
  <si>
    <t>(1)基本方針</t>
    <rPh sb="3" eb="5">
      <t>キホン</t>
    </rPh>
    <rPh sb="5" eb="7">
      <t>ホウシン</t>
    </rPh>
    <phoneticPr fontId="25"/>
  </si>
  <si>
    <t>(2)システムバックアップ/リストア方式一覧</t>
    <rPh sb="18" eb="20">
      <t>ホウシキ</t>
    </rPh>
    <rPh sb="20" eb="22">
      <t>イチラン</t>
    </rPh>
    <phoneticPr fontId="25"/>
  </si>
  <si>
    <t>(1)DBバックアップ</t>
    <phoneticPr fontId="25"/>
  </si>
  <si>
    <t>(2)DBリストア</t>
    <phoneticPr fontId="25"/>
  </si>
  <si>
    <t>(1)業務データバックアップ</t>
    <rPh sb="3" eb="5">
      <t>ギョウム</t>
    </rPh>
    <phoneticPr fontId="25"/>
  </si>
  <si>
    <t>(1)目的</t>
    <rPh sb="3" eb="5">
      <t>モクテキ</t>
    </rPh>
    <phoneticPr fontId="25"/>
  </si>
  <si>
    <t>(2)対象範囲</t>
    <rPh sb="3" eb="5">
      <t>タイショウ</t>
    </rPh>
    <rPh sb="5" eb="7">
      <t>ハンイ</t>
    </rPh>
    <phoneticPr fontId="25"/>
  </si>
  <si>
    <t>(3)実行タイミング</t>
    <rPh sb="3" eb="5">
      <t>ジッコウ</t>
    </rPh>
    <phoneticPr fontId="25"/>
  </si>
  <si>
    <t>(4)ウイルス対策基盤構成</t>
    <rPh sb="7" eb="9">
      <t>タイサク</t>
    </rPh>
    <rPh sb="9" eb="11">
      <t>キバン</t>
    </rPh>
    <rPh sb="11" eb="13">
      <t>コウセイ</t>
    </rPh>
    <phoneticPr fontId="25"/>
  </si>
  <si>
    <t>構成要素</t>
    <rPh sb="0" eb="2">
      <t>コウセイ</t>
    </rPh>
    <rPh sb="2" eb="4">
      <t>ヨウソ</t>
    </rPh>
    <phoneticPr fontId="25"/>
  </si>
  <si>
    <t>仮想マシン</t>
    <rPh sb="0" eb="2">
      <t>カソウ</t>
    </rPh>
    <phoneticPr fontId="25"/>
  </si>
  <si>
    <t>ID区分</t>
    <rPh sb="2" eb="4">
      <t>クブン</t>
    </rPh>
    <phoneticPr fontId="25"/>
  </si>
  <si>
    <t>貸出管理ID</t>
    <rPh sb="0" eb="2">
      <t>カシダシ</t>
    </rPh>
    <rPh sb="2" eb="4">
      <t>カンリ</t>
    </rPh>
    <phoneticPr fontId="25"/>
  </si>
  <si>
    <t>貸出特権ID</t>
    <rPh sb="0" eb="2">
      <t>カシダシ</t>
    </rPh>
    <rPh sb="2" eb="4">
      <t>トッケン</t>
    </rPh>
    <phoneticPr fontId="25"/>
  </si>
  <si>
    <t>貸出一般ID</t>
    <rPh sb="0" eb="2">
      <t>カシダシ</t>
    </rPh>
    <rPh sb="2" eb="4">
      <t>イッパン</t>
    </rPh>
    <phoneticPr fontId="25"/>
  </si>
  <si>
    <t>貸出ID(一般・業務)</t>
  </si>
  <si>
    <t>貸出ID(一般・基盤)</t>
  </si>
  <si>
    <t>EPM/MPP</t>
    <phoneticPr fontId="25"/>
  </si>
  <si>
    <t>DB</t>
    <phoneticPr fontId="25"/>
  </si>
  <si>
    <t>用途</t>
    <rPh sb="0" eb="2">
      <t>ヨウト</t>
    </rPh>
    <phoneticPr fontId="25"/>
  </si>
  <si>
    <t>貸出管理ID</t>
    <phoneticPr fontId="25"/>
  </si>
  <si>
    <t>貸出特権ID</t>
    <phoneticPr fontId="25"/>
  </si>
  <si>
    <t>貸出一般ID</t>
    <phoneticPr fontId="25"/>
  </si>
  <si>
    <t>本システムでは、OS、DB等の基盤ソフトウェアの操作、システム運用に用いる「システムID」と、運用・開発部署がメンテナンス、障害対応等で使用する「貸出ID」がある。</t>
    <rPh sb="0" eb="1">
      <t>ホン</t>
    </rPh>
    <rPh sb="47" eb="49">
      <t>ウンヨウ</t>
    </rPh>
    <phoneticPr fontId="25"/>
  </si>
  <si>
    <t>システムID</t>
    <phoneticPr fontId="25"/>
  </si>
  <si>
    <t>業務系ログ参照</t>
    <phoneticPr fontId="25"/>
  </si>
  <si>
    <t>基盤系ログ参照</t>
    <phoneticPr fontId="25"/>
  </si>
  <si>
    <t>業務系ファイル編集</t>
    <phoneticPr fontId="25"/>
  </si>
  <si>
    <t>基盤系ファイル編集</t>
    <phoneticPr fontId="25"/>
  </si>
  <si>
    <t>業務系バッチ実行</t>
    <phoneticPr fontId="25"/>
  </si>
  <si>
    <t>基盤系バッチ実行</t>
    <phoneticPr fontId="25"/>
  </si>
  <si>
    <t>ミドルの制御コマンド実行</t>
    <phoneticPr fontId="25"/>
  </si>
  <si>
    <t>ＤＢアクセス</t>
    <phoneticPr fontId="25"/>
  </si>
  <si>
    <t>ｒｏｏｔへのＳＵ実行</t>
    <phoneticPr fontId="25"/>
  </si>
  <si>
    <t>パッチ適用</t>
    <phoneticPr fontId="25"/>
  </si>
  <si>
    <t>○</t>
    <phoneticPr fontId="25"/>
  </si>
  <si>
    <t>×</t>
    <phoneticPr fontId="25"/>
  </si>
  <si>
    <t>特権ツール実行</t>
    <phoneticPr fontId="25"/>
  </si>
  <si>
    <t>一般ツール実行</t>
    <rPh sb="0" eb="2">
      <t>イッパン</t>
    </rPh>
    <phoneticPr fontId="25"/>
  </si>
  <si>
    <t>ユーザ数</t>
    <rPh sb="3" eb="4">
      <t>スウ</t>
    </rPh>
    <phoneticPr fontId="25"/>
  </si>
  <si>
    <t>障害時等の緊急時や保守作業の業務系作業にて使用し、ログインした貸出IDにて業務系ファイルの参照・編集・実行、DBアクセスを行う。</t>
    <phoneticPr fontId="25"/>
  </si>
  <si>
    <t>障害時等の緊急時や保守作業の基盤系作業にて使用し、DB参照・更新時は本ユーザからOracleユーザへSUを行い、DBメンテナンスを実行する。</t>
    <phoneticPr fontId="25"/>
  </si>
  <si>
    <t>障害時等の一次対応完了後の業務系ログ参照で使用し、ログインした貸出IDにて業務系ログファイルの参照を行う。</t>
    <phoneticPr fontId="25"/>
  </si>
  <si>
    <t>障害時等の一次対応完了後の基盤系ログ参照で使用し、ログインした貸出IDにて基盤系ファイルの参照・編集・実行を行う。</t>
    <phoneticPr fontId="25"/>
  </si>
  <si>
    <t>○</t>
  </si>
  <si>
    <t>※1 特権ツールとは、サーバリブートやクラスタ制御、ミドルの起動／停止、リリースツールなど、実行にOS特権（uid=0/Administrator相当）が必要なツールを示す。</t>
    <phoneticPr fontId="25"/>
  </si>
  <si>
    <t>※2 一般ツールとは、ツールの実行にOS特権（uid=0/Administrator相当）が不要なツールを示す。</t>
    <phoneticPr fontId="25"/>
  </si>
  <si>
    <t>OSの特権ユーザ(root)</t>
    <phoneticPr fontId="25"/>
  </si>
  <si>
    <t>-</t>
    <phoneticPr fontId="25"/>
  </si>
  <si>
    <t>コールセンターシステム</t>
    <phoneticPr fontId="2"/>
  </si>
  <si>
    <t>コンタクトセンター共通化</t>
    <phoneticPr fontId="2"/>
  </si>
  <si>
    <t>IVR</t>
    <phoneticPr fontId="2"/>
  </si>
  <si>
    <t>暗号化された通信プロトコルを使用することで実現する。</t>
    <phoneticPr fontId="25"/>
  </si>
  <si>
    <t>①</t>
    <phoneticPr fontId="25"/>
  </si>
  <si>
    <t>②</t>
    <phoneticPr fontId="25"/>
  </si>
  <si>
    <t>③</t>
    <phoneticPr fontId="25"/>
  </si>
  <si>
    <t>③</t>
    <phoneticPr fontId="25"/>
  </si>
  <si>
    <t>WindowsへのリモートアクセスにはRDPを使用し、許可されたアカウントのみ接続できるようにする。。</t>
    <rPh sb="23" eb="25">
      <t>シヨウ</t>
    </rPh>
    <rPh sb="27" eb="29">
      <t>キョカ</t>
    </rPh>
    <rPh sb="39" eb="41">
      <t>セツゾク</t>
    </rPh>
    <phoneticPr fontId="25"/>
  </si>
  <si>
    <t>④</t>
    <phoneticPr fontId="25"/>
  </si>
  <si>
    <t>⑤</t>
    <phoneticPr fontId="25"/>
  </si>
  <si>
    <t>⑥</t>
    <phoneticPr fontId="25"/>
  </si>
  <si>
    <t>⑦</t>
    <phoneticPr fontId="25"/>
  </si>
  <si>
    <t>⑧</t>
    <phoneticPr fontId="25"/>
  </si>
  <si>
    <t>RHEL</t>
    <phoneticPr fontId="25"/>
  </si>
  <si>
    <t>ログインID、時間、IP、成否</t>
    <phoneticPr fontId="25"/>
  </si>
  <si>
    <t>Avaya Linux</t>
    <phoneticPr fontId="25"/>
  </si>
  <si>
    <t>ログインID、時間、IP、成否</t>
    <phoneticPr fontId="25"/>
  </si>
  <si>
    <t>Windows</t>
    <phoneticPr fontId="25"/>
  </si>
  <si>
    <t>(2).アカウント設計方針</t>
    <rPh sb="9" eb="11">
      <t>セッケイ</t>
    </rPh>
    <rPh sb="11" eb="13">
      <t>ホウシン</t>
    </rPh>
    <phoneticPr fontId="25"/>
  </si>
  <si>
    <t>①</t>
    <phoneticPr fontId="25"/>
  </si>
  <si>
    <t>当該アカウントによるコマンド実行などが必要な場合は、sudo等により行う。</t>
    <phoneticPr fontId="25"/>
  </si>
  <si>
    <t>②</t>
    <phoneticPr fontId="25"/>
  </si>
  <si>
    <t>悪用の対象になる可能性がある。このため、関連するセキュリティ・リスクを最小限に抑えるため、導入時・構築時点で不必要なユーザおよびグループIDについては</t>
    <phoneticPr fontId="25"/>
  </si>
  <si>
    <t>③</t>
    <phoneticPr fontId="25"/>
  </si>
  <si>
    <t>rootへsu可能なユーザは、特権IDのみとする。</t>
    <phoneticPr fontId="25"/>
  </si>
  <si>
    <t>④</t>
    <phoneticPr fontId="25"/>
  </si>
  <si>
    <t>特権IDのみがシステムコマンドを実行できるようにする。</t>
    <phoneticPr fontId="25"/>
  </si>
  <si>
    <t>⑥</t>
    <phoneticPr fontId="25"/>
  </si>
  <si>
    <t>EPM/MPP</t>
    <phoneticPr fontId="25"/>
  </si>
  <si>
    <t>Linux</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</si>
  <si>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</si>
  <si>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</si>
  <si>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WAS</t>
    <phoneticPr fontId="25"/>
  </si>
  <si>
    <t>DB</t>
    <phoneticPr fontId="25"/>
  </si>
  <si>
    <t>Windows</t>
    <phoneticPr fontId="25"/>
  </si>
  <si>
    <t>○</t>
    <phoneticPr fontId="25"/>
  </si>
  <si>
    <t>OS</t>
    <phoneticPr fontId="25"/>
  </si>
  <si>
    <t>Linux</t>
    <phoneticPr fontId="25"/>
  </si>
  <si>
    <t>Windows</t>
    <phoneticPr fontId="25"/>
  </si>
  <si>
    <t>OSの特権ユーザ(Administrator)</t>
    <phoneticPr fontId="25"/>
  </si>
  <si>
    <t>貸出ID(特権・基盤)</t>
  </si>
  <si>
    <t>貸出ID(管理・業務)</t>
    <phoneticPr fontId="25"/>
  </si>
  <si>
    <t>※3</t>
    <phoneticPr fontId="25"/>
  </si>
  <si>
    <t>貸出ID(管理・業務)</t>
    <phoneticPr fontId="25"/>
  </si>
  <si>
    <t>貸出ID(特権・基盤)</t>
    <phoneticPr fontId="25"/>
  </si>
  <si>
    <t>貸出ID(一般・業務)</t>
    <phoneticPr fontId="25"/>
  </si>
  <si>
    <t>貸出ID(一般・基盤)</t>
    <phoneticPr fontId="25"/>
  </si>
  <si>
    <t>4 GB</t>
    <phoneticPr fontId="25"/>
  </si>
  <si>
    <t>運用管理</t>
    <rPh sb="0" eb="2">
      <t>ウンヨウ</t>
    </rPh>
    <rPh sb="2" eb="4">
      <t>カンリ</t>
    </rPh>
    <phoneticPr fontId="2"/>
  </si>
  <si>
    <t>※3 特権IDは、OS特権を有する（Linuxはuid=0相当、WindowsはAdministratorsグループに属す）。</t>
    <phoneticPr fontId="25"/>
  </si>
  <si>
    <t>証明書は、外部への公開は行わないため、自己署名証明書を導入する。証明書の仕様は以下のとおりとする。</t>
    <rPh sb="0" eb="3">
      <t>ショウメイショ</t>
    </rPh>
    <rPh sb="5" eb="7">
      <t>ガイブ</t>
    </rPh>
    <rPh sb="12" eb="13">
      <t>オコナ</t>
    </rPh>
    <rPh sb="19" eb="21">
      <t>ジコ</t>
    </rPh>
    <rPh sb="21" eb="23">
      <t>ショメイ</t>
    </rPh>
    <rPh sb="23" eb="26">
      <t>ショウメイショ</t>
    </rPh>
    <rPh sb="27" eb="29">
      <t>ドウニュウ</t>
    </rPh>
    <rPh sb="32" eb="35">
      <t>ショウメイショ</t>
    </rPh>
    <rPh sb="36" eb="38">
      <t>シヨウ</t>
    </rPh>
    <rPh sb="39" eb="41">
      <t>イカ</t>
    </rPh>
    <phoneticPr fontId="25"/>
  </si>
  <si>
    <t>権限</t>
    <rPh sb="0" eb="2">
      <t>ケンゲン</t>
    </rPh>
    <phoneticPr fontId="25"/>
  </si>
  <si>
    <t>階層</t>
    <rPh sb="0" eb="2">
      <t>カイソウ</t>
    </rPh>
    <phoneticPr fontId="25"/>
  </si>
  <si>
    <t>ミドルウェア</t>
  </si>
  <si>
    <t>OS</t>
  </si>
  <si>
    <t>EPM/MPP</t>
  </si>
  <si>
    <t>Avaya Enterprise Linux</t>
  </si>
  <si>
    <t>EPM （Experience Portal Manger）</t>
  </si>
  <si>
    <t>MPP （Media Processing Platform）</t>
  </si>
  <si>
    <t>Red Hat Enterprise Linux</t>
  </si>
  <si>
    <t>Oracle WebLogic Server</t>
  </si>
  <si>
    <t xml:space="preserve">Oracle Client </t>
  </si>
  <si>
    <t>Oracle JDK</t>
  </si>
  <si>
    <t>Oracle Database</t>
  </si>
  <si>
    <t>Windows Server</t>
  </si>
  <si>
    <t>JP1/AJS3-Manager</t>
  </si>
  <si>
    <t>Hammer</t>
  </si>
  <si>
    <t>Windows共通基盤</t>
    <rPh sb="7" eb="9">
      <t>キョウツウ</t>
    </rPh>
    <rPh sb="9" eb="11">
      <t>キバン</t>
    </rPh>
    <phoneticPr fontId="25"/>
  </si>
  <si>
    <t>ストレージクラウド基盤</t>
    <rPh sb="9" eb="11">
      <t>キバン</t>
    </rPh>
    <phoneticPr fontId="25"/>
  </si>
  <si>
    <t>仮想化ソフト</t>
    <rPh sb="0" eb="3">
      <t>カソウカ</t>
    </rPh>
    <phoneticPr fontId="25"/>
  </si>
  <si>
    <t>仮想機器</t>
    <rPh sb="0" eb="2">
      <t>カソウ</t>
    </rPh>
    <rPh sb="2" eb="4">
      <t>キキ</t>
    </rPh>
    <phoneticPr fontId="25"/>
  </si>
  <si>
    <t>ハイパーバイザ</t>
  </si>
  <si>
    <t>-</t>
  </si>
  <si>
    <t>ハードウェア</t>
    <phoneticPr fontId="25"/>
  </si>
  <si>
    <t>【凡例】 ○：設計対象  -：設計対象外</t>
    <rPh sb="1" eb="3">
      <t>ハンレイ</t>
    </rPh>
    <rPh sb="7" eb="9">
      <t>セッケイ</t>
    </rPh>
    <rPh sb="9" eb="11">
      <t>タイショウ</t>
    </rPh>
    <rPh sb="15" eb="17">
      <t>セッケイ</t>
    </rPh>
    <rPh sb="17" eb="19">
      <t>タイショウ</t>
    </rPh>
    <rPh sb="19" eb="20">
      <t>ガイ</t>
    </rPh>
    <phoneticPr fontId="25"/>
  </si>
  <si>
    <t>EPM管理画面からアクセスした際のログ。</t>
    <rPh sb="3" eb="5">
      <t>カンリ</t>
    </rPh>
    <rPh sb="5" eb="7">
      <t>ガメン</t>
    </rPh>
    <rPh sb="15" eb="16">
      <t>サイ</t>
    </rPh>
    <phoneticPr fontId="2"/>
  </si>
  <si>
    <t>※1：ここでいう顧客情報とは、IVRに架電したカード会員を指す。</t>
    <rPh sb="8" eb="10">
      <t>コキャク</t>
    </rPh>
    <rPh sb="10" eb="12">
      <t>ジョウホウ</t>
    </rPh>
    <rPh sb="29" eb="30">
      <t>サ</t>
    </rPh>
    <phoneticPr fontId="25"/>
  </si>
  <si>
    <t>・セキュリティ基準に従って、ログイン・ログアウト履歴は1年間保管する。</t>
    <rPh sb="7" eb="9">
      <t>キジュン</t>
    </rPh>
    <rPh sb="10" eb="11">
      <t>シタガ</t>
    </rPh>
    <rPh sb="24" eb="26">
      <t>リレキ</t>
    </rPh>
    <rPh sb="28" eb="29">
      <t>ネン</t>
    </rPh>
    <rPh sb="29" eb="30">
      <t>カン</t>
    </rPh>
    <rPh sb="30" eb="32">
      <t>ホカン</t>
    </rPh>
    <phoneticPr fontId="25"/>
  </si>
  <si>
    <t>運用ツール</t>
    <rPh sb="0" eb="2">
      <t>ウンヨウ</t>
    </rPh>
    <phoneticPr fontId="25"/>
  </si>
  <si>
    <t>各運用ツール</t>
    <rPh sb="0" eb="1">
      <t>カク</t>
    </rPh>
    <rPh sb="1" eb="3">
      <t>ウンヨウ</t>
    </rPh>
    <phoneticPr fontId="25"/>
  </si>
  <si>
    <t xml:space="preserve">LifeKeeper for Linux </t>
    <phoneticPr fontId="25"/>
  </si>
  <si>
    <t>LifeKeeper Oracle ARK</t>
    <phoneticPr fontId="25"/>
  </si>
  <si>
    <t>※IVR基盤の責任範囲は、「IVR基盤・アプリ役割分担定義書_SMCC版」を参照。</t>
    <rPh sb="7" eb="9">
      <t>セキニン</t>
    </rPh>
    <rPh sb="9" eb="11">
      <t>ハンイ</t>
    </rPh>
    <rPh sb="38" eb="40">
      <t>サンショウ</t>
    </rPh>
    <phoneticPr fontId="25"/>
  </si>
  <si>
    <t>※2：顧客情報が含まれるのはアプリケーションログのみ。（ミドルウェアログは顧客情報なし）</t>
    <rPh sb="3" eb="5">
      <t>コキャク</t>
    </rPh>
    <rPh sb="5" eb="7">
      <t>ジョウホウ</t>
    </rPh>
    <rPh sb="8" eb="9">
      <t>フク</t>
    </rPh>
    <rPh sb="37" eb="39">
      <t>コキャク</t>
    </rPh>
    <rPh sb="39" eb="41">
      <t>ジョウホウ</t>
    </rPh>
    <phoneticPr fontId="25"/>
  </si>
  <si>
    <t>【凡例】 ○：付与する  ×付与しない  -：対象外</t>
    <rPh sb="1" eb="3">
      <t>ハンレイ</t>
    </rPh>
    <rPh sb="7" eb="9">
      <t>フヨ</t>
    </rPh>
    <rPh sb="14" eb="16">
      <t>フヨ</t>
    </rPh>
    <rPh sb="23" eb="26">
      <t>タイショウガイ</t>
    </rPh>
    <phoneticPr fontId="25"/>
  </si>
  <si>
    <t>緊急用</t>
    <rPh sb="0" eb="3">
      <t>キンキュウヨウ</t>
    </rPh>
    <phoneticPr fontId="25"/>
  </si>
  <si>
    <t>kidadm[XX]</t>
    <phoneticPr fontId="25"/>
  </si>
  <si>
    <t>kidop1[XX]</t>
    <phoneticPr fontId="25"/>
  </si>
  <si>
    <t>kidope[XX]</t>
    <phoneticPr fontId="25"/>
  </si>
  <si>
    <t>kidad1[XX]</t>
    <phoneticPr fontId="25"/>
  </si>
  <si>
    <t>ユーザID
（※1）</t>
    <phoneticPr fontId="25"/>
  </si>
  <si>
    <t>（※1）ユーザID末尾の[XX]は01からの連番とする。</t>
    <rPh sb="9" eb="11">
      <t>マツビ</t>
    </rPh>
    <rPh sb="22" eb="24">
      <t>レンバン</t>
    </rPh>
    <phoneticPr fontId="25"/>
  </si>
  <si>
    <t>kidad1[XX] （※2）</t>
    <phoneticPr fontId="25"/>
  </si>
  <si>
    <t>kidadm[XX] （※2）</t>
    <phoneticPr fontId="25"/>
  </si>
  <si>
    <t>（※2）緊急用の末尾2桁は「21」以降を使用する。</t>
    <phoneticPr fontId="25"/>
  </si>
  <si>
    <t>①</t>
    <phoneticPr fontId="25"/>
  </si>
  <si>
    <t>②</t>
    <phoneticPr fontId="25"/>
  </si>
  <si>
    <t>③</t>
    <phoneticPr fontId="25"/>
  </si>
  <si>
    <t>④</t>
    <phoneticPr fontId="25"/>
  </si>
  <si>
    <t>X</t>
    <phoneticPr fontId="25"/>
  </si>
  <si>
    <t>②利用部門が判別できるID</t>
    <phoneticPr fontId="25"/>
  </si>
  <si>
    <t xml:space="preserve">④連番（01から採番） </t>
    <phoneticPr fontId="25"/>
  </si>
  <si>
    <t>システム名</t>
    <rPh sb="4" eb="5">
      <t>メイ</t>
    </rPh>
    <phoneticPr fontId="25"/>
  </si>
  <si>
    <t>IVR（セディナ）</t>
  </si>
  <si>
    <t>IVR（SMCC）</t>
  </si>
  <si>
    <t>kv</t>
    <phoneticPr fontId="25"/>
  </si>
  <si>
    <t>ki</t>
    <phoneticPr fontId="25"/>
  </si>
  <si>
    <t>ID</t>
    <phoneticPr fontId="25"/>
  </si>
  <si>
    <t>ID</t>
    <phoneticPr fontId="25"/>
  </si>
  <si>
    <t>部門名</t>
    <rPh sb="0" eb="2">
      <t>ブモン</t>
    </rPh>
    <rPh sb="2" eb="3">
      <t>メイ</t>
    </rPh>
    <phoneticPr fontId="25"/>
  </si>
  <si>
    <t>開発・維持部門</t>
  </si>
  <si>
    <t>用途</t>
    <phoneticPr fontId="25"/>
  </si>
  <si>
    <t>③貸出IDの用途</t>
    <rPh sb="1" eb="3">
      <t>カシダシ</t>
    </rPh>
    <rPh sb="6" eb="8">
      <t>ヨウト</t>
    </rPh>
    <phoneticPr fontId="25"/>
  </si>
  <si>
    <t>貸出ID(管理・業務）</t>
  </si>
  <si>
    <t>貸出ID(一般・業務）</t>
    <phoneticPr fontId="25"/>
  </si>
  <si>
    <t>貸出ID(特権・基盤）</t>
    <phoneticPr fontId="25"/>
  </si>
  <si>
    <t>adm</t>
  </si>
  <si>
    <t>ope</t>
  </si>
  <si>
    <t>10の位</t>
    <rPh sb="3" eb="4">
      <t>クライ</t>
    </rPh>
    <phoneticPr fontId="25"/>
  </si>
  <si>
    <t>1の位</t>
    <rPh sb="2" eb="3">
      <t>クライ</t>
    </rPh>
    <phoneticPr fontId="25"/>
  </si>
  <si>
    <t>0～9</t>
    <phoneticPr fontId="25"/>
  </si>
  <si>
    <t>①システムを識別できる固有の２文字</t>
    <phoneticPr fontId="25"/>
  </si>
  <si>
    <t>ad1</t>
    <phoneticPr fontId="25"/>
  </si>
  <si>
    <t>op1</t>
    <phoneticPr fontId="25"/>
  </si>
  <si>
    <t>貸出IDのネーミングは現行システムと同様とする。貸出IDを構成する要素について、以下に示す。</t>
    <rPh sb="0" eb="2">
      <t>カシダシ</t>
    </rPh>
    <rPh sb="24" eb="26">
      <t>カシダシ</t>
    </rPh>
    <rPh sb="40" eb="42">
      <t>イカ</t>
    </rPh>
    <rPh sb="43" eb="44">
      <t>シメ</t>
    </rPh>
    <phoneticPr fontId="25"/>
  </si>
  <si>
    <t>d</t>
    <phoneticPr fontId="25"/>
  </si>
  <si>
    <t>貸出ID(一般・基盤）</t>
    <rPh sb="5" eb="7">
      <t>イッパン</t>
    </rPh>
    <phoneticPr fontId="25"/>
  </si>
  <si>
    <t>開発環境には本番環境と同一の貸出IDを作成する。</t>
    <rPh sb="6" eb="8">
      <t>ホンバン</t>
    </rPh>
    <rPh sb="14" eb="16">
      <t>カシダシ</t>
    </rPh>
    <rPh sb="19" eb="21">
      <t>サクセイ</t>
    </rPh>
    <phoneticPr fontId="25"/>
  </si>
  <si>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5"/>
  </si>
  <si>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5"/>
  </si>
  <si>
    <r>
      <t>基盤基本設計書(開発環境編)</t>
    </r>
    <r>
      <rPr>
        <sz val="11"/>
        <rFont val="ＭＳ Ｐゴシック"/>
        <family val="3"/>
        <charset val="128"/>
      </rPr>
      <t>　　ミドルウェア設計</t>
    </r>
    <rPh sb="0" eb="2">
      <t>キバン</t>
    </rPh>
    <rPh sb="2" eb="4">
      <t>キホン</t>
    </rPh>
    <rPh sb="4" eb="7">
      <t>セッケイショ</t>
    </rPh>
    <rPh sb="8" eb="10">
      <t>カイハツ</t>
    </rPh>
    <rPh sb="10" eb="12">
      <t>カンキョウ</t>
    </rPh>
    <rPh sb="12" eb="13">
      <t>ヘン</t>
    </rPh>
    <rPh sb="22" eb="24">
      <t>セッケイ</t>
    </rPh>
    <phoneticPr fontId="2"/>
  </si>
  <si>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4" eb="56">
      <t>センテイ</t>
    </rPh>
    <rPh sb="56" eb="58">
      <t>コンキョ</t>
    </rPh>
    <rPh sb="59" eb="61">
      <t>イカ</t>
    </rPh>
    <rPh sb="62" eb="63">
      <t>シメ</t>
    </rPh>
    <phoneticPr fontId="25"/>
  </si>
  <si>
    <t>各仮想機器の共通基盤ブレードへの配置先は、「基本設計書_PBX_CTI_その他（開発環境編）」-「別紙1_PBXシステム構成図」を参照。</t>
    <rPh sb="0" eb="1">
      <t>カク</t>
    </rPh>
    <phoneticPr fontId="25"/>
  </si>
  <si>
    <t>JP1/AJS3-Manager</t>
    <phoneticPr fontId="25"/>
  </si>
  <si>
    <t>・メンテナンスアクセスのため運用管理と通信を行う。</t>
    <rPh sb="14" eb="16">
      <t>ウンヨウ</t>
    </rPh>
    <rPh sb="16" eb="18">
      <t>カンリ</t>
    </rPh>
    <phoneticPr fontId="25"/>
  </si>
  <si>
    <t>・ドメイン構成は、現行システムと同様に、音声用、RSCアダプタ用の2つのドメインとする。</t>
    <rPh sb="9" eb="11">
      <t>ゲンコウ</t>
    </rPh>
    <rPh sb="16" eb="18">
      <t>ドウヨウ</t>
    </rPh>
    <phoneticPr fontId="25"/>
  </si>
  <si>
    <t>・管理画面機能は、現行システムと同様に音声用ドメインと相乗りする。</t>
    <rPh sb="9" eb="11">
      <t>ゲンコウ</t>
    </rPh>
    <rPh sb="16" eb="18">
      <t>ドウヨウ</t>
    </rPh>
    <phoneticPr fontId="25"/>
  </si>
  <si>
    <t>・WebLogicユーザは、現行システムと同様に管理用ユーザとデプロイ用ユーザを分ける。</t>
    <rPh sb="14" eb="16">
      <t>ゲンコウ</t>
    </rPh>
    <rPh sb="21" eb="23">
      <t>ドウヨウ</t>
    </rPh>
    <phoneticPr fontId="25"/>
  </si>
  <si>
    <t>・データベースとリスナーは、現行システムと同様に、1対1で対応させる。</t>
    <rPh sb="26" eb="27">
      <t>タイ</t>
    </rPh>
    <rPh sb="29" eb="31">
      <t>タイオウ</t>
    </rPh>
    <phoneticPr fontId="25"/>
  </si>
  <si>
    <t>・Oracleの初期ユーザーは、不正アクセス防止のため、最低限必要なシステムユーザーを除き、削除する。</t>
    <rPh sb="8" eb="10">
      <t>ショキ</t>
    </rPh>
    <rPh sb="28" eb="31">
      <t>サイテイゲン</t>
    </rPh>
    <rPh sb="31" eb="33">
      <t>ヒツヨウ</t>
    </rPh>
    <rPh sb="43" eb="44">
      <t>ノゾ</t>
    </rPh>
    <rPh sb="46" eb="48">
      <t>サクジョ</t>
    </rPh>
    <phoneticPr fontId="25"/>
  </si>
  <si>
    <t>・HULFTは現行システムと同様に、DB#1のみに導入する。</t>
    <rPh sb="7" eb="9">
      <t>ゲンコウ</t>
    </rPh>
    <rPh sb="14" eb="16">
      <t>ドウヨウ</t>
    </rPh>
    <rPh sb="25" eb="27">
      <t>ドウニュウ</t>
    </rPh>
    <phoneticPr fontId="25"/>
  </si>
  <si>
    <t>運用管理サーバにJP1/AJS3-Managerを導入し、IVRシステムで実行するジョブネットの定義情報や実行スケジュールの情報を保存し、ジョブネットの実行を管理する。</t>
    <rPh sb="0" eb="2">
      <t>ウンヨウ</t>
    </rPh>
    <rPh sb="2" eb="4">
      <t>カンリ</t>
    </rPh>
    <rPh sb="25" eb="27">
      <t>ドウニュウ</t>
    </rPh>
    <phoneticPr fontId="25"/>
  </si>
  <si>
    <t>・運用管理サーバで管理するジョブは、IVRシステムのサーバを対象とする。</t>
    <rPh sb="1" eb="3">
      <t>ウンヨウ</t>
    </rPh>
    <rPh sb="3" eb="5">
      <t>カンリ</t>
    </rPh>
    <rPh sb="9" eb="11">
      <t>カンリ</t>
    </rPh>
    <rPh sb="30" eb="32">
      <t>タイショウ</t>
    </rPh>
    <phoneticPr fontId="25"/>
  </si>
  <si>
    <t>・仮想IPは、現行システムと同様にデータセグメントとPBX管理セグメントでそれぞれ作成する。</t>
    <rPh sb="1" eb="3">
      <t>カソウ</t>
    </rPh>
    <rPh sb="7" eb="9">
      <t>ゲンコウ</t>
    </rPh>
    <rPh sb="14" eb="16">
      <t>ドウヨウ</t>
    </rPh>
    <rPh sb="29" eb="31">
      <t>カンリ</t>
    </rPh>
    <rPh sb="41" eb="43">
      <t>サクセイ</t>
    </rPh>
    <phoneticPr fontId="25"/>
  </si>
  <si>
    <t>・LifeKeeperで管理（監視）するソフトウェアは、現行システムと同様にOracleDB、論理JP1/Baseおよび論理JP1/AJS3-Agentとする。</t>
    <rPh sb="12" eb="14">
      <t>カンリ</t>
    </rPh>
    <rPh sb="15" eb="17">
      <t>カンシ</t>
    </rPh>
    <rPh sb="28" eb="30">
      <t>ゲンコウ</t>
    </rPh>
    <rPh sb="35" eb="37">
      <t>ドウヨウ</t>
    </rPh>
    <rPh sb="47" eb="49">
      <t>ロンリ</t>
    </rPh>
    <rPh sb="60" eb="62">
      <t>ロンリ</t>
    </rPh>
    <phoneticPr fontId="25"/>
  </si>
  <si>
    <t>　バッチ処理（論理JP1/Base、論理JP1/AJS3-Agent）の障害時は、手動でバッチを実行するため、自動フェールオーバーの対象外とする。</t>
    <rPh sb="36" eb="38">
      <t>ショウガイ</t>
    </rPh>
    <rPh sb="38" eb="39">
      <t>ジ</t>
    </rPh>
    <rPh sb="41" eb="43">
      <t>シュドウ</t>
    </rPh>
    <rPh sb="48" eb="50">
      <t>ジッコウ</t>
    </rPh>
    <rPh sb="55" eb="57">
      <t>ジドウ</t>
    </rPh>
    <rPh sb="66" eb="68">
      <t>タイショウ</t>
    </rPh>
    <rPh sb="68" eb="69">
      <t>ガイ</t>
    </rPh>
    <phoneticPr fontId="25"/>
  </si>
  <si>
    <t>・障害復旧後に手動でクラスタの切り戻しを行うため、自動フェールバックは行わない。</t>
    <rPh sb="1" eb="3">
      <t>ショウガイ</t>
    </rPh>
    <rPh sb="3" eb="5">
      <t>フッキュウ</t>
    </rPh>
    <rPh sb="5" eb="6">
      <t>ゴ</t>
    </rPh>
    <rPh sb="7" eb="9">
      <t>シュドウ</t>
    </rPh>
    <rPh sb="15" eb="16">
      <t>キ</t>
    </rPh>
    <rPh sb="17" eb="18">
      <t>モド</t>
    </rPh>
    <rPh sb="20" eb="21">
      <t>オコナ</t>
    </rPh>
    <rPh sb="25" eb="27">
      <t>ジドウ</t>
    </rPh>
    <rPh sb="35" eb="36">
      <t>オコナ</t>
    </rPh>
    <phoneticPr fontId="25"/>
  </si>
  <si>
    <t>HAクラスタ構成とする。
[理由]
DBサーバはACD1,ACD2の両方から共有され、障害時のシングルポイントとなるため、障害時の再現環境を手厚く確保しておく必要があるとの判断から、DBサーバのみ本番同等の構成とする。</t>
    <rPh sb="15" eb="17">
      <t>リユウ</t>
    </rPh>
    <rPh sb="87" eb="89">
      <t>ハンダン</t>
    </rPh>
    <phoneticPr fontId="25"/>
  </si>
  <si>
    <t>顧客情報(※1)</t>
    <rPh sb="0" eb="2">
      <t>コキャク</t>
    </rPh>
    <rPh sb="2" eb="4">
      <t>ジョウホウ</t>
    </rPh>
    <phoneticPr fontId="2"/>
  </si>
  <si>
    <t>運用管理システムバックアップ</t>
    <rPh sb="0" eb="2">
      <t>ウンヨウ</t>
    </rPh>
    <rPh sb="2" eb="4">
      <t>カンリ</t>
    </rPh>
    <phoneticPr fontId="25"/>
  </si>
  <si>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5"/>
  </si>
  <si>
    <t>アプリケーション</t>
    <phoneticPr fontId="25"/>
  </si>
  <si>
    <t>音声フロー</t>
    <rPh sb="0" eb="2">
      <t>オンセイ</t>
    </rPh>
    <phoneticPr fontId="25"/>
  </si>
  <si>
    <t>管理画面</t>
    <rPh sb="0" eb="2">
      <t>カンリ</t>
    </rPh>
    <rPh sb="2" eb="4">
      <t>ガメン</t>
    </rPh>
    <phoneticPr fontId="25"/>
  </si>
  <si>
    <t>EPM/MPP</t>
    <phoneticPr fontId="25"/>
  </si>
  <si>
    <t>Avaya Linux</t>
    <phoneticPr fontId="25"/>
  </si>
  <si>
    <t>EPM/MPP</t>
    <phoneticPr fontId="25"/>
  </si>
  <si>
    <t>EPM/MPPシステムバックアップ</t>
    <phoneticPr fontId="25"/>
  </si>
  <si>
    <t>EPM/MPP</t>
    <phoneticPr fontId="2"/>
  </si>
  <si>
    <t>/差分</t>
    <phoneticPr fontId="25"/>
  </si>
  <si>
    <t>コールセンターシステム</t>
    <phoneticPr fontId="2"/>
  </si>
  <si>
    <t>コンタクトセンター共通化</t>
    <phoneticPr fontId="2"/>
  </si>
  <si>
    <t>IVR</t>
    <phoneticPr fontId="2"/>
  </si>
  <si>
    <t>Oracle WebLogic Serverは、クライアントからの処理要求を受け付けて、データベース等のバックエンドにある業務システムまで処理を受け渡しする機能を持った</t>
    <phoneticPr fontId="25"/>
  </si>
  <si>
    <t xml:space="preserve">サーバサイドソフトウェアである。Java EE標準が実装されており、各種の開発フレームワークおよび統合ツールを提供する。 </t>
    <phoneticPr fontId="25"/>
  </si>
  <si>
    <t>・WASサーバ(WebLogic)でのセッションレプリケーションは現行システムと同様に行わない。</t>
    <phoneticPr fontId="25"/>
  </si>
  <si>
    <t>・第三者による通信データの盗聴/改ざんを防止するため、HTTPS接続を可能とする。</t>
    <phoneticPr fontId="25"/>
  </si>
  <si>
    <t>・ＪＤＫは、Avaya要件により、Java SE Development Kit 8を利用する。</t>
    <phoneticPr fontId="25"/>
  </si>
  <si>
    <t>・DBブロック・サイズは、現行システムと同様に、8192Byteとする。</t>
    <phoneticPr fontId="25"/>
  </si>
  <si>
    <t>・初期化パラメータファイルは動的パラメータSPFILEを使用し、動的に設定を変更できるようにする。</t>
    <phoneticPr fontId="25"/>
  </si>
  <si>
    <t>・領域の使用効率を優先し、1ファイルシステム配下へ全てのDBファイルを配置する。</t>
    <phoneticPr fontId="25"/>
  </si>
  <si>
    <t>文字コード変換、データ暗号化、データ圧縮機能等の機能を備え、サーバーやプラットフォーム、コード体系などが異なる様々なファイルを</t>
    <phoneticPr fontId="25"/>
  </si>
  <si>
    <t>業務処理を自動化することで、人手によるオペレーションミスを減らし、安定して稼働できる。</t>
    <phoneticPr fontId="25"/>
  </si>
  <si>
    <t>・ジョブは用途に応じ、「スケジュールジョブ」と「随時ジョブ」を作成する。</t>
    <phoneticPr fontId="25"/>
  </si>
  <si>
    <t>　　スケジュールジョブ：ジョブネット単位にスケジュールを設定し、自動で実行されるジョブ</t>
    <phoneticPr fontId="25"/>
  </si>
  <si>
    <t>　　随時ジョブ：スケジュールは登録せずに、運用者がGUIで手動実行するジョブ</t>
    <phoneticPr fontId="25"/>
  </si>
  <si>
    <t>・スケジュールジョブについては、実行時間等の記録を残すため一定期間のログを保存する。（※ログの保存期間については、詳細設計工程にて定義する。）</t>
    <phoneticPr fontId="25"/>
  </si>
  <si>
    <t>・Oracle ARKにて、Oracle DBを監視する。</t>
    <phoneticPr fontId="25"/>
  </si>
  <si>
    <t>・JP1監視スクリプトを作成し、論理JP1を監視する。</t>
    <phoneticPr fontId="25"/>
  </si>
  <si>
    <t>コールセンターシステム</t>
    <phoneticPr fontId="2"/>
  </si>
  <si>
    <t>IVR</t>
    <phoneticPr fontId="2"/>
  </si>
  <si>
    <t>システムログ</t>
    <phoneticPr fontId="2"/>
  </si>
  <si>
    <t>なし</t>
    <phoneticPr fontId="2"/>
  </si>
  <si>
    <t>-</t>
    <phoneticPr fontId="2"/>
  </si>
  <si>
    <t>-</t>
    <phoneticPr fontId="2"/>
  </si>
  <si>
    <t>ミドル・アプリログ</t>
    <phoneticPr fontId="2"/>
  </si>
  <si>
    <t>あり(※2)</t>
    <phoneticPr fontId="2"/>
  </si>
  <si>
    <t>操作ログ</t>
    <phoneticPr fontId="2"/>
  </si>
  <si>
    <t>なし</t>
    <phoneticPr fontId="2"/>
  </si>
  <si>
    <t>-</t>
    <phoneticPr fontId="2"/>
  </si>
  <si>
    <t>アクセスログ</t>
    <phoneticPr fontId="2"/>
  </si>
  <si>
    <t>なし</t>
    <phoneticPr fontId="2"/>
  </si>
  <si>
    <t>-</t>
    <phoneticPr fontId="25"/>
  </si>
  <si>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</si>
  <si>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5"/>
  </si>
  <si>
    <t>・ログローテーション前後でアプリケーションを停止する等の処理が必要な場合には、ジョブネットの前後ジョブで実現する。</t>
    <phoneticPr fontId="25"/>
  </si>
  <si>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</si>
  <si>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</si>
  <si>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</si>
  <si>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5"/>
  </si>
  <si>
    <t>・ログ内部保管によるディスク圧迫を回避するため、一定期間経過したログを圧縮する機能を設ける。</t>
    <phoneticPr fontId="25"/>
  </si>
  <si>
    <t>・ログを参照するのは、インシデント発生後数日間であることがほとんどであるため、原則として1週間を経過したログを圧縮する。</t>
    <phoneticPr fontId="25"/>
  </si>
  <si>
    <t>保存
期間
(世代数)</t>
    <phoneticPr fontId="25"/>
  </si>
  <si>
    <t>サーバ</t>
    <phoneticPr fontId="19"/>
  </si>
  <si>
    <t>EPM/MPP</t>
    <phoneticPr fontId="25"/>
  </si>
  <si>
    <t>WAS</t>
    <phoneticPr fontId="25"/>
  </si>
  <si>
    <t>DB#1</t>
    <phoneticPr fontId="25"/>
  </si>
  <si>
    <t>DB#1</t>
    <phoneticPr fontId="25"/>
  </si>
  <si>
    <t>DB#2</t>
    <phoneticPr fontId="25"/>
  </si>
  <si>
    <t>システムログ</t>
    <phoneticPr fontId="25"/>
  </si>
  <si>
    <t>OS標準機能を使用</t>
    <phoneticPr fontId="25"/>
  </si>
  <si>
    <t>○</t>
    <phoneticPr fontId="25"/>
  </si>
  <si>
    <t>○</t>
    <phoneticPr fontId="25"/>
  </si>
  <si>
    <t>○</t>
    <phoneticPr fontId="25"/>
  </si>
  <si>
    <t>○</t>
    <phoneticPr fontId="25"/>
  </si>
  <si>
    <t>ミドル・アプリログ</t>
    <phoneticPr fontId="25"/>
  </si>
  <si>
    <t>-</t>
    <phoneticPr fontId="25"/>
  </si>
  <si>
    <t>-</t>
    <phoneticPr fontId="25"/>
  </si>
  <si>
    <t>-</t>
    <phoneticPr fontId="25"/>
  </si>
  <si>
    <t>コールフロー内調査ログ</t>
    <phoneticPr fontId="19"/>
  </si>
  <si>
    <t>AEPの標準ログ出力機能を使用</t>
    <phoneticPr fontId="19"/>
  </si>
  <si>
    <t>アプリケーションログ</t>
    <phoneticPr fontId="25"/>
  </si>
  <si>
    <t>コールフロー内調査ログ</t>
    <phoneticPr fontId="19"/>
  </si>
  <si>
    <t>-</t>
    <phoneticPr fontId="25"/>
  </si>
  <si>
    <t>-</t>
    <phoneticPr fontId="25"/>
  </si>
  <si>
    <t>Oracle DBログ</t>
    <phoneticPr fontId="19"/>
  </si>
  <si>
    <t>-</t>
    <phoneticPr fontId="25"/>
  </si>
  <si>
    <t>○</t>
    <phoneticPr fontId="25"/>
  </si>
  <si>
    <t>IVR管理画面のプログラムで出力</t>
    <phoneticPr fontId="25"/>
  </si>
  <si>
    <t>EPM管理画面のプログラムで出力</t>
    <phoneticPr fontId="25"/>
  </si>
  <si>
    <t>OS標準機能を使用</t>
    <phoneticPr fontId="25"/>
  </si>
  <si>
    <t>〇</t>
    <phoneticPr fontId="25"/>
  </si>
  <si>
    <t>〇</t>
    <phoneticPr fontId="25"/>
  </si>
  <si>
    <t>○</t>
    <phoneticPr fontId="25"/>
  </si>
  <si>
    <t>MSYS
飛鷹</t>
    <phoneticPr fontId="25"/>
  </si>
  <si>
    <t>MSYS
木全</t>
    <rPh sb="5" eb="7">
      <t>キマタ</t>
    </rPh>
    <phoneticPr fontId="2"/>
  </si>
  <si>
    <t>Oracle差分バックアップ</t>
    <rPh sb="6" eb="8">
      <t>サブン</t>
    </rPh>
    <phoneticPr fontId="2"/>
  </si>
  <si>
    <t>・音声フローを実行するためWASと通信を行う。</t>
  </si>
  <si>
    <t>ハートビートNW</t>
    <phoneticPr fontId="25"/>
  </si>
  <si>
    <t>・IVR関連機器ライセンス管理通信</t>
  </si>
  <si>
    <t>eth1</t>
    <phoneticPr fontId="25"/>
  </si>
  <si>
    <t>eth2</t>
    <phoneticPr fontId="25"/>
  </si>
  <si>
    <t>・メンテナンスアクセスのため運用管理と通信を行う。</t>
  </si>
  <si>
    <t>・メンテナンスアクセスのため各サーバと通信を行う。</t>
  </si>
  <si>
    <t>・NTPサーバとの時刻同期</t>
  </si>
  <si>
    <t>Windows共通基盤シャーシ内外の物理構成図は、「基本設計書_PBX_CTI_その他（開発環境編）」-「別紙ブレード構成(開発)」を参照。</t>
    <rPh sb="44" eb="46">
      <t>カイハツ</t>
    </rPh>
    <rPh sb="62" eb="64">
      <t>カイハツ</t>
    </rPh>
    <phoneticPr fontId="25"/>
  </si>
  <si>
    <t>・マスタデータの参照、メンテナンスのためDBと通信を行う。</t>
  </si>
  <si>
    <t>・AEPのライセンス管理のためEPMと通信を行う。</t>
  </si>
  <si>
    <t>・時刻同期のためDBサーバと通信を行う。</t>
  </si>
  <si>
    <t>NW種別は下記3種類となる。</t>
    <rPh sb="5" eb="7">
      <t>カキ</t>
    </rPh>
    <rPh sb="8" eb="10">
      <t>シュルイ</t>
    </rPh>
    <phoneticPr fontId="25"/>
  </si>
  <si>
    <t>・音声NW</t>
    <rPh sb="1" eb="3">
      <t>オンセイ</t>
    </rPh>
    <phoneticPr fontId="25"/>
  </si>
  <si>
    <t>：PBXの制御や音声パケットの通信を行う。</t>
    <rPh sb="8" eb="10">
      <t>オンセイ</t>
    </rPh>
    <rPh sb="18" eb="19">
      <t>オコナ</t>
    </rPh>
    <phoneticPr fontId="25"/>
  </si>
  <si>
    <t>・データNW</t>
    <phoneticPr fontId="25"/>
  </si>
  <si>
    <t>：周辺システムとの連携や拠点端末との通信、運用監視を行う。</t>
    <rPh sb="1" eb="3">
      <t>シュウヘン</t>
    </rPh>
    <rPh sb="21" eb="23">
      <t>ウンヨウ</t>
    </rPh>
    <rPh sb="23" eb="25">
      <t>カンシ</t>
    </rPh>
    <rPh sb="26" eb="27">
      <t>オコナ</t>
    </rPh>
    <phoneticPr fontId="25"/>
  </si>
  <si>
    <t>・ハートビートNW</t>
    <phoneticPr fontId="25"/>
  </si>
  <si>
    <t>：接続された機器間で、一定時間ごとに稼働していることを相手に伝えるための通信を行う。</t>
    <rPh sb="36" eb="38">
      <t>ツウシン</t>
    </rPh>
    <rPh sb="39" eb="40">
      <t>オコナ</t>
    </rPh>
    <phoneticPr fontId="25"/>
  </si>
  <si>
    <t>　相手から規定回数返答がないと、システムが稼働系から待機系へ切り替わる。</t>
    <rPh sb="21" eb="23">
      <t>カドウ</t>
    </rPh>
    <rPh sb="26" eb="28">
      <t>タイキ</t>
    </rPh>
    <rPh sb="28" eb="29">
      <t>ケイ</t>
    </rPh>
    <rPh sb="30" eb="31">
      <t>キ</t>
    </rPh>
    <rPh sb="32" eb="33">
      <t>カ</t>
    </rPh>
    <phoneticPr fontId="25"/>
  </si>
  <si>
    <t>名称</t>
    <rPh sb="0" eb="2">
      <t>メイショウ</t>
    </rPh>
    <phoneticPr fontId="25"/>
  </si>
  <si>
    <t>用途</t>
    <phoneticPr fontId="25"/>
  </si>
  <si>
    <t>LAN種別(※1)</t>
    <phoneticPr fontId="25"/>
  </si>
  <si>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5"/>
  </si>
  <si>
    <t>(※3)LifeKeeperのコミュニケーションパス は、通信障害が原因で発生する「スプリットブレイン」を回避するため、通信経路を冗長化する。</t>
    <rPh sb="60" eb="62">
      <t>ツウシン</t>
    </rPh>
    <rPh sb="65" eb="67">
      <t>ジョウチョウ</t>
    </rPh>
    <rPh sb="67" eb="68">
      <t>カ</t>
    </rPh>
    <phoneticPr fontId="25"/>
  </si>
  <si>
    <t>1経路目（正）：輻輳による通信障害を回避するため、専用の「IVR DBハートビートセグメント」で通信する。</t>
    <rPh sb="1" eb="3">
      <t>ケイロ</t>
    </rPh>
    <rPh sb="3" eb="4">
      <t>メ</t>
    </rPh>
    <rPh sb="5" eb="6">
      <t>セイ</t>
    </rPh>
    <rPh sb="8" eb="10">
      <t>フクソウ</t>
    </rPh>
    <rPh sb="13" eb="15">
      <t>ツウシン</t>
    </rPh>
    <rPh sb="15" eb="17">
      <t>ショウガイ</t>
    </rPh>
    <rPh sb="18" eb="20">
      <t>カイヒ</t>
    </rPh>
    <rPh sb="25" eb="27">
      <t>センヨウ</t>
    </rPh>
    <rPh sb="48" eb="50">
      <t>ツウシン</t>
    </rPh>
    <phoneticPr fontId="25"/>
  </si>
  <si>
    <t>2経路目（副）：1経路目障害時のバックアップ用途のため、データセグメントを共用して通信する。</t>
    <rPh sb="1" eb="3">
      <t>ケイロ</t>
    </rPh>
    <rPh sb="3" eb="4">
      <t>メ</t>
    </rPh>
    <rPh sb="5" eb="6">
      <t>フク</t>
    </rPh>
    <rPh sb="9" eb="11">
      <t>ケイロ</t>
    </rPh>
    <phoneticPr fontId="25"/>
  </si>
  <si>
    <t>SMCC開発BB</t>
    <rPh sb="4" eb="6">
      <t>カイハツ</t>
    </rPh>
    <phoneticPr fontId="2"/>
  </si>
  <si>
    <t>IP(※2)</t>
    <phoneticPr fontId="25"/>
  </si>
  <si>
    <t>(※2)仮想IPはクラスタ構成を組むサーバ間で共有する。</t>
    <rPh sb="4" eb="6">
      <t>カソウ</t>
    </rPh>
    <rPh sb="21" eb="22">
      <t>アイダ</t>
    </rPh>
    <rPh sb="23" eb="25">
      <t>キョウユウ</t>
    </rPh>
    <phoneticPr fontId="25"/>
  </si>
  <si>
    <t>EPM/MPPを1OS、1論理サーバに収容する。</t>
    <phoneticPr fontId="25"/>
  </si>
  <si>
    <t>シングル構成とする。</t>
    <phoneticPr fontId="25"/>
  </si>
  <si>
    <t>HAクラスタ構成とする。</t>
    <phoneticPr fontId="25"/>
  </si>
  <si>
    <t>2.HWSW構成</t>
    <phoneticPr fontId="25"/>
  </si>
  <si>
    <t>2-1.HW構成</t>
  </si>
  <si>
    <t>2-2.SW構成</t>
  </si>
  <si>
    <t>3.NW構成</t>
    <phoneticPr fontId="25"/>
  </si>
  <si>
    <t>3-1.NWセグメント構成</t>
  </si>
  <si>
    <t>3-2.NWセグメントイメージ図</t>
  </si>
  <si>
    <t>3-3.セグメント利用一覧</t>
  </si>
  <si>
    <t>4.ミドルウェア設計</t>
    <phoneticPr fontId="25"/>
  </si>
  <si>
    <t>4-1.WebLogic設計</t>
  </si>
  <si>
    <t>4-1-1.機能概要</t>
  </si>
  <si>
    <t>4-1-2.設計方針</t>
  </si>
  <si>
    <t>4-1-3.構成図</t>
  </si>
  <si>
    <t>4-2.Oracle DB設計</t>
  </si>
  <si>
    <t>4-2-1.機能概要</t>
  </si>
  <si>
    <t>4-2-2.設計方針</t>
  </si>
  <si>
    <t>4-2-3.DB構成</t>
  </si>
  <si>
    <t>4-3.Hulft設計</t>
  </si>
  <si>
    <t>4-3-1.機能概要</t>
  </si>
  <si>
    <t>4-3-2.設計方針</t>
  </si>
  <si>
    <t>4-3-3.接続構成</t>
  </si>
  <si>
    <t>4-4.JP1設計</t>
  </si>
  <si>
    <t>4-4-1.機能概要</t>
  </si>
  <si>
    <t>4-4-2.設計方針</t>
  </si>
  <si>
    <t>4-4-3.ジョブ管理構成</t>
  </si>
  <si>
    <t>4-4-4.ジョブグループ構成</t>
  </si>
  <si>
    <t>4-4-5.ジョブ定義命名規則</t>
  </si>
  <si>
    <t>4-5.Lifekeeper設計</t>
  </si>
  <si>
    <t>4-4-3.LifeKeeper構成</t>
  </si>
  <si>
    <t>スペック</t>
    <phoneticPr fontId="25"/>
  </si>
  <si>
    <t>見積根拠</t>
    <phoneticPr fontId="25"/>
  </si>
  <si>
    <t>EPM/
MPP</t>
    <phoneticPr fontId="25"/>
  </si>
  <si>
    <t>OVA（Open Virtual Appliance）形式で提供されるAAEPソフトウェアのリソース要件に準拠</t>
    <phoneticPr fontId="25"/>
  </si>
  <si>
    <t>（AVAYA出典）</t>
  </si>
  <si>
    <t>　　Deploying Avaya Aura® Experience Portal</t>
  </si>
  <si>
    <t>　　in an Avaya Customer Experience Virtualized Environment Release 7.2</t>
  </si>
  <si>
    <t>　　https://downloads.avaya.com/css/P8/documents/101039763</t>
  </si>
  <si>
    <t>1コアあたり</t>
    <phoneticPr fontId="25"/>
  </si>
  <si>
    <t>16 GB</t>
    <phoneticPr fontId="25"/>
  </si>
  <si>
    <t>Windows共通基盤で構成した場合、CPU1コアにつきメモリ4GBが付属。</t>
    <phoneticPr fontId="25"/>
  </si>
  <si>
    <t>左記サーバは4コア構成のため16GB搭載。</t>
    <phoneticPr fontId="25"/>
  </si>
  <si>
    <t>なお、Avayaのベストプラクティスは4GB（※）</t>
  </si>
  <si>
    <t>※Avaya社とVmware社の共同検証によって作成された、ベストプラクティスとガイドライン</t>
  </si>
  <si>
    <t>　　「Application Notes Avaya Aura Experience Portal 7.2 on VMware vSphere」より</t>
  </si>
  <si>
    <t>OVA（Open Virtual Appliance）形式で提供されるAAEPソフトウェアのリソース要件に準拠</t>
  </si>
  <si>
    <t>（Avaya出典）　Deploying Avaya Aura® Experience Portal</t>
  </si>
  <si>
    <t>　　　　　　　　　in an Avaya Customer Experience Virtualized Environment Release 7.2</t>
  </si>
  <si>
    <t>　　　　　　　　　https://downloads.avaya.com/css/P8/documents/101039763</t>
  </si>
  <si>
    <t>ポート・セッション数</t>
    <phoneticPr fontId="25"/>
  </si>
  <si>
    <t>※1　機器別選定スペック（続き）</t>
    <rPh sb="3" eb="5">
      <t>キキ</t>
    </rPh>
    <rPh sb="5" eb="6">
      <t>ベツ</t>
    </rPh>
    <rPh sb="6" eb="8">
      <t>センテイ</t>
    </rPh>
    <rPh sb="13" eb="14">
      <t>ツヅ</t>
    </rPh>
    <phoneticPr fontId="2"/>
  </si>
  <si>
    <t>スペック</t>
    <phoneticPr fontId="25"/>
  </si>
  <si>
    <t>見積根拠</t>
    <phoneticPr fontId="25"/>
  </si>
  <si>
    <t>WAS</t>
    <phoneticPr fontId="25"/>
  </si>
  <si>
    <t>現行のコア数で安定稼働しているため、現行同様とする。</t>
  </si>
  <si>
    <t>　現行WASの過去1年（2017/5～2018/4）の最大CPU使用率は14.5%</t>
  </si>
  <si>
    <t>　更改後のサーバ台数減（3台→2台）を考慮してもCPU最大使用率は20%強の見込み。</t>
  </si>
  <si>
    <t>16 GB</t>
    <phoneticPr fontId="25"/>
  </si>
  <si>
    <t>Windows共通基盤で構成した場合、CPU1コアにつきメモリ4GBが付属。</t>
  </si>
  <si>
    <t>左記サーバは4コア構成のため16GB搭載。</t>
  </si>
  <si>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</si>
  <si>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</si>
  <si>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</si>
  <si>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12 GB</t>
    <phoneticPr fontId="25"/>
  </si>
  <si>
    <t>現行WASの過去1年（2017/5～2018/4）の最大最大使用率は41.8%</t>
  </si>
  <si>
    <t>更改後のサーバ台数減（3台→2台）を考慮しても最大使用率は60%強の見込みとなるため、</t>
  </si>
  <si>
    <t xml:space="preserve">現行使用対比からも問題ない。 </t>
  </si>
  <si>
    <t>130GB</t>
    <phoneticPr fontId="25"/>
  </si>
  <si>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</si>
  <si>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</si>
  <si>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</si>
  <si>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</si>
  <si>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</si>
  <si>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</si>
  <si>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</si>
  <si>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ポート・セッション数</t>
    <phoneticPr fontId="25"/>
  </si>
  <si>
    <t>スペック</t>
    <phoneticPr fontId="25"/>
  </si>
  <si>
    <t>見積根拠</t>
    <phoneticPr fontId="25"/>
  </si>
  <si>
    <t>Oracle社推奨値:80セッション/1コア</t>
  </si>
  <si>
    <t>　本番:ACD1とACD2合わせ400ポート、同時アクセス数50%（現行試算値）とすると、</t>
  </si>
  <si>
    <t>　最大200セッション</t>
  </si>
  <si>
    <t>　研修:20セッション（本番の10/1想定）</t>
  </si>
  <si>
    <t>　よって必要コア数は、220セッション/80セッション = 2.75コア</t>
  </si>
  <si>
    <t>　HULFT、クラスタウェア、OS使用分で1コアを見込み、トータル4コアとする。</t>
  </si>
  <si>
    <t>[OSとDB:2GB] + [本番DBインスタンス:6GB]  + [研修DBインスタンス:2GB（※）]</t>
    <phoneticPr fontId="25"/>
  </si>
  <si>
    <t xml:space="preserve"> = 10GB以上となるため、搭載メモリサイズで要件を充足する。</t>
    <phoneticPr fontId="25"/>
  </si>
  <si>
    <t>現行DBの過去1年（2017/5～2018/4）の最大使用率は32.8%で、</t>
    <phoneticPr fontId="25"/>
  </si>
  <si>
    <t>現行使用対比からも問題なし。</t>
    <phoneticPr fontId="25"/>
  </si>
  <si>
    <t>※現行では研修DBのメモリ枯渇が発生しているためメモリ増強（500MB→2GB）を図る。</t>
  </si>
  <si>
    <t>　 メモリは16GBまで定額のため費用影響なし。</t>
  </si>
  <si>
    <t>　　現行使用量＋余裕値</t>
  </si>
  <si>
    <t>③データベース領域:200GB</t>
  </si>
  <si>
    <t>ポート・セッション数</t>
    <phoneticPr fontId="25"/>
  </si>
  <si>
    <t>最大10セッションを常時プールする。</t>
    <phoneticPr fontId="25"/>
  </si>
  <si>
    <t>DB</t>
    <phoneticPr fontId="25"/>
  </si>
  <si>
    <t>運用
管理</t>
    <rPh sb="0" eb="2">
      <t>ウンヨウ</t>
    </rPh>
    <rPh sb="3" eb="5">
      <t>カンリ</t>
    </rPh>
    <phoneticPr fontId="25"/>
  </si>
  <si>
    <t>　　a.Windows2016Server:50GB</t>
  </si>
  <si>
    <t>32 GB</t>
    <phoneticPr fontId="25"/>
  </si>
  <si>
    <t>JP1/AJS3-Manager、Hammer、OS</t>
    <phoneticPr fontId="25"/>
  </si>
  <si>
    <t>JP1/AJS3-Managerのメモリ要件は8GB,、Hammerのメモリ要件は8GBのため</t>
    <phoneticPr fontId="25"/>
  </si>
  <si>
    <t>搭載メモリサイズで要件を充足する。</t>
    <phoneticPr fontId="25"/>
  </si>
  <si>
    <t>CPUクロックスピード/コアは、Windows共通基盤で固定</t>
    <phoneticPr fontId="25"/>
  </si>
  <si>
    <t>なお、業務設計に関しては本書の記述範囲外とする。</t>
    <rPh sb="5" eb="7">
      <t>セッケイ</t>
    </rPh>
    <rPh sb="12" eb="14">
      <t>ホンショ</t>
    </rPh>
    <rPh sb="15" eb="17">
      <t>キジュツ</t>
    </rPh>
    <rPh sb="17" eb="19">
      <t>ハンイ</t>
    </rPh>
    <rPh sb="19" eb="20">
      <t>ガイ</t>
    </rPh>
    <phoneticPr fontId="25"/>
  </si>
  <si>
    <t>IVRシステム（Interactive Voice Response）とは、顧客からの入電の際、あらかじめ用意された音声による案内や、顧客の入電理由に応じた番号入力で</t>
    <phoneticPr fontId="25"/>
  </si>
  <si>
    <t>オペレータへ対応の振り分けを行うシステムである。</t>
    <phoneticPr fontId="25"/>
  </si>
  <si>
    <t>1-2.システム導入の目的</t>
    <rPh sb="8" eb="10">
      <t>ドウニュウ</t>
    </rPh>
    <rPh sb="11" eb="13">
      <t>モクテキ</t>
    </rPh>
    <phoneticPr fontId="2"/>
  </si>
  <si>
    <t>(1)IVR更改の背景</t>
    <rPh sb="6" eb="8">
      <t>コウカイ</t>
    </rPh>
    <rPh sb="9" eb="11">
      <t>ハイケイ</t>
    </rPh>
    <phoneticPr fontId="2"/>
  </si>
  <si>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</si>
  <si>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</si>
  <si>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</si>
  <si>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上記理由により、SMCC_IVRシステムもコンタクトセンターシステムの一環として2020年3月の更改本番をおこなう。</t>
    <rPh sb="0" eb="2">
      <t>ジョウキ</t>
    </rPh>
    <rPh sb="2" eb="4">
      <t>リユウ</t>
    </rPh>
    <phoneticPr fontId="4"/>
  </si>
  <si>
    <t xml:space="preserve">(2)IVR更改の目的 </t>
    <rPh sb="6" eb="8">
      <t>コウカイ</t>
    </rPh>
    <rPh sb="9" eb="11">
      <t>モクテキ</t>
    </rPh>
    <phoneticPr fontId="2"/>
  </si>
  <si>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</si>
  <si>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</si>
  <si>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</si>
  <si>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(3)IVR更改の概要</t>
    <phoneticPr fontId="2"/>
  </si>
  <si>
    <t>HW基盤の更改とミドルウェアの後継機であるAEP（Avaya Experience Portal）への変更を実施する。</t>
  </si>
  <si>
    <t>基盤は現行オープン統合基盤からWindows共通基盤の仮想構成に変更となる。</t>
    <rPh sb="27" eb="29">
      <t>カソウ</t>
    </rPh>
    <rPh sb="29" eb="31">
      <t>コウセイ</t>
    </rPh>
    <phoneticPr fontId="25"/>
  </si>
  <si>
    <t>現行のリソース利用状況からポートを削減してサーバ台数を削減する。</t>
    <rPh sb="17" eb="19">
      <t>サクゲン</t>
    </rPh>
    <phoneticPr fontId="4"/>
  </si>
  <si>
    <t>業務要件の追加変更、アプリの改定は行わず、後継機への変更による対応のみを実施する。</t>
  </si>
  <si>
    <t>他システムとの連携部分の仕様は変更しない。</t>
  </si>
  <si>
    <t>IVR基盤
設計範囲</t>
    <rPh sb="3" eb="5">
      <t>キバン</t>
    </rPh>
    <rPh sb="6" eb="8">
      <t>セッケイ</t>
    </rPh>
    <rPh sb="8" eb="10">
      <t>ハンイ</t>
    </rPh>
    <phoneticPr fontId="25"/>
  </si>
  <si>
    <t>本書
設計範囲</t>
    <rPh sb="0" eb="2">
      <t>ホンショ</t>
    </rPh>
    <rPh sb="3" eb="5">
      <t>セッケイ</t>
    </rPh>
    <rPh sb="5" eb="7">
      <t>ハンイ</t>
    </rPh>
    <phoneticPr fontId="25"/>
  </si>
  <si>
    <t>AEP基本設計書に記載。</t>
    <rPh sb="3" eb="5">
      <t>キホン</t>
    </rPh>
    <rPh sb="5" eb="8">
      <t>セッケイショ</t>
    </rPh>
    <rPh sb="9" eb="11">
      <t>キサイ</t>
    </rPh>
    <phoneticPr fontId="25"/>
  </si>
  <si>
    <t>運用ツール方式設計書、運用ツールリストに記載。</t>
    <rPh sb="0" eb="2">
      <t>ウンヨウ</t>
    </rPh>
    <rPh sb="5" eb="7">
      <t>ホウシキ</t>
    </rPh>
    <rPh sb="7" eb="10">
      <t>セッケイショ</t>
    </rPh>
    <rPh sb="20" eb="22">
      <t>キサイ</t>
    </rPh>
    <phoneticPr fontId="25"/>
  </si>
  <si>
    <t>Windows共通基盤にて設計。</t>
    <rPh sb="7" eb="9">
      <t>キョウツウ</t>
    </rPh>
    <rPh sb="9" eb="11">
      <t>キバン</t>
    </rPh>
    <rPh sb="13" eb="15">
      <t>セッケイ</t>
    </rPh>
    <phoneticPr fontId="25"/>
  </si>
  <si>
    <t>IVRアプリ基本設計書に記載。</t>
    <rPh sb="6" eb="8">
      <t>キホン</t>
    </rPh>
    <rPh sb="8" eb="11">
      <t>セッケイショ</t>
    </rPh>
    <rPh sb="12" eb="14">
      <t>キサイ</t>
    </rPh>
    <phoneticPr fontId="25"/>
  </si>
  <si>
    <t>RSC基本設計書に記載。</t>
    <rPh sb="3" eb="5">
      <t>キホン</t>
    </rPh>
    <rPh sb="5" eb="8">
      <t>セッケイショ</t>
    </rPh>
    <rPh sb="9" eb="11">
      <t>キサイ</t>
    </rPh>
    <phoneticPr fontId="25"/>
  </si>
  <si>
    <t>IVR音声フローのテスト・動作確認ツール（IVRアプリにて使用）</t>
    <rPh sb="3" eb="5">
      <t>オンセイ</t>
    </rPh>
    <rPh sb="13" eb="15">
      <t>ドウサ</t>
    </rPh>
    <rPh sb="15" eb="17">
      <t>カクニン</t>
    </rPh>
    <phoneticPr fontId="25"/>
  </si>
  <si>
    <t>（※2）運用ツールの基本設計については、運用ツール方式設計書、運用ツールリストに記載する。</t>
    <rPh sb="4" eb="6">
      <t>ウンヨウ</t>
    </rPh>
    <rPh sb="10" eb="12">
      <t>キホン</t>
    </rPh>
    <rPh sb="12" eb="14">
      <t>セッケイ</t>
    </rPh>
    <phoneticPr fontId="25"/>
  </si>
  <si>
    <t>必要な呼量を満たす最小スペックをJRIにて選定。</t>
    <phoneticPr fontId="25"/>
  </si>
  <si>
    <t>機器名</t>
    <rPh sb="0" eb="3">
      <t>キキメイ</t>
    </rPh>
    <phoneticPr fontId="25"/>
  </si>
  <si>
    <t>CPU</t>
    <phoneticPr fontId="2"/>
  </si>
  <si>
    <t>コア数</t>
    <phoneticPr fontId="25"/>
  </si>
  <si>
    <t>クロックスピード</t>
    <phoneticPr fontId="25"/>
  </si>
  <si>
    <t>予約値</t>
    <phoneticPr fontId="25"/>
  </si>
  <si>
    <t>予約値</t>
    <phoneticPr fontId="25"/>
  </si>
  <si>
    <t>CPU</t>
    <phoneticPr fontId="2"/>
  </si>
  <si>
    <t>CPU</t>
    <phoneticPr fontId="2"/>
  </si>
  <si>
    <t>コア数</t>
    <rPh sb="2" eb="3">
      <t>スウ</t>
    </rPh>
    <phoneticPr fontId="25"/>
  </si>
  <si>
    <t>メモリ</t>
    <phoneticPr fontId="2"/>
  </si>
  <si>
    <t>容量</t>
    <phoneticPr fontId="25"/>
  </si>
  <si>
    <t>ディスク容量</t>
    <rPh sb="4" eb="6">
      <t>ヨウリョウ</t>
    </rPh>
    <phoneticPr fontId="2"/>
  </si>
  <si>
    <t>16 GB</t>
    <phoneticPr fontId="25"/>
  </si>
  <si>
    <t>160GB</t>
    <phoneticPr fontId="25"/>
  </si>
  <si>
    <t>ディスク容</t>
    <rPh sb="4" eb="5">
      <t>カタチ</t>
    </rPh>
    <phoneticPr fontId="2"/>
  </si>
  <si>
    <t>10 GB</t>
    <phoneticPr fontId="25"/>
  </si>
  <si>
    <t>130GB</t>
    <phoneticPr fontId="25"/>
  </si>
  <si>
    <t>200GB</t>
    <phoneticPr fontId="25"/>
  </si>
  <si>
    <t>210GB</t>
    <phoneticPr fontId="25"/>
  </si>
  <si>
    <t>8u192 
(Update 192)</t>
    <phoneticPr fontId="25"/>
  </si>
  <si>
    <t>8u192 
(Update 192)</t>
    <phoneticPr fontId="25"/>
  </si>
  <si>
    <t>数量</t>
    <rPh sb="0" eb="2">
      <t>スウリョウ</t>
    </rPh>
    <phoneticPr fontId="25"/>
  </si>
  <si>
    <t>・</t>
    <phoneticPr fontId="25"/>
  </si>
  <si>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5"/>
  </si>
  <si>
    <t>目標復旧時点</t>
    <rPh sb="0" eb="2">
      <t>モクヒョウ</t>
    </rPh>
    <rPh sb="2" eb="4">
      <t>フッキュウ</t>
    </rPh>
    <rPh sb="4" eb="6">
      <t>ジテン</t>
    </rPh>
    <phoneticPr fontId="25"/>
  </si>
  <si>
    <t>システム</t>
    <phoneticPr fontId="25"/>
  </si>
  <si>
    <t>OSシステムイメージ</t>
    <phoneticPr fontId="25"/>
  </si>
  <si>
    <t>バックアップ取得時点</t>
    <rPh sb="6" eb="8">
      <t>シュトク</t>
    </rPh>
    <rPh sb="8" eb="10">
      <t>ジテン</t>
    </rPh>
    <phoneticPr fontId="25"/>
  </si>
  <si>
    <t>データ</t>
    <phoneticPr fontId="25"/>
  </si>
  <si>
    <t>DBデータ</t>
    <phoneticPr fontId="25"/>
  </si>
  <si>
    <t>障害発生直前のコミットポイント</t>
    <rPh sb="0" eb="2">
      <t>ショウガイ</t>
    </rPh>
    <rPh sb="2" eb="4">
      <t>ハッセイ</t>
    </rPh>
    <rPh sb="4" eb="6">
      <t>チョクゼン</t>
    </rPh>
    <phoneticPr fontId="25"/>
  </si>
  <si>
    <t>（但し、アーカイブREDOログ、オンラインREDOログが破壊/消失していないこと。）</t>
    <rPh sb="1" eb="2">
      <t>タダ</t>
    </rPh>
    <rPh sb="28" eb="30">
      <t>ハカイ</t>
    </rPh>
    <rPh sb="31" eb="33">
      <t>ショウシツ</t>
    </rPh>
    <phoneticPr fontId="25"/>
  </si>
  <si>
    <t>・</t>
    <phoneticPr fontId="25"/>
  </si>
  <si>
    <t>貸出IDの権限は、大きく特権、管理、一般の3種とする。</t>
    <phoneticPr fontId="25"/>
  </si>
  <si>
    <t>(a) OSユーザ</t>
    <phoneticPr fontId="25"/>
  </si>
  <si>
    <t>システムIDと貸出IDの権限毎の説明を以下に記載する。</t>
  </si>
  <si>
    <t>(b) ミドルウェア管理ユーザ</t>
    <rPh sb="10" eb="12">
      <t>カンリ</t>
    </rPh>
    <phoneticPr fontId="25"/>
  </si>
  <si>
    <t>ミドルウェア区分</t>
    <rPh sb="6" eb="8">
      <t>クブン</t>
    </rPh>
    <phoneticPr fontId="25"/>
  </si>
  <si>
    <t>ユーザID</t>
    <phoneticPr fontId="25"/>
  </si>
  <si>
    <t>ミドルのログ参照</t>
    <rPh sb="6" eb="8">
      <t>サンショウ</t>
    </rPh>
    <phoneticPr fontId="25"/>
  </si>
  <si>
    <t>ミドルのファイル編集</t>
    <rPh sb="8" eb="10">
      <t>ヘンシュウ</t>
    </rPh>
    <phoneticPr fontId="25"/>
  </si>
  <si>
    <t>ＤＢアクセス</t>
    <phoneticPr fontId="25"/>
  </si>
  <si>
    <t>特権ツール実行</t>
    <phoneticPr fontId="25"/>
  </si>
  <si>
    <t>ｒｏｏｔへのＳＵ実行</t>
    <phoneticPr fontId="25"/>
  </si>
  <si>
    <t>パッチ適用（OS）</t>
    <phoneticPr fontId="25"/>
  </si>
  <si>
    <t>パッチ適用（ミドル）</t>
    <phoneticPr fontId="25"/>
  </si>
  <si>
    <t>WebLogic</t>
    <phoneticPr fontId="25"/>
  </si>
  <si>
    <t>diablo</t>
    <phoneticPr fontId="25"/>
  </si>
  <si>
    <t>Linux</t>
    <phoneticPr fontId="25"/>
  </si>
  <si>
    <t>WebLogicインストール/管理用ユーザ</t>
    <rPh sb="15" eb="17">
      <t>カンリ</t>
    </rPh>
    <rPh sb="17" eb="18">
      <t>ヨウ</t>
    </rPh>
    <phoneticPr fontId="25"/>
  </si>
  <si>
    <t>〇</t>
    <phoneticPr fontId="25"/>
  </si>
  <si>
    <t>〇</t>
    <phoneticPr fontId="25"/>
  </si>
  <si>
    <t>×</t>
    <phoneticPr fontId="25"/>
  </si>
  <si>
    <t>×</t>
    <phoneticPr fontId="25"/>
  </si>
  <si>
    <t>〇</t>
    <phoneticPr fontId="25"/>
  </si>
  <si>
    <t>×</t>
    <phoneticPr fontId="25"/>
  </si>
  <si>
    <t>×</t>
    <phoneticPr fontId="25"/>
  </si>
  <si>
    <t>〇</t>
    <phoneticPr fontId="25"/>
  </si>
  <si>
    <t>Oracle DB</t>
    <phoneticPr fontId="25"/>
  </si>
  <si>
    <t>zaora</t>
    <phoneticPr fontId="25"/>
  </si>
  <si>
    <t>Oracle DBインストール/管理用ユーザ</t>
    <rPh sb="16" eb="18">
      <t>カンリ</t>
    </rPh>
    <rPh sb="18" eb="19">
      <t>ヨウ</t>
    </rPh>
    <phoneticPr fontId="25"/>
  </si>
  <si>
    <t>〇</t>
    <phoneticPr fontId="25"/>
  </si>
  <si>
    <t>×</t>
    <phoneticPr fontId="25"/>
  </si>
  <si>
    <t>〇</t>
    <phoneticPr fontId="25"/>
  </si>
  <si>
    <t>※2 一般ツールとは、ツールの実行にOS特権（uid=0/Administrator相当）が不要なツールを示す。</t>
    <phoneticPr fontId="25"/>
  </si>
  <si>
    <t>5.ログ管理</t>
    <phoneticPr fontId="25"/>
  </si>
  <si>
    <t>5-1.ログ管理方針</t>
    <phoneticPr fontId="25"/>
  </si>
  <si>
    <t>5-1-1.方針</t>
    <phoneticPr fontId="25"/>
  </si>
  <si>
    <t>5-1-2.ログ種別</t>
    <phoneticPr fontId="25"/>
  </si>
  <si>
    <t>5-2.ログ管理実現方式</t>
    <phoneticPr fontId="25"/>
  </si>
  <si>
    <t>5-2-1.ログローテーション</t>
    <phoneticPr fontId="25"/>
  </si>
  <si>
    <t>5-2-2.ログ保管</t>
    <phoneticPr fontId="25"/>
  </si>
  <si>
    <t>6-1.バックアップ概要</t>
    <phoneticPr fontId="25"/>
  </si>
  <si>
    <t>6-2.バックアップ/リストア方針</t>
    <phoneticPr fontId="25"/>
  </si>
  <si>
    <t>6-3.バックアップ/リストア方式</t>
    <phoneticPr fontId="25"/>
  </si>
  <si>
    <t>6-3-1.システムバックアップ/リストア方式</t>
    <phoneticPr fontId="25"/>
  </si>
  <si>
    <t>6-3-2.DBデータバックアップ/リストア方式</t>
    <phoneticPr fontId="25"/>
  </si>
  <si>
    <t>6-3-3.業務データバックアップ/リストア方式</t>
    <phoneticPr fontId="25"/>
  </si>
  <si>
    <t>6-4.バックアップ対象一覧</t>
    <phoneticPr fontId="25"/>
  </si>
  <si>
    <t>7.セキュリティ設計</t>
  </si>
  <si>
    <t>7-1.暗号化</t>
  </si>
  <si>
    <t>7-2.アクセスコントロール</t>
  </si>
  <si>
    <t>7-3.監査</t>
  </si>
  <si>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</si>
  <si>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</si>
  <si>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</si>
  <si>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</si>
  <si>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7-8.ネットワークフィルタリング</t>
  </si>
  <si>
    <t>8.拡張性設計</t>
  </si>
  <si>
    <t>8-1.拡張性設計方針</t>
  </si>
  <si>
    <t>8-2.拡張方式</t>
  </si>
  <si>
    <t>WASへの通信経路をhttpsにより暗号化し、第三者による通信データの盗聴/改ざんを防止する。</t>
    <rPh sb="5" eb="7">
      <t>ツウシン</t>
    </rPh>
    <rPh sb="7" eb="9">
      <t>ケイロ</t>
    </rPh>
    <rPh sb="18" eb="20">
      <t>アンゴウ</t>
    </rPh>
    <rPh sb="20" eb="21">
      <t>カ</t>
    </rPh>
    <phoneticPr fontId="25"/>
  </si>
  <si>
    <t>httpsによる暗号化は、WASサーバへSSL証明書を登録することにより実現する。</t>
    <rPh sb="27" eb="29">
      <t>トウロク</t>
    </rPh>
    <phoneticPr fontId="25"/>
  </si>
  <si>
    <t>HULFTによる外部システムとのデータ送受信時については、HULFT機能（秘密キー方式）による通信経路の暗号化を行う。</t>
    <rPh sb="19" eb="22">
      <t>ソウジュシン</t>
    </rPh>
    <rPh sb="22" eb="23">
      <t>ジ</t>
    </rPh>
    <rPh sb="34" eb="36">
      <t>キノウ</t>
    </rPh>
    <rPh sb="37" eb="39">
      <t>ヒミツ</t>
    </rPh>
    <rPh sb="41" eb="43">
      <t>ホウシキ</t>
    </rPh>
    <rPh sb="47" eb="49">
      <t>ツウシン</t>
    </rPh>
    <rPh sb="49" eb="51">
      <t>ケイロ</t>
    </rPh>
    <rPh sb="52" eb="55">
      <t>アンゴウカ</t>
    </rPh>
    <rPh sb="56" eb="57">
      <t>オコナ</t>
    </rPh>
    <phoneticPr fontId="25"/>
  </si>
  <si>
    <t>(1)アカウント作成方針</t>
    <rPh sb="8" eb="10">
      <t>サクセイ</t>
    </rPh>
    <rPh sb="10" eb="12">
      <t>ホウシン</t>
    </rPh>
    <phoneticPr fontId="25"/>
  </si>
  <si>
    <t>ウイルススキャン</t>
    <phoneticPr fontId="25"/>
  </si>
  <si>
    <t>常時</t>
    <rPh sb="0" eb="2">
      <t>ジョウジ</t>
    </rPh>
    <phoneticPr fontId="25"/>
  </si>
  <si>
    <t>ウイルス対策ソフトによるリアルタイムスキャンを有効にし、ファイルアクセス時に対象をスキャンすることでウイルス・マルウェアの感染に対処する。
ただし、ミドルウェアの制約によりリアルタイムスキャンが推奨されない場合は、ファイルおよびフォルダを限定してウイルススキャンの対象から除外する。</t>
    <rPh sb="4" eb="6">
      <t>タイサク</t>
    </rPh>
    <rPh sb="23" eb="25">
      <t>ユウコウ</t>
    </rPh>
    <rPh sb="36" eb="37">
      <t>ジ</t>
    </rPh>
    <rPh sb="38" eb="40">
      <t>タイショウ</t>
    </rPh>
    <rPh sb="61" eb="63">
      <t>カンセン</t>
    </rPh>
    <rPh sb="64" eb="66">
      <t>タイショ</t>
    </rPh>
    <rPh sb="81" eb="83">
      <t>セイヤク</t>
    </rPh>
    <rPh sb="97" eb="99">
      <t>スイショウ</t>
    </rPh>
    <rPh sb="103" eb="105">
      <t>バアイ</t>
    </rPh>
    <rPh sb="119" eb="121">
      <t>ゲンテイ</t>
    </rPh>
    <rPh sb="132" eb="134">
      <t>タイショウ</t>
    </rPh>
    <rPh sb="136" eb="138">
      <t>ジョガイ</t>
    </rPh>
    <phoneticPr fontId="25"/>
  </si>
  <si>
    <t>月1回以上</t>
    <phoneticPr fontId="25"/>
  </si>
  <si>
    <t>ウイルス対策ソフトを導入し、ウイルス対策を行う。ウイルス対策ソフトはMcAfee VirusScan Enterprise（以下、VSE）およびePolicyエージェントを利用する。</t>
    <rPh sb="4" eb="6">
      <t>タイサク</t>
    </rPh>
    <rPh sb="10" eb="12">
      <t>ドウニュウ</t>
    </rPh>
    <rPh sb="18" eb="20">
      <t>タイサク</t>
    </rPh>
    <rPh sb="21" eb="22">
      <t>オコナ</t>
    </rPh>
    <rPh sb="28" eb="30">
      <t>タイサク</t>
    </rPh>
    <rPh sb="62" eb="64">
      <t>イカ</t>
    </rPh>
    <rPh sb="86" eb="88">
      <t>リヨウ</t>
    </rPh>
    <phoneticPr fontId="25"/>
  </si>
  <si>
    <t>またOSやソフトウェアの脆弱性を原因とするシステム異常の発生や外部などからのサーバの不正利用を未然に防止するため、セキュリティパッチを適用する。</t>
    <phoneticPr fontId="25"/>
  </si>
  <si>
    <t>9.障害対策設計</t>
    <rPh sb="2" eb="4">
      <t>ショウガイ</t>
    </rPh>
    <rPh sb="4" eb="6">
      <t>タイサク</t>
    </rPh>
    <phoneticPr fontId="25"/>
  </si>
  <si>
    <t>9-1.障害対策方針</t>
    <rPh sb="4" eb="6">
      <t>ショウガイ</t>
    </rPh>
    <rPh sb="6" eb="8">
      <t>タイサク</t>
    </rPh>
    <phoneticPr fontId="25"/>
  </si>
  <si>
    <t>9-2.障害対策方式</t>
    <rPh sb="4" eb="6">
      <t>ショウガイ</t>
    </rPh>
    <rPh sb="6" eb="8">
      <t>タイサク</t>
    </rPh>
    <rPh sb="8" eb="10">
      <t>ホウシキ</t>
    </rPh>
    <phoneticPr fontId="25"/>
  </si>
  <si>
    <t>(2)ローテーション方式</t>
    <phoneticPr fontId="25"/>
  </si>
  <si>
    <t>(1)方針</t>
    <rPh sb="3" eb="5">
      <t>ホウシン</t>
    </rPh>
    <phoneticPr fontId="25"/>
  </si>
  <si>
    <t>EPMサーバアクセスログ</t>
    <phoneticPr fontId="25"/>
  </si>
  <si>
    <t>IVR管理画面ログ</t>
    <phoneticPr fontId="25"/>
  </si>
  <si>
    <t>3-4.ネットワーク帯域</t>
    <rPh sb="10" eb="12">
      <t>タイイキ</t>
    </rPh>
    <phoneticPr fontId="2"/>
  </si>
  <si>
    <t>算出における各種数値は、要件定義書「品質要件一覧（05-01）」-「1-2. トラフィック」から引用。</t>
    <rPh sb="8" eb="10">
      <t>スウチ</t>
    </rPh>
    <rPh sb="48" eb="50">
      <t>インヨウ</t>
    </rPh>
    <phoneticPr fontId="25"/>
  </si>
  <si>
    <t>通信先トラフィック</t>
    <rPh sb="0" eb="2">
      <t>ツウシン</t>
    </rPh>
    <rPh sb="2" eb="3">
      <t>サキ</t>
    </rPh>
    <phoneticPr fontId="25"/>
  </si>
  <si>
    <t>ポート数</t>
    <rPh sb="3" eb="4">
      <t>スウ</t>
    </rPh>
    <phoneticPr fontId="25"/>
  </si>
  <si>
    <t>1通話当たり</t>
    <phoneticPr fontId="25"/>
  </si>
  <si>
    <t>必要帯域</t>
    <phoneticPr fontId="25"/>
  </si>
  <si>
    <t>トラフィック</t>
    <phoneticPr fontId="25"/>
  </si>
  <si>
    <t>PBX制御音声セグメント</t>
    <phoneticPr fontId="25"/>
  </si>
  <si>
    <t>ポート</t>
    <phoneticPr fontId="25"/>
  </si>
  <si>
    <t>kbps</t>
    <phoneticPr fontId="25"/>
  </si>
  <si>
    <t>Mbps</t>
    <phoneticPr fontId="25"/>
  </si>
  <si>
    <t>G.729コーデック利用</t>
    <rPh sb="10" eb="12">
      <t>リヨウ</t>
    </rPh>
    <phoneticPr fontId="25"/>
  </si>
  <si>
    <t>Mbps</t>
    <phoneticPr fontId="25"/>
  </si>
  <si>
    <t>小計</t>
    <rPh sb="0" eb="2">
      <t>ショウケイ</t>
    </rPh>
    <phoneticPr fontId="25"/>
  </si>
  <si>
    <t>Mbps</t>
    <phoneticPr fontId="25"/>
  </si>
  <si>
    <t>データセグメント</t>
    <phoneticPr fontId="25"/>
  </si>
  <si>
    <t>ポート</t>
    <phoneticPr fontId="25"/>
  </si>
  <si>
    <t>Mbps</t>
    <phoneticPr fontId="25"/>
  </si>
  <si>
    <t>EPM/MPP</t>
    <phoneticPr fontId="25"/>
  </si>
  <si>
    <t>G450　音声データ</t>
    <rPh sb="5" eb="7">
      <t>オンセイ</t>
    </rPh>
    <phoneticPr fontId="25"/>
  </si>
  <si>
    <t>WAS　VXMLデータ</t>
    <phoneticPr fontId="25"/>
  </si>
  <si>
    <t>開発環境であり、最大受付呼数を10として設計を行うため、拡張性は考慮しない。</t>
    <phoneticPr fontId="25"/>
  </si>
  <si>
    <t>SMCC開発環境要件をもとに、全ポート接続時の必要帯域を以下に示す。</t>
    <rPh sb="4" eb="6">
      <t>カイハツ</t>
    </rPh>
    <rPh sb="6" eb="8">
      <t>カンキョウ</t>
    </rPh>
    <rPh sb="8" eb="10">
      <t>ヨウケン</t>
    </rPh>
    <rPh sb="15" eb="16">
      <t>ゼン</t>
    </rPh>
    <rPh sb="19" eb="21">
      <t>セツゾク</t>
    </rPh>
    <rPh sb="21" eb="22">
      <t>ジ</t>
    </rPh>
    <rPh sb="23" eb="25">
      <t>ヒツヨウ</t>
    </rPh>
    <rPh sb="25" eb="27">
      <t>タイイキ</t>
    </rPh>
    <rPh sb="28" eb="30">
      <t>イカ</t>
    </rPh>
    <rPh sb="31" eb="32">
      <t>シメ</t>
    </rPh>
    <phoneticPr fontId="25"/>
  </si>
  <si>
    <t>ただし開発環境利用WANは、音声とデータ共用WANとなり、音声系、データ系の区別なく、周辺システムと接続する。</t>
    <rPh sb="3" eb="5">
      <t>カイハツ</t>
    </rPh>
    <rPh sb="5" eb="7">
      <t>カンキョウ</t>
    </rPh>
    <rPh sb="7" eb="9">
      <t>リヨウ</t>
    </rPh>
    <rPh sb="14" eb="16">
      <t>オンセイ</t>
    </rPh>
    <rPh sb="20" eb="22">
      <t>キョウヨウ</t>
    </rPh>
    <rPh sb="29" eb="32">
      <t>オンセイケイ</t>
    </rPh>
    <rPh sb="36" eb="37">
      <t>ケイ</t>
    </rPh>
    <rPh sb="38" eb="40">
      <t>クベツ</t>
    </rPh>
    <rPh sb="43" eb="45">
      <t>シュウヘン</t>
    </rPh>
    <rPh sb="50" eb="52">
      <t>セツゾク</t>
    </rPh>
    <phoneticPr fontId="25"/>
  </si>
  <si>
    <t>3-4.ネットワーク帯域</t>
    <phoneticPr fontId="25"/>
  </si>
  <si>
    <t>3-5.名前解決</t>
    <phoneticPr fontId="25"/>
  </si>
  <si>
    <t>3-6.時刻同期</t>
    <phoneticPr fontId="25"/>
  </si>
  <si>
    <t>3-7.命名規則・採番ルール</t>
    <phoneticPr fontId="25"/>
  </si>
  <si>
    <t>3-7-1.ホスト名命名規則</t>
    <phoneticPr fontId="25"/>
  </si>
  <si>
    <t>3-7-2.IPアドレス付与規則</t>
    <phoneticPr fontId="25"/>
  </si>
  <si>
    <t>3-8.ネットワーク情報一覧</t>
    <phoneticPr fontId="25"/>
  </si>
  <si>
    <t>CPU予約値はAvaya社のOVA要件に従い「9500 MHz」とする。</t>
    <phoneticPr fontId="25"/>
  </si>
  <si>
    <t>1コアあたりのCPUクロックスピードは、Windows共通基盤で固定。</t>
    <phoneticPr fontId="25"/>
  </si>
  <si>
    <t>1Gbps以上</t>
    <rPh sb="5" eb="7">
      <t>イジョウ</t>
    </rPh>
    <phoneticPr fontId="2"/>
  </si>
  <si>
    <t>OVA（Open Virtual Appliance）形式で提供されるAAEPソフトウェアのリソース要件から。</t>
    <phoneticPr fontId="25"/>
  </si>
  <si>
    <t>OVA（Open Virtual Appliance）形式で提供されるAAEPソフトウェアのリソース要件から。</t>
    <phoneticPr fontId="25"/>
  </si>
  <si>
    <t>OVA（Open Virtual Appliance）形式で提供されるAAEPソフトウェアのリソース要件から。</t>
    <phoneticPr fontId="25"/>
  </si>
  <si>
    <t>現行同様10ポートとする。</t>
    <phoneticPr fontId="25"/>
  </si>
  <si>
    <t>現行同様、EPM/MPPを1OS、1論理サーバに収容する。</t>
    <phoneticPr fontId="25"/>
  </si>
  <si>
    <t>WAS→AESのTSAPI通信用ポートは3（ACD2・・3）</t>
    <phoneticPr fontId="25"/>
  </si>
  <si>
    <t>現行同様シングル構成とする。</t>
    <phoneticPr fontId="25"/>
  </si>
  <si>
    <t>現行同様HAクラスタ構成とする。</t>
    <phoneticPr fontId="25"/>
  </si>
  <si>
    <t>自動音声応答サービスの提供には影響がないため、シングル構成とする。</t>
    <phoneticPr fontId="25"/>
  </si>
  <si>
    <t>左記サーバは8コア構成のため32GB搭載。</t>
  </si>
  <si>
    <t>上記にて算出した容量で予約する。</t>
    <rPh sb="0" eb="2">
      <t>ジョウキ</t>
    </rPh>
    <rPh sb="4" eb="6">
      <t>サンシュツ</t>
    </rPh>
    <rPh sb="8" eb="10">
      <t>ヨウリョウ</t>
    </rPh>
    <rPh sb="11" eb="13">
      <t>ヨヤク</t>
    </rPh>
    <phoneticPr fontId="25"/>
  </si>
  <si>
    <t>RSCクライアント</t>
    <phoneticPr fontId="25"/>
  </si>
  <si>
    <t>HULFT for Linux</t>
    <phoneticPr fontId="25"/>
  </si>
  <si>
    <t>DBサーバ稼働系（#1）のみ導入する。</t>
    <phoneticPr fontId="25"/>
  </si>
  <si>
    <t>Avayaのベストプラクティス「4GB」で予約する。</t>
  </si>
  <si>
    <t>IVR DBハートビート</t>
  </si>
  <si>
    <t>(2)対象ログ</t>
    <rPh sb="3" eb="5">
      <t>タイショウ</t>
    </rPh>
    <phoneticPr fontId="25"/>
  </si>
  <si>
    <t>(2)業務データリストア</t>
    <rPh sb="3" eb="5">
      <t>ギョウム</t>
    </rPh>
    <phoneticPr fontId="25"/>
  </si>
  <si>
    <t>〇</t>
    <phoneticPr fontId="25"/>
  </si>
  <si>
    <t>1-2.システム導入の目的</t>
    <phoneticPr fontId="25"/>
  </si>
  <si>
    <t>1-3.システム全体構成</t>
    <phoneticPr fontId="25"/>
  </si>
  <si>
    <t>1-4.各サーバの役割</t>
    <phoneticPr fontId="25"/>
  </si>
  <si>
    <t>1-5.設計対象範囲</t>
    <rPh sb="4" eb="6">
      <t>セッケイ</t>
    </rPh>
    <rPh sb="6" eb="8">
      <t>タイショウ</t>
    </rPh>
    <rPh sb="8" eb="10">
      <t>ハンイ</t>
    </rPh>
    <phoneticPr fontId="25"/>
  </si>
  <si>
    <t>1-3.システム全体構成</t>
    <rPh sb="8" eb="10">
      <t>ゼンタイ</t>
    </rPh>
    <rPh sb="10" eb="12">
      <t>コウセイ</t>
    </rPh>
    <phoneticPr fontId="2"/>
  </si>
  <si>
    <t>1-4.各サーバの役割</t>
    <rPh sb="4" eb="5">
      <t>カク</t>
    </rPh>
    <rPh sb="9" eb="11">
      <t>ヤクワリ</t>
    </rPh>
    <phoneticPr fontId="2"/>
  </si>
  <si>
    <t>1-5.設計対象範囲</t>
    <rPh sb="4" eb="6">
      <t>セッケイ</t>
    </rPh>
    <rPh sb="6" eb="8">
      <t>タイショウ</t>
    </rPh>
    <rPh sb="8" eb="10">
      <t>ハンイ</t>
    </rPh>
    <phoneticPr fontId="2"/>
  </si>
  <si>
    <t>IVR基盤における当社設計範囲および本ドキュメントにおける設計範囲を下表および下図に示す。</t>
    <rPh sb="18" eb="19">
      <t>ホン</t>
    </rPh>
    <rPh sb="34" eb="36">
      <t>カヒョウ</t>
    </rPh>
    <rPh sb="39" eb="41">
      <t>カズ</t>
    </rPh>
    <phoneticPr fontId="25"/>
  </si>
  <si>
    <t>2.HWSW構成</t>
    <rPh sb="6" eb="8">
      <t>コウセイ</t>
    </rPh>
    <phoneticPr fontId="2"/>
  </si>
  <si>
    <t>2-1.HW構成</t>
    <rPh sb="6" eb="8">
      <t>コウセイ</t>
    </rPh>
    <phoneticPr fontId="2"/>
  </si>
  <si>
    <t>2-2.SW構成</t>
    <rPh sb="6" eb="8">
      <t>コウセイ</t>
    </rPh>
    <phoneticPr fontId="2"/>
  </si>
  <si>
    <t>3.NW構成</t>
    <rPh sb="4" eb="6">
      <t>コウセイ</t>
    </rPh>
    <phoneticPr fontId="2"/>
  </si>
  <si>
    <r>
      <t>3-1.NWセグメント</t>
    </r>
    <r>
      <rPr>
        <sz val="10"/>
        <rFont val="ＭＳ Ｐゴシック"/>
        <family val="3"/>
        <charset val="128"/>
      </rPr>
      <t>構成</t>
    </r>
    <rPh sb="11" eb="13">
      <t>コウセイ</t>
    </rPh>
    <phoneticPr fontId="2"/>
  </si>
  <si>
    <r>
      <t>Windows</t>
    </r>
    <r>
      <rPr>
        <sz val="10"/>
        <rFont val="ＭＳ Ｐゴシック"/>
        <family val="3"/>
        <charset val="128"/>
        <scheme val="minor"/>
      </rPr>
      <t>共通基盤</t>
    </r>
    <rPh sb="7" eb="9">
      <t>キョウツウ</t>
    </rPh>
    <rPh sb="9" eb="11">
      <t>キバン</t>
    </rPh>
    <phoneticPr fontId="25"/>
  </si>
  <si>
    <t>接続先</t>
    <rPh sb="0" eb="2">
      <t>セツゾク</t>
    </rPh>
    <rPh sb="2" eb="3">
      <t>サキ</t>
    </rPh>
    <phoneticPr fontId="2"/>
  </si>
  <si>
    <t>WAN(※2)</t>
    <phoneticPr fontId="25"/>
  </si>
  <si>
    <t>・LifeKeeperによるDBサーバの相互生死監視(副)(※3)</t>
    <rPh sb="27" eb="28">
      <t>フク</t>
    </rPh>
    <phoneticPr fontId="25"/>
  </si>
  <si>
    <t>・LifeKeeperによるDBサーバの相互生死監視(正)(※3)</t>
    <rPh sb="20" eb="22">
      <t>ソウゴ</t>
    </rPh>
    <rPh sb="22" eb="24">
      <t>セイシ</t>
    </rPh>
    <rPh sb="24" eb="26">
      <t>カンシ</t>
    </rPh>
    <rPh sb="27" eb="28">
      <t>セイ</t>
    </rPh>
    <phoneticPr fontId="25"/>
  </si>
  <si>
    <t>(※2)本番環境のみWANは音声とデータで物理的に分離。開発環境は音声とデータ共用WANとなる。</t>
    <phoneticPr fontId="25"/>
  </si>
  <si>
    <t>3-2.NWセグメントイメージ図</t>
    <phoneticPr fontId="2"/>
  </si>
  <si>
    <t>開発環境ではセンター・拠点ともにデータ系のみ接続可能。そのためIP拠点電話機もデータ系に接続する。</t>
    <rPh sb="0" eb="2">
      <t>カイハツ</t>
    </rPh>
    <rPh sb="2" eb="4">
      <t>カンキョウ</t>
    </rPh>
    <rPh sb="11" eb="13">
      <t>キョテン</t>
    </rPh>
    <rPh sb="19" eb="20">
      <t>ケイ</t>
    </rPh>
    <rPh sb="22" eb="24">
      <t>セツゾク</t>
    </rPh>
    <rPh sb="24" eb="26">
      <t>カノウ</t>
    </rPh>
    <rPh sb="33" eb="35">
      <t>キョテン</t>
    </rPh>
    <rPh sb="35" eb="38">
      <t>デンワキ</t>
    </rPh>
    <rPh sb="42" eb="43">
      <t>ケイ</t>
    </rPh>
    <rPh sb="44" eb="46">
      <t>セツゾク</t>
    </rPh>
    <phoneticPr fontId="25"/>
  </si>
  <si>
    <t>大和センター仮想機器は、Windows共通基盤SDN装置に音声NWセグメントVLANをアサインすることにより、本番環境と同等のセグメント構成を構築する。</t>
    <rPh sb="0" eb="2">
      <t>ヤマト</t>
    </rPh>
    <rPh sb="6" eb="8">
      <t>カソウ</t>
    </rPh>
    <rPh sb="8" eb="10">
      <t>キキ</t>
    </rPh>
    <rPh sb="19" eb="21">
      <t>キョウツウ</t>
    </rPh>
    <rPh sb="21" eb="23">
      <t>キバン</t>
    </rPh>
    <rPh sb="26" eb="28">
      <t>ソウチ</t>
    </rPh>
    <rPh sb="29" eb="31">
      <t>オンセイ</t>
    </rPh>
    <rPh sb="55" eb="57">
      <t>ホンバン</t>
    </rPh>
    <rPh sb="57" eb="59">
      <t>カンキョウ</t>
    </rPh>
    <rPh sb="60" eb="62">
      <t>ドウトウ</t>
    </rPh>
    <rPh sb="68" eb="70">
      <t>コウセイ</t>
    </rPh>
    <rPh sb="71" eb="73">
      <t>コウチク</t>
    </rPh>
    <phoneticPr fontId="25"/>
  </si>
  <si>
    <t>3-3.セグメント利用一覧</t>
    <rPh sb="9" eb="11">
      <t>リヨウ</t>
    </rPh>
    <rPh sb="11" eb="13">
      <t>イチラン</t>
    </rPh>
    <phoneticPr fontId="2"/>
  </si>
  <si>
    <t>・LifeKeeperによるDBサーバの相互生死監視を行う。(ハートビートNW不通時)</t>
    <phoneticPr fontId="25"/>
  </si>
  <si>
    <t>3-6.時刻同期</t>
    <rPh sb="4" eb="6">
      <t>ジコク</t>
    </rPh>
    <rPh sb="6" eb="8">
      <t>ドウキ</t>
    </rPh>
    <phoneticPr fontId="2"/>
  </si>
  <si>
    <t>3-7.命名規則・採番ルール</t>
    <rPh sb="4" eb="6">
      <t>メイメイ</t>
    </rPh>
    <rPh sb="6" eb="8">
      <t>キソク</t>
    </rPh>
    <rPh sb="9" eb="11">
      <t>サイバン</t>
    </rPh>
    <phoneticPr fontId="2"/>
  </si>
  <si>
    <t>3-8.ネットワーク情報一覧</t>
    <rPh sb="10" eb="12">
      <t>ジョウホウ</t>
    </rPh>
    <rPh sb="12" eb="14">
      <t>イチラン</t>
    </rPh>
    <phoneticPr fontId="2"/>
  </si>
  <si>
    <t>各サーバのホスト名、IPアドレスについて、「別紙-3章-1_ネットワーク情報一覧」にて記述する。</t>
    <rPh sb="0" eb="1">
      <t>カク</t>
    </rPh>
    <rPh sb="8" eb="9">
      <t>メイ</t>
    </rPh>
    <rPh sb="22" eb="24">
      <t>ベッシ</t>
    </rPh>
    <rPh sb="26" eb="27">
      <t>ショウ</t>
    </rPh>
    <rPh sb="36" eb="38">
      <t>ジョウホウ</t>
    </rPh>
    <rPh sb="38" eb="40">
      <t>イチラン</t>
    </rPh>
    <phoneticPr fontId="25"/>
  </si>
  <si>
    <t>4. ミドルウェア設計</t>
    <rPh sb="9" eb="11">
      <t>セッケイ</t>
    </rPh>
    <phoneticPr fontId="2"/>
  </si>
  <si>
    <t>4-1.WebLogic設計</t>
    <rPh sb="12" eb="14">
      <t>セッケイ</t>
    </rPh>
    <phoneticPr fontId="2"/>
  </si>
  <si>
    <t>4-1-1.機能概要</t>
    <rPh sb="6" eb="8">
      <t>キノウ</t>
    </rPh>
    <rPh sb="8" eb="10">
      <t>ガイヨウ</t>
    </rPh>
    <phoneticPr fontId="25"/>
  </si>
  <si>
    <t>4-1-2.設計方針</t>
    <rPh sb="6" eb="8">
      <t>セッケイ</t>
    </rPh>
    <rPh sb="8" eb="10">
      <t>ホウシン</t>
    </rPh>
    <phoneticPr fontId="25"/>
  </si>
  <si>
    <t>・WebLogic Serverのバージョンは、「2-2.SW構成」に従い、"12cR2"とする。</t>
    <rPh sb="35" eb="36">
      <t>シタガ</t>
    </rPh>
    <phoneticPr fontId="25"/>
  </si>
  <si>
    <t>・セッション管理、ヘルスチェックはAvaya製品の仕様に基づいて、MPPサーバで行う。</t>
    <phoneticPr fontId="25"/>
  </si>
  <si>
    <t>4-1-3.構成図</t>
    <rPh sb="6" eb="8">
      <t>コウセイ</t>
    </rPh>
    <rPh sb="8" eb="9">
      <t>ズ</t>
    </rPh>
    <phoneticPr fontId="25"/>
  </si>
  <si>
    <t>4-2.Oracle DB設計</t>
    <rPh sb="13" eb="15">
      <t>セッケイ</t>
    </rPh>
    <phoneticPr fontId="2"/>
  </si>
  <si>
    <t>4-2-1.機能概要</t>
    <rPh sb="6" eb="8">
      <t>キノウ</t>
    </rPh>
    <rPh sb="8" eb="10">
      <t>ガイヨウ</t>
    </rPh>
    <phoneticPr fontId="25"/>
  </si>
  <si>
    <t>4-2-2.設計方針</t>
    <rPh sb="6" eb="8">
      <t>セッケイ</t>
    </rPh>
    <rPh sb="8" eb="10">
      <t>ホウシン</t>
    </rPh>
    <phoneticPr fontId="25"/>
  </si>
  <si>
    <t>・Oracle DBのバージョンは、「2-2.SW構成」に従い、"12cR2"とする。</t>
    <phoneticPr fontId="25"/>
  </si>
  <si>
    <t>・データベース・ファイルは、クラスタ環境でデータベースを稼働するために、共有ディスクに配置する。</t>
    <rPh sb="18" eb="20">
      <t>カンキョウ</t>
    </rPh>
    <rPh sb="28" eb="30">
      <t>カドウ</t>
    </rPh>
    <rPh sb="36" eb="38">
      <t>キョウユウ</t>
    </rPh>
    <rPh sb="43" eb="45">
      <t>ハイチ</t>
    </rPh>
    <phoneticPr fontId="25"/>
  </si>
  <si>
    <t>4-2-3.DB構成</t>
    <rPh sb="8" eb="10">
      <t>コウセイ</t>
    </rPh>
    <phoneticPr fontId="25"/>
  </si>
  <si>
    <t>4-3.HULFT設計</t>
    <rPh sb="9" eb="11">
      <t>セッケイ</t>
    </rPh>
    <phoneticPr fontId="2"/>
  </si>
  <si>
    <t>4-3-1.機能概要</t>
    <rPh sb="6" eb="8">
      <t>キノウ</t>
    </rPh>
    <rPh sb="8" eb="10">
      <t>ガイヨウ</t>
    </rPh>
    <phoneticPr fontId="25"/>
  </si>
  <si>
    <t>4-3-2.設計方針</t>
    <rPh sb="6" eb="8">
      <t>セッケイ</t>
    </rPh>
    <rPh sb="8" eb="10">
      <t>ホウシン</t>
    </rPh>
    <phoneticPr fontId="25"/>
  </si>
  <si>
    <t>・HULFTのバージョンは、「2-2.SW構成」に従い、"v8"とする。</t>
    <phoneticPr fontId="25"/>
  </si>
  <si>
    <t>・セキュリティ基準に従って、外部システムとのデータ送受信時は、HULFT機能（秘密キー方式）による通信経路の暗号化を行う。</t>
    <rPh sb="7" eb="9">
      <t>キジュン</t>
    </rPh>
    <rPh sb="10" eb="11">
      <t>シタガ</t>
    </rPh>
    <rPh sb="14" eb="16">
      <t>ガイブ</t>
    </rPh>
    <rPh sb="25" eb="28">
      <t>ソウジュシン</t>
    </rPh>
    <rPh sb="28" eb="29">
      <t>ジ</t>
    </rPh>
    <rPh sb="39" eb="41">
      <t>ヒミツ</t>
    </rPh>
    <rPh sb="43" eb="45">
      <t>ホウシキ</t>
    </rPh>
    <rPh sb="49" eb="51">
      <t>ツウシン</t>
    </rPh>
    <rPh sb="58" eb="59">
      <t>オコナ</t>
    </rPh>
    <phoneticPr fontId="25"/>
  </si>
  <si>
    <t>4-3-3.接続構成</t>
    <rPh sb="6" eb="8">
      <t>セツゾク</t>
    </rPh>
    <rPh sb="8" eb="10">
      <t>コウセイ</t>
    </rPh>
    <phoneticPr fontId="25"/>
  </si>
  <si>
    <t>4-4.JP1設計</t>
    <rPh sb="7" eb="9">
      <t>セッケイ</t>
    </rPh>
    <phoneticPr fontId="2"/>
  </si>
  <si>
    <t>4-4-1.機能概要</t>
    <rPh sb="6" eb="8">
      <t>キノウ</t>
    </rPh>
    <rPh sb="8" eb="10">
      <t>ガイヨウ</t>
    </rPh>
    <phoneticPr fontId="25"/>
  </si>
  <si>
    <t>4-4-2.設計方針</t>
    <rPh sb="6" eb="8">
      <t>セッケイ</t>
    </rPh>
    <rPh sb="8" eb="10">
      <t>ホウシン</t>
    </rPh>
    <phoneticPr fontId="25"/>
  </si>
  <si>
    <t>・JP1のバージョンは、「2-2.SW構成」に従い、"11.5"とする。</t>
    <phoneticPr fontId="25"/>
  </si>
  <si>
    <t>4-4-3.ジョブ管理構成</t>
    <rPh sb="9" eb="11">
      <t>カンリ</t>
    </rPh>
    <rPh sb="11" eb="13">
      <t>コウセイ</t>
    </rPh>
    <phoneticPr fontId="25"/>
  </si>
  <si>
    <t>4-4-4.ジョブグループ構成</t>
    <rPh sb="13" eb="15">
      <t>コウセイ</t>
    </rPh>
    <phoneticPr fontId="25"/>
  </si>
  <si>
    <t>ジョブグループ構成については、「別紙-4章-1_ジョブグループ構成」を参照。</t>
    <rPh sb="7" eb="9">
      <t>コウセイ</t>
    </rPh>
    <rPh sb="16" eb="18">
      <t>ベッシ</t>
    </rPh>
    <rPh sb="20" eb="21">
      <t>ショウ</t>
    </rPh>
    <rPh sb="31" eb="33">
      <t>コウセイ</t>
    </rPh>
    <rPh sb="35" eb="37">
      <t>サンショウ</t>
    </rPh>
    <phoneticPr fontId="25"/>
  </si>
  <si>
    <t>4-4-5.ジョブ定義命名規則</t>
    <rPh sb="9" eb="11">
      <t>テイギ</t>
    </rPh>
    <rPh sb="11" eb="13">
      <t>メイメイ</t>
    </rPh>
    <rPh sb="13" eb="15">
      <t>キソク</t>
    </rPh>
    <phoneticPr fontId="25"/>
  </si>
  <si>
    <t>ジョブ定義命名規則については、「別紙-4章-2_ジョブ定義命名規則」を参照。</t>
    <rPh sb="3" eb="5">
      <t>テイギ</t>
    </rPh>
    <rPh sb="5" eb="7">
      <t>メイメイ</t>
    </rPh>
    <rPh sb="7" eb="9">
      <t>キソク</t>
    </rPh>
    <rPh sb="16" eb="18">
      <t>ベッシ</t>
    </rPh>
    <rPh sb="20" eb="21">
      <t>ショウ</t>
    </rPh>
    <rPh sb="27" eb="29">
      <t>テイギ</t>
    </rPh>
    <rPh sb="29" eb="31">
      <t>メイメイ</t>
    </rPh>
    <rPh sb="31" eb="33">
      <t>キソク</t>
    </rPh>
    <rPh sb="35" eb="37">
      <t>サンショウ</t>
    </rPh>
    <phoneticPr fontId="25"/>
  </si>
  <si>
    <t>4-5.LifeKeeper設計</t>
    <rPh sb="14" eb="16">
      <t>セッケイ</t>
    </rPh>
    <phoneticPr fontId="2"/>
  </si>
  <si>
    <t>4-5-1.機能概要</t>
    <rPh sb="6" eb="8">
      <t>キノウ</t>
    </rPh>
    <rPh sb="8" eb="10">
      <t>ガイヨウ</t>
    </rPh>
    <phoneticPr fontId="25"/>
  </si>
  <si>
    <t>4-5-2.設計方針</t>
    <rPh sb="6" eb="8">
      <t>セッケイ</t>
    </rPh>
    <rPh sb="8" eb="10">
      <t>ホウシン</t>
    </rPh>
    <phoneticPr fontId="25"/>
  </si>
  <si>
    <t>・LifeKeeperのバージョンは、「2-2.SW構成」に従い、"v9"とする。</t>
    <phoneticPr fontId="25"/>
  </si>
  <si>
    <t>4-5-3.LifeKeeper構成</t>
    <rPh sb="16" eb="18">
      <t>コウセイ</t>
    </rPh>
    <phoneticPr fontId="25"/>
  </si>
  <si>
    <t>5. ログ管理</t>
    <rPh sb="5" eb="7">
      <t>カンリ</t>
    </rPh>
    <phoneticPr fontId="2"/>
  </si>
  <si>
    <t>5-1.ログ管理方針</t>
    <rPh sb="6" eb="8">
      <t>カンリ</t>
    </rPh>
    <rPh sb="8" eb="10">
      <t>ホウシン</t>
    </rPh>
    <phoneticPr fontId="2"/>
  </si>
  <si>
    <t>5-1-1.方針</t>
    <rPh sb="6" eb="8">
      <t>ホウシン</t>
    </rPh>
    <phoneticPr fontId="25"/>
  </si>
  <si>
    <t>5-1-2.ログ種別</t>
    <rPh sb="8" eb="10">
      <t>シュベツ</t>
    </rPh>
    <phoneticPr fontId="25"/>
  </si>
  <si>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</si>
  <si>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</si>
  <si>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</si>
  <si>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6-1.バックアップ概要</t>
    <rPh sb="10" eb="12">
      <t>ガイヨウ</t>
    </rPh>
    <phoneticPr fontId="2"/>
  </si>
  <si>
    <t>6-2.バックアップ/リストア方針</t>
    <rPh sb="15" eb="17">
      <t>ホウシン</t>
    </rPh>
    <phoneticPr fontId="2"/>
  </si>
  <si>
    <t>6-3.バックアップ/リストア方式</t>
    <rPh sb="15" eb="17">
      <t>ホウシキ</t>
    </rPh>
    <phoneticPr fontId="2"/>
  </si>
  <si>
    <t>6-3-1.システムバックアップ/リストア方式</t>
    <phoneticPr fontId="25"/>
  </si>
  <si>
    <t>6-3-2.DBデータバックアップ/リストア方式</t>
    <rPh sb="22" eb="24">
      <t>ホウシキ</t>
    </rPh>
    <phoneticPr fontId="25"/>
  </si>
  <si>
    <t>6-3-3.業務データバックアップ/リストア方式</t>
    <rPh sb="6" eb="8">
      <t>ギョウム</t>
    </rPh>
    <rPh sb="22" eb="24">
      <t>ホウシキ</t>
    </rPh>
    <phoneticPr fontId="25"/>
  </si>
  <si>
    <t>6-4.バックアップ対象一覧</t>
    <rPh sb="10" eb="12">
      <t>タイショウ</t>
    </rPh>
    <rPh sb="12" eb="14">
      <t>イチラン</t>
    </rPh>
    <phoneticPr fontId="2"/>
  </si>
  <si>
    <t>7.セキュリティ設計</t>
    <rPh sb="8" eb="10">
      <t>セッケイ</t>
    </rPh>
    <phoneticPr fontId="2"/>
  </si>
  <si>
    <t>7-1.暗号化</t>
    <rPh sb="4" eb="7">
      <t>アンゴウカ</t>
    </rPh>
    <phoneticPr fontId="2"/>
  </si>
  <si>
    <t>WASからチャネル統合基盤への電文連携通信はhttpsに変更となるため、WASサーバにチャネル統合APサーバのルート証明書をインストールする。</t>
    <rPh sb="15" eb="17">
      <t>デンブン</t>
    </rPh>
    <rPh sb="17" eb="19">
      <t>レンケイ</t>
    </rPh>
    <rPh sb="19" eb="21">
      <t>ツウシン</t>
    </rPh>
    <rPh sb="28" eb="30">
      <t>ヘンコウ</t>
    </rPh>
    <phoneticPr fontId="25"/>
  </si>
  <si>
    <t>7-2.アクセスコントロール</t>
    <phoneticPr fontId="2"/>
  </si>
  <si>
    <t>7-3.監査</t>
    <rPh sb="4" eb="6">
      <t>カンサ</t>
    </rPh>
    <phoneticPr fontId="2"/>
  </si>
  <si>
    <t>パターンファイルは、ePolicyマネージャのポリシーに従い、月1回以上の頻度でePolicyマネージャからePolicyエージェントへ配布・自動更新を行う。
また、緊急時にも都度更新を行う。</t>
    <rPh sb="28" eb="29">
      <t>シタガ</t>
    </rPh>
    <rPh sb="31" eb="32">
      <t>ツキ</t>
    </rPh>
    <rPh sb="33" eb="34">
      <t>カイ</t>
    </rPh>
    <rPh sb="34" eb="36">
      <t>イジョウ</t>
    </rPh>
    <rPh sb="37" eb="39">
      <t>ヒンド</t>
    </rPh>
    <rPh sb="68" eb="70">
      <t>ハイフ</t>
    </rPh>
    <rPh sb="71" eb="73">
      <t>ジドウ</t>
    </rPh>
    <rPh sb="73" eb="75">
      <t>コウシン</t>
    </rPh>
    <rPh sb="76" eb="77">
      <t>オコナ</t>
    </rPh>
    <rPh sb="83" eb="86">
      <t>キンキュウジ</t>
    </rPh>
    <rPh sb="88" eb="90">
      <t>ツド</t>
    </rPh>
    <rPh sb="90" eb="92">
      <t>コウシン</t>
    </rPh>
    <rPh sb="93" eb="94">
      <t>オコナ</t>
    </rPh>
    <phoneticPr fontId="25"/>
  </si>
  <si>
    <t>セキュリティパッチは、原則、導入時・構築時点でリリースされている最新のものを適用する。</t>
    <rPh sb="11" eb="13">
      <t>ゲンソク</t>
    </rPh>
    <rPh sb="14" eb="16">
      <t>ドウニュウ</t>
    </rPh>
    <rPh sb="16" eb="17">
      <t>ジ</t>
    </rPh>
    <rPh sb="18" eb="20">
      <t>コウチク</t>
    </rPh>
    <rPh sb="20" eb="22">
      <t>ジテン</t>
    </rPh>
    <rPh sb="32" eb="34">
      <t>サイシン</t>
    </rPh>
    <rPh sb="38" eb="40">
      <t>テキヨウ</t>
    </rPh>
    <phoneticPr fontId="3"/>
  </si>
  <si>
    <t>7-8.ネットワークフィルタリング</t>
    <phoneticPr fontId="2"/>
  </si>
  <si>
    <t>8.拡張性設計</t>
    <rPh sb="2" eb="5">
      <t>カクチョウセイ</t>
    </rPh>
    <rPh sb="5" eb="7">
      <t>セッケイ</t>
    </rPh>
    <phoneticPr fontId="2"/>
  </si>
  <si>
    <t>8-1.拡張性設計方針</t>
    <rPh sb="4" eb="7">
      <t>カクチョウセイ</t>
    </rPh>
    <rPh sb="7" eb="9">
      <t>セッケイ</t>
    </rPh>
    <rPh sb="9" eb="11">
      <t>ホウシン</t>
    </rPh>
    <phoneticPr fontId="2"/>
  </si>
  <si>
    <t>8-2.拡張方式</t>
    <rPh sb="4" eb="6">
      <t>カクチョウ</t>
    </rPh>
    <rPh sb="6" eb="8">
      <t>ホウシキ</t>
    </rPh>
    <phoneticPr fontId="2"/>
  </si>
  <si>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</si>
  <si>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</si>
  <si>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</si>
  <si>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5"/>
  </si>
  <si>
    <t>障害対策要件</t>
    <rPh sb="0" eb="2">
      <t>ショウガイ</t>
    </rPh>
    <rPh sb="2" eb="4">
      <t>タイサク</t>
    </rPh>
    <rPh sb="4" eb="6">
      <t>ヨウケン</t>
    </rPh>
    <phoneticPr fontId="25"/>
  </si>
  <si>
    <t>選定理由</t>
    <rPh sb="0" eb="2">
      <t>センテイ</t>
    </rPh>
    <rPh sb="2" eb="4">
      <t>リユウ</t>
    </rPh>
    <phoneticPr fontId="25"/>
  </si>
  <si>
    <t>Avaya EP （Aura Experience Portal）</t>
    <phoneticPr fontId="25"/>
  </si>
  <si>
    <t>　- EPM （Experience Portal Manger）</t>
    <phoneticPr fontId="25"/>
  </si>
  <si>
    <t>Avaya EP （Aura Experience Portal）</t>
    <phoneticPr fontId="25"/>
  </si>
  <si>
    <t>　- MPP （Media Processing Platform）</t>
    <phoneticPr fontId="25"/>
  </si>
  <si>
    <t>1(※)</t>
    <phoneticPr fontId="25"/>
  </si>
  <si>
    <t>(※)DBサーバ稼働系（#1）のみ導入する。</t>
    <phoneticPr fontId="25"/>
  </si>
  <si>
    <t>システム移行前、移行後にIVR音声フローの試験やAEPの正常動作確認を実施するため導入する。</t>
    <phoneticPr fontId="25"/>
  </si>
  <si>
    <t>バックアップ・リストア方式</t>
    <rPh sb="11" eb="13">
      <t>ホウシキ</t>
    </rPh>
    <phoneticPr fontId="25"/>
  </si>
  <si>
    <t>Arcserve</t>
    <phoneticPr fontId="25"/>
  </si>
  <si>
    <t>遠隔地保管</t>
    <rPh sb="0" eb="3">
      <t>エンカクチ</t>
    </rPh>
    <rPh sb="3" eb="5">
      <t>ホカン</t>
    </rPh>
    <phoneticPr fontId="25"/>
  </si>
  <si>
    <t>-</t>
    <phoneticPr fontId="25"/>
  </si>
  <si>
    <t>-</t>
    <phoneticPr fontId="25"/>
  </si>
  <si>
    <t>dump/restore</t>
    <phoneticPr fontId="25"/>
  </si>
  <si>
    <t>WindowsServerバックアップ</t>
    <phoneticPr fontId="25"/>
  </si>
  <si>
    <t>RMAN</t>
    <phoneticPr fontId="25"/>
  </si>
  <si>
    <t>タイミング</t>
  </si>
  <si>
    <t>取得</t>
    <rPh sb="0" eb="2">
      <t>シュトク</t>
    </rPh>
    <phoneticPr fontId="25"/>
  </si>
  <si>
    <t>世代</t>
    <phoneticPr fontId="25"/>
  </si>
  <si>
    <t>保管</t>
    <rPh sb="0" eb="2">
      <t>ホカン</t>
    </rPh>
    <phoneticPr fontId="25"/>
  </si>
  <si>
    <t>JP1/AJS3は、業務を自動化・効率化し、コスト削減と高信頼な業務システムを実現する製品である。</t>
    <phoneticPr fontId="25"/>
  </si>
  <si>
    <t>開発環境は当システムの開発用途で利用する環境であるため、本番環境と同様のプロダクト（バージョン）を導入する。</t>
    <rPh sb="11" eb="13">
      <t>カイハツ</t>
    </rPh>
    <phoneticPr fontId="25"/>
  </si>
  <si>
    <t>開発環境は当システムの開発用途で利用する環境であるため、本番環境と同様のプロダクト（バージョン）を導入する。</t>
    <phoneticPr fontId="25"/>
  </si>
  <si>
    <t>（※1）HULFTはDBサーバ稼働系（#1）のみ導入する。</t>
    <phoneticPr fontId="25"/>
  </si>
  <si>
    <t>6.バックアップ・リストア処理方式設計</t>
    <phoneticPr fontId="25"/>
  </si>
  <si>
    <t>6. バックアップ・リストア処理方式設計</t>
    <rPh sb="14" eb="16">
      <t>ショリ</t>
    </rPh>
    <rPh sb="16" eb="18">
      <t>ホウシキ</t>
    </rPh>
    <rPh sb="18" eb="20">
      <t>セッケイ</t>
    </rPh>
    <phoneticPr fontId="2"/>
  </si>
  <si>
    <t>【1.0版】</t>
    <phoneticPr fontId="2"/>
  </si>
  <si>
    <t>①システム領域:90GB （a+bを切り上げ）</t>
    <phoneticPr fontId="25"/>
  </si>
  <si>
    <t>②データ領域:120GB</t>
    <phoneticPr fontId="25"/>
  </si>
  <si>
    <t>本システムは開発環境であり、IVR基盤の動作確認環境としてテストに使用するため、その目的を果たすために必要な最低限の信頼性を確保する方針とする。</t>
    <rPh sb="0" eb="1">
      <t>ホン</t>
    </rPh>
    <rPh sb="17" eb="19">
      <t>キバン</t>
    </rPh>
    <rPh sb="42" eb="44">
      <t>モクテキ</t>
    </rPh>
    <rPh sb="45" eb="46">
      <t>ハ</t>
    </rPh>
    <rPh sb="51" eb="53">
      <t>ヒツヨウ</t>
    </rPh>
    <rPh sb="54" eb="57">
      <t>サイテイゲン</t>
    </rPh>
    <rPh sb="58" eb="61">
      <t>シンライセイ</t>
    </rPh>
    <rPh sb="62" eb="64">
      <t>カクホ</t>
    </rPh>
    <rPh sb="66" eb="68">
      <t>ホウシン</t>
    </rPh>
    <phoneticPr fontId="25"/>
  </si>
  <si>
    <t>開発環境であり、動作確認環境としてテストに使用するため、その目的を果たすために必要な最低限の信頼性を確保する。</t>
    <rPh sb="33" eb="34">
      <t>ハ</t>
    </rPh>
    <rPh sb="50" eb="52">
      <t>カクホ</t>
    </rPh>
    <phoneticPr fontId="25"/>
  </si>
  <si>
    <t>3-4.名前解決</t>
    <rPh sb="4" eb="6">
      <t>ナマエ</t>
    </rPh>
    <rPh sb="6" eb="8">
      <t>カイケツ</t>
    </rPh>
    <phoneticPr fontId="2"/>
  </si>
  <si>
    <t>(1)ホスト名命名規則</t>
    <rPh sb="6" eb="7">
      <t>メイ</t>
    </rPh>
    <rPh sb="7" eb="9">
      <t>メイメイ</t>
    </rPh>
    <rPh sb="9" eb="11">
      <t>キソク</t>
    </rPh>
    <phoneticPr fontId="2"/>
  </si>
  <si>
    <t>(2)IPアドレス付与規則</t>
    <rPh sb="9" eb="11">
      <t>フヨ</t>
    </rPh>
    <rPh sb="11" eb="13">
      <t>キソク</t>
    </rPh>
    <phoneticPr fontId="2"/>
  </si>
  <si>
    <t>・ePolicyマネージャとの通信</t>
    <rPh sb="15" eb="17">
      <t>ツウシン</t>
    </rPh>
    <phoneticPr fontId="25"/>
  </si>
  <si>
    <t>LifeKeeper</t>
    <phoneticPr fontId="25"/>
  </si>
  <si>
    <t>lkkanri</t>
    <phoneticPr fontId="25"/>
  </si>
  <si>
    <t>LifeKeeper管理用ユーザ</t>
    <rPh sb="10" eb="12">
      <t>カンリ</t>
    </rPh>
    <rPh sb="12" eb="13">
      <t>ヨウ</t>
    </rPh>
    <phoneticPr fontId="25"/>
  </si>
  <si>
    <t>〇</t>
    <phoneticPr fontId="25"/>
  </si>
  <si>
    <t>〇</t>
    <phoneticPr fontId="25"/>
  </si>
  <si>
    <t>×</t>
    <phoneticPr fontId="25"/>
  </si>
  <si>
    <t>×</t>
    <phoneticPr fontId="25"/>
  </si>
  <si>
    <t>JP1</t>
    <phoneticPr fontId="25"/>
  </si>
  <si>
    <t>jp1ajs</t>
    <phoneticPr fontId="25"/>
  </si>
  <si>
    <t>JP1管理用ユーザ</t>
    <rPh sb="3" eb="5">
      <t>カンリ</t>
    </rPh>
    <rPh sb="5" eb="6">
      <t>ヨウ</t>
    </rPh>
    <phoneticPr fontId="25"/>
  </si>
  <si>
    <t>〇</t>
    <phoneticPr fontId="25"/>
  </si>
  <si>
    <t>ミドルウェア管理用のOSユーザについて、権限毎の説明を以下に記載する。</t>
    <rPh sb="6" eb="8">
      <t>カンリ</t>
    </rPh>
    <rPh sb="8" eb="9">
      <t>ヨウ</t>
    </rPh>
    <rPh sb="20" eb="22">
      <t>ケンゲン</t>
    </rPh>
    <rPh sb="22" eb="23">
      <t>ゴト</t>
    </rPh>
    <rPh sb="24" eb="26">
      <t>セツメイ</t>
    </rPh>
    <phoneticPr fontId="25"/>
  </si>
  <si>
    <t xml:space="preserve">算出式：1世代あたりの想定データサイズ × (保管世代 + 1)  </t>
    <phoneticPr fontId="25"/>
  </si>
  <si>
    <t>新規バックアップデータのコピーが完了した上で旧世代を消去するため、保管世代 + 1としている。</t>
    <phoneticPr fontId="25"/>
  </si>
  <si>
    <t>なお、取得したバックアップデータの遠隔地保管は開発環境では実施しない。</t>
    <phoneticPr fontId="25"/>
  </si>
  <si>
    <t>バックアップは、CTI基盤所管のBackup/Syslogサーバに接続された統合バックアップ領域に取得する。</t>
    <rPh sb="11" eb="13">
      <t>キバン</t>
    </rPh>
    <rPh sb="13" eb="15">
      <t>ショカン</t>
    </rPh>
    <rPh sb="33" eb="35">
      <t>セツゾク</t>
    </rPh>
    <rPh sb="38" eb="40">
      <t>トウゴウ</t>
    </rPh>
    <rPh sb="46" eb="48">
      <t>リョウイキ</t>
    </rPh>
    <rPh sb="49" eb="51">
      <t>シュトク</t>
    </rPh>
    <phoneticPr fontId="25"/>
  </si>
  <si>
    <t>システムバックアップは、システム変更作業の前後で取得することを想定しているため、原則2世代保管とする。</t>
    <rPh sb="16" eb="18">
      <t>ヘンコウ</t>
    </rPh>
    <rPh sb="18" eb="20">
      <t>サギョウ</t>
    </rPh>
    <rPh sb="21" eb="23">
      <t>ゼンゴ</t>
    </rPh>
    <rPh sb="24" eb="26">
      <t>シュトク</t>
    </rPh>
    <rPh sb="31" eb="33">
      <t>ソウテイ</t>
    </rPh>
    <rPh sb="40" eb="42">
      <t>ゲンソク</t>
    </rPh>
    <rPh sb="43" eb="45">
      <t>セダイ</t>
    </rPh>
    <rPh sb="45" eb="47">
      <t>ホカン</t>
    </rPh>
    <phoneticPr fontId="25"/>
  </si>
  <si>
    <t>データバックアップは、要件定義書の「データ要件一覧（03-02）」に従い、2世代保管する。</t>
    <rPh sb="11" eb="13">
      <t>ヨウケン</t>
    </rPh>
    <rPh sb="13" eb="16">
      <t>テイギショ</t>
    </rPh>
    <rPh sb="34" eb="35">
      <t>シタガ</t>
    </rPh>
    <rPh sb="38" eb="40">
      <t>セダイ</t>
    </rPh>
    <rPh sb="40" eb="42">
      <t>ホカン</t>
    </rPh>
    <phoneticPr fontId="25"/>
  </si>
  <si>
    <t>　　b.Win共の要件:メモリスワップサイズ⇒メモリ容量 = 32GB</t>
    <phoneticPr fontId="25"/>
  </si>
  <si>
    <t>　　　　　　　　　　スナップショット保存域⇒システム領域の10% = 5GB</t>
    <phoneticPr fontId="25"/>
  </si>
  <si>
    <t>　　メモリダンプ領域(32GB)＋JP1＋Hammer</t>
    <phoneticPr fontId="25"/>
  </si>
  <si>
    <t>なお、ユーザIDのネーミングはCTI基盤と同一とする。</t>
    <rPh sb="18" eb="20">
      <t>キバン</t>
    </rPh>
    <rPh sb="21" eb="23">
      <t>ドウイツ</t>
    </rPh>
    <phoneticPr fontId="25"/>
  </si>
  <si>
    <t>JRI多度</t>
    <rPh sb="3" eb="5">
      <t>タド</t>
    </rPh>
    <phoneticPr fontId="25"/>
  </si>
  <si>
    <t>NTPサーバのIPアドレスを修正</t>
    <rPh sb="14" eb="16">
      <t>シュウセイ</t>
    </rPh>
    <phoneticPr fontId="25"/>
  </si>
  <si>
    <t>3-6.時刻同期</t>
    <rPh sb="4" eb="6">
      <t>ジコク</t>
    </rPh>
    <rPh sb="6" eb="8">
      <t>ドウキ</t>
    </rPh>
    <phoneticPr fontId="2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</si>
</sst>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General&quot;日分&quot;"/>
    <numFmt numFmtId="186" formatCode="0_);[Red]\(0\)"/>
    <numFmt numFmtId="187" formatCode="0_ "/>
    <numFmt numFmtId="188" formatCode="0_ &quot;MHz&quot;"/>
  </numFmts>
  <fonts count="67">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u/>
      <sz val="11"/>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10"/>
      <color rgb="FF0070C0"/>
      <name val="ＭＳ Ｐゴシック"/>
      <family val="3"/>
      <charset val="128"/>
      <scheme val="minor"/>
    </font>
    <font>
      <sz val="9"/>
      <color rgb="FFFF0000"/>
      <name val="ＭＳ Ｐゴシック"/>
      <family val="3"/>
      <charset val="128"/>
      <scheme val="minor"/>
    </font>
    <font>
      <sz val="10"/>
      <color theme="1"/>
      <name val="ＭＳ Ｐゴシック"/>
      <family val="3"/>
      <charset val="128"/>
    </font>
  </fonts>
  <fills count="32">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s>
  <borders count="7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style="hair">
        <color indexed="64"/>
      </bottom>
      <diagonal/>
    </border>
    <border>
      <left/>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style="hair">
        <color indexed="64"/>
      </left>
      <right/>
      <top style="hair">
        <color indexed="64"/>
      </top>
      <bottom style="hair">
        <color indexed="64"/>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bottom/>
      <diagonal/>
    </border>
  </borders>
  <cellStyleXfs count="133">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3" fillId="0" borderId="0" applyNumberFormat="0" applyFill="0" applyBorder="0" applyAlignment="0" applyProtection="0"/>
    <xf numFmtId="177" fontId="26" fillId="0" borderId="0" applyFill="0" applyBorder="0" applyAlignment="0"/>
    <xf numFmtId="0" fontId="27" fillId="0" borderId="0">
      <alignment horizontal="left"/>
    </xf>
    <xf numFmtId="0" fontId="28" fillId="0" borderId="0">
      <alignment vertical="center"/>
    </xf>
    <xf numFmtId="0" fontId="34" fillId="23" borderId="0"/>
    <xf numFmtId="0" fontId="29" fillId="0" borderId="10" applyNumberFormat="0" applyAlignment="0" applyProtection="0">
      <alignment horizontal="left" vertical="center"/>
    </xf>
    <xf numFmtId="0" fontId="29" fillId="0" borderId="7">
      <alignment horizontal="left" vertical="center"/>
    </xf>
    <xf numFmtId="0" fontId="5" fillId="0" borderId="0" applyBorder="0"/>
    <xf numFmtId="0" fontId="5" fillId="0" borderId="0"/>
    <xf numFmtId="178" fontId="35" fillId="0" borderId="0"/>
    <xf numFmtId="4" fontId="27" fillId="0" borderId="0">
      <alignment horizontal="right"/>
    </xf>
    <xf numFmtId="0" fontId="36" fillId="0" borderId="0" applyNumberFormat="0" applyFont="0" applyFill="0" applyBorder="0" applyAlignment="0" applyProtection="0">
      <alignment horizontal="left"/>
    </xf>
    <xf numFmtId="0" fontId="37" fillId="0" borderId="8">
      <alignment horizontal="center"/>
    </xf>
    <xf numFmtId="4" fontId="30" fillId="0" borderId="0">
      <alignment horizontal="right"/>
    </xf>
    <xf numFmtId="0" fontId="31" fillId="0" borderId="0">
      <alignment horizontal="left"/>
    </xf>
    <xf numFmtId="0" fontId="32"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8"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9" fillId="0" borderId="0"/>
    <xf numFmtId="179" fontId="39" fillId="0" borderId="0"/>
    <xf numFmtId="5" fontId="40"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4" fillId="0" borderId="0"/>
    <xf numFmtId="0" fontId="19" fillId="6" borderId="0" applyNumberFormat="0" applyBorder="0" applyAlignment="0" applyProtection="0">
      <alignment vertical="center"/>
    </xf>
    <xf numFmtId="0" fontId="3" fillId="0" borderId="0"/>
    <xf numFmtId="38" fontId="45" fillId="0" borderId="0" applyFont="0" applyFill="0" applyBorder="0" applyAlignment="0" applyProtection="0"/>
    <xf numFmtId="40" fontId="45" fillId="0" borderId="0" applyFont="0" applyFill="0" applyBorder="0" applyAlignment="0" applyProtection="0"/>
    <xf numFmtId="180" fontId="45" fillId="0" borderId="0" applyFont="0" applyFill="0" applyBorder="0" applyAlignment="0" applyProtection="0"/>
    <xf numFmtId="181" fontId="46" fillId="0" borderId="0" applyFont="0" applyFill="0" applyBorder="0" applyAlignment="0" applyProtection="0"/>
    <xf numFmtId="0" fontId="29" fillId="0" borderId="7">
      <alignment horizontal="left" vertical="center"/>
    </xf>
    <xf numFmtId="0" fontId="29" fillId="0" borderId="7">
      <alignment horizontal="left" vertical="center"/>
    </xf>
    <xf numFmtId="0" fontId="46" fillId="0" borderId="0"/>
    <xf numFmtId="0" fontId="46"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7" fillId="0" borderId="0"/>
    <xf numFmtId="38" fontId="3" fillId="0" borderId="0" applyFont="0" applyFill="0" applyBorder="0" applyAlignment="0" applyProtection="0"/>
    <xf numFmtId="0" fontId="29" fillId="0" borderId="16">
      <alignment horizontal="left" vertical="center"/>
    </xf>
    <xf numFmtId="0" fontId="29" fillId="0" borderId="16">
      <alignment horizontal="left" vertical="center"/>
    </xf>
    <xf numFmtId="0" fontId="29" fillId="0" borderId="16">
      <alignment horizontal="left" vertical="center"/>
    </xf>
    <xf numFmtId="0" fontId="29" fillId="0" borderId="7">
      <alignment horizontal="left" vertical="center"/>
    </xf>
    <xf numFmtId="0" fontId="29" fillId="0" borderId="7">
      <alignment horizontal="left" vertical="center"/>
    </xf>
    <xf numFmtId="0" fontId="29" fillId="0" borderId="7">
      <alignment horizontal="left" vertical="center"/>
    </xf>
    <xf numFmtId="0" fontId="3" fillId="0" borderId="0"/>
    <xf numFmtId="0" fontId="29" fillId="0" borderId="16">
      <alignment horizontal="left" vertical="center"/>
    </xf>
    <xf numFmtId="0" fontId="29" fillId="0" borderId="16">
      <alignment horizontal="left" vertical="center"/>
    </xf>
    <xf numFmtId="0" fontId="29"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48" fillId="0" borderId="0">
      <alignment horizontal="center"/>
    </xf>
    <xf numFmtId="0" fontId="38" fillId="0" borderId="0" applyNumberFormat="0" applyFill="0" applyBorder="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9" fillId="0" borderId="28">
      <alignment horizontal="left" vertical="center"/>
    </xf>
    <xf numFmtId="0" fontId="29" fillId="0" borderId="28">
      <alignment horizontal="left" vertical="center"/>
    </xf>
    <xf numFmtId="0" fontId="29" fillId="0" borderId="28">
      <alignment horizontal="left" vertical="center"/>
    </xf>
    <xf numFmtId="0" fontId="3" fillId="0" borderId="0"/>
    <xf numFmtId="0" fontId="6" fillId="0" borderId="0"/>
    <xf numFmtId="0" fontId="3" fillId="0" borderId="0"/>
    <xf numFmtId="0" fontId="62" fillId="0" borderId="0">
      <alignment vertical="center"/>
    </xf>
    <xf numFmtId="0" fontId="3" fillId="0" borderId="0"/>
  </cellStyleXfs>
  <cellXfs count="963">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9" fillId="0" borderId="0" xfId="0" applyFont="1">
      <alignment vertical="center"/>
    </xf>
    <xf numFmtId="0" fontId="22" fillId="0" borderId="0" xfId="0" applyFont="1">
      <alignment vertical="center"/>
    </xf>
    <xf numFmtId="0" fontId="51" fillId="0" borderId="0" xfId="128" applyFont="1" applyBorder="1" applyAlignment="1">
      <alignment vertical="center"/>
    </xf>
    <xf numFmtId="0" fontId="52" fillId="0" borderId="0" xfId="128" applyFont="1" applyBorder="1" applyAlignment="1">
      <alignment vertical="center" wrapText="1"/>
    </xf>
    <xf numFmtId="0" fontId="54" fillId="0" borderId="0" xfId="128" applyFont="1" applyBorder="1" applyAlignment="1">
      <alignment vertical="center"/>
    </xf>
    <xf numFmtId="58" fontId="55" fillId="0" borderId="0" xfId="128" applyNumberFormat="1" applyFont="1" applyBorder="1" applyAlignment="1">
      <alignment vertical="center"/>
    </xf>
    <xf numFmtId="0" fontId="7" fillId="0" borderId="0" xfId="128" applyFont="1" applyBorder="1" applyAlignment="1">
      <alignment vertical="center"/>
    </xf>
    <xf numFmtId="0" fontId="55" fillId="0" borderId="0" xfId="128" applyFont="1" applyBorder="1" applyAlignment="1">
      <alignment vertical="center"/>
    </xf>
    <xf numFmtId="0" fontId="0" fillId="0" borderId="0" xfId="0" applyBorder="1">
      <alignment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0" fontId="7" fillId="0" borderId="0" xfId="0" applyFont="1" applyBorder="1">
      <alignment vertical="center"/>
    </xf>
    <xf numFmtId="49" fontId="57" fillId="0" borderId="0" xfId="2" applyNumberFormat="1" applyFont="1" applyFill="1" applyBorder="1" applyAlignment="1">
      <alignment vertical="center"/>
    </xf>
    <xf numFmtId="0" fontId="7" fillId="0" borderId="0" xfId="2" applyFont="1" applyFill="1" applyBorder="1" applyAlignment="1"/>
    <xf numFmtId="0" fontId="57" fillId="0" borderId="0" xfId="2" applyFont="1" applyFill="1" applyBorder="1" applyAlignment="1"/>
    <xf numFmtId="0" fontId="57" fillId="0" borderId="0" xfId="2" applyFont="1" applyFill="1" applyBorder="1" applyAlignment="1">
      <alignment vertical="center"/>
    </xf>
    <xf numFmtId="0" fontId="57" fillId="0" borderId="0" xfId="90" applyFont="1" applyFill="1" applyAlignment="1">
      <alignment vertical="center"/>
    </xf>
    <xf numFmtId="0" fontId="57" fillId="0" borderId="0" xfId="0" applyFont="1" applyFill="1" applyAlignment="1">
      <alignment vertical="center"/>
    </xf>
    <xf numFmtId="0" fontId="57" fillId="0" borderId="0" xfId="0" applyFont="1" applyFill="1" applyBorder="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22" fillId="0" borderId="31" xfId="0" applyFont="1" applyBorder="1">
      <alignment vertical="center"/>
    </xf>
    <xf numFmtId="0" fontId="22" fillId="0" borderId="30" xfId="0" applyFont="1" applyBorder="1">
      <alignment vertical="center"/>
    </xf>
    <xf numFmtId="0" fontId="22" fillId="0" borderId="29" xfId="0" applyFont="1" applyBorder="1">
      <alignment vertical="center"/>
    </xf>
    <xf numFmtId="0" fontId="22" fillId="26" borderId="31" xfId="0" applyFont="1" applyFill="1" applyBorder="1">
      <alignment vertical="center"/>
    </xf>
    <xf numFmtId="0" fontId="22" fillId="26" borderId="30" xfId="0" applyFont="1" applyFill="1" applyBorder="1">
      <alignment vertical="center"/>
    </xf>
    <xf numFmtId="0" fontId="22" fillId="26" borderId="29" xfId="0" applyFont="1" applyFill="1" applyBorder="1">
      <alignment vertical="center"/>
    </xf>
    <xf numFmtId="0" fontId="59" fillId="0" borderId="0" xfId="0" applyFont="1" applyBorder="1">
      <alignment vertical="center"/>
    </xf>
    <xf numFmtId="0" fontId="60" fillId="0" borderId="0" xfId="0" applyFont="1" applyBorder="1">
      <alignment vertical="center"/>
    </xf>
    <xf numFmtId="0" fontId="7" fillId="0" borderId="40" xfId="0" applyFont="1" applyBorder="1">
      <alignment vertical="center"/>
    </xf>
    <xf numFmtId="0" fontId="7" fillId="0" borderId="34" xfId="0" applyFont="1" applyBorder="1">
      <alignment vertical="center"/>
    </xf>
    <xf numFmtId="0" fontId="7" fillId="0" borderId="35" xfId="0" applyFont="1" applyBorder="1">
      <alignment vertical="center"/>
    </xf>
    <xf numFmtId="0" fontId="7" fillId="26" borderId="23" xfId="0" applyFont="1" applyFill="1" applyBorder="1">
      <alignment vertical="center"/>
    </xf>
    <xf numFmtId="0" fontId="7" fillId="26" borderId="28" xfId="0" applyFont="1" applyFill="1" applyBorder="1">
      <alignment vertical="center"/>
    </xf>
    <xf numFmtId="0" fontId="7" fillId="26" borderId="22" xfId="0" applyFont="1" applyFill="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2" fillId="26" borderId="23" xfId="0" applyFont="1" applyFill="1" applyBorder="1">
      <alignment vertical="center"/>
    </xf>
    <xf numFmtId="0" fontId="22" fillId="26" borderId="28" xfId="0" applyFont="1" applyFill="1" applyBorder="1">
      <alignment vertical="center"/>
    </xf>
    <xf numFmtId="0" fontId="22" fillId="26" borderId="22"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21" fillId="26" borderId="30" xfId="0" applyFont="1" applyFill="1" applyBorder="1">
      <alignment vertical="center"/>
    </xf>
    <xf numFmtId="0" fontId="61" fillId="0" borderId="0" xfId="113" applyFont="1" applyFill="1" applyBorder="1" applyAlignment="1">
      <alignment horizontal="left" vertical="center"/>
    </xf>
    <xf numFmtId="0" fontId="61"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49" fontId="7" fillId="0" borderId="0" xfId="130" applyNumberFormat="1" applyFont="1" applyBorder="1" applyAlignment="1">
      <alignment horizontal="left" vertical="center"/>
    </xf>
    <xf numFmtId="0" fontId="22" fillId="0" borderId="23" xfId="0" applyFont="1" applyFill="1" applyBorder="1" applyAlignment="1">
      <alignment vertical="center"/>
    </xf>
    <xf numFmtId="0" fontId="22" fillId="0" borderId="28" xfId="0" applyFont="1" applyBorder="1" applyAlignment="1">
      <alignment horizontal="left" vertical="center"/>
    </xf>
    <xf numFmtId="0" fontId="22" fillId="0" borderId="22" xfId="0" applyFont="1" applyBorder="1" applyAlignment="1">
      <alignment horizontal="left" vertical="center"/>
    </xf>
    <xf numFmtId="0" fontId="22" fillId="0" borderId="28" xfId="0" applyFont="1" applyBorder="1" applyAlignment="1">
      <alignment vertical="center"/>
    </xf>
    <xf numFmtId="0" fontId="22" fillId="0" borderId="22" xfId="0" applyFont="1" applyBorder="1" applyAlignment="1">
      <alignment vertical="center"/>
    </xf>
    <xf numFmtId="0" fontId="5" fillId="0" borderId="23" xfId="131" applyFont="1" applyFill="1" applyBorder="1" applyAlignment="1">
      <alignment vertical="center"/>
    </xf>
    <xf numFmtId="0" fontId="63" fillId="0" borderId="36" xfId="0" applyFont="1" applyFill="1" applyBorder="1">
      <alignment vertical="center"/>
    </xf>
    <xf numFmtId="0" fontId="63" fillId="0" borderId="37" xfId="0" applyFont="1" applyFill="1" applyBorder="1">
      <alignment vertical="center"/>
    </xf>
    <xf numFmtId="0" fontId="63"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63" fillId="0" borderId="32" xfId="0" applyFont="1" applyBorder="1">
      <alignment vertical="center"/>
    </xf>
    <xf numFmtId="0" fontId="63" fillId="0" borderId="6" xfId="0" applyFont="1" applyBorder="1">
      <alignment vertical="center"/>
    </xf>
    <xf numFmtId="0" fontId="63" fillId="0" borderId="33" xfId="0" applyFont="1" applyFill="1" applyBorder="1">
      <alignment vertical="center"/>
    </xf>
    <xf numFmtId="0" fontId="63" fillId="0" borderId="34" xfId="0" applyFont="1" applyFill="1" applyBorder="1">
      <alignment vertical="center"/>
    </xf>
    <xf numFmtId="0" fontId="63" fillId="0" borderId="0" xfId="0" applyFont="1" applyFill="1" applyBorder="1">
      <alignment vertical="center"/>
    </xf>
    <xf numFmtId="0" fontId="63"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3" fillId="0" borderId="34" xfId="0" applyFont="1" applyBorder="1">
      <alignment vertical="center"/>
    </xf>
    <xf numFmtId="0" fontId="63" fillId="0" borderId="0" xfId="0" applyFont="1" applyBorder="1">
      <alignment vertical="center"/>
    </xf>
    <xf numFmtId="0" fontId="63" fillId="0" borderId="44" xfId="0" applyFont="1" applyFill="1" applyBorder="1">
      <alignment vertical="center"/>
    </xf>
    <xf numFmtId="0" fontId="63" fillId="0" borderId="45" xfId="0" applyFont="1" applyFill="1" applyBorder="1">
      <alignment vertical="center"/>
    </xf>
    <xf numFmtId="0" fontId="63"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3" fillId="0" borderId="35" xfId="0" applyFont="1" applyBorder="1">
      <alignment vertical="center"/>
    </xf>
    <xf numFmtId="0" fontId="63" fillId="26" borderId="32" xfId="0" applyFont="1" applyFill="1" applyBorder="1" applyAlignment="1">
      <alignment vertical="center"/>
    </xf>
    <xf numFmtId="0" fontId="63" fillId="26" borderId="6" xfId="0" applyFont="1" applyFill="1" applyBorder="1" applyAlignment="1">
      <alignment vertical="center"/>
    </xf>
    <xf numFmtId="0" fontId="61" fillId="26" borderId="6" xfId="0" applyFont="1" applyFill="1" applyBorder="1" applyAlignment="1">
      <alignment vertical="center"/>
    </xf>
    <xf numFmtId="0" fontId="61" fillId="26" borderId="33" xfId="0" applyFont="1" applyFill="1" applyBorder="1" applyAlignment="1">
      <alignment vertical="center"/>
    </xf>
    <xf numFmtId="0" fontId="63" fillId="26" borderId="33" xfId="0" applyFont="1" applyFill="1" applyBorder="1" applyAlignment="1">
      <alignment vertical="center"/>
    </xf>
    <xf numFmtId="0" fontId="22" fillId="0" borderId="0" xfId="0" applyFont="1" applyFill="1" applyBorder="1" applyAlignment="1"/>
    <xf numFmtId="0" fontId="64" fillId="0" borderId="0" xfId="0" applyFont="1" applyBorder="1">
      <alignment vertical="center"/>
    </xf>
    <xf numFmtId="0" fontId="22" fillId="0" borderId="0" xfId="0" applyFont="1" applyFill="1" applyBorder="1" applyAlignment="1">
      <alignment vertical="center"/>
    </xf>
    <xf numFmtId="0" fontId="22" fillId="0" borderId="0" xfId="0" applyFont="1" applyFill="1" applyBorder="1" applyAlignment="1">
      <alignment horizontal="center" vertical="center"/>
    </xf>
    <xf numFmtId="0" fontId="22" fillId="0" borderId="0" xfId="0" applyFont="1" applyBorder="1" applyAlignment="1">
      <alignment horizontal="center" vertical="center"/>
    </xf>
    <xf numFmtId="0" fontId="3" fillId="0" borderId="0" xfId="0" applyFont="1">
      <alignment vertical="center"/>
    </xf>
    <xf numFmtId="0" fontId="7" fillId="0" borderId="0" xfId="0" applyFont="1" applyFill="1" applyBorder="1" applyAlignment="1"/>
    <xf numFmtId="0" fontId="7" fillId="0" borderId="0" xfId="0" applyFont="1" applyFill="1" applyBorder="1" applyAlignment="1">
      <alignment vertical="center"/>
    </xf>
    <xf numFmtId="49" fontId="60"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31" xfId="90" applyFont="1" applyBorder="1"/>
    <xf numFmtId="0" fontId="7" fillId="0" borderId="30" xfId="90" applyFont="1" applyBorder="1"/>
    <xf numFmtId="0" fontId="7" fillId="0" borderId="29"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21" fillId="26" borderId="28" xfId="0" applyFont="1" applyFill="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23" xfId="113" applyFont="1" applyFill="1" applyBorder="1" applyAlignment="1">
      <alignment horizontal="left" vertical="top"/>
    </xf>
    <xf numFmtId="0" fontId="7" fillId="27" borderId="28" xfId="113" applyFont="1" applyFill="1" applyBorder="1" applyAlignment="1">
      <alignment horizontal="left" vertical="top"/>
    </xf>
    <xf numFmtId="0" fontId="22" fillId="0" borderId="6" xfId="0" applyFont="1" applyBorder="1" applyAlignment="1">
      <alignment vertical="top"/>
    </xf>
    <xf numFmtId="0" fontId="22" fillId="0" borderId="0" xfId="0" applyFont="1" applyBorder="1" applyAlignment="1">
      <alignment vertical="top"/>
    </xf>
    <xf numFmtId="0" fontId="22" fillId="0" borderId="0" xfId="0" applyFont="1" applyBorder="1" applyAlignment="1">
      <alignment horizontal="right" vertical="top"/>
    </xf>
    <xf numFmtId="0" fontId="7" fillId="27" borderId="0" xfId="113" applyFont="1" applyFill="1" applyBorder="1" applyAlignment="1">
      <alignment horizontal="left"/>
    </xf>
    <xf numFmtId="0" fontId="22" fillId="0" borderId="0" xfId="0" applyFont="1" applyBorder="1" applyAlignment="1">
      <alignment horizontal="left" vertical="top"/>
    </xf>
    <xf numFmtId="49" fontId="7" fillId="27" borderId="0" xfId="0" applyNumberFormat="1" applyFont="1" applyFill="1" applyBorder="1" applyAlignment="1"/>
    <xf numFmtId="0" fontId="7" fillId="0" borderId="28" xfId="0" applyFont="1" applyBorder="1" applyAlignment="1">
      <alignment vertical="top"/>
    </xf>
    <xf numFmtId="0" fontId="7" fillId="0" borderId="30" xfId="0" applyFont="1" applyBorder="1" applyAlignment="1">
      <alignment vertical="top"/>
    </xf>
    <xf numFmtId="0" fontId="7" fillId="27" borderId="30" xfId="113" applyFont="1" applyFill="1" applyBorder="1"/>
    <xf numFmtId="0" fontId="22" fillId="0" borderId="30" xfId="0" applyFont="1" applyBorder="1" applyAlignment="1">
      <alignment vertical="top"/>
    </xf>
    <xf numFmtId="49" fontId="7" fillId="27" borderId="30" xfId="0" applyNumberFormat="1" applyFont="1" applyFill="1" applyBorder="1" applyAlignment="1">
      <alignment vertical="top"/>
    </xf>
    <xf numFmtId="49" fontId="7" fillId="27" borderId="30" xfId="0" applyNumberFormat="1" applyFont="1" applyFill="1" applyBorder="1" applyAlignment="1">
      <alignment horizontal="lef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22" fillId="0" borderId="50" xfId="0" quotePrefix="1" applyFont="1" applyBorder="1">
      <alignment vertical="center"/>
    </xf>
    <xf numFmtId="0" fontId="22" fillId="0" borderId="7" xfId="0" quotePrefix="1" applyFont="1" applyBorder="1">
      <alignment vertical="center"/>
    </xf>
    <xf numFmtId="0" fontId="22" fillId="0" borderId="51" xfId="0" quotePrefix="1" applyFont="1" applyBorder="1">
      <alignment vertical="center"/>
    </xf>
    <xf numFmtId="0" fontId="22" fillId="0" borderId="7" xfId="0" applyFont="1" applyFill="1" applyBorder="1">
      <alignment vertical="center"/>
    </xf>
    <xf numFmtId="0" fontId="22" fillId="0" borderId="51" xfId="0" applyFont="1" applyFill="1" applyBorder="1">
      <alignment vertical="center"/>
    </xf>
    <xf numFmtId="0" fontId="22" fillId="0" borderId="50" xfId="0" applyFont="1" applyFill="1" applyBorder="1">
      <alignment vertical="center"/>
    </xf>
    <xf numFmtId="0" fontId="63" fillId="26" borderId="47" xfId="0" applyFont="1" applyFill="1" applyBorder="1" applyAlignment="1">
      <alignment vertical="center"/>
    </xf>
    <xf numFmtId="0" fontId="63" fillId="26" borderId="48" xfId="0" applyFont="1" applyFill="1" applyBorder="1" applyAlignment="1">
      <alignment vertical="center"/>
    </xf>
    <xf numFmtId="0" fontId="63"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1" fillId="26" borderId="47" xfId="0" applyFont="1" applyFill="1" applyBorder="1" applyAlignment="1">
      <alignment vertical="center"/>
    </xf>
    <xf numFmtId="0" fontId="61" fillId="26" borderId="48" xfId="0" applyFont="1" applyFill="1" applyBorder="1" applyAlignment="1">
      <alignment vertical="center"/>
    </xf>
    <xf numFmtId="0" fontId="63" fillId="0" borderId="47" xfId="0" applyFont="1" applyBorder="1">
      <alignment vertical="center"/>
    </xf>
    <xf numFmtId="0" fontId="63" fillId="0" borderId="48" xfId="0" applyFont="1" applyBorder="1">
      <alignment vertical="center"/>
    </xf>
    <xf numFmtId="0" fontId="63" fillId="0" borderId="49" xfId="0" applyFont="1" applyBorder="1">
      <alignment vertical="center"/>
    </xf>
    <xf numFmtId="0" fontId="63" fillId="0" borderId="47" xfId="0" applyFont="1" applyFill="1" applyBorder="1">
      <alignment vertical="center"/>
    </xf>
    <xf numFmtId="0" fontId="63" fillId="0" borderId="48" xfId="0" applyFont="1" applyFill="1" applyBorder="1">
      <alignment vertical="center"/>
    </xf>
    <xf numFmtId="0" fontId="63"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3" fillId="0" borderId="6" xfId="0" applyFont="1" applyFill="1" applyBorder="1">
      <alignment vertical="center"/>
    </xf>
    <xf numFmtId="0" fontId="63"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63" fillId="0" borderId="9" xfId="0" applyFont="1" applyBorder="1">
      <alignment vertical="center"/>
    </xf>
    <xf numFmtId="0" fontId="21" fillId="0" borderId="9" xfId="0" applyFont="1" applyBorder="1">
      <alignment vertical="center"/>
    </xf>
    <xf numFmtId="0" fontId="63" fillId="0" borderId="50" xfId="0" applyFont="1" applyBorder="1">
      <alignment vertical="center"/>
    </xf>
    <xf numFmtId="0" fontId="63" fillId="0" borderId="7" xfId="0" applyFont="1" applyBorder="1">
      <alignment vertical="center"/>
    </xf>
    <xf numFmtId="0" fontId="63" fillId="0" borderId="51"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7" fillId="0" borderId="35" xfId="0" applyFont="1" applyBorder="1">
      <alignment vertical="center"/>
    </xf>
    <xf numFmtId="49" fontId="7" fillId="27" borderId="0" xfId="0" applyNumberFormat="1" applyFont="1" applyFill="1"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7" fillId="0" borderId="47" xfId="90" applyFont="1" applyBorder="1"/>
    <xf numFmtId="0" fontId="7" fillId="0" borderId="49" xfId="90" applyFont="1" applyBorder="1"/>
    <xf numFmtId="0" fontId="22" fillId="0" borderId="30" xfId="0" applyFont="1" applyFill="1" applyBorder="1">
      <alignment vertical="center"/>
    </xf>
    <xf numFmtId="0" fontId="7" fillId="26" borderId="48" xfId="90" applyFont="1" applyFill="1" applyBorder="1"/>
    <xf numFmtId="0" fontId="7" fillId="0" borderId="48" xfId="90" applyFont="1" applyBorder="1"/>
    <xf numFmtId="49" fontId="7" fillId="27" borderId="48" xfId="0" applyNumberFormat="1" applyFont="1" applyFill="1" applyBorder="1" applyAlignment="1">
      <alignment horizontal="left" vertical="top"/>
    </xf>
    <xf numFmtId="49" fontId="7" fillId="27" borderId="7" xfId="0" applyNumberFormat="1" applyFont="1" applyFill="1" applyBorder="1" applyAlignment="1">
      <alignment horizontal="lef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63" fillId="26" borderId="30" xfId="0" applyFont="1" applyFill="1" applyBorder="1" applyAlignment="1">
      <alignment vertical="center"/>
    </xf>
    <xf numFmtId="0" fontId="63" fillId="26" borderId="35" xfId="0" applyFont="1" applyFill="1" applyBorder="1" applyAlignment="1">
      <alignment vertical="center"/>
    </xf>
    <xf numFmtId="0" fontId="63" fillId="26" borderId="0" xfId="0" applyFont="1" applyFill="1" applyBorder="1" applyAlignment="1">
      <alignment vertical="center"/>
    </xf>
    <xf numFmtId="0" fontId="63" fillId="26" borderId="34" xfId="0" applyFont="1" applyFill="1" applyBorder="1" applyAlignment="1">
      <alignment vertical="center"/>
    </xf>
    <xf numFmtId="0" fontId="22" fillId="0" borderId="47" xfId="0" applyFont="1" applyFill="1" applyBorder="1" applyAlignment="1">
      <alignment vertical="top"/>
    </xf>
    <xf numFmtId="0" fontId="22" fillId="0" borderId="30" xfId="0" applyFont="1" applyFill="1" applyBorder="1" applyAlignment="1">
      <alignment vertical="top"/>
    </xf>
    <xf numFmtId="0" fontId="22" fillId="0" borderId="49" xfId="0" applyFont="1" applyFill="1" applyBorder="1" applyAlignment="1">
      <alignment vertical="top"/>
    </xf>
    <xf numFmtId="0" fontId="22" fillId="0" borderId="35" xfId="0" applyFont="1" applyFill="1" applyBorder="1" applyAlignment="1">
      <alignment vertical="top"/>
    </xf>
    <xf numFmtId="0" fontId="22" fillId="0" borderId="0" xfId="0" applyFont="1" applyFill="1" applyBorder="1" applyAlignment="1">
      <alignment vertical="top"/>
    </xf>
    <xf numFmtId="0" fontId="22" fillId="0" borderId="34"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22" fillId="0" borderId="32" xfId="0" applyFont="1" applyFill="1" applyBorder="1" applyAlignment="1">
      <alignment vertical="top"/>
    </xf>
    <xf numFmtId="0" fontId="7" fillId="0" borderId="54" xfId="0" applyFont="1" applyBorder="1">
      <alignment vertical="center"/>
    </xf>
    <xf numFmtId="0" fontId="7" fillId="0" borderId="52" xfId="0" applyFont="1" applyBorder="1">
      <alignment vertical="center"/>
    </xf>
    <xf numFmtId="0" fontId="7" fillId="0" borderId="53" xfId="0" applyFont="1" applyBorder="1">
      <alignment vertical="center"/>
    </xf>
    <xf numFmtId="0" fontId="7" fillId="0" borderId="55" xfId="0" applyFont="1" applyBorder="1">
      <alignment vertical="center"/>
    </xf>
    <xf numFmtId="0" fontId="21" fillId="0" borderId="0" xfId="0" applyFont="1" applyBorder="1" applyAlignment="1">
      <alignment horizontal="center" vertical="center" wrapText="1"/>
    </xf>
    <xf numFmtId="0" fontId="22" fillId="0" borderId="47" xfId="0" applyFont="1" applyBorder="1" applyAlignment="1">
      <alignment vertical="top"/>
    </xf>
    <xf numFmtId="0" fontId="22" fillId="0" borderId="48" xfId="0" applyFont="1" applyBorder="1" applyAlignment="1">
      <alignment vertical="top"/>
    </xf>
    <xf numFmtId="0" fontId="22" fillId="0" borderId="49" xfId="0" applyFont="1" applyBorder="1" applyAlignment="1">
      <alignment vertical="top"/>
    </xf>
    <xf numFmtId="0" fontId="22" fillId="0" borderId="52" xfId="0" applyFont="1" applyBorder="1">
      <alignment vertical="center"/>
    </xf>
    <xf numFmtId="0" fontId="22" fillId="0" borderId="53" xfId="0" applyFont="1" applyBorder="1">
      <alignment vertical="center"/>
    </xf>
    <xf numFmtId="0" fontId="22" fillId="0" borderId="58" xfId="0" applyFont="1" applyBorder="1">
      <alignment vertical="center"/>
    </xf>
    <xf numFmtId="0" fontId="22" fillId="0" borderId="52" xfId="0" applyFont="1" applyBorder="1" applyAlignment="1">
      <alignment vertical="top"/>
    </xf>
    <xf numFmtId="0" fontId="22" fillId="0" borderId="53" xfId="0" applyFont="1" applyBorder="1" applyAlignment="1">
      <alignment vertical="top"/>
    </xf>
    <xf numFmtId="0" fontId="22" fillId="0" borderId="58" xfId="0" applyFont="1" applyBorder="1" applyAlignment="1">
      <alignment vertical="top"/>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33" xfId="0" applyFont="1" applyBorder="1" applyAlignment="1">
      <alignment vertical="top"/>
    </xf>
    <xf numFmtId="0" fontId="22" fillId="0" borderId="32" xfId="0" applyFont="1" applyBorder="1" applyAlignment="1">
      <alignment vertical="top"/>
    </xf>
    <xf numFmtId="49" fontId="7" fillId="27" borderId="28" xfId="0" applyNumberFormat="1" applyFont="1" applyFill="1" applyBorder="1" applyAlignment="1">
      <alignment horizontal="left" vertical="top"/>
    </xf>
    <xf numFmtId="49" fontId="7" fillId="27" borderId="23" xfId="0" applyNumberFormat="1" applyFont="1" applyFill="1" applyBorder="1" applyAlignment="1">
      <alignment horizontal="left" vertical="top"/>
    </xf>
    <xf numFmtId="0" fontId="7" fillId="27" borderId="7" xfId="113" applyFont="1" applyFill="1" applyBorder="1" applyAlignment="1">
      <alignment horizontal="left" vertical="top"/>
    </xf>
    <xf numFmtId="187" fontId="7" fillId="0" borderId="48" xfId="0" applyNumberFormat="1" applyFont="1" applyBorder="1" applyAlignment="1">
      <alignment vertical="top"/>
    </xf>
    <xf numFmtId="187" fontId="22" fillId="0" borderId="0" xfId="0" applyNumberFormat="1" applyFont="1" applyBorder="1" applyAlignment="1">
      <alignment horizontal="right" vertical="top"/>
    </xf>
    <xf numFmtId="49" fontId="7" fillId="27" borderId="28" xfId="0" applyNumberFormat="1" applyFont="1" applyFill="1" applyBorder="1" applyAlignment="1">
      <alignment vertical="top"/>
    </xf>
    <xf numFmtId="49" fontId="7" fillId="27" borderId="23" xfId="0" applyNumberFormat="1" applyFont="1" applyFill="1" applyBorder="1" applyAlignment="1">
      <alignment vertical="top"/>
    </xf>
    <xf numFmtId="49" fontId="7" fillId="27" borderId="22" xfId="0" applyNumberFormat="1" applyFont="1" applyFill="1" applyBorder="1" applyAlignment="1">
      <alignment vertical="top"/>
    </xf>
    <xf numFmtId="49" fontId="7" fillId="27" borderId="6" xfId="0" applyNumberFormat="1" applyFont="1" applyFill="1" applyBorder="1" applyAlignment="1">
      <alignment vertical="top"/>
    </xf>
    <xf numFmtId="49" fontId="7" fillId="27" borderId="32" xfId="0" applyNumberFormat="1" applyFont="1" applyFill="1" applyBorder="1" applyAlignment="1">
      <alignment vertical="top"/>
    </xf>
    <xf numFmtId="49" fontId="7" fillId="27" borderId="0" xfId="0" applyNumberFormat="1" applyFont="1" applyFill="1" applyBorder="1" applyAlignment="1">
      <alignment horizontal="lef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26" borderId="47" xfId="0" applyFont="1" applyFill="1" applyBorder="1">
      <alignment vertical="center"/>
    </xf>
    <xf numFmtId="0" fontId="7" fillId="26" borderId="48" xfId="0" applyFont="1" applyFill="1" applyBorder="1">
      <alignment vertical="center"/>
    </xf>
    <xf numFmtId="0" fontId="7" fillId="26" borderId="49" xfId="0" applyFont="1" applyFill="1" applyBorder="1">
      <alignment vertical="center"/>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22" fillId="0" borderId="0" xfId="0" applyFont="1" applyFill="1">
      <alignment vertical="center"/>
    </xf>
    <xf numFmtId="0" fontId="7" fillId="0" borderId="0" xfId="0" applyFont="1" applyFill="1" applyBorder="1">
      <alignment vertical="center"/>
    </xf>
    <xf numFmtId="0" fontId="7" fillId="0" borderId="0" xfId="0" applyFont="1" applyFill="1">
      <alignment vertical="center"/>
    </xf>
    <xf numFmtId="0" fontId="63" fillId="0" borderId="53" xfId="0" applyFont="1" applyFill="1" applyBorder="1">
      <alignment vertical="center"/>
    </xf>
    <xf numFmtId="0" fontId="63" fillId="0" borderId="58" xfId="0" applyFont="1" applyFill="1" applyBorder="1">
      <alignment vertical="center"/>
    </xf>
    <xf numFmtId="0" fontId="65" fillId="0" borderId="48" xfId="0" applyFont="1" applyFill="1" applyBorder="1">
      <alignment vertical="center"/>
    </xf>
    <xf numFmtId="0" fontId="59" fillId="0" borderId="48" xfId="0" applyFont="1" applyFill="1" applyBorder="1">
      <alignment vertical="center"/>
    </xf>
    <xf numFmtId="0" fontId="59" fillId="0" borderId="49" xfId="0" applyFont="1" applyFill="1" applyBorder="1">
      <alignment vertical="center"/>
    </xf>
    <xf numFmtId="0" fontId="59" fillId="0" borderId="48" xfId="0" quotePrefix="1" applyFont="1" applyFill="1" applyBorder="1">
      <alignment vertical="center"/>
    </xf>
    <xf numFmtId="0" fontId="65" fillId="0" borderId="53" xfId="0" applyFont="1" applyFill="1" applyBorder="1">
      <alignment vertical="center"/>
    </xf>
    <xf numFmtId="0" fontId="59" fillId="0" borderId="53" xfId="0" applyFont="1" applyFill="1" applyBorder="1">
      <alignment vertical="center"/>
    </xf>
    <xf numFmtId="0" fontId="59" fillId="0" borderId="58" xfId="0" applyFont="1" applyFill="1" applyBorder="1">
      <alignment vertical="center"/>
    </xf>
    <xf numFmtId="0" fontId="59" fillId="0" borderId="52" xfId="0" quotePrefix="1" applyFont="1" applyFill="1" applyBorder="1">
      <alignment vertical="center"/>
    </xf>
    <xf numFmtId="0" fontId="59" fillId="0" borderId="53" xfId="0" quotePrefix="1" applyFont="1" applyFill="1" applyBorder="1">
      <alignment vertical="center"/>
    </xf>
    <xf numFmtId="0" fontId="65" fillId="0" borderId="0" xfId="0" applyFont="1" applyFill="1" applyBorder="1">
      <alignment vertical="center"/>
    </xf>
    <xf numFmtId="0" fontId="59" fillId="0" borderId="0" xfId="0" applyFont="1" applyFill="1" applyBorder="1">
      <alignment vertical="center"/>
    </xf>
    <xf numFmtId="0" fontId="59" fillId="0" borderId="34" xfId="0" applyFont="1" applyFill="1" applyBorder="1">
      <alignment vertical="center"/>
    </xf>
    <xf numFmtId="0" fontId="59" fillId="0" borderId="35" xfId="0" quotePrefix="1" applyFont="1" applyFill="1" applyBorder="1">
      <alignment vertical="center"/>
    </xf>
    <xf numFmtId="0" fontId="59" fillId="0" borderId="0" xfId="0" quotePrefix="1" applyFont="1" applyFill="1" applyBorder="1">
      <alignment vertical="center"/>
    </xf>
    <xf numFmtId="0" fontId="7" fillId="26" borderId="47" xfId="90" applyFont="1" applyFill="1" applyBorder="1"/>
    <xf numFmtId="0" fontId="7" fillId="26" borderId="49" xfId="90" applyFont="1" applyFill="1" applyBorder="1"/>
    <xf numFmtId="0" fontId="7" fillId="26" borderId="50" xfId="90" applyFont="1" applyFill="1" applyBorder="1"/>
    <xf numFmtId="0" fontId="7" fillId="26" borderId="7" xfId="90" applyFont="1" applyFill="1" applyBorder="1"/>
    <xf numFmtId="0" fontId="7" fillId="26" borderId="51" xfId="90" applyFont="1" applyFill="1" applyBorder="1"/>
    <xf numFmtId="186" fontId="22" fillId="0" borderId="0" xfId="0" quotePrefix="1" applyNumberFormat="1" applyFont="1" applyFill="1" applyBorder="1" applyAlignment="1">
      <alignment horizontal="center" vertical="center"/>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26" borderId="51" xfId="0" applyFont="1" applyFill="1" applyBorder="1" applyAlignment="1">
      <alignment vertical="center"/>
    </xf>
    <xf numFmtId="186" fontId="7" fillId="0" borderId="35" xfId="0" quotePrefix="1" applyNumberFormat="1" applyFont="1" applyBorder="1" applyAlignment="1">
      <alignment horizontal="center" vertical="center"/>
    </xf>
    <xf numFmtId="186" fontId="7" fillId="0" borderId="0" xfId="0" quotePrefix="1" applyNumberFormat="1" applyFont="1" applyBorder="1" applyAlignment="1">
      <alignment horizontal="center" vertical="center"/>
    </xf>
    <xf numFmtId="186" fontId="7" fillId="0" borderId="34" xfId="0" quotePrefix="1" applyNumberFormat="1" applyFont="1" applyBorder="1" applyAlignment="1">
      <alignment horizontal="center" vertical="center"/>
    </xf>
    <xf numFmtId="0" fontId="7" fillId="0" borderId="58" xfId="0" applyFont="1" applyBorder="1">
      <alignment vertical="center"/>
    </xf>
    <xf numFmtId="186" fontId="7" fillId="0" borderId="52" xfId="0" quotePrefix="1" applyNumberFormat="1" applyFont="1" applyBorder="1" applyAlignment="1">
      <alignment horizontal="center" vertical="center"/>
    </xf>
    <xf numFmtId="186" fontId="7" fillId="0" borderId="53" xfId="0" quotePrefix="1" applyNumberFormat="1" applyFont="1" applyBorder="1" applyAlignment="1">
      <alignment horizontal="center" vertical="center"/>
    </xf>
    <xf numFmtId="186" fontId="7" fillId="0" borderId="58" xfId="0" quotePrefix="1" applyNumberFormat="1" applyFont="1" applyBorder="1" applyAlignment="1">
      <alignment horizontal="center" vertical="center"/>
    </xf>
    <xf numFmtId="0" fontId="7" fillId="0" borderId="39" xfId="0" applyFont="1" applyBorder="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0" borderId="52" xfId="0" quotePrefix="1" applyFont="1" applyBorder="1" applyAlignment="1">
      <alignment horizontal="center" vertical="center"/>
    </xf>
    <xf numFmtId="0" fontId="7" fillId="0" borderId="53"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7" fillId="0" borderId="71" xfId="0" applyFont="1" applyBorder="1">
      <alignment vertical="center"/>
    </xf>
    <xf numFmtId="0" fontId="22" fillId="0" borderId="0" xfId="0" applyFont="1" applyBorder="1" applyAlignment="1">
      <alignment horizontal="centerContinuous" vertical="center"/>
    </xf>
    <xf numFmtId="0" fontId="22" fillId="0" borderId="51" xfId="0" applyFont="1" applyBorder="1" applyAlignment="1">
      <alignment horizontal="centerContinuous" vertical="center"/>
    </xf>
    <xf numFmtId="0" fontId="22" fillId="0" borderId="32" xfId="0" applyFont="1" applyBorder="1" applyAlignment="1">
      <alignment horizontal="centerContinuous" vertical="center"/>
    </xf>
    <xf numFmtId="0" fontId="21" fillId="26" borderId="48" xfId="0" applyFont="1" applyFill="1" applyBorder="1">
      <alignment vertical="center"/>
    </xf>
    <xf numFmtId="0" fontId="21" fillId="26" borderId="49" xfId="0" applyFont="1" applyFill="1" applyBorder="1">
      <alignment vertical="center"/>
    </xf>
    <xf numFmtId="0" fontId="21" fillId="26" borderId="33" xfId="0" applyFont="1" applyFill="1" applyBorder="1">
      <alignment vertical="center"/>
    </xf>
    <xf numFmtId="0" fontId="21" fillId="26" borderId="6" xfId="0" applyFont="1" applyFill="1" applyBorder="1">
      <alignment vertical="center"/>
    </xf>
    <xf numFmtId="0" fontId="21" fillId="26" borderId="32" xfId="0" applyFont="1" applyFill="1" applyBorder="1">
      <alignment vertical="center"/>
    </xf>
    <xf numFmtId="0" fontId="21" fillId="0" borderId="50" xfId="0" applyFont="1" applyBorder="1">
      <alignment vertical="center"/>
    </xf>
    <xf numFmtId="0" fontId="21" fillId="0" borderId="7" xfId="0" applyFont="1" applyBorder="1">
      <alignment vertical="center"/>
    </xf>
    <xf numFmtId="0" fontId="21" fillId="0" borderId="51" xfId="0" applyFont="1" applyBorder="1">
      <alignment vertical="center"/>
    </xf>
    <xf numFmtId="0" fontId="22" fillId="0" borderId="35" xfId="0" applyFont="1" applyBorder="1" applyAlignment="1">
      <alignment vertical="center"/>
    </xf>
    <xf numFmtId="0" fontId="22" fillId="0" borderId="33" xfId="0" applyFont="1" applyBorder="1" applyAlignment="1">
      <alignment vertical="center"/>
    </xf>
    <xf numFmtId="0" fontId="7" fillId="0" borderId="72" xfId="0" applyFont="1" applyBorder="1">
      <alignment vertical="center"/>
    </xf>
    <xf numFmtId="0" fontId="7" fillId="0" borderId="73" xfId="0" applyFont="1" applyBorder="1">
      <alignment vertical="center"/>
    </xf>
    <xf numFmtId="0" fontId="7" fillId="0" borderId="74" xfId="0" applyFont="1" applyBorder="1">
      <alignment vertical="center"/>
    </xf>
    <xf numFmtId="0" fontId="7" fillId="0" borderId="75" xfId="0" applyFont="1" applyBorder="1">
      <alignment vertical="center"/>
    </xf>
    <xf numFmtId="0" fontId="22" fillId="0" borderId="0" xfId="0" applyFont="1" applyBorder="1">
      <alignment vertical="center"/>
    </xf>
    <xf numFmtId="0" fontId="22" fillId="0" borderId="35" xfId="0" applyFont="1" applyBorder="1">
      <alignment vertical="center"/>
    </xf>
    <xf numFmtId="0" fontId="22" fillId="0" borderId="0" xfId="0" applyFont="1" applyBorder="1">
      <alignment vertical="center"/>
    </xf>
    <xf numFmtId="0" fontId="22" fillId="0" borderId="33"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0" xfId="0" applyFont="1" applyBorder="1">
      <alignment vertical="center"/>
    </xf>
    <xf numFmtId="0" fontId="7" fillId="30" borderId="28" xfId="0" applyFont="1" applyFill="1" applyBorder="1">
      <alignment vertical="center"/>
    </xf>
    <xf numFmtId="0" fontId="7" fillId="30" borderId="7" xfId="0" applyFont="1" applyFill="1" applyBorder="1">
      <alignment vertical="center"/>
    </xf>
    <xf numFmtId="0" fontId="7" fillId="30" borderId="7" xfId="0" applyFont="1" applyFill="1" applyBorder="1" applyAlignment="1">
      <alignment horizontal="right" vertical="center"/>
    </xf>
    <xf numFmtId="0" fontId="7" fillId="30" borderId="7" xfId="0" applyNumberFormat="1" applyFont="1" applyFill="1" applyBorder="1" applyAlignment="1">
      <alignment vertical="center"/>
    </xf>
    <xf numFmtId="0" fontId="7" fillId="30" borderId="7" xfId="0" quotePrefix="1" applyNumberFormat="1" applyFont="1" applyFill="1" applyBorder="1" applyAlignment="1">
      <alignment vertical="top"/>
    </xf>
    <xf numFmtId="0" fontId="7" fillId="30" borderId="51" xfId="0" applyFont="1" applyFill="1" applyBorder="1" applyAlignment="1">
      <alignment horizontal="right" vertical="center"/>
    </xf>
    <xf numFmtId="0" fontId="7" fillId="30" borderId="23" xfId="0" applyFont="1" applyFill="1" applyBorder="1">
      <alignment vertical="center"/>
    </xf>
    <xf numFmtId="0" fontId="22" fillId="0" borderId="38" xfId="0" applyFont="1" applyFill="1" applyBorder="1">
      <alignment vertical="center"/>
    </xf>
    <xf numFmtId="0" fontId="22" fillId="0" borderId="41" xfId="0" applyFont="1" applyFill="1" applyBorder="1">
      <alignment vertical="center"/>
    </xf>
    <xf numFmtId="0" fontId="22" fillId="0" borderId="40" xfId="0" applyFont="1" applyFill="1" applyBorder="1">
      <alignment vertical="center"/>
    </xf>
    <xf numFmtId="0" fontId="22" fillId="0" borderId="39" xfId="0" applyFont="1" applyFill="1" applyBorder="1">
      <alignment vertical="center"/>
    </xf>
    <xf numFmtId="0" fontId="22" fillId="28" borderId="47" xfId="0" applyFont="1" applyFill="1" applyBorder="1">
      <alignment vertical="center"/>
    </xf>
    <xf numFmtId="0" fontId="22" fillId="28" borderId="48" xfId="0" applyFont="1" applyFill="1" applyBorder="1">
      <alignment vertical="center"/>
    </xf>
    <xf numFmtId="0" fontId="22" fillId="28" borderId="49" xfId="0" applyFont="1" applyFill="1" applyBorder="1">
      <alignment vertical="center"/>
    </xf>
    <xf numFmtId="0" fontId="22" fillId="28" borderId="50" xfId="0" applyFont="1" applyFill="1" applyBorder="1">
      <alignment vertical="center"/>
    </xf>
    <xf numFmtId="0" fontId="22" fillId="28" borderId="7" xfId="0" applyFont="1" applyFill="1" applyBorder="1">
      <alignment vertical="center"/>
    </xf>
    <xf numFmtId="0" fontId="22" fillId="28" borderId="51" xfId="0" applyFont="1" applyFill="1" applyBorder="1">
      <alignment vertical="center"/>
    </xf>
    <xf numFmtId="0" fontId="22" fillId="28" borderId="0" xfId="0" applyFont="1" applyFill="1" applyBorder="1">
      <alignment vertical="center"/>
    </xf>
    <xf numFmtId="0" fontId="22" fillId="28" borderId="34" xfId="0" applyFont="1" applyFill="1" applyBorder="1">
      <alignment vertical="center"/>
    </xf>
    <xf numFmtId="0" fontId="22" fillId="28" borderId="30" xfId="0" applyFont="1" applyFill="1" applyBorder="1">
      <alignment vertical="center"/>
    </xf>
    <xf numFmtId="0" fontId="22" fillId="0" borderId="48" xfId="0" applyFont="1" applyBorder="1">
      <alignment vertical="center"/>
    </xf>
    <xf numFmtId="0" fontId="22" fillId="0" borderId="49" xfId="0" applyFont="1" applyBorder="1">
      <alignment vertical="center"/>
    </xf>
    <xf numFmtId="0" fontId="22" fillId="0" borderId="35" xfId="0" applyFont="1" applyBorder="1">
      <alignment vertical="center"/>
    </xf>
    <xf numFmtId="0" fontId="22" fillId="0" borderId="0" xfId="0" applyFont="1" applyBorder="1">
      <alignment vertical="center"/>
    </xf>
    <xf numFmtId="0" fontId="22" fillId="0" borderId="34"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48" xfId="0" applyFont="1" applyFill="1" applyBorder="1" applyAlignment="1">
      <alignment vertical="top"/>
    </xf>
    <xf numFmtId="0" fontId="21" fillId="0" borderId="0" xfId="0" applyFont="1" applyFill="1">
      <alignment vertical="center"/>
    </xf>
    <xf numFmtId="0" fontId="58" fillId="0" borderId="0" xfId="0" applyFont="1" applyFill="1">
      <alignment vertical="center"/>
    </xf>
    <xf numFmtId="0" fontId="21" fillId="26" borderId="47" xfId="0" applyFont="1" applyFill="1" applyBorder="1">
      <alignment vertical="center"/>
    </xf>
    <xf numFmtId="0" fontId="22" fillId="0" borderId="7" xfId="0" applyFont="1" applyBorder="1" applyAlignment="1">
      <alignment vertical="center"/>
    </xf>
    <xf numFmtId="0" fontId="22" fillId="0" borderId="47" xfId="0" applyFont="1" applyBorder="1" applyAlignment="1">
      <alignment vertical="center"/>
    </xf>
    <xf numFmtId="0" fontId="21" fillId="0" borderId="0" xfId="0" applyFont="1" applyFill="1" applyBorder="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7" fillId="0" borderId="0" xfId="0" applyFont="1" applyBorder="1">
      <alignment vertical="center"/>
    </xf>
    <xf numFmtId="49" fontId="7" fillId="0" borderId="0" xfId="129" applyNumberFormat="1" applyFont="1" applyFill="1" applyBorder="1" applyAlignment="1"/>
    <xf numFmtId="0" fontId="63" fillId="0" borderId="52" xfId="0" applyFont="1" applyFill="1" applyBorder="1">
      <alignment vertical="center"/>
    </xf>
    <xf numFmtId="0" fontId="24" fillId="0" borderId="0" xfId="0" applyFont="1" applyBorder="1">
      <alignment vertical="center"/>
    </xf>
    <xf numFmtId="0" fontId="24" fillId="0" borderId="0" xfId="0" applyFont="1">
      <alignment vertical="center"/>
    </xf>
    <xf numFmtId="0" fontId="24" fillId="26" borderId="47" xfId="0" applyFont="1" applyFill="1" applyBorder="1">
      <alignment vertical="center"/>
    </xf>
    <xf numFmtId="0" fontId="24" fillId="26" borderId="48" xfId="0" applyFont="1" applyFill="1" applyBorder="1">
      <alignment vertical="center"/>
    </xf>
    <xf numFmtId="0" fontId="24" fillId="26" borderId="49" xfId="0" applyFont="1" applyFill="1" applyBorder="1">
      <alignment vertical="center"/>
    </xf>
    <xf numFmtId="0" fontId="24" fillId="26" borderId="33" xfId="0" applyFont="1" applyFill="1" applyBorder="1">
      <alignment vertical="center"/>
    </xf>
    <xf numFmtId="0" fontId="24" fillId="26" borderId="6" xfId="0" applyFont="1" applyFill="1" applyBorder="1">
      <alignment vertical="center"/>
    </xf>
    <xf numFmtId="0" fontId="24" fillId="26" borderId="32" xfId="0" applyFont="1" applyFill="1" applyBorder="1">
      <alignment vertical="center"/>
    </xf>
    <xf numFmtId="0" fontId="24" fillId="29" borderId="47" xfId="0" applyFont="1" applyFill="1" applyBorder="1">
      <alignment vertical="center"/>
    </xf>
    <xf numFmtId="0" fontId="24" fillId="29" borderId="7" xfId="0" applyFont="1" applyFill="1" applyBorder="1">
      <alignment vertical="center"/>
    </xf>
    <xf numFmtId="0" fontId="24" fillId="29" borderId="51" xfId="0" applyFont="1" applyFill="1" applyBorder="1">
      <alignment vertical="center"/>
    </xf>
    <xf numFmtId="0" fontId="24" fillId="29" borderId="57" xfId="0" applyFont="1" applyFill="1" applyBorder="1">
      <alignment vertical="center"/>
    </xf>
    <xf numFmtId="0" fontId="24" fillId="0" borderId="7" xfId="0" applyFont="1" applyBorder="1">
      <alignment vertical="center"/>
    </xf>
    <xf numFmtId="0" fontId="24" fillId="0" borderId="51" xfId="0" applyFont="1" applyBorder="1">
      <alignment vertical="center"/>
    </xf>
    <xf numFmtId="0" fontId="24" fillId="0" borderId="50" xfId="0" applyFont="1" applyBorder="1">
      <alignment vertical="center"/>
    </xf>
    <xf numFmtId="0" fontId="24" fillId="0" borderId="7" xfId="0" quotePrefix="1" applyFont="1" applyBorder="1" applyAlignment="1">
      <alignment vertical="center"/>
    </xf>
    <xf numFmtId="0" fontId="24" fillId="0" borderId="7" xfId="0" quotePrefix="1" applyFont="1" applyBorder="1" applyAlignment="1">
      <alignment horizontal="center" vertical="center"/>
    </xf>
    <xf numFmtId="0" fontId="24" fillId="0" borderId="51" xfId="0" quotePrefix="1" applyFont="1" applyBorder="1" applyAlignment="1">
      <alignment horizontal="center" vertical="center"/>
    </xf>
    <xf numFmtId="0" fontId="24" fillId="29" borderId="11" xfId="0" applyFont="1" applyFill="1" applyBorder="1">
      <alignment vertical="center"/>
    </xf>
    <xf numFmtId="0" fontId="24" fillId="31" borderId="7" xfId="0" applyFont="1" applyFill="1" applyBorder="1" applyAlignment="1">
      <alignment horizontal="right" vertical="center"/>
    </xf>
    <xf numFmtId="0" fontId="24" fillId="0" borderId="33" xfId="0" applyFont="1" applyBorder="1">
      <alignment vertical="center"/>
    </xf>
    <xf numFmtId="0" fontId="24" fillId="0" borderId="6" xfId="0" applyFont="1" applyBorder="1">
      <alignment vertical="center"/>
    </xf>
    <xf numFmtId="0" fontId="24" fillId="0" borderId="32" xfId="0" applyFont="1" applyBorder="1">
      <alignment vertical="center"/>
    </xf>
    <xf numFmtId="0" fontId="24" fillId="29" borderId="48" xfId="0" applyFont="1" applyFill="1" applyBorder="1">
      <alignment vertical="center"/>
    </xf>
    <xf numFmtId="0" fontId="24" fillId="29" borderId="7" xfId="0" quotePrefix="1" applyFont="1" applyFill="1" applyBorder="1" applyAlignment="1">
      <alignment horizontal="center" vertical="center"/>
    </xf>
    <xf numFmtId="0" fontId="24" fillId="29" borderId="7" xfId="0" quotePrefix="1" applyFont="1" applyFill="1" applyBorder="1" applyAlignment="1">
      <alignment vertical="center"/>
    </xf>
    <xf numFmtId="0" fontId="24" fillId="31" borderId="7" xfId="0" applyFont="1" applyFill="1" applyBorder="1">
      <alignment vertical="center"/>
    </xf>
    <xf numFmtId="0" fontId="24" fillId="31" borderId="50" xfId="0" applyFont="1" applyFill="1" applyBorder="1">
      <alignment vertical="center"/>
    </xf>
    <xf numFmtId="0" fontId="24" fillId="31" borderId="51" xfId="0" applyFont="1" applyFill="1" applyBorder="1">
      <alignment vertical="center"/>
    </xf>
    <xf numFmtId="0" fontId="24" fillId="30" borderId="33" xfId="0" applyFont="1" applyFill="1" applyBorder="1">
      <alignment vertical="center"/>
    </xf>
    <xf numFmtId="0" fontId="24" fillId="30" borderId="6" xfId="0" applyFont="1" applyFill="1" applyBorder="1">
      <alignment vertical="center"/>
    </xf>
    <xf numFmtId="0" fontId="24" fillId="30" borderId="6" xfId="0" applyFont="1" applyFill="1" applyBorder="1" applyAlignment="1">
      <alignment horizontal="right" vertical="center"/>
    </xf>
    <xf numFmtId="0" fontId="24" fillId="30" borderId="7" xfId="0" applyFont="1" applyFill="1" applyBorder="1">
      <alignment vertical="center"/>
    </xf>
    <xf numFmtId="0" fontId="24" fillId="30" borderId="51" xfId="0" applyFont="1" applyFill="1" applyBorder="1">
      <alignment vertical="center"/>
    </xf>
    <xf numFmtId="0" fontId="24" fillId="30" borderId="32" xfId="0" applyFont="1" applyFill="1" applyBorder="1">
      <alignment vertical="center"/>
    </xf>
    <xf numFmtId="0" fontId="0" fillId="0" borderId="0" xfId="0" applyFont="1">
      <alignment vertical="center"/>
    </xf>
    <xf numFmtId="0" fontId="66" fillId="0" borderId="0" xfId="113" applyFont="1" applyAlignment="1">
      <alignment horizontal="left" vertical="center"/>
    </xf>
    <xf numFmtId="0" fontId="66" fillId="0" borderId="0" xfId="0" applyFont="1" applyFill="1" applyBorder="1" applyAlignment="1">
      <alignment horizontal="left" vertical="center"/>
    </xf>
    <xf numFmtId="0" fontId="66" fillId="0" borderId="0" xfId="0" applyFont="1" applyAlignment="1">
      <alignment horizontal="left" vertical="center"/>
    </xf>
    <xf numFmtId="0" fontId="66" fillId="0" borderId="0" xfId="0" applyFont="1" applyFill="1" applyBorder="1">
      <alignment vertical="center"/>
    </xf>
    <xf numFmtId="0" fontId="66" fillId="0" borderId="0" xfId="0" applyFont="1" applyFill="1">
      <alignment vertical="center"/>
    </xf>
    <xf numFmtId="0" fontId="66" fillId="0" borderId="0" xfId="0" applyFont="1" applyBorder="1">
      <alignment vertical="center"/>
    </xf>
    <xf numFmtId="49" fontId="66" fillId="27" borderId="35" xfId="0" applyNumberFormat="1" applyFont="1" applyFill="1" applyBorder="1" applyAlignment="1">
      <alignment horizontal="left" vertical="center"/>
    </xf>
    <xf numFmtId="49" fontId="66" fillId="27" borderId="0" xfId="0" applyNumberFormat="1" applyFont="1" applyFill="1" applyBorder="1" applyAlignment="1">
      <alignment horizontal="left" vertical="center"/>
    </xf>
    <xf numFmtId="49" fontId="66" fillId="27" borderId="34" xfId="0" applyNumberFormat="1" applyFont="1" applyFill="1" applyBorder="1" applyAlignment="1">
      <alignment horizontal="left" vertical="center"/>
    </xf>
    <xf numFmtId="0" fontId="24" fillId="0" borderId="0" xfId="0" applyFont="1" applyFill="1" applyBorder="1">
      <alignment vertical="center"/>
    </xf>
    <xf numFmtId="0" fontId="0" fillId="0" borderId="0" xfId="0" applyFont="1" applyFill="1">
      <alignment vertical="center"/>
    </xf>
    <xf numFmtId="0" fontId="24" fillId="0" borderId="0" xfId="0" applyFont="1" applyFill="1">
      <alignment vertical="center"/>
    </xf>
    <xf numFmtId="0" fontId="24" fillId="0" borderId="0" xfId="0" quotePrefix="1" applyFont="1" applyFill="1" applyBorder="1">
      <alignment vertical="center"/>
    </xf>
    <xf numFmtId="0" fontId="24" fillId="0" borderId="0" xfId="0" applyFont="1" applyFill="1" applyBorder="1" applyAlignment="1">
      <alignment vertical="top"/>
    </xf>
    <xf numFmtId="0" fontId="24" fillId="0" borderId="0" xfId="0" applyFont="1" applyFill="1" applyBorder="1" applyAlignment="1">
      <alignment horizontal="center" vertical="center"/>
    </xf>
    <xf numFmtId="0" fontId="24" fillId="26" borderId="7" xfId="0" applyFont="1" applyFill="1" applyBorder="1">
      <alignment vertical="center"/>
    </xf>
    <xf numFmtId="0" fontId="24" fillId="26" borderId="51" xfId="0" applyFont="1" applyFill="1" applyBorder="1">
      <alignment vertical="center"/>
    </xf>
    <xf numFmtId="0" fontId="24" fillId="26" borderId="50" xfId="0" applyFont="1" applyFill="1" applyBorder="1">
      <alignment vertical="center"/>
    </xf>
    <xf numFmtId="0" fontId="24" fillId="0" borderId="48" xfId="0" applyFont="1" applyBorder="1">
      <alignment vertical="center"/>
    </xf>
    <xf numFmtId="0" fontId="24" fillId="0" borderId="49" xfId="0" applyFont="1" applyBorder="1">
      <alignment vertical="center"/>
    </xf>
    <xf numFmtId="0" fontId="24" fillId="0" borderId="47" xfId="0" applyFont="1" applyBorder="1" applyAlignment="1">
      <alignment vertical="top"/>
    </xf>
    <xf numFmtId="0" fontId="24" fillId="0" borderId="48" xfId="0" applyFont="1" applyBorder="1" applyAlignment="1">
      <alignment vertical="top"/>
    </xf>
    <xf numFmtId="0" fontId="24" fillId="0" borderId="49" xfId="0" applyFont="1" applyBorder="1" applyAlignment="1">
      <alignment vertical="top"/>
    </xf>
    <xf numFmtId="0" fontId="24" fillId="0" borderId="34" xfId="0" applyFont="1" applyBorder="1">
      <alignment vertical="center"/>
    </xf>
    <xf numFmtId="0" fontId="24" fillId="0" borderId="35" xfId="0" applyFont="1" applyBorder="1" applyAlignment="1">
      <alignment vertical="top"/>
    </xf>
    <xf numFmtId="0" fontId="24" fillId="0" borderId="0" xfId="0" applyFont="1" applyBorder="1" applyAlignment="1">
      <alignment vertical="top"/>
    </xf>
    <xf numFmtId="0" fontId="24" fillId="0" borderId="34" xfId="0" applyFont="1" applyBorder="1" applyAlignment="1">
      <alignment vertical="top"/>
    </xf>
    <xf numFmtId="0" fontId="24" fillId="0" borderId="33" xfId="0" applyFont="1" applyBorder="1" applyAlignment="1">
      <alignment vertical="top"/>
    </xf>
    <xf numFmtId="0" fontId="24" fillId="0" borderId="6" xfId="0" applyFont="1" applyBorder="1" applyAlignment="1">
      <alignment vertical="top"/>
    </xf>
    <xf numFmtId="0" fontId="24" fillId="0" borderId="32" xfId="0" applyFont="1" applyBorder="1" applyAlignment="1">
      <alignment vertical="top"/>
    </xf>
    <xf numFmtId="0" fontId="24" fillId="26" borderId="30" xfId="0" applyFont="1" applyFill="1" applyBorder="1">
      <alignment vertical="center"/>
    </xf>
    <xf numFmtId="0" fontId="22" fillId="0" borderId="50" xfId="0" quotePrefix="1" applyFont="1" applyBorder="1" applyAlignment="1">
      <alignment vertical="top"/>
    </xf>
    <xf numFmtId="0" fontId="22" fillId="0" borderId="7" xfId="0" applyFont="1" applyBorder="1" applyAlignment="1">
      <alignment vertical="top"/>
    </xf>
    <xf numFmtId="0" fontId="22" fillId="0" borderId="51" xfId="0" applyFont="1" applyBorder="1" applyAlignment="1">
      <alignment vertical="top"/>
    </xf>
    <xf numFmtId="0" fontId="22" fillId="0" borderId="50" xfId="0" quotePrefix="1" applyFont="1" applyFill="1" applyBorder="1" applyAlignment="1">
      <alignment vertical="top"/>
    </xf>
    <xf numFmtId="0" fontId="22" fillId="0" borderId="7" xfId="0" applyFont="1" applyFill="1" applyBorder="1" applyAlignment="1">
      <alignment vertical="top"/>
    </xf>
    <xf numFmtId="0" fontId="22" fillId="0" borderId="51" xfId="0" applyFont="1" applyFill="1" applyBorder="1" applyAlignment="1">
      <alignment vertical="top"/>
    </xf>
    <xf numFmtId="0" fontId="22" fillId="0" borderId="50" xfId="0" applyFont="1" applyFill="1" applyBorder="1" applyAlignment="1">
      <alignment vertical="top"/>
    </xf>
    <xf numFmtId="0" fontId="22" fillId="0" borderId="50" xfId="0" applyFont="1" applyBorder="1" applyAlignment="1">
      <alignment vertical="top"/>
    </xf>
    <xf numFmtId="0" fontId="22" fillId="0" borderId="47" xfId="0" quotePrefix="1" applyFont="1" applyFill="1" applyBorder="1" applyAlignment="1">
      <alignment vertical="top"/>
    </xf>
    <xf numFmtId="0" fontId="22" fillId="28" borderId="50" xfId="0" applyFont="1" applyFill="1" applyBorder="1" applyAlignment="1">
      <alignment vertical="top"/>
    </xf>
    <xf numFmtId="0" fontId="22" fillId="28" borderId="7" xfId="0" applyFont="1" applyFill="1" applyBorder="1" applyAlignment="1">
      <alignment vertical="top"/>
    </xf>
    <xf numFmtId="0" fontId="22" fillId="28" borderId="51" xfId="0" applyFont="1" applyFill="1" applyBorder="1" applyAlignment="1">
      <alignment vertical="top"/>
    </xf>
    <xf numFmtId="0" fontId="22" fillId="28" borderId="47" xfId="0" applyFont="1" applyFill="1" applyBorder="1" applyAlignment="1">
      <alignment vertical="top"/>
    </xf>
    <xf numFmtId="0" fontId="22" fillId="28" borderId="48" xfId="0" applyFont="1" applyFill="1" applyBorder="1" applyAlignment="1">
      <alignment vertical="top"/>
    </xf>
    <xf numFmtId="0" fontId="22" fillId="28" borderId="49" xfId="0" applyFont="1" applyFill="1" applyBorder="1" applyAlignment="1">
      <alignment vertical="top"/>
    </xf>
    <xf numFmtId="0" fontId="22" fillId="0" borderId="47" xfId="0" quotePrefix="1" applyFont="1" applyBorder="1" applyAlignment="1">
      <alignment vertical="top"/>
    </xf>
    <xf numFmtId="0" fontId="22" fillId="0" borderId="33" xfId="0" quotePrefix="1" applyFont="1" applyBorder="1" applyAlignment="1">
      <alignment vertical="top"/>
    </xf>
    <xf numFmtId="0" fontId="22" fillId="0" borderId="33" xfId="0" applyFont="1" applyBorder="1" applyAlignment="1">
      <alignment horizontal="center" vertical="top"/>
    </xf>
    <xf numFmtId="0" fontId="22" fillId="0" borderId="6" xfId="0" applyFont="1" applyBorder="1" applyAlignment="1">
      <alignment horizontal="center" vertical="top"/>
    </xf>
    <xf numFmtId="0" fontId="22" fillId="0" borderId="32" xfId="0" applyFont="1" applyBorder="1" applyAlignment="1">
      <alignment horizontal="center" vertical="top"/>
    </xf>
    <xf numFmtId="0" fontId="22" fillId="0" borderId="33" xfId="0" quotePrefix="1" applyFont="1" applyFill="1" applyBorder="1" applyAlignment="1">
      <alignment vertical="top"/>
    </xf>
    <xf numFmtId="0" fontId="7" fillId="0" borderId="0" xfId="0" applyFont="1" applyBorder="1" applyAlignment="1">
      <alignment vertical="top"/>
    </xf>
    <xf numFmtId="0" fontId="7" fillId="0" borderId="34" xfId="0" applyFont="1" applyBorder="1" applyAlignment="1">
      <alignment vertical="top"/>
    </xf>
    <xf numFmtId="0" fontId="7" fillId="0" borderId="6" xfId="0" applyFont="1" applyBorder="1" applyAlignment="1">
      <alignment vertical="top"/>
    </xf>
    <xf numFmtId="0" fontId="7" fillId="0" borderId="32" xfId="0" applyFont="1" applyBorder="1" applyAlignment="1">
      <alignment vertical="top"/>
    </xf>
    <xf numFmtId="0" fontId="7" fillId="0" borderId="48" xfId="0" applyFont="1" applyBorder="1" applyAlignment="1">
      <alignment vertical="top"/>
    </xf>
    <xf numFmtId="0" fontId="7" fillId="0" borderId="49" xfId="0" applyFont="1" applyBorder="1" applyAlignment="1">
      <alignment vertical="top"/>
    </xf>
    <xf numFmtId="0" fontId="7" fillId="0" borderId="35" xfId="0" applyFont="1" applyBorder="1" applyAlignment="1">
      <alignment vertical="top"/>
    </xf>
    <xf numFmtId="0" fontId="7" fillId="0" borderId="33" xfId="0" applyFont="1" applyBorder="1" applyAlignment="1">
      <alignment vertical="top"/>
    </xf>
    <xf numFmtId="0" fontId="7" fillId="0" borderId="52" xfId="0" applyFont="1" applyBorder="1" applyAlignment="1">
      <alignment vertical="top"/>
    </xf>
    <xf numFmtId="0" fontId="7" fillId="0" borderId="53" xfId="0" applyFont="1" applyBorder="1" applyAlignment="1">
      <alignment vertical="top"/>
    </xf>
    <xf numFmtId="0" fontId="7" fillId="0" borderId="58" xfId="0" applyFont="1" applyBorder="1" applyAlignment="1">
      <alignment vertical="top"/>
    </xf>
    <xf numFmtId="0" fontId="7" fillId="0" borderId="38" xfId="0" applyFont="1" applyBorder="1" applyAlignment="1">
      <alignment vertical="top"/>
    </xf>
    <xf numFmtId="0" fontId="7" fillId="0" borderId="37" xfId="0" applyFont="1" applyBorder="1" applyAlignment="1">
      <alignment vertical="top"/>
    </xf>
    <xf numFmtId="0" fontId="7" fillId="0" borderId="36" xfId="0" applyFont="1" applyBorder="1" applyAlignment="1">
      <alignment vertical="top"/>
    </xf>
    <xf numFmtId="0" fontId="7" fillId="0" borderId="38" xfId="0" applyFont="1" applyBorder="1">
      <alignment vertical="center"/>
    </xf>
    <xf numFmtId="0" fontId="7" fillId="0" borderId="37" xfId="0" applyFont="1" applyBorder="1">
      <alignment vertical="center"/>
    </xf>
    <xf numFmtId="0" fontId="7" fillId="0" borderId="36" xfId="0" applyFont="1" applyBorder="1">
      <alignment vertical="center"/>
    </xf>
    <xf numFmtId="0" fontId="7" fillId="0" borderId="47" xfId="0" applyFont="1" applyBorder="1" applyAlignment="1">
      <alignment vertical="top"/>
    </xf>
    <xf numFmtId="0" fontId="21" fillId="0" borderId="47" xfId="0" applyFont="1" applyBorder="1">
      <alignment vertical="center"/>
    </xf>
    <xf numFmtId="0" fontId="21" fillId="0" borderId="35" xfId="0" applyFont="1" applyBorder="1">
      <alignment vertical="center"/>
    </xf>
    <xf numFmtId="0" fontId="21" fillId="0" borderId="52" xfId="0" applyFont="1" applyBorder="1">
      <alignment vertical="center"/>
    </xf>
    <xf numFmtId="0" fontId="21" fillId="0" borderId="46" xfId="0" applyFont="1" applyBorder="1">
      <alignment vertical="center"/>
    </xf>
    <xf numFmtId="0" fontId="7" fillId="0" borderId="0" xfId="0" applyFont="1" applyBorder="1">
      <alignment vertical="center"/>
    </xf>
    <xf numFmtId="0" fontId="22" fillId="0" borderId="0" xfId="0" applyFont="1" applyBorder="1" applyAlignment="1">
      <alignment vertical="top"/>
    </xf>
    <xf numFmtId="0" fontId="7" fillId="0" borderId="48"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47" xfId="0" applyFont="1" applyBorder="1">
      <alignment vertical="center"/>
    </xf>
    <xf numFmtId="0" fontId="7" fillId="0" borderId="49" xfId="0" applyFont="1" applyBorder="1">
      <alignment vertical="center"/>
    </xf>
    <xf numFmtId="49" fontId="7" fillId="27" borderId="22" xfId="132" applyNumberFormat="1" applyFont="1" applyFill="1" applyBorder="1" applyAlignment="1">
      <alignment horizontal="left" vertical="top"/>
    </xf>
    <xf numFmtId="49" fontId="7" fillId="27" borderId="28" xfId="132" applyNumberFormat="1" applyFont="1" applyFill="1" applyBorder="1" applyAlignment="1">
      <alignment horizontal="left" vertical="top"/>
    </xf>
    <xf numFmtId="0" fontId="58" fillId="0" borderId="0" xfId="0" applyFont="1" applyFill="1" applyBorder="1">
      <alignment vertical="center"/>
    </xf>
    <xf numFmtId="0" fontId="57" fillId="0" borderId="0" xfId="0" applyFont="1" applyFill="1" applyBorder="1">
      <alignment vertical="center"/>
    </xf>
    <xf numFmtId="49" fontId="7" fillId="27" borderId="29" xfId="0" applyNumberFormat="1" applyFont="1" applyFill="1" applyBorder="1" applyAlignment="1"/>
    <xf numFmtId="49" fontId="7" fillId="27" borderId="30" xfId="0" applyNumberFormat="1" applyFont="1" applyFill="1" applyBorder="1" applyAlignment="1"/>
    <xf numFmtId="0" fontId="7" fillId="27" borderId="35" xfId="113" applyFont="1" applyFill="1" applyBorder="1"/>
    <xf numFmtId="0" fontId="7" fillId="27" borderId="22" xfId="113" applyFont="1" applyFill="1" applyBorder="1"/>
    <xf numFmtId="49" fontId="7" fillId="27" borderId="28" xfId="0" applyNumberFormat="1" applyFont="1" applyFill="1" applyBorder="1" applyAlignment="1"/>
    <xf numFmtId="0" fontId="7" fillId="27" borderId="33" xfId="113" applyFont="1" applyFill="1" applyBorder="1"/>
    <xf numFmtId="49" fontId="7" fillId="27" borderId="35" xfId="0" applyNumberFormat="1" applyFont="1" applyFill="1" applyBorder="1" applyAlignment="1"/>
    <xf numFmtId="49" fontId="7" fillId="27" borderId="0" xfId="0" applyNumberFormat="1" applyFont="1" applyFill="1" applyBorder="1" applyAlignment="1">
      <alignment horizontal="left" vertical="top" wrapText="1"/>
    </xf>
    <xf numFmtId="49" fontId="7" fillId="27" borderId="28" xfId="0" applyNumberFormat="1" applyFont="1" applyFill="1" applyBorder="1" applyAlignment="1">
      <alignment horizontal="left" vertical="top" wrapText="1"/>
    </xf>
    <xf numFmtId="49" fontId="7" fillId="27" borderId="7" xfId="132" applyNumberFormat="1" applyFont="1" applyFill="1" applyBorder="1" applyAlignment="1">
      <alignment horizontal="left" vertical="top"/>
    </xf>
    <xf numFmtId="0" fontId="7" fillId="30" borderId="22" xfId="0" applyFont="1" applyFill="1" applyBorder="1">
      <alignment vertical="center"/>
    </xf>
    <xf numFmtId="0" fontId="7" fillId="0" borderId="0" xfId="0" applyFont="1" applyBorder="1">
      <alignment vertical="center"/>
    </xf>
    <xf numFmtId="0" fontId="7" fillId="0" borderId="0" xfId="0" applyFont="1" applyBorder="1">
      <alignment vertical="center"/>
    </xf>
    <xf numFmtId="0" fontId="55" fillId="0" borderId="0" xfId="128" applyFont="1" applyBorder="1" applyAlignment="1">
      <alignment horizontal="center" vertical="center"/>
    </xf>
    <xf numFmtId="0" fontId="50" fillId="0" borderId="0" xfId="128" applyFont="1" applyBorder="1" applyAlignment="1">
      <alignment horizontal="center" vertical="center"/>
    </xf>
    <xf numFmtId="0" fontId="53" fillId="0" borderId="0" xfId="128" applyFont="1" applyBorder="1" applyAlignment="1">
      <alignment horizontal="center" vertical="center" wrapText="1"/>
    </xf>
    <xf numFmtId="0" fontId="54" fillId="0" borderId="0" xfId="128" applyFont="1" applyBorder="1" applyAlignment="1">
      <alignment horizontal="center" vertical="center"/>
    </xf>
    <xf numFmtId="58" fontId="55" fillId="0" borderId="0" xfId="128" applyNumberFormat="1"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24" fillId="0" borderId="22" xfId="0" applyFont="1" applyBorder="1" applyAlignment="1">
      <alignment vertical="center"/>
    </xf>
    <xf numFmtId="0" fontId="24" fillId="0" borderId="28" xfId="0" applyFont="1" applyBorder="1" applyAlignment="1">
      <alignment vertical="center"/>
    </xf>
    <xf numFmtId="0" fontId="24" fillId="0" borderId="23" xfId="0" applyFont="1" applyBorder="1" applyAlignment="1">
      <alignment vertical="center"/>
    </xf>
    <xf numFmtId="0" fontId="7" fillId="0" borderId="9" xfId="0" applyFont="1" applyFill="1" applyBorder="1" applyAlignment="1">
      <alignment horizontal="left" vertical="center"/>
    </xf>
    <xf numFmtId="0" fontId="24" fillId="0" borderId="9" xfId="0" applyFont="1" applyBorder="1" applyAlignment="1">
      <alignmen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24" fillId="0" borderId="22" xfId="0" applyNumberFormat="1" applyFont="1" applyBorder="1" applyAlignment="1">
      <alignment vertical="center"/>
    </xf>
    <xf numFmtId="49" fontId="24" fillId="0" borderId="28" xfId="0" applyNumberFormat="1" applyFont="1" applyBorder="1" applyAlignment="1">
      <alignment vertical="center"/>
    </xf>
    <xf numFmtId="49" fontId="24" fillId="0" borderId="23" xfId="0" applyNumberFormat="1" applyFont="1" applyBorder="1" applyAlignment="1">
      <alignment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14" fontId="24" fillId="0" borderId="22" xfId="0" applyNumberFormat="1" applyFont="1" applyBorder="1" applyAlignment="1">
      <alignment horizontal="center" vertical="center"/>
    </xf>
    <xf numFmtId="0" fontId="24" fillId="0" borderId="22" xfId="0" quotePrefix="1" applyFont="1" applyBorder="1" applyAlignment="1">
      <alignment horizontal="center" vertical="center"/>
    </xf>
    <xf numFmtId="0" fontId="24" fillId="0" borderId="22" xfId="0" quotePrefix="1" applyFont="1" applyBorder="1" applyAlignment="1">
      <alignment vertical="center"/>
    </xf>
    <xf numFmtId="0" fontId="24" fillId="0" borderId="22"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3" xfId="0" applyFont="1" applyBorder="1" applyAlignment="1">
      <alignment horizontal="center" vertical="center" shrinkToFit="1"/>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14" fontId="24" fillId="0" borderId="29" xfId="0" applyNumberFormat="1" applyFont="1" applyBorder="1" applyAlignment="1">
      <alignment horizontal="center" vertical="center"/>
    </xf>
    <xf numFmtId="49" fontId="24" fillId="0" borderId="29" xfId="0" applyNumberFormat="1" applyFont="1" applyBorder="1" applyAlignment="1">
      <alignment vertical="center"/>
    </xf>
    <xf numFmtId="49" fontId="24" fillId="0" borderId="30" xfId="0" applyNumberFormat="1" applyFont="1" applyBorder="1" applyAlignment="1">
      <alignment vertical="center"/>
    </xf>
    <xf numFmtId="49" fontId="24" fillId="0" borderId="31" xfId="0" applyNumberFormat="1" applyFont="1" applyBorder="1" applyAlignment="1">
      <alignment vertical="center"/>
    </xf>
    <xf numFmtId="0" fontId="24" fillId="26" borderId="22" xfId="0" applyFont="1" applyFill="1" applyBorder="1" applyAlignment="1">
      <alignment horizontal="center" vertical="center"/>
    </xf>
    <xf numFmtId="0" fontId="24" fillId="26" borderId="28" xfId="0" applyFont="1" applyFill="1" applyBorder="1" applyAlignment="1">
      <alignment horizontal="center" vertical="center"/>
    </xf>
    <xf numFmtId="0" fontId="24" fillId="26" borderId="23" xfId="0" applyFont="1" applyFill="1" applyBorder="1" applyAlignment="1">
      <alignment horizontal="center" vertical="center"/>
    </xf>
    <xf numFmtId="0" fontId="22" fillId="0" borderId="9" xfId="0" applyFont="1" applyBorder="1" applyAlignment="1">
      <alignment horizontal="center" vertical="center" wrapText="1"/>
    </xf>
    <xf numFmtId="0" fontId="22" fillId="0" borderId="9" xfId="0" applyFont="1" applyBorder="1" applyAlignment="1">
      <alignment horizontal="center" vertical="center"/>
    </xf>
    <xf numFmtId="0" fontId="24"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176" fontId="24" fillId="0" borderId="9" xfId="0" applyNumberFormat="1" applyFont="1" applyBorder="1" applyAlignment="1">
      <alignment horizontal="center" vertical="center"/>
    </xf>
    <xf numFmtId="0" fontId="56" fillId="0" borderId="0" xfId="0" applyFont="1" applyAlignment="1">
      <alignment horizontal="center" vertical="center"/>
    </xf>
    <xf numFmtId="0" fontId="0" fillId="0" borderId="0" xfId="0" applyAlignment="1">
      <alignment horizontal="center" vertical="center"/>
    </xf>
    <xf numFmtId="0" fontId="24" fillId="0" borderId="9" xfId="0" applyFont="1" applyBorder="1" applyAlignment="1">
      <alignment horizontal="center" vertical="center" textRotation="255"/>
    </xf>
    <xf numFmtId="0" fontId="24" fillId="0" borderId="9" xfId="0" applyFont="1" applyBorder="1" applyAlignment="1">
      <alignment horizontal="center" vertical="center" wrapText="1"/>
    </xf>
    <xf numFmtId="49" fontId="24" fillId="0" borderId="9" xfId="0" applyNumberFormat="1" applyFont="1" applyBorder="1" applyAlignment="1">
      <alignment horizontal="center" vertical="center"/>
    </xf>
    <xf numFmtId="0" fontId="22" fillId="0" borderId="9" xfId="0" applyFont="1" applyFill="1" applyBorder="1" applyAlignment="1">
      <alignment horizontal="center" vertical="center"/>
    </xf>
    <xf numFmtId="176" fontId="22" fillId="0" borderId="9" xfId="0" applyNumberFormat="1" applyFont="1" applyFill="1" applyBorder="1" applyAlignment="1">
      <alignment horizontal="center" vertical="center"/>
    </xf>
    <xf numFmtId="0" fontId="23" fillId="0" borderId="0" xfId="0" applyFont="1" applyFill="1" applyAlignment="1">
      <alignment horizontal="center" vertical="center"/>
    </xf>
    <xf numFmtId="0" fontId="21" fillId="0" borderId="0" xfId="0" applyFont="1" applyFill="1" applyAlignment="1">
      <alignment horizontal="center" vertical="center"/>
    </xf>
    <xf numFmtId="0" fontId="7" fillId="0" borderId="22" xfId="113" applyFont="1" applyFill="1" applyBorder="1" applyAlignment="1">
      <alignment horizontal="center" vertical="center" wrapText="1"/>
    </xf>
    <xf numFmtId="0" fontId="7" fillId="0" borderId="28" xfId="113" applyFont="1" applyFill="1" applyBorder="1" applyAlignment="1">
      <alignment horizontal="center" vertical="center" wrapText="1"/>
    </xf>
    <xf numFmtId="0" fontId="7" fillId="0" borderId="23" xfId="113" applyFont="1" applyFill="1" applyBorder="1" applyAlignment="1">
      <alignment horizontal="center" vertical="center" wrapText="1"/>
    </xf>
    <xf numFmtId="0" fontId="22" fillId="0" borderId="9" xfId="0" applyFont="1" applyFill="1" applyBorder="1" applyAlignment="1">
      <alignment horizontal="center" vertical="center" textRotation="255"/>
    </xf>
    <xf numFmtId="0" fontId="22" fillId="0" borderId="9" xfId="0" applyFont="1" applyFill="1" applyBorder="1" applyAlignment="1">
      <alignment horizontal="center" vertical="center" wrapText="1"/>
    </xf>
    <xf numFmtId="49" fontId="22" fillId="0" borderId="9" xfId="0" applyNumberFormat="1" applyFont="1" applyFill="1" applyBorder="1" applyAlignment="1">
      <alignment horizontal="center" vertical="center"/>
    </xf>
    <xf numFmtId="0" fontId="23" fillId="0" borderId="0" xfId="0" applyFont="1" applyAlignment="1">
      <alignment horizontal="center" vertical="center"/>
    </xf>
    <xf numFmtId="0" fontId="21" fillId="0" borderId="0" xfId="0" applyFont="1" applyAlignment="1">
      <alignment horizontal="center" vertical="center"/>
    </xf>
    <xf numFmtId="0" fontId="7" fillId="0" borderId="21" xfId="113" applyFont="1" applyBorder="1" applyAlignment="1">
      <alignment horizontal="center" vertical="center" wrapText="1"/>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0" fontId="22" fillId="28" borderId="47" xfId="0" applyFont="1" applyFill="1" applyBorder="1" applyAlignment="1">
      <alignment horizontal="center" vertical="top"/>
    </xf>
    <xf numFmtId="0" fontId="22" fillId="28" borderId="48" xfId="0" applyFont="1" applyFill="1" applyBorder="1" applyAlignment="1">
      <alignment horizontal="center" vertical="top"/>
    </xf>
    <xf numFmtId="0" fontId="22" fillId="28" borderId="49" xfId="0" applyFont="1" applyFill="1" applyBorder="1" applyAlignment="1">
      <alignment horizontal="center" vertical="top"/>
    </xf>
    <xf numFmtId="0" fontId="22" fillId="0" borderId="47" xfId="0" applyFont="1" applyBorder="1" applyAlignment="1">
      <alignment horizontal="center" vertical="top"/>
    </xf>
    <xf numFmtId="0" fontId="22" fillId="0" borderId="48" xfId="0" applyFont="1" applyBorder="1" applyAlignment="1">
      <alignment horizontal="center" vertical="top"/>
    </xf>
    <xf numFmtId="0" fontId="22" fillId="0" borderId="49" xfId="0" applyFont="1" applyBorder="1" applyAlignment="1">
      <alignment horizontal="center" vertical="top"/>
    </xf>
    <xf numFmtId="0" fontId="22" fillId="0" borderId="50" xfId="0" applyFont="1" applyBorder="1" applyAlignment="1">
      <alignment horizontal="center" vertical="top"/>
    </xf>
    <xf numFmtId="0" fontId="22" fillId="0" borderId="7" xfId="0" applyFont="1" applyBorder="1" applyAlignment="1">
      <alignment horizontal="center" vertical="top"/>
    </xf>
    <xf numFmtId="0" fontId="22" fillId="0" borderId="51" xfId="0" applyFont="1" applyBorder="1" applyAlignment="1">
      <alignment horizontal="center" vertical="top"/>
    </xf>
    <xf numFmtId="0" fontId="22" fillId="28" borderId="50" xfId="0" applyFont="1" applyFill="1" applyBorder="1" applyAlignment="1">
      <alignment horizontal="center" vertical="top"/>
    </xf>
    <xf numFmtId="0" fontId="22" fillId="28" borderId="7" xfId="0" applyFont="1" applyFill="1" applyBorder="1" applyAlignment="1">
      <alignment horizontal="center" vertical="top"/>
    </xf>
    <xf numFmtId="0" fontId="22" fillId="28" borderId="51" xfId="0" applyFont="1" applyFill="1" applyBorder="1" applyAlignment="1">
      <alignment horizontal="center" vertical="top"/>
    </xf>
    <xf numFmtId="0" fontId="22" fillId="0" borderId="47" xfId="0" applyFont="1" applyFill="1" applyBorder="1" applyAlignment="1">
      <alignment horizontal="center" vertical="top"/>
    </xf>
    <xf numFmtId="0" fontId="22" fillId="0" borderId="48" xfId="0" applyFont="1" applyFill="1" applyBorder="1" applyAlignment="1">
      <alignment horizontal="center" vertical="top"/>
    </xf>
    <xf numFmtId="0" fontId="22" fillId="0" borderId="49" xfId="0" applyFont="1" applyFill="1" applyBorder="1" applyAlignment="1">
      <alignment horizontal="center" vertical="top"/>
    </xf>
    <xf numFmtId="0" fontId="22" fillId="0" borderId="35" xfId="0" applyFont="1" applyBorder="1" applyAlignment="1">
      <alignment horizontal="center" vertical="top"/>
    </xf>
    <xf numFmtId="0" fontId="22" fillId="0" borderId="0" xfId="0" applyFont="1" applyBorder="1" applyAlignment="1">
      <alignment horizontal="center" vertical="top"/>
    </xf>
    <xf numFmtId="0" fontId="22" fillId="0" borderId="34" xfId="0" applyFont="1" applyBorder="1" applyAlignment="1">
      <alignment horizontal="center" vertical="top"/>
    </xf>
    <xf numFmtId="0" fontId="22" fillId="0" borderId="33" xfId="0" applyFont="1" applyBorder="1" applyAlignment="1">
      <alignment horizontal="center" vertical="top"/>
    </xf>
    <xf numFmtId="0" fontId="22" fillId="0" borderId="6" xfId="0" applyFont="1" applyBorder="1" applyAlignment="1">
      <alignment horizontal="center" vertical="top"/>
    </xf>
    <xf numFmtId="0" fontId="22" fillId="0" borderId="32" xfId="0" applyFont="1" applyBorder="1" applyAlignment="1">
      <alignment horizontal="center" vertical="top"/>
    </xf>
    <xf numFmtId="0" fontId="22" fillId="0" borderId="30" xfId="0" applyFont="1" applyBorder="1" applyAlignment="1">
      <alignment vertical="top" wrapText="1"/>
    </xf>
    <xf numFmtId="0" fontId="22" fillId="0" borderId="48" xfId="0" applyFont="1" applyBorder="1" applyAlignment="1">
      <alignment vertical="top"/>
    </xf>
    <xf numFmtId="0" fontId="22" fillId="0" borderId="49" xfId="0" applyFont="1" applyBorder="1" applyAlignment="1">
      <alignment vertical="top"/>
    </xf>
    <xf numFmtId="0" fontId="22" fillId="0" borderId="35" xfId="0" applyFont="1" applyBorder="1" applyAlignment="1">
      <alignment vertical="top"/>
    </xf>
    <xf numFmtId="0" fontId="22" fillId="0" borderId="0" xfId="0" applyFont="1" applyBorder="1" applyAlignment="1">
      <alignment vertical="top"/>
    </xf>
    <xf numFmtId="0" fontId="22" fillId="0" borderId="34" xfId="0" applyFont="1" applyBorder="1" applyAlignment="1">
      <alignment vertical="top"/>
    </xf>
    <xf numFmtId="0" fontId="22" fillId="0" borderId="33" xfId="0" applyFont="1" applyBorder="1" applyAlignment="1">
      <alignment vertical="top"/>
    </xf>
    <xf numFmtId="0" fontId="22" fillId="0" borderId="6" xfId="0" applyFont="1" applyBorder="1" applyAlignment="1">
      <alignment vertical="top"/>
    </xf>
    <xf numFmtId="0" fontId="22" fillId="0" borderId="32" xfId="0" applyFont="1" applyBorder="1" applyAlignment="1">
      <alignment vertical="top"/>
    </xf>
    <xf numFmtId="0" fontId="22" fillId="0" borderId="47" xfId="0" applyFont="1" applyBorder="1" applyAlignment="1">
      <alignment horizontal="center" vertical="top" wrapText="1"/>
    </xf>
    <xf numFmtId="0" fontId="22" fillId="0" borderId="48" xfId="0" applyFont="1" applyBorder="1" applyAlignment="1">
      <alignment horizontal="center" vertical="top" wrapText="1"/>
    </xf>
    <xf numFmtId="0" fontId="22" fillId="0" borderId="49" xfId="0" applyFont="1" applyBorder="1" applyAlignment="1">
      <alignment horizontal="center" vertical="top" wrapText="1"/>
    </xf>
    <xf numFmtId="0" fontId="22" fillId="0" borderId="35" xfId="0" applyFont="1" applyBorder="1" applyAlignment="1">
      <alignment horizontal="center" vertical="top" wrapText="1"/>
    </xf>
    <xf numFmtId="0" fontId="22" fillId="0" borderId="0" xfId="0" applyFont="1" applyBorder="1" applyAlignment="1">
      <alignment horizontal="center" vertical="top" wrapText="1"/>
    </xf>
    <xf numFmtId="0" fontId="22" fillId="0" borderId="34" xfId="0" applyFont="1" applyBorder="1" applyAlignment="1">
      <alignment horizontal="center" vertical="top" wrapText="1"/>
    </xf>
    <xf numFmtId="0" fontId="22" fillId="0" borderId="33" xfId="0" applyFont="1" applyBorder="1" applyAlignment="1">
      <alignment horizontal="center" vertical="top" wrapText="1"/>
    </xf>
    <xf numFmtId="0" fontId="22" fillId="0" borderId="6" xfId="0" applyFont="1" applyBorder="1" applyAlignment="1">
      <alignment horizontal="center" vertical="top" wrapText="1"/>
    </xf>
    <xf numFmtId="0" fontId="22" fillId="0" borderId="32" xfId="0" applyFont="1" applyBorder="1" applyAlignment="1">
      <alignment horizontal="center" vertical="top" wrapText="1"/>
    </xf>
    <xf numFmtId="0" fontId="7" fillId="0" borderId="41" xfId="0" quotePrefix="1" applyFont="1" applyBorder="1" applyAlignment="1">
      <alignment horizontal="center" vertical="center"/>
    </xf>
    <xf numFmtId="0" fontId="7" fillId="0" borderId="40" xfId="0" quotePrefix="1" applyFont="1" applyBorder="1" applyAlignment="1">
      <alignment horizontal="center" vertical="center"/>
    </xf>
    <xf numFmtId="0" fontId="7" fillId="0" borderId="39" xfId="0" quotePrefix="1" applyFont="1" applyBorder="1" applyAlignment="1">
      <alignment horizontal="center" vertical="center"/>
    </xf>
    <xf numFmtId="0" fontId="7" fillId="0" borderId="38" xfId="0" quotePrefix="1" applyFont="1" applyBorder="1" applyAlignment="1">
      <alignment horizontal="center" vertical="center"/>
    </xf>
    <xf numFmtId="0" fontId="7" fillId="0" borderId="37" xfId="0" quotePrefix="1" applyFont="1" applyBorder="1" applyAlignment="1">
      <alignment horizontal="center" vertical="center"/>
    </xf>
    <xf numFmtId="0" fontId="7" fillId="0" borderId="36" xfId="0" quotePrefix="1" applyFont="1" applyBorder="1" applyAlignment="1">
      <alignment horizontal="center" vertical="center"/>
    </xf>
    <xf numFmtId="186" fontId="7" fillId="0" borderId="47" xfId="0" quotePrefix="1" applyNumberFormat="1" applyFont="1" applyBorder="1" applyAlignment="1">
      <alignment horizontal="center" vertical="center"/>
    </xf>
    <xf numFmtId="186" fontId="7" fillId="0" borderId="48" xfId="0" quotePrefix="1" applyNumberFormat="1" applyFont="1" applyBorder="1" applyAlignment="1">
      <alignment horizontal="center" vertical="center"/>
    </xf>
    <xf numFmtId="186" fontId="7" fillId="0" borderId="49" xfId="0" quotePrefix="1" applyNumberFormat="1" applyFont="1" applyBorder="1" applyAlignment="1">
      <alignment horizontal="center" vertical="center"/>
    </xf>
    <xf numFmtId="188" fontId="7" fillId="0" borderId="41" xfId="0" quotePrefix="1" applyNumberFormat="1" applyFont="1" applyFill="1" applyBorder="1" applyAlignment="1">
      <alignment horizontal="center" vertical="center"/>
    </xf>
    <xf numFmtId="188" fontId="7" fillId="0" borderId="40" xfId="0" quotePrefix="1" applyNumberFormat="1" applyFont="1" applyFill="1" applyBorder="1" applyAlignment="1">
      <alignment horizontal="center" vertical="center"/>
    </xf>
    <xf numFmtId="188" fontId="7" fillId="0" borderId="39" xfId="0" quotePrefix="1" applyNumberFormat="1" applyFont="1" applyFill="1" applyBorder="1" applyAlignment="1">
      <alignment horizontal="center" vertical="center"/>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49" fontId="7" fillId="0" borderId="46" xfId="0" applyNumberFormat="1" applyFont="1" applyFill="1" applyBorder="1" applyAlignment="1">
      <alignment horizontal="center" vertical="center"/>
    </xf>
    <xf numFmtId="49" fontId="7" fillId="0" borderId="45" xfId="0" applyNumberFormat="1" applyFont="1" applyFill="1" applyBorder="1" applyAlignment="1">
      <alignment horizontal="center" vertical="center"/>
    </xf>
    <xf numFmtId="49" fontId="7" fillId="0" borderId="44" xfId="0" applyNumberFormat="1" applyFont="1" applyFill="1" applyBorder="1" applyAlignment="1">
      <alignment horizontal="center" vertical="center"/>
    </xf>
    <xf numFmtId="49" fontId="22" fillId="0" borderId="9" xfId="0" applyNumberFormat="1" applyFont="1" applyBorder="1" applyAlignment="1">
      <alignment horizontal="center" vertical="center"/>
    </xf>
    <xf numFmtId="176" fontId="22" fillId="0" borderId="9" xfId="0" applyNumberFormat="1" applyFont="1" applyBorder="1" applyAlignment="1">
      <alignment horizontal="center" vertical="center"/>
    </xf>
    <xf numFmtId="0" fontId="22" fillId="0" borderId="9" xfId="0" applyFont="1" applyBorder="1" applyAlignment="1">
      <alignment horizontal="center" vertical="center" textRotation="255"/>
    </xf>
    <xf numFmtId="0" fontId="22" fillId="0" borderId="47" xfId="0" applyFont="1" applyFill="1" applyBorder="1" applyAlignment="1">
      <alignment vertical="top" wrapText="1"/>
    </xf>
    <xf numFmtId="0" fontId="22" fillId="0" borderId="30" xfId="0" applyFont="1" applyFill="1" applyBorder="1" applyAlignment="1">
      <alignment vertical="top" wrapText="1"/>
    </xf>
    <xf numFmtId="0" fontId="22" fillId="0" borderId="49"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7" fillId="0" borderId="47" xfId="0" applyFont="1" applyBorder="1" applyAlignment="1">
      <alignment vertical="center" wrapText="1"/>
    </xf>
    <xf numFmtId="0" fontId="7" fillId="0" borderId="48" xfId="0" applyFont="1" applyBorder="1" applyAlignment="1">
      <alignment vertical="center" wrapText="1"/>
    </xf>
    <xf numFmtId="0" fontId="7" fillId="0" borderId="35" xfId="0" applyFont="1" applyBorder="1" applyAlignment="1">
      <alignment vertical="center" wrapText="1"/>
    </xf>
    <xf numFmtId="0" fontId="7" fillId="0" borderId="0" xfId="0" applyFont="1" applyBorder="1" applyAlignment="1">
      <alignment vertical="center" wrapText="1"/>
    </xf>
    <xf numFmtId="0" fontId="7" fillId="0" borderId="48" xfId="0" applyFont="1" applyBorder="1">
      <alignment vertical="center"/>
    </xf>
    <xf numFmtId="0" fontId="7" fillId="0" borderId="35" xfId="0" applyFont="1" applyBorder="1">
      <alignment vertical="center"/>
    </xf>
    <xf numFmtId="0" fontId="7" fillId="0" borderId="0" xfId="0" applyFont="1" applyBorder="1">
      <alignment vertical="center"/>
    </xf>
    <xf numFmtId="49" fontId="7" fillId="0" borderId="35" xfId="0" applyNumberFormat="1" applyFont="1" applyFill="1" applyBorder="1" applyAlignment="1">
      <alignment horizontal="center" vertical="center"/>
    </xf>
    <xf numFmtId="49" fontId="7" fillId="0" borderId="0" xfId="0" applyNumberFormat="1" applyFont="1" applyFill="1" applyBorder="1" applyAlignment="1">
      <alignment horizontal="center" vertical="center"/>
    </xf>
    <xf numFmtId="49" fontId="7" fillId="0" borderId="34" xfId="0" applyNumberFormat="1" applyFont="1" applyFill="1" applyBorder="1" applyAlignment="1">
      <alignment horizontal="center" vertical="center"/>
    </xf>
    <xf numFmtId="0" fontId="22" fillId="0" borderId="29" xfId="0" applyFont="1" applyBorder="1" applyAlignment="1">
      <alignment horizontal="left" vertical="center"/>
    </xf>
    <xf numFmtId="0" fontId="22" fillId="0" borderId="30" xfId="0" applyFont="1" applyBorder="1" applyAlignment="1">
      <alignment horizontal="left" vertical="center"/>
    </xf>
    <xf numFmtId="0" fontId="22" fillId="0" borderId="31"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24" fillId="0" borderId="50" xfId="0" quotePrefix="1" applyFont="1" applyBorder="1" applyAlignment="1">
      <alignment horizontal="center" vertical="center"/>
    </xf>
    <xf numFmtId="0" fontId="24" fillId="0" borderId="7" xfId="0" quotePrefix="1" applyFont="1" applyBorder="1" applyAlignment="1">
      <alignment horizontal="center" vertical="center"/>
    </xf>
    <xf numFmtId="0" fontId="24" fillId="30" borderId="50" xfId="0" quotePrefix="1" applyFont="1" applyFill="1" applyBorder="1" applyAlignment="1">
      <alignment horizontal="center" vertical="center"/>
    </xf>
    <xf numFmtId="0" fontId="24" fillId="30" borderId="7" xfId="0" quotePrefix="1" applyFont="1" applyFill="1" applyBorder="1" applyAlignment="1">
      <alignment horizontal="center" vertical="center"/>
    </xf>
    <xf numFmtId="0" fontId="7" fillId="0" borderId="50" xfId="113" applyFont="1" applyBorder="1" applyAlignment="1">
      <alignment horizontal="center" vertical="center" wrapText="1"/>
    </xf>
    <xf numFmtId="0" fontId="7" fillId="0" borderId="7" xfId="113" applyFont="1" applyBorder="1" applyAlignment="1">
      <alignment horizontal="center" vertical="center" wrapText="1"/>
    </xf>
    <xf numFmtId="0" fontId="7" fillId="0" borderId="51" xfId="113" applyFont="1" applyBorder="1" applyAlignment="1">
      <alignment horizontal="center" vertical="center" wrapText="1"/>
    </xf>
    <xf numFmtId="0" fontId="66" fillId="27" borderId="50" xfId="113" applyFont="1" applyFill="1" applyBorder="1" applyAlignment="1">
      <alignment horizontal="left" vertical="center"/>
    </xf>
    <xf numFmtId="0" fontId="66" fillId="27" borderId="7" xfId="113" applyFont="1" applyFill="1" applyBorder="1" applyAlignment="1">
      <alignment horizontal="left" vertical="center"/>
    </xf>
    <xf numFmtId="0" fontId="66" fillId="27" borderId="51" xfId="113" applyFont="1" applyFill="1" applyBorder="1" applyAlignment="1">
      <alignment horizontal="left" vertical="center"/>
    </xf>
    <xf numFmtId="49" fontId="66" fillId="27" borderId="50" xfId="0" applyNumberFormat="1" applyFont="1" applyFill="1" applyBorder="1" applyAlignment="1">
      <alignment horizontal="left" vertical="center"/>
    </xf>
    <xf numFmtId="49" fontId="66" fillId="27" borderId="7" xfId="0" applyNumberFormat="1" applyFont="1" applyFill="1" applyBorder="1" applyAlignment="1">
      <alignment horizontal="left" vertical="center"/>
    </xf>
    <xf numFmtId="49" fontId="66" fillId="27" borderId="51"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66" fillId="26" borderId="50" xfId="113" applyFont="1" applyFill="1" applyBorder="1" applyAlignment="1">
      <alignment horizontal="center" vertical="center"/>
    </xf>
    <xf numFmtId="0" fontId="66" fillId="26" borderId="7" xfId="113" applyFont="1" applyFill="1" applyBorder="1" applyAlignment="1">
      <alignment horizontal="center" vertical="center"/>
    </xf>
    <xf numFmtId="0" fontId="66" fillId="26" borderId="51" xfId="113" applyFont="1" applyFill="1" applyBorder="1" applyAlignment="1">
      <alignment horizontal="center" vertical="center"/>
    </xf>
    <xf numFmtId="49" fontId="66" fillId="26" borderId="50" xfId="0" applyNumberFormat="1" applyFont="1" applyFill="1" applyBorder="1" applyAlignment="1">
      <alignment horizontal="center" vertical="center"/>
    </xf>
    <xf numFmtId="49" fontId="66" fillId="26" borderId="7" xfId="0" applyNumberFormat="1" applyFont="1" applyFill="1" applyBorder="1" applyAlignment="1">
      <alignment horizontal="center" vertical="center"/>
    </xf>
    <xf numFmtId="49" fontId="66" fillId="26" borderId="51" xfId="0" applyNumberFormat="1"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66" fillId="27" borderId="47" xfId="0" applyNumberFormat="1" applyFont="1" applyFill="1" applyBorder="1" applyAlignment="1">
      <alignment horizontal="left" vertical="center"/>
    </xf>
    <xf numFmtId="49" fontId="66" fillId="27" borderId="48" xfId="0" applyNumberFormat="1" applyFont="1" applyFill="1" applyBorder="1" applyAlignment="1">
      <alignment horizontal="left" vertical="center"/>
    </xf>
    <xf numFmtId="49" fontId="66" fillId="27" borderId="49" xfId="0" applyNumberFormat="1" applyFont="1" applyFill="1" applyBorder="1" applyAlignment="1">
      <alignment horizontal="left" vertical="center"/>
    </xf>
    <xf numFmtId="49" fontId="66" fillId="27" borderId="35" xfId="0" applyNumberFormat="1" applyFont="1" applyFill="1" applyBorder="1" applyAlignment="1">
      <alignment horizontal="left" vertical="center"/>
    </xf>
    <xf numFmtId="49" fontId="66" fillId="27" borderId="0" xfId="0" applyNumberFormat="1" applyFont="1" applyFill="1" applyBorder="1" applyAlignment="1">
      <alignment horizontal="left" vertical="center"/>
    </xf>
    <xf numFmtId="49" fontId="66" fillId="27" borderId="34" xfId="0" applyNumberFormat="1" applyFont="1" applyFill="1" applyBorder="1" applyAlignment="1">
      <alignment horizontal="left" vertical="center"/>
    </xf>
    <xf numFmtId="49" fontId="66" fillId="27" borderId="33" xfId="0" applyNumberFormat="1" applyFont="1" applyFill="1" applyBorder="1" applyAlignment="1">
      <alignment horizontal="left" vertical="center"/>
    </xf>
    <xf numFmtId="49" fontId="66" fillId="27" borderId="6" xfId="0" applyNumberFormat="1" applyFont="1" applyFill="1" applyBorder="1" applyAlignment="1">
      <alignment horizontal="left" vertical="center"/>
    </xf>
    <xf numFmtId="49" fontId="66" fillId="27" borderId="32" xfId="0" applyNumberFormat="1" applyFont="1" applyFill="1" applyBorder="1" applyAlignment="1">
      <alignment horizontal="left" vertical="center"/>
    </xf>
    <xf numFmtId="49" fontId="7" fillId="27" borderId="47" xfId="0" applyNumberFormat="1" applyFont="1" applyFill="1" applyBorder="1" applyAlignment="1">
      <alignment horizontal="center" vertical="center"/>
    </xf>
    <xf numFmtId="49" fontId="7" fillId="27" borderId="48" xfId="0" applyNumberFormat="1" applyFont="1" applyFill="1" applyBorder="1" applyAlignment="1">
      <alignment horizontal="center" vertical="center"/>
    </xf>
    <xf numFmtId="49" fontId="7" fillId="27" borderId="49" xfId="0" applyNumberFormat="1" applyFont="1" applyFill="1" applyBorder="1" applyAlignment="1">
      <alignment horizontal="center" vertical="center"/>
    </xf>
    <xf numFmtId="49" fontId="7" fillId="27" borderId="35" xfId="0" applyNumberFormat="1" applyFont="1" applyFill="1" applyBorder="1" applyAlignment="1">
      <alignment horizontal="center" vertical="center"/>
    </xf>
    <xf numFmtId="49" fontId="7" fillId="27" borderId="0" xfId="0" applyNumberFormat="1" applyFont="1" applyFill="1" applyBorder="1" applyAlignment="1">
      <alignment horizontal="center" vertical="center"/>
    </xf>
    <xf numFmtId="49" fontId="7" fillId="27" borderId="34"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0" borderId="50" xfId="0" applyFont="1" applyBorder="1" applyAlignment="1">
      <alignment horizontal="center" vertical="center"/>
    </xf>
    <xf numFmtId="0" fontId="7" fillId="0" borderId="51" xfId="0" applyFont="1" applyBorder="1" applyAlignment="1">
      <alignment horizontal="center" vertical="center"/>
    </xf>
    <xf numFmtId="0" fontId="7" fillId="0" borderId="7" xfId="0" applyFont="1" applyBorder="1" applyAlignment="1">
      <alignment horizontal="center" vertical="center"/>
    </xf>
    <xf numFmtId="0" fontId="7" fillId="26" borderId="0" xfId="0" applyFont="1" applyFill="1" applyBorder="1" applyAlignment="1">
      <alignment horizontal="center" vertical="center" textRotation="180" wrapText="1"/>
    </xf>
    <xf numFmtId="0" fontId="21" fillId="26" borderId="34" xfId="0" applyFont="1" applyFill="1" applyBorder="1" applyAlignment="1">
      <alignment horizontal="center" vertical="center" textRotation="180" wrapText="1"/>
    </xf>
    <xf numFmtId="0" fontId="21" fillId="26" borderId="6" xfId="0" applyFont="1" applyFill="1" applyBorder="1" applyAlignment="1">
      <alignment horizontal="center" vertical="center" textRotation="180" wrapText="1"/>
    </xf>
    <xf numFmtId="0" fontId="21" fillId="26" borderId="32"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21" fillId="26" borderId="33" xfId="0" applyFont="1" applyFill="1" applyBorder="1" applyAlignment="1">
      <alignment horizontal="center" vertical="center" textRotation="180" wrapText="1"/>
    </xf>
    <xf numFmtId="0" fontId="7" fillId="0" borderId="47" xfId="0" applyFont="1" applyBorder="1" applyAlignment="1">
      <alignment horizontal="center" vertical="center"/>
    </xf>
    <xf numFmtId="0" fontId="7" fillId="0" borderId="49" xfId="0" applyFont="1" applyBorder="1" applyAlignment="1">
      <alignment horizontal="center" vertical="center"/>
    </xf>
    <xf numFmtId="0" fontId="7" fillId="0" borderId="47" xfId="0" applyFont="1" applyBorder="1">
      <alignment vertical="center"/>
    </xf>
    <xf numFmtId="0" fontId="7" fillId="0" borderId="49" xfId="0" applyFont="1" applyBorder="1">
      <alignment vertical="center"/>
    </xf>
    <xf numFmtId="0" fontId="7" fillId="0" borderId="49" xfId="0" applyFont="1" applyBorder="1" applyAlignment="1">
      <alignment vertical="center" wrapText="1"/>
    </xf>
    <xf numFmtId="0" fontId="7" fillId="0" borderId="48" xfId="0" applyFont="1" applyBorder="1" applyAlignment="1">
      <alignment horizontal="center"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7" fillId="0" borderId="33" xfId="0" applyFont="1" applyBorder="1" applyAlignment="1">
      <alignment horizontal="center" vertical="center"/>
    </xf>
    <xf numFmtId="0" fontId="7" fillId="0" borderId="32" xfId="0" applyFont="1" applyBorder="1" applyAlignment="1">
      <alignment horizontal="center" vertical="center"/>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0" borderId="6" xfId="0" applyFont="1" applyBorder="1" applyAlignment="1">
      <alignment horizontal="center" vertical="center"/>
    </xf>
    <xf numFmtId="0" fontId="22" fillId="26" borderId="47" xfId="0" applyFont="1" applyFill="1" applyBorder="1" applyAlignment="1">
      <alignment vertical="center" wrapText="1"/>
    </xf>
    <xf numFmtId="0" fontId="22" fillId="26" borderId="48" xfId="0" applyFont="1" applyFill="1" applyBorder="1" applyAlignment="1">
      <alignment vertical="center" wrapText="1"/>
    </xf>
    <xf numFmtId="0" fontId="22" fillId="26" borderId="49" xfId="0" applyFont="1" applyFill="1" applyBorder="1" applyAlignment="1">
      <alignment vertical="center" wrapText="1"/>
    </xf>
    <xf numFmtId="0" fontId="22" fillId="26" borderId="35" xfId="0" applyFont="1" applyFill="1" applyBorder="1" applyAlignment="1">
      <alignment vertical="center" wrapText="1"/>
    </xf>
    <xf numFmtId="0" fontId="22" fillId="26" borderId="0" xfId="0" applyFont="1" applyFill="1" applyBorder="1" applyAlignment="1">
      <alignment vertical="center" wrapText="1"/>
    </xf>
    <xf numFmtId="0" fontId="22" fillId="26" borderId="34" xfId="0" applyFont="1" applyFill="1" applyBorder="1" applyAlignment="1">
      <alignment vertical="center" wrapText="1"/>
    </xf>
    <xf numFmtId="0" fontId="7" fillId="0" borderId="47" xfId="0" applyFont="1" applyBorder="1" applyAlignment="1">
      <alignment vertical="top" wrapText="1"/>
    </xf>
    <xf numFmtId="0" fontId="7" fillId="0" borderId="48" xfId="0" applyFont="1" applyBorder="1" applyAlignment="1">
      <alignment vertical="top" wrapText="1"/>
    </xf>
    <xf numFmtId="0" fontId="7" fillId="0" borderId="49"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187" fontId="7" fillId="0" borderId="50" xfId="0" quotePrefix="1" applyNumberFormat="1" applyFont="1" applyBorder="1" applyAlignment="1">
      <alignment horizontal="center" vertical="top"/>
    </xf>
    <xf numFmtId="187" fontId="7" fillId="0" borderId="7" xfId="0" quotePrefix="1" applyNumberFormat="1" applyFont="1" applyBorder="1" applyAlignment="1">
      <alignment horizontal="center" vertical="top"/>
    </xf>
    <xf numFmtId="187" fontId="7" fillId="0" borderId="51" xfId="0" quotePrefix="1" applyNumberFormat="1" applyFont="1" applyBorder="1" applyAlignment="1">
      <alignment horizontal="center" vertical="top"/>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0" fontId="7" fillId="26" borderId="30" xfId="113" applyFont="1" applyFill="1" applyBorder="1" applyAlignment="1">
      <alignment horizontal="center" vertical="center" wrapText="1"/>
    </xf>
    <xf numFmtId="0" fontId="7" fillId="26" borderId="31" xfId="113" applyFont="1" applyFill="1" applyBorder="1" applyAlignment="1">
      <alignment horizontal="center"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7" fillId="0" borderId="31"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0" fontId="7" fillId="27" borderId="22" xfId="113" applyFont="1" applyFill="1" applyBorder="1" applyAlignment="1">
      <alignment horizontal="center" vertical="top"/>
    </xf>
    <xf numFmtId="0" fontId="7" fillId="27" borderId="28" xfId="113" applyFont="1" applyFill="1" applyBorder="1" applyAlignment="1">
      <alignment horizontal="center" vertical="top"/>
    </xf>
    <xf numFmtId="0" fontId="7" fillId="27" borderId="23" xfId="113" applyFont="1" applyFill="1" applyBorder="1" applyAlignment="1">
      <alignment horizontal="center" vertical="top"/>
    </xf>
    <xf numFmtId="49" fontId="7" fillId="0" borderId="22" xfId="132" applyNumberFormat="1" applyFont="1" applyFill="1" applyBorder="1" applyAlignment="1">
      <alignment horizontal="left" vertical="top"/>
    </xf>
    <xf numFmtId="49" fontId="7" fillId="0" borderId="28" xfId="132" applyNumberFormat="1" applyFont="1" applyFill="1" applyBorder="1" applyAlignment="1">
      <alignment horizontal="left" vertical="top"/>
    </xf>
    <xf numFmtId="49" fontId="7" fillId="0" borderId="23" xfId="132" applyNumberFormat="1" applyFont="1" applyFill="1" applyBorder="1" applyAlignment="1">
      <alignment horizontal="left" vertical="top"/>
    </xf>
    <xf numFmtId="183" fontId="7" fillId="0" borderId="22" xfId="0" applyNumberFormat="1" applyFont="1" applyBorder="1" applyAlignment="1">
      <alignment horizontal="center" vertical="top"/>
    </xf>
    <xf numFmtId="183" fontId="7" fillId="0" borderId="28" xfId="0" applyNumberFormat="1" applyFont="1" applyBorder="1" applyAlignment="1">
      <alignment horizontal="center" vertical="top"/>
    </xf>
    <xf numFmtId="184" fontId="7" fillId="0" borderId="22" xfId="0" quotePrefix="1" applyNumberFormat="1" applyFont="1" applyBorder="1" applyAlignment="1">
      <alignment horizontal="center" vertical="top"/>
    </xf>
    <xf numFmtId="184" fontId="7" fillId="0" borderId="28" xfId="0" quotePrefix="1" applyNumberFormat="1" applyFont="1" applyBorder="1" applyAlignment="1">
      <alignment horizontal="center" vertical="top"/>
    </xf>
    <xf numFmtId="184" fontId="7" fillId="0" borderId="23" xfId="0" quotePrefix="1" applyNumberFormat="1" applyFont="1" applyBorder="1" applyAlignment="1">
      <alignment horizontal="center" vertical="top"/>
    </xf>
    <xf numFmtId="0" fontId="7" fillId="26" borderId="29" xfId="113" applyFont="1" applyFill="1" applyBorder="1" applyAlignment="1">
      <alignment horizontal="center" vertical="center" wrapText="1"/>
    </xf>
    <xf numFmtId="49" fontId="7" fillId="27" borderId="30" xfId="0" applyNumberFormat="1" applyFont="1" applyFill="1" applyBorder="1" applyAlignment="1">
      <alignment horizontal="center" vertical="top"/>
    </xf>
    <xf numFmtId="49" fontId="7" fillId="27" borderId="22" xfId="132" applyNumberFormat="1" applyFont="1" applyFill="1" applyBorder="1" applyAlignment="1">
      <alignment horizontal="left" vertical="top"/>
    </xf>
    <xf numFmtId="49" fontId="7" fillId="27" borderId="28" xfId="132" applyNumberFormat="1" applyFont="1" applyFill="1" applyBorder="1" applyAlignment="1">
      <alignment horizontal="left" vertical="top"/>
    </xf>
    <xf numFmtId="49" fontId="7" fillId="27" borderId="23" xfId="132" applyNumberFormat="1" applyFont="1" applyFill="1" applyBorder="1" applyAlignment="1">
      <alignment horizontal="left" vertical="top"/>
    </xf>
    <xf numFmtId="183" fontId="7" fillId="27" borderId="22" xfId="0" applyNumberFormat="1" applyFont="1" applyFill="1" applyBorder="1" applyAlignment="1">
      <alignment horizontal="center" vertical="top"/>
    </xf>
    <xf numFmtId="183" fontId="7" fillId="27" borderId="28" xfId="0" applyNumberFormat="1" applyFont="1" applyFill="1" applyBorder="1" applyAlignment="1">
      <alignment horizontal="center" vertical="top"/>
    </xf>
    <xf numFmtId="0" fontId="21" fillId="0" borderId="9" xfId="0" applyFont="1" applyBorder="1" applyAlignment="1">
      <alignment horizontal="center" vertical="center"/>
    </xf>
    <xf numFmtId="0" fontId="21" fillId="0" borderId="50" xfId="0" applyFont="1" applyBorder="1" applyAlignment="1">
      <alignment horizontal="center" vertical="center"/>
    </xf>
    <xf numFmtId="0" fontId="21" fillId="0" borderId="7" xfId="0" applyFont="1" applyBorder="1" applyAlignment="1">
      <alignment horizontal="center" vertical="center"/>
    </xf>
    <xf numFmtId="0" fontId="21" fillId="0" borderId="51" xfId="0" applyFont="1" applyBorder="1" applyAlignment="1">
      <alignment horizontal="center" vertical="center"/>
    </xf>
    <xf numFmtId="49" fontId="7" fillId="27" borderId="0" xfId="0" applyNumberFormat="1" applyFont="1" applyFill="1" applyBorder="1" applyAlignment="1">
      <alignment horizontal="center" vertical="top"/>
    </xf>
    <xf numFmtId="185" fontId="7" fillId="0" borderId="22" xfId="0" quotePrefix="1" applyNumberFormat="1" applyFont="1" applyBorder="1" applyAlignment="1">
      <alignment horizontal="center" vertical="top"/>
    </xf>
    <xf numFmtId="185" fontId="7" fillId="0" borderId="28" xfId="0" quotePrefix="1" applyNumberFormat="1" applyFont="1" applyBorder="1" applyAlignment="1">
      <alignment horizontal="center" vertical="top"/>
    </xf>
    <xf numFmtId="185" fontId="7" fillId="0" borderId="23" xfId="0" quotePrefix="1" applyNumberFormat="1" applyFont="1" applyBorder="1" applyAlignment="1">
      <alignment horizontal="center" vertical="top"/>
    </xf>
    <xf numFmtId="0" fontId="24" fillId="0" borderId="47" xfId="0" applyFont="1" applyBorder="1" applyAlignment="1">
      <alignment vertical="top" wrapText="1"/>
    </xf>
    <xf numFmtId="0" fontId="24" fillId="0" borderId="48" xfId="0" applyFont="1" applyBorder="1" applyAlignment="1">
      <alignment vertical="top" wrapText="1"/>
    </xf>
    <xf numFmtId="0" fontId="24" fillId="0" borderId="49" xfId="0" applyFont="1" applyBorder="1" applyAlignment="1">
      <alignment vertical="top" wrapText="1"/>
    </xf>
    <xf numFmtId="0" fontId="24" fillId="0" borderId="35" xfId="0" applyFont="1" applyBorder="1" applyAlignment="1">
      <alignment vertical="top" wrapText="1"/>
    </xf>
    <xf numFmtId="0" fontId="24" fillId="0" borderId="0" xfId="0" applyFont="1" applyBorder="1" applyAlignment="1">
      <alignment vertical="top" wrapText="1"/>
    </xf>
    <xf numFmtId="0" fontId="24" fillId="0" borderId="34" xfId="0" applyFont="1" applyBorder="1" applyAlignment="1">
      <alignment vertical="top" wrapText="1"/>
    </xf>
    <xf numFmtId="0" fontId="24" fillId="0" borderId="33" xfId="0" applyFont="1" applyBorder="1" applyAlignment="1">
      <alignment vertical="top" wrapText="1"/>
    </xf>
    <xf numFmtId="0" fontId="24" fillId="0" borderId="6" xfId="0" applyFont="1" applyBorder="1" applyAlignment="1">
      <alignment vertical="top" wrapText="1"/>
    </xf>
    <xf numFmtId="0" fontId="24" fillId="0" borderId="32" xfId="0" applyFont="1" applyBorder="1" applyAlignment="1">
      <alignment vertical="top" wrapText="1"/>
    </xf>
    <xf numFmtId="0" fontId="22" fillId="26" borderId="47" xfId="0" applyFont="1" applyFill="1" applyBorder="1" applyAlignment="1">
      <alignment horizontal="center" vertical="center"/>
    </xf>
    <xf numFmtId="0" fontId="22" fillId="26" borderId="48"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22" fillId="26" borderId="49"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57" xfId="0" applyFont="1" applyFill="1" applyBorder="1" applyAlignment="1">
      <alignment horizontal="center" vertical="top" textRotation="255" wrapText="1"/>
    </xf>
    <xf numFmtId="0" fontId="24" fillId="26" borderId="56" xfId="0" applyFont="1" applyFill="1" applyBorder="1" applyAlignment="1">
      <alignment horizontal="center" vertical="top" textRotation="255" wrapText="1"/>
    </xf>
    <xf numFmtId="0" fontId="24" fillId="26" borderId="57" xfId="0" applyFont="1" applyFill="1" applyBorder="1" applyAlignment="1">
      <alignment horizontal="center" vertical="top" textRotation="255" wrapText="1"/>
    </xf>
    <xf numFmtId="0" fontId="24" fillId="26" borderId="11" xfId="0" applyFont="1" applyFill="1" applyBorder="1" applyAlignment="1">
      <alignment horizontal="center" vertical="top" textRotation="255" wrapText="1"/>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2" fillId="0" borderId="47" xfId="0" applyFont="1" applyBorder="1" applyAlignment="1">
      <alignment horizontal="center" vertical="center"/>
    </xf>
    <xf numFmtId="0" fontId="22" fillId="0" borderId="49" xfId="0" applyFont="1" applyBorder="1" applyAlignment="1">
      <alignment horizontal="center" vertical="center"/>
    </xf>
    <xf numFmtId="0" fontId="22" fillId="0" borderId="35" xfId="0" applyFont="1" applyBorder="1" applyAlignment="1">
      <alignment horizontal="center" vertical="center"/>
    </xf>
    <xf numFmtId="0" fontId="22" fillId="0" borderId="34" xfId="0" applyFont="1" applyBorder="1" applyAlignment="1">
      <alignment horizontal="center" vertical="center"/>
    </xf>
    <xf numFmtId="0" fontId="22" fillId="0" borderId="33" xfId="0" applyFont="1" applyBorder="1" applyAlignment="1">
      <alignment horizontal="center" vertical="center"/>
    </xf>
    <xf numFmtId="0" fontId="22" fillId="0" borderId="32" xfId="0" applyFont="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4" fillId="0" borderId="47" xfId="0" applyFont="1" applyFill="1" applyBorder="1">
      <alignment vertical="center"/>
    </xf>
    <xf numFmtId="0" fontId="24" fillId="0" borderId="48" xfId="0" applyFont="1" applyFill="1" applyBorder="1">
      <alignment vertical="center"/>
    </xf>
    <xf numFmtId="0" fontId="24" fillId="0" borderId="49" xfId="0" applyFont="1" applyFill="1" applyBorder="1">
      <alignment vertical="center"/>
    </xf>
    <xf numFmtId="0" fontId="24" fillId="0" borderId="33" xfId="0" applyFont="1" applyFill="1" applyBorder="1">
      <alignment vertical="center"/>
    </xf>
    <xf numFmtId="0" fontId="24" fillId="0" borderId="6" xfId="0" applyFont="1" applyFill="1" applyBorder="1">
      <alignment vertical="center"/>
    </xf>
    <xf numFmtId="0" fontId="24" fillId="0" borderId="32" xfId="0" applyFont="1" applyFill="1" applyBorder="1">
      <alignment vertical="center"/>
    </xf>
    <xf numFmtId="0" fontId="24" fillId="0" borderId="47" xfId="0" applyFont="1" applyFill="1" applyBorder="1" applyAlignment="1">
      <alignment horizontal="center" vertical="center"/>
    </xf>
    <xf numFmtId="0" fontId="24" fillId="0" borderId="49" xfId="0" applyFont="1" applyFill="1" applyBorder="1" applyAlignment="1">
      <alignment horizontal="center" vertical="center"/>
    </xf>
    <xf numFmtId="0" fontId="24" fillId="0" borderId="33" xfId="0" applyFont="1" applyFill="1" applyBorder="1" applyAlignment="1">
      <alignment horizontal="center" vertical="center"/>
    </xf>
    <xf numFmtId="0" fontId="24" fillId="0" borderId="32" xfId="0" applyFont="1" applyFill="1" applyBorder="1" applyAlignment="1">
      <alignment horizontal="center" vertical="center"/>
    </xf>
    <xf numFmtId="0" fontId="24" fillId="26" borderId="47" xfId="0" applyFont="1" applyFill="1" applyBorder="1" applyAlignment="1">
      <alignment horizontal="center" vertical="center"/>
    </xf>
    <xf numFmtId="0" fontId="24" fillId="26" borderId="48" xfId="0" applyFont="1" applyFill="1" applyBorder="1" applyAlignment="1">
      <alignment horizontal="center" vertical="center"/>
    </xf>
    <xf numFmtId="0" fontId="24" fillId="26" borderId="49" xfId="0" applyFont="1" applyFill="1" applyBorder="1" applyAlignment="1">
      <alignment horizontal="center" vertical="center"/>
    </xf>
    <xf numFmtId="0" fontId="24" fillId="26" borderId="35" xfId="0" applyFont="1" applyFill="1" applyBorder="1" applyAlignment="1">
      <alignment horizontal="center" vertical="center"/>
    </xf>
    <xf numFmtId="0" fontId="24" fillId="26" borderId="0" xfId="0" applyFont="1" applyFill="1" applyBorder="1" applyAlignment="1">
      <alignment horizontal="center" vertical="center"/>
    </xf>
    <xf numFmtId="0" fontId="24" fillId="26" borderId="34" xfId="0" applyFont="1" applyFill="1" applyBorder="1" applyAlignment="1">
      <alignment horizontal="center" vertical="center"/>
    </xf>
    <xf numFmtId="0" fontId="24" fillId="26" borderId="33" xfId="0" applyFont="1" applyFill="1" applyBorder="1" applyAlignment="1">
      <alignment horizontal="center" vertical="center"/>
    </xf>
    <xf numFmtId="0" fontId="24" fillId="26" borderId="6" xfId="0" applyFont="1" applyFill="1" applyBorder="1" applyAlignment="1">
      <alignment horizontal="center" vertical="center"/>
    </xf>
    <xf numFmtId="0" fontId="24" fillId="26" borderId="32" xfId="0" applyFont="1" applyFill="1" applyBorder="1" applyAlignment="1">
      <alignment horizontal="center" vertical="center"/>
    </xf>
    <xf numFmtId="0" fontId="24" fillId="26" borderId="49" xfId="0" applyFont="1" applyFill="1" applyBorder="1" applyAlignment="1">
      <alignment horizontal="center" vertical="top" textRotation="255" wrapText="1"/>
    </xf>
    <xf numFmtId="0" fontId="24" fillId="26" borderId="34" xfId="0" applyFont="1" applyFill="1" applyBorder="1" applyAlignment="1">
      <alignment horizontal="center" vertical="top" textRotation="255" wrapText="1"/>
    </xf>
    <xf numFmtId="0" fontId="24" fillId="26" borderId="32" xfId="0" applyFont="1" applyFill="1" applyBorder="1" applyAlignment="1">
      <alignment horizontal="center" vertical="top" textRotation="255" wrapText="1"/>
    </xf>
    <xf numFmtId="0" fontId="22" fillId="0" borderId="31" xfId="0" applyFont="1" applyBorder="1" applyAlignment="1">
      <alignment vertical="top" wrapText="1"/>
    </xf>
    <xf numFmtId="0" fontId="24" fillId="0" borderId="46" xfId="0" applyFont="1" applyBorder="1">
      <alignment vertical="center"/>
    </xf>
    <xf numFmtId="0" fontId="24" fillId="0" borderId="45" xfId="0" applyFont="1" applyBorder="1">
      <alignment vertical="center"/>
    </xf>
    <xf numFmtId="0" fontId="24" fillId="0" borderId="35" xfId="0" applyFont="1" applyBorder="1">
      <alignment vertical="center"/>
    </xf>
    <xf numFmtId="0" fontId="24" fillId="0" borderId="52" xfId="0" applyFont="1" applyBorder="1">
      <alignment vertical="center"/>
    </xf>
    <xf numFmtId="0" fontId="24" fillId="0" borderId="53" xfId="0" applyFont="1" applyBorder="1">
      <alignment vertical="center"/>
    </xf>
    <xf numFmtId="183" fontId="66" fillId="0" borderId="22" xfId="0" applyNumberFormat="1" applyFont="1" applyBorder="1" applyAlignment="1">
      <alignment horizontal="center" vertical="top"/>
    </xf>
    <xf numFmtId="183" fontId="66" fillId="0" borderId="28" xfId="0" applyNumberFormat="1" applyFont="1" applyBorder="1" applyAlignment="1">
      <alignment horizontal="center" vertical="top"/>
    </xf>
    <xf numFmtId="183" fontId="66" fillId="0" borderId="23" xfId="0" applyNumberFormat="1" applyFont="1" applyBorder="1" applyAlignment="1">
      <alignment horizontal="center" vertical="top"/>
    </xf>
    <xf numFmtId="183" fontId="66" fillId="30" borderId="22" xfId="0" applyNumberFormat="1" applyFont="1" applyFill="1" applyBorder="1" applyAlignment="1">
      <alignment horizontal="center" vertical="center"/>
    </xf>
    <xf numFmtId="0" fontId="66" fillId="30" borderId="28" xfId="0" applyFont="1" applyFill="1" applyBorder="1" applyAlignment="1">
      <alignment horizontal="center" vertical="center"/>
    </xf>
    <xf numFmtId="0" fontId="66" fillId="30" borderId="23" xfId="0" applyFont="1" applyFill="1" applyBorder="1" applyAlignment="1">
      <alignment horizontal="center" vertical="center"/>
    </xf>
    <xf numFmtId="0" fontId="24" fillId="0" borderId="47" xfId="0" applyFont="1" applyBorder="1">
      <alignment vertical="center"/>
    </xf>
    <xf numFmtId="0" fontId="24" fillId="0" borderId="48" xfId="0" applyFont="1" applyBorder="1">
      <alignment vertical="center"/>
    </xf>
    <xf numFmtId="0" fontId="24" fillId="0" borderId="49" xfId="0" applyFont="1" applyBorder="1">
      <alignment vertical="center"/>
    </xf>
    <xf numFmtId="0" fontId="24" fillId="0" borderId="47" xfId="0" applyFont="1" applyBorder="1" applyAlignment="1">
      <alignment horizontal="center" vertical="center"/>
    </xf>
    <xf numFmtId="0" fontId="24" fillId="0" borderId="49" xfId="0" applyFont="1" applyBorder="1" applyAlignment="1">
      <alignment horizontal="center" vertical="center"/>
    </xf>
    <xf numFmtId="0" fontId="24" fillId="0" borderId="33" xfId="0" applyFont="1" applyBorder="1">
      <alignment vertical="center"/>
    </xf>
    <xf numFmtId="0" fontId="24" fillId="0" borderId="6" xfId="0" applyFont="1" applyBorder="1">
      <alignment vertical="center"/>
    </xf>
    <xf numFmtId="0" fontId="24" fillId="0" borderId="32" xfId="0" applyFont="1" applyBorder="1">
      <alignment vertical="center"/>
    </xf>
    <xf numFmtId="0" fontId="24" fillId="0" borderId="33" xfId="0" applyFont="1" applyBorder="1" applyAlignment="1">
      <alignment horizontal="center" vertical="center"/>
    </xf>
    <xf numFmtId="0" fontId="24" fillId="0" borderId="32" xfId="0" applyFont="1" applyBorder="1" applyAlignment="1">
      <alignment horizontal="center" vertical="center"/>
    </xf>
  </cellXfs>
  <cellStyles count="133">
    <cellStyle name="0,0_x000a__x000a_NA_x000a__x000a_" xfId="1"/>
    <cellStyle name="20% - アクセント 1 2" xfId="3"/>
    <cellStyle name="20% - アクセント 2 2" xfId="4"/>
    <cellStyle name="20% - アクセント 3 2" xfId="5"/>
    <cellStyle name="20% - アクセント 4 2" xfId="6"/>
    <cellStyle name="20% - アクセント 5 2" xfId="7"/>
    <cellStyle name="20% - アクセント 6 2" xfId="8"/>
    <cellStyle name="40% - アクセント 1 2" xfId="9"/>
    <cellStyle name="40% - アクセント 2 2" xfId="10"/>
    <cellStyle name="40% - アクセント 3 2" xfId="11"/>
    <cellStyle name="40% - アクセント 4 2" xfId="12"/>
    <cellStyle name="40% - アクセント 5 2" xfId="13"/>
    <cellStyle name="40% - アクセント 6 2" xfId="14"/>
    <cellStyle name="60% - アクセント 1 2" xfId="15"/>
    <cellStyle name="60% - アクセント 2 2" xfId="16"/>
    <cellStyle name="60% - アクセント 3 2" xfId="17"/>
    <cellStyle name="60% - アクセント 4 2" xfId="18"/>
    <cellStyle name="60% - アクセント 5 2" xfId="19"/>
    <cellStyle name="60% - アクセント 6 2" xfId="20"/>
    <cellStyle name="Body" xfId="21"/>
    <cellStyle name="Calc Currency (0)" xfId="22"/>
    <cellStyle name="Comma [0]_laroux" xfId="68"/>
    <cellStyle name="Comma_laroux" xfId="69"/>
    <cellStyle name="Currency [0]_laroux" xfId="70"/>
    <cellStyle name="Currency_Full Year FY96" xfId="71"/>
    <cellStyle name="entry" xfId="23"/>
    <cellStyle name="GBS Files" xfId="24"/>
    <cellStyle name="Head 1" xfId="25"/>
    <cellStyle name="Header1" xfId="26"/>
    <cellStyle name="Header2" xfId="27"/>
    <cellStyle name="Header2 2" xfId="72"/>
    <cellStyle name="Header2 2 2" xfId="85"/>
    <cellStyle name="Header2 2 2 2" xfId="88"/>
    <cellStyle name="Header2 2 2 2 2" xfId="92"/>
    <cellStyle name="Header2 2 2 2 3" xfId="111"/>
    <cellStyle name="Header2 2 2 3" xfId="106"/>
    <cellStyle name="Header2 2 2 4" xfId="126"/>
    <cellStyle name="Header2 3" xfId="73"/>
    <cellStyle name="Header2 3 2" xfId="86"/>
    <cellStyle name="Header2 3 2 2" xfId="89"/>
    <cellStyle name="Header2 3 2 2 2" xfId="93"/>
    <cellStyle name="Header2 3 2 2 3" xfId="112"/>
    <cellStyle name="Header2 3 2 3" xfId="107"/>
    <cellStyle name="Header2 3 2 4" xfId="127"/>
    <cellStyle name="Header2 4" xfId="84"/>
    <cellStyle name="Header2 4 2" xfId="87"/>
    <cellStyle name="Header2 4 2 2" xfId="91"/>
    <cellStyle name="Header2 4 2 3" xfId="110"/>
    <cellStyle name="Header2 4 3" xfId="105"/>
    <cellStyle name="Header2 4 4" xfId="125"/>
    <cellStyle name="IBM(401K)" xfId="28"/>
    <cellStyle name="J401K" xfId="29"/>
    <cellStyle name="Normal - Style1" xfId="30"/>
    <cellStyle name="Normal_#18-Internet" xfId="74"/>
    <cellStyle name="Percent_pldt" xfId="75"/>
    <cellStyle name="price" xfId="31"/>
    <cellStyle name="PSChar" xfId="32"/>
    <cellStyle name="PSHeading" xfId="33"/>
    <cellStyle name="revised" xfId="34"/>
    <cellStyle name="section" xfId="35"/>
    <cellStyle name="subhead" xfId="36"/>
    <cellStyle name="title" xfId="43"/>
    <cellStyle name="title 2" xfId="108"/>
    <cellStyle name="アクセント 1 2" xfId="37"/>
    <cellStyle name="アクセント 2 2" xfId="38"/>
    <cellStyle name="アクセント 3 2" xfId="39"/>
    <cellStyle name="アクセント 4 2" xfId="40"/>
    <cellStyle name="アクセント 5 2" xfId="41"/>
    <cellStyle name="アクセント 6 2" xfId="42"/>
    <cellStyle name="タイトル 2" xfId="109"/>
    <cellStyle name="チェック セル 2" xfId="44"/>
    <cellStyle name="どちらでもない 2" xfId="45"/>
    <cellStyle name="メモ 2" xfId="76"/>
    <cellStyle name="メモ 2 2" xfId="99"/>
    <cellStyle name="メモ 2 3" xfId="119"/>
    <cellStyle name="メモ 3" xfId="77"/>
    <cellStyle name="メモ 3 2" xfId="100"/>
    <cellStyle name="メモ 3 3" xfId="120"/>
    <cellStyle name="メモ 4" xfId="46"/>
    <cellStyle name="メモ 5" xfId="94"/>
    <cellStyle name="メモ 6" xfId="114"/>
    <cellStyle name="リンク セル 2" xfId="47"/>
    <cellStyle name="悪い 2" xfId="48"/>
    <cellStyle name="一項目" xfId="49"/>
    <cellStyle name="円" xfId="50"/>
    <cellStyle name="円1" xfId="51"/>
    <cellStyle name="円3" xfId="52"/>
    <cellStyle name="計算 2" xfId="78"/>
    <cellStyle name="計算 2 2" xfId="101"/>
    <cellStyle name="計算 2 3" xfId="121"/>
    <cellStyle name="計算 3" xfId="53"/>
    <cellStyle name="計算 4" xfId="95"/>
    <cellStyle name="計算 5" xfId="115"/>
    <cellStyle name="警告文 2" xfId="54"/>
    <cellStyle name="桁区切り 2" xfId="83"/>
    <cellStyle name="見出し 1 2" xfId="55"/>
    <cellStyle name="見出し 2 2" xfId="56"/>
    <cellStyle name="見出し 3 2" xfId="57"/>
    <cellStyle name="見出し 4 2" xfId="58"/>
    <cellStyle name="集計 2" xfId="79"/>
    <cellStyle name="集計 2 2" xfId="102"/>
    <cellStyle name="集計 2 3" xfId="122"/>
    <cellStyle name="集計 3" xfId="59"/>
    <cellStyle name="集計 4" xfId="96"/>
    <cellStyle name="集計 5" xfId="116"/>
    <cellStyle name="出力 2" xfId="80"/>
    <cellStyle name="出力 2 2" xfId="103"/>
    <cellStyle name="出力 2 3" xfId="123"/>
    <cellStyle name="出力 3" xfId="60"/>
    <cellStyle name="出力 4" xfId="97"/>
    <cellStyle name="出力 5" xfId="117"/>
    <cellStyle name="説明文 2" xfId="61"/>
    <cellStyle name="入力 2" xfId="81"/>
    <cellStyle name="入力 2 2" xfId="104"/>
    <cellStyle name="入力 2 3" xfId="124"/>
    <cellStyle name="入力 3" xfId="62"/>
    <cellStyle name="入力 4" xfId="98"/>
    <cellStyle name="入力 5" xfId="118"/>
    <cellStyle name="標準" xfId="0" builtinId="0"/>
    <cellStyle name="標準 2" xfId="90"/>
    <cellStyle name="標準 2 3 2 2" xfId="82"/>
    <cellStyle name="標準 3" xfId="67"/>
    <cellStyle name="標準 35" xfId="63"/>
    <cellStyle name="標準 4" xfId="2"/>
    <cellStyle name="標準_25.システム化の目的と前提条件" xfId="113"/>
    <cellStyle name="標準_BTM仕様_Hard_010501" xfId="129"/>
    <cellStyle name="標準_MUコミュニケーション様　NiceLog機器情報及び設定情報080805" xfId="131"/>
    <cellStyle name="標準_Sheet1" xfId="130"/>
    <cellStyle name="標準_新料金共通ルーチン一覧表（ＰＣ）" xfId="132"/>
    <cellStyle name="標準_要件定義（資産づくりアンケートの登録）20020118" xfId="128"/>
    <cellStyle name="未定義" xfId="64"/>
    <cellStyle name="率" xfId="65"/>
    <cellStyle name="良い 2" xfId="66"/>
  </cellStyles>
  <dxfs count="0"/>
  <tableStyles count="0" defaultTableStyle="TableStyleMedium2" defaultPivotStyle="PivotStyleLight16"/>
  <colors>
    <mruColors>
      <color rgb="FFCCFFFF"/>
      <color rgb="FFFF99CC"/>
      <color rgb="FFFF99FF"/>
      <color rgb="FFFF0066"/>
      <color rgb="FFCC00FF"/>
      <color rgb="FFCC66FF"/>
      <color rgb="FFCC0099"/>
      <color rgb="FFCC0066"/>
      <color rgb="FFFF3399"/>
      <color rgb="FFB9D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76</xdr:col>
      <xdr:colOff>9525</xdr:colOff>
      <xdr:row>0</xdr:row>
      <xdr:rowOff>24757</xdr:rowOff>
    </xdr:from>
    <xdr:ext cx="751232" cy="203742"/>
    <xdr:sp macro="" textlink="">
      <xdr:nvSpPr>
        <xdr:cNvPr id="5" name="テキスト ボックス 4">
          <a:extLst>
            <a:ext uri="{FF2B5EF4-FFF2-40B4-BE49-F238E27FC236}">
              <a16:creationId xmlns:a16="http://schemas.microsoft.com/office/drawing/2014/main" id="{00000000-0008-0000-0300-000005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xdr:col>
      <xdr:colOff>0</xdr:colOff>
      <xdr:row>26</xdr:row>
      <xdr:rowOff>52450</xdr:rowOff>
    </xdr:from>
    <xdr:to>
      <xdr:col>80</xdr:col>
      <xdr:colOff>89648</xdr:colOff>
      <xdr:row>65</xdr:row>
      <xdr:rowOff>76199</xdr:rowOff>
    </xdr:to>
    <xdr:sp macro="" textlink="">
      <xdr:nvSpPr>
        <xdr:cNvPr id="35" name="四角形: 角を丸くする 161">
          <a:extLst>
            <a:ext uri="{FF2B5EF4-FFF2-40B4-BE49-F238E27FC236}">
              <a16:creationId xmlns:a16="http://schemas.microsoft.com/office/drawing/2014/main" id="{00000000-0008-0000-0300-000023000000}"/>
            </a:ext>
          </a:extLst>
        </xdr:cNvPr>
        <xdr:cNvSpPr/>
      </xdr:nvSpPr>
      <xdr:spPr>
        <a:xfrm>
          <a:off x="371475" y="3900550"/>
          <a:ext cx="9624173" cy="5967349"/>
        </a:xfrm>
        <a:prstGeom prst="roundRect">
          <a:avLst>
            <a:gd name="adj" fmla="val 2376"/>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clientData/>
  </xdr:twoCellAnchor>
  <xdr:twoCellAnchor>
    <xdr:from>
      <xdr:col>5</xdr:col>
      <xdr:colOff>40728</xdr:colOff>
      <xdr:row>55</xdr:row>
      <xdr:rowOff>86363</xdr:rowOff>
    </xdr:from>
    <xdr:to>
      <xdr:col>78</xdr:col>
      <xdr:colOff>67235</xdr:colOff>
      <xdr:row>64</xdr:row>
      <xdr:rowOff>33618</xdr:rowOff>
    </xdr:to>
    <xdr:sp macro="" textlink="">
      <xdr:nvSpPr>
        <xdr:cNvPr id="36" name="角丸四角形 35">
          <a:extLst>
            <a:ext uri="{FF2B5EF4-FFF2-40B4-BE49-F238E27FC236}">
              <a16:creationId xmlns:a16="http://schemas.microsoft.com/office/drawing/2014/main" id="{00000000-0008-0000-0300-000024000000}"/>
            </a:ext>
          </a:extLst>
        </xdr:cNvPr>
        <xdr:cNvSpPr/>
      </xdr:nvSpPr>
      <xdr:spPr>
        <a:xfrm>
          <a:off x="659853" y="8354063"/>
          <a:ext cx="9065732" cy="1318855"/>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clientData/>
  </xdr:twoCellAnchor>
  <xdr:twoCellAnchor>
    <xdr:from>
      <xdr:col>5</xdr:col>
      <xdr:colOff>40728</xdr:colOff>
      <xdr:row>28</xdr:row>
      <xdr:rowOff>122931</xdr:rowOff>
    </xdr:from>
    <xdr:to>
      <xdr:col>78</xdr:col>
      <xdr:colOff>67235</xdr:colOff>
      <xdr:row>55</xdr:row>
      <xdr:rowOff>78528</xdr:rowOff>
    </xdr:to>
    <xdr:sp macro="" textlink="">
      <xdr:nvSpPr>
        <xdr:cNvPr id="37" name="角丸四角形 36">
          <a:extLst>
            <a:ext uri="{FF2B5EF4-FFF2-40B4-BE49-F238E27FC236}">
              <a16:creationId xmlns:a16="http://schemas.microsoft.com/office/drawing/2014/main" id="{00000000-0008-0000-0300-000025000000}"/>
            </a:ext>
          </a:extLst>
        </xdr:cNvPr>
        <xdr:cNvSpPr/>
      </xdr:nvSpPr>
      <xdr:spPr>
        <a:xfrm>
          <a:off x="659853" y="4275831"/>
          <a:ext cx="9065732" cy="4070397"/>
        </a:xfrm>
        <a:prstGeom prst="roundRect">
          <a:avLst>
            <a:gd name="adj" fmla="val 3166"/>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clientData/>
  </xdr:twoCellAnchor>
  <xdr:twoCellAnchor>
    <xdr:from>
      <xdr:col>28</xdr:col>
      <xdr:colOff>74079</xdr:colOff>
      <xdr:row>29</xdr:row>
      <xdr:rowOff>52451</xdr:rowOff>
    </xdr:from>
    <xdr:to>
      <xdr:col>41</xdr:col>
      <xdr:colOff>73638</xdr:colOff>
      <xdr:row>32</xdr:row>
      <xdr:rowOff>147841</xdr:rowOff>
    </xdr:to>
    <xdr:sp macro="" textlink="">
      <xdr:nvSpPr>
        <xdr:cNvPr id="38" name="角丸四角形 37">
          <a:extLst>
            <a:ext uri="{FF2B5EF4-FFF2-40B4-BE49-F238E27FC236}">
              <a16:creationId xmlns:a16="http://schemas.microsoft.com/office/drawing/2014/main" id="{00000000-0008-0000-0300-000026000000}"/>
            </a:ext>
          </a:extLst>
        </xdr:cNvPr>
        <xdr:cNvSpPr/>
      </xdr:nvSpPr>
      <xdr:spPr>
        <a:xfrm>
          <a:off x="3541179" y="4357751"/>
          <a:ext cx="1609284" cy="552590"/>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本書</a:t>
          </a:r>
          <a:r>
            <a:rPr kumimoji="1" lang="en-US" altLang="ja-JP" sz="900">
              <a:latin typeface="ＭＳ Ｐゴシック" pitchFamily="50" charset="-128"/>
              <a:ea typeface="ＭＳ Ｐゴシック" pitchFamily="50" charset="-128"/>
            </a:rPr>
            <a:t>】</a:t>
          </a:r>
        </a:p>
      </xdr:txBody>
    </xdr:sp>
    <xdr:clientData/>
  </xdr:twoCellAnchor>
  <xdr:twoCellAnchor editAs="oneCell">
    <xdr:from>
      <xdr:col>16</xdr:col>
      <xdr:colOff>98350</xdr:colOff>
      <xdr:row>33</xdr:row>
      <xdr:rowOff>7868</xdr:rowOff>
    </xdr:from>
    <xdr:to>
      <xdr:col>25</xdr:col>
      <xdr:colOff>90921</xdr:colOff>
      <xdr:row>37</xdr:row>
      <xdr:rowOff>119098</xdr:rowOff>
    </xdr:to>
    <xdr:sp macro="" textlink="">
      <xdr:nvSpPr>
        <xdr:cNvPr id="39" name="角丸四角形 38">
          <a:extLst>
            <a:ext uri="{FF2B5EF4-FFF2-40B4-BE49-F238E27FC236}">
              <a16:creationId xmlns:a16="http://schemas.microsoft.com/office/drawing/2014/main" id="{00000000-0008-0000-0300-000027000000}"/>
            </a:ext>
          </a:extLst>
        </xdr:cNvPr>
        <xdr:cNvSpPr/>
      </xdr:nvSpPr>
      <xdr:spPr>
        <a:xfrm>
          <a:off x="2079550" y="4922768"/>
          <a:ext cx="1106996" cy="72083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clientData/>
  </xdr:twoCellAnchor>
  <xdr:twoCellAnchor>
    <xdr:from>
      <xdr:col>28</xdr:col>
      <xdr:colOff>74079</xdr:colOff>
      <xdr:row>50</xdr:row>
      <xdr:rowOff>73261</xdr:rowOff>
    </xdr:from>
    <xdr:to>
      <xdr:col>41</xdr:col>
      <xdr:colOff>73638</xdr:colOff>
      <xdr:row>54</xdr:row>
      <xdr:rowOff>109324</xdr:rowOff>
    </xdr:to>
    <xdr:sp macro="" textlink="">
      <xdr:nvSpPr>
        <xdr:cNvPr id="40" name="角丸四角形 39">
          <a:extLst>
            <a:ext uri="{FF2B5EF4-FFF2-40B4-BE49-F238E27FC236}">
              <a16:creationId xmlns:a16="http://schemas.microsoft.com/office/drawing/2014/main" id="{00000000-0008-0000-0300-000028000000}"/>
            </a:ext>
          </a:extLst>
        </xdr:cNvPr>
        <xdr:cNvSpPr/>
      </xdr:nvSpPr>
      <xdr:spPr>
        <a:xfrm>
          <a:off x="3541179" y="7578961"/>
          <a:ext cx="1609284" cy="64566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28</xdr:col>
      <xdr:colOff>74079</xdr:colOff>
      <xdr:row>33</xdr:row>
      <xdr:rowOff>95890</xdr:rowOff>
    </xdr:from>
    <xdr:to>
      <xdr:col>41</xdr:col>
      <xdr:colOff>73638</xdr:colOff>
      <xdr:row>37</xdr:row>
      <xdr:rowOff>38099</xdr:rowOff>
    </xdr:to>
    <xdr:sp macro="" textlink="">
      <xdr:nvSpPr>
        <xdr:cNvPr id="41" name="角丸四角形 40">
          <a:extLst>
            <a:ext uri="{FF2B5EF4-FFF2-40B4-BE49-F238E27FC236}">
              <a16:creationId xmlns:a16="http://schemas.microsoft.com/office/drawing/2014/main" id="{00000000-0008-0000-0300-000029000000}"/>
            </a:ext>
          </a:extLst>
        </xdr:cNvPr>
        <xdr:cNvSpPr/>
      </xdr:nvSpPr>
      <xdr:spPr>
        <a:xfrm>
          <a:off x="3541179" y="5010790"/>
          <a:ext cx="1609284" cy="5518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基盤基本設計書</a:t>
          </a:r>
          <a:endParaRPr kumimoji="1" lang="en-US" altLang="ja-JP" sz="900">
            <a:solidFill>
              <a:sysClr val="windowText" lastClr="000000"/>
            </a:solidFill>
            <a:latin typeface="ＭＳ Ｐゴシック" pitchFamily="50" charset="-128"/>
            <a:ea typeface="ＭＳ Ｐゴシック" pitchFamily="50" charset="-128"/>
          </a:endParaRPr>
        </a:p>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本番・研修編</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62650</xdr:colOff>
      <xdr:row>50</xdr:row>
      <xdr:rowOff>73261</xdr:rowOff>
    </xdr:from>
    <xdr:to>
      <xdr:col>57</xdr:col>
      <xdr:colOff>62209</xdr:colOff>
      <xdr:row>54</xdr:row>
      <xdr:rowOff>109324</xdr:rowOff>
    </xdr:to>
    <xdr:sp macro="" textlink="">
      <xdr:nvSpPr>
        <xdr:cNvPr id="42" name="角丸四角形 41">
          <a:extLst>
            <a:ext uri="{FF2B5EF4-FFF2-40B4-BE49-F238E27FC236}">
              <a16:creationId xmlns:a16="http://schemas.microsoft.com/office/drawing/2014/main" id="{00000000-0008-0000-0300-00002A000000}"/>
            </a:ext>
          </a:extLst>
        </xdr:cNvPr>
        <xdr:cNvSpPr/>
      </xdr:nvSpPr>
      <xdr:spPr>
        <a:xfrm>
          <a:off x="5510950" y="7578961"/>
          <a:ext cx="1609284" cy="64566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44</xdr:col>
      <xdr:colOff>62650</xdr:colOff>
      <xdr:row>29</xdr:row>
      <xdr:rowOff>52451</xdr:rowOff>
    </xdr:from>
    <xdr:to>
      <xdr:col>57</xdr:col>
      <xdr:colOff>62209</xdr:colOff>
      <xdr:row>32</xdr:row>
      <xdr:rowOff>147841</xdr:rowOff>
    </xdr:to>
    <xdr:sp macro="" textlink="">
      <xdr:nvSpPr>
        <xdr:cNvPr id="43" name="角丸四角形 42">
          <a:extLst>
            <a:ext uri="{FF2B5EF4-FFF2-40B4-BE49-F238E27FC236}">
              <a16:creationId xmlns:a16="http://schemas.microsoft.com/office/drawing/2014/main" id="{00000000-0008-0000-0300-00002B000000}"/>
            </a:ext>
          </a:extLst>
        </xdr:cNvPr>
        <xdr:cNvSpPr/>
      </xdr:nvSpPr>
      <xdr:spPr>
        <a:xfrm>
          <a:off x="5510950" y="4357751"/>
          <a:ext cx="1609284" cy="55259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p>
      </xdr:txBody>
    </xdr:sp>
    <xdr:clientData/>
  </xdr:twoCellAnchor>
  <xdr:twoCellAnchor>
    <xdr:from>
      <xdr:col>44</xdr:col>
      <xdr:colOff>62650</xdr:colOff>
      <xdr:row>33</xdr:row>
      <xdr:rowOff>95890</xdr:rowOff>
    </xdr:from>
    <xdr:to>
      <xdr:col>57</xdr:col>
      <xdr:colOff>62209</xdr:colOff>
      <xdr:row>37</xdr:row>
      <xdr:rowOff>38099</xdr:rowOff>
    </xdr:to>
    <xdr:sp macro="" textlink="">
      <xdr:nvSpPr>
        <xdr:cNvPr id="44" name="角丸四角形 43">
          <a:extLst>
            <a:ext uri="{FF2B5EF4-FFF2-40B4-BE49-F238E27FC236}">
              <a16:creationId xmlns:a16="http://schemas.microsoft.com/office/drawing/2014/main" id="{00000000-0008-0000-0300-00002C000000}"/>
            </a:ext>
          </a:extLst>
        </xdr:cNvPr>
        <xdr:cNvSpPr/>
      </xdr:nvSpPr>
      <xdr:spPr>
        <a:xfrm>
          <a:off x="5510950" y="5010790"/>
          <a:ext cx="1609284" cy="5518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本番・研修編</a:t>
          </a:r>
        </a:p>
      </xdr:txBody>
    </xdr:sp>
    <xdr:clientData/>
  </xdr:twoCellAnchor>
  <xdr:twoCellAnchor>
    <xdr:from>
      <xdr:col>25</xdr:col>
      <xdr:colOff>90921</xdr:colOff>
      <xdr:row>31</xdr:row>
      <xdr:rowOff>21706</xdr:rowOff>
    </xdr:from>
    <xdr:to>
      <xdr:col>28</xdr:col>
      <xdr:colOff>74079</xdr:colOff>
      <xdr:row>35</xdr:row>
      <xdr:rowOff>63483</xdr:rowOff>
    </xdr:to>
    <xdr:cxnSp macro="">
      <xdr:nvCxnSpPr>
        <xdr:cNvPr id="45" name="直線コネクタ 44">
          <a:extLst>
            <a:ext uri="{FF2B5EF4-FFF2-40B4-BE49-F238E27FC236}">
              <a16:creationId xmlns:a16="http://schemas.microsoft.com/office/drawing/2014/main" id="{00000000-0008-0000-0300-00002D000000}"/>
            </a:ext>
          </a:extLst>
        </xdr:cNvPr>
        <xdr:cNvCxnSpPr>
          <a:stCxn id="38" idx="1"/>
          <a:endCxn id="39" idx="3"/>
        </xdr:cNvCxnSpPr>
      </xdr:nvCxnSpPr>
      <xdr:spPr>
        <a:xfrm flipH="1">
          <a:off x="3186546" y="4631806"/>
          <a:ext cx="354633" cy="65137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74079</xdr:colOff>
      <xdr:row>35</xdr:row>
      <xdr:rowOff>66994</xdr:rowOff>
    </xdr:to>
    <xdr:cxnSp macro="">
      <xdr:nvCxnSpPr>
        <xdr:cNvPr id="46" name="直線コネクタ 45">
          <a:extLst>
            <a:ext uri="{FF2B5EF4-FFF2-40B4-BE49-F238E27FC236}">
              <a16:creationId xmlns:a16="http://schemas.microsoft.com/office/drawing/2014/main" id="{00000000-0008-0000-0300-00002E000000}"/>
            </a:ext>
          </a:extLst>
        </xdr:cNvPr>
        <xdr:cNvCxnSpPr>
          <a:stCxn id="41" idx="1"/>
          <a:endCxn id="39" idx="3"/>
        </xdr:cNvCxnSpPr>
      </xdr:nvCxnSpPr>
      <xdr:spPr>
        <a:xfrm flipH="1" flipV="1">
          <a:off x="3186546" y="5283183"/>
          <a:ext cx="354633" cy="351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74079</xdr:colOff>
      <xdr:row>52</xdr:row>
      <xdr:rowOff>91292</xdr:rowOff>
    </xdr:to>
    <xdr:cxnSp macro="">
      <xdr:nvCxnSpPr>
        <xdr:cNvPr id="47" name="直線コネクタ 46">
          <a:extLst>
            <a:ext uri="{FF2B5EF4-FFF2-40B4-BE49-F238E27FC236}">
              <a16:creationId xmlns:a16="http://schemas.microsoft.com/office/drawing/2014/main" id="{00000000-0008-0000-0300-00002F000000}"/>
            </a:ext>
          </a:extLst>
        </xdr:cNvPr>
        <xdr:cNvCxnSpPr>
          <a:stCxn id="40" idx="1"/>
          <a:endCxn id="39" idx="3"/>
        </xdr:cNvCxnSpPr>
      </xdr:nvCxnSpPr>
      <xdr:spPr>
        <a:xfrm flipH="1" flipV="1">
          <a:off x="3186546" y="5283183"/>
          <a:ext cx="354633" cy="261860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73638</xdr:colOff>
      <xdr:row>31</xdr:row>
      <xdr:rowOff>21706</xdr:rowOff>
    </xdr:from>
    <xdr:to>
      <xdr:col>44</xdr:col>
      <xdr:colOff>62650</xdr:colOff>
      <xdr:row>31</xdr:row>
      <xdr:rowOff>21706</xdr:rowOff>
    </xdr:to>
    <xdr:cxnSp macro="">
      <xdr:nvCxnSpPr>
        <xdr:cNvPr id="48" name="直線コネクタ 47">
          <a:extLst>
            <a:ext uri="{FF2B5EF4-FFF2-40B4-BE49-F238E27FC236}">
              <a16:creationId xmlns:a16="http://schemas.microsoft.com/office/drawing/2014/main" id="{00000000-0008-0000-0300-000030000000}"/>
            </a:ext>
          </a:extLst>
        </xdr:cNvPr>
        <xdr:cNvCxnSpPr>
          <a:stCxn id="43" idx="1"/>
          <a:endCxn id="38" idx="3"/>
        </xdr:cNvCxnSpPr>
      </xdr:nvCxnSpPr>
      <xdr:spPr>
        <a:xfrm flipH="1">
          <a:off x="5127491" y="4750588"/>
          <a:ext cx="35880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73638</xdr:colOff>
      <xdr:row>35</xdr:row>
      <xdr:rowOff>66995</xdr:rowOff>
    </xdr:from>
    <xdr:to>
      <xdr:col>44</xdr:col>
      <xdr:colOff>62650</xdr:colOff>
      <xdr:row>35</xdr:row>
      <xdr:rowOff>66995</xdr:rowOff>
    </xdr:to>
    <xdr:cxnSp macro="">
      <xdr:nvCxnSpPr>
        <xdr:cNvPr id="49" name="直線コネクタ 48">
          <a:extLst>
            <a:ext uri="{FF2B5EF4-FFF2-40B4-BE49-F238E27FC236}">
              <a16:creationId xmlns:a16="http://schemas.microsoft.com/office/drawing/2014/main" id="{00000000-0008-0000-0300-000031000000}"/>
            </a:ext>
          </a:extLst>
        </xdr:cNvPr>
        <xdr:cNvCxnSpPr>
          <a:stCxn id="44" idx="1"/>
          <a:endCxn id="41" idx="3"/>
        </xdr:cNvCxnSpPr>
      </xdr:nvCxnSpPr>
      <xdr:spPr>
        <a:xfrm flipH="1">
          <a:off x="5150463" y="5286695"/>
          <a:ext cx="36048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119558</xdr:colOff>
      <xdr:row>50</xdr:row>
      <xdr:rowOff>73261</xdr:rowOff>
    </xdr:from>
    <xdr:to>
      <xdr:col>72</xdr:col>
      <xdr:colOff>119117</xdr:colOff>
      <xdr:row>54</xdr:row>
      <xdr:rowOff>109324</xdr:rowOff>
    </xdr:to>
    <xdr:sp macro="" textlink="">
      <xdr:nvSpPr>
        <xdr:cNvPr id="50" name="角丸四角形 49">
          <a:extLst>
            <a:ext uri="{FF2B5EF4-FFF2-40B4-BE49-F238E27FC236}">
              <a16:creationId xmlns:a16="http://schemas.microsoft.com/office/drawing/2014/main" id="{00000000-0008-0000-0300-000032000000}"/>
            </a:ext>
          </a:extLst>
        </xdr:cNvPr>
        <xdr:cNvSpPr/>
      </xdr:nvSpPr>
      <xdr:spPr>
        <a:xfrm>
          <a:off x="7425233" y="7578961"/>
          <a:ext cx="1609284" cy="64566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28</xdr:col>
      <xdr:colOff>76378</xdr:colOff>
      <xdr:row>56</xdr:row>
      <xdr:rowOff>22684</xdr:rowOff>
    </xdr:from>
    <xdr:to>
      <xdr:col>41</xdr:col>
      <xdr:colOff>75937</xdr:colOff>
      <xdr:row>59</xdr:row>
      <xdr:rowOff>8280</xdr:rowOff>
    </xdr:to>
    <xdr:sp macro="" textlink="">
      <xdr:nvSpPr>
        <xdr:cNvPr id="53" name="角丸四角形 52">
          <a:extLst>
            <a:ext uri="{FF2B5EF4-FFF2-40B4-BE49-F238E27FC236}">
              <a16:creationId xmlns:a16="http://schemas.microsoft.com/office/drawing/2014/main" id="{00000000-0008-0000-0300-000035000000}"/>
            </a:ext>
          </a:extLst>
        </xdr:cNvPr>
        <xdr:cNvSpPr/>
      </xdr:nvSpPr>
      <xdr:spPr>
        <a:xfrm>
          <a:off x="3543478" y="8442784"/>
          <a:ext cx="1609284" cy="44279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64949</xdr:colOff>
      <xdr:row>56</xdr:row>
      <xdr:rowOff>22684</xdr:rowOff>
    </xdr:from>
    <xdr:to>
      <xdr:col>57</xdr:col>
      <xdr:colOff>64508</xdr:colOff>
      <xdr:row>59</xdr:row>
      <xdr:rowOff>8280</xdr:rowOff>
    </xdr:to>
    <xdr:sp macro="" textlink="">
      <xdr:nvSpPr>
        <xdr:cNvPr id="55" name="角丸四角形 54">
          <a:extLst>
            <a:ext uri="{FF2B5EF4-FFF2-40B4-BE49-F238E27FC236}">
              <a16:creationId xmlns:a16="http://schemas.microsoft.com/office/drawing/2014/main" id="{00000000-0008-0000-0300-000037000000}"/>
            </a:ext>
          </a:extLst>
        </xdr:cNvPr>
        <xdr:cNvSpPr/>
      </xdr:nvSpPr>
      <xdr:spPr>
        <a:xfrm>
          <a:off x="5513249" y="8442784"/>
          <a:ext cx="1609284" cy="44279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25</xdr:col>
      <xdr:colOff>90921</xdr:colOff>
      <xdr:row>35</xdr:row>
      <xdr:rowOff>63483</xdr:rowOff>
    </xdr:from>
    <xdr:to>
      <xdr:col>28</xdr:col>
      <xdr:colOff>76378</xdr:colOff>
      <xdr:row>57</xdr:row>
      <xdr:rowOff>93923</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53" idx="1"/>
          <a:endCxn id="39" idx="3"/>
        </xdr:cNvCxnSpPr>
      </xdr:nvCxnSpPr>
      <xdr:spPr>
        <a:xfrm flipH="1" flipV="1">
          <a:off x="3186546" y="5283183"/>
          <a:ext cx="356932" cy="33832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75937</xdr:colOff>
      <xdr:row>57</xdr:row>
      <xdr:rowOff>93414</xdr:rowOff>
    </xdr:from>
    <xdr:to>
      <xdr:col>44</xdr:col>
      <xdr:colOff>64949</xdr:colOff>
      <xdr:row>57</xdr:row>
      <xdr:rowOff>93414</xdr:rowOff>
    </xdr:to>
    <xdr:cxnSp macro="">
      <xdr:nvCxnSpPr>
        <xdr:cNvPr id="57" name="直線コネクタ 56">
          <a:extLst>
            <a:ext uri="{FF2B5EF4-FFF2-40B4-BE49-F238E27FC236}">
              <a16:creationId xmlns:a16="http://schemas.microsoft.com/office/drawing/2014/main" id="{00000000-0008-0000-0300-000039000000}"/>
            </a:ext>
          </a:extLst>
        </xdr:cNvPr>
        <xdr:cNvCxnSpPr>
          <a:stCxn id="55" idx="1"/>
          <a:endCxn id="53" idx="3"/>
        </xdr:cNvCxnSpPr>
      </xdr:nvCxnSpPr>
      <xdr:spPr>
        <a:xfrm flipH="1">
          <a:off x="5152762" y="8665914"/>
          <a:ext cx="36048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73638</xdr:colOff>
      <xdr:row>52</xdr:row>
      <xdr:rowOff>91292</xdr:rowOff>
    </xdr:from>
    <xdr:to>
      <xdr:col>44</xdr:col>
      <xdr:colOff>62650</xdr:colOff>
      <xdr:row>52</xdr:row>
      <xdr:rowOff>91292</xdr:rowOff>
    </xdr:to>
    <xdr:cxnSp macro="">
      <xdr:nvCxnSpPr>
        <xdr:cNvPr id="58" name="直線コネクタ 57">
          <a:extLst>
            <a:ext uri="{FF2B5EF4-FFF2-40B4-BE49-F238E27FC236}">
              <a16:creationId xmlns:a16="http://schemas.microsoft.com/office/drawing/2014/main" id="{00000000-0008-0000-0300-00003A000000}"/>
            </a:ext>
          </a:extLst>
        </xdr:cNvPr>
        <xdr:cNvCxnSpPr>
          <a:stCxn id="42" idx="1"/>
          <a:endCxn id="40" idx="3"/>
        </xdr:cNvCxnSpPr>
      </xdr:nvCxnSpPr>
      <xdr:spPr>
        <a:xfrm flipH="1">
          <a:off x="5150463" y="7901792"/>
          <a:ext cx="36048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62209</xdr:colOff>
      <xdr:row>52</xdr:row>
      <xdr:rowOff>91292</xdr:rowOff>
    </xdr:from>
    <xdr:to>
      <xdr:col>59</xdr:col>
      <xdr:colOff>119558</xdr:colOff>
      <xdr:row>52</xdr:row>
      <xdr:rowOff>91292</xdr:rowOff>
    </xdr:to>
    <xdr:cxnSp macro="">
      <xdr:nvCxnSpPr>
        <xdr:cNvPr id="59" name="直線コネクタ 58">
          <a:extLst>
            <a:ext uri="{FF2B5EF4-FFF2-40B4-BE49-F238E27FC236}">
              <a16:creationId xmlns:a16="http://schemas.microsoft.com/office/drawing/2014/main" id="{00000000-0008-0000-0300-00003B000000}"/>
            </a:ext>
          </a:extLst>
        </xdr:cNvPr>
        <xdr:cNvCxnSpPr>
          <a:stCxn id="50" idx="1"/>
          <a:endCxn id="42" idx="3"/>
        </xdr:cNvCxnSpPr>
      </xdr:nvCxnSpPr>
      <xdr:spPr>
        <a:xfrm flipH="1">
          <a:off x="7120234" y="7901792"/>
          <a:ext cx="30499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74079</xdr:colOff>
      <xdr:row>59</xdr:row>
      <xdr:rowOff>65337</xdr:rowOff>
    </xdr:from>
    <xdr:to>
      <xdr:col>41</xdr:col>
      <xdr:colOff>73638</xdr:colOff>
      <xdr:row>63</xdr:row>
      <xdr:rowOff>99249</xdr:rowOff>
    </xdr:to>
    <xdr:sp macro="" textlink="">
      <xdr:nvSpPr>
        <xdr:cNvPr id="60" name="角丸四角形 59">
          <a:extLst>
            <a:ext uri="{FF2B5EF4-FFF2-40B4-BE49-F238E27FC236}">
              <a16:creationId xmlns:a16="http://schemas.microsoft.com/office/drawing/2014/main" id="{00000000-0008-0000-0300-00003C000000}"/>
            </a:ext>
          </a:extLst>
        </xdr:cNvPr>
        <xdr:cNvSpPr/>
      </xdr:nvSpPr>
      <xdr:spPr>
        <a:xfrm>
          <a:off x="3541179" y="8942637"/>
          <a:ext cx="1609284" cy="64351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62650</xdr:colOff>
      <xdr:row>59</xdr:row>
      <xdr:rowOff>65337</xdr:rowOff>
    </xdr:from>
    <xdr:to>
      <xdr:col>57</xdr:col>
      <xdr:colOff>62209</xdr:colOff>
      <xdr:row>63</xdr:row>
      <xdr:rowOff>99249</xdr:rowOff>
    </xdr:to>
    <xdr:sp macro="" textlink="">
      <xdr:nvSpPr>
        <xdr:cNvPr id="68" name="角丸四角形 67">
          <a:extLst>
            <a:ext uri="{FF2B5EF4-FFF2-40B4-BE49-F238E27FC236}">
              <a16:creationId xmlns:a16="http://schemas.microsoft.com/office/drawing/2014/main" id="{00000000-0008-0000-0300-000044000000}"/>
            </a:ext>
          </a:extLst>
        </xdr:cNvPr>
        <xdr:cNvSpPr/>
      </xdr:nvSpPr>
      <xdr:spPr>
        <a:xfrm>
          <a:off x="5510950" y="8942637"/>
          <a:ext cx="1609284" cy="64351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59</xdr:col>
      <xdr:colOff>119558</xdr:colOff>
      <xdr:row>59</xdr:row>
      <xdr:rowOff>65337</xdr:rowOff>
    </xdr:from>
    <xdr:to>
      <xdr:col>72</xdr:col>
      <xdr:colOff>119117</xdr:colOff>
      <xdr:row>63</xdr:row>
      <xdr:rowOff>99249</xdr:rowOff>
    </xdr:to>
    <xdr:sp macro="" textlink="">
      <xdr:nvSpPr>
        <xdr:cNvPr id="69" name="角丸四角形 68">
          <a:extLst>
            <a:ext uri="{FF2B5EF4-FFF2-40B4-BE49-F238E27FC236}">
              <a16:creationId xmlns:a16="http://schemas.microsoft.com/office/drawing/2014/main" id="{00000000-0008-0000-0300-000045000000}"/>
            </a:ext>
          </a:extLst>
        </xdr:cNvPr>
        <xdr:cNvSpPr/>
      </xdr:nvSpPr>
      <xdr:spPr>
        <a:xfrm>
          <a:off x="7425233" y="8942637"/>
          <a:ext cx="1609284" cy="643512"/>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41</xdr:col>
      <xdr:colOff>73638</xdr:colOff>
      <xdr:row>61</xdr:row>
      <xdr:rowOff>82294</xdr:rowOff>
    </xdr:from>
    <xdr:to>
      <xdr:col>44</xdr:col>
      <xdr:colOff>62650</xdr:colOff>
      <xdr:row>61</xdr:row>
      <xdr:rowOff>82294</xdr:rowOff>
    </xdr:to>
    <xdr:cxnSp macro="">
      <xdr:nvCxnSpPr>
        <xdr:cNvPr id="70" name="直線コネクタ 69">
          <a:extLst>
            <a:ext uri="{FF2B5EF4-FFF2-40B4-BE49-F238E27FC236}">
              <a16:creationId xmlns:a16="http://schemas.microsoft.com/office/drawing/2014/main" id="{00000000-0008-0000-0300-000046000000}"/>
            </a:ext>
          </a:extLst>
        </xdr:cNvPr>
        <xdr:cNvCxnSpPr>
          <a:stCxn id="68" idx="1"/>
          <a:endCxn id="60" idx="3"/>
        </xdr:cNvCxnSpPr>
      </xdr:nvCxnSpPr>
      <xdr:spPr>
        <a:xfrm flipH="1">
          <a:off x="5150463" y="9264394"/>
          <a:ext cx="36048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62209</xdr:colOff>
      <xdr:row>61</xdr:row>
      <xdr:rowOff>78691</xdr:rowOff>
    </xdr:from>
    <xdr:to>
      <xdr:col>59</xdr:col>
      <xdr:colOff>119558</xdr:colOff>
      <xdr:row>61</xdr:row>
      <xdr:rowOff>78691</xdr:rowOff>
    </xdr:to>
    <xdr:cxnSp macro="">
      <xdr:nvCxnSpPr>
        <xdr:cNvPr id="71" name="直線コネクタ 70">
          <a:extLst>
            <a:ext uri="{FF2B5EF4-FFF2-40B4-BE49-F238E27FC236}">
              <a16:creationId xmlns:a16="http://schemas.microsoft.com/office/drawing/2014/main" id="{00000000-0008-0000-0300-000047000000}"/>
            </a:ext>
          </a:extLst>
        </xdr:cNvPr>
        <xdr:cNvCxnSpPr>
          <a:stCxn id="69" idx="1"/>
          <a:endCxn id="68" idx="3"/>
        </xdr:cNvCxnSpPr>
      </xdr:nvCxnSpPr>
      <xdr:spPr>
        <a:xfrm flipH="1">
          <a:off x="7120234" y="9260791"/>
          <a:ext cx="30499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74079</xdr:colOff>
      <xdr:row>61</xdr:row>
      <xdr:rowOff>82293</xdr:rowOff>
    </xdr:to>
    <xdr:cxnSp macro="">
      <xdr:nvCxnSpPr>
        <xdr:cNvPr id="74" name="直線コネクタ 73">
          <a:extLst>
            <a:ext uri="{FF2B5EF4-FFF2-40B4-BE49-F238E27FC236}">
              <a16:creationId xmlns:a16="http://schemas.microsoft.com/office/drawing/2014/main" id="{00000000-0008-0000-0300-00004A000000}"/>
            </a:ext>
          </a:extLst>
        </xdr:cNvPr>
        <xdr:cNvCxnSpPr>
          <a:stCxn id="60" idx="1"/>
          <a:endCxn id="39" idx="3"/>
        </xdr:cNvCxnSpPr>
      </xdr:nvCxnSpPr>
      <xdr:spPr>
        <a:xfrm flipH="1" flipV="1">
          <a:off x="3186546" y="5283183"/>
          <a:ext cx="354633" cy="398121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95758</xdr:colOff>
      <xdr:row>27</xdr:row>
      <xdr:rowOff>5602</xdr:rowOff>
    </xdr:from>
    <xdr:to>
      <xdr:col>41</xdr:col>
      <xdr:colOff>118171</xdr:colOff>
      <xdr:row>28</xdr:row>
      <xdr:rowOff>76838</xdr:rowOff>
    </xdr:to>
    <xdr:sp macro="" textlink="">
      <xdr:nvSpPr>
        <xdr:cNvPr id="76" name="ホームベース 75">
          <a:extLst>
            <a:ext uri="{FF2B5EF4-FFF2-40B4-BE49-F238E27FC236}">
              <a16:creationId xmlns:a16="http://schemas.microsoft.com/office/drawing/2014/main" id="{00000000-0008-0000-0300-00004C000000}"/>
            </a:ext>
          </a:extLst>
        </xdr:cNvPr>
        <xdr:cNvSpPr/>
      </xdr:nvSpPr>
      <xdr:spPr>
        <a:xfrm>
          <a:off x="3562858" y="4006102"/>
          <a:ext cx="1632138" cy="223636"/>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clientData/>
  </xdr:twoCellAnchor>
  <xdr:twoCellAnchor>
    <xdr:from>
      <xdr:col>44</xdr:col>
      <xdr:colOff>63770</xdr:colOff>
      <xdr:row>27</xdr:row>
      <xdr:rowOff>1119</xdr:rowOff>
    </xdr:from>
    <xdr:to>
      <xdr:col>73</xdr:col>
      <xdr:colOff>4518</xdr:colOff>
      <xdr:row>28</xdr:row>
      <xdr:rowOff>72355</xdr:rowOff>
    </xdr:to>
    <xdr:sp macro="" textlink="">
      <xdr:nvSpPr>
        <xdr:cNvPr id="77" name="ホームベース 76">
          <a:extLst>
            <a:ext uri="{FF2B5EF4-FFF2-40B4-BE49-F238E27FC236}">
              <a16:creationId xmlns:a16="http://schemas.microsoft.com/office/drawing/2014/main" id="{00000000-0008-0000-0300-00004D000000}"/>
            </a:ext>
          </a:extLst>
        </xdr:cNvPr>
        <xdr:cNvSpPr/>
      </xdr:nvSpPr>
      <xdr:spPr>
        <a:xfrm>
          <a:off x="5512070" y="4001619"/>
          <a:ext cx="3531673" cy="223636"/>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clientData/>
  </xdr:twoCellAnchor>
  <xdr:twoCellAnchor>
    <xdr:from>
      <xdr:col>16</xdr:col>
      <xdr:colOff>118783</xdr:colOff>
      <xdr:row>27</xdr:row>
      <xdr:rowOff>1120</xdr:rowOff>
    </xdr:from>
    <xdr:to>
      <xdr:col>26</xdr:col>
      <xdr:colOff>2136</xdr:colOff>
      <xdr:row>28</xdr:row>
      <xdr:rowOff>72356</xdr:rowOff>
    </xdr:to>
    <xdr:sp macro="" textlink="">
      <xdr:nvSpPr>
        <xdr:cNvPr id="79" name="ホームベース 78">
          <a:extLst>
            <a:ext uri="{FF2B5EF4-FFF2-40B4-BE49-F238E27FC236}">
              <a16:creationId xmlns:a16="http://schemas.microsoft.com/office/drawing/2014/main" id="{00000000-0008-0000-0300-00004F000000}"/>
            </a:ext>
          </a:extLst>
        </xdr:cNvPr>
        <xdr:cNvSpPr/>
      </xdr:nvSpPr>
      <xdr:spPr>
        <a:xfrm>
          <a:off x="2099983" y="4001620"/>
          <a:ext cx="1121603" cy="223636"/>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clientData/>
  </xdr:twoCellAnchor>
  <xdr:twoCellAnchor>
    <xdr:from>
      <xdr:col>28</xdr:col>
      <xdr:colOff>77441</xdr:colOff>
      <xdr:row>37</xdr:row>
      <xdr:rowOff>153944</xdr:rowOff>
    </xdr:from>
    <xdr:to>
      <xdr:col>41</xdr:col>
      <xdr:colOff>77000</xdr:colOff>
      <xdr:row>41</xdr:row>
      <xdr:rowOff>91614</xdr:rowOff>
    </xdr:to>
    <xdr:sp macro="" textlink="">
      <xdr:nvSpPr>
        <xdr:cNvPr id="80" name="角丸四角形 79">
          <a:extLst>
            <a:ext uri="{FF2B5EF4-FFF2-40B4-BE49-F238E27FC236}">
              <a16:creationId xmlns:a16="http://schemas.microsoft.com/office/drawing/2014/main" id="{00000000-0008-0000-0300-000050000000}"/>
            </a:ext>
          </a:extLst>
        </xdr:cNvPr>
        <xdr:cNvSpPr/>
      </xdr:nvSpPr>
      <xdr:spPr>
        <a:xfrm>
          <a:off x="3544541" y="5678444"/>
          <a:ext cx="1609284" cy="54727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66184</xdr:colOff>
      <xdr:row>37</xdr:row>
      <xdr:rowOff>153944</xdr:rowOff>
    </xdr:from>
    <xdr:to>
      <xdr:col>57</xdr:col>
      <xdr:colOff>65743</xdr:colOff>
      <xdr:row>41</xdr:row>
      <xdr:rowOff>91614</xdr:rowOff>
    </xdr:to>
    <xdr:sp macro="" textlink="">
      <xdr:nvSpPr>
        <xdr:cNvPr id="82" name="角丸四角形 81">
          <a:extLst>
            <a:ext uri="{FF2B5EF4-FFF2-40B4-BE49-F238E27FC236}">
              <a16:creationId xmlns:a16="http://schemas.microsoft.com/office/drawing/2014/main" id="{00000000-0008-0000-0300-000052000000}"/>
            </a:ext>
          </a:extLst>
        </xdr:cNvPr>
        <xdr:cNvSpPr/>
      </xdr:nvSpPr>
      <xdr:spPr>
        <a:xfrm>
          <a:off x="5514484" y="5678444"/>
          <a:ext cx="1609284" cy="54727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66184</xdr:colOff>
      <xdr:row>42</xdr:row>
      <xdr:rowOff>10510</xdr:rowOff>
    </xdr:from>
    <xdr:to>
      <xdr:col>57</xdr:col>
      <xdr:colOff>65743</xdr:colOff>
      <xdr:row>45</xdr:row>
      <xdr:rowOff>105063</xdr:rowOff>
    </xdr:to>
    <xdr:sp macro="" textlink="">
      <xdr:nvSpPr>
        <xdr:cNvPr id="83" name="角丸四角形 82">
          <a:extLst>
            <a:ext uri="{FF2B5EF4-FFF2-40B4-BE49-F238E27FC236}">
              <a16:creationId xmlns:a16="http://schemas.microsoft.com/office/drawing/2014/main" id="{00000000-0008-0000-0300-000053000000}"/>
            </a:ext>
          </a:extLst>
        </xdr:cNvPr>
        <xdr:cNvSpPr/>
      </xdr:nvSpPr>
      <xdr:spPr>
        <a:xfrm>
          <a:off x="5514484" y="6297010"/>
          <a:ext cx="1609284" cy="551753"/>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本番編</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65839</xdr:colOff>
      <xdr:row>46</xdr:row>
      <xdr:rowOff>20398</xdr:rowOff>
    </xdr:from>
    <xdr:to>
      <xdr:col>57</xdr:col>
      <xdr:colOff>65398</xdr:colOff>
      <xdr:row>49</xdr:row>
      <xdr:rowOff>114951</xdr:rowOff>
    </xdr:to>
    <xdr:sp macro="" textlink="">
      <xdr:nvSpPr>
        <xdr:cNvPr id="84" name="角丸四角形 83">
          <a:extLst>
            <a:ext uri="{FF2B5EF4-FFF2-40B4-BE49-F238E27FC236}">
              <a16:creationId xmlns:a16="http://schemas.microsoft.com/office/drawing/2014/main" id="{00000000-0008-0000-0300-000054000000}"/>
            </a:ext>
          </a:extLst>
        </xdr:cNvPr>
        <xdr:cNvSpPr/>
      </xdr:nvSpPr>
      <xdr:spPr>
        <a:xfrm>
          <a:off x="5514139" y="6916498"/>
          <a:ext cx="1609284" cy="551753"/>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研修編</a:t>
          </a:r>
          <a:endParaRPr kumimoji="1" lang="en-US" altLang="ja-JP" sz="900">
            <a:latin typeface="ＭＳ Ｐゴシック" pitchFamily="50" charset="-128"/>
            <a:ea typeface="ＭＳ Ｐゴシック" pitchFamily="50" charset="-128"/>
          </a:endParaRPr>
        </a:p>
      </xdr:txBody>
    </xdr:sp>
    <xdr:clientData/>
  </xdr:twoCellAnchor>
  <xdr:twoCellAnchor>
    <xdr:from>
      <xdr:col>41</xdr:col>
      <xdr:colOff>77000</xdr:colOff>
      <xdr:row>39</xdr:row>
      <xdr:rowOff>122270</xdr:rowOff>
    </xdr:from>
    <xdr:to>
      <xdr:col>44</xdr:col>
      <xdr:colOff>66184</xdr:colOff>
      <xdr:row>39</xdr:row>
      <xdr:rowOff>122270</xdr:rowOff>
    </xdr:to>
    <xdr:cxnSp macro="">
      <xdr:nvCxnSpPr>
        <xdr:cNvPr id="85" name="直線コネクタ 84">
          <a:extLst>
            <a:ext uri="{FF2B5EF4-FFF2-40B4-BE49-F238E27FC236}">
              <a16:creationId xmlns:a16="http://schemas.microsoft.com/office/drawing/2014/main" id="{00000000-0008-0000-0300-000055000000}"/>
            </a:ext>
          </a:extLst>
        </xdr:cNvPr>
        <xdr:cNvCxnSpPr>
          <a:stCxn id="82" idx="1"/>
          <a:endCxn id="80" idx="3"/>
        </xdr:cNvCxnSpPr>
      </xdr:nvCxnSpPr>
      <xdr:spPr>
        <a:xfrm flipH="1">
          <a:off x="5153825" y="5951570"/>
          <a:ext cx="36065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77000</xdr:colOff>
      <xdr:row>39</xdr:row>
      <xdr:rowOff>122270</xdr:rowOff>
    </xdr:from>
    <xdr:to>
      <xdr:col>44</xdr:col>
      <xdr:colOff>66184</xdr:colOff>
      <xdr:row>43</xdr:row>
      <xdr:rowOff>135718</xdr:rowOff>
    </xdr:to>
    <xdr:cxnSp macro="">
      <xdr:nvCxnSpPr>
        <xdr:cNvPr id="86" name="直線コネクタ 85">
          <a:extLst>
            <a:ext uri="{FF2B5EF4-FFF2-40B4-BE49-F238E27FC236}">
              <a16:creationId xmlns:a16="http://schemas.microsoft.com/office/drawing/2014/main" id="{00000000-0008-0000-0300-000056000000}"/>
            </a:ext>
          </a:extLst>
        </xdr:cNvPr>
        <xdr:cNvCxnSpPr>
          <a:stCxn id="83" idx="1"/>
          <a:endCxn id="80" idx="3"/>
        </xdr:cNvCxnSpPr>
      </xdr:nvCxnSpPr>
      <xdr:spPr>
        <a:xfrm flipH="1" flipV="1">
          <a:off x="5153825" y="5951570"/>
          <a:ext cx="360659" cy="62304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77000</xdr:colOff>
      <xdr:row>39</xdr:row>
      <xdr:rowOff>122270</xdr:rowOff>
    </xdr:from>
    <xdr:to>
      <xdr:col>44</xdr:col>
      <xdr:colOff>65839</xdr:colOff>
      <xdr:row>47</xdr:row>
      <xdr:rowOff>146625</xdr:rowOff>
    </xdr:to>
    <xdr:cxnSp macro="">
      <xdr:nvCxnSpPr>
        <xdr:cNvPr id="87" name="直線コネクタ 86">
          <a:extLst>
            <a:ext uri="{FF2B5EF4-FFF2-40B4-BE49-F238E27FC236}">
              <a16:creationId xmlns:a16="http://schemas.microsoft.com/office/drawing/2014/main" id="{00000000-0008-0000-0300-000057000000}"/>
            </a:ext>
          </a:extLst>
        </xdr:cNvPr>
        <xdr:cNvCxnSpPr>
          <a:stCxn id="84" idx="1"/>
          <a:endCxn id="80" idx="3"/>
        </xdr:cNvCxnSpPr>
      </xdr:nvCxnSpPr>
      <xdr:spPr>
        <a:xfrm flipH="1" flipV="1">
          <a:off x="5153825" y="5951570"/>
          <a:ext cx="360314" cy="124355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77441</xdr:colOff>
      <xdr:row>39</xdr:row>
      <xdr:rowOff>122779</xdr:rowOff>
    </xdr:to>
    <xdr:cxnSp macro="">
      <xdr:nvCxnSpPr>
        <xdr:cNvPr id="88" name="直線コネクタ 87">
          <a:extLst>
            <a:ext uri="{FF2B5EF4-FFF2-40B4-BE49-F238E27FC236}">
              <a16:creationId xmlns:a16="http://schemas.microsoft.com/office/drawing/2014/main" id="{00000000-0008-0000-0300-000058000000}"/>
            </a:ext>
          </a:extLst>
        </xdr:cNvPr>
        <xdr:cNvCxnSpPr>
          <a:stCxn id="80" idx="1"/>
          <a:endCxn id="39" idx="3"/>
        </xdr:cNvCxnSpPr>
      </xdr:nvCxnSpPr>
      <xdr:spPr>
        <a:xfrm flipH="1" flipV="1">
          <a:off x="3186546" y="5283183"/>
          <a:ext cx="357995" cy="66889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62</xdr:col>
      <xdr:colOff>13452</xdr:colOff>
      <xdr:row>47</xdr:row>
      <xdr:rowOff>2241</xdr:rowOff>
    </xdr:from>
    <xdr:to>
      <xdr:col>81</xdr:col>
      <xdr:colOff>100853</xdr:colOff>
      <xdr:row>60</xdr:row>
      <xdr:rowOff>67235</xdr:rowOff>
    </xdr:to>
    <xdr:sp macro="" textlink="">
      <xdr:nvSpPr>
        <xdr:cNvPr id="192" name="AutoShape 208">
          <a:extLst>
            <a:ext uri="{FF2B5EF4-FFF2-40B4-BE49-F238E27FC236}">
              <a16:creationId xmlns:a16="http://schemas.microsoft.com/office/drawing/2014/main" id="{00000000-0008-0000-0400-0000C0000000}"/>
            </a:ext>
          </a:extLst>
        </xdr:cNvPr>
        <xdr:cNvSpPr>
          <a:spLocks noChangeAspect="1" noChangeArrowheads="1"/>
        </xdr:cNvSpPr>
      </xdr:nvSpPr>
      <xdr:spPr bwMode="auto">
        <a:xfrm>
          <a:off x="7644658" y="7241241"/>
          <a:ext cx="2429430" cy="2104465"/>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拠点（土佐堀）</a:t>
          </a:r>
        </a:p>
      </xdr:txBody>
    </xdr:sp>
    <xdr:clientData/>
  </xdr:twoCellAnchor>
  <xdr:twoCellAnchor>
    <xdr:from>
      <xdr:col>42</xdr:col>
      <xdr:colOff>51546</xdr:colOff>
      <xdr:row>55</xdr:row>
      <xdr:rowOff>107577</xdr:rowOff>
    </xdr:from>
    <xdr:to>
      <xdr:col>61</xdr:col>
      <xdr:colOff>1</xdr:colOff>
      <xdr:row>71</xdr:row>
      <xdr:rowOff>123265</xdr:rowOff>
    </xdr:to>
    <xdr:sp macro="" textlink="">
      <xdr:nvSpPr>
        <xdr:cNvPr id="191" name="AutoShape 208">
          <a:extLst>
            <a:ext uri="{FF2B5EF4-FFF2-40B4-BE49-F238E27FC236}">
              <a16:creationId xmlns:a16="http://schemas.microsoft.com/office/drawing/2014/main" id="{00000000-0008-0000-0400-0000BF000000}"/>
            </a:ext>
          </a:extLst>
        </xdr:cNvPr>
        <xdr:cNvSpPr>
          <a:spLocks noChangeAspect="1" noChangeArrowheads="1"/>
        </xdr:cNvSpPr>
      </xdr:nvSpPr>
      <xdr:spPr bwMode="auto">
        <a:xfrm>
          <a:off x="5228664" y="8601636"/>
          <a:ext cx="2279278" cy="2525805"/>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鰻谷センター</a:t>
          </a:r>
        </a:p>
      </xdr:txBody>
    </xdr:sp>
    <xdr:clientData/>
  </xdr:twoCellAnchor>
  <xdr:twoCellAnchor>
    <xdr:from>
      <xdr:col>3</xdr:col>
      <xdr:colOff>56028</xdr:colOff>
      <xdr:row>47</xdr:row>
      <xdr:rowOff>1</xdr:rowOff>
    </xdr:from>
    <xdr:to>
      <xdr:col>41</xdr:col>
      <xdr:colOff>56028</xdr:colOff>
      <xdr:row>71</xdr:row>
      <xdr:rowOff>123265</xdr:rowOff>
    </xdr:to>
    <xdr:sp macro="" textlink="">
      <xdr:nvSpPr>
        <xdr:cNvPr id="190" name="AutoShape 208">
          <a:extLst>
            <a:ext uri="{FF2B5EF4-FFF2-40B4-BE49-F238E27FC236}">
              <a16:creationId xmlns:a16="http://schemas.microsoft.com/office/drawing/2014/main" id="{00000000-0008-0000-0400-0000BE000000}"/>
            </a:ext>
          </a:extLst>
        </xdr:cNvPr>
        <xdr:cNvSpPr>
          <a:spLocks noChangeAspect="1" noChangeArrowheads="1"/>
        </xdr:cNvSpPr>
      </xdr:nvSpPr>
      <xdr:spPr bwMode="auto">
        <a:xfrm>
          <a:off x="425822" y="7239001"/>
          <a:ext cx="4684059" cy="3888440"/>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大和センター</a:t>
          </a:r>
        </a:p>
      </xdr:txBody>
    </xdr:sp>
    <xdr:clientData/>
  </xdr:twoCellAnchor>
  <xdr:twoCellAnchor>
    <xdr:from>
      <xdr:col>2</xdr:col>
      <xdr:colOff>22412</xdr:colOff>
      <xdr:row>167</xdr:row>
      <xdr:rowOff>96778</xdr:rowOff>
    </xdr:from>
    <xdr:to>
      <xdr:col>80</xdr:col>
      <xdr:colOff>67235</xdr:colOff>
      <xdr:row>196</xdr:row>
      <xdr:rowOff>96778</xdr:rowOff>
    </xdr:to>
    <xdr:sp macro="" textlink="">
      <xdr:nvSpPr>
        <xdr:cNvPr id="165" name="正方形/長方形 164">
          <a:extLst>
            <a:ext uri="{FF2B5EF4-FFF2-40B4-BE49-F238E27FC236}">
              <a16:creationId xmlns:a16="http://schemas.microsoft.com/office/drawing/2014/main" id="{00000000-0008-0000-0400-0000A5000000}"/>
            </a:ext>
          </a:extLst>
        </xdr:cNvPr>
        <xdr:cNvSpPr/>
      </xdr:nvSpPr>
      <xdr:spPr>
        <a:xfrm>
          <a:off x="268941" y="26161660"/>
          <a:ext cx="9648265" cy="4549589"/>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clientData/>
  </xdr:twoCellAnchor>
  <xdr:twoCellAnchor>
    <xdr:from>
      <xdr:col>4</xdr:col>
      <xdr:colOff>96846</xdr:colOff>
      <xdr:row>171</xdr:row>
      <xdr:rowOff>8151</xdr:rowOff>
    </xdr:from>
    <xdr:to>
      <xdr:col>78</xdr:col>
      <xdr:colOff>33616</xdr:colOff>
      <xdr:row>192</xdr:row>
      <xdr:rowOff>89703</xdr:rowOff>
    </xdr:to>
    <xdr:sp macro="" textlink="">
      <xdr:nvSpPr>
        <xdr:cNvPr id="404" name="正方形/長方形 403">
          <a:extLst>
            <a:ext uri="{FF2B5EF4-FFF2-40B4-BE49-F238E27FC236}">
              <a16:creationId xmlns:a16="http://schemas.microsoft.com/office/drawing/2014/main" id="{00000000-0008-0000-0400-000094010000}"/>
            </a:ext>
          </a:extLst>
        </xdr:cNvPr>
        <xdr:cNvSpPr/>
      </xdr:nvSpPr>
      <xdr:spPr>
        <a:xfrm>
          <a:off x="581755" y="26522287"/>
          <a:ext cx="8907588" cy="3354689"/>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44338</xdr:colOff>
      <xdr:row>171</xdr:row>
      <xdr:rowOff>55789</xdr:rowOff>
    </xdr:from>
    <xdr:to>
      <xdr:col>77</xdr:col>
      <xdr:colOff>104373</xdr:colOff>
      <xdr:row>193</xdr:row>
      <xdr:rowOff>19358</xdr:rowOff>
    </xdr:to>
    <xdr:sp macro="" textlink="">
      <xdr:nvSpPr>
        <xdr:cNvPr id="443" name="正方形/長方形 442">
          <a:extLst>
            <a:ext uri="{FF2B5EF4-FFF2-40B4-BE49-F238E27FC236}">
              <a16:creationId xmlns:a16="http://schemas.microsoft.com/office/drawing/2014/main" id="{00000000-0008-0000-0400-0000BB010000}"/>
            </a:ext>
          </a:extLst>
        </xdr:cNvPr>
        <xdr:cNvSpPr/>
      </xdr:nvSpPr>
      <xdr:spPr>
        <a:xfrm>
          <a:off x="529247" y="26569925"/>
          <a:ext cx="8909626" cy="3392569"/>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clientData/>
  </xdr:twoCellAnchor>
  <xdr:twoCellAnchor>
    <xdr:from>
      <xdr:col>30</xdr:col>
      <xdr:colOff>5762</xdr:colOff>
      <xdr:row>164</xdr:row>
      <xdr:rowOff>115980</xdr:rowOff>
    </xdr:from>
    <xdr:to>
      <xdr:col>53</xdr:col>
      <xdr:colOff>83491</xdr:colOff>
      <xdr:row>166</xdr:row>
      <xdr:rowOff>37234</xdr:rowOff>
    </xdr:to>
    <xdr:sp macro="" textlink="">
      <xdr:nvSpPr>
        <xdr:cNvPr id="449" name="正方形/長方形 448">
          <a:extLst>
            <a:ext uri="{FF2B5EF4-FFF2-40B4-BE49-F238E27FC236}">
              <a16:creationId xmlns:a16="http://schemas.microsoft.com/office/drawing/2014/main" id="{00000000-0008-0000-0400-0000C1010000}"/>
            </a:ext>
          </a:extLst>
        </xdr:cNvPr>
        <xdr:cNvSpPr/>
      </xdr:nvSpPr>
      <xdr:spPr>
        <a:xfrm>
          <a:off x="3642580" y="25539071"/>
          <a:ext cx="2865956" cy="23298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10244</xdr:colOff>
      <xdr:row>168</xdr:row>
      <xdr:rowOff>75637</xdr:rowOff>
    </xdr:from>
    <xdr:to>
      <xdr:col>53</xdr:col>
      <xdr:colOff>87973</xdr:colOff>
      <xdr:row>169</xdr:row>
      <xdr:rowOff>152754</xdr:rowOff>
    </xdr:to>
    <xdr:sp macro="" textlink="">
      <xdr:nvSpPr>
        <xdr:cNvPr id="448" name="正方形/長方形 447">
          <a:extLst>
            <a:ext uri="{FF2B5EF4-FFF2-40B4-BE49-F238E27FC236}">
              <a16:creationId xmlns:a16="http://schemas.microsoft.com/office/drawing/2014/main" id="{00000000-0008-0000-0400-0000C0010000}"/>
            </a:ext>
          </a:extLst>
        </xdr:cNvPr>
        <xdr:cNvSpPr/>
      </xdr:nvSpPr>
      <xdr:spPr>
        <a:xfrm>
          <a:off x="3647062" y="26122182"/>
          <a:ext cx="2865956" cy="23298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78282</xdr:colOff>
      <xdr:row>193</xdr:row>
      <xdr:rowOff>123665</xdr:rowOff>
    </xdr:from>
    <xdr:to>
      <xdr:col>53</xdr:col>
      <xdr:colOff>32746</xdr:colOff>
      <xdr:row>195</xdr:row>
      <xdr:rowOff>44918</xdr:rowOff>
    </xdr:to>
    <xdr:sp macro="" textlink="">
      <xdr:nvSpPr>
        <xdr:cNvPr id="445" name="正方形/長方形 444">
          <a:extLst>
            <a:ext uri="{FF2B5EF4-FFF2-40B4-BE49-F238E27FC236}">
              <a16:creationId xmlns:a16="http://schemas.microsoft.com/office/drawing/2014/main" id="{00000000-0008-0000-0400-0000BD010000}"/>
            </a:ext>
          </a:extLst>
        </xdr:cNvPr>
        <xdr:cNvSpPr/>
      </xdr:nvSpPr>
      <xdr:spPr>
        <a:xfrm>
          <a:off x="3593873" y="30066801"/>
          <a:ext cx="2863918" cy="23298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104055</xdr:colOff>
      <xdr:row>197</xdr:row>
      <xdr:rowOff>51954</xdr:rowOff>
    </xdr:from>
    <xdr:to>
      <xdr:col>59</xdr:col>
      <xdr:colOff>36018</xdr:colOff>
      <xdr:row>208</xdr:row>
      <xdr:rowOff>30558</xdr:rowOff>
    </xdr:to>
    <xdr:sp macro="" textlink="">
      <xdr:nvSpPr>
        <xdr:cNvPr id="395" name="正方形/長方形 394">
          <a:extLst>
            <a:ext uri="{FF2B5EF4-FFF2-40B4-BE49-F238E27FC236}">
              <a16:creationId xmlns:a16="http://schemas.microsoft.com/office/drawing/2014/main" id="{00000000-0008-0000-0400-00008B010000}"/>
            </a:ext>
          </a:extLst>
        </xdr:cNvPr>
        <xdr:cNvSpPr/>
      </xdr:nvSpPr>
      <xdr:spPr>
        <a:xfrm>
          <a:off x="1437555" y="30618545"/>
          <a:ext cx="5750872" cy="1693104"/>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clientData/>
  </xdr:twoCellAnchor>
  <xdr:twoCellAnchor>
    <xdr:from>
      <xdr:col>29</xdr:col>
      <xdr:colOff>73157</xdr:colOff>
      <xdr:row>198</xdr:row>
      <xdr:rowOff>13903</xdr:rowOff>
    </xdr:from>
    <xdr:to>
      <xdr:col>53</xdr:col>
      <xdr:colOff>27609</xdr:colOff>
      <xdr:row>199</xdr:row>
      <xdr:rowOff>90003</xdr:rowOff>
    </xdr:to>
    <xdr:sp macro="" textlink="">
      <xdr:nvSpPr>
        <xdr:cNvPr id="444" name="正方形/長方形 443">
          <a:extLst>
            <a:ext uri="{FF2B5EF4-FFF2-40B4-BE49-F238E27FC236}">
              <a16:creationId xmlns:a16="http://schemas.microsoft.com/office/drawing/2014/main" id="{00000000-0008-0000-0400-0000BC010000}"/>
            </a:ext>
          </a:extLst>
        </xdr:cNvPr>
        <xdr:cNvSpPr/>
      </xdr:nvSpPr>
      <xdr:spPr>
        <a:xfrm>
          <a:off x="3588748" y="30736358"/>
          <a:ext cx="2863906" cy="23196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0</xdr:colOff>
      <xdr:row>49</xdr:row>
      <xdr:rowOff>142875</xdr:rowOff>
    </xdr:from>
    <xdr:to>
      <xdr:col>30</xdr:col>
      <xdr:colOff>75249</xdr:colOff>
      <xdr:row>70</xdr:row>
      <xdr:rowOff>85725</xdr:rowOff>
    </xdr:to>
    <xdr:sp macro="" textlink="">
      <xdr:nvSpPr>
        <xdr:cNvPr id="5" name="AutoShape 945">
          <a:extLst>
            <a:ext uri="{FF2B5EF4-FFF2-40B4-BE49-F238E27FC236}">
              <a16:creationId xmlns:a16="http://schemas.microsoft.com/office/drawing/2014/main" id="{00000000-0008-0000-0400-000005000000}"/>
            </a:ext>
          </a:extLst>
        </xdr:cNvPr>
        <xdr:cNvSpPr>
          <a:spLocks noChangeArrowheads="1"/>
        </xdr:cNvSpPr>
      </xdr:nvSpPr>
      <xdr:spPr bwMode="auto">
        <a:xfrm>
          <a:off x="616324" y="3459816"/>
          <a:ext cx="3156866" cy="3237380"/>
        </a:xfrm>
        <a:prstGeom prst="roundRect">
          <a:avLst>
            <a:gd name="adj" fmla="val 4268"/>
          </a:avLst>
        </a:prstGeom>
        <a:noFill/>
        <a:ln w="9525">
          <a:solidFill>
            <a:schemeClr val="accent5">
              <a:lumMod val="75000"/>
            </a:schemeClr>
          </a:solidFill>
          <a:prstDash val="dash"/>
          <a:round/>
          <a:headEnd/>
          <a:tailEnd/>
        </a:ln>
      </xdr:spPr>
      <xdr:txBody>
        <a:bodyPr vertOverflow="clip" wrap="square" lIns="91440" tIns="45720" rIns="91440" bIns="45720" anchor="t" upright="1"/>
        <a:lstStyle/>
        <a:p>
          <a:pPr algn="l" rtl="0">
            <a:lnSpc>
              <a:spcPts val="25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a:p>
          <a:pPr algn="l" rtl="0">
            <a:lnSpc>
              <a:spcPts val="24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50984</xdr:colOff>
      <xdr:row>58</xdr:row>
      <xdr:rowOff>123825</xdr:rowOff>
    </xdr:from>
    <xdr:to>
      <xdr:col>54</xdr:col>
      <xdr:colOff>45943</xdr:colOff>
      <xdr:row>58</xdr:row>
      <xdr:rowOff>123825</xdr:rowOff>
    </xdr:to>
    <xdr:sp macro="" textlink="">
      <xdr:nvSpPr>
        <xdr:cNvPr id="6" name="Line 3037">
          <a:extLst>
            <a:ext uri="{FF2B5EF4-FFF2-40B4-BE49-F238E27FC236}">
              <a16:creationId xmlns:a16="http://schemas.microsoft.com/office/drawing/2014/main" id="{00000000-0008-0000-0400-000006000000}"/>
            </a:ext>
          </a:extLst>
        </xdr:cNvPr>
        <xdr:cNvSpPr>
          <a:spLocks noChangeShapeType="1"/>
        </xdr:cNvSpPr>
      </xdr:nvSpPr>
      <xdr:spPr bwMode="auto">
        <a:xfrm flipH="1">
          <a:off x="6449543" y="9088531"/>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76</xdr:col>
      <xdr:colOff>9525</xdr:colOff>
      <xdr:row>0</xdr:row>
      <xdr:rowOff>29442</xdr:rowOff>
    </xdr:from>
    <xdr:ext cx="751232" cy="207818"/>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63</xdr:col>
      <xdr:colOff>50989</xdr:colOff>
      <xdr:row>53</xdr:row>
      <xdr:rowOff>117231</xdr:rowOff>
    </xdr:from>
    <xdr:to>
      <xdr:col>74</xdr:col>
      <xdr:colOff>61075</xdr:colOff>
      <xdr:row>59</xdr:row>
      <xdr:rowOff>21981</xdr:rowOff>
    </xdr:to>
    <xdr:sp macro="" textlink="">
      <xdr:nvSpPr>
        <xdr:cNvPr id="9" name="Rectangle 1024">
          <a:extLst>
            <a:ext uri="{FF2B5EF4-FFF2-40B4-BE49-F238E27FC236}">
              <a16:creationId xmlns:a16="http://schemas.microsoft.com/office/drawing/2014/main" id="{00000000-0008-0000-0400-000009000000}"/>
            </a:ext>
          </a:extLst>
        </xdr:cNvPr>
        <xdr:cNvSpPr>
          <a:spLocks noChangeArrowheads="1"/>
        </xdr:cNvSpPr>
      </xdr:nvSpPr>
      <xdr:spPr bwMode="auto">
        <a:xfrm>
          <a:off x="7842439" y="3955806"/>
          <a:ext cx="1372161" cy="819150"/>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コールセンター端末</a:t>
          </a:r>
        </a:p>
        <a:p>
          <a:pPr algn="l" rtl="0">
            <a:defRPr sz="1000"/>
          </a:pPr>
          <a:endParaRPr lang="ja-JP" altLang="en-US" sz="900"/>
        </a:p>
      </xdr:txBody>
    </xdr:sp>
    <xdr:clientData/>
  </xdr:twoCellAnchor>
  <xdr:twoCellAnchor>
    <xdr:from>
      <xdr:col>64</xdr:col>
      <xdr:colOff>50990</xdr:colOff>
      <xdr:row>55</xdr:row>
      <xdr:rowOff>41031</xdr:rowOff>
    </xdr:from>
    <xdr:to>
      <xdr:col>69</xdr:col>
      <xdr:colOff>3364</xdr:colOff>
      <xdr:row>58</xdr:row>
      <xdr:rowOff>88656</xdr:rowOff>
    </xdr:to>
    <xdr:grpSp>
      <xdr:nvGrpSpPr>
        <xdr:cNvPr id="10" name="Group 1025">
          <a:extLst>
            <a:ext uri="{FF2B5EF4-FFF2-40B4-BE49-F238E27FC236}">
              <a16:creationId xmlns:a16="http://schemas.microsoft.com/office/drawing/2014/main" id="{00000000-0008-0000-0400-00000A000000}"/>
            </a:ext>
          </a:extLst>
        </xdr:cNvPr>
        <xdr:cNvGrpSpPr>
          <a:grpSpLocks/>
        </xdr:cNvGrpSpPr>
      </xdr:nvGrpSpPr>
      <xdr:grpSpPr bwMode="auto">
        <a:xfrm>
          <a:off x="7928725" y="8535090"/>
          <a:ext cx="568698" cy="518272"/>
          <a:chOff x="1959" y="852"/>
          <a:chExt cx="276" cy="251"/>
        </a:xfrm>
      </xdr:grpSpPr>
      <xdr:sp macro="" textlink="">
        <xdr:nvSpPr>
          <xdr:cNvPr id="11" name="Rectangle 1026">
            <a:extLst>
              <a:ext uri="{FF2B5EF4-FFF2-40B4-BE49-F238E27FC236}">
                <a16:creationId xmlns:a16="http://schemas.microsoft.com/office/drawing/2014/main" id="{00000000-0008-0000-0400-00000B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 name="Rectangle 1027">
            <a:extLst>
              <a:ext uri="{FF2B5EF4-FFF2-40B4-BE49-F238E27FC236}">
                <a16:creationId xmlns:a16="http://schemas.microsoft.com/office/drawing/2014/main" id="{00000000-0008-0000-0400-00000C000000}"/>
              </a:ext>
            </a:extLst>
          </xdr:cNvPr>
          <xdr:cNvSpPr>
            <a:spLocks noChangeArrowheads="1"/>
          </xdr:cNvSpPr>
        </xdr:nvSpPr>
        <xdr:spPr bwMode="auto">
          <a:xfrm>
            <a:off x="1977" y="876"/>
            <a:ext cx="239" cy="161"/>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13" name="AutoShape 1028">
            <a:extLst>
              <a:ext uri="{FF2B5EF4-FFF2-40B4-BE49-F238E27FC236}">
                <a16:creationId xmlns:a16="http://schemas.microsoft.com/office/drawing/2014/main" id="{00000000-0008-0000-0400-00000D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50990</xdr:colOff>
      <xdr:row>52</xdr:row>
      <xdr:rowOff>88656</xdr:rowOff>
    </xdr:from>
    <xdr:to>
      <xdr:col>66</xdr:col>
      <xdr:colOff>50990</xdr:colOff>
      <xdr:row>53</xdr:row>
      <xdr:rowOff>152256</xdr:rowOff>
    </xdr:to>
    <xdr:sp macro="" textlink="">
      <xdr:nvSpPr>
        <xdr:cNvPr id="14" name="Line 1031">
          <a:extLst>
            <a:ext uri="{FF2B5EF4-FFF2-40B4-BE49-F238E27FC236}">
              <a16:creationId xmlns:a16="http://schemas.microsoft.com/office/drawing/2014/main" id="{00000000-0008-0000-0400-00000E000000}"/>
            </a:ext>
          </a:extLst>
        </xdr:cNvPr>
        <xdr:cNvSpPr>
          <a:spLocks noChangeShapeType="1"/>
        </xdr:cNvSpPr>
      </xdr:nvSpPr>
      <xdr:spPr bwMode="auto">
        <a:xfrm>
          <a:off x="8213915" y="3774831"/>
          <a:ext cx="0" cy="216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64</xdr:col>
      <xdr:colOff>117664</xdr:colOff>
      <xdr:row>55</xdr:row>
      <xdr:rowOff>126756</xdr:rowOff>
    </xdr:from>
    <xdr:to>
      <xdr:col>70</xdr:col>
      <xdr:colOff>21854</xdr:colOff>
      <xdr:row>57</xdr:row>
      <xdr:rowOff>107706</xdr:rowOff>
    </xdr:to>
    <xdr:sp macro="" textlink="">
      <xdr:nvSpPr>
        <xdr:cNvPr id="15" name="Text Box 1505">
          <a:extLst>
            <a:ext uri="{FF2B5EF4-FFF2-40B4-BE49-F238E27FC236}">
              <a16:creationId xmlns:a16="http://schemas.microsoft.com/office/drawing/2014/main" id="{00000000-0008-0000-0400-00000F000000}"/>
            </a:ext>
          </a:extLst>
        </xdr:cNvPr>
        <xdr:cNvSpPr txBox="1">
          <a:spLocks noChangeArrowheads="1"/>
        </xdr:cNvSpPr>
      </xdr:nvSpPr>
      <xdr:spPr bwMode="auto">
        <a:xfrm>
          <a:off x="8032939" y="4270131"/>
          <a:ext cx="647140" cy="285750"/>
        </a:xfrm>
        <a:prstGeom prst="rect">
          <a:avLst/>
        </a:prstGeom>
        <a:noFill/>
        <a:ln w="9525">
          <a:noFill/>
          <a:miter lim="800000"/>
          <a:headEnd/>
          <a:tailEnd/>
        </a:ln>
      </xdr:spPr>
      <xdr:txBody>
        <a:bodyPr vertOverflow="clip" wrap="square" lIns="27432" tIns="18288" rIns="0" bIns="0" anchor="t" upright="1"/>
        <a:lstStyle/>
        <a:p>
          <a:pPr algn="l" rtl="0">
            <a:lnSpc>
              <a:spcPts val="800"/>
            </a:lnSpc>
            <a:defRPr sz="1000"/>
          </a:pPr>
          <a:r>
            <a:rPr lang="ja-JP" altLang="en-US" sz="900" b="0" i="0" u="none" strike="noStrike" baseline="0">
              <a:solidFill>
                <a:srgbClr val="000000"/>
              </a:solidFill>
              <a:latin typeface="ＭＳ Ｐゴシック"/>
              <a:ea typeface="ＭＳ Ｐゴシック"/>
            </a:rPr>
            <a:t>CuSIS</a:t>
          </a:r>
        </a:p>
        <a:p>
          <a:pPr algn="l" rtl="0">
            <a:lnSpc>
              <a:spcPts val="1100"/>
            </a:lnSpc>
            <a:defRPr sz="1000"/>
          </a:pPr>
          <a:endParaRPr lang="ja-JP" altLang="en-US" sz="900"/>
        </a:p>
      </xdr:txBody>
    </xdr:sp>
    <xdr:clientData/>
  </xdr:twoCellAnchor>
  <xdr:twoCellAnchor>
    <xdr:from>
      <xdr:col>75</xdr:col>
      <xdr:colOff>89089</xdr:colOff>
      <xdr:row>55</xdr:row>
      <xdr:rowOff>31506</xdr:rowOff>
    </xdr:from>
    <xdr:to>
      <xdr:col>80</xdr:col>
      <xdr:colOff>42025</xdr:colOff>
      <xdr:row>58</xdr:row>
      <xdr:rowOff>69606</xdr:rowOff>
    </xdr:to>
    <xdr:grpSp>
      <xdr:nvGrpSpPr>
        <xdr:cNvPr id="16" name="Group 1506">
          <a:extLst>
            <a:ext uri="{FF2B5EF4-FFF2-40B4-BE49-F238E27FC236}">
              <a16:creationId xmlns:a16="http://schemas.microsoft.com/office/drawing/2014/main" id="{00000000-0008-0000-0400-000010000000}"/>
            </a:ext>
          </a:extLst>
        </xdr:cNvPr>
        <xdr:cNvGrpSpPr>
          <a:grpSpLocks/>
        </xdr:cNvGrpSpPr>
      </xdr:nvGrpSpPr>
      <xdr:grpSpPr bwMode="auto">
        <a:xfrm>
          <a:off x="9322736" y="8525565"/>
          <a:ext cx="569260" cy="508747"/>
          <a:chOff x="1959" y="852"/>
          <a:chExt cx="276" cy="251"/>
        </a:xfrm>
      </xdr:grpSpPr>
      <xdr:sp macro="" textlink="">
        <xdr:nvSpPr>
          <xdr:cNvPr id="17" name="Rectangle 1507">
            <a:extLst>
              <a:ext uri="{FF2B5EF4-FFF2-40B4-BE49-F238E27FC236}">
                <a16:creationId xmlns:a16="http://schemas.microsoft.com/office/drawing/2014/main" id="{00000000-0008-0000-0400-000011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8" name="Rectangle 1508">
            <a:extLst>
              <a:ext uri="{FF2B5EF4-FFF2-40B4-BE49-F238E27FC236}">
                <a16:creationId xmlns:a16="http://schemas.microsoft.com/office/drawing/2014/main" id="{00000000-0008-0000-0400-00001200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19" name="AutoShape 1509">
            <a:extLst>
              <a:ext uri="{FF2B5EF4-FFF2-40B4-BE49-F238E27FC236}">
                <a16:creationId xmlns:a16="http://schemas.microsoft.com/office/drawing/2014/main" id="{00000000-0008-0000-0400-000013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75</xdr:col>
      <xdr:colOff>61074</xdr:colOff>
      <xdr:row>55</xdr:row>
      <xdr:rowOff>98181</xdr:rowOff>
    </xdr:from>
    <xdr:to>
      <xdr:col>80</xdr:col>
      <xdr:colOff>89090</xdr:colOff>
      <xdr:row>58</xdr:row>
      <xdr:rowOff>44824</xdr:rowOff>
    </xdr:to>
    <xdr:sp macro="" textlink="">
      <xdr:nvSpPr>
        <xdr:cNvPr id="20" name="Text Box 1510">
          <a:extLst>
            <a:ext uri="{FF2B5EF4-FFF2-40B4-BE49-F238E27FC236}">
              <a16:creationId xmlns:a16="http://schemas.microsoft.com/office/drawing/2014/main" id="{00000000-0008-0000-0400-000014000000}"/>
            </a:ext>
          </a:extLst>
        </xdr:cNvPr>
        <xdr:cNvSpPr txBox="1">
          <a:spLocks noChangeArrowheads="1"/>
        </xdr:cNvSpPr>
      </xdr:nvSpPr>
      <xdr:spPr bwMode="auto">
        <a:xfrm>
          <a:off x="9338424" y="4241556"/>
          <a:ext cx="647141" cy="4038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IVR</a:t>
          </a:r>
        </a:p>
        <a:p>
          <a:pPr algn="ctr" rtl="0">
            <a:lnSpc>
              <a:spcPts val="800"/>
            </a:lnSpc>
            <a:defRPr sz="1000"/>
          </a:pPr>
          <a:r>
            <a:rPr lang="ja-JP" altLang="en-US" sz="900" b="0" i="0" u="none" strike="noStrike" baseline="0">
              <a:solidFill>
                <a:srgbClr val="000000"/>
              </a:solidFill>
              <a:latin typeface="ＭＳ Ｐゴシック"/>
              <a:ea typeface="ＭＳ Ｐゴシック"/>
            </a:rPr>
            <a:t>管理画面</a:t>
          </a:r>
          <a:endParaRPr lang="en-US" altLang="ja-JP" sz="900" b="0" i="0" u="none" strike="noStrike" baseline="0">
            <a:solidFill>
              <a:srgbClr val="000000"/>
            </a:solidFill>
            <a:latin typeface="ＭＳ Ｐゴシック"/>
            <a:ea typeface="ＭＳ Ｐゴシック"/>
          </a:endParaRPr>
        </a:p>
        <a:p>
          <a:pPr algn="ctr" rtl="0">
            <a:lnSpc>
              <a:spcPts val="800"/>
            </a:lnSpc>
            <a:defRPr sz="1000"/>
          </a:pPr>
          <a:r>
            <a:rPr lang="ja-JP" altLang="en-US" sz="900" b="0" i="0" u="none" strike="noStrike" baseline="0">
              <a:solidFill>
                <a:srgbClr val="000000"/>
              </a:solidFill>
              <a:latin typeface="ＭＳ Ｐゴシック"/>
              <a:ea typeface="ＭＳ Ｐゴシック"/>
            </a:rPr>
            <a:t>端末</a:t>
          </a:r>
        </a:p>
      </xdr:txBody>
    </xdr:sp>
    <xdr:clientData/>
  </xdr:twoCellAnchor>
  <xdr:twoCellAnchor>
    <xdr:from>
      <xdr:col>53</xdr:col>
      <xdr:colOff>65556</xdr:colOff>
      <xdr:row>52</xdr:row>
      <xdr:rowOff>79131</xdr:rowOff>
    </xdr:from>
    <xdr:to>
      <xdr:col>78</xdr:col>
      <xdr:colOff>2894</xdr:colOff>
      <xdr:row>55</xdr:row>
      <xdr:rowOff>80151</xdr:rowOff>
    </xdr:to>
    <xdr:cxnSp macro="">
      <xdr:nvCxnSpPr>
        <xdr:cNvPr id="21" name="AutoShape 1511">
          <a:extLst>
            <a:ext uri="{FF2B5EF4-FFF2-40B4-BE49-F238E27FC236}">
              <a16:creationId xmlns:a16="http://schemas.microsoft.com/office/drawing/2014/main" id="{00000000-0008-0000-0400-000015000000}"/>
            </a:ext>
          </a:extLst>
        </xdr:cNvPr>
        <xdr:cNvCxnSpPr>
          <a:cxnSpLocks noChangeShapeType="1"/>
          <a:stCxn id="35" idx="6"/>
          <a:endCxn id="18" idx="0"/>
        </xdr:cNvCxnSpPr>
      </xdr:nvCxnSpPr>
      <xdr:spPr bwMode="auto">
        <a:xfrm>
          <a:off x="6587380" y="8102543"/>
          <a:ext cx="3018955" cy="471667"/>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71</xdr:col>
      <xdr:colOff>89089</xdr:colOff>
      <xdr:row>52</xdr:row>
      <xdr:rowOff>88656</xdr:rowOff>
    </xdr:from>
    <xdr:to>
      <xdr:col>71</xdr:col>
      <xdr:colOff>89089</xdr:colOff>
      <xdr:row>56</xdr:row>
      <xdr:rowOff>69606</xdr:rowOff>
    </xdr:to>
    <xdr:sp macro="" textlink="">
      <xdr:nvSpPr>
        <xdr:cNvPr id="23" name="Line 1031">
          <a:extLst>
            <a:ext uri="{FF2B5EF4-FFF2-40B4-BE49-F238E27FC236}">
              <a16:creationId xmlns:a16="http://schemas.microsoft.com/office/drawing/2014/main" id="{00000000-0008-0000-0400-000017000000}"/>
            </a:ext>
          </a:extLst>
        </xdr:cNvPr>
        <xdr:cNvSpPr>
          <a:spLocks noChangeShapeType="1"/>
        </xdr:cNvSpPr>
      </xdr:nvSpPr>
      <xdr:spPr bwMode="auto">
        <a:xfrm>
          <a:off x="8871139" y="3774831"/>
          <a:ext cx="0" cy="590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88657</xdr:colOff>
      <xdr:row>53</xdr:row>
      <xdr:rowOff>48358</xdr:rowOff>
    </xdr:from>
    <xdr:to>
      <xdr:col>29</xdr:col>
      <xdr:colOff>93010</xdr:colOff>
      <xdr:row>59</xdr:row>
      <xdr:rowOff>22713</xdr:rowOff>
    </xdr:to>
    <xdr:sp macro="" textlink="">
      <xdr:nvSpPr>
        <xdr:cNvPr id="24" name="AutoShape 3007">
          <a:extLst>
            <a:ext uri="{FF2B5EF4-FFF2-40B4-BE49-F238E27FC236}">
              <a16:creationId xmlns:a16="http://schemas.microsoft.com/office/drawing/2014/main" id="{00000000-0008-0000-0400-000018000000}"/>
            </a:ext>
          </a:extLst>
        </xdr:cNvPr>
        <xdr:cNvSpPr>
          <a:spLocks noChangeArrowheads="1"/>
        </xdr:cNvSpPr>
      </xdr:nvSpPr>
      <xdr:spPr bwMode="auto">
        <a:xfrm>
          <a:off x="707782" y="3886933"/>
          <a:ext cx="2976153" cy="888755"/>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7</xdr:col>
      <xdr:colOff>49650</xdr:colOff>
      <xdr:row>55</xdr:row>
      <xdr:rowOff>3664</xdr:rowOff>
    </xdr:from>
    <xdr:to>
      <xdr:col>11</xdr:col>
      <xdr:colOff>11553</xdr:colOff>
      <xdr:row>57</xdr:row>
      <xdr:rowOff>127489</xdr:rowOff>
    </xdr:to>
    <xdr:sp macro="" textlink="">
      <xdr:nvSpPr>
        <xdr:cNvPr id="25" name="Rectangle 3008">
          <a:extLst>
            <a:ext uri="{FF2B5EF4-FFF2-40B4-BE49-F238E27FC236}">
              <a16:creationId xmlns:a16="http://schemas.microsoft.com/office/drawing/2014/main" id="{00000000-0008-0000-0400-000019000000}"/>
            </a:ext>
          </a:extLst>
        </xdr:cNvPr>
        <xdr:cNvSpPr>
          <a:spLocks noChangeAspect="1" noChangeArrowheads="1"/>
        </xdr:cNvSpPr>
      </xdr:nvSpPr>
      <xdr:spPr bwMode="auto">
        <a:xfrm>
          <a:off x="916425" y="4147039"/>
          <a:ext cx="457203"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defRPr sz="1000"/>
          </a:pP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rPr>
            <a:t>EPM</a:t>
          </a:r>
        </a:p>
        <a:p>
          <a:pPr algn="ctr" rtl="0">
            <a:defRPr sz="1000"/>
          </a:pPr>
          <a:r>
            <a:rPr lang="en-US" altLang="ja-JP" sz="900">
              <a:latin typeface="ＭＳ Ｐゴシック" panose="020B0600070205080204" pitchFamily="50" charset="-128"/>
              <a:ea typeface="ＭＳ Ｐゴシック" panose="020B0600070205080204" pitchFamily="50" charset="-128"/>
            </a:rPr>
            <a:t>/MPP</a:t>
          </a: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2623</xdr:colOff>
      <xdr:row>55</xdr:row>
      <xdr:rowOff>13189</xdr:rowOff>
    </xdr:from>
    <xdr:to>
      <xdr:col>16</xdr:col>
      <xdr:colOff>87493</xdr:colOff>
      <xdr:row>57</xdr:row>
      <xdr:rowOff>146539</xdr:rowOff>
    </xdr:to>
    <xdr:sp macro="" textlink="">
      <xdr:nvSpPr>
        <xdr:cNvPr id="26" name="Rectangle 3009">
          <a:extLst>
            <a:ext uri="{FF2B5EF4-FFF2-40B4-BE49-F238E27FC236}">
              <a16:creationId xmlns:a16="http://schemas.microsoft.com/office/drawing/2014/main" id="{00000000-0008-0000-0400-00001A000000}"/>
            </a:ext>
          </a:extLst>
        </xdr:cNvPr>
        <xdr:cNvSpPr>
          <a:spLocks noChangeAspect="1" noChangeArrowheads="1"/>
        </xdr:cNvSpPr>
      </xdr:nvSpPr>
      <xdr:spPr bwMode="auto">
        <a:xfrm>
          <a:off x="1612348" y="4156564"/>
          <a:ext cx="456345" cy="43815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ja-JP" altLang="en-US" sz="900" b="0" i="0" u="none" strike="noStrike" baseline="0">
              <a:solidFill>
                <a:srgbClr val="000000"/>
              </a:solidFill>
              <a:latin typeface="ＭＳ Ｐゴシック"/>
              <a:ea typeface="ＭＳ Ｐゴシック"/>
            </a:rPr>
            <a:t>WAS</a:t>
          </a:r>
        </a:p>
        <a:p>
          <a:pPr algn="ctr" rtl="0">
            <a:lnSpc>
              <a:spcPts val="900"/>
            </a:lnSpc>
            <a:defRPr sz="1000"/>
          </a:pPr>
          <a:endParaRPr lang="ja-JP" altLang="en-US" sz="900"/>
        </a:p>
      </xdr:txBody>
    </xdr:sp>
    <xdr:clientData/>
  </xdr:twoCellAnchor>
  <xdr:twoCellAnchor>
    <xdr:from>
      <xdr:col>18</xdr:col>
      <xdr:colOff>82015</xdr:colOff>
      <xdr:row>55</xdr:row>
      <xdr:rowOff>13189</xdr:rowOff>
    </xdr:from>
    <xdr:to>
      <xdr:col>22</xdr:col>
      <xdr:colOff>43357</xdr:colOff>
      <xdr:row>57</xdr:row>
      <xdr:rowOff>137014</xdr:rowOff>
    </xdr:to>
    <xdr:sp macro="" textlink="">
      <xdr:nvSpPr>
        <xdr:cNvPr id="34" name="Rectangle 351">
          <a:extLst>
            <a:ext uri="{FF2B5EF4-FFF2-40B4-BE49-F238E27FC236}">
              <a16:creationId xmlns:a16="http://schemas.microsoft.com/office/drawing/2014/main" id="{00000000-0008-0000-0400-000022000000}"/>
            </a:ext>
          </a:extLst>
        </xdr:cNvPr>
        <xdr:cNvSpPr>
          <a:spLocks noChangeAspect="1" noChangeArrowheads="1"/>
        </xdr:cNvSpPr>
      </xdr:nvSpPr>
      <xdr:spPr bwMode="auto">
        <a:xfrm>
          <a:off x="2310865" y="4156564"/>
          <a:ext cx="456642" cy="428625"/>
        </a:xfrm>
        <a:prstGeom prst="rect">
          <a:avLst/>
        </a:prstGeom>
        <a:gradFill rotWithShape="1">
          <a:gsLst>
            <a:gs pos="0">
              <a:srgbClr val="99FFCC"/>
            </a:gs>
            <a:gs pos="50000">
              <a:srgbClr val="FFFFFF"/>
            </a:gs>
            <a:gs pos="100000">
              <a:srgbClr val="99FFCC"/>
            </a:gs>
          </a:gsLst>
          <a:lin ang="0" scaled="1"/>
        </a:gradFill>
        <a:ln w="19050">
          <a:solidFill>
            <a:srgbClr val="00CC99"/>
          </a:solidFill>
          <a:miter lim="800000"/>
          <a:headEnd/>
          <a:tailEnd/>
        </a:ln>
        <a:effectLst>
          <a:outerShdw dist="88900" dir="2436078" algn="ctr" rotWithShape="0">
            <a:srgbClr val="808080"/>
          </a:outerShdw>
        </a:effectLst>
      </xdr:spPr>
      <xdr:txBody>
        <a:bodyPr vertOverflow="overflow" horzOverflow="overflow" wrap="none" lIns="36000" tIns="45720" rIns="36000" bIns="45720" anchor="t"/>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ja-JP" altLang="en-US" sz="900" b="0" i="0" u="none" strike="noStrike" baseline="0">
              <a:solidFill>
                <a:srgbClr val="000000"/>
              </a:solidFill>
              <a:latin typeface="ＭＳ Ｐゴシック"/>
              <a:ea typeface="ＭＳ Ｐゴシック"/>
            </a:rPr>
            <a:t>DB</a:t>
          </a:r>
        </a:p>
        <a:p>
          <a:pPr algn="ctr" rtl="0">
            <a:lnSpc>
              <a:spcPts val="400"/>
            </a:lnSpc>
            <a:defRPr sz="1000"/>
          </a:pPr>
          <a:endParaRPr lang="ja-JP" altLang="en-US" sz="900"/>
        </a:p>
      </xdr:txBody>
    </xdr:sp>
    <xdr:clientData/>
  </xdr:twoCellAnchor>
  <xdr:twoCellAnchor>
    <xdr:from>
      <xdr:col>50</xdr:col>
      <xdr:colOff>81244</xdr:colOff>
      <xdr:row>48</xdr:row>
      <xdr:rowOff>136281</xdr:rowOff>
    </xdr:from>
    <xdr:to>
      <xdr:col>50</xdr:col>
      <xdr:colOff>81244</xdr:colOff>
      <xdr:row>48</xdr:row>
      <xdr:rowOff>136281</xdr:rowOff>
    </xdr:to>
    <xdr:sp macro="" textlink="">
      <xdr:nvSpPr>
        <xdr:cNvPr id="36" name="Oval 620">
          <a:extLst>
            <a:ext uri="{FF2B5EF4-FFF2-40B4-BE49-F238E27FC236}">
              <a16:creationId xmlns:a16="http://schemas.microsoft.com/office/drawing/2014/main" id="{00000000-0008-0000-0400-000024000000}"/>
            </a:ext>
          </a:extLst>
        </xdr:cNvPr>
        <xdr:cNvSpPr>
          <a:spLocks noChangeAspect="1" noChangeArrowheads="1"/>
        </xdr:cNvSpPr>
      </xdr:nvSpPr>
      <xdr:spPr bwMode="auto">
        <a:xfrm>
          <a:off x="6233273" y="7532163"/>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6</xdr:col>
      <xdr:colOff>38100</xdr:colOff>
      <xdr:row>52</xdr:row>
      <xdr:rowOff>76200</xdr:rowOff>
    </xdr:from>
    <xdr:to>
      <xdr:col>54</xdr:col>
      <xdr:colOff>22412</xdr:colOff>
      <xdr:row>62</xdr:row>
      <xdr:rowOff>76200</xdr:rowOff>
    </xdr:to>
    <xdr:sp macro="" textlink="">
      <xdr:nvSpPr>
        <xdr:cNvPr id="39" name="Freeform 3036">
          <a:extLst>
            <a:ext uri="{FF2B5EF4-FFF2-40B4-BE49-F238E27FC236}">
              <a16:creationId xmlns:a16="http://schemas.microsoft.com/office/drawing/2014/main" id="{00000000-0008-0000-0400-000027000000}"/>
            </a:ext>
          </a:extLst>
        </xdr:cNvPr>
        <xdr:cNvSpPr>
          <a:spLocks/>
        </xdr:cNvSpPr>
      </xdr:nvSpPr>
      <xdr:spPr bwMode="auto">
        <a:xfrm>
          <a:off x="777688" y="3863788"/>
          <a:ext cx="5889812" cy="1568824"/>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 name="connsiteX0" fmla="*/ 8482 w 8482"/>
            <a:gd name="connsiteY0" fmla="*/ 0 h 10000"/>
            <a:gd name="connsiteX1" fmla="*/ 4843 w 8482"/>
            <a:gd name="connsiteY1" fmla="*/ 0 h 10000"/>
            <a:gd name="connsiteX2" fmla="*/ 4843 w 8482"/>
            <a:gd name="connsiteY2" fmla="*/ 9949 h 10000"/>
            <a:gd name="connsiteX3" fmla="*/ 0 w 8482"/>
            <a:gd name="connsiteY3" fmla="*/ 10000 h 10000"/>
            <a:gd name="connsiteX0" fmla="*/ 10655 w 10655"/>
            <a:gd name="connsiteY0" fmla="*/ 0 h 10000"/>
            <a:gd name="connsiteX1" fmla="*/ 6365 w 10655"/>
            <a:gd name="connsiteY1" fmla="*/ 0 h 10000"/>
            <a:gd name="connsiteX2" fmla="*/ 6365 w 10655"/>
            <a:gd name="connsiteY2" fmla="*/ 9949 h 10000"/>
            <a:gd name="connsiteX3" fmla="*/ 0 w 10655"/>
            <a:gd name="connsiteY3" fmla="*/ 10000 h 10000"/>
            <a:gd name="connsiteX0" fmla="*/ 10891 w 10891"/>
            <a:gd name="connsiteY0" fmla="*/ 0 h 10000"/>
            <a:gd name="connsiteX1" fmla="*/ 6365 w 10891"/>
            <a:gd name="connsiteY1" fmla="*/ 0 h 10000"/>
            <a:gd name="connsiteX2" fmla="*/ 6365 w 10891"/>
            <a:gd name="connsiteY2" fmla="*/ 9949 h 10000"/>
            <a:gd name="connsiteX3" fmla="*/ 0 w 10891"/>
            <a:gd name="connsiteY3" fmla="*/ 10000 h 10000"/>
            <a:gd name="connsiteX0" fmla="*/ 11853 w 11853"/>
            <a:gd name="connsiteY0" fmla="*/ 0 h 10000"/>
            <a:gd name="connsiteX1" fmla="*/ 6365 w 11853"/>
            <a:gd name="connsiteY1" fmla="*/ 0 h 10000"/>
            <a:gd name="connsiteX2" fmla="*/ 6365 w 11853"/>
            <a:gd name="connsiteY2" fmla="*/ 9949 h 10000"/>
            <a:gd name="connsiteX3" fmla="*/ 0 w 11853"/>
            <a:gd name="connsiteY3" fmla="*/ 10000 h 10000"/>
          </a:gdLst>
          <a:ahLst/>
          <a:cxnLst>
            <a:cxn ang="0">
              <a:pos x="connsiteX0" y="connsiteY0"/>
            </a:cxn>
            <a:cxn ang="0">
              <a:pos x="connsiteX1" y="connsiteY1"/>
            </a:cxn>
            <a:cxn ang="0">
              <a:pos x="connsiteX2" y="connsiteY2"/>
            </a:cxn>
            <a:cxn ang="0">
              <a:pos x="connsiteX3" y="connsiteY3"/>
            </a:cxn>
          </a:cxnLst>
          <a:rect l="l" t="t" r="r" b="b"/>
          <a:pathLst>
            <a:path w="11853" h="10000">
              <a:moveTo>
                <a:pt x="11853" y="0"/>
              </a:moveTo>
              <a:lnTo>
                <a:pt x="6365" y="0"/>
              </a:lnTo>
              <a:lnTo>
                <a:pt x="6365" y="9949"/>
              </a:lnTo>
              <a:lnTo>
                <a:pt x="0" y="1000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19611</xdr:colOff>
      <xdr:row>58</xdr:row>
      <xdr:rowOff>4051</xdr:rowOff>
    </xdr:from>
    <xdr:to>
      <xdr:col>9</xdr:col>
      <xdr:colOff>19611</xdr:colOff>
      <xdr:row>62</xdr:row>
      <xdr:rowOff>70439</xdr:rowOff>
    </xdr:to>
    <xdr:sp macro="" textlink="">
      <xdr:nvSpPr>
        <xdr:cNvPr id="42" name="Line 3041">
          <a:extLst>
            <a:ext uri="{FF2B5EF4-FFF2-40B4-BE49-F238E27FC236}">
              <a16:creationId xmlns:a16="http://schemas.microsoft.com/office/drawing/2014/main" id="{00000000-0008-0000-0400-00002A000000}"/>
            </a:ext>
          </a:extLst>
        </xdr:cNvPr>
        <xdr:cNvSpPr>
          <a:spLocks noChangeShapeType="1"/>
        </xdr:cNvSpPr>
      </xdr:nvSpPr>
      <xdr:spPr bwMode="auto">
        <a:xfrm flipV="1">
          <a:off x="1128993" y="4732933"/>
          <a:ext cx="0" cy="69391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52</xdr:col>
      <xdr:colOff>56031</xdr:colOff>
      <xdr:row>53</xdr:row>
      <xdr:rowOff>107706</xdr:rowOff>
    </xdr:from>
    <xdr:to>
      <xdr:col>52</xdr:col>
      <xdr:colOff>56031</xdr:colOff>
      <xdr:row>65</xdr:row>
      <xdr:rowOff>6906</xdr:rowOff>
    </xdr:to>
    <xdr:sp macro="" textlink="">
      <xdr:nvSpPr>
        <xdr:cNvPr id="43" name="Line 3046">
          <a:extLst>
            <a:ext uri="{FF2B5EF4-FFF2-40B4-BE49-F238E27FC236}">
              <a16:creationId xmlns:a16="http://schemas.microsoft.com/office/drawing/2014/main" id="{00000000-0008-0000-0400-00002B000000}"/>
            </a:ext>
          </a:extLst>
        </xdr:cNvPr>
        <xdr:cNvSpPr>
          <a:spLocks noChangeShapeType="1"/>
        </xdr:cNvSpPr>
      </xdr:nvSpPr>
      <xdr:spPr bwMode="auto">
        <a:xfrm flipH="1" flipV="1">
          <a:off x="6454590" y="8288000"/>
          <a:ext cx="0" cy="178178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49</xdr:col>
      <xdr:colOff>949</xdr:colOff>
      <xdr:row>49</xdr:row>
      <xdr:rowOff>102148</xdr:rowOff>
    </xdr:from>
    <xdr:to>
      <xdr:col>55</xdr:col>
      <xdr:colOff>73616</xdr:colOff>
      <xdr:row>50</xdr:row>
      <xdr:rowOff>140248</xdr:rowOff>
    </xdr:to>
    <xdr:sp macro="" textlink="">
      <xdr:nvSpPr>
        <xdr:cNvPr id="45" name="Text Box 1856">
          <a:extLst>
            <a:ext uri="{FF2B5EF4-FFF2-40B4-BE49-F238E27FC236}">
              <a16:creationId xmlns:a16="http://schemas.microsoft.com/office/drawing/2014/main" id="{00000000-0008-0000-0400-00002D000000}"/>
            </a:ext>
          </a:extLst>
        </xdr:cNvPr>
        <xdr:cNvSpPr txBox="1">
          <a:spLocks noChangeArrowheads="1"/>
        </xdr:cNvSpPr>
      </xdr:nvSpPr>
      <xdr:spPr bwMode="auto">
        <a:xfrm>
          <a:off x="6029714" y="7654913"/>
          <a:ext cx="812255" cy="194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開発</a:t>
          </a:r>
          <a:r>
            <a:rPr lang="en-US" altLang="ja-JP" sz="900" b="0" i="0" u="none" strike="noStrike" baseline="0">
              <a:solidFill>
                <a:srgbClr val="000000"/>
              </a:solidFill>
              <a:latin typeface="ＭＳ Ｐゴシック"/>
              <a:ea typeface="ＭＳ Ｐゴシック"/>
            </a:rPr>
            <a:t>NW</a:t>
          </a:r>
          <a:endParaRPr lang="ja-JP" altLang="en-US" sz="900" b="0" i="0" u="none" strike="noStrike" baseline="0">
            <a:solidFill>
              <a:srgbClr val="000000"/>
            </a:solidFill>
            <a:latin typeface="ＭＳ Ｐゴシック"/>
            <a:ea typeface="ＭＳ Ｐゴシック"/>
          </a:endParaRPr>
        </a:p>
        <a:p>
          <a:pPr algn="ctr" rtl="0">
            <a:lnSpc>
              <a:spcPts val="1100"/>
            </a:lnSpc>
            <a:defRPr sz="1000"/>
          </a:pPr>
          <a:endParaRPr lang="ja-JP" altLang="en-US" sz="900"/>
        </a:p>
      </xdr:txBody>
    </xdr:sp>
    <xdr:clientData/>
  </xdr:twoCellAnchor>
  <xdr:twoCellAnchor>
    <xdr:from>
      <xdr:col>30</xdr:col>
      <xdr:colOff>55472</xdr:colOff>
      <xdr:row>62</xdr:row>
      <xdr:rowOff>62878</xdr:rowOff>
    </xdr:from>
    <xdr:to>
      <xdr:col>40</xdr:col>
      <xdr:colOff>5222</xdr:colOff>
      <xdr:row>62</xdr:row>
      <xdr:rowOff>62878</xdr:rowOff>
    </xdr:to>
    <xdr:cxnSp macro="">
      <xdr:nvCxnSpPr>
        <xdr:cNvPr id="46" name="直線コネクタ 2292">
          <a:extLst>
            <a:ext uri="{FF2B5EF4-FFF2-40B4-BE49-F238E27FC236}">
              <a16:creationId xmlns:a16="http://schemas.microsoft.com/office/drawing/2014/main" id="{00000000-0008-0000-0400-00002E000000}"/>
            </a:ext>
          </a:extLst>
        </xdr:cNvPr>
        <xdr:cNvCxnSpPr>
          <a:cxnSpLocks noChangeShapeType="1"/>
        </xdr:cNvCxnSpPr>
      </xdr:nvCxnSpPr>
      <xdr:spPr bwMode="auto">
        <a:xfrm flipH="1">
          <a:off x="3753413" y="5419290"/>
          <a:ext cx="1182397"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25213</xdr:colOff>
      <xdr:row>52</xdr:row>
      <xdr:rowOff>79131</xdr:rowOff>
    </xdr:from>
    <xdr:to>
      <xdr:col>37</xdr:col>
      <xdr:colOff>25213</xdr:colOff>
      <xdr:row>54</xdr:row>
      <xdr:rowOff>31506</xdr:rowOff>
    </xdr:to>
    <xdr:sp macro="" textlink="">
      <xdr:nvSpPr>
        <xdr:cNvPr id="47" name="Line 3038">
          <a:extLst>
            <a:ext uri="{FF2B5EF4-FFF2-40B4-BE49-F238E27FC236}">
              <a16:creationId xmlns:a16="http://schemas.microsoft.com/office/drawing/2014/main" id="{00000000-0008-0000-0400-00002F000000}"/>
            </a:ext>
          </a:extLst>
        </xdr:cNvPr>
        <xdr:cNvSpPr>
          <a:spLocks noChangeShapeType="1"/>
        </xdr:cNvSpPr>
      </xdr:nvSpPr>
      <xdr:spPr bwMode="auto">
        <a:xfrm flipV="1">
          <a:off x="4586007" y="3866719"/>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6</xdr:col>
      <xdr:colOff>40815</xdr:colOff>
      <xdr:row>53</xdr:row>
      <xdr:rowOff>68873</xdr:rowOff>
    </xdr:from>
    <xdr:ext cx="1377333" cy="203041"/>
    <xdr:sp macro="" textlink="">
      <xdr:nvSpPr>
        <xdr:cNvPr id="48" name="Rectangle 1306">
          <a:extLst>
            <a:ext uri="{FF2B5EF4-FFF2-40B4-BE49-F238E27FC236}">
              <a16:creationId xmlns:a16="http://schemas.microsoft.com/office/drawing/2014/main" id="{00000000-0008-0000-0400-000030000000}"/>
            </a:ext>
          </a:extLst>
        </xdr:cNvPr>
        <xdr:cNvSpPr>
          <a:spLocks noChangeArrowheads="1"/>
        </xdr:cNvSpPr>
      </xdr:nvSpPr>
      <xdr:spPr bwMode="auto">
        <a:xfrm>
          <a:off x="783765" y="3907448"/>
          <a:ext cx="1377333" cy="203041"/>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システム（開発機）</a:t>
          </a:r>
        </a:p>
        <a:p>
          <a:pPr algn="l" rtl="0">
            <a:lnSpc>
              <a:spcPts val="1100"/>
            </a:lnSpc>
            <a:defRPr sz="1000"/>
          </a:pPr>
          <a:endParaRPr lang="ja-JP" altLang="en-US" sz="1000" b="1" i="0" u="none" strike="noStrike" baseline="0">
            <a:solidFill>
              <a:schemeClr val="tx1"/>
            </a:solidFill>
            <a:latin typeface="ＭＳ Ｐゴシック"/>
            <a:ea typeface="ＭＳ Ｐゴシック"/>
          </a:endParaRPr>
        </a:p>
      </xdr:txBody>
    </xdr:sp>
    <xdr:clientData/>
  </xdr:oneCellAnchor>
  <xdr:twoCellAnchor>
    <xdr:from>
      <xdr:col>14</xdr:col>
      <xdr:colOff>79558</xdr:colOff>
      <xdr:row>58</xdr:row>
      <xdr:rowOff>2931</xdr:rowOff>
    </xdr:from>
    <xdr:to>
      <xdr:col>14</xdr:col>
      <xdr:colOff>79558</xdr:colOff>
      <xdr:row>62</xdr:row>
      <xdr:rowOff>60081</xdr:rowOff>
    </xdr:to>
    <xdr:sp macro="" textlink="">
      <xdr:nvSpPr>
        <xdr:cNvPr id="49" name="Line 3041">
          <a:extLst>
            <a:ext uri="{FF2B5EF4-FFF2-40B4-BE49-F238E27FC236}">
              <a16:creationId xmlns:a16="http://schemas.microsoft.com/office/drawing/2014/main" id="{00000000-0008-0000-0400-000031000000}"/>
            </a:ext>
          </a:extLst>
        </xdr:cNvPr>
        <xdr:cNvSpPr>
          <a:spLocks noChangeShapeType="1"/>
        </xdr:cNvSpPr>
      </xdr:nvSpPr>
      <xdr:spPr bwMode="auto">
        <a:xfrm flipV="1">
          <a:off x="1805264" y="4731813"/>
          <a:ext cx="0" cy="68468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54347</xdr:colOff>
      <xdr:row>57</xdr:row>
      <xdr:rowOff>145806</xdr:rowOff>
    </xdr:from>
    <xdr:to>
      <xdr:col>20</xdr:col>
      <xdr:colOff>54347</xdr:colOff>
      <xdr:row>62</xdr:row>
      <xdr:rowOff>60081</xdr:rowOff>
    </xdr:to>
    <xdr:sp macro="" textlink="">
      <xdr:nvSpPr>
        <xdr:cNvPr id="50" name="Line 3041">
          <a:extLst>
            <a:ext uri="{FF2B5EF4-FFF2-40B4-BE49-F238E27FC236}">
              <a16:creationId xmlns:a16="http://schemas.microsoft.com/office/drawing/2014/main" id="{00000000-0008-0000-0400-000032000000}"/>
            </a:ext>
          </a:extLst>
        </xdr:cNvPr>
        <xdr:cNvSpPr>
          <a:spLocks noChangeShapeType="1"/>
        </xdr:cNvSpPr>
      </xdr:nvSpPr>
      <xdr:spPr bwMode="auto">
        <a:xfrm flipV="1">
          <a:off x="2519641" y="4717806"/>
          <a:ext cx="0" cy="698687"/>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3362</xdr:colOff>
      <xdr:row>62</xdr:row>
      <xdr:rowOff>69606</xdr:rowOff>
    </xdr:from>
    <xdr:to>
      <xdr:col>18</xdr:col>
      <xdr:colOff>3362</xdr:colOff>
      <xdr:row>66</xdr:row>
      <xdr:rowOff>90077</xdr:rowOff>
    </xdr:to>
    <xdr:sp macro="" textlink="">
      <xdr:nvSpPr>
        <xdr:cNvPr id="55" name="Line 3040">
          <a:extLst>
            <a:ext uri="{FF2B5EF4-FFF2-40B4-BE49-F238E27FC236}">
              <a16:creationId xmlns:a16="http://schemas.microsoft.com/office/drawing/2014/main" id="{00000000-0008-0000-0400-000037000000}"/>
            </a:ext>
          </a:extLst>
        </xdr:cNvPr>
        <xdr:cNvSpPr>
          <a:spLocks noChangeShapeType="1"/>
        </xdr:cNvSpPr>
      </xdr:nvSpPr>
      <xdr:spPr bwMode="auto">
        <a:xfrm flipV="1">
          <a:off x="2222127" y="5426018"/>
          <a:ext cx="0" cy="64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34738</xdr:colOff>
      <xdr:row>50</xdr:row>
      <xdr:rowOff>126756</xdr:rowOff>
    </xdr:from>
    <xdr:to>
      <xdr:col>36</xdr:col>
      <xdr:colOff>34738</xdr:colOff>
      <xdr:row>52</xdr:row>
      <xdr:rowOff>79131</xdr:rowOff>
    </xdr:to>
    <xdr:sp macro="" textlink="">
      <xdr:nvSpPr>
        <xdr:cNvPr id="56" name="Line 3038">
          <a:extLst>
            <a:ext uri="{FF2B5EF4-FFF2-40B4-BE49-F238E27FC236}">
              <a16:creationId xmlns:a16="http://schemas.microsoft.com/office/drawing/2014/main" id="{00000000-0008-0000-0400-000038000000}"/>
            </a:ext>
          </a:extLst>
        </xdr:cNvPr>
        <xdr:cNvSpPr>
          <a:spLocks noChangeShapeType="1"/>
        </xdr:cNvSpPr>
      </xdr:nvSpPr>
      <xdr:spPr bwMode="auto">
        <a:xfrm flipV="1">
          <a:off x="4472267" y="3600580"/>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15689</xdr:colOff>
      <xdr:row>48</xdr:row>
      <xdr:rowOff>98181</xdr:rowOff>
    </xdr:from>
    <xdr:to>
      <xdr:col>39</xdr:col>
      <xdr:colOff>15689</xdr:colOff>
      <xdr:row>51</xdr:row>
      <xdr:rowOff>54981</xdr:rowOff>
    </xdr:to>
    <xdr:sp macro="" textlink="">
      <xdr:nvSpPr>
        <xdr:cNvPr id="57" name="Rectangle 619">
          <a:extLst>
            <a:ext uri="{FF2B5EF4-FFF2-40B4-BE49-F238E27FC236}">
              <a16:creationId xmlns:a16="http://schemas.microsoft.com/office/drawing/2014/main" id="{00000000-0008-0000-0400-000039000000}"/>
            </a:ext>
          </a:extLst>
        </xdr:cNvPr>
        <xdr:cNvSpPr>
          <a:spLocks noChangeArrowheads="1"/>
        </xdr:cNvSpPr>
      </xdr:nvSpPr>
      <xdr:spPr bwMode="auto">
        <a:xfrm>
          <a:off x="4083424" y="3258240"/>
          <a:ext cx="739589" cy="427447"/>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IBMホスト</a:t>
          </a: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5</xdr:col>
      <xdr:colOff>66675</xdr:colOff>
      <xdr:row>50</xdr:row>
      <xdr:rowOff>57150</xdr:rowOff>
    </xdr:from>
    <xdr:to>
      <xdr:col>11</xdr:col>
      <xdr:colOff>91240</xdr:colOff>
      <xdr:row>51</xdr:row>
      <xdr:rowOff>76756</xdr:rowOff>
    </xdr:to>
    <xdr:sp macro="" textlink="">
      <xdr:nvSpPr>
        <xdr:cNvPr id="58" name="Text Box 117">
          <a:extLst>
            <a:ext uri="{FF2B5EF4-FFF2-40B4-BE49-F238E27FC236}">
              <a16:creationId xmlns:a16="http://schemas.microsoft.com/office/drawing/2014/main" id="{00000000-0008-0000-0400-00003A000000}"/>
            </a:ext>
          </a:extLst>
        </xdr:cNvPr>
        <xdr:cNvSpPr txBox="1">
          <a:spLocks noChangeAspect="1" noChangeArrowheads="1"/>
        </xdr:cNvSpPr>
      </xdr:nvSpPr>
      <xdr:spPr bwMode="auto">
        <a:xfrm>
          <a:off x="685800" y="3438525"/>
          <a:ext cx="767515" cy="172006"/>
        </a:xfrm>
        <a:prstGeom prst="rect">
          <a:avLst/>
        </a:prstGeom>
        <a:noFill/>
        <a:ln>
          <a:noFill/>
        </a:ln>
        <a:extLst/>
      </xdr:spPr>
      <xdr:txBody>
        <a:bodyPr wrap="none" lIns="54000" tIns="10800" rIns="54000" bIns="10800" anchor="t">
          <a:noAutofit/>
        </a:bodyPr>
        <a:lstStyle/>
        <a:p>
          <a:pPr algn="l" rtl="0">
            <a:defRPr sz="1000"/>
          </a:pP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仮想環境</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(Windows</a:t>
          </a: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共通基盤</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a:t>
          </a:r>
          <a:endPar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19611</xdr:colOff>
      <xdr:row>62</xdr:row>
      <xdr:rowOff>69606</xdr:rowOff>
    </xdr:from>
    <xdr:to>
      <xdr:col>10</xdr:col>
      <xdr:colOff>19611</xdr:colOff>
      <xdr:row>66</xdr:row>
      <xdr:rowOff>90077</xdr:rowOff>
    </xdr:to>
    <xdr:sp macro="" textlink="">
      <xdr:nvSpPr>
        <xdr:cNvPr id="59" name="Line 3040">
          <a:extLst>
            <a:ext uri="{FF2B5EF4-FFF2-40B4-BE49-F238E27FC236}">
              <a16:creationId xmlns:a16="http://schemas.microsoft.com/office/drawing/2014/main" id="{00000000-0008-0000-0400-00003B000000}"/>
            </a:ext>
          </a:extLst>
        </xdr:cNvPr>
        <xdr:cNvSpPr>
          <a:spLocks noChangeShapeType="1"/>
        </xdr:cNvSpPr>
      </xdr:nvSpPr>
      <xdr:spPr bwMode="auto">
        <a:xfrm flipV="1">
          <a:off x="1252258" y="5426018"/>
          <a:ext cx="0" cy="64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84987</xdr:colOff>
      <xdr:row>62</xdr:row>
      <xdr:rowOff>66675</xdr:rowOff>
    </xdr:from>
    <xdr:to>
      <xdr:col>25</xdr:col>
      <xdr:colOff>84987</xdr:colOff>
      <xdr:row>66</xdr:row>
      <xdr:rowOff>87146</xdr:rowOff>
    </xdr:to>
    <xdr:sp macro="" textlink="">
      <xdr:nvSpPr>
        <xdr:cNvPr id="61" name="Line 3040">
          <a:extLst>
            <a:ext uri="{FF2B5EF4-FFF2-40B4-BE49-F238E27FC236}">
              <a16:creationId xmlns:a16="http://schemas.microsoft.com/office/drawing/2014/main" id="{00000000-0008-0000-0400-00003D000000}"/>
            </a:ext>
          </a:extLst>
        </xdr:cNvPr>
        <xdr:cNvSpPr>
          <a:spLocks noChangeShapeType="1"/>
        </xdr:cNvSpPr>
      </xdr:nvSpPr>
      <xdr:spPr bwMode="auto">
        <a:xfrm flipV="1">
          <a:off x="3166605" y="5423087"/>
          <a:ext cx="0" cy="64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47625</xdr:colOff>
      <xdr:row>62</xdr:row>
      <xdr:rowOff>76200</xdr:rowOff>
    </xdr:from>
    <xdr:to>
      <xdr:col>37</xdr:col>
      <xdr:colOff>47625</xdr:colOff>
      <xdr:row>64</xdr:row>
      <xdr:rowOff>28575</xdr:rowOff>
    </xdr:to>
    <xdr:sp macro="" textlink="">
      <xdr:nvSpPr>
        <xdr:cNvPr id="62" name="Line 3038">
          <a:extLst>
            <a:ext uri="{FF2B5EF4-FFF2-40B4-BE49-F238E27FC236}">
              <a16:creationId xmlns:a16="http://schemas.microsoft.com/office/drawing/2014/main" id="{00000000-0008-0000-0400-00003E000000}"/>
            </a:ext>
          </a:extLst>
        </xdr:cNvPr>
        <xdr:cNvSpPr>
          <a:spLocks noChangeShapeType="1"/>
        </xdr:cNvSpPr>
      </xdr:nvSpPr>
      <xdr:spPr bwMode="auto">
        <a:xfrm flipV="1">
          <a:off x="4608419" y="5432612"/>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114301</xdr:colOff>
      <xdr:row>63</xdr:row>
      <xdr:rowOff>110938</xdr:rowOff>
    </xdr:from>
    <xdr:to>
      <xdr:col>39</xdr:col>
      <xdr:colOff>104776</xdr:colOff>
      <xdr:row>65</xdr:row>
      <xdr:rowOff>145676</xdr:rowOff>
    </xdr:to>
    <xdr:sp macro="" textlink="">
      <xdr:nvSpPr>
        <xdr:cNvPr id="63" name="Rectangle 619">
          <a:extLst>
            <a:ext uri="{FF2B5EF4-FFF2-40B4-BE49-F238E27FC236}">
              <a16:creationId xmlns:a16="http://schemas.microsoft.com/office/drawing/2014/main" id="{00000000-0008-0000-0400-00003F000000}"/>
            </a:ext>
          </a:extLst>
        </xdr:cNvPr>
        <xdr:cNvSpPr>
          <a:spLocks noChangeArrowheads="1"/>
        </xdr:cNvSpPr>
      </xdr:nvSpPr>
      <xdr:spPr bwMode="auto">
        <a:xfrm>
          <a:off x="4305301" y="5624232"/>
          <a:ext cx="606799" cy="34850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NTP</a:t>
          </a:r>
          <a:endParaRPr lang="ja-JP" altLang="en-US" sz="900"/>
        </a:p>
      </xdr:txBody>
    </xdr:sp>
    <xdr:clientData/>
  </xdr:twoCellAnchor>
  <xdr:twoCellAnchor>
    <xdr:from>
      <xdr:col>68</xdr:col>
      <xdr:colOff>87967</xdr:colOff>
      <xdr:row>58</xdr:row>
      <xdr:rowOff>11206</xdr:rowOff>
    </xdr:from>
    <xdr:to>
      <xdr:col>73</xdr:col>
      <xdr:colOff>115983</xdr:colOff>
      <xdr:row>59</xdr:row>
      <xdr:rowOff>76200</xdr:rowOff>
    </xdr:to>
    <xdr:sp macro="" textlink="">
      <xdr:nvSpPr>
        <xdr:cNvPr id="66" name="Text Box 1510">
          <a:extLst>
            <a:ext uri="{FF2B5EF4-FFF2-40B4-BE49-F238E27FC236}">
              <a16:creationId xmlns:a16="http://schemas.microsoft.com/office/drawing/2014/main" id="{00000000-0008-0000-0400-000042000000}"/>
            </a:ext>
          </a:extLst>
        </xdr:cNvPr>
        <xdr:cNvSpPr txBox="1">
          <a:spLocks noChangeArrowheads="1"/>
        </xdr:cNvSpPr>
      </xdr:nvSpPr>
      <xdr:spPr bwMode="auto">
        <a:xfrm>
          <a:off x="8498542" y="4611781"/>
          <a:ext cx="647141" cy="217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IP</a:t>
          </a:r>
          <a:r>
            <a:rPr lang="ja-JP" altLang="en-US" sz="900" b="0" i="0" u="none" strike="noStrike" baseline="0">
              <a:solidFill>
                <a:srgbClr val="000000"/>
              </a:solidFill>
              <a:latin typeface="ＭＳ Ｐゴシック"/>
              <a:ea typeface="ＭＳ Ｐゴシック"/>
            </a:rPr>
            <a:t>電話機</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67</xdr:col>
      <xdr:colOff>30256</xdr:colOff>
      <xdr:row>65</xdr:row>
      <xdr:rowOff>33056</xdr:rowOff>
    </xdr:from>
    <xdr:to>
      <xdr:col>69</xdr:col>
      <xdr:colOff>60519</xdr:colOff>
      <xdr:row>66</xdr:row>
      <xdr:rowOff>82806</xdr:rowOff>
    </xdr:to>
    <xdr:sp macro="" textlink="">
      <xdr:nvSpPr>
        <xdr:cNvPr id="67" name="Rectangle 1210">
          <a:extLst>
            <a:ext uri="{FF2B5EF4-FFF2-40B4-BE49-F238E27FC236}">
              <a16:creationId xmlns:a16="http://schemas.microsoft.com/office/drawing/2014/main" id="{00000000-0008-0000-0400-000043000000}"/>
            </a:ext>
          </a:extLst>
        </xdr:cNvPr>
        <xdr:cNvSpPr>
          <a:spLocks noChangeArrowheads="1"/>
        </xdr:cNvSpPr>
      </xdr:nvSpPr>
      <xdr:spPr bwMode="auto">
        <a:xfrm>
          <a:off x="8317006" y="5700431"/>
          <a:ext cx="277913" cy="202150"/>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ctr"/>
        <a:lstStyle/>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67</xdr:col>
      <xdr:colOff>30256</xdr:colOff>
      <xdr:row>67</xdr:row>
      <xdr:rowOff>39778</xdr:rowOff>
    </xdr:from>
    <xdr:to>
      <xdr:col>69</xdr:col>
      <xdr:colOff>63874</xdr:colOff>
      <xdr:row>68</xdr:row>
      <xdr:rowOff>84601</xdr:rowOff>
    </xdr:to>
    <xdr:sp macro="" textlink="">
      <xdr:nvSpPr>
        <xdr:cNvPr id="68" name="Rectangle 619">
          <a:extLst>
            <a:ext uri="{FF2B5EF4-FFF2-40B4-BE49-F238E27FC236}">
              <a16:creationId xmlns:a16="http://schemas.microsoft.com/office/drawing/2014/main" id="{00000000-0008-0000-0400-000044000000}"/>
            </a:ext>
          </a:extLst>
        </xdr:cNvPr>
        <xdr:cNvSpPr>
          <a:spLocks noChangeArrowheads="1"/>
        </xdr:cNvSpPr>
      </xdr:nvSpPr>
      <xdr:spPr bwMode="auto">
        <a:xfrm>
          <a:off x="8317006" y="6011953"/>
          <a:ext cx="281268" cy="19722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endParaRPr lang="ja-JP" altLang="en-US" sz="800"/>
        </a:p>
      </xdr:txBody>
    </xdr:sp>
    <xdr:clientData/>
  </xdr:twoCellAnchor>
  <xdr:twoCellAnchor>
    <xdr:from>
      <xdr:col>67</xdr:col>
      <xdr:colOff>44127</xdr:colOff>
      <xdr:row>69</xdr:row>
      <xdr:rowOff>39778</xdr:rowOff>
    </xdr:from>
    <xdr:to>
      <xdr:col>69</xdr:col>
      <xdr:colOff>60523</xdr:colOff>
      <xdr:row>70</xdr:row>
      <xdr:rowOff>122354</xdr:rowOff>
    </xdr:to>
    <xdr:grpSp>
      <xdr:nvGrpSpPr>
        <xdr:cNvPr id="69" name="Group 1506">
          <a:extLst>
            <a:ext uri="{FF2B5EF4-FFF2-40B4-BE49-F238E27FC236}">
              <a16:creationId xmlns:a16="http://schemas.microsoft.com/office/drawing/2014/main" id="{00000000-0008-0000-0400-000045000000}"/>
            </a:ext>
          </a:extLst>
        </xdr:cNvPr>
        <xdr:cNvGrpSpPr>
          <a:grpSpLocks noChangeAspect="1"/>
        </xdr:cNvGrpSpPr>
      </xdr:nvGrpSpPr>
      <xdr:grpSpPr bwMode="auto">
        <a:xfrm>
          <a:off x="8291656" y="10730190"/>
          <a:ext cx="262926" cy="239458"/>
          <a:chOff x="1959" y="852"/>
          <a:chExt cx="276" cy="251"/>
        </a:xfrm>
      </xdr:grpSpPr>
      <xdr:sp macro="" textlink="">
        <xdr:nvSpPr>
          <xdr:cNvPr id="70" name="Rectangle 1507">
            <a:extLst>
              <a:ext uri="{FF2B5EF4-FFF2-40B4-BE49-F238E27FC236}">
                <a16:creationId xmlns:a16="http://schemas.microsoft.com/office/drawing/2014/main" id="{00000000-0008-0000-0400-000046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1" name="Rectangle 1508">
            <a:extLst>
              <a:ext uri="{FF2B5EF4-FFF2-40B4-BE49-F238E27FC236}">
                <a16:creationId xmlns:a16="http://schemas.microsoft.com/office/drawing/2014/main" id="{00000000-0008-0000-0400-00004700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72" name="AutoShape 1509">
            <a:extLst>
              <a:ext uri="{FF2B5EF4-FFF2-40B4-BE49-F238E27FC236}">
                <a16:creationId xmlns:a16="http://schemas.microsoft.com/office/drawing/2014/main" id="{00000000-0008-0000-0400-000048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119901</xdr:colOff>
      <xdr:row>61</xdr:row>
      <xdr:rowOff>73397</xdr:rowOff>
    </xdr:from>
    <xdr:to>
      <xdr:col>81</xdr:col>
      <xdr:colOff>57150</xdr:colOff>
      <xdr:row>71</xdr:row>
      <xdr:rowOff>107016</xdr:rowOff>
    </xdr:to>
    <xdr:sp macro="" textlink="">
      <xdr:nvSpPr>
        <xdr:cNvPr id="73" name="正方形/長方形 72">
          <a:extLst>
            <a:ext uri="{FF2B5EF4-FFF2-40B4-BE49-F238E27FC236}">
              <a16:creationId xmlns:a16="http://schemas.microsoft.com/office/drawing/2014/main" id="{00000000-0008-0000-0400-000049000000}"/>
            </a:ext>
          </a:extLst>
        </xdr:cNvPr>
        <xdr:cNvSpPr/>
      </xdr:nvSpPr>
      <xdr:spPr>
        <a:xfrm>
          <a:off x="8159001" y="5131172"/>
          <a:ext cx="1918449" cy="155761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70</xdr:col>
      <xdr:colOff>19050</xdr:colOff>
      <xdr:row>65</xdr:row>
      <xdr:rowOff>73397</xdr:rowOff>
    </xdr:from>
    <xdr:to>
      <xdr:col>79</xdr:col>
      <xdr:colOff>41462</xdr:colOff>
      <xdr:row>67</xdr:row>
      <xdr:rowOff>10644</xdr:rowOff>
    </xdr:to>
    <xdr:sp macro="" textlink="">
      <xdr:nvSpPr>
        <xdr:cNvPr id="74" name="テキスト ボックス 73">
          <a:extLst>
            <a:ext uri="{FF2B5EF4-FFF2-40B4-BE49-F238E27FC236}">
              <a16:creationId xmlns:a16="http://schemas.microsoft.com/office/drawing/2014/main" id="{00000000-0008-0000-0400-00004A000000}"/>
            </a:ext>
          </a:extLst>
        </xdr:cNvPr>
        <xdr:cNvSpPr txBox="1"/>
      </xdr:nvSpPr>
      <xdr:spPr>
        <a:xfrm>
          <a:off x="8677275" y="5740772"/>
          <a:ext cx="1136837"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67</xdr:col>
      <xdr:colOff>41463</xdr:colOff>
      <xdr:row>63</xdr:row>
      <xdr:rowOff>39780</xdr:rowOff>
    </xdr:from>
    <xdr:to>
      <xdr:col>69</xdr:col>
      <xdr:colOff>46933</xdr:colOff>
      <xdr:row>64</xdr:row>
      <xdr:rowOff>72844</xdr:rowOff>
    </xdr:to>
    <xdr:sp macro="" textlink="">
      <xdr:nvSpPr>
        <xdr:cNvPr id="75" name="Rectangle 3008">
          <a:extLst>
            <a:ext uri="{FF2B5EF4-FFF2-40B4-BE49-F238E27FC236}">
              <a16:creationId xmlns:a16="http://schemas.microsoft.com/office/drawing/2014/main" id="{00000000-0008-0000-0400-00004B000000}"/>
            </a:ext>
          </a:extLst>
        </xdr:cNvPr>
        <xdr:cNvSpPr>
          <a:spLocks noChangeAspect="1" noChangeArrowheads="1"/>
        </xdr:cNvSpPr>
      </xdr:nvSpPr>
      <xdr:spPr bwMode="auto">
        <a:xfrm>
          <a:off x="8328213" y="5402355"/>
          <a:ext cx="253120" cy="1854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70</xdr:col>
      <xdr:colOff>31377</xdr:colOff>
      <xdr:row>63</xdr:row>
      <xdr:rowOff>68914</xdr:rowOff>
    </xdr:from>
    <xdr:to>
      <xdr:col>81</xdr:col>
      <xdr:colOff>43465</xdr:colOff>
      <xdr:row>65</xdr:row>
      <xdr:rowOff>6161</xdr:rowOff>
    </xdr:to>
    <xdr:sp macro="" textlink="">
      <xdr:nvSpPr>
        <xdr:cNvPr id="76" name="テキスト ボックス 75">
          <a:extLst>
            <a:ext uri="{FF2B5EF4-FFF2-40B4-BE49-F238E27FC236}">
              <a16:creationId xmlns:a16="http://schemas.microsoft.com/office/drawing/2014/main" id="{00000000-0008-0000-0400-00004C000000}"/>
            </a:ext>
          </a:extLst>
        </xdr:cNvPr>
        <xdr:cNvSpPr txBox="1"/>
      </xdr:nvSpPr>
      <xdr:spPr>
        <a:xfrm>
          <a:off x="8689602" y="5431489"/>
          <a:ext cx="1374163"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70</xdr:col>
      <xdr:colOff>9526</xdr:colOff>
      <xdr:row>67</xdr:row>
      <xdr:rowOff>75637</xdr:rowOff>
    </xdr:from>
    <xdr:to>
      <xdr:col>79</xdr:col>
      <xdr:colOff>88704</xdr:colOff>
      <xdr:row>69</xdr:row>
      <xdr:rowOff>12884</xdr:rowOff>
    </xdr:to>
    <xdr:sp macro="" textlink="">
      <xdr:nvSpPr>
        <xdr:cNvPr id="77" name="テキスト ボックス 76">
          <a:extLst>
            <a:ext uri="{FF2B5EF4-FFF2-40B4-BE49-F238E27FC236}">
              <a16:creationId xmlns:a16="http://schemas.microsoft.com/office/drawing/2014/main" id="{00000000-0008-0000-0400-00004D000000}"/>
            </a:ext>
          </a:extLst>
        </xdr:cNvPr>
        <xdr:cNvSpPr txBox="1"/>
      </xdr:nvSpPr>
      <xdr:spPr>
        <a:xfrm>
          <a:off x="8667751" y="6047812"/>
          <a:ext cx="1193603"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70</xdr:col>
      <xdr:colOff>5044</xdr:colOff>
      <xdr:row>69</xdr:row>
      <xdr:rowOff>71156</xdr:rowOff>
    </xdr:from>
    <xdr:to>
      <xdr:col>79</xdr:col>
      <xdr:colOff>84222</xdr:colOff>
      <xdr:row>71</xdr:row>
      <xdr:rowOff>8402</xdr:rowOff>
    </xdr:to>
    <xdr:sp macro="" textlink="">
      <xdr:nvSpPr>
        <xdr:cNvPr id="78" name="テキスト ボックス 77">
          <a:extLst>
            <a:ext uri="{FF2B5EF4-FFF2-40B4-BE49-F238E27FC236}">
              <a16:creationId xmlns:a16="http://schemas.microsoft.com/office/drawing/2014/main" id="{00000000-0008-0000-0400-00004E000000}"/>
            </a:ext>
          </a:extLst>
        </xdr:cNvPr>
        <xdr:cNvSpPr txBox="1"/>
      </xdr:nvSpPr>
      <xdr:spPr>
        <a:xfrm>
          <a:off x="8663269" y="6348131"/>
          <a:ext cx="1193603" cy="24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24</xdr:col>
      <xdr:colOff>54169</xdr:colOff>
      <xdr:row>55</xdr:row>
      <xdr:rowOff>8705</xdr:rowOff>
    </xdr:from>
    <xdr:to>
      <xdr:col>28</xdr:col>
      <xdr:colOff>15214</xdr:colOff>
      <xdr:row>57</xdr:row>
      <xdr:rowOff>142055</xdr:rowOff>
    </xdr:to>
    <xdr:sp macro="" textlink="">
      <xdr:nvSpPr>
        <xdr:cNvPr id="79" name="Rectangle 3009">
          <a:extLst>
            <a:ext uri="{FF2B5EF4-FFF2-40B4-BE49-F238E27FC236}">
              <a16:creationId xmlns:a16="http://schemas.microsoft.com/office/drawing/2014/main" id="{00000000-0008-0000-0400-00004F000000}"/>
            </a:ext>
          </a:extLst>
        </xdr:cNvPr>
        <xdr:cNvSpPr>
          <a:spLocks noChangeAspect="1" noChangeArrowheads="1"/>
        </xdr:cNvSpPr>
      </xdr:nvSpPr>
      <xdr:spPr bwMode="auto">
        <a:xfrm>
          <a:off x="3025969" y="4152080"/>
          <a:ext cx="456345" cy="43815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運用</a:t>
          </a:r>
          <a:endParaRPr lang="en-US" altLang="ja-JP" sz="900" b="0" i="0" u="none" strike="noStrike" baseline="0">
            <a:solidFill>
              <a:sysClr val="windowText" lastClr="000000"/>
            </a:solidFill>
            <a:latin typeface="ＭＳ Ｐゴシック"/>
            <a:ea typeface="ＭＳ Ｐゴシック"/>
          </a:endParaRPr>
        </a:p>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管理</a:t>
          </a:r>
        </a:p>
      </xdr:txBody>
    </xdr:sp>
    <xdr:clientData/>
  </xdr:twoCellAnchor>
  <xdr:twoCellAnchor>
    <xdr:from>
      <xdr:col>26</xdr:col>
      <xdr:colOff>7280</xdr:colOff>
      <xdr:row>58</xdr:row>
      <xdr:rowOff>2929</xdr:rowOff>
    </xdr:from>
    <xdr:to>
      <xdr:col>26</xdr:col>
      <xdr:colOff>7280</xdr:colOff>
      <xdr:row>62</xdr:row>
      <xdr:rowOff>55597</xdr:rowOff>
    </xdr:to>
    <xdr:sp macro="" textlink="">
      <xdr:nvSpPr>
        <xdr:cNvPr id="80" name="Line 3041">
          <a:extLst>
            <a:ext uri="{FF2B5EF4-FFF2-40B4-BE49-F238E27FC236}">
              <a16:creationId xmlns:a16="http://schemas.microsoft.com/office/drawing/2014/main" id="{00000000-0008-0000-0400-000050000000}"/>
            </a:ext>
          </a:extLst>
        </xdr:cNvPr>
        <xdr:cNvSpPr>
          <a:spLocks noChangeShapeType="1"/>
        </xdr:cNvSpPr>
      </xdr:nvSpPr>
      <xdr:spPr bwMode="auto">
        <a:xfrm flipV="1">
          <a:off x="3212162" y="4731811"/>
          <a:ext cx="0" cy="68019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89648</xdr:colOff>
      <xdr:row>60</xdr:row>
      <xdr:rowOff>115424</xdr:rowOff>
    </xdr:from>
    <xdr:to>
      <xdr:col>35</xdr:col>
      <xdr:colOff>89648</xdr:colOff>
      <xdr:row>62</xdr:row>
      <xdr:rowOff>67798</xdr:rowOff>
    </xdr:to>
    <xdr:sp macro="" textlink="">
      <xdr:nvSpPr>
        <xdr:cNvPr id="82" name="Line 3038">
          <a:extLst>
            <a:ext uri="{FF2B5EF4-FFF2-40B4-BE49-F238E27FC236}">
              <a16:creationId xmlns:a16="http://schemas.microsoft.com/office/drawing/2014/main" id="{00000000-0008-0000-0400-000052000000}"/>
            </a:ext>
          </a:extLst>
        </xdr:cNvPr>
        <xdr:cNvSpPr>
          <a:spLocks noChangeShapeType="1"/>
        </xdr:cNvSpPr>
      </xdr:nvSpPr>
      <xdr:spPr bwMode="auto">
        <a:xfrm flipV="1">
          <a:off x="4403913" y="5158071"/>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42024</xdr:colOff>
      <xdr:row>58</xdr:row>
      <xdr:rowOff>118783</xdr:rowOff>
    </xdr:from>
    <xdr:to>
      <xdr:col>38</xdr:col>
      <xdr:colOff>32499</xdr:colOff>
      <xdr:row>60</xdr:row>
      <xdr:rowOff>153521</xdr:rowOff>
    </xdr:to>
    <xdr:sp macro="" textlink="">
      <xdr:nvSpPr>
        <xdr:cNvPr id="81" name="Rectangle 619">
          <a:extLst>
            <a:ext uri="{FF2B5EF4-FFF2-40B4-BE49-F238E27FC236}">
              <a16:creationId xmlns:a16="http://schemas.microsoft.com/office/drawing/2014/main" id="{00000000-0008-0000-0400-000051000000}"/>
            </a:ext>
          </a:extLst>
        </xdr:cNvPr>
        <xdr:cNvSpPr>
          <a:spLocks noChangeArrowheads="1"/>
        </xdr:cNvSpPr>
      </xdr:nvSpPr>
      <xdr:spPr bwMode="auto">
        <a:xfrm>
          <a:off x="4109759" y="4847665"/>
          <a:ext cx="606799" cy="34850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ePolicy</a:t>
          </a:r>
          <a:endParaRPr lang="ja-JP" altLang="en-US" sz="900"/>
        </a:p>
      </xdr:txBody>
    </xdr:sp>
    <xdr:clientData/>
  </xdr:twoCellAnchor>
  <xdr:twoCellAnchor>
    <xdr:from>
      <xdr:col>52</xdr:col>
      <xdr:colOff>50984</xdr:colOff>
      <xdr:row>62</xdr:row>
      <xdr:rowOff>47625</xdr:rowOff>
    </xdr:from>
    <xdr:to>
      <xdr:col>54</xdr:col>
      <xdr:colOff>45943</xdr:colOff>
      <xdr:row>62</xdr:row>
      <xdr:rowOff>47625</xdr:rowOff>
    </xdr:to>
    <xdr:sp macro="" textlink="">
      <xdr:nvSpPr>
        <xdr:cNvPr id="83" name="Line 3037">
          <a:extLst>
            <a:ext uri="{FF2B5EF4-FFF2-40B4-BE49-F238E27FC236}">
              <a16:creationId xmlns:a16="http://schemas.microsoft.com/office/drawing/2014/main" id="{00000000-0008-0000-0400-000053000000}"/>
            </a:ext>
          </a:extLst>
        </xdr:cNvPr>
        <xdr:cNvSpPr>
          <a:spLocks noChangeShapeType="1"/>
        </xdr:cNvSpPr>
      </xdr:nvSpPr>
      <xdr:spPr bwMode="auto">
        <a:xfrm flipH="1">
          <a:off x="6449543" y="9639860"/>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50984</xdr:colOff>
      <xdr:row>60</xdr:row>
      <xdr:rowOff>76200</xdr:rowOff>
    </xdr:from>
    <xdr:to>
      <xdr:col>52</xdr:col>
      <xdr:colOff>45943</xdr:colOff>
      <xdr:row>60</xdr:row>
      <xdr:rowOff>76200</xdr:rowOff>
    </xdr:to>
    <xdr:sp macro="" textlink="">
      <xdr:nvSpPr>
        <xdr:cNvPr id="84" name="Line 3037">
          <a:extLst>
            <a:ext uri="{FF2B5EF4-FFF2-40B4-BE49-F238E27FC236}">
              <a16:creationId xmlns:a16="http://schemas.microsoft.com/office/drawing/2014/main" id="{00000000-0008-0000-0400-000054000000}"/>
            </a:ext>
          </a:extLst>
        </xdr:cNvPr>
        <xdr:cNvSpPr>
          <a:spLocks noChangeShapeType="1"/>
        </xdr:cNvSpPr>
      </xdr:nvSpPr>
      <xdr:spPr bwMode="auto">
        <a:xfrm flipH="1">
          <a:off x="6203013" y="9354671"/>
          <a:ext cx="241489"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121585</xdr:colOff>
      <xdr:row>64</xdr:row>
      <xdr:rowOff>145806</xdr:rowOff>
    </xdr:from>
    <xdr:to>
      <xdr:col>55</xdr:col>
      <xdr:colOff>121585</xdr:colOff>
      <xdr:row>70</xdr:row>
      <xdr:rowOff>66675</xdr:rowOff>
    </xdr:to>
    <xdr:sp macro="" textlink="">
      <xdr:nvSpPr>
        <xdr:cNvPr id="29" name="Rectangle 1193">
          <a:extLst>
            <a:ext uri="{FF2B5EF4-FFF2-40B4-BE49-F238E27FC236}">
              <a16:creationId xmlns:a16="http://schemas.microsoft.com/office/drawing/2014/main" id="{00000000-0008-0000-0400-00001D000000}"/>
            </a:ext>
          </a:extLst>
        </xdr:cNvPr>
        <xdr:cNvSpPr>
          <a:spLocks noChangeArrowheads="1"/>
        </xdr:cNvSpPr>
      </xdr:nvSpPr>
      <xdr:spPr bwMode="auto">
        <a:xfrm>
          <a:off x="5791761" y="10051806"/>
          <a:ext cx="1098177" cy="86216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チャネル統合基盤</a:t>
          </a:r>
          <a:endParaRPr lang="en-US" altLang="ja-JP" sz="900" b="0" i="0" u="none" strike="noStrike" baseline="0">
            <a:solidFill>
              <a:srgbClr val="000000"/>
            </a:solidFill>
            <a:latin typeface="ＭＳ Ｐゴシック"/>
            <a:ea typeface="ＭＳ Ｐゴシック"/>
          </a:endParaRP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48</xdr:col>
      <xdr:colOff>3546</xdr:colOff>
      <xdr:row>68</xdr:row>
      <xdr:rowOff>92848</xdr:rowOff>
    </xdr:from>
    <xdr:to>
      <xdr:col>55</xdr:col>
      <xdr:colOff>14218</xdr:colOff>
      <xdr:row>69</xdr:row>
      <xdr:rowOff>115966</xdr:rowOff>
    </xdr:to>
    <xdr:sp macro="" textlink="">
      <xdr:nvSpPr>
        <xdr:cNvPr id="30" name="Rectangle 1194">
          <a:extLst>
            <a:ext uri="{FF2B5EF4-FFF2-40B4-BE49-F238E27FC236}">
              <a16:creationId xmlns:a16="http://schemas.microsoft.com/office/drawing/2014/main" id="{00000000-0008-0000-0400-00001E000000}"/>
            </a:ext>
          </a:extLst>
        </xdr:cNvPr>
        <xdr:cNvSpPr>
          <a:spLocks noChangeArrowheads="1"/>
        </xdr:cNvSpPr>
      </xdr:nvSpPr>
      <xdr:spPr bwMode="auto">
        <a:xfrm>
          <a:off x="5920252" y="10626377"/>
          <a:ext cx="862319" cy="180001"/>
        </a:xfrm>
        <a:prstGeom prst="rect">
          <a:avLst/>
        </a:prstGeom>
        <a:solidFill>
          <a:srgbClr val="FFFFFF"/>
        </a:solidFill>
        <a:ln w="3175">
          <a:solidFill>
            <a:srgbClr val="CCCCFF"/>
          </a:solidFill>
          <a:miter lim="800000"/>
          <a:headEnd/>
          <a:tailEnd/>
        </a:ln>
      </xdr:spPr>
      <xdr:txBody>
        <a:bodyPr vertOverflow="overflow" horzOverflow="overflow" wrap="square" lIns="36000" tIns="0" rIns="36000" bIns="0" anchor="ctr"/>
        <a:lstStyle/>
        <a:p>
          <a:pPr algn="ctr" rtl="0">
            <a:defRPr sz="1000"/>
          </a:pPr>
          <a:r>
            <a:rPr lang="ja-JP" altLang="en-US" sz="800" b="0" i="0" u="none" strike="noStrike" baseline="0">
              <a:solidFill>
                <a:srgbClr val="000000"/>
              </a:solidFill>
              <a:latin typeface="ＭＳ Ｐゴシック"/>
              <a:ea typeface="ＭＳ Ｐゴシック"/>
            </a:rPr>
            <a:t>子カード追加</a:t>
          </a: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48</xdr:col>
      <xdr:colOff>3546</xdr:colOff>
      <xdr:row>67</xdr:row>
      <xdr:rowOff>10455</xdr:rowOff>
    </xdr:from>
    <xdr:to>
      <xdr:col>55</xdr:col>
      <xdr:colOff>14218</xdr:colOff>
      <xdr:row>68</xdr:row>
      <xdr:rowOff>33573</xdr:rowOff>
    </xdr:to>
    <xdr:sp macro="" textlink="">
      <xdr:nvSpPr>
        <xdr:cNvPr id="31" name="Rectangle 1195">
          <a:extLst>
            <a:ext uri="{FF2B5EF4-FFF2-40B4-BE49-F238E27FC236}">
              <a16:creationId xmlns:a16="http://schemas.microsoft.com/office/drawing/2014/main" id="{00000000-0008-0000-0400-00001F000000}"/>
            </a:ext>
          </a:extLst>
        </xdr:cNvPr>
        <xdr:cNvSpPr>
          <a:spLocks noChangeArrowheads="1"/>
        </xdr:cNvSpPr>
      </xdr:nvSpPr>
      <xdr:spPr bwMode="auto">
        <a:xfrm>
          <a:off x="5920252" y="10387102"/>
          <a:ext cx="862319" cy="180000"/>
        </a:xfrm>
        <a:prstGeom prst="rect">
          <a:avLst/>
        </a:prstGeom>
        <a:solidFill>
          <a:srgbClr val="FFFFFF"/>
        </a:solidFill>
        <a:ln w="3175">
          <a:solidFill>
            <a:srgbClr val="CCCCFF"/>
          </a:solidFill>
          <a:miter lim="800000"/>
          <a:headEnd/>
          <a:tailEnd/>
        </a:ln>
      </xdr:spPr>
      <xdr:txBody>
        <a:bodyPr vertOverflow="overflow" horzOverflow="overflow" wrap="square" lIns="36000" tIns="0" rIns="36000" bIns="0" anchor="ctr"/>
        <a:lstStyle/>
        <a:p>
          <a:pPr algn="ctr" rtl="0">
            <a:defRPr sz="1000"/>
          </a:pPr>
          <a:r>
            <a:rPr lang="ja-JP" altLang="en-US" sz="800" b="0" i="0" u="none" strike="noStrike" baseline="0">
              <a:solidFill>
                <a:srgbClr val="000000"/>
              </a:solidFill>
              <a:latin typeface="ＭＳ Ｐゴシック"/>
              <a:ea typeface="ＭＳ Ｐゴシック"/>
            </a:rPr>
            <a:t>コンタクト履歴</a:t>
          </a:r>
        </a:p>
      </xdr:txBody>
    </xdr:sp>
    <xdr:clientData/>
  </xdr:twoCellAnchor>
  <xdr:twoCellAnchor>
    <xdr:from>
      <xdr:col>52</xdr:col>
      <xdr:colOff>100294</xdr:colOff>
      <xdr:row>69</xdr:row>
      <xdr:rowOff>53918</xdr:rowOff>
    </xdr:from>
    <xdr:to>
      <xdr:col>52</xdr:col>
      <xdr:colOff>100294</xdr:colOff>
      <xdr:row>69</xdr:row>
      <xdr:rowOff>53918</xdr:rowOff>
    </xdr:to>
    <xdr:sp macro="" textlink="">
      <xdr:nvSpPr>
        <xdr:cNvPr id="38" name="Oval 636">
          <a:extLst>
            <a:ext uri="{FF2B5EF4-FFF2-40B4-BE49-F238E27FC236}">
              <a16:creationId xmlns:a16="http://schemas.microsoft.com/office/drawing/2014/main" id="{00000000-0008-0000-0400-000026000000}"/>
            </a:ext>
          </a:extLst>
        </xdr:cNvPr>
        <xdr:cNvSpPr>
          <a:spLocks noChangeAspect="1" noChangeArrowheads="1"/>
        </xdr:cNvSpPr>
      </xdr:nvSpPr>
      <xdr:spPr bwMode="auto">
        <a:xfrm>
          <a:off x="6498853" y="1074433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51</xdr:col>
      <xdr:colOff>18493</xdr:colOff>
      <xdr:row>50</xdr:row>
      <xdr:rowOff>145806</xdr:rowOff>
    </xdr:from>
    <xdr:to>
      <xdr:col>53</xdr:col>
      <xdr:colOff>65556</xdr:colOff>
      <xdr:row>54</xdr:row>
      <xdr:rowOff>12456</xdr:rowOff>
    </xdr:to>
    <xdr:sp macro="" textlink="">
      <xdr:nvSpPr>
        <xdr:cNvPr id="35" name="AutoShape 618">
          <a:extLst>
            <a:ext uri="{FF2B5EF4-FFF2-40B4-BE49-F238E27FC236}">
              <a16:creationId xmlns:a16="http://schemas.microsoft.com/office/drawing/2014/main" id="{00000000-0008-0000-0400-000023000000}"/>
            </a:ext>
          </a:extLst>
        </xdr:cNvPr>
        <xdr:cNvSpPr>
          <a:spLocks noChangeAspect="1" noChangeArrowheads="1"/>
        </xdr:cNvSpPr>
      </xdr:nvSpPr>
      <xdr:spPr bwMode="auto">
        <a:xfrm>
          <a:off x="6293787" y="7855453"/>
          <a:ext cx="293593" cy="494179"/>
        </a:xfrm>
        <a:prstGeom prst="flowChartSummingJunction">
          <a:avLst/>
        </a:prstGeom>
        <a:solidFill>
          <a:schemeClr val="bg1"/>
        </a:solidFill>
        <a:ln w="9525">
          <a:solidFill>
            <a:srgbClr val="000000"/>
          </a:solidFill>
          <a:round/>
          <a:headEnd/>
          <a:tailEnd/>
        </a:ln>
      </xdr:spPr>
    </xdr:sp>
    <xdr:clientData/>
  </xdr:twoCellAnchor>
  <xdr:twoCellAnchor>
    <xdr:from>
      <xdr:col>54</xdr:col>
      <xdr:colOff>35603</xdr:colOff>
      <xdr:row>61</xdr:row>
      <xdr:rowOff>15387</xdr:rowOff>
    </xdr:from>
    <xdr:to>
      <xdr:col>59</xdr:col>
      <xdr:colOff>67555</xdr:colOff>
      <xdr:row>63</xdr:row>
      <xdr:rowOff>124587</xdr:rowOff>
    </xdr:to>
    <xdr:sp macro="" textlink="">
      <xdr:nvSpPr>
        <xdr:cNvPr id="8" name="Rectangle 619">
          <a:extLst>
            <a:ext uri="{FF2B5EF4-FFF2-40B4-BE49-F238E27FC236}">
              <a16:creationId xmlns:a16="http://schemas.microsoft.com/office/drawing/2014/main" id="{00000000-0008-0000-0400-000008000000}"/>
            </a:ext>
          </a:extLst>
        </xdr:cNvPr>
        <xdr:cNvSpPr>
          <a:spLocks noChangeArrowheads="1"/>
        </xdr:cNvSpPr>
      </xdr:nvSpPr>
      <xdr:spPr bwMode="auto">
        <a:xfrm>
          <a:off x="6680691" y="9450740"/>
          <a:ext cx="648276" cy="42296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タンデム</a:t>
          </a: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54</xdr:col>
      <xdr:colOff>34216</xdr:colOff>
      <xdr:row>57</xdr:row>
      <xdr:rowOff>87191</xdr:rowOff>
    </xdr:from>
    <xdr:to>
      <xdr:col>59</xdr:col>
      <xdr:colOff>64994</xdr:colOff>
      <xdr:row>60</xdr:row>
      <xdr:rowOff>44695</xdr:rowOff>
    </xdr:to>
    <xdr:sp macro="" textlink="">
      <xdr:nvSpPr>
        <xdr:cNvPr id="53" name="Rectangle 619">
          <a:extLst>
            <a:ext uri="{FF2B5EF4-FFF2-40B4-BE49-F238E27FC236}">
              <a16:creationId xmlns:a16="http://schemas.microsoft.com/office/drawing/2014/main" id="{00000000-0008-0000-0400-000035000000}"/>
            </a:ext>
          </a:extLst>
        </xdr:cNvPr>
        <xdr:cNvSpPr>
          <a:spLocks noChangeArrowheads="1"/>
        </xdr:cNvSpPr>
      </xdr:nvSpPr>
      <xdr:spPr bwMode="auto">
        <a:xfrm>
          <a:off x="6679304" y="8895015"/>
          <a:ext cx="647102" cy="42815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a:t>
          </a:r>
          <a:r>
            <a:rPr lang="en-US" altLang="ja-JP" sz="900" b="0" i="0" u="none" strike="noStrike" baseline="0">
              <a:solidFill>
                <a:srgbClr val="000000"/>
              </a:solidFill>
              <a:latin typeface="ＭＳ Ｐゴシック"/>
              <a:ea typeface="ＭＳ Ｐゴシック"/>
            </a:rPr>
            <a:t>DB</a:t>
          </a:r>
          <a:endParaRPr lang="ja-JP" altLang="en-US" sz="900" b="0" i="0" u="none" strike="noStrike" baseline="0">
            <a:solidFill>
              <a:srgbClr val="000000"/>
            </a:solidFill>
            <a:latin typeface="ＭＳ Ｐゴシック"/>
            <a:ea typeface="ＭＳ Ｐゴシック"/>
          </a:endParaRP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43</xdr:col>
      <xdr:colOff>113740</xdr:colOff>
      <xdr:row>58</xdr:row>
      <xdr:rowOff>88656</xdr:rowOff>
    </xdr:from>
    <xdr:to>
      <xdr:col>50</xdr:col>
      <xdr:colOff>84044</xdr:colOff>
      <xdr:row>62</xdr:row>
      <xdr:rowOff>76200</xdr:rowOff>
    </xdr:to>
    <xdr:sp macro="" textlink="">
      <xdr:nvSpPr>
        <xdr:cNvPr id="51" name="Rectangle 1193">
          <a:extLst>
            <a:ext uri="{FF2B5EF4-FFF2-40B4-BE49-F238E27FC236}">
              <a16:creationId xmlns:a16="http://schemas.microsoft.com/office/drawing/2014/main" id="{00000000-0008-0000-0400-000033000000}"/>
            </a:ext>
          </a:extLst>
        </xdr:cNvPr>
        <xdr:cNvSpPr>
          <a:spLocks noChangeArrowheads="1"/>
        </xdr:cNvSpPr>
      </xdr:nvSpPr>
      <xdr:spPr bwMode="auto">
        <a:xfrm>
          <a:off x="5414122" y="9053362"/>
          <a:ext cx="821951" cy="61507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統合AP</a:t>
          </a:r>
          <a:endParaRPr lang="en-US" altLang="ja-JP" sz="900" b="0" i="0" u="none" strike="noStrike" baseline="0">
            <a:solidFill>
              <a:srgbClr val="000000"/>
            </a:solidFill>
            <a:latin typeface="ＭＳ Ｐゴシック"/>
            <a:ea typeface="ＭＳ Ｐゴシック"/>
          </a:endParaRP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44</xdr:col>
      <xdr:colOff>81040</xdr:colOff>
      <xdr:row>60</xdr:row>
      <xdr:rowOff>106008</xdr:rowOff>
    </xdr:from>
    <xdr:to>
      <xdr:col>50</xdr:col>
      <xdr:colOff>658</xdr:colOff>
      <xdr:row>61</xdr:row>
      <xdr:rowOff>129126</xdr:rowOff>
    </xdr:to>
    <xdr:sp macro="" textlink="">
      <xdr:nvSpPr>
        <xdr:cNvPr id="52" name="Rectangle 1195">
          <a:extLst>
            <a:ext uri="{FF2B5EF4-FFF2-40B4-BE49-F238E27FC236}">
              <a16:creationId xmlns:a16="http://schemas.microsoft.com/office/drawing/2014/main" id="{00000000-0008-0000-0400-000034000000}"/>
            </a:ext>
          </a:extLst>
        </xdr:cNvPr>
        <xdr:cNvSpPr>
          <a:spLocks noChangeArrowheads="1"/>
        </xdr:cNvSpPr>
      </xdr:nvSpPr>
      <xdr:spPr bwMode="auto">
        <a:xfrm>
          <a:off x="5504687" y="9384479"/>
          <a:ext cx="648000" cy="180000"/>
        </a:xfrm>
        <a:prstGeom prst="rect">
          <a:avLst/>
        </a:prstGeom>
        <a:solidFill>
          <a:srgbClr val="FFFFFF"/>
        </a:solidFill>
        <a:ln w="3175">
          <a:solidFill>
            <a:srgbClr val="CCCCFF"/>
          </a:solidFill>
          <a:miter lim="800000"/>
          <a:headEnd/>
          <a:tailEnd/>
        </a:ln>
      </xdr:spPr>
      <xdr:txBody>
        <a:bodyPr vertOverflow="overflow" horzOverflow="overflow" wrap="square" lIns="36000" tIns="0" rIns="36000" bIns="0" anchor="ctr"/>
        <a:lstStyle/>
        <a:p>
          <a:pPr algn="ctr" rtl="0">
            <a:defRPr sz="1000"/>
          </a:pPr>
          <a:r>
            <a:rPr lang="ja-JP" altLang="en-US" sz="800" b="0" i="0" u="none" strike="noStrike" baseline="0">
              <a:solidFill>
                <a:srgbClr val="000000"/>
              </a:solidFill>
              <a:latin typeface="ＭＳ Ｐゴシック"/>
              <a:ea typeface="ＭＳ Ｐゴシック"/>
            </a:rPr>
            <a:t>ルール判定</a:t>
          </a:r>
        </a:p>
      </xdr:txBody>
    </xdr:sp>
    <xdr:clientData/>
  </xdr:twoCellAnchor>
  <xdr:twoCellAnchor>
    <xdr:from>
      <xdr:col>33</xdr:col>
      <xdr:colOff>91889</xdr:colOff>
      <xdr:row>53</xdr:row>
      <xdr:rowOff>107706</xdr:rowOff>
    </xdr:from>
    <xdr:to>
      <xdr:col>40</xdr:col>
      <xdr:colOff>22412</xdr:colOff>
      <xdr:row>56</xdr:row>
      <xdr:rowOff>64506</xdr:rowOff>
    </xdr:to>
    <xdr:sp macro="" textlink="">
      <xdr:nvSpPr>
        <xdr:cNvPr id="44" name="Rectangle 619">
          <a:extLst>
            <a:ext uri="{FF2B5EF4-FFF2-40B4-BE49-F238E27FC236}">
              <a16:creationId xmlns:a16="http://schemas.microsoft.com/office/drawing/2014/main" id="{00000000-0008-0000-0400-00002C000000}"/>
            </a:ext>
          </a:extLst>
        </xdr:cNvPr>
        <xdr:cNvSpPr>
          <a:spLocks noChangeArrowheads="1"/>
        </xdr:cNvSpPr>
      </xdr:nvSpPr>
      <xdr:spPr bwMode="auto">
        <a:xfrm>
          <a:off x="4159624" y="4052177"/>
          <a:ext cx="793376" cy="427447"/>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集配信</a:t>
          </a:r>
          <a:r>
            <a:rPr lang="en-US" altLang="ja-JP" sz="900" b="0" i="0" u="none" strike="noStrike" baseline="0">
              <a:solidFill>
                <a:srgbClr val="000000"/>
              </a:solidFill>
              <a:latin typeface="ＭＳ Ｐゴシック"/>
              <a:ea typeface="ＭＳ Ｐゴシック"/>
            </a:rPr>
            <a:t>HUB</a:t>
          </a: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69</xdr:col>
      <xdr:colOff>80125</xdr:colOff>
      <xdr:row>56</xdr:row>
      <xdr:rowOff>12456</xdr:rowOff>
    </xdr:from>
    <xdr:to>
      <xdr:col>73</xdr:col>
      <xdr:colOff>80126</xdr:colOff>
      <xdr:row>57</xdr:row>
      <xdr:rowOff>117231</xdr:rowOff>
    </xdr:to>
    <xdr:pic>
      <xdr:nvPicPr>
        <xdr:cNvPr id="22" name="Picture 3004" descr="Call Master V-2">
          <a:extLst>
            <a:ext uri="{FF2B5EF4-FFF2-40B4-BE49-F238E27FC236}">
              <a16:creationId xmlns:a16="http://schemas.microsoft.com/office/drawing/2014/main" id="{00000000-0008-0000-0400-000016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614525" y="4308231"/>
          <a:ext cx="495301"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33</xdr:col>
      <xdr:colOff>31378</xdr:colOff>
      <xdr:row>66</xdr:row>
      <xdr:rowOff>117660</xdr:rowOff>
    </xdr:from>
    <xdr:to>
      <xdr:col>39</xdr:col>
      <xdr:colOff>22411</xdr:colOff>
      <xdr:row>69</xdr:row>
      <xdr:rowOff>44824</xdr:rowOff>
    </xdr:to>
    <xdr:sp macro="" textlink="">
      <xdr:nvSpPr>
        <xdr:cNvPr id="85" name="Rectangle 619">
          <a:extLst>
            <a:ext uri="{FF2B5EF4-FFF2-40B4-BE49-F238E27FC236}">
              <a16:creationId xmlns:a16="http://schemas.microsoft.com/office/drawing/2014/main" id="{00000000-0008-0000-0400-000055000000}"/>
            </a:ext>
          </a:extLst>
        </xdr:cNvPr>
        <xdr:cNvSpPr>
          <a:spLocks noChangeArrowheads="1"/>
        </xdr:cNvSpPr>
      </xdr:nvSpPr>
      <xdr:spPr bwMode="auto">
        <a:xfrm>
          <a:off x="4099113" y="6101601"/>
          <a:ext cx="730622" cy="39781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統合バックアップ</a:t>
          </a:r>
          <a:endParaRPr lang="ja-JP" altLang="en-US" sz="900"/>
        </a:p>
      </xdr:txBody>
    </xdr:sp>
    <xdr:clientData/>
  </xdr:twoCellAnchor>
  <xdr:twoCellAnchor>
    <xdr:from>
      <xdr:col>7</xdr:col>
      <xdr:colOff>89950</xdr:colOff>
      <xdr:row>66</xdr:row>
      <xdr:rowOff>62884</xdr:rowOff>
    </xdr:from>
    <xdr:to>
      <xdr:col>12</xdr:col>
      <xdr:colOff>75625</xdr:colOff>
      <xdr:row>69</xdr:row>
      <xdr:rowOff>55684</xdr:rowOff>
    </xdr:to>
    <xdr:sp macro="" textlink="">
      <xdr:nvSpPr>
        <xdr:cNvPr id="33" name="Rectangle 1203">
          <a:extLst>
            <a:ext uri="{FF2B5EF4-FFF2-40B4-BE49-F238E27FC236}">
              <a16:creationId xmlns:a16="http://schemas.microsoft.com/office/drawing/2014/main" id="{00000000-0008-0000-0400-000021000000}"/>
            </a:ext>
          </a:extLst>
        </xdr:cNvPr>
        <xdr:cNvSpPr>
          <a:spLocks noChangeArrowheads="1"/>
        </xdr:cNvSpPr>
      </xdr:nvSpPr>
      <xdr:spPr bwMode="auto">
        <a:xfrm>
          <a:off x="952803" y="6046825"/>
          <a:ext cx="601998" cy="463447"/>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45720" rIns="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CM</a:t>
          </a:r>
        </a:p>
        <a:p>
          <a:pPr algn="ctr" rtl="0">
            <a:lnSpc>
              <a:spcPts val="900"/>
            </a:lnSpc>
            <a:defRPr sz="1000"/>
          </a:pPr>
          <a:r>
            <a:rPr lang="ja-JP" altLang="en-US" sz="900" b="0" i="0" u="none" strike="noStrike" baseline="0">
              <a:solidFill>
                <a:srgbClr val="000000"/>
              </a:solidFill>
              <a:latin typeface="ＭＳ Ｐゴシック"/>
              <a:ea typeface="ＭＳ Ｐゴシック"/>
            </a:rPr>
            <a:t>（開発機）</a:t>
          </a:r>
        </a:p>
        <a:p>
          <a:pPr algn="ctr" rtl="0">
            <a:lnSpc>
              <a:spcPts val="900"/>
            </a:lnSpc>
            <a:defRPr sz="1000"/>
          </a:pPr>
          <a:endParaRPr lang="ja-JP" altLang="en-US" sz="900"/>
        </a:p>
      </xdr:txBody>
    </xdr:sp>
    <xdr:clientData/>
  </xdr:twoCellAnchor>
  <xdr:twoCellAnchor>
    <xdr:from>
      <xdr:col>15</xdr:col>
      <xdr:colOff>80297</xdr:colOff>
      <xdr:row>66</xdr:row>
      <xdr:rowOff>72409</xdr:rowOff>
    </xdr:from>
    <xdr:to>
      <xdr:col>20</xdr:col>
      <xdr:colOff>65555</xdr:colOff>
      <xdr:row>69</xdr:row>
      <xdr:rowOff>65815</xdr:rowOff>
    </xdr:to>
    <xdr:sp macro="" textlink="">
      <xdr:nvSpPr>
        <xdr:cNvPr id="54" name="Rectangle 1210">
          <a:extLst>
            <a:ext uri="{FF2B5EF4-FFF2-40B4-BE49-F238E27FC236}">
              <a16:creationId xmlns:a16="http://schemas.microsoft.com/office/drawing/2014/main" id="{00000000-0008-0000-0400-000036000000}"/>
            </a:ext>
          </a:extLst>
        </xdr:cNvPr>
        <xdr:cNvSpPr>
          <a:spLocks noChangeArrowheads="1"/>
        </xdr:cNvSpPr>
      </xdr:nvSpPr>
      <xdr:spPr bwMode="auto">
        <a:xfrm>
          <a:off x="1929268" y="6056350"/>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45720" rIns="0" bIns="45720" anchor="ctr"/>
        <a:lstStyle/>
        <a:p>
          <a:pPr algn="ctr" rtl="0">
            <a:lnSpc>
              <a:spcPts val="900"/>
            </a:lnSpc>
            <a:defRPr sz="1000"/>
          </a:pPr>
          <a:r>
            <a:rPr lang="en-US" altLang="ja-JP" sz="900" b="0" i="0" u="none" strike="noStrike" baseline="0">
              <a:solidFill>
                <a:srgbClr val="000000"/>
              </a:solidFill>
              <a:latin typeface="ＭＳ Ｐゴシック"/>
              <a:ea typeface="ＭＳ Ｐゴシック"/>
            </a:rPr>
            <a:t>AES</a:t>
          </a:r>
        </a:p>
        <a:p>
          <a:pPr algn="ctr" rtl="0">
            <a:lnSpc>
              <a:spcPts val="900"/>
            </a:lnSpc>
            <a:defRPr sz="1000"/>
          </a:pPr>
          <a:r>
            <a:rPr lang="ja-JP" altLang="en-US" sz="900" b="0" i="0" u="none" strike="noStrike" baseline="0">
              <a:solidFill>
                <a:srgbClr val="000000"/>
              </a:solidFill>
              <a:latin typeface="ＭＳ Ｐゴシック"/>
              <a:ea typeface="ＭＳ Ｐゴシック"/>
            </a:rPr>
            <a:t>（開発機）</a:t>
          </a:r>
        </a:p>
        <a:p>
          <a:pPr algn="ctr" rtl="0">
            <a:lnSpc>
              <a:spcPts val="9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23</xdr:col>
      <xdr:colOff>38097</xdr:colOff>
      <xdr:row>66</xdr:row>
      <xdr:rowOff>79003</xdr:rowOff>
    </xdr:from>
    <xdr:to>
      <xdr:col>28</xdr:col>
      <xdr:colOff>23354</xdr:colOff>
      <xdr:row>69</xdr:row>
      <xdr:rowOff>72409</xdr:rowOff>
    </xdr:to>
    <xdr:sp macro="" textlink="">
      <xdr:nvSpPr>
        <xdr:cNvPr id="60" name="Rectangle 1210">
          <a:extLst>
            <a:ext uri="{FF2B5EF4-FFF2-40B4-BE49-F238E27FC236}">
              <a16:creationId xmlns:a16="http://schemas.microsoft.com/office/drawing/2014/main" id="{00000000-0008-0000-0400-00003C000000}"/>
            </a:ext>
          </a:extLst>
        </xdr:cNvPr>
        <xdr:cNvSpPr>
          <a:spLocks noChangeArrowheads="1"/>
        </xdr:cNvSpPr>
      </xdr:nvSpPr>
      <xdr:spPr bwMode="auto">
        <a:xfrm>
          <a:off x="2873185" y="6062944"/>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45720" rIns="0" bIns="45720" anchor="ctr"/>
        <a:lstStyle/>
        <a:p>
          <a:pPr algn="ctr" rtl="0">
            <a:lnSpc>
              <a:spcPts val="900"/>
            </a:lnSpc>
            <a:defRPr sz="1000"/>
          </a:pPr>
          <a:r>
            <a:rPr lang="en-US" altLang="ja-JP" sz="900" b="0" i="0" u="none" strike="noStrike" baseline="0">
              <a:solidFill>
                <a:srgbClr val="000000"/>
              </a:solidFill>
              <a:latin typeface="ＭＳ Ｐゴシック"/>
              <a:ea typeface="ＭＳ Ｐゴシック"/>
            </a:rPr>
            <a:t>Backup</a:t>
          </a:r>
        </a:p>
        <a:p>
          <a:pPr algn="ctr" rtl="0">
            <a:lnSpc>
              <a:spcPts val="900"/>
            </a:lnSpc>
            <a:defRPr sz="1000"/>
          </a:pPr>
          <a:r>
            <a:rPr lang="en-US" altLang="ja-JP" sz="900" b="0" i="0" u="none" strike="noStrike" baseline="0">
              <a:solidFill>
                <a:srgbClr val="000000"/>
              </a:solidFill>
              <a:latin typeface="ＭＳ Ｐゴシック"/>
              <a:ea typeface="ＭＳ Ｐゴシック"/>
            </a:rPr>
            <a:t>/Syslog</a:t>
          </a:r>
        </a:p>
        <a:p>
          <a:pPr algn="ctr" rtl="0">
            <a:lnSpc>
              <a:spcPts val="900"/>
            </a:lnSpc>
            <a:defRPr sz="1000"/>
          </a:pPr>
          <a:r>
            <a:rPr lang="ja-JP" altLang="en-US" sz="900" b="0" i="0" u="none" strike="noStrike" baseline="0">
              <a:solidFill>
                <a:srgbClr val="000000"/>
              </a:solidFill>
              <a:latin typeface="ＭＳ Ｐゴシック"/>
              <a:ea typeface="ＭＳ Ｐゴシック"/>
            </a:rPr>
            <a:t>（開発機）</a:t>
          </a:r>
        </a:p>
      </xdr:txBody>
    </xdr:sp>
    <xdr:clientData/>
  </xdr:twoCellAnchor>
  <xdr:twoCellAnchor>
    <xdr:from>
      <xdr:col>28</xdr:col>
      <xdr:colOff>23354</xdr:colOff>
      <xdr:row>67</xdr:row>
      <xdr:rowOff>154147</xdr:rowOff>
    </xdr:from>
    <xdr:to>
      <xdr:col>33</xdr:col>
      <xdr:colOff>31378</xdr:colOff>
      <xdr:row>68</xdr:row>
      <xdr:rowOff>2801</xdr:rowOff>
    </xdr:to>
    <xdr:cxnSp macro="">
      <xdr:nvCxnSpPr>
        <xdr:cNvPr id="28" name="直線コネクタ 27">
          <a:extLst>
            <a:ext uri="{FF2B5EF4-FFF2-40B4-BE49-F238E27FC236}">
              <a16:creationId xmlns:a16="http://schemas.microsoft.com/office/drawing/2014/main" id="{00000000-0008-0000-0400-00001C000000}"/>
            </a:ext>
          </a:extLst>
        </xdr:cNvPr>
        <xdr:cNvCxnSpPr>
          <a:stCxn id="60" idx="3"/>
          <a:endCxn id="85" idx="1"/>
        </xdr:cNvCxnSpPr>
      </xdr:nvCxnSpPr>
      <xdr:spPr>
        <a:xfrm>
          <a:off x="3474766" y="6294971"/>
          <a:ext cx="624347" cy="553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46904</xdr:colOff>
      <xdr:row>198</xdr:row>
      <xdr:rowOff>45448</xdr:rowOff>
    </xdr:from>
    <xdr:to>
      <xdr:col>79</xdr:col>
      <xdr:colOff>78440</xdr:colOff>
      <xdr:row>207</xdr:row>
      <xdr:rowOff>149602</xdr:rowOff>
    </xdr:to>
    <xdr:sp macro="" textlink="">
      <xdr:nvSpPr>
        <xdr:cNvPr id="139" name="正方形/長方形 138">
          <a:extLst>
            <a:ext uri="{FF2B5EF4-FFF2-40B4-BE49-F238E27FC236}">
              <a16:creationId xmlns:a16="http://schemas.microsoft.com/office/drawing/2014/main" id="{00000000-0008-0000-0400-00008B000000}"/>
            </a:ext>
          </a:extLst>
        </xdr:cNvPr>
        <xdr:cNvSpPr/>
      </xdr:nvSpPr>
      <xdr:spPr>
        <a:xfrm>
          <a:off x="7684222" y="30767903"/>
          <a:ext cx="1971173" cy="1506926"/>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64</xdr:col>
      <xdr:colOff>99970</xdr:colOff>
      <xdr:row>200</xdr:row>
      <xdr:rowOff>52634</xdr:rowOff>
    </xdr:from>
    <xdr:to>
      <xdr:col>66</xdr:col>
      <xdr:colOff>111177</xdr:colOff>
      <xdr:row>201</xdr:row>
      <xdr:rowOff>52104</xdr:rowOff>
    </xdr:to>
    <xdr:sp macro="" textlink="">
      <xdr:nvSpPr>
        <xdr:cNvPr id="140" name="正方形/長方形 139">
          <a:extLst>
            <a:ext uri="{FF2B5EF4-FFF2-40B4-BE49-F238E27FC236}">
              <a16:creationId xmlns:a16="http://schemas.microsoft.com/office/drawing/2014/main" id="{00000000-0008-0000-0400-00008C000000}"/>
            </a:ext>
          </a:extLst>
        </xdr:cNvPr>
        <xdr:cNvSpPr/>
      </xdr:nvSpPr>
      <xdr:spPr>
        <a:xfrm>
          <a:off x="7858515" y="31086816"/>
          <a:ext cx="253662" cy="155333"/>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100054</xdr:colOff>
      <xdr:row>200</xdr:row>
      <xdr:rowOff>41865</xdr:rowOff>
    </xdr:from>
    <xdr:to>
      <xdr:col>75</xdr:col>
      <xdr:colOff>49936</xdr:colOff>
      <xdr:row>201</xdr:row>
      <xdr:rowOff>48330</xdr:rowOff>
    </xdr:to>
    <xdr:sp macro="" textlink="">
      <xdr:nvSpPr>
        <xdr:cNvPr id="142" name="テキスト ボックス 141">
          <a:extLst>
            <a:ext uri="{FF2B5EF4-FFF2-40B4-BE49-F238E27FC236}">
              <a16:creationId xmlns:a16="http://schemas.microsoft.com/office/drawing/2014/main" id="{00000000-0008-0000-0400-00008E000000}"/>
            </a:ext>
          </a:extLst>
        </xdr:cNvPr>
        <xdr:cNvSpPr txBox="1"/>
      </xdr:nvSpPr>
      <xdr:spPr>
        <a:xfrm>
          <a:off x="8222281" y="31076047"/>
          <a:ext cx="919700" cy="162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41</xdr:col>
      <xdr:colOff>1236</xdr:colOff>
      <xdr:row>195</xdr:row>
      <xdr:rowOff>95602</xdr:rowOff>
    </xdr:from>
    <xdr:to>
      <xdr:col>41</xdr:col>
      <xdr:colOff>3564</xdr:colOff>
      <xdr:row>198</xdr:row>
      <xdr:rowOff>64589</xdr:rowOff>
    </xdr:to>
    <xdr:cxnSp macro="">
      <xdr:nvCxnSpPr>
        <xdr:cNvPr id="171" name="直線コネクタ 170">
          <a:extLst>
            <a:ext uri="{FF2B5EF4-FFF2-40B4-BE49-F238E27FC236}">
              <a16:creationId xmlns:a16="http://schemas.microsoft.com/office/drawing/2014/main" id="{00000000-0008-0000-0400-0000AB000000}"/>
            </a:ext>
          </a:extLst>
        </xdr:cNvPr>
        <xdr:cNvCxnSpPr>
          <a:stCxn id="400" idx="2"/>
          <a:endCxn id="365" idx="0"/>
        </xdr:cNvCxnSpPr>
      </xdr:nvCxnSpPr>
      <xdr:spPr>
        <a:xfrm flipH="1">
          <a:off x="4971554" y="30350466"/>
          <a:ext cx="2328" cy="436578"/>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73269</xdr:colOff>
      <xdr:row>190</xdr:row>
      <xdr:rowOff>144984</xdr:rowOff>
    </xdr:from>
    <xdr:to>
      <xdr:col>75</xdr:col>
      <xdr:colOff>52725</xdr:colOff>
      <xdr:row>192</xdr:row>
      <xdr:rowOff>22833</xdr:rowOff>
    </xdr:to>
    <xdr:sp macro="" textlink="">
      <xdr:nvSpPr>
        <xdr:cNvPr id="184" name="正方形/長方形 183">
          <a:extLst>
            <a:ext uri="{FF2B5EF4-FFF2-40B4-BE49-F238E27FC236}">
              <a16:creationId xmlns:a16="http://schemas.microsoft.com/office/drawing/2014/main" id="{00000000-0008-0000-0400-0000B8000000}"/>
            </a:ext>
          </a:extLst>
        </xdr:cNvPr>
        <xdr:cNvSpPr/>
      </xdr:nvSpPr>
      <xdr:spPr>
        <a:xfrm>
          <a:off x="921860" y="29620529"/>
          <a:ext cx="8222910" cy="189577"/>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64</xdr:col>
      <xdr:colOff>109093</xdr:colOff>
      <xdr:row>201</xdr:row>
      <xdr:rowOff>95958</xdr:rowOff>
    </xdr:from>
    <xdr:to>
      <xdr:col>66</xdr:col>
      <xdr:colOff>120300</xdr:colOff>
      <xdr:row>202</xdr:row>
      <xdr:rowOff>96449</xdr:rowOff>
    </xdr:to>
    <xdr:sp macro="" textlink="">
      <xdr:nvSpPr>
        <xdr:cNvPr id="350" name="正方形/長方形 349">
          <a:extLst>
            <a:ext uri="{FF2B5EF4-FFF2-40B4-BE49-F238E27FC236}">
              <a16:creationId xmlns:a16="http://schemas.microsoft.com/office/drawing/2014/main" id="{00000000-0008-0000-0400-00005E010000}"/>
            </a:ext>
          </a:extLst>
        </xdr:cNvPr>
        <xdr:cNvSpPr/>
      </xdr:nvSpPr>
      <xdr:spPr>
        <a:xfrm>
          <a:off x="7867638" y="31286003"/>
          <a:ext cx="253662" cy="156355"/>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95570</xdr:colOff>
      <xdr:row>201</xdr:row>
      <xdr:rowOff>94714</xdr:rowOff>
    </xdr:from>
    <xdr:to>
      <xdr:col>79</xdr:col>
      <xdr:colOff>20393</xdr:colOff>
      <xdr:row>202</xdr:row>
      <xdr:rowOff>103901</xdr:rowOff>
    </xdr:to>
    <xdr:sp macro="" textlink="">
      <xdr:nvSpPr>
        <xdr:cNvPr id="351" name="テキスト ボックス 350">
          <a:extLst>
            <a:ext uri="{FF2B5EF4-FFF2-40B4-BE49-F238E27FC236}">
              <a16:creationId xmlns:a16="http://schemas.microsoft.com/office/drawing/2014/main" id="{00000000-0008-0000-0400-00005F010000}"/>
            </a:ext>
          </a:extLst>
        </xdr:cNvPr>
        <xdr:cNvSpPr txBox="1"/>
      </xdr:nvSpPr>
      <xdr:spPr>
        <a:xfrm>
          <a:off x="8217797" y="31284759"/>
          <a:ext cx="1379551" cy="165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64</xdr:col>
      <xdr:colOff>109093</xdr:colOff>
      <xdr:row>202</xdr:row>
      <xdr:rowOff>151992</xdr:rowOff>
    </xdr:from>
    <xdr:to>
      <xdr:col>66</xdr:col>
      <xdr:colOff>120300</xdr:colOff>
      <xdr:row>203</xdr:row>
      <xdr:rowOff>152481</xdr:rowOff>
    </xdr:to>
    <xdr:sp macro="" textlink="">
      <xdr:nvSpPr>
        <xdr:cNvPr id="352" name="正方形/長方形 351">
          <a:extLst>
            <a:ext uri="{FF2B5EF4-FFF2-40B4-BE49-F238E27FC236}">
              <a16:creationId xmlns:a16="http://schemas.microsoft.com/office/drawing/2014/main" id="{00000000-0008-0000-0400-000060010000}"/>
            </a:ext>
          </a:extLst>
        </xdr:cNvPr>
        <xdr:cNvSpPr/>
      </xdr:nvSpPr>
      <xdr:spPr>
        <a:xfrm>
          <a:off x="7867638" y="31497901"/>
          <a:ext cx="253662" cy="156353"/>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95570</xdr:colOff>
      <xdr:row>202</xdr:row>
      <xdr:rowOff>150748</xdr:rowOff>
    </xdr:from>
    <xdr:to>
      <xdr:col>75</xdr:col>
      <xdr:colOff>45452</xdr:colOff>
      <xdr:row>204</xdr:row>
      <xdr:rowOff>1349</xdr:rowOff>
    </xdr:to>
    <xdr:sp macro="" textlink="">
      <xdr:nvSpPr>
        <xdr:cNvPr id="353" name="テキスト ボックス 352">
          <a:extLst>
            <a:ext uri="{FF2B5EF4-FFF2-40B4-BE49-F238E27FC236}">
              <a16:creationId xmlns:a16="http://schemas.microsoft.com/office/drawing/2014/main" id="{00000000-0008-0000-0400-000061010000}"/>
            </a:ext>
          </a:extLst>
        </xdr:cNvPr>
        <xdr:cNvSpPr txBox="1"/>
      </xdr:nvSpPr>
      <xdr:spPr>
        <a:xfrm>
          <a:off x="8217797" y="31496657"/>
          <a:ext cx="919700" cy="162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clientData/>
  </xdr:twoCellAnchor>
  <xdr:twoCellAnchor>
    <xdr:from>
      <xdr:col>64</xdr:col>
      <xdr:colOff>104609</xdr:colOff>
      <xdr:row>204</xdr:row>
      <xdr:rowOff>65066</xdr:rowOff>
    </xdr:from>
    <xdr:to>
      <xdr:col>66</xdr:col>
      <xdr:colOff>115816</xdr:colOff>
      <xdr:row>205</xdr:row>
      <xdr:rowOff>65555</xdr:rowOff>
    </xdr:to>
    <xdr:sp macro="" textlink="">
      <xdr:nvSpPr>
        <xdr:cNvPr id="354" name="正方形/長方形 353">
          <a:extLst>
            <a:ext uri="{FF2B5EF4-FFF2-40B4-BE49-F238E27FC236}">
              <a16:creationId xmlns:a16="http://schemas.microsoft.com/office/drawing/2014/main" id="{00000000-0008-0000-0400-000062010000}"/>
            </a:ext>
          </a:extLst>
        </xdr:cNvPr>
        <xdr:cNvSpPr/>
      </xdr:nvSpPr>
      <xdr:spPr>
        <a:xfrm>
          <a:off x="7863154" y="31722702"/>
          <a:ext cx="253662" cy="156353"/>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91086</xdr:colOff>
      <xdr:row>204</xdr:row>
      <xdr:rowOff>63822</xdr:rowOff>
    </xdr:from>
    <xdr:to>
      <xdr:col>75</xdr:col>
      <xdr:colOff>40968</xdr:colOff>
      <xdr:row>205</xdr:row>
      <xdr:rowOff>70286</xdr:rowOff>
    </xdr:to>
    <xdr:sp macro="" textlink="">
      <xdr:nvSpPr>
        <xdr:cNvPr id="355" name="テキスト ボックス 354">
          <a:extLst>
            <a:ext uri="{FF2B5EF4-FFF2-40B4-BE49-F238E27FC236}">
              <a16:creationId xmlns:a16="http://schemas.microsoft.com/office/drawing/2014/main" id="{00000000-0008-0000-0400-000063010000}"/>
            </a:ext>
          </a:extLst>
        </xdr:cNvPr>
        <xdr:cNvSpPr txBox="1"/>
      </xdr:nvSpPr>
      <xdr:spPr>
        <a:xfrm>
          <a:off x="8213313" y="31721458"/>
          <a:ext cx="919700" cy="162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64</xdr:col>
      <xdr:colOff>111331</xdr:colOff>
      <xdr:row>205</xdr:row>
      <xdr:rowOff>154235</xdr:rowOff>
    </xdr:from>
    <xdr:to>
      <xdr:col>67</xdr:col>
      <xdr:colOff>1311</xdr:colOff>
      <xdr:row>206</xdr:row>
      <xdr:rowOff>154722</xdr:rowOff>
    </xdr:to>
    <xdr:sp macro="" textlink="">
      <xdr:nvSpPr>
        <xdr:cNvPr id="357" name="正方形/長方形 356">
          <a:extLst>
            <a:ext uri="{FF2B5EF4-FFF2-40B4-BE49-F238E27FC236}">
              <a16:creationId xmlns:a16="http://schemas.microsoft.com/office/drawing/2014/main" id="{00000000-0008-0000-0400-000065010000}"/>
            </a:ext>
          </a:extLst>
        </xdr:cNvPr>
        <xdr:cNvSpPr/>
      </xdr:nvSpPr>
      <xdr:spPr>
        <a:xfrm>
          <a:off x="7869876" y="31967735"/>
          <a:ext cx="253662" cy="156351"/>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97808</xdr:colOff>
      <xdr:row>205</xdr:row>
      <xdr:rowOff>151310</xdr:rowOff>
    </xdr:from>
    <xdr:to>
      <xdr:col>75</xdr:col>
      <xdr:colOff>47690</xdr:colOff>
      <xdr:row>207</xdr:row>
      <xdr:rowOff>1909</xdr:rowOff>
    </xdr:to>
    <xdr:sp macro="" textlink="">
      <xdr:nvSpPr>
        <xdr:cNvPr id="358" name="テキスト ボックス 357">
          <a:extLst>
            <a:ext uri="{FF2B5EF4-FFF2-40B4-BE49-F238E27FC236}">
              <a16:creationId xmlns:a16="http://schemas.microsoft.com/office/drawing/2014/main" id="{00000000-0008-0000-0400-000066010000}"/>
            </a:ext>
          </a:extLst>
        </xdr:cNvPr>
        <xdr:cNvSpPr txBox="1"/>
      </xdr:nvSpPr>
      <xdr:spPr>
        <a:xfrm>
          <a:off x="8220035" y="31964810"/>
          <a:ext cx="919700" cy="162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29</xdr:col>
      <xdr:colOff>29613</xdr:colOff>
      <xdr:row>198</xdr:row>
      <xdr:rowOff>64589</xdr:rowOff>
    </xdr:from>
    <xdr:to>
      <xdr:col>52</xdr:col>
      <xdr:colOff>107330</xdr:colOff>
      <xdr:row>199</xdr:row>
      <xdr:rowOff>141708</xdr:rowOff>
    </xdr:to>
    <xdr:sp macro="" textlink="">
      <xdr:nvSpPr>
        <xdr:cNvPr id="365" name="正方形/長方形 364">
          <a:extLst>
            <a:ext uri="{FF2B5EF4-FFF2-40B4-BE49-F238E27FC236}">
              <a16:creationId xmlns:a16="http://schemas.microsoft.com/office/drawing/2014/main" id="{00000000-0008-0000-0400-00006D010000}"/>
            </a:ext>
          </a:extLst>
        </xdr:cNvPr>
        <xdr:cNvSpPr/>
      </xdr:nvSpPr>
      <xdr:spPr>
        <a:xfrm>
          <a:off x="3545204" y="30787044"/>
          <a:ext cx="2865944" cy="23298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1236</xdr:colOff>
      <xdr:row>199</xdr:row>
      <xdr:rowOff>141708</xdr:rowOff>
    </xdr:from>
    <xdr:to>
      <xdr:col>41</xdr:col>
      <xdr:colOff>1916</xdr:colOff>
      <xdr:row>201</xdr:row>
      <xdr:rowOff>33833</xdr:rowOff>
    </xdr:to>
    <xdr:cxnSp macro="">
      <xdr:nvCxnSpPr>
        <xdr:cNvPr id="373" name="直線コネクタ 372">
          <a:extLst>
            <a:ext uri="{FF2B5EF4-FFF2-40B4-BE49-F238E27FC236}">
              <a16:creationId xmlns:a16="http://schemas.microsoft.com/office/drawing/2014/main" id="{00000000-0008-0000-0400-000075010000}"/>
            </a:ext>
          </a:extLst>
        </xdr:cNvPr>
        <xdr:cNvCxnSpPr>
          <a:endCxn id="365" idx="2"/>
        </xdr:cNvCxnSpPr>
      </xdr:nvCxnSpPr>
      <xdr:spPr>
        <a:xfrm flipH="1" flipV="1">
          <a:off x="4971554" y="31020026"/>
          <a:ext cx="680" cy="203852"/>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32335</xdr:colOff>
      <xdr:row>194</xdr:row>
      <xdr:rowOff>19504</xdr:rowOff>
    </xdr:from>
    <xdr:to>
      <xdr:col>52</xdr:col>
      <xdr:colOff>109263</xdr:colOff>
      <xdr:row>195</xdr:row>
      <xdr:rowOff>95602</xdr:rowOff>
    </xdr:to>
    <xdr:sp macro="" textlink="">
      <xdr:nvSpPr>
        <xdr:cNvPr id="400" name="正方形/長方形 399">
          <a:extLst>
            <a:ext uri="{FF2B5EF4-FFF2-40B4-BE49-F238E27FC236}">
              <a16:creationId xmlns:a16="http://schemas.microsoft.com/office/drawing/2014/main" id="{00000000-0008-0000-0400-000090010000}"/>
            </a:ext>
          </a:extLst>
        </xdr:cNvPr>
        <xdr:cNvSpPr/>
      </xdr:nvSpPr>
      <xdr:spPr>
        <a:xfrm>
          <a:off x="3547926" y="30118504"/>
          <a:ext cx="2865155" cy="23196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87085</xdr:colOff>
      <xdr:row>168</xdr:row>
      <xdr:rowOff>123661</xdr:rowOff>
    </xdr:from>
    <xdr:to>
      <xdr:col>53</xdr:col>
      <xdr:colOff>41549</xdr:colOff>
      <xdr:row>170</xdr:row>
      <xdr:rowOff>44914</xdr:rowOff>
    </xdr:to>
    <xdr:sp macro="" textlink="">
      <xdr:nvSpPr>
        <xdr:cNvPr id="405" name="正方形/長方形 404">
          <a:extLst>
            <a:ext uri="{FF2B5EF4-FFF2-40B4-BE49-F238E27FC236}">
              <a16:creationId xmlns:a16="http://schemas.microsoft.com/office/drawing/2014/main" id="{00000000-0008-0000-0400-000095010000}"/>
            </a:ext>
          </a:extLst>
        </xdr:cNvPr>
        <xdr:cNvSpPr/>
      </xdr:nvSpPr>
      <xdr:spPr>
        <a:xfrm>
          <a:off x="3602676" y="26170206"/>
          <a:ext cx="2863918" cy="23298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89808</xdr:colOff>
      <xdr:row>165</xdr:row>
      <xdr:rowOff>8145</xdr:rowOff>
    </xdr:from>
    <xdr:to>
      <xdr:col>53</xdr:col>
      <xdr:colOff>44272</xdr:colOff>
      <xdr:row>166</xdr:row>
      <xdr:rowOff>84244</xdr:rowOff>
    </xdr:to>
    <xdr:sp macro="" textlink="">
      <xdr:nvSpPr>
        <xdr:cNvPr id="407" name="正方形/長方形 406">
          <a:extLst>
            <a:ext uri="{FF2B5EF4-FFF2-40B4-BE49-F238E27FC236}">
              <a16:creationId xmlns:a16="http://schemas.microsoft.com/office/drawing/2014/main" id="{00000000-0008-0000-0400-000097010000}"/>
            </a:ext>
          </a:extLst>
        </xdr:cNvPr>
        <xdr:cNvSpPr/>
      </xdr:nvSpPr>
      <xdr:spPr>
        <a:xfrm>
          <a:off x="3605399" y="25587100"/>
          <a:ext cx="2863918" cy="23196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共通基盤</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SDN</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装置</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58714</xdr:colOff>
      <xdr:row>170</xdr:row>
      <xdr:rowOff>44914</xdr:rowOff>
    </xdr:from>
    <xdr:to>
      <xdr:col>41</xdr:col>
      <xdr:colOff>65438</xdr:colOff>
      <xdr:row>171</xdr:row>
      <xdr:rowOff>153815</xdr:rowOff>
    </xdr:to>
    <xdr:cxnSp macro="">
      <xdr:nvCxnSpPr>
        <xdr:cNvPr id="413" name="直線コネクタ 412">
          <a:extLst>
            <a:ext uri="{FF2B5EF4-FFF2-40B4-BE49-F238E27FC236}">
              <a16:creationId xmlns:a16="http://schemas.microsoft.com/office/drawing/2014/main" id="{00000000-0008-0000-0400-00009D010000}"/>
            </a:ext>
          </a:extLst>
        </xdr:cNvPr>
        <xdr:cNvCxnSpPr>
          <a:stCxn id="405" idx="2"/>
          <a:endCxn id="170" idx="0"/>
        </xdr:cNvCxnSpPr>
      </xdr:nvCxnSpPr>
      <xdr:spPr>
        <a:xfrm>
          <a:off x="5029032" y="26403187"/>
          <a:ext cx="6724" cy="264764"/>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58714</xdr:colOff>
      <xdr:row>166</xdr:row>
      <xdr:rowOff>84244</xdr:rowOff>
    </xdr:from>
    <xdr:to>
      <xdr:col>41</xdr:col>
      <xdr:colOff>61437</xdr:colOff>
      <xdr:row>168</xdr:row>
      <xdr:rowOff>123661</xdr:rowOff>
    </xdr:to>
    <xdr:cxnSp macro="">
      <xdr:nvCxnSpPr>
        <xdr:cNvPr id="421" name="直線コネクタ 420">
          <a:extLst>
            <a:ext uri="{FF2B5EF4-FFF2-40B4-BE49-F238E27FC236}">
              <a16:creationId xmlns:a16="http://schemas.microsoft.com/office/drawing/2014/main" id="{00000000-0008-0000-0400-0000A5010000}"/>
            </a:ext>
          </a:extLst>
        </xdr:cNvPr>
        <xdr:cNvCxnSpPr>
          <a:stCxn id="407" idx="2"/>
          <a:endCxn id="405" idx="0"/>
        </xdr:cNvCxnSpPr>
      </xdr:nvCxnSpPr>
      <xdr:spPr>
        <a:xfrm flipH="1">
          <a:off x="5029032" y="25819062"/>
          <a:ext cx="2723" cy="351144"/>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3564</xdr:colOff>
      <xdr:row>193</xdr:row>
      <xdr:rowOff>19358</xdr:rowOff>
    </xdr:from>
    <xdr:to>
      <xdr:col>41</xdr:col>
      <xdr:colOff>7120</xdr:colOff>
      <xdr:row>194</xdr:row>
      <xdr:rowOff>19504</xdr:rowOff>
    </xdr:to>
    <xdr:cxnSp macro="">
      <xdr:nvCxnSpPr>
        <xdr:cNvPr id="427" name="直線コネクタ 426">
          <a:extLst>
            <a:ext uri="{FF2B5EF4-FFF2-40B4-BE49-F238E27FC236}">
              <a16:creationId xmlns:a16="http://schemas.microsoft.com/office/drawing/2014/main" id="{00000000-0008-0000-0400-0000AB010000}"/>
            </a:ext>
          </a:extLst>
        </xdr:cNvPr>
        <xdr:cNvCxnSpPr>
          <a:stCxn id="400" idx="0"/>
          <a:endCxn id="443" idx="2"/>
        </xdr:cNvCxnSpPr>
      </xdr:nvCxnSpPr>
      <xdr:spPr>
        <a:xfrm flipV="1">
          <a:off x="4973882" y="29962494"/>
          <a:ext cx="3556" cy="156010"/>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110292</xdr:colOff>
      <xdr:row>200</xdr:row>
      <xdr:rowOff>145431</xdr:rowOff>
    </xdr:from>
    <xdr:to>
      <xdr:col>55</xdr:col>
      <xdr:colOff>70429</xdr:colOff>
      <xdr:row>207</xdr:row>
      <xdr:rowOff>52972</xdr:rowOff>
    </xdr:to>
    <xdr:sp macro="" textlink="">
      <xdr:nvSpPr>
        <xdr:cNvPr id="376" name="正方形/長方形 375">
          <a:extLst>
            <a:ext uri="{FF2B5EF4-FFF2-40B4-BE49-F238E27FC236}">
              <a16:creationId xmlns:a16="http://schemas.microsoft.com/office/drawing/2014/main" id="{00000000-0008-0000-0400-000078010000}"/>
            </a:ext>
          </a:extLst>
        </xdr:cNvPr>
        <xdr:cNvSpPr/>
      </xdr:nvSpPr>
      <xdr:spPr>
        <a:xfrm>
          <a:off x="1928701" y="31179613"/>
          <a:ext cx="4809228" cy="99858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clientData/>
  </xdr:twoCellAnchor>
  <xdr:twoCellAnchor>
    <xdr:from>
      <xdr:col>20</xdr:col>
      <xdr:colOff>33618</xdr:colOff>
      <xdr:row>202</xdr:row>
      <xdr:rowOff>85188</xdr:rowOff>
    </xdr:from>
    <xdr:to>
      <xdr:col>29</xdr:col>
      <xdr:colOff>56822</xdr:colOff>
      <xdr:row>206</xdr:row>
      <xdr:rowOff>41765</xdr:rowOff>
    </xdr:to>
    <xdr:sp macro="" textlink="">
      <xdr:nvSpPr>
        <xdr:cNvPr id="148" name="円柱 147">
          <a:extLst>
            <a:ext uri="{FF2B5EF4-FFF2-40B4-BE49-F238E27FC236}">
              <a16:creationId xmlns:a16="http://schemas.microsoft.com/office/drawing/2014/main" id="{00000000-0008-0000-0400-000094000000}"/>
            </a:ext>
          </a:extLst>
        </xdr:cNvPr>
        <xdr:cNvSpPr/>
      </xdr:nvSpPr>
      <xdr:spPr>
        <a:xfrm>
          <a:off x="2458163" y="31431097"/>
          <a:ext cx="1114250" cy="580032"/>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clientData/>
  </xdr:twoCellAnchor>
  <xdr:twoCellAnchor>
    <xdr:from>
      <xdr:col>42</xdr:col>
      <xdr:colOff>116198</xdr:colOff>
      <xdr:row>202</xdr:row>
      <xdr:rowOff>100395</xdr:rowOff>
    </xdr:from>
    <xdr:to>
      <xdr:col>52</xdr:col>
      <xdr:colOff>29607</xdr:colOff>
      <xdr:row>206</xdr:row>
      <xdr:rowOff>55954</xdr:rowOff>
    </xdr:to>
    <xdr:sp macro="" textlink="">
      <xdr:nvSpPr>
        <xdr:cNvPr id="364" name="円柱 363">
          <a:extLst>
            <a:ext uri="{FF2B5EF4-FFF2-40B4-BE49-F238E27FC236}">
              <a16:creationId xmlns:a16="http://schemas.microsoft.com/office/drawing/2014/main" id="{00000000-0008-0000-0400-00006C010000}"/>
            </a:ext>
          </a:extLst>
        </xdr:cNvPr>
        <xdr:cNvSpPr/>
      </xdr:nvSpPr>
      <xdr:spPr>
        <a:xfrm>
          <a:off x="5207743" y="31446304"/>
          <a:ext cx="1125682" cy="57901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clientData/>
  </xdr:twoCellAnchor>
  <xdr:twoCellAnchor>
    <xdr:from>
      <xdr:col>31</xdr:col>
      <xdr:colOff>77915</xdr:colOff>
      <xdr:row>202</xdr:row>
      <xdr:rowOff>101516</xdr:rowOff>
    </xdr:from>
    <xdr:to>
      <xdr:col>40</xdr:col>
      <xdr:colOff>100365</xdr:colOff>
      <xdr:row>206</xdr:row>
      <xdr:rowOff>57075</xdr:rowOff>
    </xdr:to>
    <xdr:sp macro="" textlink="">
      <xdr:nvSpPr>
        <xdr:cNvPr id="377" name="円柱 376">
          <a:extLst>
            <a:ext uri="{FF2B5EF4-FFF2-40B4-BE49-F238E27FC236}">
              <a16:creationId xmlns:a16="http://schemas.microsoft.com/office/drawing/2014/main" id="{00000000-0008-0000-0400-000079010000}"/>
            </a:ext>
          </a:extLst>
        </xdr:cNvPr>
        <xdr:cNvSpPr/>
      </xdr:nvSpPr>
      <xdr:spPr>
        <a:xfrm>
          <a:off x="3835960" y="31447425"/>
          <a:ext cx="1113496" cy="57901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clientData/>
  </xdr:twoCellAnchor>
  <xdr:twoCellAnchor>
    <xdr:from>
      <xdr:col>29</xdr:col>
      <xdr:colOff>93809</xdr:colOff>
      <xdr:row>171</xdr:row>
      <xdr:rowOff>153815</xdr:rowOff>
    </xdr:from>
    <xdr:to>
      <xdr:col>53</xdr:col>
      <xdr:colOff>48273</xdr:colOff>
      <xdr:row>173</xdr:row>
      <xdr:rowOff>74049</xdr:rowOff>
    </xdr:to>
    <xdr:sp macro="" textlink="">
      <xdr:nvSpPr>
        <xdr:cNvPr id="170" name="正方形/長方形 169">
          <a:extLst>
            <a:ext uri="{FF2B5EF4-FFF2-40B4-BE49-F238E27FC236}">
              <a16:creationId xmlns:a16="http://schemas.microsoft.com/office/drawing/2014/main" id="{00000000-0008-0000-0400-0000AA000000}"/>
            </a:ext>
          </a:extLst>
        </xdr:cNvPr>
        <xdr:cNvSpPr/>
      </xdr:nvSpPr>
      <xdr:spPr>
        <a:xfrm>
          <a:off x="3609400" y="26667951"/>
          <a:ext cx="2863918" cy="23196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93584</xdr:colOff>
      <xdr:row>173</xdr:row>
      <xdr:rowOff>74049</xdr:rowOff>
    </xdr:from>
    <xdr:to>
      <xdr:col>41</xdr:col>
      <xdr:colOff>65438</xdr:colOff>
      <xdr:row>174</xdr:row>
      <xdr:rowOff>100769</xdr:rowOff>
    </xdr:to>
    <xdr:cxnSp macro="">
      <xdr:nvCxnSpPr>
        <xdr:cNvPr id="174" name="直線コネクタ 173">
          <a:extLst>
            <a:ext uri="{FF2B5EF4-FFF2-40B4-BE49-F238E27FC236}">
              <a16:creationId xmlns:a16="http://schemas.microsoft.com/office/drawing/2014/main" id="{00000000-0008-0000-0400-0000AE000000}"/>
            </a:ext>
          </a:extLst>
        </xdr:cNvPr>
        <xdr:cNvCxnSpPr>
          <a:stCxn id="170" idx="2"/>
          <a:endCxn id="121" idx="0"/>
        </xdr:cNvCxnSpPr>
      </xdr:nvCxnSpPr>
      <xdr:spPr>
        <a:xfrm flipH="1">
          <a:off x="1449496" y="27080225"/>
          <a:ext cx="3669795" cy="183603"/>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25616</xdr:colOff>
      <xdr:row>173</xdr:row>
      <xdr:rowOff>74049</xdr:rowOff>
    </xdr:from>
    <xdr:to>
      <xdr:col>41</xdr:col>
      <xdr:colOff>65438</xdr:colOff>
      <xdr:row>174</xdr:row>
      <xdr:rowOff>99165</xdr:rowOff>
    </xdr:to>
    <xdr:cxnSp macro="">
      <xdr:nvCxnSpPr>
        <xdr:cNvPr id="185" name="直線コネクタ 184">
          <a:extLst>
            <a:ext uri="{FF2B5EF4-FFF2-40B4-BE49-F238E27FC236}">
              <a16:creationId xmlns:a16="http://schemas.microsoft.com/office/drawing/2014/main" id="{00000000-0008-0000-0400-0000B9000000}"/>
            </a:ext>
          </a:extLst>
        </xdr:cNvPr>
        <xdr:cNvCxnSpPr>
          <a:stCxn id="170" idx="2"/>
        </xdr:cNvCxnSpPr>
      </xdr:nvCxnSpPr>
      <xdr:spPr>
        <a:xfrm flipH="1">
          <a:off x="3723557" y="27080225"/>
          <a:ext cx="1395734" cy="181999"/>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65438</xdr:colOff>
      <xdr:row>173</xdr:row>
      <xdr:rowOff>74049</xdr:rowOff>
    </xdr:from>
    <xdr:to>
      <xdr:col>51</xdr:col>
      <xdr:colOff>116264</xdr:colOff>
      <xdr:row>174</xdr:row>
      <xdr:rowOff>103051</xdr:rowOff>
    </xdr:to>
    <xdr:cxnSp macro="">
      <xdr:nvCxnSpPr>
        <xdr:cNvPr id="186" name="直線コネクタ 185">
          <a:extLst>
            <a:ext uri="{FF2B5EF4-FFF2-40B4-BE49-F238E27FC236}">
              <a16:creationId xmlns:a16="http://schemas.microsoft.com/office/drawing/2014/main" id="{00000000-0008-0000-0400-0000BA000000}"/>
            </a:ext>
          </a:extLst>
        </xdr:cNvPr>
        <xdr:cNvCxnSpPr>
          <a:stCxn id="170" idx="2"/>
          <a:endCxn id="107" idx="0"/>
        </xdr:cNvCxnSpPr>
      </xdr:nvCxnSpPr>
      <xdr:spPr>
        <a:xfrm>
          <a:off x="5035756" y="26899913"/>
          <a:ext cx="1263099" cy="18486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65438</xdr:colOff>
      <xdr:row>173</xdr:row>
      <xdr:rowOff>74049</xdr:rowOff>
    </xdr:from>
    <xdr:to>
      <xdr:col>69</xdr:col>
      <xdr:colOff>47001</xdr:colOff>
      <xdr:row>174</xdr:row>
      <xdr:rowOff>97521</xdr:rowOff>
    </xdr:to>
    <xdr:cxnSp macro="">
      <xdr:nvCxnSpPr>
        <xdr:cNvPr id="187" name="直線コネクタ 186">
          <a:extLst>
            <a:ext uri="{FF2B5EF4-FFF2-40B4-BE49-F238E27FC236}">
              <a16:creationId xmlns:a16="http://schemas.microsoft.com/office/drawing/2014/main" id="{00000000-0008-0000-0400-0000BB000000}"/>
            </a:ext>
          </a:extLst>
        </xdr:cNvPr>
        <xdr:cNvCxnSpPr>
          <a:stCxn id="170" idx="2"/>
          <a:endCxn id="130" idx="0"/>
        </xdr:cNvCxnSpPr>
      </xdr:nvCxnSpPr>
      <xdr:spPr>
        <a:xfrm>
          <a:off x="5035756" y="26899913"/>
          <a:ext cx="3375927" cy="17933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110863</xdr:colOff>
      <xdr:row>174</xdr:row>
      <xdr:rowOff>74236</xdr:rowOff>
    </xdr:from>
    <xdr:to>
      <xdr:col>61</xdr:col>
      <xdr:colOff>78441</xdr:colOff>
      <xdr:row>190</xdr:row>
      <xdr:rowOff>50002</xdr:rowOff>
    </xdr:to>
    <xdr:sp macro="" textlink="">
      <xdr:nvSpPr>
        <xdr:cNvPr id="451" name="正方形/長方形 450">
          <a:extLst>
            <a:ext uri="{FF2B5EF4-FFF2-40B4-BE49-F238E27FC236}">
              <a16:creationId xmlns:a16="http://schemas.microsoft.com/office/drawing/2014/main" id="{00000000-0008-0000-0400-0000C3010000}"/>
            </a:ext>
          </a:extLst>
        </xdr:cNvPr>
        <xdr:cNvSpPr/>
      </xdr:nvSpPr>
      <xdr:spPr>
        <a:xfrm>
          <a:off x="5202408" y="27055963"/>
          <a:ext cx="2270897" cy="246958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65239</xdr:colOff>
      <xdr:row>174</xdr:row>
      <xdr:rowOff>103051</xdr:rowOff>
    </xdr:from>
    <xdr:to>
      <xdr:col>61</xdr:col>
      <xdr:colOff>32817</xdr:colOff>
      <xdr:row>190</xdr:row>
      <xdr:rowOff>77797</xdr:rowOff>
    </xdr:to>
    <xdr:sp macro="" textlink="">
      <xdr:nvSpPr>
        <xdr:cNvPr id="107" name="正方形/長方形 106">
          <a:extLst>
            <a:ext uri="{FF2B5EF4-FFF2-40B4-BE49-F238E27FC236}">
              <a16:creationId xmlns:a16="http://schemas.microsoft.com/office/drawing/2014/main" id="{00000000-0008-0000-0400-00006B000000}"/>
            </a:ext>
          </a:extLst>
        </xdr:cNvPr>
        <xdr:cNvSpPr/>
      </xdr:nvSpPr>
      <xdr:spPr>
        <a:xfrm>
          <a:off x="5156784" y="27084778"/>
          <a:ext cx="2270897" cy="246856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DB</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44824</xdr:colOff>
      <xdr:row>174</xdr:row>
      <xdr:rowOff>99165</xdr:rowOff>
    </xdr:from>
    <xdr:to>
      <xdr:col>40</xdr:col>
      <xdr:colOff>112058</xdr:colOff>
      <xdr:row>190</xdr:row>
      <xdr:rowOff>73911</xdr:rowOff>
    </xdr:to>
    <xdr:sp macro="" textlink="">
      <xdr:nvSpPr>
        <xdr:cNvPr id="93" name="正方形/長方形 92">
          <a:extLst>
            <a:ext uri="{FF2B5EF4-FFF2-40B4-BE49-F238E27FC236}">
              <a16:creationId xmlns:a16="http://schemas.microsoft.com/office/drawing/2014/main" id="{00000000-0008-0000-0400-00005D000000}"/>
            </a:ext>
          </a:extLst>
        </xdr:cNvPr>
        <xdr:cNvSpPr/>
      </xdr:nvSpPr>
      <xdr:spPr>
        <a:xfrm>
          <a:off x="2386853" y="27262224"/>
          <a:ext cx="2655793" cy="248486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18404</xdr:colOff>
      <xdr:row>187</xdr:row>
      <xdr:rowOff>41944</xdr:rowOff>
    </xdr:from>
    <xdr:to>
      <xdr:col>40</xdr:col>
      <xdr:colOff>1110</xdr:colOff>
      <xdr:row>188</xdr:row>
      <xdr:rowOff>70761</xdr:rowOff>
    </xdr:to>
    <xdr:sp macro="" textlink="">
      <xdr:nvSpPr>
        <xdr:cNvPr id="94" name="正方形/長方形 93">
          <a:extLst>
            <a:ext uri="{FF2B5EF4-FFF2-40B4-BE49-F238E27FC236}">
              <a16:creationId xmlns:a16="http://schemas.microsoft.com/office/drawing/2014/main" id="{00000000-0008-0000-0400-00005E000000}"/>
            </a:ext>
          </a:extLst>
        </xdr:cNvPr>
        <xdr:cNvSpPr/>
      </xdr:nvSpPr>
      <xdr:spPr>
        <a:xfrm>
          <a:off x="2483698" y="29244473"/>
          <a:ext cx="2448000" cy="185700"/>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25931</xdr:colOff>
      <xdr:row>176</xdr:row>
      <xdr:rowOff>87303</xdr:rowOff>
    </xdr:from>
    <xdr:to>
      <xdr:col>21</xdr:col>
      <xdr:colOff>90426</xdr:colOff>
      <xdr:row>183</xdr:row>
      <xdr:rowOff>119695</xdr:rowOff>
    </xdr:to>
    <xdr:sp macro="" textlink="">
      <xdr:nvSpPr>
        <xdr:cNvPr id="97" name="正方形/長方形 96">
          <a:extLst>
            <a:ext uri="{FF2B5EF4-FFF2-40B4-BE49-F238E27FC236}">
              <a16:creationId xmlns:a16="http://schemas.microsoft.com/office/drawing/2014/main" id="{00000000-0008-0000-0400-000061000000}"/>
            </a:ext>
          </a:extLst>
        </xdr:cNvPr>
        <xdr:cNvSpPr/>
      </xdr:nvSpPr>
      <xdr:spPr>
        <a:xfrm>
          <a:off x="2491225" y="27564127"/>
          <a:ext cx="187760" cy="1130568"/>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21</xdr:col>
      <xdr:colOff>119583</xdr:colOff>
      <xdr:row>176</xdr:row>
      <xdr:rowOff>83572</xdr:rowOff>
    </xdr:from>
    <xdr:to>
      <xdr:col>23</xdr:col>
      <xdr:colOff>59454</xdr:colOff>
      <xdr:row>183</xdr:row>
      <xdr:rowOff>123156</xdr:rowOff>
    </xdr:to>
    <xdr:sp macro="" textlink="">
      <xdr:nvSpPr>
        <xdr:cNvPr id="98" name="正方形/長方形 97">
          <a:extLst>
            <a:ext uri="{FF2B5EF4-FFF2-40B4-BE49-F238E27FC236}">
              <a16:creationId xmlns:a16="http://schemas.microsoft.com/office/drawing/2014/main" id="{00000000-0008-0000-0400-000062000000}"/>
            </a:ext>
          </a:extLst>
        </xdr:cNvPr>
        <xdr:cNvSpPr/>
      </xdr:nvSpPr>
      <xdr:spPr>
        <a:xfrm>
          <a:off x="2708142" y="27560396"/>
          <a:ext cx="186400" cy="1137760"/>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管理画面</a:t>
          </a:r>
        </a:p>
      </xdr:txBody>
    </xdr:sp>
    <xdr:clientData/>
  </xdr:twoCellAnchor>
  <xdr:twoCellAnchor>
    <xdr:from>
      <xdr:col>23</xdr:col>
      <xdr:colOff>93187</xdr:colOff>
      <xdr:row>176</xdr:row>
      <xdr:rowOff>87864</xdr:rowOff>
    </xdr:from>
    <xdr:to>
      <xdr:col>25</xdr:col>
      <xdr:colOff>33296</xdr:colOff>
      <xdr:row>183</xdr:row>
      <xdr:rowOff>120256</xdr:rowOff>
    </xdr:to>
    <xdr:sp macro="" textlink="">
      <xdr:nvSpPr>
        <xdr:cNvPr id="99" name="正方形/長方形 98">
          <a:extLst>
            <a:ext uri="{FF2B5EF4-FFF2-40B4-BE49-F238E27FC236}">
              <a16:creationId xmlns:a16="http://schemas.microsoft.com/office/drawing/2014/main" id="{00000000-0008-0000-0400-000063000000}"/>
            </a:ext>
          </a:extLst>
        </xdr:cNvPr>
        <xdr:cNvSpPr/>
      </xdr:nvSpPr>
      <xdr:spPr>
        <a:xfrm>
          <a:off x="2928275" y="27564688"/>
          <a:ext cx="186639" cy="113056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RSC</a:t>
          </a:r>
          <a:r>
            <a:rPr kumimoji="1" lang="ja-JP" altLang="en-US" sz="1000">
              <a:solidFill>
                <a:schemeClr val="tx1"/>
              </a:solidFill>
              <a:latin typeface="ＭＳ Ｐゴシック" panose="020B0600070205080204" pitchFamily="50" charset="-128"/>
              <a:ea typeface="ＭＳ Ｐゴシック" panose="020B0600070205080204" pitchFamily="50" charset="-128"/>
            </a:rPr>
            <a:t>アダプタ</a:t>
          </a:r>
        </a:p>
      </xdr:txBody>
    </xdr:sp>
    <xdr:clientData/>
  </xdr:twoCellAnchor>
  <xdr:twoCellAnchor>
    <xdr:from>
      <xdr:col>25</xdr:col>
      <xdr:colOff>58580</xdr:colOff>
      <xdr:row>176</xdr:row>
      <xdr:rowOff>84284</xdr:rowOff>
    </xdr:from>
    <xdr:to>
      <xdr:col>27</xdr:col>
      <xdr:colOff>52</xdr:colOff>
      <xdr:row>183</xdr:row>
      <xdr:rowOff>121590</xdr:rowOff>
    </xdr:to>
    <xdr:sp macro="" textlink="">
      <xdr:nvSpPr>
        <xdr:cNvPr id="100" name="正方形/長方形 99">
          <a:extLst>
            <a:ext uri="{FF2B5EF4-FFF2-40B4-BE49-F238E27FC236}">
              <a16:creationId xmlns:a16="http://schemas.microsoft.com/office/drawing/2014/main" id="{00000000-0008-0000-0400-000064000000}"/>
            </a:ext>
          </a:extLst>
        </xdr:cNvPr>
        <xdr:cNvSpPr/>
      </xdr:nvSpPr>
      <xdr:spPr>
        <a:xfrm>
          <a:off x="3140198" y="27561108"/>
          <a:ext cx="188001" cy="113548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25222</xdr:colOff>
      <xdr:row>176</xdr:row>
      <xdr:rowOff>81332</xdr:rowOff>
    </xdr:from>
    <xdr:to>
      <xdr:col>28</xdr:col>
      <xdr:colOff>89717</xdr:colOff>
      <xdr:row>183</xdr:row>
      <xdr:rowOff>119602</xdr:rowOff>
    </xdr:to>
    <xdr:sp macro="" textlink="">
      <xdr:nvSpPr>
        <xdr:cNvPr id="101" name="正方形/長方形 100">
          <a:extLst>
            <a:ext uri="{FF2B5EF4-FFF2-40B4-BE49-F238E27FC236}">
              <a16:creationId xmlns:a16="http://schemas.microsoft.com/office/drawing/2014/main" id="{00000000-0008-0000-0400-000065000000}"/>
            </a:ext>
          </a:extLst>
        </xdr:cNvPr>
        <xdr:cNvSpPr/>
      </xdr:nvSpPr>
      <xdr:spPr>
        <a:xfrm>
          <a:off x="3353369" y="27558156"/>
          <a:ext cx="187760" cy="113644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36162</xdr:colOff>
      <xdr:row>176</xdr:row>
      <xdr:rowOff>95459</xdr:rowOff>
    </xdr:from>
    <xdr:to>
      <xdr:col>30</xdr:col>
      <xdr:colOff>100097</xdr:colOff>
      <xdr:row>185</xdr:row>
      <xdr:rowOff>21229</xdr:rowOff>
    </xdr:to>
    <xdr:sp macro="" textlink="">
      <xdr:nvSpPr>
        <xdr:cNvPr id="102" name="正方形/長方形 101">
          <a:extLst>
            <a:ext uri="{FF2B5EF4-FFF2-40B4-BE49-F238E27FC236}">
              <a16:creationId xmlns:a16="http://schemas.microsoft.com/office/drawing/2014/main" id="{00000000-0008-0000-0400-000066000000}"/>
            </a:ext>
          </a:extLst>
        </xdr:cNvPr>
        <xdr:cNvSpPr/>
      </xdr:nvSpPr>
      <xdr:spPr>
        <a:xfrm>
          <a:off x="3610838" y="27572283"/>
          <a:ext cx="187200" cy="133771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JDK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12336</xdr:colOff>
      <xdr:row>176</xdr:row>
      <xdr:rowOff>100787</xdr:rowOff>
    </xdr:from>
    <xdr:to>
      <xdr:col>32</xdr:col>
      <xdr:colOff>74234</xdr:colOff>
      <xdr:row>185</xdr:row>
      <xdr:rowOff>31744</xdr:rowOff>
    </xdr:to>
    <xdr:sp macro="" textlink="">
      <xdr:nvSpPr>
        <xdr:cNvPr id="103" name="正方形/長方形 102">
          <a:extLst>
            <a:ext uri="{FF2B5EF4-FFF2-40B4-BE49-F238E27FC236}">
              <a16:creationId xmlns:a16="http://schemas.microsoft.com/office/drawing/2014/main" id="{00000000-0008-0000-0400-000067000000}"/>
            </a:ext>
          </a:extLst>
        </xdr:cNvPr>
        <xdr:cNvSpPr/>
      </xdr:nvSpPr>
      <xdr:spPr>
        <a:xfrm>
          <a:off x="3833542" y="27577611"/>
          <a:ext cx="185163" cy="134289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98186</xdr:colOff>
      <xdr:row>176</xdr:row>
      <xdr:rowOff>100787</xdr:rowOff>
    </xdr:from>
    <xdr:to>
      <xdr:col>34</xdr:col>
      <xdr:colOff>38857</xdr:colOff>
      <xdr:row>185</xdr:row>
      <xdr:rowOff>31744</xdr:rowOff>
    </xdr:to>
    <xdr:sp macro="" textlink="">
      <xdr:nvSpPr>
        <xdr:cNvPr id="104" name="正方形/長方形 103">
          <a:extLst>
            <a:ext uri="{FF2B5EF4-FFF2-40B4-BE49-F238E27FC236}">
              <a16:creationId xmlns:a16="http://schemas.microsoft.com/office/drawing/2014/main" id="{00000000-0008-0000-0400-000068000000}"/>
            </a:ext>
          </a:extLst>
        </xdr:cNvPr>
        <xdr:cNvSpPr/>
      </xdr:nvSpPr>
      <xdr:spPr>
        <a:xfrm>
          <a:off x="4042657" y="27577611"/>
          <a:ext cx="187200" cy="134289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72992</xdr:colOff>
      <xdr:row>176</xdr:row>
      <xdr:rowOff>97701</xdr:rowOff>
    </xdr:from>
    <xdr:to>
      <xdr:col>36</xdr:col>
      <xdr:colOff>13663</xdr:colOff>
      <xdr:row>185</xdr:row>
      <xdr:rowOff>30674</xdr:rowOff>
    </xdr:to>
    <xdr:sp macro="" textlink="">
      <xdr:nvSpPr>
        <xdr:cNvPr id="105" name="正方形/長方形 104">
          <a:extLst>
            <a:ext uri="{FF2B5EF4-FFF2-40B4-BE49-F238E27FC236}">
              <a16:creationId xmlns:a16="http://schemas.microsoft.com/office/drawing/2014/main" id="{00000000-0008-0000-0400-000069000000}"/>
            </a:ext>
          </a:extLst>
        </xdr:cNvPr>
        <xdr:cNvSpPr/>
      </xdr:nvSpPr>
      <xdr:spPr>
        <a:xfrm>
          <a:off x="4263992" y="27574525"/>
          <a:ext cx="187200" cy="134491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63537</xdr:colOff>
      <xdr:row>179</xdr:row>
      <xdr:rowOff>106692</xdr:rowOff>
    </xdr:from>
    <xdr:to>
      <xdr:col>49</xdr:col>
      <xdr:colOff>98503</xdr:colOff>
      <xdr:row>182</xdr:row>
      <xdr:rowOff>63492</xdr:rowOff>
    </xdr:to>
    <xdr:sp macro="" textlink="">
      <xdr:nvSpPr>
        <xdr:cNvPr id="108" name="正方形/長方形 107">
          <a:extLst>
            <a:ext uri="{FF2B5EF4-FFF2-40B4-BE49-F238E27FC236}">
              <a16:creationId xmlns:a16="http://schemas.microsoft.com/office/drawing/2014/main" id="{00000000-0008-0000-0400-00006C000000}"/>
            </a:ext>
          </a:extLst>
        </xdr:cNvPr>
        <xdr:cNvSpPr/>
      </xdr:nvSpPr>
      <xdr:spPr>
        <a:xfrm>
          <a:off x="5276310" y="27867737"/>
          <a:ext cx="762329" cy="42439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ARK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65240</xdr:colOff>
      <xdr:row>176</xdr:row>
      <xdr:rowOff>120942</xdr:rowOff>
    </xdr:from>
    <xdr:to>
      <xdr:col>49</xdr:col>
      <xdr:colOff>100206</xdr:colOff>
      <xdr:row>179</xdr:row>
      <xdr:rowOff>77743</xdr:rowOff>
    </xdr:to>
    <xdr:sp macro="" textlink="">
      <xdr:nvSpPr>
        <xdr:cNvPr id="109" name="正方形/長方形 108">
          <a:extLst>
            <a:ext uri="{FF2B5EF4-FFF2-40B4-BE49-F238E27FC236}">
              <a16:creationId xmlns:a16="http://schemas.microsoft.com/office/drawing/2014/main" id="{00000000-0008-0000-0400-00006D000000}"/>
            </a:ext>
          </a:extLst>
        </xdr:cNvPr>
        <xdr:cNvSpPr/>
      </xdr:nvSpPr>
      <xdr:spPr>
        <a:xfrm>
          <a:off x="5278013" y="27414397"/>
          <a:ext cx="762329" cy="42439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a:t>
          </a:r>
          <a:r>
            <a:rPr kumimoji="1" lang="ja-JP" altLang="en-US" sz="1000" baseline="0">
              <a:solidFill>
                <a:schemeClr val="tx1"/>
              </a:solidFill>
              <a:latin typeface="ＭＳ Ｐゴシック" panose="020B0600070205080204" pitchFamily="50" charset="-128"/>
              <a:ea typeface="ＭＳ Ｐゴシック" panose="020B0600070205080204" pitchFamily="50" charset="-128"/>
            </a:rPr>
            <a:t> </a:t>
          </a:r>
          <a:r>
            <a:rPr kumimoji="1" lang="en-US" altLang="ja-JP" sz="1000" baseline="0">
              <a:solidFill>
                <a:schemeClr val="tx1"/>
              </a:solidFill>
              <a:latin typeface="ＭＳ Ｐゴシック" panose="020B0600070205080204" pitchFamily="50" charset="-128"/>
              <a:ea typeface="ＭＳ Ｐゴシック" panose="020B0600070205080204" pitchFamily="50" charset="-128"/>
            </a:rPr>
            <a:t>DB</a:t>
          </a:r>
        </a:p>
      </xdr:txBody>
    </xdr:sp>
    <xdr:clientData/>
  </xdr:twoCellAnchor>
  <xdr:twoCellAnchor>
    <xdr:from>
      <xdr:col>43</xdr:col>
      <xdr:colOff>61841</xdr:colOff>
      <xdr:row>182</xdr:row>
      <xdr:rowOff>92371</xdr:rowOff>
    </xdr:from>
    <xdr:to>
      <xdr:col>49</xdr:col>
      <xdr:colOff>96150</xdr:colOff>
      <xdr:row>185</xdr:row>
      <xdr:rowOff>50190</xdr:rowOff>
    </xdr:to>
    <xdr:sp macro="" textlink="">
      <xdr:nvSpPr>
        <xdr:cNvPr id="110" name="正方形/長方形 109">
          <a:extLst>
            <a:ext uri="{FF2B5EF4-FFF2-40B4-BE49-F238E27FC236}">
              <a16:creationId xmlns:a16="http://schemas.microsoft.com/office/drawing/2014/main" id="{00000000-0008-0000-0400-00006E000000}"/>
            </a:ext>
          </a:extLst>
        </xdr:cNvPr>
        <xdr:cNvSpPr/>
      </xdr:nvSpPr>
      <xdr:spPr>
        <a:xfrm>
          <a:off x="5274614" y="28321007"/>
          <a:ext cx="761672" cy="42541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LifeKeeper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50</xdr:col>
      <xdr:colOff>4957</xdr:colOff>
      <xdr:row>176</xdr:row>
      <xdr:rowOff>112948</xdr:rowOff>
    </xdr:from>
    <xdr:to>
      <xdr:col>51</xdr:col>
      <xdr:colOff>68891</xdr:colOff>
      <xdr:row>185</xdr:row>
      <xdr:rowOff>46778</xdr:rowOff>
    </xdr:to>
    <xdr:sp macro="" textlink="">
      <xdr:nvSpPr>
        <xdr:cNvPr id="111" name="正方形/長方形 110">
          <a:extLst>
            <a:ext uri="{FF2B5EF4-FFF2-40B4-BE49-F238E27FC236}">
              <a16:creationId xmlns:a16="http://schemas.microsoft.com/office/drawing/2014/main" id="{00000000-0008-0000-0400-00006F000000}"/>
            </a:ext>
          </a:extLst>
        </xdr:cNvPr>
        <xdr:cNvSpPr/>
      </xdr:nvSpPr>
      <xdr:spPr>
        <a:xfrm>
          <a:off x="6066321" y="27406403"/>
          <a:ext cx="185161" cy="133660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JDK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88372</xdr:colOff>
      <xdr:row>176</xdr:row>
      <xdr:rowOff>107970</xdr:rowOff>
    </xdr:from>
    <xdr:to>
      <xdr:col>53</xdr:col>
      <xdr:colOff>29844</xdr:colOff>
      <xdr:row>185</xdr:row>
      <xdr:rowOff>33411</xdr:rowOff>
    </xdr:to>
    <xdr:sp macro="" textlink="">
      <xdr:nvSpPr>
        <xdr:cNvPr id="112" name="正方形/長方形 111">
          <a:extLst>
            <a:ext uri="{FF2B5EF4-FFF2-40B4-BE49-F238E27FC236}">
              <a16:creationId xmlns:a16="http://schemas.microsoft.com/office/drawing/2014/main" id="{00000000-0008-0000-0400-000070000000}"/>
            </a:ext>
          </a:extLst>
        </xdr:cNvPr>
        <xdr:cNvSpPr/>
      </xdr:nvSpPr>
      <xdr:spPr>
        <a:xfrm>
          <a:off x="6270963" y="27401425"/>
          <a:ext cx="183926" cy="132821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29524</xdr:colOff>
      <xdr:row>176</xdr:row>
      <xdr:rowOff>107970</xdr:rowOff>
    </xdr:from>
    <xdr:to>
      <xdr:col>56</xdr:col>
      <xdr:colOff>93218</xdr:colOff>
      <xdr:row>185</xdr:row>
      <xdr:rowOff>33411</xdr:rowOff>
    </xdr:to>
    <xdr:sp macro="" textlink="">
      <xdr:nvSpPr>
        <xdr:cNvPr id="113" name="正方形/長方形 112">
          <a:extLst>
            <a:ext uri="{FF2B5EF4-FFF2-40B4-BE49-F238E27FC236}">
              <a16:creationId xmlns:a16="http://schemas.microsoft.com/office/drawing/2014/main" id="{00000000-0008-0000-0400-000071000000}"/>
            </a:ext>
          </a:extLst>
        </xdr:cNvPr>
        <xdr:cNvSpPr/>
      </xdr:nvSpPr>
      <xdr:spPr>
        <a:xfrm>
          <a:off x="6697024" y="27401425"/>
          <a:ext cx="184921" cy="132821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1725</xdr:colOff>
      <xdr:row>176</xdr:row>
      <xdr:rowOff>103984</xdr:rowOff>
    </xdr:from>
    <xdr:to>
      <xdr:col>58</xdr:col>
      <xdr:colOff>63064</xdr:colOff>
      <xdr:row>185</xdr:row>
      <xdr:rowOff>37814</xdr:rowOff>
    </xdr:to>
    <xdr:sp macro="" textlink="">
      <xdr:nvSpPr>
        <xdr:cNvPr id="114" name="正方形/長方形 113">
          <a:extLst>
            <a:ext uri="{FF2B5EF4-FFF2-40B4-BE49-F238E27FC236}">
              <a16:creationId xmlns:a16="http://schemas.microsoft.com/office/drawing/2014/main" id="{00000000-0008-0000-0400-000072000000}"/>
            </a:ext>
          </a:extLst>
        </xdr:cNvPr>
        <xdr:cNvSpPr/>
      </xdr:nvSpPr>
      <xdr:spPr>
        <a:xfrm>
          <a:off x="6911680" y="27397439"/>
          <a:ext cx="182566" cy="133660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54336</xdr:colOff>
      <xdr:row>176</xdr:row>
      <xdr:rowOff>112948</xdr:rowOff>
    </xdr:from>
    <xdr:to>
      <xdr:col>54</xdr:col>
      <xdr:colOff>118271</xdr:colOff>
      <xdr:row>185</xdr:row>
      <xdr:rowOff>46778</xdr:rowOff>
    </xdr:to>
    <xdr:sp macro="" textlink="">
      <xdr:nvSpPr>
        <xdr:cNvPr id="115" name="正方形/長方形 114">
          <a:extLst>
            <a:ext uri="{FF2B5EF4-FFF2-40B4-BE49-F238E27FC236}">
              <a16:creationId xmlns:a16="http://schemas.microsoft.com/office/drawing/2014/main" id="{00000000-0008-0000-0400-000073000000}"/>
            </a:ext>
          </a:extLst>
        </xdr:cNvPr>
        <xdr:cNvSpPr/>
      </xdr:nvSpPr>
      <xdr:spPr>
        <a:xfrm>
          <a:off x="6479381" y="27406403"/>
          <a:ext cx="185163" cy="133660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HULFT</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5</xdr:col>
      <xdr:colOff>95172</xdr:colOff>
      <xdr:row>174</xdr:row>
      <xdr:rowOff>100769</xdr:rowOff>
    </xdr:from>
    <xdr:to>
      <xdr:col>17</xdr:col>
      <xdr:colOff>91996</xdr:colOff>
      <xdr:row>190</xdr:row>
      <xdr:rowOff>73770</xdr:rowOff>
    </xdr:to>
    <xdr:sp macro="" textlink="">
      <xdr:nvSpPr>
        <xdr:cNvPr id="121" name="正方形/長方形 120">
          <a:extLst>
            <a:ext uri="{FF2B5EF4-FFF2-40B4-BE49-F238E27FC236}">
              <a16:creationId xmlns:a16="http://schemas.microsoft.com/office/drawing/2014/main" id="{00000000-0008-0000-0400-000079000000}"/>
            </a:ext>
          </a:extLst>
        </xdr:cNvPr>
        <xdr:cNvSpPr/>
      </xdr:nvSpPr>
      <xdr:spPr>
        <a:xfrm>
          <a:off x="711496" y="27263828"/>
          <a:ext cx="1476000" cy="248311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EPM/MPP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26373</xdr:colOff>
      <xdr:row>176</xdr:row>
      <xdr:rowOff>92094</xdr:rowOff>
    </xdr:from>
    <xdr:to>
      <xdr:col>11</xdr:col>
      <xdr:colOff>90308</xdr:colOff>
      <xdr:row>185</xdr:row>
      <xdr:rowOff>8470</xdr:rowOff>
    </xdr:to>
    <xdr:sp macro="" textlink="">
      <xdr:nvSpPr>
        <xdr:cNvPr id="126" name="正方形/長方形 125">
          <a:extLst>
            <a:ext uri="{FF2B5EF4-FFF2-40B4-BE49-F238E27FC236}">
              <a16:creationId xmlns:a16="http://schemas.microsoft.com/office/drawing/2014/main" id="{00000000-0008-0000-0400-00007E000000}"/>
            </a:ext>
          </a:extLst>
        </xdr:cNvPr>
        <xdr:cNvSpPr/>
      </xdr:nvSpPr>
      <xdr:spPr>
        <a:xfrm>
          <a:off x="1259020" y="27568918"/>
          <a:ext cx="187200" cy="13283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92388</xdr:colOff>
      <xdr:row>176</xdr:row>
      <xdr:rowOff>87612</xdr:rowOff>
    </xdr:from>
    <xdr:to>
      <xdr:col>8</xdr:col>
      <xdr:colOff>33058</xdr:colOff>
      <xdr:row>185</xdr:row>
      <xdr:rowOff>3988</xdr:rowOff>
    </xdr:to>
    <xdr:sp macro="" textlink="">
      <xdr:nvSpPr>
        <xdr:cNvPr id="127" name="正方形/長方形 126">
          <a:extLst>
            <a:ext uri="{FF2B5EF4-FFF2-40B4-BE49-F238E27FC236}">
              <a16:creationId xmlns:a16="http://schemas.microsoft.com/office/drawing/2014/main" id="{00000000-0008-0000-0400-00007F000000}"/>
            </a:ext>
          </a:extLst>
        </xdr:cNvPr>
        <xdr:cNvSpPr/>
      </xdr:nvSpPr>
      <xdr:spPr>
        <a:xfrm>
          <a:off x="831976" y="27564436"/>
          <a:ext cx="187200" cy="13283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57960</xdr:colOff>
      <xdr:row>176</xdr:row>
      <xdr:rowOff>91252</xdr:rowOff>
    </xdr:from>
    <xdr:to>
      <xdr:col>9</xdr:col>
      <xdr:colOff>122696</xdr:colOff>
      <xdr:row>184</xdr:row>
      <xdr:rowOff>155369</xdr:rowOff>
    </xdr:to>
    <xdr:sp macro="" textlink="">
      <xdr:nvSpPr>
        <xdr:cNvPr id="128" name="正方形/長方形 127">
          <a:extLst>
            <a:ext uri="{FF2B5EF4-FFF2-40B4-BE49-F238E27FC236}">
              <a16:creationId xmlns:a16="http://schemas.microsoft.com/office/drawing/2014/main" id="{00000000-0008-0000-0400-000080000000}"/>
            </a:ext>
          </a:extLst>
        </xdr:cNvPr>
        <xdr:cNvSpPr/>
      </xdr:nvSpPr>
      <xdr:spPr>
        <a:xfrm>
          <a:off x="1044078" y="27568076"/>
          <a:ext cx="188000" cy="131917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60381</xdr:colOff>
      <xdr:row>174</xdr:row>
      <xdr:rowOff>97521</xdr:rowOff>
    </xdr:from>
    <xdr:to>
      <xdr:col>75</xdr:col>
      <xdr:colOff>33620</xdr:colOff>
      <xdr:row>190</xdr:row>
      <xdr:rowOff>72267</xdr:rowOff>
    </xdr:to>
    <xdr:sp macro="" textlink="">
      <xdr:nvSpPr>
        <xdr:cNvPr id="130" name="正方形/長方形 129">
          <a:extLst>
            <a:ext uri="{FF2B5EF4-FFF2-40B4-BE49-F238E27FC236}">
              <a16:creationId xmlns:a16="http://schemas.microsoft.com/office/drawing/2014/main" id="{00000000-0008-0000-0400-000082000000}"/>
            </a:ext>
          </a:extLst>
        </xdr:cNvPr>
        <xdr:cNvSpPr/>
      </xdr:nvSpPr>
      <xdr:spPr>
        <a:xfrm>
          <a:off x="7697699" y="27079248"/>
          <a:ext cx="1427966" cy="246856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64</xdr:col>
      <xdr:colOff>34754</xdr:colOff>
      <xdr:row>176</xdr:row>
      <xdr:rowOff>108117</xdr:rowOff>
    </xdr:from>
    <xdr:to>
      <xdr:col>65</xdr:col>
      <xdr:colOff>99982</xdr:colOff>
      <xdr:row>185</xdr:row>
      <xdr:rowOff>20228</xdr:rowOff>
    </xdr:to>
    <xdr:sp macro="" textlink="">
      <xdr:nvSpPr>
        <xdr:cNvPr id="137" name="正方形/長方形 136">
          <a:extLst>
            <a:ext uri="{FF2B5EF4-FFF2-40B4-BE49-F238E27FC236}">
              <a16:creationId xmlns:a16="http://schemas.microsoft.com/office/drawing/2014/main" id="{00000000-0008-0000-0400-000089000000}"/>
            </a:ext>
          </a:extLst>
        </xdr:cNvPr>
        <xdr:cNvSpPr/>
      </xdr:nvSpPr>
      <xdr:spPr>
        <a:xfrm>
          <a:off x="7793299" y="27401572"/>
          <a:ext cx="186456" cy="131488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Hammer</a:t>
          </a:r>
        </a:p>
      </xdr:txBody>
    </xdr:sp>
    <xdr:clientData/>
  </xdr:twoCellAnchor>
  <xdr:twoCellAnchor>
    <xdr:from>
      <xdr:col>66</xdr:col>
      <xdr:colOff>6104</xdr:colOff>
      <xdr:row>176</xdr:row>
      <xdr:rowOff>107263</xdr:rowOff>
    </xdr:from>
    <xdr:to>
      <xdr:col>67</xdr:col>
      <xdr:colOff>69240</xdr:colOff>
      <xdr:row>185</xdr:row>
      <xdr:rowOff>21142</xdr:rowOff>
    </xdr:to>
    <xdr:sp macro="" textlink="">
      <xdr:nvSpPr>
        <xdr:cNvPr id="138" name="正方形/長方形 137">
          <a:extLst>
            <a:ext uri="{FF2B5EF4-FFF2-40B4-BE49-F238E27FC236}">
              <a16:creationId xmlns:a16="http://schemas.microsoft.com/office/drawing/2014/main" id="{00000000-0008-0000-0400-00008A000000}"/>
            </a:ext>
          </a:extLst>
        </xdr:cNvPr>
        <xdr:cNvSpPr/>
      </xdr:nvSpPr>
      <xdr:spPr>
        <a:xfrm>
          <a:off x="8007104" y="27400718"/>
          <a:ext cx="184363" cy="13166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p>
      </xdr:txBody>
    </xdr:sp>
    <xdr:clientData/>
  </xdr:twoCellAnchor>
  <xdr:twoCellAnchor>
    <xdr:from>
      <xdr:col>67</xdr:col>
      <xdr:colOff>93569</xdr:colOff>
      <xdr:row>176</xdr:row>
      <xdr:rowOff>104568</xdr:rowOff>
    </xdr:from>
    <xdr:to>
      <xdr:col>69</xdr:col>
      <xdr:colOff>34239</xdr:colOff>
      <xdr:row>185</xdr:row>
      <xdr:rowOff>22806</xdr:rowOff>
    </xdr:to>
    <xdr:sp macro="" textlink="">
      <xdr:nvSpPr>
        <xdr:cNvPr id="175" name="正方形/長方形 174">
          <a:extLst>
            <a:ext uri="{FF2B5EF4-FFF2-40B4-BE49-F238E27FC236}">
              <a16:creationId xmlns:a16="http://schemas.microsoft.com/office/drawing/2014/main" id="{00000000-0008-0000-0400-0000AF000000}"/>
            </a:ext>
          </a:extLst>
        </xdr:cNvPr>
        <xdr:cNvSpPr/>
      </xdr:nvSpPr>
      <xdr:spPr>
        <a:xfrm>
          <a:off x="8215796" y="27398023"/>
          <a:ext cx="183125" cy="132101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57068</xdr:colOff>
      <xdr:row>176</xdr:row>
      <xdr:rowOff>107663</xdr:rowOff>
    </xdr:from>
    <xdr:to>
      <xdr:col>70</xdr:col>
      <xdr:colOff>120510</xdr:colOff>
      <xdr:row>185</xdr:row>
      <xdr:rowOff>21637</xdr:rowOff>
    </xdr:to>
    <xdr:sp macro="" textlink="">
      <xdr:nvSpPr>
        <xdr:cNvPr id="176" name="正方形/長方形 175">
          <a:extLst>
            <a:ext uri="{FF2B5EF4-FFF2-40B4-BE49-F238E27FC236}">
              <a16:creationId xmlns:a16="http://schemas.microsoft.com/office/drawing/2014/main" id="{00000000-0008-0000-0400-0000B0000000}"/>
            </a:ext>
          </a:extLst>
        </xdr:cNvPr>
        <xdr:cNvSpPr/>
      </xdr:nvSpPr>
      <xdr:spPr>
        <a:xfrm>
          <a:off x="8421750" y="27401118"/>
          <a:ext cx="184669" cy="131674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71</xdr:col>
      <xdr:colOff>19731</xdr:colOff>
      <xdr:row>176</xdr:row>
      <xdr:rowOff>104584</xdr:rowOff>
    </xdr:from>
    <xdr:to>
      <xdr:col>72</xdr:col>
      <xdr:colOff>84959</xdr:colOff>
      <xdr:row>185</xdr:row>
      <xdr:rowOff>33883</xdr:rowOff>
    </xdr:to>
    <xdr:sp macro="" textlink="">
      <xdr:nvSpPr>
        <xdr:cNvPr id="177" name="正方形/長方形 176">
          <a:extLst>
            <a:ext uri="{FF2B5EF4-FFF2-40B4-BE49-F238E27FC236}">
              <a16:creationId xmlns:a16="http://schemas.microsoft.com/office/drawing/2014/main" id="{00000000-0008-0000-0400-0000B1000000}"/>
            </a:ext>
          </a:extLst>
        </xdr:cNvPr>
        <xdr:cNvSpPr/>
      </xdr:nvSpPr>
      <xdr:spPr>
        <a:xfrm>
          <a:off x="8626867" y="27398039"/>
          <a:ext cx="186456" cy="133207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72</xdr:col>
      <xdr:colOff>106668</xdr:colOff>
      <xdr:row>176</xdr:row>
      <xdr:rowOff>102328</xdr:rowOff>
    </xdr:from>
    <xdr:to>
      <xdr:col>74</xdr:col>
      <xdr:colOff>46046</xdr:colOff>
      <xdr:row>185</xdr:row>
      <xdr:rowOff>20566</xdr:rowOff>
    </xdr:to>
    <xdr:sp macro="" textlink="">
      <xdr:nvSpPr>
        <xdr:cNvPr id="178" name="正方形/長方形 177">
          <a:extLst>
            <a:ext uri="{FF2B5EF4-FFF2-40B4-BE49-F238E27FC236}">
              <a16:creationId xmlns:a16="http://schemas.microsoft.com/office/drawing/2014/main" id="{00000000-0008-0000-0400-0000B2000000}"/>
            </a:ext>
          </a:extLst>
        </xdr:cNvPr>
        <xdr:cNvSpPr/>
      </xdr:nvSpPr>
      <xdr:spPr>
        <a:xfrm>
          <a:off x="8835032" y="27395783"/>
          <a:ext cx="181832" cy="132101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McAfee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118621</xdr:colOff>
      <xdr:row>176</xdr:row>
      <xdr:rowOff>90240</xdr:rowOff>
    </xdr:from>
    <xdr:to>
      <xdr:col>13</xdr:col>
      <xdr:colOff>58491</xdr:colOff>
      <xdr:row>185</xdr:row>
      <xdr:rowOff>356</xdr:rowOff>
    </xdr:to>
    <xdr:sp macro="" textlink="">
      <xdr:nvSpPr>
        <xdr:cNvPr id="179" name="正方形/長方形 178">
          <a:extLst>
            <a:ext uri="{FF2B5EF4-FFF2-40B4-BE49-F238E27FC236}">
              <a16:creationId xmlns:a16="http://schemas.microsoft.com/office/drawing/2014/main" id="{00000000-0008-0000-0400-0000B3000000}"/>
            </a:ext>
          </a:extLst>
        </xdr:cNvPr>
        <xdr:cNvSpPr/>
      </xdr:nvSpPr>
      <xdr:spPr>
        <a:xfrm>
          <a:off x="1474533" y="27567064"/>
          <a:ext cx="186399" cy="13220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92758</xdr:colOff>
      <xdr:row>176</xdr:row>
      <xdr:rowOff>88842</xdr:rowOff>
    </xdr:from>
    <xdr:to>
      <xdr:col>15</xdr:col>
      <xdr:colOff>33428</xdr:colOff>
      <xdr:row>185</xdr:row>
      <xdr:rowOff>7080</xdr:rowOff>
    </xdr:to>
    <xdr:sp macro="" textlink="">
      <xdr:nvSpPr>
        <xdr:cNvPr id="180" name="正方形/長方形 179">
          <a:extLst>
            <a:ext uri="{FF2B5EF4-FFF2-40B4-BE49-F238E27FC236}">
              <a16:creationId xmlns:a16="http://schemas.microsoft.com/office/drawing/2014/main" id="{00000000-0008-0000-0400-0000B4000000}"/>
            </a:ext>
          </a:extLst>
        </xdr:cNvPr>
        <xdr:cNvSpPr/>
      </xdr:nvSpPr>
      <xdr:spPr>
        <a:xfrm>
          <a:off x="1695199" y="27565666"/>
          <a:ext cx="187200" cy="133017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62823</xdr:colOff>
      <xdr:row>176</xdr:row>
      <xdr:rowOff>92482</xdr:rowOff>
    </xdr:from>
    <xdr:to>
      <xdr:col>17</xdr:col>
      <xdr:colOff>4294</xdr:colOff>
      <xdr:row>185</xdr:row>
      <xdr:rowOff>2598</xdr:rowOff>
    </xdr:to>
    <xdr:sp macro="" textlink="">
      <xdr:nvSpPr>
        <xdr:cNvPr id="181" name="正方形/長方形 180">
          <a:extLst>
            <a:ext uri="{FF2B5EF4-FFF2-40B4-BE49-F238E27FC236}">
              <a16:creationId xmlns:a16="http://schemas.microsoft.com/office/drawing/2014/main" id="{00000000-0008-0000-0400-0000B5000000}"/>
            </a:ext>
          </a:extLst>
        </xdr:cNvPr>
        <xdr:cNvSpPr/>
      </xdr:nvSpPr>
      <xdr:spPr>
        <a:xfrm>
          <a:off x="1911794" y="27569306"/>
          <a:ext cx="188000" cy="13220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51664</xdr:colOff>
      <xdr:row>176</xdr:row>
      <xdr:rowOff>93218</xdr:rowOff>
    </xdr:from>
    <xdr:to>
      <xdr:col>37</xdr:col>
      <xdr:colOff>116400</xdr:colOff>
      <xdr:row>185</xdr:row>
      <xdr:rowOff>18988</xdr:rowOff>
    </xdr:to>
    <xdr:sp macro="" textlink="">
      <xdr:nvSpPr>
        <xdr:cNvPr id="182" name="正方形/長方形 181">
          <a:extLst>
            <a:ext uri="{FF2B5EF4-FFF2-40B4-BE49-F238E27FC236}">
              <a16:creationId xmlns:a16="http://schemas.microsoft.com/office/drawing/2014/main" id="{00000000-0008-0000-0400-0000B6000000}"/>
            </a:ext>
          </a:extLst>
        </xdr:cNvPr>
        <xdr:cNvSpPr/>
      </xdr:nvSpPr>
      <xdr:spPr>
        <a:xfrm>
          <a:off x="4489193" y="27570042"/>
          <a:ext cx="188001" cy="133771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58</xdr:col>
      <xdr:colOff>94608</xdr:colOff>
      <xdr:row>176</xdr:row>
      <xdr:rowOff>104423</xdr:rowOff>
    </xdr:from>
    <xdr:to>
      <xdr:col>60</xdr:col>
      <xdr:colOff>36080</xdr:colOff>
      <xdr:row>185</xdr:row>
      <xdr:rowOff>37396</xdr:rowOff>
    </xdr:to>
    <xdr:sp macro="" textlink="">
      <xdr:nvSpPr>
        <xdr:cNvPr id="183" name="正方形/長方形 182">
          <a:extLst>
            <a:ext uri="{FF2B5EF4-FFF2-40B4-BE49-F238E27FC236}">
              <a16:creationId xmlns:a16="http://schemas.microsoft.com/office/drawing/2014/main" id="{00000000-0008-0000-0400-0000B7000000}"/>
            </a:ext>
          </a:extLst>
        </xdr:cNvPr>
        <xdr:cNvSpPr/>
      </xdr:nvSpPr>
      <xdr:spPr>
        <a:xfrm>
          <a:off x="7125790" y="27397878"/>
          <a:ext cx="183926" cy="133574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85602</xdr:colOff>
      <xdr:row>187</xdr:row>
      <xdr:rowOff>29245</xdr:rowOff>
    </xdr:from>
    <xdr:to>
      <xdr:col>16</xdr:col>
      <xdr:colOff>120394</xdr:colOff>
      <xdr:row>188</xdr:row>
      <xdr:rowOff>66629</xdr:rowOff>
    </xdr:to>
    <xdr:sp macro="" textlink="">
      <xdr:nvSpPr>
        <xdr:cNvPr id="122" name="正方形/長方形 121">
          <a:extLst>
            <a:ext uri="{FF2B5EF4-FFF2-40B4-BE49-F238E27FC236}">
              <a16:creationId xmlns:a16="http://schemas.microsoft.com/office/drawing/2014/main" id="{00000000-0008-0000-0400-00007A000000}"/>
            </a:ext>
          </a:extLst>
        </xdr:cNvPr>
        <xdr:cNvSpPr/>
      </xdr:nvSpPr>
      <xdr:spPr>
        <a:xfrm>
          <a:off x="825190" y="29231774"/>
          <a:ext cx="1267439" cy="194267"/>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85602</xdr:colOff>
      <xdr:row>185</xdr:row>
      <xdr:rowOff>81189</xdr:rowOff>
    </xdr:from>
    <xdr:to>
      <xdr:col>16</xdr:col>
      <xdr:colOff>120394</xdr:colOff>
      <xdr:row>186</xdr:row>
      <xdr:rowOff>112391</xdr:rowOff>
    </xdr:to>
    <xdr:sp macro="" textlink="">
      <xdr:nvSpPr>
        <xdr:cNvPr id="129" name="正方形/長方形 128">
          <a:extLst>
            <a:ext uri="{FF2B5EF4-FFF2-40B4-BE49-F238E27FC236}">
              <a16:creationId xmlns:a16="http://schemas.microsoft.com/office/drawing/2014/main" id="{00000000-0008-0000-0400-000081000000}"/>
            </a:ext>
          </a:extLst>
        </xdr:cNvPr>
        <xdr:cNvSpPr/>
      </xdr:nvSpPr>
      <xdr:spPr>
        <a:xfrm>
          <a:off x="825190" y="28969954"/>
          <a:ext cx="1267439" cy="18808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運用ツール</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※2</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43</xdr:col>
      <xdr:colOff>58039</xdr:colOff>
      <xdr:row>187</xdr:row>
      <xdr:rowOff>51321</xdr:rowOff>
    </xdr:from>
    <xdr:to>
      <xdr:col>60</xdr:col>
      <xdr:colOff>32916</xdr:colOff>
      <xdr:row>188</xdr:row>
      <xdr:rowOff>79079</xdr:rowOff>
    </xdr:to>
    <xdr:sp macro="" textlink="">
      <xdr:nvSpPr>
        <xdr:cNvPr id="118" name="正方形/長方形 117">
          <a:extLst>
            <a:ext uri="{FF2B5EF4-FFF2-40B4-BE49-F238E27FC236}">
              <a16:creationId xmlns:a16="http://schemas.microsoft.com/office/drawing/2014/main" id="{00000000-0008-0000-0400-000076000000}"/>
            </a:ext>
          </a:extLst>
        </xdr:cNvPr>
        <xdr:cNvSpPr/>
      </xdr:nvSpPr>
      <xdr:spPr>
        <a:xfrm>
          <a:off x="5358421" y="29253850"/>
          <a:ext cx="2059171" cy="184641"/>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56430</xdr:colOff>
      <xdr:row>185</xdr:row>
      <xdr:rowOff>102217</xdr:rowOff>
    </xdr:from>
    <xdr:to>
      <xdr:col>60</xdr:col>
      <xdr:colOff>32885</xdr:colOff>
      <xdr:row>186</xdr:row>
      <xdr:rowOff>122906</xdr:rowOff>
    </xdr:to>
    <xdr:sp macro="" textlink="">
      <xdr:nvSpPr>
        <xdr:cNvPr id="120" name="正方形/長方形 119">
          <a:extLst>
            <a:ext uri="{FF2B5EF4-FFF2-40B4-BE49-F238E27FC236}">
              <a16:creationId xmlns:a16="http://schemas.microsoft.com/office/drawing/2014/main" id="{00000000-0008-0000-0400-000078000000}"/>
            </a:ext>
          </a:extLst>
        </xdr:cNvPr>
        <xdr:cNvSpPr/>
      </xdr:nvSpPr>
      <xdr:spPr>
        <a:xfrm>
          <a:off x="5269203" y="28798444"/>
          <a:ext cx="2037318" cy="17655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ja-JP" altLang="en-US" sz="1000">
              <a:solidFill>
                <a:sysClr val="windowText" lastClr="000000"/>
              </a:solidFill>
              <a:latin typeface="ＭＳ Ｐゴシック" panose="020B0600070205080204" pitchFamily="50" charset="-128"/>
              <a:ea typeface="+mn-ea"/>
            </a:rPr>
            <a:t>（</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20</xdr:col>
      <xdr:colOff>22886</xdr:colOff>
      <xdr:row>188</xdr:row>
      <xdr:rowOff>95273</xdr:rowOff>
    </xdr:from>
    <xdr:to>
      <xdr:col>40</xdr:col>
      <xdr:colOff>5592</xdr:colOff>
      <xdr:row>189</xdr:row>
      <xdr:rowOff>125110</xdr:rowOff>
    </xdr:to>
    <xdr:sp macro="" textlink="">
      <xdr:nvSpPr>
        <xdr:cNvPr id="270" name="正方形/長方形 269">
          <a:extLst>
            <a:ext uri="{FF2B5EF4-FFF2-40B4-BE49-F238E27FC236}">
              <a16:creationId xmlns:a16="http://schemas.microsoft.com/office/drawing/2014/main" id="{00000000-0008-0000-0400-00000E010000}"/>
            </a:ext>
          </a:extLst>
        </xdr:cNvPr>
        <xdr:cNvSpPr/>
      </xdr:nvSpPr>
      <xdr:spPr>
        <a:xfrm>
          <a:off x="2488180" y="29454685"/>
          <a:ext cx="2448000" cy="186719"/>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6</xdr:col>
      <xdr:colOff>85602</xdr:colOff>
      <xdr:row>188</xdr:row>
      <xdr:rowOff>89778</xdr:rowOff>
    </xdr:from>
    <xdr:to>
      <xdr:col>16</xdr:col>
      <xdr:colOff>120394</xdr:colOff>
      <xdr:row>189</xdr:row>
      <xdr:rowOff>120978</xdr:rowOff>
    </xdr:to>
    <xdr:sp macro="" textlink="">
      <xdr:nvSpPr>
        <xdr:cNvPr id="272" name="正方形/長方形 271">
          <a:extLst>
            <a:ext uri="{FF2B5EF4-FFF2-40B4-BE49-F238E27FC236}">
              <a16:creationId xmlns:a16="http://schemas.microsoft.com/office/drawing/2014/main" id="{00000000-0008-0000-0400-000010010000}"/>
            </a:ext>
          </a:extLst>
        </xdr:cNvPr>
        <xdr:cNvSpPr/>
      </xdr:nvSpPr>
      <xdr:spPr>
        <a:xfrm>
          <a:off x="825190" y="29449190"/>
          <a:ext cx="1267439" cy="188082"/>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43</xdr:col>
      <xdr:colOff>55194</xdr:colOff>
      <xdr:row>188</xdr:row>
      <xdr:rowOff>94909</xdr:rowOff>
    </xdr:from>
    <xdr:to>
      <xdr:col>60</xdr:col>
      <xdr:colOff>30071</xdr:colOff>
      <xdr:row>189</xdr:row>
      <xdr:rowOff>122222</xdr:rowOff>
    </xdr:to>
    <xdr:sp macro="" textlink="">
      <xdr:nvSpPr>
        <xdr:cNvPr id="273" name="正方形/長方形 272">
          <a:extLst>
            <a:ext uri="{FF2B5EF4-FFF2-40B4-BE49-F238E27FC236}">
              <a16:creationId xmlns:a16="http://schemas.microsoft.com/office/drawing/2014/main" id="{00000000-0008-0000-0400-000011010000}"/>
            </a:ext>
          </a:extLst>
        </xdr:cNvPr>
        <xdr:cNvSpPr/>
      </xdr:nvSpPr>
      <xdr:spPr>
        <a:xfrm>
          <a:off x="5355576" y="29454321"/>
          <a:ext cx="2059171" cy="184195"/>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20</xdr:col>
      <xdr:colOff>30173</xdr:colOff>
      <xdr:row>183</xdr:row>
      <xdr:rowOff>139487</xdr:rowOff>
    </xdr:from>
    <xdr:to>
      <xdr:col>28</xdr:col>
      <xdr:colOff>90773</xdr:colOff>
      <xdr:row>185</xdr:row>
      <xdr:rowOff>22023</xdr:rowOff>
    </xdr:to>
    <xdr:sp macro="" textlink="">
      <xdr:nvSpPr>
        <xdr:cNvPr id="96" name="正方形/長方形 95">
          <a:extLst>
            <a:ext uri="{FF2B5EF4-FFF2-40B4-BE49-F238E27FC236}">
              <a16:creationId xmlns:a16="http://schemas.microsoft.com/office/drawing/2014/main" id="{00000000-0008-0000-0400-000060000000}"/>
            </a:ext>
          </a:extLst>
        </xdr:cNvPr>
        <xdr:cNvSpPr/>
      </xdr:nvSpPr>
      <xdr:spPr>
        <a:xfrm>
          <a:off x="2495467" y="28714487"/>
          <a:ext cx="1046718" cy="19630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17847</xdr:colOff>
      <xdr:row>185</xdr:row>
      <xdr:rowOff>90080</xdr:rowOff>
    </xdr:from>
    <xdr:to>
      <xdr:col>40</xdr:col>
      <xdr:colOff>553</xdr:colOff>
      <xdr:row>186</xdr:row>
      <xdr:rowOff>111764</xdr:rowOff>
    </xdr:to>
    <xdr:sp macro="" textlink="">
      <xdr:nvSpPr>
        <xdr:cNvPr id="106" name="正方形/長方形 105">
          <a:extLst>
            <a:ext uri="{FF2B5EF4-FFF2-40B4-BE49-F238E27FC236}">
              <a16:creationId xmlns:a16="http://schemas.microsoft.com/office/drawing/2014/main" id="{00000000-0008-0000-0400-00006A000000}"/>
            </a:ext>
          </a:extLst>
        </xdr:cNvPr>
        <xdr:cNvSpPr/>
      </xdr:nvSpPr>
      <xdr:spPr>
        <a:xfrm>
          <a:off x="2483141" y="28978845"/>
          <a:ext cx="2448000" cy="17856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ja-JP" altLang="en-US" sz="1000">
              <a:solidFill>
                <a:sysClr val="windowText" lastClr="000000"/>
              </a:solidFill>
              <a:latin typeface="ＭＳ Ｐゴシック" panose="020B0600070205080204" pitchFamily="50" charset="-128"/>
              <a:ea typeface="+mn-ea"/>
            </a:rPr>
            <a:t>（</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64</xdr:col>
      <xdr:colOff>47267</xdr:colOff>
      <xdr:row>187</xdr:row>
      <xdr:rowOff>50221</xdr:rowOff>
    </xdr:from>
    <xdr:to>
      <xdr:col>74</xdr:col>
      <xdr:colOff>40815</xdr:colOff>
      <xdr:row>188</xdr:row>
      <xdr:rowOff>78935</xdr:rowOff>
    </xdr:to>
    <xdr:sp macro="" textlink="">
      <xdr:nvSpPr>
        <xdr:cNvPr id="131" name="正方形/長方形 130">
          <a:extLst>
            <a:ext uri="{FF2B5EF4-FFF2-40B4-BE49-F238E27FC236}">
              <a16:creationId xmlns:a16="http://schemas.microsoft.com/office/drawing/2014/main" id="{00000000-0008-0000-0400-000083000000}"/>
            </a:ext>
          </a:extLst>
        </xdr:cNvPr>
        <xdr:cNvSpPr/>
      </xdr:nvSpPr>
      <xdr:spPr>
        <a:xfrm>
          <a:off x="7925002" y="29252750"/>
          <a:ext cx="1226195" cy="185597"/>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40371</xdr:colOff>
      <xdr:row>185</xdr:row>
      <xdr:rowOff>87338</xdr:rowOff>
    </xdr:from>
    <xdr:to>
      <xdr:col>74</xdr:col>
      <xdr:colOff>35288</xdr:colOff>
      <xdr:row>186</xdr:row>
      <xdr:rowOff>117073</xdr:rowOff>
    </xdr:to>
    <xdr:sp macro="" textlink="">
      <xdr:nvSpPr>
        <xdr:cNvPr id="136" name="正方形/長方形 135">
          <a:extLst>
            <a:ext uri="{FF2B5EF4-FFF2-40B4-BE49-F238E27FC236}">
              <a16:creationId xmlns:a16="http://schemas.microsoft.com/office/drawing/2014/main" id="{00000000-0008-0000-0400-000088000000}"/>
            </a:ext>
          </a:extLst>
        </xdr:cNvPr>
        <xdr:cNvSpPr/>
      </xdr:nvSpPr>
      <xdr:spPr>
        <a:xfrm>
          <a:off x="7798916" y="28783565"/>
          <a:ext cx="1207190" cy="18559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ja-JP" altLang="en-US" sz="1000">
              <a:solidFill>
                <a:sysClr val="windowText" lastClr="000000"/>
              </a:solidFill>
              <a:latin typeface="ＭＳ Ｐゴシック" panose="020B0600070205080204" pitchFamily="50" charset="-128"/>
              <a:ea typeface="+mn-ea"/>
            </a:rPr>
            <a:t>（</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64</xdr:col>
      <xdr:colOff>47267</xdr:colOff>
      <xdr:row>188</xdr:row>
      <xdr:rowOff>85620</xdr:rowOff>
    </xdr:from>
    <xdr:to>
      <xdr:col>74</xdr:col>
      <xdr:colOff>40815</xdr:colOff>
      <xdr:row>189</xdr:row>
      <xdr:rowOff>115355</xdr:rowOff>
    </xdr:to>
    <xdr:sp macro="" textlink="">
      <xdr:nvSpPr>
        <xdr:cNvPr id="271" name="正方形/長方形 270">
          <a:extLst>
            <a:ext uri="{FF2B5EF4-FFF2-40B4-BE49-F238E27FC236}">
              <a16:creationId xmlns:a16="http://schemas.microsoft.com/office/drawing/2014/main" id="{00000000-0008-0000-0400-00000F010000}"/>
            </a:ext>
          </a:extLst>
        </xdr:cNvPr>
        <xdr:cNvSpPr/>
      </xdr:nvSpPr>
      <xdr:spPr>
        <a:xfrm>
          <a:off x="7925002" y="29445032"/>
          <a:ext cx="1226195" cy="186617"/>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11</xdr:col>
      <xdr:colOff>79243</xdr:colOff>
      <xdr:row>176</xdr:row>
      <xdr:rowOff>37355</xdr:rowOff>
    </xdr:from>
    <xdr:to>
      <xdr:col>17</xdr:col>
      <xdr:colOff>41143</xdr:colOff>
      <xdr:row>185</xdr:row>
      <xdr:rowOff>11101</xdr:rowOff>
    </xdr:to>
    <xdr:sp macro="" textlink="">
      <xdr:nvSpPr>
        <xdr:cNvPr id="343" name="正方形/長方形 342">
          <a:extLst>
            <a:ext uri="{FF2B5EF4-FFF2-40B4-BE49-F238E27FC236}">
              <a16:creationId xmlns:a16="http://schemas.microsoft.com/office/drawing/2014/main" id="{00000000-0008-0000-0400-000057010000}"/>
            </a:ext>
          </a:extLst>
        </xdr:cNvPr>
        <xdr:cNvSpPr/>
      </xdr:nvSpPr>
      <xdr:spPr>
        <a:xfrm>
          <a:off x="1435155" y="27514179"/>
          <a:ext cx="701488" cy="1385687"/>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6</xdr:col>
      <xdr:colOff>56030</xdr:colOff>
      <xdr:row>187</xdr:row>
      <xdr:rowOff>16144</xdr:rowOff>
    </xdr:from>
    <xdr:to>
      <xdr:col>74</xdr:col>
      <xdr:colOff>87198</xdr:colOff>
      <xdr:row>189</xdr:row>
      <xdr:rowOff>152807</xdr:rowOff>
    </xdr:to>
    <xdr:sp macro="" textlink="">
      <xdr:nvSpPr>
        <xdr:cNvPr id="344" name="正方形/長方形 343">
          <a:extLst>
            <a:ext uri="{FF2B5EF4-FFF2-40B4-BE49-F238E27FC236}">
              <a16:creationId xmlns:a16="http://schemas.microsoft.com/office/drawing/2014/main" id="{00000000-0008-0000-0400-000058010000}"/>
            </a:ext>
          </a:extLst>
        </xdr:cNvPr>
        <xdr:cNvSpPr/>
      </xdr:nvSpPr>
      <xdr:spPr>
        <a:xfrm>
          <a:off x="795618" y="29218673"/>
          <a:ext cx="8401962" cy="450428"/>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19</xdr:col>
      <xdr:colOff>121265</xdr:colOff>
      <xdr:row>183</xdr:row>
      <xdr:rowOff>138390</xdr:rowOff>
    </xdr:from>
    <xdr:to>
      <xdr:col>28</xdr:col>
      <xdr:colOff>121106</xdr:colOff>
      <xdr:row>185</xdr:row>
      <xdr:rowOff>34552</xdr:rowOff>
    </xdr:to>
    <xdr:sp macro="" textlink="">
      <xdr:nvSpPr>
        <xdr:cNvPr id="345" name="正方形/長方形 344">
          <a:extLst>
            <a:ext uri="{FF2B5EF4-FFF2-40B4-BE49-F238E27FC236}">
              <a16:creationId xmlns:a16="http://schemas.microsoft.com/office/drawing/2014/main" id="{00000000-0008-0000-0400-000059010000}"/>
            </a:ext>
          </a:extLst>
        </xdr:cNvPr>
        <xdr:cNvSpPr/>
      </xdr:nvSpPr>
      <xdr:spPr>
        <a:xfrm>
          <a:off x="2463294" y="28713390"/>
          <a:ext cx="1109224" cy="209927"/>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28</xdr:col>
      <xdr:colOff>123262</xdr:colOff>
      <xdr:row>176</xdr:row>
      <xdr:rowOff>62668</xdr:rowOff>
    </xdr:from>
    <xdr:to>
      <xdr:col>38</xdr:col>
      <xdr:colOff>17611</xdr:colOff>
      <xdr:row>185</xdr:row>
      <xdr:rowOff>34552</xdr:rowOff>
    </xdr:to>
    <xdr:sp macro="" textlink="">
      <xdr:nvSpPr>
        <xdr:cNvPr id="346" name="正方形/長方形 345">
          <a:extLst>
            <a:ext uri="{FF2B5EF4-FFF2-40B4-BE49-F238E27FC236}">
              <a16:creationId xmlns:a16="http://schemas.microsoft.com/office/drawing/2014/main" id="{00000000-0008-0000-0400-00005A010000}"/>
            </a:ext>
          </a:extLst>
        </xdr:cNvPr>
        <xdr:cNvSpPr/>
      </xdr:nvSpPr>
      <xdr:spPr>
        <a:xfrm>
          <a:off x="3574674" y="27539492"/>
          <a:ext cx="1126996" cy="138382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43</xdr:col>
      <xdr:colOff>17617</xdr:colOff>
      <xdr:row>176</xdr:row>
      <xdr:rowOff>58186</xdr:rowOff>
    </xdr:from>
    <xdr:to>
      <xdr:col>60</xdr:col>
      <xdr:colOff>64121</xdr:colOff>
      <xdr:row>185</xdr:row>
      <xdr:rowOff>31088</xdr:rowOff>
    </xdr:to>
    <xdr:sp macro="" textlink="">
      <xdr:nvSpPr>
        <xdr:cNvPr id="347" name="正方形/長方形 346">
          <a:extLst>
            <a:ext uri="{FF2B5EF4-FFF2-40B4-BE49-F238E27FC236}">
              <a16:creationId xmlns:a16="http://schemas.microsoft.com/office/drawing/2014/main" id="{00000000-0008-0000-0400-00005B010000}"/>
            </a:ext>
          </a:extLst>
        </xdr:cNvPr>
        <xdr:cNvSpPr/>
      </xdr:nvSpPr>
      <xdr:spPr>
        <a:xfrm>
          <a:off x="5230390" y="27351641"/>
          <a:ext cx="2107367" cy="137567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65</xdr:col>
      <xdr:colOff>112308</xdr:colOff>
      <xdr:row>176</xdr:row>
      <xdr:rowOff>58186</xdr:rowOff>
    </xdr:from>
    <xdr:to>
      <xdr:col>74</xdr:col>
      <xdr:colOff>90126</xdr:colOff>
      <xdr:row>185</xdr:row>
      <xdr:rowOff>30070</xdr:rowOff>
    </xdr:to>
    <xdr:sp macro="" textlink="">
      <xdr:nvSpPr>
        <xdr:cNvPr id="348" name="正方形/長方形 347">
          <a:extLst>
            <a:ext uri="{FF2B5EF4-FFF2-40B4-BE49-F238E27FC236}">
              <a16:creationId xmlns:a16="http://schemas.microsoft.com/office/drawing/2014/main" id="{00000000-0008-0000-0400-00005C010000}"/>
            </a:ext>
          </a:extLst>
        </xdr:cNvPr>
        <xdr:cNvSpPr/>
      </xdr:nvSpPr>
      <xdr:spPr>
        <a:xfrm>
          <a:off x="7992081" y="27351641"/>
          <a:ext cx="1068863" cy="1374656"/>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6</xdr:col>
      <xdr:colOff>58616</xdr:colOff>
      <xdr:row>185</xdr:row>
      <xdr:rowOff>75229</xdr:rowOff>
    </xdr:from>
    <xdr:to>
      <xdr:col>74</xdr:col>
      <xdr:colOff>93310</xdr:colOff>
      <xdr:row>186</xdr:row>
      <xdr:rowOff>119191</xdr:rowOff>
    </xdr:to>
    <xdr:sp macro="" textlink="">
      <xdr:nvSpPr>
        <xdr:cNvPr id="188" name="正方形/長方形 187">
          <a:extLst>
            <a:ext uri="{FF2B5EF4-FFF2-40B4-BE49-F238E27FC236}">
              <a16:creationId xmlns:a16="http://schemas.microsoft.com/office/drawing/2014/main" id="{00000000-0008-0000-0400-0000BC000000}"/>
            </a:ext>
          </a:extLst>
        </xdr:cNvPr>
        <xdr:cNvSpPr/>
      </xdr:nvSpPr>
      <xdr:spPr>
        <a:xfrm>
          <a:off x="805962" y="28415767"/>
          <a:ext cx="8497290" cy="197828"/>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38</xdr:col>
      <xdr:colOff>69593</xdr:colOff>
      <xdr:row>176</xdr:row>
      <xdr:rowOff>111148</xdr:rowOff>
    </xdr:from>
    <xdr:to>
      <xdr:col>40</xdr:col>
      <xdr:colOff>11065</xdr:colOff>
      <xdr:row>185</xdr:row>
      <xdr:rowOff>36918</xdr:rowOff>
    </xdr:to>
    <xdr:sp macro="" textlink="">
      <xdr:nvSpPr>
        <xdr:cNvPr id="189" name="正方形/長方形 188">
          <a:extLst>
            <a:ext uri="{FF2B5EF4-FFF2-40B4-BE49-F238E27FC236}">
              <a16:creationId xmlns:a16="http://schemas.microsoft.com/office/drawing/2014/main" id="{00000000-0008-0000-0400-0000BD000000}"/>
            </a:ext>
          </a:extLst>
        </xdr:cNvPr>
        <xdr:cNvSpPr/>
      </xdr:nvSpPr>
      <xdr:spPr>
        <a:xfrm>
          <a:off x="4753652" y="27587972"/>
          <a:ext cx="188001" cy="133771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RSC</a:t>
          </a:r>
          <a:r>
            <a:rPr kumimoji="1" lang="ja-JP" altLang="en-US" sz="1000">
              <a:solidFill>
                <a:schemeClr val="tx1"/>
              </a:solidFill>
              <a:latin typeface="ＭＳ Ｐゴシック" panose="020B0600070205080204" pitchFamily="50" charset="-128"/>
              <a:ea typeface="ＭＳ Ｐゴシック" panose="020B0600070205080204" pitchFamily="50" charset="-128"/>
            </a:rPr>
            <a:t>クライアント</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49</xdr:col>
      <xdr:colOff>89646</xdr:colOff>
      <xdr:row>251</xdr:row>
      <xdr:rowOff>78442</xdr:rowOff>
    </xdr:from>
    <xdr:to>
      <xdr:col>82</xdr:col>
      <xdr:colOff>44824</xdr:colOff>
      <xdr:row>256</xdr:row>
      <xdr:rowOff>123266</xdr:rowOff>
    </xdr:to>
    <xdr:sp macro="" textlink="">
      <xdr:nvSpPr>
        <xdr:cNvPr id="6" name="四角形吹き出し 5">
          <a:extLst>
            <a:ext uri="{FF2B5EF4-FFF2-40B4-BE49-F238E27FC236}">
              <a16:creationId xmlns:a16="http://schemas.microsoft.com/office/drawing/2014/main" id="{00000000-0008-0000-0500-000006000000}"/>
            </a:ext>
          </a:extLst>
        </xdr:cNvPr>
        <xdr:cNvSpPr/>
      </xdr:nvSpPr>
      <xdr:spPr>
        <a:xfrm>
          <a:off x="6118411" y="39321442"/>
          <a:ext cx="4022913" cy="829236"/>
        </a:xfrm>
        <a:prstGeom prst="wedgeRectCallout">
          <a:avLst>
            <a:gd name="adj1" fmla="val -54461"/>
            <a:gd name="adj2" fmla="val 14856"/>
          </a:avLst>
        </a:prstGeom>
        <a:solidFill>
          <a:srgbClr val="FFFF00"/>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0" numCol="1" spcCol="0" rtlCol="0" fromWordArt="0" anchor="t" anchorCtr="0" forceAA="0" compatLnSpc="1">
          <a:prstTxWarp prst="textNoShape">
            <a:avLst/>
          </a:prstTxWarp>
          <a:noAutofit/>
        </a:bodyPr>
        <a:lstStyle/>
        <a:p>
          <a:pPr algn="l"/>
          <a:r>
            <a:rPr kumimoji="1" lang="ja-JP" altLang="en-US" sz="900">
              <a:solidFill>
                <a:srgbClr val="FF0000"/>
              </a:solidFill>
              <a:latin typeface="+mn-ea"/>
              <a:ea typeface="+mn-ea"/>
            </a:rPr>
            <a:t>本書執筆時点（</a:t>
          </a:r>
          <a:r>
            <a:rPr kumimoji="1" lang="en-US" altLang="ja-JP" sz="900">
              <a:solidFill>
                <a:srgbClr val="FF0000"/>
              </a:solidFill>
              <a:latin typeface="+mn-ea"/>
              <a:ea typeface="+mn-ea"/>
            </a:rPr>
            <a:t>2018</a:t>
          </a:r>
          <a:r>
            <a:rPr kumimoji="1" lang="ja-JP" altLang="en-US" sz="900">
              <a:solidFill>
                <a:srgbClr val="FF0000"/>
              </a:solidFill>
              <a:latin typeface="+mn-ea"/>
              <a:ea typeface="+mn-ea"/>
            </a:rPr>
            <a:t>年</a:t>
          </a:r>
          <a:r>
            <a:rPr kumimoji="1" lang="en-US" altLang="ja-JP" sz="900">
              <a:solidFill>
                <a:srgbClr val="FF0000"/>
              </a:solidFill>
              <a:latin typeface="+mn-ea"/>
              <a:ea typeface="+mn-ea"/>
            </a:rPr>
            <a:t>12</a:t>
          </a:r>
          <a:r>
            <a:rPr kumimoji="1" lang="ja-JP" altLang="en-US" sz="900">
              <a:solidFill>
                <a:srgbClr val="FF0000"/>
              </a:solidFill>
              <a:latin typeface="+mn-ea"/>
              <a:ea typeface="+mn-ea"/>
            </a:rPr>
            <a:t>月</a:t>
          </a:r>
          <a:r>
            <a:rPr kumimoji="1" lang="en-US" altLang="ja-JP" sz="900">
              <a:solidFill>
                <a:srgbClr val="FF0000"/>
              </a:solidFill>
              <a:latin typeface="+mn-ea"/>
              <a:ea typeface="+mn-ea"/>
            </a:rPr>
            <a:t>14</a:t>
          </a:r>
          <a:r>
            <a:rPr kumimoji="1" lang="ja-JP" altLang="en-US" sz="900">
              <a:solidFill>
                <a:srgbClr val="FF0000"/>
              </a:solidFill>
              <a:latin typeface="+mn-ea"/>
              <a:ea typeface="+mn-ea"/>
            </a:rPr>
            <a:t>日）の想定。</a:t>
          </a:r>
          <a:r>
            <a:rPr kumimoji="1" lang="en-US" altLang="ja-JP" sz="900">
              <a:solidFill>
                <a:srgbClr val="FF0000"/>
              </a:solidFill>
              <a:latin typeface="+mn-ea"/>
              <a:ea typeface="+mn-ea"/>
            </a:rPr>
            <a:t>SMCC</a:t>
          </a:r>
          <a:r>
            <a:rPr kumimoji="1" lang="ja-JP" altLang="en-US" sz="900">
              <a:solidFill>
                <a:srgbClr val="FF0000"/>
              </a:solidFill>
              <a:latin typeface="+mn-ea"/>
              <a:ea typeface="+mn-ea"/>
            </a:rPr>
            <a:t>にてウイルスバスター導入を検討しており、検討結果により、構成を統一する目的で</a:t>
          </a:r>
          <a:r>
            <a:rPr kumimoji="1" lang="en-US" altLang="ja-JP" sz="900">
              <a:solidFill>
                <a:srgbClr val="FF0000"/>
              </a:solidFill>
              <a:latin typeface="+mn-ea"/>
              <a:ea typeface="+mn-ea"/>
            </a:rPr>
            <a:t>SMCC</a:t>
          </a:r>
          <a:r>
            <a:rPr kumimoji="1" lang="ja-JP" altLang="en-US" sz="900">
              <a:solidFill>
                <a:srgbClr val="FF0000"/>
              </a:solidFill>
              <a:latin typeface="+mn-ea"/>
              <a:ea typeface="+mn-ea"/>
            </a:rPr>
            <a:t>／セディナともにウイルスバスターに変更する可能性あり。</a:t>
          </a:r>
        </a:p>
        <a:p>
          <a:pPr algn="l"/>
          <a:r>
            <a:rPr kumimoji="1" lang="ja-JP" altLang="en-US" sz="900">
              <a:solidFill>
                <a:srgbClr val="FF0000"/>
              </a:solidFill>
              <a:latin typeface="+mn-ea"/>
              <a:ea typeface="+mn-ea"/>
            </a:rPr>
            <a:t>⇒ウイルスバスターへ変更する場合は再度更新する。</a:t>
          </a:r>
        </a:p>
        <a:p>
          <a:pPr algn="l"/>
          <a:endParaRPr kumimoji="1" lang="ja-JP" altLang="en-US" sz="900">
            <a:solidFill>
              <a:srgbClr val="FF0000"/>
            </a:solidFill>
            <a:latin typeface="+mn-ea"/>
            <a:ea typeface="+mn-ea"/>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54428</xdr:colOff>
      <xdr:row>51</xdr:row>
      <xdr:rowOff>44825</xdr:rowOff>
    </xdr:from>
    <xdr:to>
      <xdr:col>51</xdr:col>
      <xdr:colOff>88045</xdr:colOff>
      <xdr:row>88</xdr:row>
      <xdr:rowOff>95250</xdr:rowOff>
    </xdr:to>
    <xdr:sp macro="" textlink="">
      <xdr:nvSpPr>
        <xdr:cNvPr id="2" name="角丸四角形 1">
          <a:extLst>
            <a:ext uri="{FF2B5EF4-FFF2-40B4-BE49-F238E27FC236}">
              <a16:creationId xmlns:a16="http://schemas.microsoft.com/office/drawing/2014/main" id="{00000000-0008-0000-0600-000002000000}"/>
            </a:ext>
          </a:extLst>
        </xdr:cNvPr>
        <xdr:cNvSpPr/>
      </xdr:nvSpPr>
      <xdr:spPr>
        <a:xfrm>
          <a:off x="421821" y="8767004"/>
          <a:ext cx="5898295" cy="5588532"/>
        </a:xfrm>
        <a:prstGeom prst="roundRect">
          <a:avLst>
            <a:gd name="adj" fmla="val 1739"/>
          </a:avLst>
        </a:prstGeom>
        <a:no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大和センター</a:t>
          </a:r>
        </a:p>
      </xdr:txBody>
    </xdr:sp>
    <xdr:clientData/>
  </xdr:twoCellAnchor>
  <xdr:twoCellAnchor>
    <xdr:from>
      <xdr:col>55</xdr:col>
      <xdr:colOff>8005</xdr:colOff>
      <xdr:row>51</xdr:row>
      <xdr:rowOff>41621</xdr:rowOff>
    </xdr:from>
    <xdr:to>
      <xdr:col>80</xdr:col>
      <xdr:colOff>47719</xdr:colOff>
      <xdr:row>62</xdr:row>
      <xdr:rowOff>40821</xdr:rowOff>
    </xdr:to>
    <xdr:sp macro="" textlink="">
      <xdr:nvSpPr>
        <xdr:cNvPr id="3" name="角丸四角形 2">
          <a:extLst>
            <a:ext uri="{FF2B5EF4-FFF2-40B4-BE49-F238E27FC236}">
              <a16:creationId xmlns:a16="http://schemas.microsoft.com/office/drawing/2014/main" id="{00000000-0008-0000-0600-000003000000}"/>
            </a:ext>
          </a:extLst>
        </xdr:cNvPr>
        <xdr:cNvSpPr/>
      </xdr:nvSpPr>
      <xdr:spPr>
        <a:xfrm>
          <a:off x="6729934" y="8763800"/>
          <a:ext cx="3101321" cy="1645664"/>
        </a:xfrm>
        <a:prstGeom prst="roundRect">
          <a:avLst>
            <a:gd name="adj" fmla="val 4626"/>
          </a:avLst>
        </a:prstGeom>
        <a:no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拠点（土佐堀）</a:t>
          </a:r>
        </a:p>
      </xdr:txBody>
    </xdr:sp>
    <xdr:clientData/>
  </xdr:twoCellAnchor>
  <xdr:twoCellAnchor>
    <xdr:from>
      <xdr:col>55</xdr:col>
      <xdr:colOff>12810</xdr:colOff>
      <xdr:row>63</xdr:row>
      <xdr:rowOff>111249</xdr:rowOff>
    </xdr:from>
    <xdr:to>
      <xdr:col>80</xdr:col>
      <xdr:colOff>52392</xdr:colOff>
      <xdr:row>76</xdr:row>
      <xdr:rowOff>92044</xdr:rowOff>
    </xdr:to>
    <xdr:sp macro="" textlink="">
      <xdr:nvSpPr>
        <xdr:cNvPr id="4" name="角丸四角形 3">
          <a:extLst>
            <a:ext uri="{FF2B5EF4-FFF2-40B4-BE49-F238E27FC236}">
              <a16:creationId xmlns:a16="http://schemas.microsoft.com/office/drawing/2014/main" id="{00000000-0008-0000-0600-000004000000}"/>
            </a:ext>
          </a:extLst>
        </xdr:cNvPr>
        <xdr:cNvSpPr/>
      </xdr:nvSpPr>
      <xdr:spPr>
        <a:xfrm>
          <a:off x="6781163" y="10454278"/>
          <a:ext cx="3121200" cy="2020266"/>
        </a:xfrm>
        <a:prstGeom prst="roundRect">
          <a:avLst>
            <a:gd name="adj" fmla="val 4830"/>
          </a:avLst>
        </a:prstGeom>
        <a:no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p>
      </xdr:txBody>
    </xdr:sp>
    <xdr:clientData/>
  </xdr:twoCellAnchor>
  <xdr:oneCellAnchor>
    <xdr:from>
      <xdr:col>76</xdr:col>
      <xdr:colOff>9525</xdr:colOff>
      <xdr:row>0</xdr:row>
      <xdr:rowOff>29442</xdr:rowOff>
    </xdr:from>
    <xdr:ext cx="751232" cy="207818"/>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xdr:col>
      <xdr:colOff>59776</xdr:colOff>
      <xdr:row>56</xdr:row>
      <xdr:rowOff>64811</xdr:rowOff>
    </xdr:from>
    <xdr:to>
      <xdr:col>15</xdr:col>
      <xdr:colOff>59776</xdr:colOff>
      <xdr:row>58</xdr:row>
      <xdr:rowOff>118310</xdr:rowOff>
    </xdr:to>
    <xdr:sp macro="" textlink="">
      <xdr:nvSpPr>
        <xdr:cNvPr id="7" name="Rectangle 15">
          <a:extLst>
            <a:ext uri="{FF2B5EF4-FFF2-40B4-BE49-F238E27FC236}">
              <a16:creationId xmlns:a16="http://schemas.microsoft.com/office/drawing/2014/main" id="{00000000-0008-0000-0600-000007000000}"/>
            </a:ext>
          </a:extLst>
        </xdr:cNvPr>
        <xdr:cNvSpPr>
          <a:spLocks noChangeArrowheads="1"/>
        </xdr:cNvSpPr>
      </xdr:nvSpPr>
      <xdr:spPr bwMode="auto">
        <a:xfrm>
          <a:off x="794562" y="9562597"/>
          <a:ext cx="1102178" cy="352856"/>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clientData/>
  </xdr:twoCellAnchor>
  <xdr:twoCellAnchor>
    <xdr:from>
      <xdr:col>6</xdr:col>
      <xdr:colOff>59214</xdr:colOff>
      <xdr:row>59</xdr:row>
      <xdr:rowOff>54766</xdr:rowOff>
    </xdr:from>
    <xdr:to>
      <xdr:col>15</xdr:col>
      <xdr:colOff>59214</xdr:colOff>
      <xdr:row>61</xdr:row>
      <xdr:rowOff>92596</xdr:rowOff>
    </xdr:to>
    <xdr:sp macro="" textlink="">
      <xdr:nvSpPr>
        <xdr:cNvPr id="8" name="Rectangle 15">
          <a:extLst>
            <a:ext uri="{FF2B5EF4-FFF2-40B4-BE49-F238E27FC236}">
              <a16:creationId xmlns:a16="http://schemas.microsoft.com/office/drawing/2014/main" id="{00000000-0008-0000-0600-000008000000}"/>
            </a:ext>
          </a:extLst>
        </xdr:cNvPr>
        <xdr:cNvSpPr>
          <a:spLocks noChangeArrowheads="1"/>
        </xdr:cNvSpPr>
      </xdr:nvSpPr>
      <xdr:spPr bwMode="auto">
        <a:xfrm>
          <a:off x="794000" y="10001587"/>
          <a:ext cx="1102178" cy="337188"/>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clientData/>
  </xdr:twoCellAnchor>
  <xdr:twoCellAnchor>
    <xdr:from>
      <xdr:col>6</xdr:col>
      <xdr:colOff>59214</xdr:colOff>
      <xdr:row>53</xdr:row>
      <xdr:rowOff>88763</xdr:rowOff>
    </xdr:from>
    <xdr:to>
      <xdr:col>15</xdr:col>
      <xdr:colOff>59214</xdr:colOff>
      <xdr:row>55</xdr:row>
      <xdr:rowOff>131521</xdr:rowOff>
    </xdr:to>
    <xdr:sp macro="" textlink="">
      <xdr:nvSpPr>
        <xdr:cNvPr id="9" name="Rectangle 15">
          <a:extLst>
            <a:ext uri="{FF2B5EF4-FFF2-40B4-BE49-F238E27FC236}">
              <a16:creationId xmlns:a16="http://schemas.microsoft.com/office/drawing/2014/main" id="{00000000-0008-0000-0600-000009000000}"/>
            </a:ext>
          </a:extLst>
        </xdr:cNvPr>
        <xdr:cNvSpPr>
          <a:spLocks noChangeArrowheads="1"/>
        </xdr:cNvSpPr>
      </xdr:nvSpPr>
      <xdr:spPr bwMode="auto">
        <a:xfrm>
          <a:off x="794000" y="9137513"/>
          <a:ext cx="1102178" cy="342115"/>
        </a:xfrm>
        <a:prstGeom prst="rect">
          <a:avLst/>
        </a:prstGeom>
        <a:no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68</xdr:col>
      <xdr:colOff>48726</xdr:colOff>
      <xdr:row>53</xdr:row>
      <xdr:rowOff>60783</xdr:rowOff>
    </xdr:from>
    <xdr:to>
      <xdr:col>77</xdr:col>
      <xdr:colOff>91343</xdr:colOff>
      <xdr:row>55</xdr:row>
      <xdr:rowOff>99818</xdr:rowOff>
    </xdr:to>
    <xdr:sp macro="" textlink="">
      <xdr:nvSpPr>
        <xdr:cNvPr id="10" name="Rectangle 15">
          <a:extLst>
            <a:ext uri="{FF2B5EF4-FFF2-40B4-BE49-F238E27FC236}">
              <a16:creationId xmlns:a16="http://schemas.microsoft.com/office/drawing/2014/main" id="{00000000-0008-0000-0600-00000A000000}"/>
            </a:ext>
          </a:extLst>
        </xdr:cNvPr>
        <xdr:cNvSpPr>
          <a:spLocks noChangeArrowheads="1"/>
        </xdr:cNvSpPr>
      </xdr:nvSpPr>
      <xdr:spPr bwMode="auto">
        <a:xfrm>
          <a:off x="8362690" y="9082319"/>
          <a:ext cx="1144796" cy="338392"/>
        </a:xfrm>
        <a:prstGeom prst="rect">
          <a:avLst/>
        </a:prstGeom>
        <a:no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15</xdr:col>
      <xdr:colOff>59776</xdr:colOff>
      <xdr:row>56</xdr:row>
      <xdr:rowOff>127231</xdr:rowOff>
    </xdr:from>
    <xdr:to>
      <xdr:col>20</xdr:col>
      <xdr:colOff>33854</xdr:colOff>
      <xdr:row>57</xdr:row>
      <xdr:rowOff>91561</xdr:rowOff>
    </xdr:to>
    <xdr:cxnSp macro="">
      <xdr:nvCxnSpPr>
        <xdr:cNvPr id="11" name="直線コネクタ 10">
          <a:extLst>
            <a:ext uri="{FF2B5EF4-FFF2-40B4-BE49-F238E27FC236}">
              <a16:creationId xmlns:a16="http://schemas.microsoft.com/office/drawing/2014/main" id="{00000000-0008-0000-0600-00000B000000}"/>
            </a:ext>
          </a:extLst>
        </xdr:cNvPr>
        <xdr:cNvCxnSpPr>
          <a:stCxn id="25" idx="2"/>
          <a:endCxn id="7" idx="3"/>
        </xdr:cNvCxnSpPr>
      </xdr:nvCxnSpPr>
      <xdr:spPr>
        <a:xfrm flipH="1">
          <a:off x="1896740" y="9625017"/>
          <a:ext cx="586400" cy="114008"/>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59214</xdr:colOff>
      <xdr:row>56</xdr:row>
      <xdr:rowOff>127231</xdr:rowOff>
    </xdr:from>
    <xdr:to>
      <xdr:col>20</xdr:col>
      <xdr:colOff>33854</xdr:colOff>
      <xdr:row>60</xdr:row>
      <xdr:rowOff>73682</xdr:rowOff>
    </xdr:to>
    <xdr:cxnSp macro="">
      <xdr:nvCxnSpPr>
        <xdr:cNvPr id="12" name="直線コネクタ 11">
          <a:extLst>
            <a:ext uri="{FF2B5EF4-FFF2-40B4-BE49-F238E27FC236}">
              <a16:creationId xmlns:a16="http://schemas.microsoft.com/office/drawing/2014/main" id="{00000000-0008-0000-0600-00000C000000}"/>
            </a:ext>
          </a:extLst>
        </xdr:cNvPr>
        <xdr:cNvCxnSpPr>
          <a:stCxn id="25" idx="2"/>
          <a:endCxn id="8" idx="3"/>
        </xdr:cNvCxnSpPr>
      </xdr:nvCxnSpPr>
      <xdr:spPr>
        <a:xfrm flipH="1">
          <a:off x="1896178" y="9625017"/>
          <a:ext cx="586962" cy="54516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59214</xdr:colOff>
      <xdr:row>54</xdr:row>
      <xdr:rowOff>110143</xdr:rowOff>
    </xdr:from>
    <xdr:to>
      <xdr:col>20</xdr:col>
      <xdr:colOff>33854</xdr:colOff>
      <xdr:row>56</xdr:row>
      <xdr:rowOff>127231</xdr:rowOff>
    </xdr:to>
    <xdr:cxnSp macro="">
      <xdr:nvCxnSpPr>
        <xdr:cNvPr id="13" name="直線コネクタ 12">
          <a:extLst>
            <a:ext uri="{FF2B5EF4-FFF2-40B4-BE49-F238E27FC236}">
              <a16:creationId xmlns:a16="http://schemas.microsoft.com/office/drawing/2014/main" id="{00000000-0008-0000-0600-00000D000000}"/>
            </a:ext>
          </a:extLst>
        </xdr:cNvPr>
        <xdr:cNvCxnSpPr>
          <a:stCxn id="25" idx="2"/>
          <a:endCxn id="9" idx="3"/>
        </xdr:cNvCxnSpPr>
      </xdr:nvCxnSpPr>
      <xdr:spPr>
        <a:xfrm flipH="1" flipV="1">
          <a:off x="1896178" y="9308572"/>
          <a:ext cx="586962" cy="31644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48725</xdr:colOff>
      <xdr:row>56</xdr:row>
      <xdr:rowOff>19157</xdr:rowOff>
    </xdr:from>
    <xdr:to>
      <xdr:col>77</xdr:col>
      <xdr:colOff>91342</xdr:colOff>
      <xdr:row>58</xdr:row>
      <xdr:rowOff>50988</xdr:rowOff>
    </xdr:to>
    <xdr:sp macro="" textlink="">
      <xdr:nvSpPr>
        <xdr:cNvPr id="14" name="Rectangle 15">
          <a:extLst>
            <a:ext uri="{FF2B5EF4-FFF2-40B4-BE49-F238E27FC236}">
              <a16:creationId xmlns:a16="http://schemas.microsoft.com/office/drawing/2014/main" id="{00000000-0008-0000-0600-00000E000000}"/>
            </a:ext>
          </a:extLst>
        </xdr:cNvPr>
        <xdr:cNvSpPr>
          <a:spLocks noChangeArrowheads="1"/>
        </xdr:cNvSpPr>
      </xdr:nvSpPr>
      <xdr:spPr bwMode="auto">
        <a:xfrm>
          <a:off x="8362689" y="9489728"/>
          <a:ext cx="1144796" cy="331189"/>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CuSIS</a:t>
          </a:r>
        </a:p>
      </xdr:txBody>
    </xdr:sp>
    <xdr:clientData/>
  </xdr:twoCellAnchor>
  <xdr:twoCellAnchor>
    <xdr:from>
      <xdr:col>64</xdr:col>
      <xdr:colOff>37704</xdr:colOff>
      <xdr:row>57</xdr:row>
      <xdr:rowOff>38382</xdr:rowOff>
    </xdr:from>
    <xdr:to>
      <xdr:col>68</xdr:col>
      <xdr:colOff>48727</xdr:colOff>
      <xdr:row>59</xdr:row>
      <xdr:rowOff>155351</xdr:rowOff>
    </xdr:to>
    <xdr:cxnSp macro="">
      <xdr:nvCxnSpPr>
        <xdr:cNvPr id="15" name="直線コネクタ 14">
          <a:extLst>
            <a:ext uri="{FF2B5EF4-FFF2-40B4-BE49-F238E27FC236}">
              <a16:creationId xmlns:a16="http://schemas.microsoft.com/office/drawing/2014/main" id="{00000000-0008-0000-0600-00000F000000}"/>
            </a:ext>
          </a:extLst>
        </xdr:cNvPr>
        <xdr:cNvCxnSpPr>
          <a:stCxn id="28" idx="1"/>
          <a:endCxn id="34" idx="6"/>
        </xdr:cNvCxnSpPr>
      </xdr:nvCxnSpPr>
      <xdr:spPr>
        <a:xfrm flipH="1" flipV="1">
          <a:off x="7915439" y="9283235"/>
          <a:ext cx="504082" cy="43073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101417</xdr:colOff>
      <xdr:row>78</xdr:row>
      <xdr:rowOff>31772</xdr:rowOff>
    </xdr:from>
    <xdr:to>
      <xdr:col>80</xdr:col>
      <xdr:colOff>100794</xdr:colOff>
      <xdr:row>88</xdr:row>
      <xdr:rowOff>91639</xdr:rowOff>
    </xdr:to>
    <xdr:grpSp>
      <xdr:nvGrpSpPr>
        <xdr:cNvPr id="97" name="グループ化 96">
          <a:extLst>
            <a:ext uri="{FF2B5EF4-FFF2-40B4-BE49-F238E27FC236}">
              <a16:creationId xmlns:a16="http://schemas.microsoft.com/office/drawing/2014/main" id="{00000000-0008-0000-0600-000061000000}"/>
            </a:ext>
          </a:extLst>
        </xdr:cNvPr>
        <xdr:cNvGrpSpPr/>
      </xdr:nvGrpSpPr>
      <xdr:grpSpPr>
        <a:xfrm>
          <a:off x="8225682" y="12571154"/>
          <a:ext cx="1725083" cy="1628691"/>
          <a:chOff x="8143239" y="12772860"/>
          <a:chExt cx="1713877" cy="1556653"/>
        </a:xfrm>
      </xdr:grpSpPr>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8143239" y="12772860"/>
            <a:ext cx="1669337" cy="155665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8" name="Text Box 213">
            <a:extLst>
              <a:ext uri="{FF2B5EF4-FFF2-40B4-BE49-F238E27FC236}">
                <a16:creationId xmlns:a16="http://schemas.microsoft.com/office/drawing/2014/main" id="{00000000-0008-0000-0600-000012000000}"/>
              </a:ext>
            </a:extLst>
          </xdr:cNvPr>
          <xdr:cNvSpPr txBox="1">
            <a:spLocks noChangeArrowheads="1"/>
          </xdr:cNvSpPr>
        </xdr:nvSpPr>
        <xdr:spPr bwMode="auto">
          <a:xfrm>
            <a:off x="8322143" y="13832837"/>
            <a:ext cx="437737" cy="193252"/>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9" name="Text Box 213">
            <a:extLst>
              <a:ext uri="{FF2B5EF4-FFF2-40B4-BE49-F238E27FC236}">
                <a16:creationId xmlns:a16="http://schemas.microsoft.com/office/drawing/2014/main" id="{00000000-0008-0000-0600-000013000000}"/>
              </a:ext>
            </a:extLst>
          </xdr:cNvPr>
          <xdr:cNvSpPr txBox="1">
            <a:spLocks noChangeArrowheads="1"/>
          </xdr:cNvSpPr>
        </xdr:nvSpPr>
        <xdr:spPr bwMode="auto">
          <a:xfrm>
            <a:off x="8329627" y="13193891"/>
            <a:ext cx="437407" cy="166055"/>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20" name="Text Box 213">
            <a:extLst>
              <a:ext uri="{FF2B5EF4-FFF2-40B4-BE49-F238E27FC236}">
                <a16:creationId xmlns:a16="http://schemas.microsoft.com/office/drawing/2014/main" id="{00000000-0008-0000-0600-000014000000}"/>
              </a:ext>
            </a:extLst>
          </xdr:cNvPr>
          <xdr:cNvSpPr txBox="1">
            <a:spLocks noChangeArrowheads="1"/>
          </xdr:cNvSpPr>
        </xdr:nvSpPr>
        <xdr:spPr bwMode="auto">
          <a:xfrm>
            <a:off x="8322143" y="13511256"/>
            <a:ext cx="444892" cy="165773"/>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21" name="テキスト ボックス 20">
            <a:extLst>
              <a:ext uri="{FF2B5EF4-FFF2-40B4-BE49-F238E27FC236}">
                <a16:creationId xmlns:a16="http://schemas.microsoft.com/office/drawing/2014/main" id="{00000000-0008-0000-0600-000015000000}"/>
              </a:ext>
            </a:extLst>
          </xdr:cNvPr>
          <xdr:cNvSpPr txBox="1"/>
        </xdr:nvSpPr>
        <xdr:spPr>
          <a:xfrm>
            <a:off x="8837074" y="13027367"/>
            <a:ext cx="960070" cy="337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b"/>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2" name="テキスト ボックス 21">
            <a:extLst>
              <a:ext uri="{FF2B5EF4-FFF2-40B4-BE49-F238E27FC236}">
                <a16:creationId xmlns:a16="http://schemas.microsoft.com/office/drawing/2014/main" id="{00000000-0008-0000-0600-000016000000}"/>
              </a:ext>
            </a:extLst>
          </xdr:cNvPr>
          <xdr:cNvSpPr txBox="1"/>
        </xdr:nvSpPr>
        <xdr:spPr>
          <a:xfrm>
            <a:off x="8837074" y="13365413"/>
            <a:ext cx="960069" cy="331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b"/>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a:off x="8837074" y="13652308"/>
            <a:ext cx="1020042" cy="492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b"/>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20</xdr:col>
      <xdr:colOff>34167</xdr:colOff>
      <xdr:row>66</xdr:row>
      <xdr:rowOff>131791</xdr:rowOff>
    </xdr:from>
    <xdr:to>
      <xdr:col>25</xdr:col>
      <xdr:colOff>79304</xdr:colOff>
      <xdr:row>70</xdr:row>
      <xdr:rowOff>54022</xdr:rowOff>
    </xdr:to>
    <xdr:sp macro="" textlink="">
      <xdr:nvSpPr>
        <xdr:cNvPr id="24" name="フローチャート : 和接合 107">
          <a:extLst>
            <a:ext uri="{FF2B5EF4-FFF2-40B4-BE49-F238E27FC236}">
              <a16:creationId xmlns:a16="http://schemas.microsoft.com/office/drawing/2014/main" id="{00000000-0008-0000-0600-000018000000}"/>
            </a:ext>
          </a:extLst>
        </xdr:cNvPr>
        <xdr:cNvSpPr/>
      </xdr:nvSpPr>
      <xdr:spPr>
        <a:xfrm>
          <a:off x="2483453" y="11126362"/>
          <a:ext cx="657458" cy="52094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20</xdr:col>
      <xdr:colOff>33854</xdr:colOff>
      <xdr:row>55</xdr:row>
      <xdr:rowOff>12016</xdr:rowOff>
    </xdr:from>
    <xdr:to>
      <xdr:col>25</xdr:col>
      <xdr:colOff>32078</xdr:colOff>
      <xdr:row>58</xdr:row>
      <xdr:rowOff>85562</xdr:rowOff>
    </xdr:to>
    <xdr:sp macro="" textlink="">
      <xdr:nvSpPr>
        <xdr:cNvPr id="25" name="フローチャート : 和接合 107">
          <a:extLst>
            <a:ext uri="{FF2B5EF4-FFF2-40B4-BE49-F238E27FC236}">
              <a16:creationId xmlns:a16="http://schemas.microsoft.com/office/drawing/2014/main" id="{00000000-0008-0000-0600-000019000000}"/>
            </a:ext>
          </a:extLst>
        </xdr:cNvPr>
        <xdr:cNvSpPr/>
      </xdr:nvSpPr>
      <xdr:spPr>
        <a:xfrm>
          <a:off x="2483140" y="9360123"/>
          <a:ext cx="610545" cy="522582"/>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17</xdr:col>
      <xdr:colOff>64017</xdr:colOff>
      <xdr:row>64</xdr:row>
      <xdr:rowOff>62436</xdr:rowOff>
    </xdr:from>
    <xdr:to>
      <xdr:col>28</xdr:col>
      <xdr:colOff>32821</xdr:colOff>
      <xdr:row>67</xdr:row>
      <xdr:rowOff>38260</xdr:rowOff>
    </xdr:to>
    <xdr:sp macro="" textlink="">
      <xdr:nvSpPr>
        <xdr:cNvPr id="26" name="テキスト ボックス 25">
          <a:extLst>
            <a:ext uri="{FF2B5EF4-FFF2-40B4-BE49-F238E27FC236}">
              <a16:creationId xmlns:a16="http://schemas.microsoft.com/office/drawing/2014/main" id="{00000000-0008-0000-0600-00001A000000}"/>
            </a:ext>
          </a:extLst>
        </xdr:cNvPr>
        <xdr:cNvSpPr txBox="1"/>
      </xdr:nvSpPr>
      <xdr:spPr>
        <a:xfrm>
          <a:off x="2145910" y="10757650"/>
          <a:ext cx="1315911" cy="424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lientData/>
  </xdr:twoCellAnchor>
  <xdr:twoCellAnchor>
    <xdr:from>
      <xdr:col>17</xdr:col>
      <xdr:colOff>53691</xdr:colOff>
      <xdr:row>52</xdr:row>
      <xdr:rowOff>73638</xdr:rowOff>
    </xdr:from>
    <xdr:to>
      <xdr:col>28</xdr:col>
      <xdr:colOff>24657</xdr:colOff>
      <xdr:row>55</xdr:row>
      <xdr:rowOff>70592</xdr:rowOff>
    </xdr:to>
    <xdr:sp macro="" textlink="">
      <xdr:nvSpPr>
        <xdr:cNvPr id="27" name="テキスト ボックス 26">
          <a:extLst>
            <a:ext uri="{FF2B5EF4-FFF2-40B4-BE49-F238E27FC236}">
              <a16:creationId xmlns:a16="http://schemas.microsoft.com/office/drawing/2014/main" id="{00000000-0008-0000-0600-00001B000000}"/>
            </a:ext>
          </a:extLst>
        </xdr:cNvPr>
        <xdr:cNvSpPr txBox="1"/>
      </xdr:nvSpPr>
      <xdr:spPr>
        <a:xfrm>
          <a:off x="2135584" y="8972709"/>
          <a:ext cx="1318073" cy="44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lientData/>
  </xdr:twoCellAnchor>
  <xdr:twoCellAnchor>
    <xdr:from>
      <xdr:col>68</xdr:col>
      <xdr:colOff>48727</xdr:colOff>
      <xdr:row>58</xdr:row>
      <xdr:rowOff>132231</xdr:rowOff>
    </xdr:from>
    <xdr:to>
      <xdr:col>77</xdr:col>
      <xdr:colOff>91345</xdr:colOff>
      <xdr:row>61</xdr:row>
      <xdr:rowOff>21589</xdr:rowOff>
    </xdr:to>
    <xdr:sp macro="" textlink="">
      <xdr:nvSpPr>
        <xdr:cNvPr id="28" name="Rectangle 15">
          <a:extLst>
            <a:ext uri="{FF2B5EF4-FFF2-40B4-BE49-F238E27FC236}">
              <a16:creationId xmlns:a16="http://schemas.microsoft.com/office/drawing/2014/main" id="{00000000-0008-0000-0600-00001C000000}"/>
            </a:ext>
          </a:extLst>
        </xdr:cNvPr>
        <xdr:cNvSpPr>
          <a:spLocks noChangeArrowheads="1"/>
        </xdr:cNvSpPr>
      </xdr:nvSpPr>
      <xdr:spPr bwMode="auto">
        <a:xfrm>
          <a:off x="8419521" y="9533966"/>
          <a:ext cx="1152000" cy="360005"/>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IVR</a:t>
          </a:r>
          <a:r>
            <a:rPr lang="ja-JP" altLang="en-US" sz="900">
              <a:latin typeface="+mn-ea"/>
              <a:ea typeface="+mn-ea"/>
              <a:cs typeface="Meiryo UI" pitchFamily="50" charset="-128"/>
            </a:rPr>
            <a:t>管理画面端末</a:t>
          </a:r>
          <a:endParaRPr lang="en-US" altLang="ja-JP" sz="900">
            <a:latin typeface="+mn-ea"/>
            <a:ea typeface="+mn-ea"/>
            <a:cs typeface="Meiryo UI" pitchFamily="50" charset="-128"/>
          </a:endParaRPr>
        </a:p>
      </xdr:txBody>
    </xdr:sp>
    <xdr:clientData/>
  </xdr:twoCellAnchor>
  <xdr:twoCellAnchor>
    <xdr:from>
      <xdr:col>6</xdr:col>
      <xdr:colOff>52056</xdr:colOff>
      <xdr:row>73</xdr:row>
      <xdr:rowOff>144611</xdr:rowOff>
    </xdr:from>
    <xdr:to>
      <xdr:col>15</xdr:col>
      <xdr:colOff>52057</xdr:colOff>
      <xdr:row>76</xdr:row>
      <xdr:rowOff>51570</xdr:rowOff>
    </xdr:to>
    <xdr:sp macro="" textlink="">
      <xdr:nvSpPr>
        <xdr:cNvPr id="30" name="Rectangle 15">
          <a:extLst>
            <a:ext uri="{FF2B5EF4-FFF2-40B4-BE49-F238E27FC236}">
              <a16:creationId xmlns:a16="http://schemas.microsoft.com/office/drawing/2014/main" id="{00000000-0008-0000-0600-00001E000000}"/>
            </a:ext>
          </a:extLst>
        </xdr:cNvPr>
        <xdr:cNvSpPr>
          <a:spLocks noChangeArrowheads="1"/>
        </xdr:cNvSpPr>
      </xdr:nvSpPr>
      <xdr:spPr bwMode="auto">
        <a:xfrm>
          <a:off x="786842" y="12186932"/>
          <a:ext cx="1102179" cy="355995"/>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p>
      </xdr:txBody>
    </xdr:sp>
    <xdr:clientData/>
  </xdr:twoCellAnchor>
  <xdr:twoCellAnchor>
    <xdr:from>
      <xdr:col>6</xdr:col>
      <xdr:colOff>59214</xdr:colOff>
      <xdr:row>71</xdr:row>
      <xdr:rowOff>12530</xdr:rowOff>
    </xdr:from>
    <xdr:to>
      <xdr:col>15</xdr:col>
      <xdr:colOff>59214</xdr:colOff>
      <xdr:row>73</xdr:row>
      <xdr:rowOff>66702</xdr:rowOff>
    </xdr:to>
    <xdr:sp macro="" textlink="">
      <xdr:nvSpPr>
        <xdr:cNvPr id="31" name="Rectangle 15">
          <a:extLst>
            <a:ext uri="{FF2B5EF4-FFF2-40B4-BE49-F238E27FC236}">
              <a16:creationId xmlns:a16="http://schemas.microsoft.com/office/drawing/2014/main" id="{00000000-0008-0000-0600-00001F000000}"/>
            </a:ext>
          </a:extLst>
        </xdr:cNvPr>
        <xdr:cNvSpPr>
          <a:spLocks noChangeArrowheads="1"/>
        </xdr:cNvSpPr>
      </xdr:nvSpPr>
      <xdr:spPr bwMode="auto">
        <a:xfrm>
          <a:off x="794000" y="11755494"/>
          <a:ext cx="1102178" cy="353529"/>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運用管理</a:t>
          </a:r>
        </a:p>
      </xdr:txBody>
    </xdr:sp>
    <xdr:clientData/>
  </xdr:twoCellAnchor>
  <xdr:twoCellAnchor>
    <xdr:from>
      <xdr:col>64</xdr:col>
      <xdr:colOff>37704</xdr:colOff>
      <xdr:row>57</xdr:row>
      <xdr:rowOff>31471</xdr:rowOff>
    </xdr:from>
    <xdr:to>
      <xdr:col>68</xdr:col>
      <xdr:colOff>48725</xdr:colOff>
      <xdr:row>57</xdr:row>
      <xdr:rowOff>34781</xdr:rowOff>
    </xdr:to>
    <xdr:cxnSp macro="">
      <xdr:nvCxnSpPr>
        <xdr:cNvPr id="32" name="直線コネクタ 31">
          <a:extLst>
            <a:ext uri="{FF2B5EF4-FFF2-40B4-BE49-F238E27FC236}">
              <a16:creationId xmlns:a16="http://schemas.microsoft.com/office/drawing/2014/main" id="{00000000-0008-0000-0600-000020000000}"/>
            </a:ext>
          </a:extLst>
        </xdr:cNvPr>
        <xdr:cNvCxnSpPr>
          <a:stCxn id="14" idx="1"/>
          <a:endCxn id="34" idx="6"/>
        </xdr:cNvCxnSpPr>
      </xdr:nvCxnSpPr>
      <xdr:spPr>
        <a:xfrm flipH="1">
          <a:off x="7861811" y="9651721"/>
          <a:ext cx="500878" cy="331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37704</xdr:colOff>
      <xdr:row>54</xdr:row>
      <xdr:rowOff>80301</xdr:rowOff>
    </xdr:from>
    <xdr:to>
      <xdr:col>68</xdr:col>
      <xdr:colOff>48726</xdr:colOff>
      <xdr:row>57</xdr:row>
      <xdr:rowOff>34781</xdr:rowOff>
    </xdr:to>
    <xdr:cxnSp macro="">
      <xdr:nvCxnSpPr>
        <xdr:cNvPr id="33" name="直線コネクタ 32">
          <a:extLst>
            <a:ext uri="{FF2B5EF4-FFF2-40B4-BE49-F238E27FC236}">
              <a16:creationId xmlns:a16="http://schemas.microsoft.com/office/drawing/2014/main" id="{00000000-0008-0000-0600-000021000000}"/>
            </a:ext>
          </a:extLst>
        </xdr:cNvPr>
        <xdr:cNvCxnSpPr>
          <a:stCxn id="10" idx="1"/>
          <a:endCxn id="34" idx="6"/>
        </xdr:cNvCxnSpPr>
      </xdr:nvCxnSpPr>
      <xdr:spPr>
        <a:xfrm flipH="1">
          <a:off x="7861811" y="9251515"/>
          <a:ext cx="500879" cy="40351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38687</xdr:colOff>
      <xdr:row>55</xdr:row>
      <xdr:rowOff>70767</xdr:rowOff>
    </xdr:from>
    <xdr:to>
      <xdr:col>64</xdr:col>
      <xdr:colOff>37704</xdr:colOff>
      <xdr:row>59</xdr:row>
      <xdr:rowOff>5997</xdr:rowOff>
    </xdr:to>
    <xdr:sp macro="" textlink="">
      <xdr:nvSpPr>
        <xdr:cNvPr id="34" name="フローチャート : 和接合 107">
          <a:extLst>
            <a:ext uri="{FF2B5EF4-FFF2-40B4-BE49-F238E27FC236}">
              <a16:creationId xmlns:a16="http://schemas.microsoft.com/office/drawing/2014/main" id="{00000000-0008-0000-0600-000022000000}"/>
            </a:ext>
          </a:extLst>
        </xdr:cNvPr>
        <xdr:cNvSpPr/>
      </xdr:nvSpPr>
      <xdr:spPr>
        <a:xfrm>
          <a:off x="7250473" y="9391660"/>
          <a:ext cx="611338" cy="53394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25</xdr:col>
      <xdr:colOff>79304</xdr:colOff>
      <xdr:row>64</xdr:row>
      <xdr:rowOff>132870</xdr:rowOff>
    </xdr:from>
    <xdr:to>
      <xdr:col>29</xdr:col>
      <xdr:colOff>71220</xdr:colOff>
      <xdr:row>68</xdr:row>
      <xdr:rowOff>92907</xdr:rowOff>
    </xdr:to>
    <xdr:cxnSp macro="">
      <xdr:nvCxnSpPr>
        <xdr:cNvPr id="35" name="直線コネクタ 34">
          <a:extLst>
            <a:ext uri="{FF2B5EF4-FFF2-40B4-BE49-F238E27FC236}">
              <a16:creationId xmlns:a16="http://schemas.microsoft.com/office/drawing/2014/main" id="{00000000-0008-0000-0600-000023000000}"/>
            </a:ext>
          </a:extLst>
        </xdr:cNvPr>
        <xdr:cNvCxnSpPr>
          <a:stCxn id="159" idx="1"/>
          <a:endCxn id="24" idx="6"/>
        </xdr:cNvCxnSpPr>
      </xdr:nvCxnSpPr>
      <xdr:spPr>
        <a:xfrm flipH="1">
          <a:off x="3140911" y="10828084"/>
          <a:ext cx="481773" cy="55875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32078</xdr:colOff>
      <xdr:row>56</xdr:row>
      <xdr:rowOff>127230</xdr:rowOff>
    </xdr:from>
    <xdr:to>
      <xdr:col>29</xdr:col>
      <xdr:colOff>71220</xdr:colOff>
      <xdr:row>64</xdr:row>
      <xdr:rowOff>132870</xdr:rowOff>
    </xdr:to>
    <xdr:cxnSp macro="">
      <xdr:nvCxnSpPr>
        <xdr:cNvPr id="37" name="直線コネクタ 36">
          <a:extLst>
            <a:ext uri="{FF2B5EF4-FFF2-40B4-BE49-F238E27FC236}">
              <a16:creationId xmlns:a16="http://schemas.microsoft.com/office/drawing/2014/main" id="{00000000-0008-0000-0600-000025000000}"/>
            </a:ext>
          </a:extLst>
        </xdr:cNvPr>
        <xdr:cNvCxnSpPr>
          <a:stCxn id="159" idx="1"/>
          <a:endCxn id="25" idx="6"/>
        </xdr:cNvCxnSpPr>
      </xdr:nvCxnSpPr>
      <xdr:spPr>
        <a:xfrm flipH="1" flipV="1">
          <a:off x="3093685" y="9625016"/>
          <a:ext cx="528999" cy="1203068"/>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103105</xdr:colOff>
      <xdr:row>57</xdr:row>
      <xdr:rowOff>31211</xdr:rowOff>
    </xdr:from>
    <xdr:to>
      <xdr:col>59</xdr:col>
      <xdr:colOff>38687</xdr:colOff>
      <xdr:row>57</xdr:row>
      <xdr:rowOff>38383</xdr:rowOff>
    </xdr:to>
    <xdr:cxnSp macro="">
      <xdr:nvCxnSpPr>
        <xdr:cNvPr id="38" name="直線コネクタ 37">
          <a:extLst>
            <a:ext uri="{FF2B5EF4-FFF2-40B4-BE49-F238E27FC236}">
              <a16:creationId xmlns:a16="http://schemas.microsoft.com/office/drawing/2014/main" id="{00000000-0008-0000-0600-000026000000}"/>
            </a:ext>
          </a:extLst>
        </xdr:cNvPr>
        <xdr:cNvCxnSpPr>
          <a:stCxn id="34" idx="2"/>
          <a:endCxn id="48" idx="0"/>
        </xdr:cNvCxnSpPr>
      </xdr:nvCxnSpPr>
      <xdr:spPr>
        <a:xfrm flipH="1" flipV="1">
          <a:off x="5981391" y="9651461"/>
          <a:ext cx="1269082" cy="717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57143</xdr:colOff>
      <xdr:row>62</xdr:row>
      <xdr:rowOff>30977</xdr:rowOff>
    </xdr:from>
    <xdr:to>
      <xdr:col>15</xdr:col>
      <xdr:colOff>57144</xdr:colOff>
      <xdr:row>64</xdr:row>
      <xdr:rowOff>85151</xdr:rowOff>
    </xdr:to>
    <xdr:sp macro="" textlink="">
      <xdr:nvSpPr>
        <xdr:cNvPr id="39" name="Rectangle 15">
          <a:extLst>
            <a:ext uri="{FF2B5EF4-FFF2-40B4-BE49-F238E27FC236}">
              <a16:creationId xmlns:a16="http://schemas.microsoft.com/office/drawing/2014/main" id="{00000000-0008-0000-0600-000027000000}"/>
            </a:ext>
          </a:extLst>
        </xdr:cNvPr>
        <xdr:cNvSpPr>
          <a:spLocks noChangeArrowheads="1"/>
        </xdr:cNvSpPr>
      </xdr:nvSpPr>
      <xdr:spPr bwMode="auto">
        <a:xfrm>
          <a:off x="791929" y="10426834"/>
          <a:ext cx="1102179" cy="353531"/>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EPM/MPP</a:t>
          </a:r>
          <a:endParaRPr lang="ja-JP" altLang="en-US" sz="900">
            <a:latin typeface="ＭＳ Ｐゴシック" panose="020B0600070205080204" pitchFamily="50" charset="-128"/>
            <a:ea typeface="ＭＳ Ｐゴシック" panose="020B0600070205080204" pitchFamily="50" charset="-128"/>
            <a:cs typeface="Meiryo UI" pitchFamily="50" charset="-128"/>
          </a:endParaRPr>
        </a:p>
      </xdr:txBody>
    </xdr:sp>
    <xdr:clientData/>
  </xdr:twoCellAnchor>
  <xdr:twoCellAnchor>
    <xdr:from>
      <xdr:col>6</xdr:col>
      <xdr:colOff>57143</xdr:colOff>
      <xdr:row>65</xdr:row>
      <xdr:rowOff>18095</xdr:rowOff>
    </xdr:from>
    <xdr:to>
      <xdr:col>15</xdr:col>
      <xdr:colOff>57144</xdr:colOff>
      <xdr:row>67</xdr:row>
      <xdr:rowOff>72270</xdr:rowOff>
    </xdr:to>
    <xdr:sp macro="" textlink="">
      <xdr:nvSpPr>
        <xdr:cNvPr id="40" name="Rectangle 15">
          <a:extLst>
            <a:ext uri="{FF2B5EF4-FFF2-40B4-BE49-F238E27FC236}">
              <a16:creationId xmlns:a16="http://schemas.microsoft.com/office/drawing/2014/main" id="{00000000-0008-0000-0600-000028000000}"/>
            </a:ext>
          </a:extLst>
        </xdr:cNvPr>
        <xdr:cNvSpPr>
          <a:spLocks noChangeArrowheads="1"/>
        </xdr:cNvSpPr>
      </xdr:nvSpPr>
      <xdr:spPr bwMode="auto">
        <a:xfrm>
          <a:off x="791929" y="10862988"/>
          <a:ext cx="1102179" cy="353532"/>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endParaRPr lang="ja-JP" altLang="en-US" sz="900">
            <a:latin typeface="ＭＳ Ｐゴシック" panose="020B0600070205080204" pitchFamily="50" charset="-128"/>
            <a:ea typeface="ＭＳ Ｐゴシック" panose="020B0600070205080204" pitchFamily="50" charset="-128"/>
            <a:cs typeface="Meiryo UI" pitchFamily="50" charset="-128"/>
          </a:endParaRPr>
        </a:p>
      </xdr:txBody>
    </xdr:sp>
    <xdr:clientData/>
  </xdr:twoCellAnchor>
  <xdr:twoCellAnchor>
    <xdr:from>
      <xdr:col>15</xdr:col>
      <xdr:colOff>59214</xdr:colOff>
      <xdr:row>68</xdr:row>
      <xdr:rowOff>92907</xdr:rowOff>
    </xdr:from>
    <xdr:to>
      <xdr:col>20</xdr:col>
      <xdr:colOff>34167</xdr:colOff>
      <xdr:row>72</xdr:row>
      <xdr:rowOff>39616</xdr:rowOff>
    </xdr:to>
    <xdr:cxnSp macro="">
      <xdr:nvCxnSpPr>
        <xdr:cNvPr id="41" name="直線コネクタ 40">
          <a:extLst>
            <a:ext uri="{FF2B5EF4-FFF2-40B4-BE49-F238E27FC236}">
              <a16:creationId xmlns:a16="http://schemas.microsoft.com/office/drawing/2014/main" id="{00000000-0008-0000-0600-000029000000}"/>
            </a:ext>
          </a:extLst>
        </xdr:cNvPr>
        <xdr:cNvCxnSpPr>
          <a:stCxn id="24" idx="2"/>
          <a:endCxn id="31" idx="3"/>
        </xdr:cNvCxnSpPr>
      </xdr:nvCxnSpPr>
      <xdr:spPr>
        <a:xfrm flipH="1">
          <a:off x="1896178" y="11386836"/>
          <a:ext cx="587275" cy="54542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57144</xdr:colOff>
      <xdr:row>56</xdr:row>
      <xdr:rowOff>127231</xdr:rowOff>
    </xdr:from>
    <xdr:to>
      <xdr:col>20</xdr:col>
      <xdr:colOff>33854</xdr:colOff>
      <xdr:row>63</xdr:row>
      <xdr:rowOff>58065</xdr:rowOff>
    </xdr:to>
    <xdr:cxnSp macro="">
      <xdr:nvCxnSpPr>
        <xdr:cNvPr id="42" name="直線コネクタ 41">
          <a:extLst>
            <a:ext uri="{FF2B5EF4-FFF2-40B4-BE49-F238E27FC236}">
              <a16:creationId xmlns:a16="http://schemas.microsoft.com/office/drawing/2014/main" id="{00000000-0008-0000-0600-00002A000000}"/>
            </a:ext>
          </a:extLst>
        </xdr:cNvPr>
        <xdr:cNvCxnSpPr>
          <a:stCxn id="25" idx="2"/>
          <a:endCxn id="39" idx="3"/>
        </xdr:cNvCxnSpPr>
      </xdr:nvCxnSpPr>
      <xdr:spPr>
        <a:xfrm flipH="1">
          <a:off x="1894108" y="9625017"/>
          <a:ext cx="589032" cy="978584"/>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57144</xdr:colOff>
      <xdr:row>56</xdr:row>
      <xdr:rowOff>127231</xdr:rowOff>
    </xdr:from>
    <xdr:to>
      <xdr:col>20</xdr:col>
      <xdr:colOff>33854</xdr:colOff>
      <xdr:row>66</xdr:row>
      <xdr:rowOff>45183</xdr:rowOff>
    </xdr:to>
    <xdr:cxnSp macro="">
      <xdr:nvCxnSpPr>
        <xdr:cNvPr id="43" name="直線コネクタ 42">
          <a:extLst>
            <a:ext uri="{FF2B5EF4-FFF2-40B4-BE49-F238E27FC236}">
              <a16:creationId xmlns:a16="http://schemas.microsoft.com/office/drawing/2014/main" id="{00000000-0008-0000-0600-00002B000000}"/>
            </a:ext>
          </a:extLst>
        </xdr:cNvPr>
        <xdr:cNvCxnSpPr>
          <a:stCxn id="25" idx="2"/>
          <a:endCxn id="40" idx="3"/>
        </xdr:cNvCxnSpPr>
      </xdr:nvCxnSpPr>
      <xdr:spPr>
        <a:xfrm flipH="1">
          <a:off x="1894108" y="9625017"/>
          <a:ext cx="589032" cy="141473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52057</xdr:colOff>
      <xdr:row>68</xdr:row>
      <xdr:rowOff>92907</xdr:rowOff>
    </xdr:from>
    <xdr:to>
      <xdr:col>20</xdr:col>
      <xdr:colOff>34167</xdr:colOff>
      <xdr:row>75</xdr:row>
      <xdr:rowOff>19649</xdr:rowOff>
    </xdr:to>
    <xdr:cxnSp macro="">
      <xdr:nvCxnSpPr>
        <xdr:cNvPr id="44" name="直線コネクタ 43">
          <a:extLst>
            <a:ext uri="{FF2B5EF4-FFF2-40B4-BE49-F238E27FC236}">
              <a16:creationId xmlns:a16="http://schemas.microsoft.com/office/drawing/2014/main" id="{00000000-0008-0000-0600-00002C000000}"/>
            </a:ext>
          </a:extLst>
        </xdr:cNvPr>
        <xdr:cNvCxnSpPr>
          <a:stCxn id="24" idx="2"/>
          <a:endCxn id="30" idx="3"/>
        </xdr:cNvCxnSpPr>
      </xdr:nvCxnSpPr>
      <xdr:spPr>
        <a:xfrm flipH="1">
          <a:off x="1889021" y="11386836"/>
          <a:ext cx="594432" cy="97449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48010</xdr:colOff>
      <xdr:row>68</xdr:row>
      <xdr:rowOff>92907</xdr:rowOff>
    </xdr:from>
    <xdr:to>
      <xdr:col>20</xdr:col>
      <xdr:colOff>34167</xdr:colOff>
      <xdr:row>69</xdr:row>
      <xdr:rowOff>88874</xdr:rowOff>
    </xdr:to>
    <xdr:cxnSp macro="">
      <xdr:nvCxnSpPr>
        <xdr:cNvPr id="45" name="直線コネクタ 44">
          <a:extLst>
            <a:ext uri="{FF2B5EF4-FFF2-40B4-BE49-F238E27FC236}">
              <a16:creationId xmlns:a16="http://schemas.microsoft.com/office/drawing/2014/main" id="{00000000-0008-0000-0600-00002D000000}"/>
            </a:ext>
          </a:extLst>
        </xdr:cNvPr>
        <xdr:cNvCxnSpPr>
          <a:stCxn id="24" idx="2"/>
          <a:endCxn id="29" idx="3"/>
        </xdr:cNvCxnSpPr>
      </xdr:nvCxnSpPr>
      <xdr:spPr>
        <a:xfrm flipH="1">
          <a:off x="1884974" y="11386836"/>
          <a:ext cx="598479" cy="14564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57144</xdr:colOff>
      <xdr:row>66</xdr:row>
      <xdr:rowOff>45183</xdr:rowOff>
    </xdr:from>
    <xdr:to>
      <xdr:col>20</xdr:col>
      <xdr:colOff>34167</xdr:colOff>
      <xdr:row>68</xdr:row>
      <xdr:rowOff>92907</xdr:rowOff>
    </xdr:to>
    <xdr:cxnSp macro="">
      <xdr:nvCxnSpPr>
        <xdr:cNvPr id="46" name="直線コネクタ 45">
          <a:extLst>
            <a:ext uri="{FF2B5EF4-FFF2-40B4-BE49-F238E27FC236}">
              <a16:creationId xmlns:a16="http://schemas.microsoft.com/office/drawing/2014/main" id="{00000000-0008-0000-0600-00002E000000}"/>
            </a:ext>
          </a:extLst>
        </xdr:cNvPr>
        <xdr:cNvCxnSpPr>
          <a:stCxn id="24" idx="2"/>
          <a:endCxn id="40" idx="3"/>
        </xdr:cNvCxnSpPr>
      </xdr:nvCxnSpPr>
      <xdr:spPr>
        <a:xfrm flipH="1" flipV="1">
          <a:off x="1894108" y="11039754"/>
          <a:ext cx="589345" cy="34708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76838</xdr:colOff>
      <xdr:row>54</xdr:row>
      <xdr:rowOff>28007</xdr:rowOff>
    </xdr:from>
    <xdr:to>
      <xdr:col>48</xdr:col>
      <xdr:colOff>104052</xdr:colOff>
      <xdr:row>60</xdr:row>
      <xdr:rowOff>34415</xdr:rowOff>
    </xdr:to>
    <xdr:sp macro="" textlink="">
      <xdr:nvSpPr>
        <xdr:cNvPr id="48" name="雲 47">
          <a:extLst>
            <a:ext uri="{FF2B5EF4-FFF2-40B4-BE49-F238E27FC236}">
              <a16:creationId xmlns:a16="http://schemas.microsoft.com/office/drawing/2014/main" id="{00000000-0008-0000-0600-000030000000}"/>
            </a:ext>
          </a:extLst>
        </xdr:cNvPr>
        <xdr:cNvSpPr/>
      </xdr:nvSpPr>
      <xdr:spPr>
        <a:xfrm>
          <a:off x="4852945" y="9199221"/>
          <a:ext cx="1129393" cy="904480"/>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NW</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34</xdr:col>
      <xdr:colOff>9483</xdr:colOff>
      <xdr:row>160</xdr:row>
      <xdr:rowOff>136068</xdr:rowOff>
    </xdr:from>
    <xdr:to>
      <xdr:col>46</xdr:col>
      <xdr:colOff>66973</xdr:colOff>
      <xdr:row>167</xdr:row>
      <xdr:rowOff>81497</xdr:rowOff>
    </xdr:to>
    <xdr:sp macro="" textlink="">
      <xdr:nvSpPr>
        <xdr:cNvPr id="49" name="正方形/長方形 48">
          <a:extLst>
            <a:ext uri="{FF2B5EF4-FFF2-40B4-BE49-F238E27FC236}">
              <a16:creationId xmlns:a16="http://schemas.microsoft.com/office/drawing/2014/main" id="{00000000-0008-0000-0600-000031000000}"/>
            </a:ext>
          </a:extLst>
        </xdr:cNvPr>
        <xdr:cNvSpPr/>
      </xdr:nvSpPr>
      <xdr:spPr>
        <a:xfrm>
          <a:off x="4219533" y="33397368"/>
          <a:ext cx="1543390" cy="114557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大和センター開発環境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サーバ</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en-US" altLang="ja-JP" sz="900">
              <a:solidFill>
                <a:sysClr val="windowText" lastClr="000000"/>
              </a:solidFill>
              <a:latin typeface="ＭＳ Ｐゴシック" pitchFamily="50" charset="-128"/>
              <a:ea typeface="+mn-ea"/>
            </a:rPr>
            <a:t>10.223.40.32</a:t>
          </a:r>
        </a:p>
      </xdr:txBody>
    </xdr:sp>
    <xdr:clientData/>
  </xdr:twoCellAnchor>
  <xdr:twoCellAnchor>
    <xdr:from>
      <xdr:col>7</xdr:col>
      <xdr:colOff>92209</xdr:colOff>
      <xdr:row>186</xdr:row>
      <xdr:rowOff>56259</xdr:rowOff>
    </xdr:from>
    <xdr:to>
      <xdr:col>14</xdr:col>
      <xdr:colOff>93034</xdr:colOff>
      <xdr:row>189</xdr:row>
      <xdr:rowOff>103060</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958984" y="37775259"/>
          <a:ext cx="867600" cy="56115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EPM/MPP</a:t>
          </a:r>
        </a:p>
      </xdr:txBody>
    </xdr:sp>
    <xdr:clientData/>
  </xdr:twoCellAnchor>
  <xdr:twoCellAnchor>
    <xdr:from>
      <xdr:col>68</xdr:col>
      <xdr:colOff>76447</xdr:colOff>
      <xdr:row>186</xdr:row>
      <xdr:rowOff>53878</xdr:rowOff>
    </xdr:from>
    <xdr:to>
      <xdr:col>75</xdr:col>
      <xdr:colOff>77272</xdr:colOff>
      <xdr:row>189</xdr:row>
      <xdr:rowOff>100679</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8496547" y="37772878"/>
          <a:ext cx="867600" cy="56115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30989</xdr:colOff>
      <xdr:row>178</xdr:row>
      <xdr:rowOff>76851</xdr:rowOff>
    </xdr:from>
    <xdr:to>
      <xdr:col>26</xdr:col>
      <xdr:colOff>68016</xdr:colOff>
      <xdr:row>186</xdr:row>
      <xdr:rowOff>56259</xdr:rowOff>
    </xdr:to>
    <xdr:cxnSp macro="">
      <xdr:nvCxnSpPr>
        <xdr:cNvPr id="52" name="直線矢印コネクタ 51">
          <a:extLst>
            <a:ext uri="{FF2B5EF4-FFF2-40B4-BE49-F238E27FC236}">
              <a16:creationId xmlns:a16="http://schemas.microsoft.com/office/drawing/2014/main" id="{00000000-0008-0000-0600-000034000000}"/>
            </a:ext>
          </a:extLst>
        </xdr:cNvPr>
        <xdr:cNvCxnSpPr>
          <a:stCxn id="50" idx="0"/>
          <a:endCxn id="53" idx="2"/>
        </xdr:cNvCxnSpPr>
      </xdr:nvCxnSpPr>
      <xdr:spPr>
        <a:xfrm flipV="1">
          <a:off x="1393064" y="36424251"/>
          <a:ext cx="1894402" cy="13510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99966</xdr:colOff>
      <xdr:row>173</xdr:row>
      <xdr:rowOff>76040</xdr:rowOff>
    </xdr:from>
    <xdr:to>
      <xdr:col>32</xdr:col>
      <xdr:colOff>36065</xdr:colOff>
      <xdr:row>178</xdr:row>
      <xdr:rowOff>76851</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2576466" y="35566190"/>
          <a:ext cx="1421999" cy="85806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DB#1</a:t>
          </a:r>
        </a:p>
      </xdr:txBody>
    </xdr:sp>
    <xdr:clientData/>
  </xdr:twoCellAnchor>
  <xdr:twoCellAnchor>
    <xdr:from>
      <xdr:col>49</xdr:col>
      <xdr:colOff>19290</xdr:colOff>
      <xdr:row>173</xdr:row>
      <xdr:rowOff>76040</xdr:rowOff>
    </xdr:from>
    <xdr:to>
      <xdr:col>60</xdr:col>
      <xdr:colOff>77535</xdr:colOff>
      <xdr:row>178</xdr:row>
      <xdr:rowOff>76851</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6086715" y="35566190"/>
          <a:ext cx="1420320" cy="85806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DB#2</a:t>
          </a:r>
        </a:p>
      </xdr:txBody>
    </xdr:sp>
    <xdr:clientData/>
  </xdr:twoCellAnchor>
  <xdr:twoCellAnchor>
    <xdr:from>
      <xdr:col>26</xdr:col>
      <xdr:colOff>68016</xdr:colOff>
      <xdr:row>178</xdr:row>
      <xdr:rowOff>76851</xdr:rowOff>
    </xdr:from>
    <xdr:to>
      <xdr:col>72</xdr:col>
      <xdr:colOff>15227</xdr:colOff>
      <xdr:row>186</xdr:row>
      <xdr:rowOff>53878</xdr:rowOff>
    </xdr:to>
    <xdr:cxnSp macro="">
      <xdr:nvCxnSpPr>
        <xdr:cNvPr id="55" name="直線矢印コネクタ 54">
          <a:extLst>
            <a:ext uri="{FF2B5EF4-FFF2-40B4-BE49-F238E27FC236}">
              <a16:creationId xmlns:a16="http://schemas.microsoft.com/office/drawing/2014/main" id="{00000000-0008-0000-0600-000037000000}"/>
            </a:ext>
          </a:extLst>
        </xdr:cNvPr>
        <xdr:cNvCxnSpPr>
          <a:stCxn id="51" idx="0"/>
          <a:endCxn id="53" idx="2"/>
        </xdr:cNvCxnSpPr>
      </xdr:nvCxnSpPr>
      <xdr:spPr>
        <a:xfrm flipH="1" flipV="1">
          <a:off x="3287466" y="36424251"/>
          <a:ext cx="5643161" cy="13486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68016</xdr:colOff>
      <xdr:row>167</xdr:row>
      <xdr:rowOff>81497</xdr:rowOff>
    </xdr:from>
    <xdr:to>
      <xdr:col>40</xdr:col>
      <xdr:colOff>38228</xdr:colOff>
      <xdr:row>173</xdr:row>
      <xdr:rowOff>76040</xdr:rowOff>
    </xdr:to>
    <xdr:cxnSp macro="">
      <xdr:nvCxnSpPr>
        <xdr:cNvPr id="56" name="直線矢印コネクタ 55">
          <a:extLst>
            <a:ext uri="{FF2B5EF4-FFF2-40B4-BE49-F238E27FC236}">
              <a16:creationId xmlns:a16="http://schemas.microsoft.com/office/drawing/2014/main" id="{00000000-0008-0000-0600-000038000000}"/>
            </a:ext>
          </a:extLst>
        </xdr:cNvPr>
        <xdr:cNvCxnSpPr>
          <a:stCxn id="53" idx="0"/>
          <a:endCxn id="49" idx="2"/>
        </xdr:cNvCxnSpPr>
      </xdr:nvCxnSpPr>
      <xdr:spPr>
        <a:xfrm flipV="1">
          <a:off x="3287466" y="34542947"/>
          <a:ext cx="1703762" cy="10232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167</xdr:row>
      <xdr:rowOff>81497</xdr:rowOff>
    </xdr:from>
    <xdr:to>
      <xdr:col>54</xdr:col>
      <xdr:colOff>110045</xdr:colOff>
      <xdr:row>173</xdr:row>
      <xdr:rowOff>76040</xdr:rowOff>
    </xdr:to>
    <xdr:cxnSp macro="">
      <xdr:nvCxnSpPr>
        <xdr:cNvPr id="57" name="直線矢印コネクタ 56">
          <a:extLst>
            <a:ext uri="{FF2B5EF4-FFF2-40B4-BE49-F238E27FC236}">
              <a16:creationId xmlns:a16="http://schemas.microsoft.com/office/drawing/2014/main" id="{00000000-0008-0000-0600-000039000000}"/>
            </a:ext>
          </a:extLst>
        </xdr:cNvPr>
        <xdr:cNvCxnSpPr>
          <a:stCxn id="54" idx="0"/>
          <a:endCxn id="49" idx="2"/>
        </xdr:cNvCxnSpPr>
      </xdr:nvCxnSpPr>
      <xdr:spPr>
        <a:xfrm flipH="1" flipV="1">
          <a:off x="4991228" y="34542947"/>
          <a:ext cx="1805367" cy="10232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158</xdr:row>
      <xdr:rowOff>87630</xdr:rowOff>
    </xdr:from>
    <xdr:to>
      <xdr:col>69</xdr:col>
      <xdr:colOff>35223</xdr:colOff>
      <xdr:row>158</xdr:row>
      <xdr:rowOff>87630</xdr:rowOff>
    </xdr:to>
    <xdr:cxnSp macro="">
      <xdr:nvCxnSpPr>
        <xdr:cNvPr id="58" name="直線矢印コネクタ 57">
          <a:extLst>
            <a:ext uri="{FF2B5EF4-FFF2-40B4-BE49-F238E27FC236}">
              <a16:creationId xmlns:a16="http://schemas.microsoft.com/office/drawing/2014/main" id="{00000000-0008-0000-0600-00003A000000}"/>
            </a:ext>
          </a:extLst>
        </xdr:cNvPr>
        <xdr:cNvCxnSpPr/>
      </xdr:nvCxnSpPr>
      <xdr:spPr>
        <a:xfrm>
          <a:off x="8001000" y="33006030"/>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159</xdr:row>
      <xdr:rowOff>81915</xdr:rowOff>
    </xdr:from>
    <xdr:to>
      <xdr:col>69</xdr:col>
      <xdr:colOff>51941</xdr:colOff>
      <xdr:row>159</xdr:row>
      <xdr:rowOff>81915</xdr:rowOff>
    </xdr:to>
    <xdr:cxnSp macro="">
      <xdr:nvCxnSpPr>
        <xdr:cNvPr id="59" name="直線矢印コネクタ 58">
          <a:extLst>
            <a:ext uri="{FF2B5EF4-FFF2-40B4-BE49-F238E27FC236}">
              <a16:creationId xmlns:a16="http://schemas.microsoft.com/office/drawing/2014/main" id="{00000000-0008-0000-0600-00003B000000}"/>
            </a:ext>
          </a:extLst>
        </xdr:cNvPr>
        <xdr:cNvCxnSpPr/>
      </xdr:nvCxnSpPr>
      <xdr:spPr>
        <a:xfrm>
          <a:off x="8029575" y="33171765"/>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30989</xdr:colOff>
      <xdr:row>178</xdr:row>
      <xdr:rowOff>76851</xdr:rowOff>
    </xdr:from>
    <xdr:to>
      <xdr:col>54</xdr:col>
      <xdr:colOff>110045</xdr:colOff>
      <xdr:row>186</xdr:row>
      <xdr:rowOff>56259</xdr:rowOff>
    </xdr:to>
    <xdr:cxnSp macro="">
      <xdr:nvCxnSpPr>
        <xdr:cNvPr id="60" name="直線矢印コネクタ 59">
          <a:extLst>
            <a:ext uri="{FF2B5EF4-FFF2-40B4-BE49-F238E27FC236}">
              <a16:creationId xmlns:a16="http://schemas.microsoft.com/office/drawing/2014/main" id="{00000000-0008-0000-0600-00003C000000}"/>
            </a:ext>
          </a:extLst>
        </xdr:cNvPr>
        <xdr:cNvCxnSpPr>
          <a:stCxn id="50" idx="0"/>
          <a:endCxn id="54" idx="2"/>
        </xdr:cNvCxnSpPr>
      </xdr:nvCxnSpPr>
      <xdr:spPr>
        <a:xfrm flipV="1">
          <a:off x="1393064" y="36424251"/>
          <a:ext cx="5403531" cy="135100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110045</xdr:colOff>
      <xdr:row>178</xdr:row>
      <xdr:rowOff>76851</xdr:rowOff>
    </xdr:from>
    <xdr:to>
      <xdr:col>72</xdr:col>
      <xdr:colOff>15227</xdr:colOff>
      <xdr:row>186</xdr:row>
      <xdr:rowOff>53878</xdr:rowOff>
    </xdr:to>
    <xdr:cxnSp macro="">
      <xdr:nvCxnSpPr>
        <xdr:cNvPr id="61" name="直線矢印コネクタ 60">
          <a:extLst>
            <a:ext uri="{FF2B5EF4-FFF2-40B4-BE49-F238E27FC236}">
              <a16:creationId xmlns:a16="http://schemas.microsoft.com/office/drawing/2014/main" id="{00000000-0008-0000-0600-00003D000000}"/>
            </a:ext>
          </a:extLst>
        </xdr:cNvPr>
        <xdr:cNvCxnSpPr>
          <a:stCxn id="51" idx="0"/>
          <a:endCxn id="54" idx="2"/>
        </xdr:cNvCxnSpPr>
      </xdr:nvCxnSpPr>
      <xdr:spPr>
        <a:xfrm flipH="1" flipV="1">
          <a:off x="6796595" y="36424251"/>
          <a:ext cx="2134032" cy="134862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98622</xdr:colOff>
      <xdr:row>70</xdr:row>
      <xdr:rowOff>76755</xdr:rowOff>
    </xdr:from>
    <xdr:to>
      <xdr:col>59</xdr:col>
      <xdr:colOff>16089</xdr:colOff>
      <xdr:row>70</xdr:row>
      <xdr:rowOff>83210</xdr:rowOff>
    </xdr:to>
    <xdr:cxnSp macro="">
      <xdr:nvCxnSpPr>
        <xdr:cNvPr id="65" name="直線コネクタ 64">
          <a:extLst>
            <a:ext uri="{FF2B5EF4-FFF2-40B4-BE49-F238E27FC236}">
              <a16:creationId xmlns:a16="http://schemas.microsoft.com/office/drawing/2014/main" id="{00000000-0008-0000-0600-000041000000}"/>
            </a:ext>
          </a:extLst>
        </xdr:cNvPr>
        <xdr:cNvCxnSpPr>
          <a:stCxn id="111" idx="0"/>
          <a:endCxn id="66" idx="2"/>
        </xdr:cNvCxnSpPr>
      </xdr:nvCxnSpPr>
      <xdr:spPr>
        <a:xfrm>
          <a:off x="5976908" y="11642826"/>
          <a:ext cx="1250967" cy="645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16089</xdr:colOff>
      <xdr:row>68</xdr:row>
      <xdr:rowOff>125697</xdr:rowOff>
    </xdr:from>
    <xdr:to>
      <xdr:col>64</xdr:col>
      <xdr:colOff>62028</xdr:colOff>
      <xdr:row>72</xdr:row>
      <xdr:rowOff>40723</xdr:rowOff>
    </xdr:to>
    <xdr:sp macro="" textlink="">
      <xdr:nvSpPr>
        <xdr:cNvPr id="66" name="フローチャート : 和接合 107">
          <a:extLst>
            <a:ext uri="{FF2B5EF4-FFF2-40B4-BE49-F238E27FC236}">
              <a16:creationId xmlns:a16="http://schemas.microsoft.com/office/drawing/2014/main" id="{00000000-0008-0000-0600-000042000000}"/>
            </a:ext>
          </a:extLst>
        </xdr:cNvPr>
        <xdr:cNvSpPr/>
      </xdr:nvSpPr>
      <xdr:spPr>
        <a:xfrm>
          <a:off x="7227875" y="11392411"/>
          <a:ext cx="658260" cy="513741"/>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56</xdr:col>
      <xdr:colOff>49218</xdr:colOff>
      <xdr:row>66</xdr:row>
      <xdr:rowOff>44423</xdr:rowOff>
    </xdr:from>
    <xdr:to>
      <xdr:col>67</xdr:col>
      <xdr:colOff>18585</xdr:colOff>
      <xdr:row>68</xdr:row>
      <xdr:rowOff>141676</xdr:rowOff>
    </xdr:to>
    <xdr:sp macro="" textlink="">
      <xdr:nvSpPr>
        <xdr:cNvPr id="67" name="テキスト ボックス 66">
          <a:extLst>
            <a:ext uri="{FF2B5EF4-FFF2-40B4-BE49-F238E27FC236}">
              <a16:creationId xmlns:a16="http://schemas.microsoft.com/office/drawing/2014/main" id="{00000000-0008-0000-0600-000043000000}"/>
            </a:ext>
          </a:extLst>
        </xdr:cNvPr>
        <xdr:cNvSpPr txBox="1"/>
      </xdr:nvSpPr>
      <xdr:spPr>
        <a:xfrm>
          <a:off x="6893611" y="11011780"/>
          <a:ext cx="1316474" cy="396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lientData/>
  </xdr:twoCellAnchor>
  <xdr:twoCellAnchor>
    <xdr:from>
      <xdr:col>15</xdr:col>
      <xdr:colOff>53740</xdr:colOff>
      <xdr:row>80</xdr:row>
      <xdr:rowOff>133244</xdr:rowOff>
    </xdr:from>
    <xdr:to>
      <xdr:col>20</xdr:col>
      <xdr:colOff>40891</xdr:colOff>
      <xdr:row>81</xdr:row>
      <xdr:rowOff>43600</xdr:rowOff>
    </xdr:to>
    <xdr:cxnSp macro="">
      <xdr:nvCxnSpPr>
        <xdr:cNvPr id="68" name="直線コネクタ 67">
          <a:extLst>
            <a:ext uri="{FF2B5EF4-FFF2-40B4-BE49-F238E27FC236}">
              <a16:creationId xmlns:a16="http://schemas.microsoft.com/office/drawing/2014/main" id="{00000000-0008-0000-0600-000044000000}"/>
            </a:ext>
          </a:extLst>
        </xdr:cNvPr>
        <xdr:cNvCxnSpPr>
          <a:stCxn id="115" idx="2"/>
          <a:endCxn id="92" idx="3"/>
        </xdr:cNvCxnSpPr>
      </xdr:nvCxnSpPr>
      <xdr:spPr>
        <a:xfrm flipH="1" flipV="1">
          <a:off x="1890704" y="13223315"/>
          <a:ext cx="599473" cy="6003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39453</xdr:colOff>
      <xdr:row>175</xdr:row>
      <xdr:rowOff>65648</xdr:rowOff>
    </xdr:from>
    <xdr:to>
      <xdr:col>30</xdr:col>
      <xdr:colOff>67232</xdr:colOff>
      <xdr:row>177</xdr:row>
      <xdr:rowOff>42424</xdr:rowOff>
    </xdr:to>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2763603" y="35898698"/>
          <a:ext cx="1018379" cy="3196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91009</xdr:colOff>
      <xdr:row>175</xdr:row>
      <xdr:rowOff>72372</xdr:rowOff>
    </xdr:from>
    <xdr:to>
      <xdr:col>58</xdr:col>
      <xdr:colOff>118787</xdr:colOff>
      <xdr:row>177</xdr:row>
      <xdr:rowOff>49148</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6282259" y="35905422"/>
          <a:ext cx="1018378" cy="3196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164</xdr:row>
      <xdr:rowOff>90298</xdr:rowOff>
    </xdr:from>
    <xdr:to>
      <xdr:col>44</xdr:col>
      <xdr:colOff>47067</xdr:colOff>
      <xdr:row>166</xdr:row>
      <xdr:rowOff>67074</xdr:rowOff>
    </xdr:to>
    <xdr:sp macro="" textlink="">
      <xdr:nvSpPr>
        <xdr:cNvPr id="72" name="正方形/長方形 71">
          <a:extLst>
            <a:ext uri="{FF2B5EF4-FFF2-40B4-BE49-F238E27FC236}">
              <a16:creationId xmlns:a16="http://schemas.microsoft.com/office/drawing/2014/main" id="{00000000-0008-0000-0600-000048000000}"/>
            </a:ext>
          </a:extLst>
        </xdr:cNvPr>
        <xdr:cNvSpPr/>
      </xdr:nvSpPr>
      <xdr:spPr>
        <a:xfrm>
          <a:off x="4476989" y="34037398"/>
          <a:ext cx="1018378" cy="3196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19207</xdr:colOff>
      <xdr:row>61</xdr:row>
      <xdr:rowOff>62435</xdr:rowOff>
    </xdr:from>
    <xdr:to>
      <xdr:col>25</xdr:col>
      <xdr:colOff>43342</xdr:colOff>
      <xdr:row>64</xdr:row>
      <xdr:rowOff>106236</xdr:rowOff>
    </xdr:to>
    <xdr:sp macro="" textlink="">
      <xdr:nvSpPr>
        <xdr:cNvPr id="73" name="フローチャート : 和接合 107">
          <a:extLst>
            <a:ext uri="{FF2B5EF4-FFF2-40B4-BE49-F238E27FC236}">
              <a16:creationId xmlns:a16="http://schemas.microsoft.com/office/drawing/2014/main" id="{00000000-0008-0000-0600-000049000000}"/>
            </a:ext>
          </a:extLst>
        </xdr:cNvPr>
        <xdr:cNvSpPr/>
      </xdr:nvSpPr>
      <xdr:spPr>
        <a:xfrm>
          <a:off x="2468493" y="10308614"/>
          <a:ext cx="636456" cy="492836"/>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25</xdr:col>
      <xdr:colOff>43342</xdr:colOff>
      <xdr:row>63</xdr:row>
      <xdr:rowOff>5894</xdr:rowOff>
    </xdr:from>
    <xdr:to>
      <xdr:col>29</xdr:col>
      <xdr:colOff>71220</xdr:colOff>
      <xdr:row>64</xdr:row>
      <xdr:rowOff>132870</xdr:rowOff>
    </xdr:to>
    <xdr:cxnSp macro="">
      <xdr:nvCxnSpPr>
        <xdr:cNvPr id="74" name="直線コネクタ 73">
          <a:extLst>
            <a:ext uri="{FF2B5EF4-FFF2-40B4-BE49-F238E27FC236}">
              <a16:creationId xmlns:a16="http://schemas.microsoft.com/office/drawing/2014/main" id="{00000000-0008-0000-0600-00004A000000}"/>
            </a:ext>
          </a:extLst>
        </xdr:cNvPr>
        <xdr:cNvCxnSpPr>
          <a:stCxn id="159" idx="1"/>
          <a:endCxn id="73" idx="6"/>
        </xdr:cNvCxnSpPr>
      </xdr:nvCxnSpPr>
      <xdr:spPr>
        <a:xfrm flipH="1" flipV="1">
          <a:off x="3104949" y="10551430"/>
          <a:ext cx="517735" cy="27665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32080</xdr:colOff>
      <xdr:row>58</xdr:row>
      <xdr:rowOff>146481</xdr:rowOff>
    </xdr:from>
    <xdr:to>
      <xdr:col>28</xdr:col>
      <xdr:colOff>59615</xdr:colOff>
      <xdr:row>61</xdr:row>
      <xdr:rowOff>141789</xdr:rowOff>
    </xdr:to>
    <xdr:sp macro="" textlink="">
      <xdr:nvSpPr>
        <xdr:cNvPr id="75" name="テキスト ボックス 74">
          <a:extLst>
            <a:ext uri="{FF2B5EF4-FFF2-40B4-BE49-F238E27FC236}">
              <a16:creationId xmlns:a16="http://schemas.microsoft.com/office/drawing/2014/main" id="{00000000-0008-0000-0600-00004B000000}"/>
            </a:ext>
          </a:extLst>
        </xdr:cNvPr>
        <xdr:cNvSpPr txBox="1"/>
      </xdr:nvSpPr>
      <xdr:spPr>
        <a:xfrm>
          <a:off x="2113973" y="9943624"/>
          <a:ext cx="1374642" cy="44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lientData/>
  </xdr:twoCellAnchor>
  <xdr:twoCellAnchor>
    <xdr:from>
      <xdr:col>15</xdr:col>
      <xdr:colOff>59776</xdr:colOff>
      <xdr:row>57</xdr:row>
      <xdr:rowOff>91561</xdr:rowOff>
    </xdr:from>
    <xdr:to>
      <xdr:col>20</xdr:col>
      <xdr:colOff>19207</xdr:colOff>
      <xdr:row>63</xdr:row>
      <xdr:rowOff>5895</xdr:rowOff>
    </xdr:to>
    <xdr:cxnSp macro="">
      <xdr:nvCxnSpPr>
        <xdr:cNvPr id="76" name="直線コネクタ 75">
          <a:extLst>
            <a:ext uri="{FF2B5EF4-FFF2-40B4-BE49-F238E27FC236}">
              <a16:creationId xmlns:a16="http://schemas.microsoft.com/office/drawing/2014/main" id="{00000000-0008-0000-0600-00004C000000}"/>
            </a:ext>
          </a:extLst>
        </xdr:cNvPr>
        <xdr:cNvCxnSpPr>
          <a:stCxn id="73" idx="2"/>
          <a:endCxn id="7" idx="3"/>
        </xdr:cNvCxnSpPr>
      </xdr:nvCxnSpPr>
      <xdr:spPr>
        <a:xfrm flipH="1" flipV="1">
          <a:off x="1896740" y="9739025"/>
          <a:ext cx="571753" cy="812406"/>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59214</xdr:colOff>
      <xdr:row>60</xdr:row>
      <xdr:rowOff>73682</xdr:rowOff>
    </xdr:from>
    <xdr:to>
      <xdr:col>20</xdr:col>
      <xdr:colOff>19207</xdr:colOff>
      <xdr:row>63</xdr:row>
      <xdr:rowOff>5895</xdr:rowOff>
    </xdr:to>
    <xdr:cxnSp macro="">
      <xdr:nvCxnSpPr>
        <xdr:cNvPr id="77" name="直線コネクタ 76">
          <a:extLst>
            <a:ext uri="{FF2B5EF4-FFF2-40B4-BE49-F238E27FC236}">
              <a16:creationId xmlns:a16="http://schemas.microsoft.com/office/drawing/2014/main" id="{00000000-0008-0000-0600-00004D000000}"/>
            </a:ext>
          </a:extLst>
        </xdr:cNvPr>
        <xdr:cNvCxnSpPr>
          <a:stCxn id="73" idx="2"/>
          <a:endCxn id="8" idx="3"/>
        </xdr:cNvCxnSpPr>
      </xdr:nvCxnSpPr>
      <xdr:spPr>
        <a:xfrm flipH="1" flipV="1">
          <a:off x="1896178" y="10170182"/>
          <a:ext cx="572315" cy="38124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59214</xdr:colOff>
      <xdr:row>63</xdr:row>
      <xdr:rowOff>5895</xdr:rowOff>
    </xdr:from>
    <xdr:to>
      <xdr:col>20</xdr:col>
      <xdr:colOff>19207</xdr:colOff>
      <xdr:row>72</xdr:row>
      <xdr:rowOff>39616</xdr:rowOff>
    </xdr:to>
    <xdr:cxnSp macro="">
      <xdr:nvCxnSpPr>
        <xdr:cNvPr id="78" name="直線コネクタ 77">
          <a:extLst>
            <a:ext uri="{FF2B5EF4-FFF2-40B4-BE49-F238E27FC236}">
              <a16:creationId xmlns:a16="http://schemas.microsoft.com/office/drawing/2014/main" id="{00000000-0008-0000-0600-00004E000000}"/>
            </a:ext>
          </a:extLst>
        </xdr:cNvPr>
        <xdr:cNvCxnSpPr>
          <a:stCxn id="73" idx="2"/>
          <a:endCxn id="31" idx="3"/>
        </xdr:cNvCxnSpPr>
      </xdr:nvCxnSpPr>
      <xdr:spPr>
        <a:xfrm flipH="1">
          <a:off x="1896178" y="10551431"/>
          <a:ext cx="572315" cy="138082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52057</xdr:colOff>
      <xdr:row>63</xdr:row>
      <xdr:rowOff>5895</xdr:rowOff>
    </xdr:from>
    <xdr:to>
      <xdr:col>20</xdr:col>
      <xdr:colOff>19207</xdr:colOff>
      <xdr:row>75</xdr:row>
      <xdr:rowOff>19649</xdr:rowOff>
    </xdr:to>
    <xdr:cxnSp macro="">
      <xdr:nvCxnSpPr>
        <xdr:cNvPr id="79" name="直線コネクタ 78">
          <a:extLst>
            <a:ext uri="{FF2B5EF4-FFF2-40B4-BE49-F238E27FC236}">
              <a16:creationId xmlns:a16="http://schemas.microsoft.com/office/drawing/2014/main" id="{00000000-0008-0000-0600-00004F000000}"/>
            </a:ext>
          </a:extLst>
        </xdr:cNvPr>
        <xdr:cNvCxnSpPr>
          <a:stCxn id="73" idx="2"/>
          <a:endCxn id="30" idx="3"/>
        </xdr:cNvCxnSpPr>
      </xdr:nvCxnSpPr>
      <xdr:spPr>
        <a:xfrm flipH="1">
          <a:off x="1889021" y="10551431"/>
          <a:ext cx="579472" cy="1809897"/>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57144</xdr:colOff>
      <xdr:row>63</xdr:row>
      <xdr:rowOff>5895</xdr:rowOff>
    </xdr:from>
    <xdr:to>
      <xdr:col>20</xdr:col>
      <xdr:colOff>19207</xdr:colOff>
      <xdr:row>66</xdr:row>
      <xdr:rowOff>45183</xdr:rowOff>
    </xdr:to>
    <xdr:cxnSp macro="">
      <xdr:nvCxnSpPr>
        <xdr:cNvPr id="80" name="直線コネクタ 79">
          <a:extLst>
            <a:ext uri="{FF2B5EF4-FFF2-40B4-BE49-F238E27FC236}">
              <a16:creationId xmlns:a16="http://schemas.microsoft.com/office/drawing/2014/main" id="{00000000-0008-0000-0600-000050000000}"/>
            </a:ext>
          </a:extLst>
        </xdr:cNvPr>
        <xdr:cNvCxnSpPr>
          <a:stCxn id="73" idx="2"/>
          <a:endCxn id="40" idx="3"/>
        </xdr:cNvCxnSpPr>
      </xdr:nvCxnSpPr>
      <xdr:spPr>
        <a:xfrm flipH="1">
          <a:off x="1894108" y="10551431"/>
          <a:ext cx="574385" cy="488323"/>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48010</xdr:colOff>
      <xdr:row>63</xdr:row>
      <xdr:rowOff>5895</xdr:rowOff>
    </xdr:from>
    <xdr:to>
      <xdr:col>20</xdr:col>
      <xdr:colOff>19207</xdr:colOff>
      <xdr:row>69</xdr:row>
      <xdr:rowOff>88874</xdr:rowOff>
    </xdr:to>
    <xdr:cxnSp macro="">
      <xdr:nvCxnSpPr>
        <xdr:cNvPr id="81" name="直線コネクタ 80">
          <a:extLst>
            <a:ext uri="{FF2B5EF4-FFF2-40B4-BE49-F238E27FC236}">
              <a16:creationId xmlns:a16="http://schemas.microsoft.com/office/drawing/2014/main" id="{00000000-0008-0000-0600-000051000000}"/>
            </a:ext>
          </a:extLst>
        </xdr:cNvPr>
        <xdr:cNvCxnSpPr>
          <a:stCxn id="73" idx="2"/>
          <a:endCxn id="29" idx="3"/>
        </xdr:cNvCxnSpPr>
      </xdr:nvCxnSpPr>
      <xdr:spPr>
        <a:xfrm flipH="1">
          <a:off x="1884974" y="10551431"/>
          <a:ext cx="583519" cy="98105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57144</xdr:colOff>
      <xdr:row>63</xdr:row>
      <xdr:rowOff>5895</xdr:rowOff>
    </xdr:from>
    <xdr:to>
      <xdr:col>20</xdr:col>
      <xdr:colOff>19207</xdr:colOff>
      <xdr:row>63</xdr:row>
      <xdr:rowOff>58065</xdr:rowOff>
    </xdr:to>
    <xdr:cxnSp macro="">
      <xdr:nvCxnSpPr>
        <xdr:cNvPr id="82" name="直線コネクタ 81">
          <a:extLst>
            <a:ext uri="{FF2B5EF4-FFF2-40B4-BE49-F238E27FC236}">
              <a16:creationId xmlns:a16="http://schemas.microsoft.com/office/drawing/2014/main" id="{00000000-0008-0000-0600-000052000000}"/>
            </a:ext>
          </a:extLst>
        </xdr:cNvPr>
        <xdr:cNvCxnSpPr>
          <a:stCxn id="73" idx="2"/>
          <a:endCxn id="39" idx="3"/>
        </xdr:cNvCxnSpPr>
      </xdr:nvCxnSpPr>
      <xdr:spPr>
        <a:xfrm flipH="1">
          <a:off x="1894108" y="10551431"/>
          <a:ext cx="574385" cy="5217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62330</xdr:colOff>
      <xdr:row>76</xdr:row>
      <xdr:rowOff>127199</xdr:rowOff>
    </xdr:from>
    <xdr:to>
      <xdr:col>15</xdr:col>
      <xdr:colOff>62224</xdr:colOff>
      <xdr:row>79</xdr:row>
      <xdr:rowOff>27358</xdr:rowOff>
    </xdr:to>
    <xdr:sp macro="" textlink="">
      <xdr:nvSpPr>
        <xdr:cNvPr id="83" name="Rectangle 15">
          <a:extLst>
            <a:ext uri="{FF2B5EF4-FFF2-40B4-BE49-F238E27FC236}">
              <a16:creationId xmlns:a16="http://schemas.microsoft.com/office/drawing/2014/main" id="{00000000-0008-0000-0600-000053000000}"/>
            </a:ext>
          </a:extLst>
        </xdr:cNvPr>
        <xdr:cNvSpPr>
          <a:spLocks noChangeArrowheads="1"/>
        </xdr:cNvSpPr>
      </xdr:nvSpPr>
      <xdr:spPr bwMode="auto">
        <a:xfrm>
          <a:off x="797116" y="12618556"/>
          <a:ext cx="1102072" cy="349195"/>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36</xdr:col>
      <xdr:colOff>67239</xdr:colOff>
      <xdr:row>186</xdr:row>
      <xdr:rowOff>56030</xdr:rowOff>
    </xdr:from>
    <xdr:to>
      <xdr:col>43</xdr:col>
      <xdr:colOff>68064</xdr:colOff>
      <xdr:row>189</xdr:row>
      <xdr:rowOff>102831</xdr:rowOff>
    </xdr:to>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4504768" y="34872706"/>
          <a:ext cx="863678" cy="5174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26</xdr:col>
      <xdr:colOff>68016</xdr:colOff>
      <xdr:row>178</xdr:row>
      <xdr:rowOff>76851</xdr:rowOff>
    </xdr:from>
    <xdr:to>
      <xdr:col>40</xdr:col>
      <xdr:colOff>6019</xdr:colOff>
      <xdr:row>186</xdr:row>
      <xdr:rowOff>56030</xdr:rowOff>
    </xdr:to>
    <xdr:cxnSp macro="">
      <xdr:nvCxnSpPr>
        <xdr:cNvPr id="88" name="直線矢印コネクタ 87">
          <a:extLst>
            <a:ext uri="{FF2B5EF4-FFF2-40B4-BE49-F238E27FC236}">
              <a16:creationId xmlns:a16="http://schemas.microsoft.com/office/drawing/2014/main" id="{00000000-0008-0000-0600-000058000000}"/>
            </a:ext>
          </a:extLst>
        </xdr:cNvPr>
        <xdr:cNvCxnSpPr>
          <a:stCxn id="87" idx="0"/>
          <a:endCxn id="53" idx="2"/>
        </xdr:cNvCxnSpPr>
      </xdr:nvCxnSpPr>
      <xdr:spPr>
        <a:xfrm flipH="1" flipV="1">
          <a:off x="3272898" y="33638469"/>
          <a:ext cx="1663709" cy="123423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6019</xdr:colOff>
      <xdr:row>178</xdr:row>
      <xdr:rowOff>76851</xdr:rowOff>
    </xdr:from>
    <xdr:to>
      <xdr:col>54</xdr:col>
      <xdr:colOff>110045</xdr:colOff>
      <xdr:row>186</xdr:row>
      <xdr:rowOff>56030</xdr:rowOff>
    </xdr:to>
    <xdr:cxnSp macro="">
      <xdr:nvCxnSpPr>
        <xdr:cNvPr id="91" name="直線矢印コネクタ 90">
          <a:extLst>
            <a:ext uri="{FF2B5EF4-FFF2-40B4-BE49-F238E27FC236}">
              <a16:creationId xmlns:a16="http://schemas.microsoft.com/office/drawing/2014/main" id="{00000000-0008-0000-0600-00005B000000}"/>
            </a:ext>
          </a:extLst>
        </xdr:cNvPr>
        <xdr:cNvCxnSpPr>
          <a:stCxn id="87" idx="0"/>
          <a:endCxn id="54" idx="2"/>
        </xdr:cNvCxnSpPr>
      </xdr:nvCxnSpPr>
      <xdr:spPr>
        <a:xfrm flipV="1">
          <a:off x="4936607" y="33638469"/>
          <a:ext cx="1818526" cy="123423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53846</xdr:colOff>
      <xdr:row>79</xdr:row>
      <xdr:rowOff>106707</xdr:rowOff>
    </xdr:from>
    <xdr:to>
      <xdr:col>15</xdr:col>
      <xdr:colOff>53740</xdr:colOff>
      <xdr:row>82</xdr:row>
      <xdr:rowOff>2897</xdr:rowOff>
    </xdr:to>
    <xdr:sp macro="" textlink="">
      <xdr:nvSpPr>
        <xdr:cNvPr id="92" name="Rectangle 15">
          <a:extLst>
            <a:ext uri="{FF2B5EF4-FFF2-40B4-BE49-F238E27FC236}">
              <a16:creationId xmlns:a16="http://schemas.microsoft.com/office/drawing/2014/main" id="{00000000-0008-0000-0600-00005C000000}"/>
            </a:ext>
          </a:extLst>
        </xdr:cNvPr>
        <xdr:cNvSpPr>
          <a:spLocks noChangeArrowheads="1"/>
        </xdr:cNvSpPr>
      </xdr:nvSpPr>
      <xdr:spPr bwMode="auto">
        <a:xfrm>
          <a:off x="788632" y="13047100"/>
          <a:ext cx="1102072" cy="345226"/>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ePolicy</a:t>
          </a:r>
        </a:p>
      </xdr:txBody>
    </xdr:sp>
    <xdr:clientData/>
  </xdr:twoCellAnchor>
  <xdr:twoCellAnchor>
    <xdr:from>
      <xdr:col>6</xdr:col>
      <xdr:colOff>56568</xdr:colOff>
      <xdr:row>82</xdr:row>
      <xdr:rowOff>55000</xdr:rowOff>
    </xdr:from>
    <xdr:to>
      <xdr:col>15</xdr:col>
      <xdr:colOff>56462</xdr:colOff>
      <xdr:row>84</xdr:row>
      <xdr:rowOff>93664</xdr:rowOff>
    </xdr:to>
    <xdr:sp macro="" textlink="">
      <xdr:nvSpPr>
        <xdr:cNvPr id="126" name="Rectangle 15">
          <a:extLst>
            <a:ext uri="{FF2B5EF4-FFF2-40B4-BE49-F238E27FC236}">
              <a16:creationId xmlns:a16="http://schemas.microsoft.com/office/drawing/2014/main" id="{00000000-0008-0000-0600-00007E000000}"/>
            </a:ext>
          </a:extLst>
        </xdr:cNvPr>
        <xdr:cNvSpPr>
          <a:spLocks noChangeArrowheads="1"/>
        </xdr:cNvSpPr>
      </xdr:nvSpPr>
      <xdr:spPr bwMode="auto">
        <a:xfrm>
          <a:off x="791354" y="13444429"/>
          <a:ext cx="1102072" cy="338021"/>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IBM</a:t>
          </a:r>
          <a:r>
            <a:rPr lang="ja-JP" altLang="en-US" sz="900">
              <a:latin typeface="+mn-ea"/>
              <a:ea typeface="+mn-ea"/>
              <a:cs typeface="Meiryo UI" pitchFamily="50" charset="-128"/>
            </a:rPr>
            <a:t>ホスト</a:t>
          </a:r>
          <a:endParaRPr lang="en-US" altLang="ja-JP" sz="900">
            <a:latin typeface="+mn-ea"/>
            <a:ea typeface="+mn-ea"/>
            <a:cs typeface="Meiryo UI" pitchFamily="50" charset="-128"/>
          </a:endParaRPr>
        </a:p>
      </xdr:txBody>
    </xdr:sp>
    <xdr:clientData/>
  </xdr:twoCellAnchor>
  <xdr:twoCellAnchor>
    <xdr:from>
      <xdr:col>6</xdr:col>
      <xdr:colOff>60089</xdr:colOff>
      <xdr:row>85</xdr:row>
      <xdr:rowOff>16899</xdr:rowOff>
    </xdr:from>
    <xdr:to>
      <xdr:col>15</xdr:col>
      <xdr:colOff>59985</xdr:colOff>
      <xdr:row>87</xdr:row>
      <xdr:rowOff>62766</xdr:rowOff>
    </xdr:to>
    <xdr:sp macro="" textlink="">
      <xdr:nvSpPr>
        <xdr:cNvPr id="127" name="Rectangle 15">
          <a:extLst>
            <a:ext uri="{FF2B5EF4-FFF2-40B4-BE49-F238E27FC236}">
              <a16:creationId xmlns:a16="http://schemas.microsoft.com/office/drawing/2014/main" id="{00000000-0008-0000-0600-00007F000000}"/>
            </a:ext>
          </a:extLst>
        </xdr:cNvPr>
        <xdr:cNvSpPr>
          <a:spLocks noChangeArrowheads="1"/>
        </xdr:cNvSpPr>
      </xdr:nvSpPr>
      <xdr:spPr bwMode="auto">
        <a:xfrm>
          <a:off x="794875" y="13855363"/>
          <a:ext cx="1102074" cy="345224"/>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集配信</a:t>
          </a:r>
          <a:r>
            <a:rPr lang="en-US" altLang="ja-JP" sz="900">
              <a:latin typeface="+mn-ea"/>
              <a:ea typeface="+mn-ea"/>
              <a:cs typeface="Meiryo UI" pitchFamily="50" charset="-128"/>
            </a:rPr>
            <a:t>HUB</a:t>
          </a:r>
        </a:p>
      </xdr:txBody>
    </xdr:sp>
    <xdr:clientData/>
  </xdr:twoCellAnchor>
  <xdr:twoCellAnchor>
    <xdr:from>
      <xdr:col>15</xdr:col>
      <xdr:colOff>56462</xdr:colOff>
      <xdr:row>81</xdr:row>
      <xdr:rowOff>43600</xdr:rowOff>
    </xdr:from>
    <xdr:to>
      <xdr:col>20</xdr:col>
      <xdr:colOff>40891</xdr:colOff>
      <xdr:row>83</xdr:row>
      <xdr:rowOff>74333</xdr:rowOff>
    </xdr:to>
    <xdr:cxnSp macro="">
      <xdr:nvCxnSpPr>
        <xdr:cNvPr id="135" name="直線コネクタ 134">
          <a:extLst>
            <a:ext uri="{FF2B5EF4-FFF2-40B4-BE49-F238E27FC236}">
              <a16:creationId xmlns:a16="http://schemas.microsoft.com/office/drawing/2014/main" id="{00000000-0008-0000-0600-000087000000}"/>
            </a:ext>
          </a:extLst>
        </xdr:cNvPr>
        <xdr:cNvCxnSpPr>
          <a:stCxn id="115" idx="2"/>
          <a:endCxn id="126" idx="3"/>
        </xdr:cNvCxnSpPr>
      </xdr:nvCxnSpPr>
      <xdr:spPr>
        <a:xfrm flipH="1">
          <a:off x="1893426" y="13283350"/>
          <a:ext cx="596751" cy="33009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71220</xdr:colOff>
      <xdr:row>53</xdr:row>
      <xdr:rowOff>142475</xdr:rowOff>
    </xdr:from>
    <xdr:to>
      <xdr:col>35</xdr:col>
      <xdr:colOff>96191</xdr:colOff>
      <xdr:row>75</xdr:row>
      <xdr:rowOff>123264</xdr:rowOff>
    </xdr:to>
    <xdr:sp macro="" textlink="">
      <xdr:nvSpPr>
        <xdr:cNvPr id="159" name="Rectangle 15">
          <a:extLst>
            <a:ext uri="{FF2B5EF4-FFF2-40B4-BE49-F238E27FC236}">
              <a16:creationId xmlns:a16="http://schemas.microsoft.com/office/drawing/2014/main" id="{00000000-0008-0000-0600-00009F000000}"/>
            </a:ext>
          </a:extLst>
        </xdr:cNvPr>
        <xdr:cNvSpPr>
          <a:spLocks noChangeArrowheads="1"/>
        </xdr:cNvSpPr>
      </xdr:nvSpPr>
      <xdr:spPr bwMode="auto">
        <a:xfrm>
          <a:off x="3622684" y="9191225"/>
          <a:ext cx="759757" cy="3273718"/>
        </a:xfrm>
        <a:prstGeom prst="rect">
          <a:avLst/>
        </a:prstGeom>
        <a:solidFill>
          <a:schemeClr val="bg1"/>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44</xdr:col>
      <xdr:colOff>25130</xdr:colOff>
      <xdr:row>60</xdr:row>
      <xdr:rowOff>33406</xdr:rowOff>
    </xdr:from>
    <xdr:to>
      <xdr:col>44</xdr:col>
      <xdr:colOff>29613</xdr:colOff>
      <xdr:row>67</xdr:row>
      <xdr:rowOff>130926</xdr:rowOff>
    </xdr:to>
    <xdr:cxnSp macro="">
      <xdr:nvCxnSpPr>
        <xdr:cNvPr id="174" name="直線コネクタ 173">
          <a:extLst>
            <a:ext uri="{FF2B5EF4-FFF2-40B4-BE49-F238E27FC236}">
              <a16:creationId xmlns:a16="http://schemas.microsoft.com/office/drawing/2014/main" id="{00000000-0008-0000-0600-0000AE000000}"/>
            </a:ext>
          </a:extLst>
        </xdr:cNvPr>
        <xdr:cNvCxnSpPr>
          <a:stCxn id="48" idx="1"/>
          <a:endCxn id="111" idx="3"/>
        </xdr:cNvCxnSpPr>
      </xdr:nvCxnSpPr>
      <xdr:spPr>
        <a:xfrm flipH="1">
          <a:off x="5413559" y="10102692"/>
          <a:ext cx="4483" cy="11452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42004</xdr:colOff>
      <xdr:row>65</xdr:row>
      <xdr:rowOff>18022</xdr:rowOff>
    </xdr:from>
    <xdr:to>
      <xdr:col>77</xdr:col>
      <xdr:colOff>84621</xdr:colOff>
      <xdr:row>67</xdr:row>
      <xdr:rowOff>49854</xdr:rowOff>
    </xdr:to>
    <xdr:sp macro="" textlink="">
      <xdr:nvSpPr>
        <xdr:cNvPr id="185" name="Rectangle 15">
          <a:extLst>
            <a:ext uri="{FF2B5EF4-FFF2-40B4-BE49-F238E27FC236}">
              <a16:creationId xmlns:a16="http://schemas.microsoft.com/office/drawing/2014/main" id="{00000000-0008-0000-0600-0000B9000000}"/>
            </a:ext>
          </a:extLst>
        </xdr:cNvPr>
        <xdr:cNvSpPr>
          <a:spLocks noChangeArrowheads="1"/>
        </xdr:cNvSpPr>
      </xdr:nvSpPr>
      <xdr:spPr bwMode="auto">
        <a:xfrm>
          <a:off x="8355968" y="10835701"/>
          <a:ext cx="1144796" cy="331189"/>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AP</a:t>
          </a:r>
        </a:p>
      </xdr:txBody>
    </xdr:sp>
    <xdr:clientData/>
  </xdr:twoCellAnchor>
  <xdr:twoCellAnchor>
    <xdr:from>
      <xdr:col>68</xdr:col>
      <xdr:colOff>46326</xdr:colOff>
      <xdr:row>67</xdr:row>
      <xdr:rowOff>130402</xdr:rowOff>
    </xdr:from>
    <xdr:to>
      <xdr:col>77</xdr:col>
      <xdr:colOff>88943</xdr:colOff>
      <xdr:row>70</xdr:row>
      <xdr:rowOff>19759</xdr:rowOff>
    </xdr:to>
    <xdr:sp macro="" textlink="">
      <xdr:nvSpPr>
        <xdr:cNvPr id="186" name="Rectangle 15">
          <a:extLst>
            <a:ext uri="{FF2B5EF4-FFF2-40B4-BE49-F238E27FC236}">
              <a16:creationId xmlns:a16="http://schemas.microsoft.com/office/drawing/2014/main" id="{00000000-0008-0000-0600-0000BA000000}"/>
            </a:ext>
          </a:extLst>
        </xdr:cNvPr>
        <xdr:cNvSpPr>
          <a:spLocks noChangeArrowheads="1"/>
        </xdr:cNvSpPr>
      </xdr:nvSpPr>
      <xdr:spPr bwMode="auto">
        <a:xfrm>
          <a:off x="8360290" y="11247438"/>
          <a:ext cx="1144796" cy="338392"/>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DB</a:t>
          </a:r>
        </a:p>
      </xdr:txBody>
    </xdr:sp>
    <xdr:clientData/>
  </xdr:twoCellAnchor>
  <xdr:twoCellAnchor>
    <xdr:from>
      <xdr:col>68</xdr:col>
      <xdr:colOff>42639</xdr:colOff>
      <xdr:row>70</xdr:row>
      <xdr:rowOff>89095</xdr:rowOff>
    </xdr:from>
    <xdr:to>
      <xdr:col>77</xdr:col>
      <xdr:colOff>85256</xdr:colOff>
      <xdr:row>72</xdr:row>
      <xdr:rowOff>128130</xdr:rowOff>
    </xdr:to>
    <xdr:sp macro="" textlink="">
      <xdr:nvSpPr>
        <xdr:cNvPr id="187" name="Rectangle 15">
          <a:extLst>
            <a:ext uri="{FF2B5EF4-FFF2-40B4-BE49-F238E27FC236}">
              <a16:creationId xmlns:a16="http://schemas.microsoft.com/office/drawing/2014/main" id="{00000000-0008-0000-0600-0000BB000000}"/>
            </a:ext>
          </a:extLst>
        </xdr:cNvPr>
        <xdr:cNvSpPr>
          <a:spLocks noChangeArrowheads="1"/>
        </xdr:cNvSpPr>
      </xdr:nvSpPr>
      <xdr:spPr bwMode="auto">
        <a:xfrm>
          <a:off x="8356603" y="11655166"/>
          <a:ext cx="1144796" cy="338393"/>
        </a:xfrm>
        <a:prstGeom prst="rect">
          <a:avLst/>
        </a:prstGeom>
        <a:noFill/>
        <a:ln w="9525">
          <a:solidFill>
            <a:schemeClr val="tx1"/>
          </a:solidFill>
          <a:prstDash val="dash"/>
          <a:miter lim="800000"/>
          <a:headEnd/>
          <a:tailEnd/>
        </a:ln>
      </xdr:spPr>
      <xdr:txBody>
        <a:bodyPr wrap="non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チャネル統合基盤</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68</xdr:col>
      <xdr:colOff>49363</xdr:colOff>
      <xdr:row>73</xdr:row>
      <xdr:rowOff>51796</xdr:rowOff>
    </xdr:from>
    <xdr:to>
      <xdr:col>77</xdr:col>
      <xdr:colOff>91980</xdr:colOff>
      <xdr:row>75</xdr:row>
      <xdr:rowOff>90832</xdr:rowOff>
    </xdr:to>
    <xdr:sp macro="" textlink="">
      <xdr:nvSpPr>
        <xdr:cNvPr id="188" name="Rectangle 15">
          <a:extLst>
            <a:ext uri="{FF2B5EF4-FFF2-40B4-BE49-F238E27FC236}">
              <a16:creationId xmlns:a16="http://schemas.microsoft.com/office/drawing/2014/main" id="{00000000-0008-0000-0600-0000BC000000}"/>
            </a:ext>
          </a:extLst>
        </xdr:cNvPr>
        <xdr:cNvSpPr>
          <a:spLocks noChangeArrowheads="1"/>
        </xdr:cNvSpPr>
      </xdr:nvSpPr>
      <xdr:spPr bwMode="auto">
        <a:xfrm>
          <a:off x="8420157" y="11806767"/>
          <a:ext cx="1151999" cy="352800"/>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タンデム</a:t>
          </a:r>
          <a:endParaRPr lang="en-US" altLang="ja-JP" sz="900">
            <a:latin typeface="+mn-ea"/>
            <a:ea typeface="+mn-ea"/>
            <a:cs typeface="Meiryo UI" pitchFamily="50" charset="-128"/>
          </a:endParaRPr>
        </a:p>
      </xdr:txBody>
    </xdr:sp>
    <xdr:clientData/>
  </xdr:twoCellAnchor>
  <xdr:twoCellAnchor>
    <xdr:from>
      <xdr:col>15</xdr:col>
      <xdr:colOff>59985</xdr:colOff>
      <xdr:row>81</xdr:row>
      <xdr:rowOff>43600</xdr:rowOff>
    </xdr:from>
    <xdr:to>
      <xdr:col>20</xdr:col>
      <xdr:colOff>40891</xdr:colOff>
      <xdr:row>86</xdr:row>
      <xdr:rowOff>39832</xdr:rowOff>
    </xdr:to>
    <xdr:cxnSp macro="">
      <xdr:nvCxnSpPr>
        <xdr:cNvPr id="194" name="直線コネクタ 193">
          <a:extLst>
            <a:ext uri="{FF2B5EF4-FFF2-40B4-BE49-F238E27FC236}">
              <a16:creationId xmlns:a16="http://schemas.microsoft.com/office/drawing/2014/main" id="{00000000-0008-0000-0600-0000C2000000}"/>
            </a:ext>
          </a:extLst>
        </xdr:cNvPr>
        <xdr:cNvCxnSpPr>
          <a:stCxn id="115" idx="2"/>
          <a:endCxn id="127" idx="3"/>
        </xdr:cNvCxnSpPr>
      </xdr:nvCxnSpPr>
      <xdr:spPr>
        <a:xfrm flipH="1">
          <a:off x="1896949" y="13283350"/>
          <a:ext cx="593228" cy="74462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62028</xdr:colOff>
      <xdr:row>69</xdr:row>
      <xdr:rowOff>3843</xdr:rowOff>
    </xdr:from>
    <xdr:to>
      <xdr:col>68</xdr:col>
      <xdr:colOff>46326</xdr:colOff>
      <xdr:row>70</xdr:row>
      <xdr:rowOff>83210</xdr:rowOff>
    </xdr:to>
    <xdr:cxnSp macro="">
      <xdr:nvCxnSpPr>
        <xdr:cNvPr id="208" name="直線コネクタ 207">
          <a:extLst>
            <a:ext uri="{FF2B5EF4-FFF2-40B4-BE49-F238E27FC236}">
              <a16:creationId xmlns:a16="http://schemas.microsoft.com/office/drawing/2014/main" id="{00000000-0008-0000-0600-0000D0000000}"/>
            </a:ext>
          </a:extLst>
        </xdr:cNvPr>
        <xdr:cNvCxnSpPr>
          <a:stCxn id="186" idx="1"/>
          <a:endCxn id="66" idx="6"/>
        </xdr:cNvCxnSpPr>
      </xdr:nvCxnSpPr>
      <xdr:spPr>
        <a:xfrm flipH="1">
          <a:off x="7886135" y="11420236"/>
          <a:ext cx="474155" cy="22904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62028</xdr:colOff>
      <xdr:row>66</xdr:row>
      <xdr:rowOff>33939</xdr:rowOff>
    </xdr:from>
    <xdr:to>
      <xdr:col>68</xdr:col>
      <xdr:colOff>42004</xdr:colOff>
      <xdr:row>70</xdr:row>
      <xdr:rowOff>83210</xdr:rowOff>
    </xdr:to>
    <xdr:cxnSp macro="">
      <xdr:nvCxnSpPr>
        <xdr:cNvPr id="211" name="直線コネクタ 210">
          <a:extLst>
            <a:ext uri="{FF2B5EF4-FFF2-40B4-BE49-F238E27FC236}">
              <a16:creationId xmlns:a16="http://schemas.microsoft.com/office/drawing/2014/main" id="{00000000-0008-0000-0600-0000D3000000}"/>
            </a:ext>
          </a:extLst>
        </xdr:cNvPr>
        <xdr:cNvCxnSpPr>
          <a:stCxn id="185" idx="1"/>
          <a:endCxn id="66" idx="6"/>
        </xdr:cNvCxnSpPr>
      </xdr:nvCxnSpPr>
      <xdr:spPr>
        <a:xfrm flipH="1">
          <a:off x="7886135" y="11001296"/>
          <a:ext cx="469833" cy="6479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62028</xdr:colOff>
      <xdr:row>70</xdr:row>
      <xdr:rowOff>83210</xdr:rowOff>
    </xdr:from>
    <xdr:to>
      <xdr:col>68</xdr:col>
      <xdr:colOff>42639</xdr:colOff>
      <xdr:row>71</xdr:row>
      <xdr:rowOff>108613</xdr:rowOff>
    </xdr:to>
    <xdr:cxnSp macro="">
      <xdr:nvCxnSpPr>
        <xdr:cNvPr id="214" name="直線コネクタ 213">
          <a:extLst>
            <a:ext uri="{FF2B5EF4-FFF2-40B4-BE49-F238E27FC236}">
              <a16:creationId xmlns:a16="http://schemas.microsoft.com/office/drawing/2014/main" id="{00000000-0008-0000-0600-0000D6000000}"/>
            </a:ext>
          </a:extLst>
        </xdr:cNvPr>
        <xdr:cNvCxnSpPr>
          <a:stCxn id="187" idx="1"/>
          <a:endCxn id="66" idx="6"/>
        </xdr:cNvCxnSpPr>
      </xdr:nvCxnSpPr>
      <xdr:spPr>
        <a:xfrm flipH="1" flipV="1">
          <a:off x="7886135" y="11649281"/>
          <a:ext cx="470468" cy="17508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62028</xdr:colOff>
      <xdr:row>70</xdr:row>
      <xdr:rowOff>83210</xdr:rowOff>
    </xdr:from>
    <xdr:to>
      <xdr:col>68</xdr:col>
      <xdr:colOff>49363</xdr:colOff>
      <xdr:row>74</xdr:row>
      <xdr:rowOff>71314</xdr:rowOff>
    </xdr:to>
    <xdr:cxnSp macro="">
      <xdr:nvCxnSpPr>
        <xdr:cNvPr id="217" name="直線コネクタ 216">
          <a:extLst>
            <a:ext uri="{FF2B5EF4-FFF2-40B4-BE49-F238E27FC236}">
              <a16:creationId xmlns:a16="http://schemas.microsoft.com/office/drawing/2014/main" id="{00000000-0008-0000-0600-0000D9000000}"/>
            </a:ext>
          </a:extLst>
        </xdr:cNvPr>
        <xdr:cNvCxnSpPr>
          <a:stCxn id="188" idx="1"/>
          <a:endCxn id="66" idx="6"/>
        </xdr:cNvCxnSpPr>
      </xdr:nvCxnSpPr>
      <xdr:spPr>
        <a:xfrm flipH="1" flipV="1">
          <a:off x="7939763" y="11367534"/>
          <a:ext cx="480394" cy="61563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47613</xdr:colOff>
      <xdr:row>53</xdr:row>
      <xdr:rowOff>6004</xdr:rowOff>
    </xdr:from>
    <xdr:to>
      <xdr:col>67</xdr:col>
      <xdr:colOff>16980</xdr:colOff>
      <xdr:row>55</xdr:row>
      <xdr:rowOff>96053</xdr:rowOff>
    </xdr:to>
    <xdr:sp macro="" textlink="">
      <xdr:nvSpPr>
        <xdr:cNvPr id="101" name="テキスト ボックス 100">
          <a:extLst>
            <a:ext uri="{FF2B5EF4-FFF2-40B4-BE49-F238E27FC236}">
              <a16:creationId xmlns:a16="http://schemas.microsoft.com/office/drawing/2014/main" id="{00000000-0008-0000-0600-000065000000}"/>
            </a:ext>
          </a:extLst>
        </xdr:cNvPr>
        <xdr:cNvSpPr txBox="1"/>
      </xdr:nvSpPr>
      <xdr:spPr>
        <a:xfrm>
          <a:off x="6892006" y="9027540"/>
          <a:ext cx="1316474" cy="389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lientData/>
  </xdr:twoCellAnchor>
  <xdr:twoCellAnchor>
    <xdr:from>
      <xdr:col>39</xdr:col>
      <xdr:colOff>72355</xdr:colOff>
      <xdr:row>67</xdr:row>
      <xdr:rowOff>77152</xdr:rowOff>
    </xdr:from>
    <xdr:to>
      <xdr:col>48</xdr:col>
      <xdr:colOff>99569</xdr:colOff>
      <xdr:row>73</xdr:row>
      <xdr:rowOff>76357</xdr:rowOff>
    </xdr:to>
    <xdr:sp macro="" textlink="">
      <xdr:nvSpPr>
        <xdr:cNvPr id="111" name="雲 110">
          <a:extLst>
            <a:ext uri="{FF2B5EF4-FFF2-40B4-BE49-F238E27FC236}">
              <a16:creationId xmlns:a16="http://schemas.microsoft.com/office/drawing/2014/main" id="{00000000-0008-0000-0600-00006F000000}"/>
            </a:ext>
          </a:extLst>
        </xdr:cNvPr>
        <xdr:cNvSpPr/>
      </xdr:nvSpPr>
      <xdr:spPr>
        <a:xfrm>
          <a:off x="4848462" y="11194188"/>
          <a:ext cx="1129393" cy="897276"/>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BB</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33</xdr:col>
      <xdr:colOff>105637</xdr:colOff>
      <xdr:row>58</xdr:row>
      <xdr:rowOff>25614</xdr:rowOff>
    </xdr:from>
    <xdr:to>
      <xdr:col>35</xdr:col>
      <xdr:colOff>52026</xdr:colOff>
      <xdr:row>59</xdr:row>
      <xdr:rowOff>33613</xdr:rowOff>
    </xdr:to>
    <xdr:sp macro="" textlink="">
      <xdr:nvSpPr>
        <xdr:cNvPr id="113" name="テキスト ボックス 112">
          <a:extLst>
            <a:ext uri="{FF2B5EF4-FFF2-40B4-BE49-F238E27FC236}">
              <a16:creationId xmlns:a16="http://schemas.microsoft.com/office/drawing/2014/main" id="{00000000-0008-0000-0600-000071000000}"/>
            </a:ext>
          </a:extLst>
        </xdr:cNvPr>
        <xdr:cNvSpPr txBox="1"/>
      </xdr:nvSpPr>
      <xdr:spPr>
        <a:xfrm>
          <a:off x="4146958" y="9822757"/>
          <a:ext cx="191318" cy="157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35</xdr:col>
      <xdr:colOff>119267</xdr:colOff>
      <xdr:row>70</xdr:row>
      <xdr:rowOff>76754</xdr:rowOff>
    </xdr:from>
    <xdr:to>
      <xdr:col>39</xdr:col>
      <xdr:colOff>75858</xdr:colOff>
      <xdr:row>70</xdr:row>
      <xdr:rowOff>78439</xdr:rowOff>
    </xdr:to>
    <xdr:cxnSp macro="">
      <xdr:nvCxnSpPr>
        <xdr:cNvPr id="116" name="直線コネクタ 115">
          <a:extLst>
            <a:ext uri="{FF2B5EF4-FFF2-40B4-BE49-F238E27FC236}">
              <a16:creationId xmlns:a16="http://schemas.microsoft.com/office/drawing/2014/main" id="{00000000-0008-0000-0600-000074000000}"/>
            </a:ext>
          </a:extLst>
        </xdr:cNvPr>
        <xdr:cNvCxnSpPr>
          <a:stCxn id="111" idx="2"/>
          <a:endCxn id="117" idx="3"/>
        </xdr:cNvCxnSpPr>
      </xdr:nvCxnSpPr>
      <xdr:spPr>
        <a:xfrm flipH="1">
          <a:off x="4405517" y="11670040"/>
          <a:ext cx="446448" cy="16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18476</xdr:colOff>
      <xdr:row>69</xdr:row>
      <xdr:rowOff>120867</xdr:rowOff>
    </xdr:from>
    <xdr:to>
      <xdr:col>35</xdr:col>
      <xdr:colOff>119267</xdr:colOff>
      <xdr:row>71</xdr:row>
      <xdr:rowOff>36012</xdr:rowOff>
    </xdr:to>
    <xdr:sp macro="" textlink="">
      <xdr:nvSpPr>
        <xdr:cNvPr id="117" name="テキスト ボックス 116">
          <a:extLst>
            <a:ext uri="{FF2B5EF4-FFF2-40B4-BE49-F238E27FC236}">
              <a16:creationId xmlns:a16="http://schemas.microsoft.com/office/drawing/2014/main" id="{00000000-0008-0000-0600-000075000000}"/>
            </a:ext>
          </a:extLst>
        </xdr:cNvPr>
        <xdr:cNvSpPr txBox="1"/>
      </xdr:nvSpPr>
      <xdr:spPr>
        <a:xfrm>
          <a:off x="4182262" y="11564474"/>
          <a:ext cx="223255" cy="214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29</xdr:col>
      <xdr:colOff>64836</xdr:colOff>
      <xdr:row>79</xdr:row>
      <xdr:rowOff>112059</xdr:rowOff>
    </xdr:from>
    <xdr:to>
      <xdr:col>35</xdr:col>
      <xdr:colOff>88447</xdr:colOff>
      <xdr:row>82</xdr:row>
      <xdr:rowOff>128110</xdr:rowOff>
    </xdr:to>
    <xdr:sp macro="" textlink="">
      <xdr:nvSpPr>
        <xdr:cNvPr id="108" name="Rectangle 15">
          <a:extLst>
            <a:ext uri="{FF2B5EF4-FFF2-40B4-BE49-F238E27FC236}">
              <a16:creationId xmlns:a16="http://schemas.microsoft.com/office/drawing/2014/main" id="{00000000-0008-0000-0600-00006C000000}"/>
            </a:ext>
          </a:extLst>
        </xdr:cNvPr>
        <xdr:cNvSpPr>
          <a:spLocks noChangeArrowheads="1"/>
        </xdr:cNvSpPr>
      </xdr:nvSpPr>
      <xdr:spPr bwMode="auto">
        <a:xfrm>
          <a:off x="3616300" y="13052452"/>
          <a:ext cx="758397" cy="465087"/>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SMCC</a:t>
          </a:r>
          <a:r>
            <a:rPr lang="ja-JP" altLang="en-US" sz="900">
              <a:solidFill>
                <a:sysClr val="windowText" lastClr="000000"/>
              </a:solidFill>
              <a:latin typeface="+mn-ea"/>
              <a:ea typeface="+mn-ea"/>
              <a:cs typeface="Meiryo UI" pitchFamily="50" charset="-128"/>
            </a:rPr>
            <a:t>開発</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BBL3SW</a:t>
          </a:r>
        </a:p>
      </xdr:txBody>
    </xdr:sp>
    <xdr:clientData/>
  </xdr:twoCellAnchor>
  <xdr:twoCellAnchor>
    <xdr:from>
      <xdr:col>20</xdr:col>
      <xdr:colOff>40891</xdr:colOff>
      <xdr:row>79</xdr:row>
      <xdr:rowOff>82484</xdr:rowOff>
    </xdr:from>
    <xdr:to>
      <xdr:col>25</xdr:col>
      <xdr:colOff>86028</xdr:colOff>
      <xdr:row>83</xdr:row>
      <xdr:rowOff>4716</xdr:rowOff>
    </xdr:to>
    <xdr:sp macro="" textlink="">
      <xdr:nvSpPr>
        <xdr:cNvPr id="115" name="フローチャート : 和接合 107">
          <a:extLst>
            <a:ext uri="{FF2B5EF4-FFF2-40B4-BE49-F238E27FC236}">
              <a16:creationId xmlns:a16="http://schemas.microsoft.com/office/drawing/2014/main" id="{00000000-0008-0000-0600-000073000000}"/>
            </a:ext>
          </a:extLst>
        </xdr:cNvPr>
        <xdr:cNvSpPr/>
      </xdr:nvSpPr>
      <xdr:spPr>
        <a:xfrm>
          <a:off x="2490177" y="13022877"/>
          <a:ext cx="657458" cy="52094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17</xdr:col>
      <xdr:colOff>70741</xdr:colOff>
      <xdr:row>77</xdr:row>
      <xdr:rowOff>13130</xdr:rowOff>
    </xdr:from>
    <xdr:to>
      <xdr:col>28</xdr:col>
      <xdr:colOff>39545</xdr:colOff>
      <xdr:row>79</xdr:row>
      <xdr:rowOff>145836</xdr:rowOff>
    </xdr:to>
    <xdr:sp macro="" textlink="">
      <xdr:nvSpPr>
        <xdr:cNvPr id="118" name="テキスト ボックス 117">
          <a:extLst>
            <a:ext uri="{FF2B5EF4-FFF2-40B4-BE49-F238E27FC236}">
              <a16:creationId xmlns:a16="http://schemas.microsoft.com/office/drawing/2014/main" id="{00000000-0008-0000-0600-000076000000}"/>
            </a:ext>
          </a:extLst>
        </xdr:cNvPr>
        <xdr:cNvSpPr txBox="1"/>
      </xdr:nvSpPr>
      <xdr:spPr>
        <a:xfrm>
          <a:off x="2152634" y="12654166"/>
          <a:ext cx="1315911" cy="43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lientData/>
  </xdr:twoCellAnchor>
  <xdr:twoCellAnchor>
    <xdr:from>
      <xdr:col>15</xdr:col>
      <xdr:colOff>62224</xdr:colOff>
      <xdr:row>78</xdr:row>
      <xdr:rowOff>6042</xdr:rowOff>
    </xdr:from>
    <xdr:to>
      <xdr:col>20</xdr:col>
      <xdr:colOff>40891</xdr:colOff>
      <xdr:row>81</xdr:row>
      <xdr:rowOff>43600</xdr:rowOff>
    </xdr:to>
    <xdr:cxnSp macro="">
      <xdr:nvCxnSpPr>
        <xdr:cNvPr id="120" name="直線コネクタ 119">
          <a:extLst>
            <a:ext uri="{FF2B5EF4-FFF2-40B4-BE49-F238E27FC236}">
              <a16:creationId xmlns:a16="http://schemas.microsoft.com/office/drawing/2014/main" id="{00000000-0008-0000-0600-000078000000}"/>
            </a:ext>
          </a:extLst>
        </xdr:cNvPr>
        <xdr:cNvCxnSpPr>
          <a:stCxn id="115" idx="2"/>
          <a:endCxn id="83" idx="3"/>
        </xdr:cNvCxnSpPr>
      </xdr:nvCxnSpPr>
      <xdr:spPr>
        <a:xfrm flipH="1" flipV="1">
          <a:off x="1899188" y="12796756"/>
          <a:ext cx="590989" cy="4865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86028</xdr:colOff>
      <xdr:row>81</xdr:row>
      <xdr:rowOff>41644</xdr:rowOff>
    </xdr:from>
    <xdr:to>
      <xdr:col>29</xdr:col>
      <xdr:colOff>64836</xdr:colOff>
      <xdr:row>81</xdr:row>
      <xdr:rowOff>43601</xdr:rowOff>
    </xdr:to>
    <xdr:cxnSp macro="">
      <xdr:nvCxnSpPr>
        <xdr:cNvPr id="123" name="直線コネクタ 122">
          <a:extLst>
            <a:ext uri="{FF2B5EF4-FFF2-40B4-BE49-F238E27FC236}">
              <a16:creationId xmlns:a16="http://schemas.microsoft.com/office/drawing/2014/main" id="{00000000-0008-0000-0600-00007B000000}"/>
            </a:ext>
          </a:extLst>
        </xdr:cNvPr>
        <xdr:cNvCxnSpPr>
          <a:stCxn id="108" idx="1"/>
          <a:endCxn id="115" idx="6"/>
        </xdr:cNvCxnSpPr>
      </xdr:nvCxnSpPr>
      <xdr:spPr>
        <a:xfrm flipH="1">
          <a:off x="3147635" y="13281394"/>
          <a:ext cx="468665" cy="195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88447</xdr:colOff>
      <xdr:row>70</xdr:row>
      <xdr:rowOff>76754</xdr:rowOff>
    </xdr:from>
    <xdr:to>
      <xdr:col>39</xdr:col>
      <xdr:colOff>75858</xdr:colOff>
      <xdr:row>81</xdr:row>
      <xdr:rowOff>45246</xdr:rowOff>
    </xdr:to>
    <xdr:cxnSp macro="">
      <xdr:nvCxnSpPr>
        <xdr:cNvPr id="128" name="直線コネクタ 127">
          <a:extLst>
            <a:ext uri="{FF2B5EF4-FFF2-40B4-BE49-F238E27FC236}">
              <a16:creationId xmlns:a16="http://schemas.microsoft.com/office/drawing/2014/main" id="{00000000-0008-0000-0600-000080000000}"/>
            </a:ext>
          </a:extLst>
        </xdr:cNvPr>
        <xdr:cNvCxnSpPr>
          <a:stCxn id="111" idx="2"/>
          <a:endCxn id="108" idx="3"/>
        </xdr:cNvCxnSpPr>
      </xdr:nvCxnSpPr>
      <xdr:spPr>
        <a:xfrm flipH="1">
          <a:off x="4374697" y="11670040"/>
          <a:ext cx="477268" cy="161495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7273</xdr:colOff>
      <xdr:row>72</xdr:row>
      <xdr:rowOff>93690</xdr:rowOff>
    </xdr:from>
    <xdr:to>
      <xdr:col>25</xdr:col>
      <xdr:colOff>52410</xdr:colOff>
      <xdr:row>76</xdr:row>
      <xdr:rowOff>15922</xdr:rowOff>
    </xdr:to>
    <xdr:sp macro="" textlink="">
      <xdr:nvSpPr>
        <xdr:cNvPr id="131" name="フローチャート : 和接合 107">
          <a:extLst>
            <a:ext uri="{FF2B5EF4-FFF2-40B4-BE49-F238E27FC236}">
              <a16:creationId xmlns:a16="http://schemas.microsoft.com/office/drawing/2014/main" id="{00000000-0008-0000-0600-000083000000}"/>
            </a:ext>
          </a:extLst>
        </xdr:cNvPr>
        <xdr:cNvSpPr/>
      </xdr:nvSpPr>
      <xdr:spPr>
        <a:xfrm>
          <a:off x="2456559" y="11986333"/>
          <a:ext cx="657458" cy="520946"/>
        </a:xfrm>
        <a:prstGeom prst="flowChartSummingJunction">
          <a:avLst/>
        </a:prstGeom>
        <a:solidFill>
          <a:srgbClr val="7030A0"/>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17</xdr:col>
      <xdr:colOff>37123</xdr:colOff>
      <xdr:row>70</xdr:row>
      <xdr:rowOff>24336</xdr:rowOff>
    </xdr:from>
    <xdr:to>
      <xdr:col>28</xdr:col>
      <xdr:colOff>5927</xdr:colOff>
      <xdr:row>73</xdr:row>
      <xdr:rowOff>160</xdr:rowOff>
    </xdr:to>
    <xdr:sp macro="" textlink="">
      <xdr:nvSpPr>
        <xdr:cNvPr id="132" name="テキスト ボックス 131">
          <a:extLst>
            <a:ext uri="{FF2B5EF4-FFF2-40B4-BE49-F238E27FC236}">
              <a16:creationId xmlns:a16="http://schemas.microsoft.com/office/drawing/2014/main" id="{00000000-0008-0000-0600-000084000000}"/>
            </a:ext>
          </a:extLst>
        </xdr:cNvPr>
        <xdr:cNvSpPr txBox="1"/>
      </xdr:nvSpPr>
      <xdr:spPr>
        <a:xfrm>
          <a:off x="2119016" y="11617622"/>
          <a:ext cx="1315911" cy="42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ハートビート</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lientData/>
  </xdr:twoCellAnchor>
  <xdr:twoCellAnchor>
    <xdr:from>
      <xdr:col>15</xdr:col>
      <xdr:colOff>48010</xdr:colOff>
      <xdr:row>69</xdr:row>
      <xdr:rowOff>88874</xdr:rowOff>
    </xdr:from>
    <xdr:to>
      <xdr:col>20</xdr:col>
      <xdr:colOff>7273</xdr:colOff>
      <xdr:row>74</xdr:row>
      <xdr:rowOff>54807</xdr:rowOff>
    </xdr:to>
    <xdr:cxnSp macro="">
      <xdr:nvCxnSpPr>
        <xdr:cNvPr id="133" name="直線コネクタ 132">
          <a:extLst>
            <a:ext uri="{FF2B5EF4-FFF2-40B4-BE49-F238E27FC236}">
              <a16:creationId xmlns:a16="http://schemas.microsoft.com/office/drawing/2014/main" id="{00000000-0008-0000-0600-000085000000}"/>
            </a:ext>
          </a:extLst>
        </xdr:cNvPr>
        <xdr:cNvCxnSpPr>
          <a:stCxn id="131" idx="2"/>
          <a:endCxn id="29" idx="3"/>
        </xdr:cNvCxnSpPr>
      </xdr:nvCxnSpPr>
      <xdr:spPr>
        <a:xfrm flipH="1" flipV="1">
          <a:off x="1884974" y="11532481"/>
          <a:ext cx="571585" cy="714326"/>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9385</xdr:colOff>
      <xdr:row>68</xdr:row>
      <xdr:rowOff>126271</xdr:rowOff>
    </xdr:from>
    <xdr:to>
      <xdr:col>20</xdr:col>
      <xdr:colOff>7273</xdr:colOff>
      <xdr:row>74</xdr:row>
      <xdr:rowOff>54807</xdr:rowOff>
    </xdr:to>
    <xdr:cxnSp macro="">
      <xdr:nvCxnSpPr>
        <xdr:cNvPr id="136" name="直線コネクタ 135">
          <a:extLst>
            <a:ext uri="{FF2B5EF4-FFF2-40B4-BE49-F238E27FC236}">
              <a16:creationId xmlns:a16="http://schemas.microsoft.com/office/drawing/2014/main" id="{00000000-0008-0000-0600-000088000000}"/>
            </a:ext>
          </a:extLst>
        </xdr:cNvPr>
        <xdr:cNvCxnSpPr>
          <a:stCxn id="131" idx="2"/>
          <a:endCxn id="6" idx="3"/>
        </xdr:cNvCxnSpPr>
      </xdr:nvCxnSpPr>
      <xdr:spPr>
        <a:xfrm flipH="1" flipV="1">
          <a:off x="1846349" y="11420200"/>
          <a:ext cx="610210" cy="826607"/>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9382</xdr:colOff>
      <xdr:row>67</xdr:row>
      <xdr:rowOff>134470</xdr:rowOff>
    </xdr:from>
    <xdr:to>
      <xdr:col>15</xdr:col>
      <xdr:colOff>9385</xdr:colOff>
      <xdr:row>69</xdr:row>
      <xdr:rowOff>118071</xdr:rowOff>
    </xdr:to>
    <xdr:sp macro="" textlink="">
      <xdr:nvSpPr>
        <xdr:cNvPr id="6" name="Rectangle 15">
          <a:extLst>
            <a:ext uri="{FF2B5EF4-FFF2-40B4-BE49-F238E27FC236}">
              <a16:creationId xmlns:a16="http://schemas.microsoft.com/office/drawing/2014/main" id="{00000000-0008-0000-0600-000006000000}"/>
            </a:ext>
          </a:extLst>
        </xdr:cNvPr>
        <xdr:cNvSpPr>
          <a:spLocks noChangeArrowheads="1"/>
        </xdr:cNvSpPr>
      </xdr:nvSpPr>
      <xdr:spPr bwMode="auto">
        <a:xfrm>
          <a:off x="744168" y="11278720"/>
          <a:ext cx="1102181" cy="282958"/>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ＭＳ Ｐゴシック" panose="020B0600070205080204" pitchFamily="50" charset="-128"/>
            <a:ea typeface="ＭＳ Ｐゴシック" panose="020B0600070205080204" pitchFamily="50" charset="-128"/>
            <a:cs typeface="Meiryo UI" pitchFamily="50" charset="-128"/>
          </a:endParaRPr>
        </a:p>
      </xdr:txBody>
    </xdr:sp>
    <xdr:clientData/>
  </xdr:twoCellAnchor>
  <xdr:twoCellAnchor>
    <xdr:from>
      <xdr:col>6</xdr:col>
      <xdr:colOff>48010</xdr:colOff>
      <xdr:row>68</xdr:row>
      <xdr:rowOff>76895</xdr:rowOff>
    </xdr:from>
    <xdr:to>
      <xdr:col>15</xdr:col>
      <xdr:colOff>48010</xdr:colOff>
      <xdr:row>70</xdr:row>
      <xdr:rowOff>100853</xdr:rowOff>
    </xdr:to>
    <xdr:sp macro="" textlink="">
      <xdr:nvSpPr>
        <xdr:cNvPr id="29" name="Rectangle 15">
          <a:extLst>
            <a:ext uri="{FF2B5EF4-FFF2-40B4-BE49-F238E27FC236}">
              <a16:creationId xmlns:a16="http://schemas.microsoft.com/office/drawing/2014/main" id="{00000000-0008-0000-0600-00001D000000}"/>
            </a:ext>
          </a:extLst>
        </xdr:cNvPr>
        <xdr:cNvSpPr>
          <a:spLocks noChangeArrowheads="1"/>
        </xdr:cNvSpPr>
      </xdr:nvSpPr>
      <xdr:spPr bwMode="auto">
        <a:xfrm>
          <a:off x="782796" y="11370824"/>
          <a:ext cx="1102178" cy="323315"/>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DB</a:t>
          </a:r>
        </a:p>
      </xdr:txBody>
    </xdr:sp>
    <xdr:clientData/>
  </xdr:twoCellAnchor>
  <xdr:twoCellAnchor>
    <xdr:from>
      <xdr:col>25</xdr:col>
      <xdr:colOff>52410</xdr:colOff>
      <xdr:row>64</xdr:row>
      <xdr:rowOff>132870</xdr:rowOff>
    </xdr:from>
    <xdr:to>
      <xdr:col>29</xdr:col>
      <xdr:colOff>71220</xdr:colOff>
      <xdr:row>74</xdr:row>
      <xdr:rowOff>54806</xdr:rowOff>
    </xdr:to>
    <xdr:cxnSp macro="">
      <xdr:nvCxnSpPr>
        <xdr:cNvPr id="144" name="直線コネクタ 143">
          <a:extLst>
            <a:ext uri="{FF2B5EF4-FFF2-40B4-BE49-F238E27FC236}">
              <a16:creationId xmlns:a16="http://schemas.microsoft.com/office/drawing/2014/main" id="{00000000-0008-0000-0600-000090000000}"/>
            </a:ext>
          </a:extLst>
        </xdr:cNvPr>
        <xdr:cNvCxnSpPr>
          <a:stCxn id="159" idx="1"/>
          <a:endCxn id="131" idx="6"/>
        </xdr:cNvCxnSpPr>
      </xdr:nvCxnSpPr>
      <xdr:spPr>
        <a:xfrm flipH="1">
          <a:off x="3114017" y="10828084"/>
          <a:ext cx="508667" cy="1418722"/>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57144</xdr:colOff>
      <xdr:row>63</xdr:row>
      <xdr:rowOff>58065</xdr:rowOff>
    </xdr:from>
    <xdr:to>
      <xdr:col>20</xdr:col>
      <xdr:colOff>34167</xdr:colOff>
      <xdr:row>68</xdr:row>
      <xdr:rowOff>92907</xdr:rowOff>
    </xdr:to>
    <xdr:cxnSp macro="">
      <xdr:nvCxnSpPr>
        <xdr:cNvPr id="112" name="直線コネクタ 111">
          <a:extLst>
            <a:ext uri="{FF2B5EF4-FFF2-40B4-BE49-F238E27FC236}">
              <a16:creationId xmlns:a16="http://schemas.microsoft.com/office/drawing/2014/main" id="{00000000-0008-0000-0600-000070000000}"/>
            </a:ext>
          </a:extLst>
        </xdr:cNvPr>
        <xdr:cNvCxnSpPr>
          <a:stCxn id="24" idx="2"/>
          <a:endCxn id="39" idx="3"/>
        </xdr:cNvCxnSpPr>
      </xdr:nvCxnSpPr>
      <xdr:spPr>
        <a:xfrm flipH="1" flipV="1">
          <a:off x="1894108" y="10603601"/>
          <a:ext cx="589345" cy="78323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31</xdr:col>
      <xdr:colOff>112059</xdr:colOff>
      <xdr:row>467</xdr:row>
      <xdr:rowOff>0</xdr:rowOff>
    </xdr:from>
    <xdr:to>
      <xdr:col>47</xdr:col>
      <xdr:colOff>78441</xdr:colOff>
      <xdr:row>473</xdr:row>
      <xdr:rowOff>22412</xdr:rowOff>
    </xdr:to>
    <xdr:sp macro="" textlink="">
      <xdr:nvSpPr>
        <xdr:cNvPr id="419" name="正方形/長方形 418">
          <a:extLst>
            <a:ext uri="{FF2B5EF4-FFF2-40B4-BE49-F238E27FC236}">
              <a16:creationId xmlns:a16="http://schemas.microsoft.com/office/drawing/2014/main" id="{00000000-0008-0000-0700-0000A3010000}"/>
            </a:ext>
          </a:extLst>
        </xdr:cNvPr>
        <xdr:cNvSpPr/>
      </xdr:nvSpPr>
      <xdr:spPr>
        <a:xfrm>
          <a:off x="3933265" y="73129588"/>
          <a:ext cx="1938617" cy="963706"/>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49</xdr:col>
      <xdr:colOff>108856</xdr:colOff>
      <xdr:row>447</xdr:row>
      <xdr:rowOff>29019</xdr:rowOff>
    </xdr:from>
    <xdr:to>
      <xdr:col>74</xdr:col>
      <xdr:colOff>6401</xdr:colOff>
      <xdr:row>473</xdr:row>
      <xdr:rowOff>27426</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6048992" y="70340837"/>
          <a:ext cx="2928227" cy="40508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twoCellAnchor>
    <xdr:from>
      <xdr:col>51</xdr:col>
      <xdr:colOff>52333</xdr:colOff>
      <xdr:row>448</xdr:row>
      <xdr:rowOff>133594</xdr:rowOff>
    </xdr:from>
    <xdr:to>
      <xdr:col>72</xdr:col>
      <xdr:colOff>62208</xdr:colOff>
      <xdr:row>468</xdr:row>
      <xdr:rowOff>140920</xdr:rowOff>
    </xdr:to>
    <xdr:sp macro="" textlink="">
      <xdr:nvSpPr>
        <xdr:cNvPr id="245" name="角丸四角形 244">
          <a:extLst>
            <a:ext uri="{FF2B5EF4-FFF2-40B4-BE49-F238E27FC236}">
              <a16:creationId xmlns:a16="http://schemas.microsoft.com/office/drawing/2014/main" id="{00000000-0008-0000-0700-0000F5000000}"/>
            </a:ext>
          </a:extLst>
        </xdr:cNvPr>
        <xdr:cNvSpPr/>
      </xdr:nvSpPr>
      <xdr:spPr>
        <a:xfrm>
          <a:off x="6234924" y="70601276"/>
          <a:ext cx="2555648" cy="3124599"/>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LifeKeeper</a:t>
          </a:r>
          <a:endParaRPr kumimoji="1" lang="ja-JP" altLang="en-US" sz="900">
            <a:solidFill>
              <a:schemeClr val="tx1"/>
            </a:solidFill>
            <a:latin typeface="+mn-ea"/>
            <a:ea typeface="+mn-ea"/>
          </a:endParaRPr>
        </a:p>
      </xdr:txBody>
    </xdr:sp>
    <xdr:clientData/>
  </xdr:twoCellAnchor>
  <xdr:twoCellAnchor>
    <xdr:from>
      <xdr:col>52</xdr:col>
      <xdr:colOff>69535</xdr:colOff>
      <xdr:row>449</xdr:row>
      <xdr:rowOff>71839</xdr:rowOff>
    </xdr:from>
    <xdr:to>
      <xdr:col>67</xdr:col>
      <xdr:colOff>18248</xdr:colOff>
      <xdr:row>467</xdr:row>
      <xdr:rowOff>21693</xdr:rowOff>
    </xdr:to>
    <xdr:sp macro="" textlink="">
      <xdr:nvSpPr>
        <xdr:cNvPr id="238" name="角丸四角形 237">
          <a:extLst>
            <a:ext uri="{FF2B5EF4-FFF2-40B4-BE49-F238E27FC236}">
              <a16:creationId xmlns:a16="http://schemas.microsoft.com/office/drawing/2014/main" id="{00000000-0008-0000-0700-0000EE000000}"/>
            </a:ext>
          </a:extLst>
        </xdr:cNvPr>
        <xdr:cNvSpPr/>
      </xdr:nvSpPr>
      <xdr:spPr>
        <a:xfrm>
          <a:off x="6373353" y="70695384"/>
          <a:ext cx="1767122" cy="2755400"/>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chemeClr val="bg1">
                  <a:lumMod val="50000"/>
                </a:schemeClr>
              </a:solidFill>
              <a:latin typeface="+mn-ea"/>
              <a:ea typeface="+mn-ea"/>
            </a:rPr>
            <a:t>リソースグループ</a:t>
          </a:r>
        </a:p>
      </xdr:txBody>
    </xdr:sp>
    <xdr:clientData/>
  </xdr:twoCellAnchor>
  <xdr:twoCellAnchor>
    <xdr:from>
      <xdr:col>5</xdr:col>
      <xdr:colOff>17989</xdr:colOff>
      <xdr:row>447</xdr:row>
      <xdr:rowOff>29019</xdr:rowOff>
    </xdr:from>
    <xdr:to>
      <xdr:col>29</xdr:col>
      <xdr:colOff>36836</xdr:colOff>
      <xdr:row>473</xdr:row>
      <xdr:rowOff>27426</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624125" y="70340837"/>
          <a:ext cx="2928302" cy="40508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6</xdr:col>
      <xdr:colOff>55017</xdr:colOff>
      <xdr:row>448</xdr:row>
      <xdr:rowOff>123127</xdr:rowOff>
    </xdr:from>
    <xdr:to>
      <xdr:col>27</xdr:col>
      <xdr:colOff>64893</xdr:colOff>
      <xdr:row>468</xdr:row>
      <xdr:rowOff>130453</xdr:rowOff>
    </xdr:to>
    <xdr:sp macro="" textlink="">
      <xdr:nvSpPr>
        <xdr:cNvPr id="83" name="角丸四角形 82">
          <a:extLst>
            <a:ext uri="{FF2B5EF4-FFF2-40B4-BE49-F238E27FC236}">
              <a16:creationId xmlns:a16="http://schemas.microsoft.com/office/drawing/2014/main" id="{00000000-0008-0000-0700-000053000000}"/>
            </a:ext>
          </a:extLst>
        </xdr:cNvPr>
        <xdr:cNvSpPr/>
      </xdr:nvSpPr>
      <xdr:spPr>
        <a:xfrm>
          <a:off x="782381" y="70590809"/>
          <a:ext cx="2555648" cy="3124599"/>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LifeKeeper</a:t>
          </a:r>
          <a:endParaRPr kumimoji="1" lang="ja-JP" altLang="en-US" sz="900">
            <a:solidFill>
              <a:schemeClr val="tx1"/>
            </a:solidFill>
            <a:latin typeface="+mn-ea"/>
            <a:ea typeface="+mn-ea"/>
          </a:endParaRPr>
        </a:p>
      </xdr:txBody>
    </xdr:sp>
    <xdr:clientData/>
  </xdr:twoCellAnchor>
  <xdr:twoCellAnchor>
    <xdr:from>
      <xdr:col>11</xdr:col>
      <xdr:colOff>101529</xdr:colOff>
      <xdr:row>449</xdr:row>
      <xdr:rowOff>57185</xdr:rowOff>
    </xdr:from>
    <xdr:to>
      <xdr:col>26</xdr:col>
      <xdr:colOff>50240</xdr:colOff>
      <xdr:row>467</xdr:row>
      <xdr:rowOff>7039</xdr:rowOff>
    </xdr:to>
    <xdr:sp macro="" textlink="">
      <xdr:nvSpPr>
        <xdr:cNvPr id="73" name="角丸四角形 72">
          <a:extLst>
            <a:ext uri="{FF2B5EF4-FFF2-40B4-BE49-F238E27FC236}">
              <a16:creationId xmlns:a16="http://schemas.microsoft.com/office/drawing/2014/main" id="{00000000-0008-0000-0700-000049000000}"/>
            </a:ext>
          </a:extLst>
        </xdr:cNvPr>
        <xdr:cNvSpPr/>
      </xdr:nvSpPr>
      <xdr:spPr>
        <a:xfrm>
          <a:off x="1435029" y="70680730"/>
          <a:ext cx="1767120" cy="2755400"/>
        </a:xfrm>
        <a:prstGeom prst="roundRect">
          <a:avLst>
            <a:gd name="adj" fmla="val 5412"/>
          </a:avLst>
        </a:prstGeom>
        <a:solidFill>
          <a:srgbClr val="CC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リソースグループ</a:t>
          </a:r>
        </a:p>
      </xdr:txBody>
    </xdr:sp>
    <xdr:clientData/>
  </xdr:twoCellAnchor>
  <xdr:twoCellAnchor>
    <xdr:from>
      <xdr:col>12</xdr:col>
      <xdr:colOff>101532</xdr:colOff>
      <xdr:row>451</xdr:row>
      <xdr:rowOff>14367</xdr:rowOff>
    </xdr:from>
    <xdr:to>
      <xdr:col>25</xdr:col>
      <xdr:colOff>13608</xdr:colOff>
      <xdr:row>453</xdr:row>
      <xdr:rowOff>7041</xdr:rowOff>
    </xdr:to>
    <xdr:sp macro="" textlink="">
      <xdr:nvSpPr>
        <xdr:cNvPr id="74" name="角丸四角形 73">
          <a:extLst>
            <a:ext uri="{FF2B5EF4-FFF2-40B4-BE49-F238E27FC236}">
              <a16:creationId xmlns:a16="http://schemas.microsoft.com/office/drawing/2014/main" id="{00000000-0008-0000-0700-00004A000000}"/>
            </a:ext>
          </a:extLst>
        </xdr:cNvPr>
        <xdr:cNvSpPr/>
      </xdr:nvSpPr>
      <xdr:spPr>
        <a:xfrm>
          <a:off x="1556259" y="70949640"/>
          <a:ext cx="1488031" cy="304401"/>
        </a:xfrm>
        <a:prstGeom prst="roundRect">
          <a:avLst>
            <a:gd name="adj" fmla="val 1950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12</xdr:col>
      <xdr:colOff>108858</xdr:colOff>
      <xdr:row>453</xdr:row>
      <xdr:rowOff>79167</xdr:rowOff>
    </xdr:from>
    <xdr:to>
      <xdr:col>25</xdr:col>
      <xdr:colOff>20934</xdr:colOff>
      <xdr:row>455</xdr:row>
      <xdr:rowOff>71840</xdr:rowOff>
    </xdr:to>
    <xdr:sp macro="" textlink="">
      <xdr:nvSpPr>
        <xdr:cNvPr id="75" name="角丸四角形 74">
          <a:extLst>
            <a:ext uri="{FF2B5EF4-FFF2-40B4-BE49-F238E27FC236}">
              <a16:creationId xmlns:a16="http://schemas.microsoft.com/office/drawing/2014/main" id="{00000000-0008-0000-0700-00004B000000}"/>
            </a:ext>
          </a:extLst>
        </xdr:cNvPr>
        <xdr:cNvSpPr/>
      </xdr:nvSpPr>
      <xdr:spPr>
        <a:xfrm>
          <a:off x="1563585" y="71326167"/>
          <a:ext cx="1488031" cy="304400"/>
        </a:xfrm>
        <a:prstGeom prst="roundRect">
          <a:avLst>
            <a:gd name="adj" fmla="val 1950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endParaRPr kumimoji="1" lang="ja-JP" altLang="en-US" sz="900">
            <a:solidFill>
              <a:schemeClr val="tx1"/>
            </a:solidFill>
            <a:latin typeface="+mn-ea"/>
            <a:ea typeface="+mn-ea"/>
          </a:endParaRPr>
        </a:p>
      </xdr:txBody>
    </xdr:sp>
    <xdr:clientData/>
  </xdr:twoCellAnchor>
  <xdr:twoCellAnchor>
    <xdr:from>
      <xdr:col>33</xdr:col>
      <xdr:colOff>58490</xdr:colOff>
      <xdr:row>468</xdr:row>
      <xdr:rowOff>143696</xdr:rowOff>
    </xdr:from>
    <xdr:to>
      <xdr:col>39</xdr:col>
      <xdr:colOff>24448</xdr:colOff>
      <xdr:row>472</xdr:row>
      <xdr:rowOff>36676</xdr:rowOff>
    </xdr:to>
    <xdr:sp macro="" textlink="">
      <xdr:nvSpPr>
        <xdr:cNvPr id="76" name="円柱 75">
          <a:extLst>
            <a:ext uri="{FF2B5EF4-FFF2-40B4-BE49-F238E27FC236}">
              <a16:creationId xmlns:a16="http://schemas.microsoft.com/office/drawing/2014/main" id="{00000000-0008-0000-0700-00004C000000}"/>
            </a:ext>
          </a:extLst>
        </xdr:cNvPr>
        <xdr:cNvSpPr/>
      </xdr:nvSpPr>
      <xdr:spPr>
        <a:xfrm>
          <a:off x="4126225" y="73430167"/>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12</xdr:col>
      <xdr:colOff>116186</xdr:colOff>
      <xdr:row>460</xdr:row>
      <xdr:rowOff>140924</xdr:rowOff>
    </xdr:from>
    <xdr:to>
      <xdr:col>25</xdr:col>
      <xdr:colOff>28262</xdr:colOff>
      <xdr:row>463</xdr:row>
      <xdr:rowOff>133597</xdr:rowOff>
    </xdr:to>
    <xdr:sp macro="" textlink="">
      <xdr:nvSpPr>
        <xdr:cNvPr id="77" name="角丸四角形 76">
          <a:extLst>
            <a:ext uri="{FF2B5EF4-FFF2-40B4-BE49-F238E27FC236}">
              <a16:creationId xmlns:a16="http://schemas.microsoft.com/office/drawing/2014/main" id="{00000000-0008-0000-0700-00004D000000}"/>
            </a:ext>
          </a:extLst>
        </xdr:cNvPr>
        <xdr:cNvSpPr/>
      </xdr:nvSpPr>
      <xdr:spPr>
        <a:xfrm>
          <a:off x="1570913" y="72478969"/>
          <a:ext cx="1488031" cy="460264"/>
        </a:xfrm>
        <a:prstGeom prst="roundRect">
          <a:avLst>
            <a:gd name="adj" fmla="val 1388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仮想</a:t>
          </a:r>
          <a:r>
            <a:rPr kumimoji="1" lang="en-US" altLang="ja-JP" sz="900">
              <a:solidFill>
                <a:schemeClr val="tx1"/>
              </a:solidFill>
              <a:latin typeface="+mn-ea"/>
              <a:ea typeface="+mn-ea"/>
            </a:rPr>
            <a:t>IP</a:t>
          </a: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データ</a:t>
          </a:r>
          <a:r>
            <a:rPr kumimoji="1" lang="en-US" altLang="ja-JP" sz="900">
              <a:solidFill>
                <a:schemeClr val="tx1"/>
              </a:solidFill>
              <a:latin typeface="+mn-ea"/>
              <a:ea typeface="+mn-ea"/>
            </a:rPr>
            <a:t>/PBX</a:t>
          </a:r>
          <a:r>
            <a:rPr kumimoji="1" lang="ja-JP" altLang="en-US" sz="900">
              <a:solidFill>
                <a:schemeClr val="tx1"/>
              </a:solidFill>
              <a:latin typeface="+mn-ea"/>
              <a:ea typeface="+mn-ea"/>
            </a:rPr>
            <a:t>管理</a:t>
          </a:r>
          <a:r>
            <a:rPr kumimoji="1" lang="en-US" altLang="ja-JP" sz="900">
              <a:solidFill>
                <a:schemeClr val="tx1"/>
              </a:solidFill>
              <a:latin typeface="+mn-ea"/>
              <a:ea typeface="+mn-ea"/>
            </a:rPr>
            <a:t>)</a:t>
          </a:r>
          <a:endParaRPr kumimoji="1" lang="ja-JP" altLang="en-US" sz="900">
            <a:solidFill>
              <a:schemeClr val="tx1"/>
            </a:solidFill>
            <a:latin typeface="+mn-ea"/>
            <a:ea typeface="+mn-ea"/>
          </a:endParaRPr>
        </a:p>
      </xdr:txBody>
    </xdr:sp>
    <xdr:clientData/>
  </xdr:twoCellAnchor>
  <xdr:twoCellAnchor>
    <xdr:from>
      <xdr:col>12</xdr:col>
      <xdr:colOff>116184</xdr:colOff>
      <xdr:row>464</xdr:row>
      <xdr:rowOff>43674</xdr:rowOff>
    </xdr:from>
    <xdr:to>
      <xdr:col>25</xdr:col>
      <xdr:colOff>28260</xdr:colOff>
      <xdr:row>466</xdr:row>
      <xdr:rowOff>36347</xdr:rowOff>
    </xdr:to>
    <xdr:sp macro="" textlink="">
      <xdr:nvSpPr>
        <xdr:cNvPr id="78" name="角丸四角形 77">
          <a:extLst>
            <a:ext uri="{FF2B5EF4-FFF2-40B4-BE49-F238E27FC236}">
              <a16:creationId xmlns:a16="http://schemas.microsoft.com/office/drawing/2014/main" id="{00000000-0008-0000-0700-00004E000000}"/>
            </a:ext>
          </a:extLst>
        </xdr:cNvPr>
        <xdr:cNvSpPr/>
      </xdr:nvSpPr>
      <xdr:spPr>
        <a:xfrm>
          <a:off x="1570911" y="73005174"/>
          <a:ext cx="1488031" cy="304400"/>
        </a:xfrm>
        <a:prstGeom prst="roundRect">
          <a:avLst>
            <a:gd name="adj" fmla="val 1950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ファイルシステム</a:t>
          </a:r>
        </a:p>
      </xdr:txBody>
    </xdr:sp>
    <xdr:clientData/>
  </xdr:twoCellAnchor>
  <xdr:twoCellAnchor>
    <xdr:from>
      <xdr:col>13</xdr:col>
      <xdr:colOff>1048</xdr:colOff>
      <xdr:row>458</xdr:row>
      <xdr:rowOff>86495</xdr:rowOff>
    </xdr:from>
    <xdr:to>
      <xdr:col>25</xdr:col>
      <xdr:colOff>35589</xdr:colOff>
      <xdr:row>460</xdr:row>
      <xdr:rowOff>79168</xdr:rowOff>
    </xdr:to>
    <xdr:sp macro="" textlink="">
      <xdr:nvSpPr>
        <xdr:cNvPr id="79" name="角丸四角形 78">
          <a:extLst>
            <a:ext uri="{FF2B5EF4-FFF2-40B4-BE49-F238E27FC236}">
              <a16:creationId xmlns:a16="http://schemas.microsoft.com/office/drawing/2014/main" id="{00000000-0008-0000-0700-00004F000000}"/>
            </a:ext>
          </a:extLst>
        </xdr:cNvPr>
        <xdr:cNvSpPr/>
      </xdr:nvSpPr>
      <xdr:spPr>
        <a:xfrm>
          <a:off x="1577003" y="72112813"/>
          <a:ext cx="1489268" cy="304400"/>
        </a:xfrm>
        <a:prstGeom prst="roundRect">
          <a:avLst>
            <a:gd name="adj" fmla="val 22062"/>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p>
      </xdr:txBody>
    </xdr:sp>
    <xdr:clientData/>
  </xdr:twoCellAnchor>
  <xdr:twoCellAnchor>
    <xdr:from>
      <xdr:col>12</xdr:col>
      <xdr:colOff>116187</xdr:colOff>
      <xdr:row>456</xdr:row>
      <xdr:rowOff>14367</xdr:rowOff>
    </xdr:from>
    <xdr:to>
      <xdr:col>25</xdr:col>
      <xdr:colOff>28263</xdr:colOff>
      <xdr:row>458</xdr:row>
      <xdr:rowOff>7041</xdr:rowOff>
    </xdr:to>
    <xdr:sp macro="" textlink="">
      <xdr:nvSpPr>
        <xdr:cNvPr id="80" name="角丸四角形 79">
          <a:extLst>
            <a:ext uri="{FF2B5EF4-FFF2-40B4-BE49-F238E27FC236}">
              <a16:creationId xmlns:a16="http://schemas.microsoft.com/office/drawing/2014/main" id="{00000000-0008-0000-0700-000050000000}"/>
            </a:ext>
          </a:extLst>
        </xdr:cNvPr>
        <xdr:cNvSpPr/>
      </xdr:nvSpPr>
      <xdr:spPr>
        <a:xfrm>
          <a:off x="1570914" y="71728958"/>
          <a:ext cx="1488031" cy="304401"/>
        </a:xfrm>
        <a:prstGeom prst="roundRect">
          <a:avLst>
            <a:gd name="adj" fmla="val 16939"/>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リスナー</a:t>
          </a:r>
        </a:p>
      </xdr:txBody>
    </xdr:sp>
    <xdr:clientData/>
  </xdr:twoCellAnchor>
  <xdr:twoCellAnchor>
    <xdr:from>
      <xdr:col>28</xdr:col>
      <xdr:colOff>8370</xdr:colOff>
      <xdr:row>458</xdr:row>
      <xdr:rowOff>123994</xdr:rowOff>
    </xdr:from>
    <xdr:to>
      <xdr:col>29</xdr:col>
      <xdr:colOff>35586</xdr:colOff>
      <xdr:row>459</xdr:row>
      <xdr:rowOff>123991</xdr:rowOff>
    </xdr:to>
    <xdr:sp macro="" textlink="">
      <xdr:nvSpPr>
        <xdr:cNvPr id="81" name="正方形/長方形 80">
          <a:extLst>
            <a:ext uri="{FF2B5EF4-FFF2-40B4-BE49-F238E27FC236}">
              <a16:creationId xmlns:a16="http://schemas.microsoft.com/office/drawing/2014/main" id="{00000000-0008-0000-0700-000051000000}"/>
            </a:ext>
          </a:extLst>
        </xdr:cNvPr>
        <xdr:cNvSpPr/>
      </xdr:nvSpPr>
      <xdr:spPr>
        <a:xfrm>
          <a:off x="3459782" y="72469170"/>
          <a:ext cx="150480" cy="15688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16</xdr:col>
      <xdr:colOff>108417</xdr:colOff>
      <xdr:row>447</xdr:row>
      <xdr:rowOff>30102</xdr:rowOff>
    </xdr:from>
    <xdr:to>
      <xdr:col>18</xdr:col>
      <xdr:colOff>14142</xdr:colOff>
      <xdr:row>448</xdr:row>
      <xdr:rowOff>30101</xdr:rowOff>
    </xdr:to>
    <xdr:sp macro="" textlink="">
      <xdr:nvSpPr>
        <xdr:cNvPr id="82" name="正方形/長方形 81">
          <a:extLst>
            <a:ext uri="{FF2B5EF4-FFF2-40B4-BE49-F238E27FC236}">
              <a16:creationId xmlns:a16="http://schemas.microsoft.com/office/drawing/2014/main" id="{00000000-0008-0000-0700-000052000000}"/>
            </a:ext>
          </a:extLst>
        </xdr:cNvPr>
        <xdr:cNvSpPr/>
      </xdr:nvSpPr>
      <xdr:spPr>
        <a:xfrm>
          <a:off x="2080652" y="70806455"/>
          <a:ext cx="152255" cy="15688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6</xdr:col>
      <xdr:colOff>57565</xdr:colOff>
      <xdr:row>469</xdr:row>
      <xdr:rowOff>43672</xdr:rowOff>
    </xdr:from>
    <xdr:to>
      <xdr:col>27</xdr:col>
      <xdr:colOff>68206</xdr:colOff>
      <xdr:row>471</xdr:row>
      <xdr:rowOff>36346</xdr:rowOff>
    </xdr:to>
    <xdr:sp macro="" textlink="">
      <xdr:nvSpPr>
        <xdr:cNvPr id="84" name="角丸四角形 83">
          <a:extLst>
            <a:ext uri="{FF2B5EF4-FFF2-40B4-BE49-F238E27FC236}">
              <a16:creationId xmlns:a16="http://schemas.microsoft.com/office/drawing/2014/main" id="{00000000-0008-0000-0700-000054000000}"/>
            </a:ext>
          </a:extLst>
        </xdr:cNvPr>
        <xdr:cNvSpPr/>
      </xdr:nvSpPr>
      <xdr:spPr>
        <a:xfrm>
          <a:off x="784929" y="73784490"/>
          <a:ext cx="2556413" cy="304401"/>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RHEL</a:t>
          </a:r>
          <a:endParaRPr kumimoji="1" lang="ja-JP" altLang="en-US" sz="900">
            <a:solidFill>
              <a:schemeClr val="tx1"/>
            </a:solidFill>
            <a:latin typeface="+mn-ea"/>
            <a:ea typeface="+mn-ea"/>
          </a:endParaRPr>
        </a:p>
      </xdr:txBody>
    </xdr:sp>
    <xdr:clientData/>
  </xdr:twoCellAnchor>
  <xdr:twoCellAnchor>
    <xdr:from>
      <xdr:col>25</xdr:col>
      <xdr:colOff>28260</xdr:colOff>
      <xdr:row>465</xdr:row>
      <xdr:rowOff>40010</xdr:rowOff>
    </xdr:from>
    <xdr:to>
      <xdr:col>31</xdr:col>
      <xdr:colOff>112059</xdr:colOff>
      <xdr:row>470</xdr:row>
      <xdr:rowOff>11206</xdr:rowOff>
    </xdr:to>
    <xdr:cxnSp macro="">
      <xdr:nvCxnSpPr>
        <xdr:cNvPr id="85" name="直線コネクタ 84">
          <a:extLst>
            <a:ext uri="{FF2B5EF4-FFF2-40B4-BE49-F238E27FC236}">
              <a16:creationId xmlns:a16="http://schemas.microsoft.com/office/drawing/2014/main" id="{00000000-0008-0000-0700-000055000000}"/>
            </a:ext>
          </a:extLst>
        </xdr:cNvPr>
        <xdr:cNvCxnSpPr>
          <a:stCxn id="78" idx="3"/>
          <a:endCxn id="419" idx="1"/>
        </xdr:cNvCxnSpPr>
      </xdr:nvCxnSpPr>
      <xdr:spPr>
        <a:xfrm>
          <a:off x="3109878" y="72855834"/>
          <a:ext cx="823387" cy="75560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108863</xdr:colOff>
      <xdr:row>458</xdr:row>
      <xdr:rowOff>123994</xdr:rowOff>
    </xdr:from>
    <xdr:to>
      <xdr:col>51</xdr:col>
      <xdr:colOff>15707</xdr:colOff>
      <xdr:row>459</xdr:row>
      <xdr:rowOff>123991</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6148834" y="72469170"/>
          <a:ext cx="153373" cy="15688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60</xdr:col>
      <xdr:colOff>118262</xdr:colOff>
      <xdr:row>447</xdr:row>
      <xdr:rowOff>30101</xdr:rowOff>
    </xdr:from>
    <xdr:to>
      <xdr:col>62</xdr:col>
      <xdr:colOff>22213</xdr:colOff>
      <xdr:row>448</xdr:row>
      <xdr:rowOff>30100</xdr:rowOff>
    </xdr:to>
    <xdr:sp macro="" textlink="">
      <xdr:nvSpPr>
        <xdr:cNvPr id="88" name="正方形/長方形 87">
          <a:extLst>
            <a:ext uri="{FF2B5EF4-FFF2-40B4-BE49-F238E27FC236}">
              <a16:creationId xmlns:a16="http://schemas.microsoft.com/office/drawing/2014/main" id="{00000000-0008-0000-0700-000058000000}"/>
            </a:ext>
          </a:extLst>
        </xdr:cNvPr>
        <xdr:cNvSpPr/>
      </xdr:nvSpPr>
      <xdr:spPr>
        <a:xfrm>
          <a:off x="7514144" y="70806454"/>
          <a:ext cx="150481" cy="15688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51</xdr:col>
      <xdr:colOff>52767</xdr:colOff>
      <xdr:row>469</xdr:row>
      <xdr:rowOff>43672</xdr:rowOff>
    </xdr:from>
    <xdr:to>
      <xdr:col>72</xdr:col>
      <xdr:colOff>63409</xdr:colOff>
      <xdr:row>471</xdr:row>
      <xdr:rowOff>36346</xdr:rowOff>
    </xdr:to>
    <xdr:sp macro="" textlink="">
      <xdr:nvSpPr>
        <xdr:cNvPr id="89" name="角丸四角形 88">
          <a:extLst>
            <a:ext uri="{FF2B5EF4-FFF2-40B4-BE49-F238E27FC236}">
              <a16:creationId xmlns:a16="http://schemas.microsoft.com/office/drawing/2014/main" id="{00000000-0008-0000-0700-000059000000}"/>
            </a:ext>
          </a:extLst>
        </xdr:cNvPr>
        <xdr:cNvSpPr/>
      </xdr:nvSpPr>
      <xdr:spPr>
        <a:xfrm>
          <a:off x="6235358" y="73784490"/>
          <a:ext cx="2556415" cy="304401"/>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RHEL</a:t>
          </a:r>
          <a:endParaRPr kumimoji="1" lang="ja-JP" altLang="en-US" sz="900">
            <a:solidFill>
              <a:schemeClr val="tx1"/>
            </a:solidFill>
            <a:latin typeface="+mn-ea"/>
            <a:ea typeface="+mn-ea"/>
          </a:endParaRPr>
        </a:p>
      </xdr:txBody>
    </xdr:sp>
    <xdr:clientData/>
  </xdr:twoCellAnchor>
  <xdr:twoCellAnchor>
    <xdr:from>
      <xdr:col>29</xdr:col>
      <xdr:colOff>35586</xdr:colOff>
      <xdr:row>459</xdr:row>
      <xdr:rowOff>41950</xdr:rowOff>
    </xdr:from>
    <xdr:to>
      <xdr:col>49</xdr:col>
      <xdr:colOff>108863</xdr:colOff>
      <xdr:row>459</xdr:row>
      <xdr:rowOff>41950</xdr:rowOff>
    </xdr:to>
    <xdr:cxnSp macro="">
      <xdr:nvCxnSpPr>
        <xdr:cNvPr id="90" name="直線コネクタ 89">
          <a:extLst>
            <a:ext uri="{FF2B5EF4-FFF2-40B4-BE49-F238E27FC236}">
              <a16:creationId xmlns:a16="http://schemas.microsoft.com/office/drawing/2014/main" id="{00000000-0008-0000-0700-00005A000000}"/>
            </a:ext>
          </a:extLst>
        </xdr:cNvPr>
        <xdr:cNvCxnSpPr>
          <a:stCxn id="81" idx="3"/>
          <a:endCxn id="87" idx="1"/>
        </xdr:cNvCxnSpPr>
      </xdr:nvCxnSpPr>
      <xdr:spPr>
        <a:xfrm>
          <a:off x="3610262" y="72544009"/>
          <a:ext cx="253857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78441</xdr:colOff>
      <xdr:row>465</xdr:row>
      <xdr:rowOff>60850</xdr:rowOff>
    </xdr:from>
    <xdr:to>
      <xdr:col>53</xdr:col>
      <xdr:colOff>84192</xdr:colOff>
      <xdr:row>470</xdr:row>
      <xdr:rowOff>11206</xdr:rowOff>
    </xdr:to>
    <xdr:cxnSp macro="">
      <xdr:nvCxnSpPr>
        <xdr:cNvPr id="92" name="直線コネクタ 91">
          <a:extLst>
            <a:ext uri="{FF2B5EF4-FFF2-40B4-BE49-F238E27FC236}">
              <a16:creationId xmlns:a16="http://schemas.microsoft.com/office/drawing/2014/main" id="{00000000-0008-0000-0700-00005C000000}"/>
            </a:ext>
          </a:extLst>
        </xdr:cNvPr>
        <xdr:cNvCxnSpPr>
          <a:stCxn id="242" idx="1"/>
          <a:endCxn id="419" idx="3"/>
        </xdr:cNvCxnSpPr>
      </xdr:nvCxnSpPr>
      <xdr:spPr>
        <a:xfrm flipH="1">
          <a:off x="5871882" y="72876674"/>
          <a:ext cx="745339" cy="734767"/>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101635</xdr:colOff>
      <xdr:row>457</xdr:row>
      <xdr:rowOff>102003</xdr:rowOff>
    </xdr:from>
    <xdr:to>
      <xdr:col>12</xdr:col>
      <xdr:colOff>12303</xdr:colOff>
      <xdr:row>461</xdr:row>
      <xdr:rowOff>37839</xdr:rowOff>
    </xdr:to>
    <xdr:sp macro="" textlink="">
      <xdr:nvSpPr>
        <xdr:cNvPr id="232" name="角丸四角形 231">
          <a:extLst>
            <a:ext uri="{FF2B5EF4-FFF2-40B4-BE49-F238E27FC236}">
              <a16:creationId xmlns:a16="http://schemas.microsoft.com/office/drawing/2014/main" id="{00000000-0008-0000-0700-0000E8000000}"/>
            </a:ext>
          </a:extLst>
        </xdr:cNvPr>
        <xdr:cNvSpPr/>
      </xdr:nvSpPr>
      <xdr:spPr>
        <a:xfrm>
          <a:off x="828999" y="71972458"/>
          <a:ext cx="638031" cy="559290"/>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en-US" altLang="ja-JP" sz="900">
              <a:solidFill>
                <a:schemeClr val="tx1"/>
              </a:solidFill>
              <a:latin typeface="+mn-ea"/>
              <a:ea typeface="+mn-ea"/>
            </a:rPr>
            <a:t>ARK</a:t>
          </a:r>
          <a:endParaRPr kumimoji="1" lang="ja-JP" altLang="en-US" sz="900">
            <a:solidFill>
              <a:schemeClr val="tx1"/>
            </a:solidFill>
            <a:latin typeface="+mn-ea"/>
            <a:ea typeface="+mn-ea"/>
          </a:endParaRPr>
        </a:p>
      </xdr:txBody>
    </xdr:sp>
    <xdr:clientData/>
  </xdr:twoCellAnchor>
  <xdr:twoCellAnchor>
    <xdr:from>
      <xdr:col>11</xdr:col>
      <xdr:colOff>1180</xdr:colOff>
      <xdr:row>456</xdr:row>
      <xdr:rowOff>98217</xdr:rowOff>
    </xdr:from>
    <xdr:to>
      <xdr:col>14</xdr:col>
      <xdr:colOff>15023</xdr:colOff>
      <xdr:row>459</xdr:row>
      <xdr:rowOff>22221</xdr:rowOff>
    </xdr:to>
    <xdr:sp macro="" textlink="">
      <xdr:nvSpPr>
        <xdr:cNvPr id="233" name="環状矢印 232">
          <a:extLst>
            <a:ext uri="{FF2B5EF4-FFF2-40B4-BE49-F238E27FC236}">
              <a16:creationId xmlns:a16="http://schemas.microsoft.com/office/drawing/2014/main" id="{00000000-0008-0000-0700-0000E9000000}"/>
            </a:ext>
          </a:extLst>
        </xdr:cNvPr>
        <xdr:cNvSpPr/>
      </xdr:nvSpPr>
      <xdr:spPr>
        <a:xfrm>
          <a:off x="1334680" y="71812808"/>
          <a:ext cx="377525" cy="391595"/>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5440</xdr:colOff>
      <xdr:row>456</xdr:row>
      <xdr:rowOff>15760</xdr:rowOff>
    </xdr:from>
    <xdr:to>
      <xdr:col>12</xdr:col>
      <xdr:colOff>24490</xdr:colOff>
      <xdr:row>458</xdr:row>
      <xdr:rowOff>8432</xdr:rowOff>
    </xdr:to>
    <xdr:sp macro="" textlink="">
      <xdr:nvSpPr>
        <xdr:cNvPr id="234" name="角丸四角形 233">
          <a:extLst>
            <a:ext uri="{FF2B5EF4-FFF2-40B4-BE49-F238E27FC236}">
              <a16:creationId xmlns:a16="http://schemas.microsoft.com/office/drawing/2014/main" id="{00000000-0008-0000-0700-0000EA000000}"/>
            </a:ext>
          </a:extLst>
        </xdr:cNvPr>
        <xdr:cNvSpPr/>
      </xdr:nvSpPr>
      <xdr:spPr>
        <a:xfrm>
          <a:off x="975258" y="71730351"/>
          <a:ext cx="503959" cy="30439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6</xdr:col>
      <xdr:colOff>112520</xdr:colOff>
      <xdr:row>452</xdr:row>
      <xdr:rowOff>69346</xdr:rowOff>
    </xdr:from>
    <xdr:to>
      <xdr:col>12</xdr:col>
      <xdr:colOff>20466</xdr:colOff>
      <xdr:row>456</xdr:row>
      <xdr:rowOff>5181</xdr:rowOff>
    </xdr:to>
    <xdr:sp macro="" textlink="">
      <xdr:nvSpPr>
        <xdr:cNvPr id="235" name="角丸四角形 234">
          <a:extLst>
            <a:ext uri="{FF2B5EF4-FFF2-40B4-BE49-F238E27FC236}">
              <a16:creationId xmlns:a16="http://schemas.microsoft.com/office/drawing/2014/main" id="{00000000-0008-0000-0700-0000EB000000}"/>
            </a:ext>
          </a:extLst>
        </xdr:cNvPr>
        <xdr:cNvSpPr/>
      </xdr:nvSpPr>
      <xdr:spPr>
        <a:xfrm>
          <a:off x="839884" y="71160482"/>
          <a:ext cx="635309" cy="559290"/>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t>
          </a:r>
          <a:r>
            <a:rPr kumimoji="1" lang="ja-JP" altLang="en-US" sz="900">
              <a:solidFill>
                <a:schemeClr val="tx1"/>
              </a:solidFill>
              <a:latin typeface="+mn-ea"/>
              <a:ea typeface="+mn-ea"/>
            </a:rPr>
            <a:t>監視</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スクリプト</a:t>
          </a:r>
        </a:p>
      </xdr:txBody>
    </xdr:sp>
    <xdr:clientData/>
  </xdr:twoCellAnchor>
  <xdr:twoCellAnchor>
    <xdr:from>
      <xdr:col>11</xdr:col>
      <xdr:colOff>12065</xdr:colOff>
      <xdr:row>451</xdr:row>
      <xdr:rowOff>65558</xdr:rowOff>
    </xdr:from>
    <xdr:to>
      <xdr:col>14</xdr:col>
      <xdr:colOff>25908</xdr:colOff>
      <xdr:row>453</xdr:row>
      <xdr:rowOff>145427</xdr:rowOff>
    </xdr:to>
    <xdr:sp macro="" textlink="">
      <xdr:nvSpPr>
        <xdr:cNvPr id="236" name="環状矢印 235">
          <a:extLst>
            <a:ext uri="{FF2B5EF4-FFF2-40B4-BE49-F238E27FC236}">
              <a16:creationId xmlns:a16="http://schemas.microsoft.com/office/drawing/2014/main" id="{00000000-0008-0000-0700-0000EC000000}"/>
            </a:ext>
          </a:extLst>
        </xdr:cNvPr>
        <xdr:cNvSpPr/>
      </xdr:nvSpPr>
      <xdr:spPr>
        <a:xfrm>
          <a:off x="1345565" y="71000831"/>
          <a:ext cx="377525" cy="391596"/>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13605</xdr:colOff>
      <xdr:row>450</xdr:row>
      <xdr:rowOff>119916</xdr:rowOff>
    </xdr:from>
    <xdr:to>
      <xdr:col>12</xdr:col>
      <xdr:colOff>35375</xdr:colOff>
      <xdr:row>452</xdr:row>
      <xdr:rowOff>112588</xdr:rowOff>
    </xdr:to>
    <xdr:sp macro="" textlink="">
      <xdr:nvSpPr>
        <xdr:cNvPr id="237" name="角丸四角形 236">
          <a:extLst>
            <a:ext uri="{FF2B5EF4-FFF2-40B4-BE49-F238E27FC236}">
              <a16:creationId xmlns:a16="http://schemas.microsoft.com/office/drawing/2014/main" id="{00000000-0008-0000-0700-0000ED000000}"/>
            </a:ext>
          </a:extLst>
        </xdr:cNvPr>
        <xdr:cNvSpPr/>
      </xdr:nvSpPr>
      <xdr:spPr>
        <a:xfrm>
          <a:off x="983423" y="70899325"/>
          <a:ext cx="506679" cy="30439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53</xdr:col>
      <xdr:colOff>69540</xdr:colOff>
      <xdr:row>451</xdr:row>
      <xdr:rowOff>29021</xdr:rowOff>
    </xdr:from>
    <xdr:to>
      <xdr:col>65</xdr:col>
      <xdr:colOff>106172</xdr:colOff>
      <xdr:row>453</xdr:row>
      <xdr:rowOff>21695</xdr:rowOff>
    </xdr:to>
    <xdr:sp macro="" textlink="">
      <xdr:nvSpPr>
        <xdr:cNvPr id="239" name="角丸四角形 238">
          <a:extLst>
            <a:ext uri="{FF2B5EF4-FFF2-40B4-BE49-F238E27FC236}">
              <a16:creationId xmlns:a16="http://schemas.microsoft.com/office/drawing/2014/main" id="{00000000-0008-0000-0700-0000EF000000}"/>
            </a:ext>
          </a:extLst>
        </xdr:cNvPr>
        <xdr:cNvSpPr/>
      </xdr:nvSpPr>
      <xdr:spPr>
        <a:xfrm>
          <a:off x="6494585" y="70964294"/>
          <a:ext cx="1491360" cy="304401"/>
        </a:xfrm>
        <a:prstGeom prst="roundRect">
          <a:avLst>
            <a:gd name="adj" fmla="val 28466"/>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endParaRPr kumimoji="1" lang="ja-JP" altLang="en-US" sz="900">
            <a:solidFill>
              <a:schemeClr val="bg1">
                <a:lumMod val="50000"/>
              </a:schemeClr>
            </a:solidFill>
            <a:latin typeface="+mn-ea"/>
            <a:ea typeface="+mn-ea"/>
          </a:endParaRPr>
        </a:p>
      </xdr:txBody>
    </xdr:sp>
    <xdr:clientData/>
  </xdr:twoCellAnchor>
  <xdr:twoCellAnchor>
    <xdr:from>
      <xdr:col>53</xdr:col>
      <xdr:colOff>76866</xdr:colOff>
      <xdr:row>453</xdr:row>
      <xdr:rowOff>93821</xdr:rowOff>
    </xdr:from>
    <xdr:to>
      <xdr:col>65</xdr:col>
      <xdr:colOff>111405</xdr:colOff>
      <xdr:row>455</xdr:row>
      <xdr:rowOff>86494</xdr:rowOff>
    </xdr:to>
    <xdr:sp macro="" textlink="">
      <xdr:nvSpPr>
        <xdr:cNvPr id="240" name="角丸四角形 239">
          <a:extLst>
            <a:ext uri="{FF2B5EF4-FFF2-40B4-BE49-F238E27FC236}">
              <a16:creationId xmlns:a16="http://schemas.microsoft.com/office/drawing/2014/main" id="{00000000-0008-0000-0700-0000F0000000}"/>
            </a:ext>
          </a:extLst>
        </xdr:cNvPr>
        <xdr:cNvSpPr/>
      </xdr:nvSpPr>
      <xdr:spPr>
        <a:xfrm>
          <a:off x="6501911" y="71340821"/>
          <a:ext cx="1489267" cy="304400"/>
        </a:xfrm>
        <a:prstGeom prst="roundRect">
          <a:avLst>
            <a:gd name="adj" fmla="val 19501"/>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endParaRPr kumimoji="1" lang="ja-JP" altLang="en-US" sz="900">
            <a:solidFill>
              <a:schemeClr val="bg1">
                <a:lumMod val="50000"/>
              </a:schemeClr>
            </a:solidFill>
            <a:latin typeface="+mn-ea"/>
            <a:ea typeface="+mn-ea"/>
          </a:endParaRPr>
        </a:p>
      </xdr:txBody>
    </xdr:sp>
    <xdr:clientData/>
  </xdr:twoCellAnchor>
  <xdr:twoCellAnchor>
    <xdr:from>
      <xdr:col>53</xdr:col>
      <xdr:colOff>84194</xdr:colOff>
      <xdr:row>460</xdr:row>
      <xdr:rowOff>155578</xdr:rowOff>
    </xdr:from>
    <xdr:to>
      <xdr:col>65</xdr:col>
      <xdr:colOff>118733</xdr:colOff>
      <xdr:row>463</xdr:row>
      <xdr:rowOff>148251</xdr:rowOff>
    </xdr:to>
    <xdr:sp macro="" textlink="">
      <xdr:nvSpPr>
        <xdr:cNvPr id="241" name="角丸四角形 240">
          <a:extLst>
            <a:ext uri="{FF2B5EF4-FFF2-40B4-BE49-F238E27FC236}">
              <a16:creationId xmlns:a16="http://schemas.microsoft.com/office/drawing/2014/main" id="{00000000-0008-0000-0700-0000F1000000}"/>
            </a:ext>
          </a:extLst>
        </xdr:cNvPr>
        <xdr:cNvSpPr/>
      </xdr:nvSpPr>
      <xdr:spPr>
        <a:xfrm>
          <a:off x="6509239" y="72493623"/>
          <a:ext cx="1489267" cy="460264"/>
        </a:xfrm>
        <a:prstGeom prst="roundRect">
          <a:avLst>
            <a:gd name="adj" fmla="val 12187"/>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仮想</a:t>
          </a:r>
          <a:r>
            <a:rPr kumimoji="1" lang="en-US" altLang="ja-JP" sz="900">
              <a:solidFill>
                <a:schemeClr val="bg1">
                  <a:lumMod val="50000"/>
                </a:schemeClr>
              </a:solidFill>
              <a:latin typeface="+mn-ea"/>
              <a:ea typeface="+mn-ea"/>
            </a:rPr>
            <a:t>IP</a:t>
          </a:r>
        </a:p>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データ</a:t>
          </a:r>
          <a:r>
            <a:rPr kumimoji="1" lang="en-US" altLang="ja-JP" sz="900">
              <a:solidFill>
                <a:schemeClr val="bg1">
                  <a:lumMod val="50000"/>
                </a:schemeClr>
              </a:solidFill>
              <a:latin typeface="+mn-ea"/>
              <a:ea typeface="+mn-ea"/>
            </a:rPr>
            <a:t>/PBX</a:t>
          </a:r>
          <a:r>
            <a:rPr kumimoji="1" lang="ja-JP" altLang="en-US" sz="900">
              <a:solidFill>
                <a:schemeClr val="bg1">
                  <a:lumMod val="50000"/>
                </a:schemeClr>
              </a:solidFill>
              <a:latin typeface="+mn-ea"/>
              <a:ea typeface="+mn-ea"/>
            </a:rPr>
            <a:t>管理</a:t>
          </a:r>
          <a:r>
            <a:rPr kumimoji="1" lang="en-US" altLang="ja-JP" sz="900">
              <a:solidFill>
                <a:schemeClr val="bg1">
                  <a:lumMod val="50000"/>
                </a:schemeClr>
              </a:solidFill>
              <a:latin typeface="+mn-ea"/>
              <a:ea typeface="+mn-ea"/>
            </a:rPr>
            <a:t>)</a:t>
          </a:r>
          <a:endParaRPr kumimoji="1" lang="ja-JP" altLang="en-US" sz="900">
            <a:solidFill>
              <a:schemeClr val="bg1">
                <a:lumMod val="50000"/>
              </a:schemeClr>
            </a:solidFill>
            <a:latin typeface="+mn-ea"/>
            <a:ea typeface="+mn-ea"/>
          </a:endParaRPr>
        </a:p>
      </xdr:txBody>
    </xdr:sp>
    <xdr:clientData/>
  </xdr:twoCellAnchor>
  <xdr:twoCellAnchor>
    <xdr:from>
      <xdr:col>53</xdr:col>
      <xdr:colOff>84192</xdr:colOff>
      <xdr:row>464</xdr:row>
      <xdr:rowOff>64514</xdr:rowOff>
    </xdr:from>
    <xdr:to>
      <xdr:col>65</xdr:col>
      <xdr:colOff>118731</xdr:colOff>
      <xdr:row>466</xdr:row>
      <xdr:rowOff>57187</xdr:rowOff>
    </xdr:to>
    <xdr:sp macro="" textlink="">
      <xdr:nvSpPr>
        <xdr:cNvPr id="242" name="角丸四角形 241">
          <a:extLst>
            <a:ext uri="{FF2B5EF4-FFF2-40B4-BE49-F238E27FC236}">
              <a16:creationId xmlns:a16="http://schemas.microsoft.com/office/drawing/2014/main" id="{00000000-0008-0000-0700-0000F2000000}"/>
            </a:ext>
          </a:extLst>
        </xdr:cNvPr>
        <xdr:cNvSpPr/>
      </xdr:nvSpPr>
      <xdr:spPr>
        <a:xfrm>
          <a:off x="6509237" y="73026014"/>
          <a:ext cx="1489267" cy="304400"/>
        </a:xfrm>
        <a:prstGeom prst="roundRect">
          <a:avLst>
            <a:gd name="adj" fmla="val 19501"/>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ファイルシステム</a:t>
          </a:r>
        </a:p>
      </xdr:txBody>
    </xdr:sp>
    <xdr:clientData/>
  </xdr:twoCellAnchor>
  <xdr:twoCellAnchor>
    <xdr:from>
      <xdr:col>53</xdr:col>
      <xdr:colOff>91521</xdr:colOff>
      <xdr:row>458</xdr:row>
      <xdr:rowOff>101149</xdr:rowOff>
    </xdr:from>
    <xdr:to>
      <xdr:col>66</xdr:col>
      <xdr:colOff>3596</xdr:colOff>
      <xdr:row>460</xdr:row>
      <xdr:rowOff>93822</xdr:rowOff>
    </xdr:to>
    <xdr:sp macro="" textlink="">
      <xdr:nvSpPr>
        <xdr:cNvPr id="243" name="角丸四角形 242">
          <a:extLst>
            <a:ext uri="{FF2B5EF4-FFF2-40B4-BE49-F238E27FC236}">
              <a16:creationId xmlns:a16="http://schemas.microsoft.com/office/drawing/2014/main" id="{00000000-0008-0000-0700-0000F3000000}"/>
            </a:ext>
          </a:extLst>
        </xdr:cNvPr>
        <xdr:cNvSpPr/>
      </xdr:nvSpPr>
      <xdr:spPr>
        <a:xfrm>
          <a:off x="6516566" y="72127467"/>
          <a:ext cx="1488030" cy="304400"/>
        </a:xfrm>
        <a:prstGeom prst="roundRect">
          <a:avLst>
            <a:gd name="adj" fmla="val 13097"/>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p>
      </xdr:txBody>
    </xdr:sp>
    <xdr:clientData/>
  </xdr:twoCellAnchor>
  <xdr:twoCellAnchor>
    <xdr:from>
      <xdr:col>53</xdr:col>
      <xdr:colOff>84195</xdr:colOff>
      <xdr:row>456</xdr:row>
      <xdr:rowOff>29021</xdr:rowOff>
    </xdr:from>
    <xdr:to>
      <xdr:col>65</xdr:col>
      <xdr:colOff>118734</xdr:colOff>
      <xdr:row>458</xdr:row>
      <xdr:rowOff>21695</xdr:rowOff>
    </xdr:to>
    <xdr:sp macro="" textlink="">
      <xdr:nvSpPr>
        <xdr:cNvPr id="244" name="角丸四角形 243">
          <a:extLst>
            <a:ext uri="{FF2B5EF4-FFF2-40B4-BE49-F238E27FC236}">
              <a16:creationId xmlns:a16="http://schemas.microsoft.com/office/drawing/2014/main" id="{00000000-0008-0000-0700-0000F4000000}"/>
            </a:ext>
          </a:extLst>
        </xdr:cNvPr>
        <xdr:cNvSpPr/>
      </xdr:nvSpPr>
      <xdr:spPr>
        <a:xfrm>
          <a:off x="6509240" y="71743612"/>
          <a:ext cx="1489267" cy="304401"/>
        </a:xfrm>
        <a:prstGeom prst="roundRect">
          <a:avLst>
            <a:gd name="adj" fmla="val 19501"/>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リスナー</a:t>
          </a:r>
        </a:p>
      </xdr:txBody>
    </xdr:sp>
    <xdr:clientData/>
  </xdr:twoCellAnchor>
  <xdr:twoCellAnchor>
    <xdr:from>
      <xdr:col>66</xdr:col>
      <xdr:colOff>98943</xdr:colOff>
      <xdr:row>458</xdr:row>
      <xdr:rowOff>58042</xdr:rowOff>
    </xdr:from>
    <xdr:to>
      <xdr:col>72</xdr:col>
      <xdr:colOff>7515</xdr:colOff>
      <xdr:row>461</xdr:row>
      <xdr:rowOff>152595</xdr:rowOff>
    </xdr:to>
    <xdr:sp macro="" textlink="">
      <xdr:nvSpPr>
        <xdr:cNvPr id="246" name="角丸四角形 245">
          <a:extLst>
            <a:ext uri="{FF2B5EF4-FFF2-40B4-BE49-F238E27FC236}">
              <a16:creationId xmlns:a16="http://schemas.microsoft.com/office/drawing/2014/main" id="{00000000-0008-0000-0700-0000F6000000}"/>
            </a:ext>
          </a:extLst>
        </xdr:cNvPr>
        <xdr:cNvSpPr/>
      </xdr:nvSpPr>
      <xdr:spPr>
        <a:xfrm>
          <a:off x="8234414" y="72560101"/>
          <a:ext cx="648160" cy="565200"/>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en-US" altLang="ja-JP" sz="900">
              <a:solidFill>
                <a:schemeClr val="bg1">
                  <a:lumMod val="50000"/>
                </a:schemeClr>
              </a:solidFill>
              <a:latin typeface="+mn-ea"/>
              <a:ea typeface="+mn-ea"/>
            </a:rPr>
            <a:t>ARK</a:t>
          </a:r>
          <a:endParaRPr kumimoji="1" lang="ja-JP" altLang="en-US" sz="900">
            <a:solidFill>
              <a:schemeClr val="bg1">
                <a:lumMod val="50000"/>
              </a:schemeClr>
            </a:solidFill>
            <a:latin typeface="+mn-ea"/>
            <a:ea typeface="+mn-ea"/>
          </a:endParaRPr>
        </a:p>
      </xdr:txBody>
    </xdr:sp>
    <xdr:clientData/>
  </xdr:twoCellAnchor>
  <xdr:twoCellAnchor>
    <xdr:from>
      <xdr:col>64</xdr:col>
      <xdr:colOff>40351</xdr:colOff>
      <xdr:row>457</xdr:row>
      <xdr:rowOff>54256</xdr:rowOff>
    </xdr:from>
    <xdr:to>
      <xdr:col>67</xdr:col>
      <xdr:colOff>56287</xdr:colOff>
      <xdr:row>459</xdr:row>
      <xdr:rowOff>134123</xdr:rowOff>
    </xdr:to>
    <xdr:sp macro="" textlink="">
      <xdr:nvSpPr>
        <xdr:cNvPr id="247" name="環状矢印 246">
          <a:extLst>
            <a:ext uri="{FF2B5EF4-FFF2-40B4-BE49-F238E27FC236}">
              <a16:creationId xmlns:a16="http://schemas.microsoft.com/office/drawing/2014/main" id="{00000000-0008-0000-0700-0000F7000000}"/>
            </a:ext>
          </a:extLst>
        </xdr:cNvPr>
        <xdr:cNvSpPr/>
      </xdr:nvSpPr>
      <xdr:spPr>
        <a:xfrm>
          <a:off x="7798896" y="71924711"/>
          <a:ext cx="379618" cy="391594"/>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chemeClr val="bg1">
                <a:lumMod val="50000"/>
              </a:schemeClr>
            </a:solidFill>
            <a:latin typeface="+mn-ea"/>
            <a:ea typeface="+mn-ea"/>
          </a:endParaRPr>
        </a:p>
      </xdr:txBody>
    </xdr:sp>
    <xdr:clientData/>
  </xdr:twoCellAnchor>
  <xdr:twoCellAnchor>
    <xdr:from>
      <xdr:col>66</xdr:col>
      <xdr:colOff>41596</xdr:colOff>
      <xdr:row>456</xdr:row>
      <xdr:rowOff>131849</xdr:rowOff>
    </xdr:from>
    <xdr:to>
      <xdr:col>70</xdr:col>
      <xdr:colOff>62739</xdr:colOff>
      <xdr:row>458</xdr:row>
      <xdr:rowOff>124521</xdr:rowOff>
    </xdr:to>
    <xdr:sp macro="" textlink="">
      <xdr:nvSpPr>
        <xdr:cNvPr id="248" name="角丸四角形 247">
          <a:extLst>
            <a:ext uri="{FF2B5EF4-FFF2-40B4-BE49-F238E27FC236}">
              <a16:creationId xmlns:a16="http://schemas.microsoft.com/office/drawing/2014/main" id="{00000000-0008-0000-0700-0000F8000000}"/>
            </a:ext>
          </a:extLst>
        </xdr:cNvPr>
        <xdr:cNvSpPr/>
      </xdr:nvSpPr>
      <xdr:spPr>
        <a:xfrm>
          <a:off x="8177067" y="72163261"/>
          <a:ext cx="514201" cy="306436"/>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66</xdr:col>
      <xdr:colOff>109828</xdr:colOff>
      <xdr:row>453</xdr:row>
      <xdr:rowOff>19199</xdr:rowOff>
    </xdr:from>
    <xdr:to>
      <xdr:col>72</xdr:col>
      <xdr:colOff>17772</xdr:colOff>
      <xdr:row>456</xdr:row>
      <xdr:rowOff>121270</xdr:rowOff>
    </xdr:to>
    <xdr:sp macro="" textlink="">
      <xdr:nvSpPr>
        <xdr:cNvPr id="249" name="角丸四角形 248">
          <a:extLst>
            <a:ext uri="{FF2B5EF4-FFF2-40B4-BE49-F238E27FC236}">
              <a16:creationId xmlns:a16="http://schemas.microsoft.com/office/drawing/2014/main" id="{00000000-0008-0000-0700-0000F9000000}"/>
            </a:ext>
          </a:extLst>
        </xdr:cNvPr>
        <xdr:cNvSpPr/>
      </xdr:nvSpPr>
      <xdr:spPr>
        <a:xfrm>
          <a:off x="8110828" y="71266199"/>
          <a:ext cx="635308" cy="569662"/>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JP1</a:t>
          </a:r>
          <a:r>
            <a:rPr kumimoji="1" lang="ja-JP" altLang="en-US" sz="900">
              <a:solidFill>
                <a:schemeClr val="bg1">
                  <a:lumMod val="50000"/>
                </a:schemeClr>
              </a:solidFill>
              <a:latin typeface="+mn-ea"/>
              <a:ea typeface="+mn-ea"/>
            </a:rPr>
            <a:t>監視</a:t>
          </a:r>
          <a:endParaRPr kumimoji="1" lang="en-US" altLang="ja-JP" sz="900">
            <a:solidFill>
              <a:schemeClr val="bg1">
                <a:lumMod val="50000"/>
              </a:schemeClr>
            </a:solidFill>
            <a:latin typeface="+mn-ea"/>
            <a:ea typeface="+mn-ea"/>
          </a:endParaRPr>
        </a:p>
        <a:p>
          <a:pPr algn="ctr"/>
          <a:r>
            <a:rPr kumimoji="1" lang="ja-JP" altLang="en-US" sz="900">
              <a:solidFill>
                <a:schemeClr val="bg1">
                  <a:lumMod val="50000"/>
                </a:schemeClr>
              </a:solidFill>
              <a:latin typeface="+mn-ea"/>
              <a:ea typeface="+mn-ea"/>
            </a:rPr>
            <a:t>スクリプト</a:t>
          </a:r>
        </a:p>
      </xdr:txBody>
    </xdr:sp>
    <xdr:clientData/>
  </xdr:twoCellAnchor>
  <xdr:twoCellAnchor>
    <xdr:from>
      <xdr:col>64</xdr:col>
      <xdr:colOff>51236</xdr:colOff>
      <xdr:row>452</xdr:row>
      <xdr:rowOff>15413</xdr:rowOff>
    </xdr:from>
    <xdr:to>
      <xdr:col>67</xdr:col>
      <xdr:colOff>67172</xdr:colOff>
      <xdr:row>454</xdr:row>
      <xdr:rowOff>105651</xdr:rowOff>
    </xdr:to>
    <xdr:sp macro="" textlink="">
      <xdr:nvSpPr>
        <xdr:cNvPr id="250" name="環状矢印 249">
          <a:extLst>
            <a:ext uri="{FF2B5EF4-FFF2-40B4-BE49-F238E27FC236}">
              <a16:creationId xmlns:a16="http://schemas.microsoft.com/office/drawing/2014/main" id="{00000000-0008-0000-0700-0000FA000000}"/>
            </a:ext>
          </a:extLst>
        </xdr:cNvPr>
        <xdr:cNvSpPr/>
      </xdr:nvSpPr>
      <xdr:spPr>
        <a:xfrm>
          <a:off x="7809781" y="71106549"/>
          <a:ext cx="379618" cy="401966"/>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chemeClr val="bg1">
                <a:lumMod val="50000"/>
              </a:schemeClr>
            </a:solidFill>
            <a:latin typeface="+mn-ea"/>
            <a:ea typeface="+mn-ea"/>
          </a:endParaRPr>
        </a:p>
      </xdr:txBody>
    </xdr:sp>
    <xdr:clientData/>
  </xdr:twoCellAnchor>
  <xdr:twoCellAnchor>
    <xdr:from>
      <xdr:col>66</xdr:col>
      <xdr:colOff>51854</xdr:colOff>
      <xdr:row>451</xdr:row>
      <xdr:rowOff>75952</xdr:rowOff>
    </xdr:from>
    <xdr:to>
      <xdr:col>70</xdr:col>
      <xdr:colOff>73624</xdr:colOff>
      <xdr:row>453</xdr:row>
      <xdr:rowOff>68626</xdr:rowOff>
    </xdr:to>
    <xdr:sp macro="" textlink="">
      <xdr:nvSpPr>
        <xdr:cNvPr id="251" name="角丸四角形 250">
          <a:extLst>
            <a:ext uri="{FF2B5EF4-FFF2-40B4-BE49-F238E27FC236}">
              <a16:creationId xmlns:a16="http://schemas.microsoft.com/office/drawing/2014/main" id="{00000000-0008-0000-0700-0000FB000000}"/>
            </a:ext>
          </a:extLst>
        </xdr:cNvPr>
        <xdr:cNvSpPr/>
      </xdr:nvSpPr>
      <xdr:spPr>
        <a:xfrm>
          <a:off x="8187325" y="71322952"/>
          <a:ext cx="514828" cy="30643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16</xdr:col>
      <xdr:colOff>48488</xdr:colOff>
      <xdr:row>472</xdr:row>
      <xdr:rowOff>30102</xdr:rowOff>
    </xdr:from>
    <xdr:to>
      <xdr:col>17</xdr:col>
      <xdr:colOff>78280</xdr:colOff>
      <xdr:row>473</xdr:row>
      <xdr:rowOff>30102</xdr:rowOff>
    </xdr:to>
    <xdr:sp macro="" textlink="">
      <xdr:nvSpPr>
        <xdr:cNvPr id="263" name="正方形/長方形 262">
          <a:extLst>
            <a:ext uri="{FF2B5EF4-FFF2-40B4-BE49-F238E27FC236}">
              <a16:creationId xmlns:a16="http://schemas.microsoft.com/office/drawing/2014/main" id="{00000000-0008-0000-0700-000007010000}"/>
            </a:ext>
          </a:extLst>
        </xdr:cNvPr>
        <xdr:cNvSpPr/>
      </xdr:nvSpPr>
      <xdr:spPr>
        <a:xfrm>
          <a:off x="2020723" y="74728514"/>
          <a:ext cx="153057" cy="15688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61</xdr:col>
      <xdr:colOff>12536</xdr:colOff>
      <xdr:row>472</xdr:row>
      <xdr:rowOff>30101</xdr:rowOff>
    </xdr:from>
    <xdr:to>
      <xdr:col>62</xdr:col>
      <xdr:colOff>41526</xdr:colOff>
      <xdr:row>473</xdr:row>
      <xdr:rowOff>30101</xdr:rowOff>
    </xdr:to>
    <xdr:sp macro="" textlink="">
      <xdr:nvSpPr>
        <xdr:cNvPr id="264" name="正方形/長方形 263">
          <a:extLst>
            <a:ext uri="{FF2B5EF4-FFF2-40B4-BE49-F238E27FC236}">
              <a16:creationId xmlns:a16="http://schemas.microsoft.com/office/drawing/2014/main" id="{00000000-0008-0000-0700-000008010000}"/>
            </a:ext>
          </a:extLst>
        </xdr:cNvPr>
        <xdr:cNvSpPr/>
      </xdr:nvSpPr>
      <xdr:spPr>
        <a:xfrm>
          <a:off x="7531683" y="74728513"/>
          <a:ext cx="152255" cy="15688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22</xdr:col>
      <xdr:colOff>2</xdr:colOff>
      <xdr:row>338</xdr:row>
      <xdr:rowOff>11206</xdr:rowOff>
    </xdr:from>
    <xdr:to>
      <xdr:col>80</xdr:col>
      <xdr:colOff>100856</xdr:colOff>
      <xdr:row>362</xdr:row>
      <xdr:rowOff>112056</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2711826" y="53687382"/>
          <a:ext cx="7250206" cy="386602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IVR</a:t>
          </a:r>
          <a:r>
            <a:rPr lang="ja-JP" altLang="en-US" sz="900">
              <a:solidFill>
                <a:schemeClr val="tx1"/>
              </a:solidFill>
              <a:latin typeface="+mn-ea"/>
              <a:ea typeface="+mn-ea"/>
            </a:rPr>
            <a:t>システム</a:t>
          </a:r>
        </a:p>
      </xdr:txBody>
    </xdr:sp>
    <xdr:clientData/>
  </xdr:twoCellAnchor>
  <xdr:twoCellAnchor>
    <xdr:from>
      <xdr:col>4</xdr:col>
      <xdr:colOff>47625</xdr:colOff>
      <xdr:row>281</xdr:row>
      <xdr:rowOff>95250</xdr:rowOff>
    </xdr:from>
    <xdr:to>
      <xdr:col>18</xdr:col>
      <xdr:colOff>76200</xdr:colOff>
      <xdr:row>295</xdr:row>
      <xdr:rowOff>53486</xdr:rowOff>
    </xdr:to>
    <xdr:sp macro="" textlink="">
      <xdr:nvSpPr>
        <xdr:cNvPr id="158" name="正方形/長方形 157">
          <a:extLst>
            <a:ext uri="{FF2B5EF4-FFF2-40B4-BE49-F238E27FC236}">
              <a16:creationId xmlns:a16="http://schemas.microsoft.com/office/drawing/2014/main" id="{00000000-0008-0000-0700-00009E000000}"/>
            </a:ext>
          </a:extLst>
        </xdr:cNvPr>
        <xdr:cNvSpPr/>
      </xdr:nvSpPr>
      <xdr:spPr>
        <a:xfrm>
          <a:off x="542925" y="43100625"/>
          <a:ext cx="1762125" cy="209183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運用管理</a:t>
          </a:r>
        </a:p>
      </xdr:txBody>
    </xdr:sp>
    <xdr:clientData/>
  </xdr:twoCellAnchor>
  <xdr:twoCellAnchor>
    <xdr:from>
      <xdr:col>6</xdr:col>
      <xdr:colOff>29436</xdr:colOff>
      <xdr:row>292</xdr:row>
      <xdr:rowOff>83976</xdr:rowOff>
    </xdr:from>
    <xdr:to>
      <xdr:col>16</xdr:col>
      <xdr:colOff>76259</xdr:colOff>
      <xdr:row>294</xdr:row>
      <xdr:rowOff>136245</xdr:rowOff>
    </xdr:to>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772386" y="44765751"/>
          <a:ext cx="1285073"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Windows</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6</xdr:col>
      <xdr:colOff>24019</xdr:colOff>
      <xdr:row>286</xdr:row>
      <xdr:rowOff>45205</xdr:rowOff>
    </xdr:from>
    <xdr:to>
      <xdr:col>16</xdr:col>
      <xdr:colOff>71401</xdr:colOff>
      <xdr:row>288</xdr:row>
      <xdr:rowOff>97474</xdr:rowOff>
    </xdr:to>
    <xdr:sp macro="" textlink="">
      <xdr:nvSpPr>
        <xdr:cNvPr id="161" name="正方形/長方形 160">
          <a:extLst>
            <a:ext uri="{FF2B5EF4-FFF2-40B4-BE49-F238E27FC236}">
              <a16:creationId xmlns:a16="http://schemas.microsoft.com/office/drawing/2014/main" id="{00000000-0008-0000-0700-0000A1000000}"/>
            </a:ext>
          </a:extLst>
        </xdr:cNvPr>
        <xdr:cNvSpPr/>
      </xdr:nvSpPr>
      <xdr:spPr>
        <a:xfrm>
          <a:off x="766969" y="43812580"/>
          <a:ext cx="1285632"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28573</xdr:colOff>
      <xdr:row>283</xdr:row>
      <xdr:rowOff>71646</xdr:rowOff>
    </xdr:from>
    <xdr:to>
      <xdr:col>16</xdr:col>
      <xdr:colOff>75396</xdr:colOff>
      <xdr:row>285</xdr:row>
      <xdr:rowOff>123915</xdr:rowOff>
    </xdr:to>
    <xdr:sp macro="" textlink="">
      <xdr:nvSpPr>
        <xdr:cNvPr id="162" name="正方形/長方形 161">
          <a:extLst>
            <a:ext uri="{FF2B5EF4-FFF2-40B4-BE49-F238E27FC236}">
              <a16:creationId xmlns:a16="http://schemas.microsoft.com/office/drawing/2014/main" id="{00000000-0008-0000-0700-0000A2000000}"/>
            </a:ext>
          </a:extLst>
        </xdr:cNvPr>
        <xdr:cNvSpPr/>
      </xdr:nvSpPr>
      <xdr:spPr>
        <a:xfrm>
          <a:off x="771523" y="43381821"/>
          <a:ext cx="1285073"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JP1/AJS3-Manager</a:t>
          </a:r>
          <a:endParaRPr kumimoji="1" lang="ja-JP" altLang="en-US" sz="900">
            <a:solidFill>
              <a:sysClr val="windowText" lastClr="000000"/>
            </a:solidFill>
            <a:latin typeface="+mn-ea"/>
            <a:ea typeface="+mn-ea"/>
          </a:endParaRPr>
        </a:p>
      </xdr:txBody>
    </xdr:sp>
    <xdr:clientData/>
  </xdr:twoCellAnchor>
  <xdr:twoCellAnchor>
    <xdr:from>
      <xdr:col>4</xdr:col>
      <xdr:colOff>57150</xdr:colOff>
      <xdr:row>296</xdr:row>
      <xdr:rowOff>21534</xdr:rowOff>
    </xdr:from>
    <xdr:to>
      <xdr:col>18</xdr:col>
      <xdr:colOff>82826</xdr:colOff>
      <xdr:row>312</xdr:row>
      <xdr:rowOff>41412</xdr:rowOff>
    </xdr:to>
    <xdr:sp macro="" textlink="">
      <xdr:nvSpPr>
        <xdr:cNvPr id="163" name="正方形/長方形 162">
          <a:extLst>
            <a:ext uri="{FF2B5EF4-FFF2-40B4-BE49-F238E27FC236}">
              <a16:creationId xmlns:a16="http://schemas.microsoft.com/office/drawing/2014/main" id="{00000000-0008-0000-0700-0000A3000000}"/>
            </a:ext>
          </a:extLst>
        </xdr:cNvPr>
        <xdr:cNvSpPr/>
      </xdr:nvSpPr>
      <xdr:spPr>
        <a:xfrm>
          <a:off x="552450" y="45312909"/>
          <a:ext cx="1759226" cy="245827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WAS</a:t>
          </a:r>
          <a:endParaRPr kumimoji="1" lang="ja-JP" altLang="en-US" sz="900">
            <a:solidFill>
              <a:sysClr val="windowText" lastClr="000000"/>
            </a:solidFill>
            <a:latin typeface="+mn-ea"/>
            <a:ea typeface="+mn-ea"/>
          </a:endParaRPr>
        </a:p>
      </xdr:txBody>
    </xdr:sp>
    <xdr:clientData/>
  </xdr:twoCellAnchor>
  <xdr:twoCellAnchor>
    <xdr:from>
      <xdr:col>6</xdr:col>
      <xdr:colOff>41825</xdr:colOff>
      <xdr:row>303</xdr:row>
      <xdr:rowOff>103534</xdr:rowOff>
    </xdr:from>
    <xdr:to>
      <xdr:col>16</xdr:col>
      <xdr:colOff>88234</xdr:colOff>
      <xdr:row>306</xdr:row>
      <xdr:rowOff>6716</xdr:rowOff>
    </xdr:to>
    <xdr:sp macro="" textlink="">
      <xdr:nvSpPr>
        <xdr:cNvPr id="164" name="正方形/長方形 163">
          <a:extLst>
            <a:ext uri="{FF2B5EF4-FFF2-40B4-BE49-F238E27FC236}">
              <a16:creationId xmlns:a16="http://schemas.microsoft.com/office/drawing/2014/main" id="{00000000-0008-0000-0700-0000A4000000}"/>
            </a:ext>
          </a:extLst>
        </xdr:cNvPr>
        <xdr:cNvSpPr/>
      </xdr:nvSpPr>
      <xdr:spPr>
        <a:xfrm>
          <a:off x="784775" y="46461709"/>
          <a:ext cx="1284659" cy="36038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6</xdr:col>
      <xdr:colOff>41825</xdr:colOff>
      <xdr:row>309</xdr:row>
      <xdr:rowOff>57567</xdr:rowOff>
    </xdr:from>
    <xdr:to>
      <xdr:col>16</xdr:col>
      <xdr:colOff>88234</xdr:colOff>
      <xdr:row>311</xdr:row>
      <xdr:rowOff>105058</xdr:rowOff>
    </xdr:to>
    <xdr:sp macro="" textlink="">
      <xdr:nvSpPr>
        <xdr:cNvPr id="165" name="正方形/長方形 164">
          <a:extLst>
            <a:ext uri="{FF2B5EF4-FFF2-40B4-BE49-F238E27FC236}">
              <a16:creationId xmlns:a16="http://schemas.microsoft.com/office/drawing/2014/main" id="{00000000-0008-0000-0700-0000A5000000}"/>
            </a:ext>
          </a:extLst>
        </xdr:cNvPr>
        <xdr:cNvSpPr/>
      </xdr:nvSpPr>
      <xdr:spPr>
        <a:xfrm>
          <a:off x="784775" y="47330142"/>
          <a:ext cx="1284659" cy="35229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20</xdr:col>
      <xdr:colOff>67917</xdr:colOff>
      <xdr:row>296</xdr:row>
      <xdr:rowOff>20294</xdr:rowOff>
    </xdr:from>
    <xdr:to>
      <xdr:col>48</xdr:col>
      <xdr:colOff>2434</xdr:colOff>
      <xdr:row>317</xdr:row>
      <xdr:rowOff>33132</xdr:rowOff>
    </xdr:to>
    <xdr:sp macro="" textlink="">
      <xdr:nvSpPr>
        <xdr:cNvPr id="166" name="正方形/長方形 165">
          <a:extLst>
            <a:ext uri="{FF2B5EF4-FFF2-40B4-BE49-F238E27FC236}">
              <a16:creationId xmlns:a16="http://schemas.microsoft.com/office/drawing/2014/main" id="{00000000-0008-0000-0700-0000A6000000}"/>
            </a:ext>
          </a:extLst>
        </xdr:cNvPr>
        <xdr:cNvSpPr/>
      </xdr:nvSpPr>
      <xdr:spPr>
        <a:xfrm>
          <a:off x="2544417" y="45311669"/>
          <a:ext cx="3401617" cy="32132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32</xdr:col>
      <xdr:colOff>19877</xdr:colOff>
      <xdr:row>306</xdr:row>
      <xdr:rowOff>122995</xdr:rowOff>
    </xdr:from>
    <xdr:to>
      <xdr:col>46</xdr:col>
      <xdr:colOff>91552</xdr:colOff>
      <xdr:row>308</xdr:row>
      <xdr:rowOff>145221</xdr:rowOff>
    </xdr:to>
    <xdr:sp macro="" textlink="">
      <xdr:nvSpPr>
        <xdr:cNvPr id="167" name="正方形/長方形 166">
          <a:extLst>
            <a:ext uri="{FF2B5EF4-FFF2-40B4-BE49-F238E27FC236}">
              <a16:creationId xmlns:a16="http://schemas.microsoft.com/office/drawing/2014/main" id="{00000000-0008-0000-0700-0000A7000000}"/>
            </a:ext>
          </a:extLst>
        </xdr:cNvPr>
        <xdr:cNvSpPr/>
      </xdr:nvSpPr>
      <xdr:spPr>
        <a:xfrm>
          <a:off x="3982277" y="46938370"/>
          <a:ext cx="1805225"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32</xdr:col>
      <xdr:colOff>19877</xdr:colOff>
      <xdr:row>309</xdr:row>
      <xdr:rowOff>60457</xdr:rowOff>
    </xdr:from>
    <xdr:to>
      <xdr:col>46</xdr:col>
      <xdr:colOff>91552</xdr:colOff>
      <xdr:row>311</xdr:row>
      <xdr:rowOff>82683</xdr:rowOff>
    </xdr:to>
    <xdr:sp macro="" textlink="">
      <xdr:nvSpPr>
        <xdr:cNvPr id="168" name="正方形/長方形 167">
          <a:extLst>
            <a:ext uri="{FF2B5EF4-FFF2-40B4-BE49-F238E27FC236}">
              <a16:creationId xmlns:a16="http://schemas.microsoft.com/office/drawing/2014/main" id="{00000000-0008-0000-0700-0000A8000000}"/>
            </a:ext>
          </a:extLst>
        </xdr:cNvPr>
        <xdr:cNvSpPr/>
      </xdr:nvSpPr>
      <xdr:spPr>
        <a:xfrm>
          <a:off x="3982277" y="47333032"/>
          <a:ext cx="1805225"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22</xdr:col>
      <xdr:colOff>45967</xdr:colOff>
      <xdr:row>314</xdr:row>
      <xdr:rowOff>77028</xdr:rowOff>
    </xdr:from>
    <xdr:to>
      <xdr:col>46</xdr:col>
      <xdr:colOff>97734</xdr:colOff>
      <xdr:row>316</xdr:row>
      <xdr:rowOff>99254</xdr:rowOff>
    </xdr:to>
    <xdr:sp macro="" textlink="">
      <xdr:nvSpPr>
        <xdr:cNvPr id="169" name="正方形/長方形 168">
          <a:extLst>
            <a:ext uri="{FF2B5EF4-FFF2-40B4-BE49-F238E27FC236}">
              <a16:creationId xmlns:a16="http://schemas.microsoft.com/office/drawing/2014/main" id="{00000000-0008-0000-0700-0000A9000000}"/>
            </a:ext>
          </a:extLst>
        </xdr:cNvPr>
        <xdr:cNvSpPr/>
      </xdr:nvSpPr>
      <xdr:spPr>
        <a:xfrm>
          <a:off x="2770117" y="48111603"/>
          <a:ext cx="3023567"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22</xdr:col>
      <xdr:colOff>53009</xdr:colOff>
      <xdr:row>306</xdr:row>
      <xdr:rowOff>132519</xdr:rowOff>
    </xdr:from>
    <xdr:to>
      <xdr:col>30</xdr:col>
      <xdr:colOff>102290</xdr:colOff>
      <xdr:row>309</xdr:row>
      <xdr:rowOff>5658</xdr:rowOff>
    </xdr:to>
    <xdr:sp macro="" textlink="">
      <xdr:nvSpPr>
        <xdr:cNvPr id="170" name="正方形/長方形 169">
          <a:extLst>
            <a:ext uri="{FF2B5EF4-FFF2-40B4-BE49-F238E27FC236}">
              <a16:creationId xmlns:a16="http://schemas.microsoft.com/office/drawing/2014/main" id="{00000000-0008-0000-0700-0000AA000000}"/>
            </a:ext>
          </a:extLst>
        </xdr:cNvPr>
        <xdr:cNvSpPr/>
      </xdr:nvSpPr>
      <xdr:spPr>
        <a:xfrm>
          <a:off x="2777159" y="46947894"/>
          <a:ext cx="1039881" cy="33033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22</xdr:col>
      <xdr:colOff>53009</xdr:colOff>
      <xdr:row>309</xdr:row>
      <xdr:rowOff>69981</xdr:rowOff>
    </xdr:from>
    <xdr:to>
      <xdr:col>30</xdr:col>
      <xdr:colOff>102290</xdr:colOff>
      <xdr:row>311</xdr:row>
      <xdr:rowOff>92207</xdr:rowOff>
    </xdr:to>
    <xdr:sp macro="" textlink="">
      <xdr:nvSpPr>
        <xdr:cNvPr id="171" name="正方形/長方形 170">
          <a:extLst>
            <a:ext uri="{FF2B5EF4-FFF2-40B4-BE49-F238E27FC236}">
              <a16:creationId xmlns:a16="http://schemas.microsoft.com/office/drawing/2014/main" id="{00000000-0008-0000-0700-0000AB000000}"/>
            </a:ext>
          </a:extLst>
        </xdr:cNvPr>
        <xdr:cNvSpPr/>
      </xdr:nvSpPr>
      <xdr:spPr>
        <a:xfrm>
          <a:off x="2777159" y="47342556"/>
          <a:ext cx="1039881"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22</xdr:col>
      <xdr:colOff>46546</xdr:colOff>
      <xdr:row>300</xdr:row>
      <xdr:rowOff>88622</xdr:rowOff>
    </xdr:from>
    <xdr:to>
      <xdr:col>30</xdr:col>
      <xdr:colOff>111756</xdr:colOff>
      <xdr:row>302</xdr:row>
      <xdr:rowOff>140891</xdr:rowOff>
    </xdr:to>
    <xdr:sp macro="" textlink="">
      <xdr:nvSpPr>
        <xdr:cNvPr id="204" name="正方形/長方形 203">
          <a:extLst>
            <a:ext uri="{FF2B5EF4-FFF2-40B4-BE49-F238E27FC236}">
              <a16:creationId xmlns:a16="http://schemas.microsoft.com/office/drawing/2014/main" id="{00000000-0008-0000-0700-0000CC000000}"/>
            </a:ext>
          </a:extLst>
        </xdr:cNvPr>
        <xdr:cNvSpPr/>
      </xdr:nvSpPr>
      <xdr:spPr>
        <a:xfrm>
          <a:off x="2770696" y="45989597"/>
          <a:ext cx="1055810"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22</xdr:col>
      <xdr:colOff>44726</xdr:colOff>
      <xdr:row>297</xdr:row>
      <xdr:rowOff>132521</xdr:rowOff>
    </xdr:from>
    <xdr:to>
      <xdr:col>30</xdr:col>
      <xdr:colOff>110243</xdr:colOff>
      <xdr:row>300</xdr:row>
      <xdr:rowOff>30925</xdr:rowOff>
    </xdr:to>
    <xdr:sp macro="" textlink="">
      <xdr:nvSpPr>
        <xdr:cNvPr id="205" name="正方形/長方形 204">
          <a:extLst>
            <a:ext uri="{FF2B5EF4-FFF2-40B4-BE49-F238E27FC236}">
              <a16:creationId xmlns:a16="http://schemas.microsoft.com/office/drawing/2014/main" id="{00000000-0008-0000-0700-0000CD000000}"/>
            </a:ext>
          </a:extLst>
        </xdr:cNvPr>
        <xdr:cNvSpPr/>
      </xdr:nvSpPr>
      <xdr:spPr>
        <a:xfrm>
          <a:off x="2768876" y="45576296"/>
          <a:ext cx="1056117" cy="35560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6</xdr:col>
      <xdr:colOff>46544</xdr:colOff>
      <xdr:row>300</xdr:row>
      <xdr:rowOff>72058</xdr:rowOff>
    </xdr:from>
    <xdr:to>
      <xdr:col>16</xdr:col>
      <xdr:colOff>92953</xdr:colOff>
      <xdr:row>302</xdr:row>
      <xdr:rowOff>124327</xdr:rowOff>
    </xdr:to>
    <xdr:sp macro="" textlink="">
      <xdr:nvSpPr>
        <xdr:cNvPr id="206" name="正方形/長方形 205">
          <a:extLst>
            <a:ext uri="{FF2B5EF4-FFF2-40B4-BE49-F238E27FC236}">
              <a16:creationId xmlns:a16="http://schemas.microsoft.com/office/drawing/2014/main" id="{00000000-0008-0000-0700-0000CE000000}"/>
            </a:ext>
          </a:extLst>
        </xdr:cNvPr>
        <xdr:cNvSpPr/>
      </xdr:nvSpPr>
      <xdr:spPr>
        <a:xfrm>
          <a:off x="789494" y="45973033"/>
          <a:ext cx="1284659"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44725</xdr:colOff>
      <xdr:row>297</xdr:row>
      <xdr:rowOff>115957</xdr:rowOff>
    </xdr:from>
    <xdr:to>
      <xdr:col>16</xdr:col>
      <xdr:colOff>91134</xdr:colOff>
      <xdr:row>300</xdr:row>
      <xdr:rowOff>19140</xdr:rowOff>
    </xdr:to>
    <xdr:sp macro="" textlink="">
      <xdr:nvSpPr>
        <xdr:cNvPr id="207" name="正方形/長方形 206">
          <a:extLst>
            <a:ext uri="{FF2B5EF4-FFF2-40B4-BE49-F238E27FC236}">
              <a16:creationId xmlns:a16="http://schemas.microsoft.com/office/drawing/2014/main" id="{00000000-0008-0000-0700-0000CF000000}"/>
            </a:ext>
          </a:extLst>
        </xdr:cNvPr>
        <xdr:cNvSpPr/>
      </xdr:nvSpPr>
      <xdr:spPr>
        <a:xfrm>
          <a:off x="787675" y="45559732"/>
          <a:ext cx="1284659" cy="36038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49</xdr:col>
      <xdr:colOff>55079</xdr:colOff>
      <xdr:row>296</xdr:row>
      <xdr:rowOff>28576</xdr:rowOff>
    </xdr:from>
    <xdr:to>
      <xdr:col>76</xdr:col>
      <xdr:colOff>114300</xdr:colOff>
      <xdr:row>317</xdr:row>
      <xdr:rowOff>41414</xdr:rowOff>
    </xdr:to>
    <xdr:sp macro="" textlink="">
      <xdr:nvSpPr>
        <xdr:cNvPr id="208" name="正方形/長方形 207">
          <a:extLst>
            <a:ext uri="{FF2B5EF4-FFF2-40B4-BE49-F238E27FC236}">
              <a16:creationId xmlns:a16="http://schemas.microsoft.com/office/drawing/2014/main" id="{00000000-0008-0000-0700-0000D0000000}"/>
            </a:ext>
          </a:extLst>
        </xdr:cNvPr>
        <xdr:cNvSpPr/>
      </xdr:nvSpPr>
      <xdr:spPr>
        <a:xfrm>
          <a:off x="6122504" y="45319951"/>
          <a:ext cx="3402496" cy="32132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61</xdr:col>
      <xdr:colOff>31886</xdr:colOff>
      <xdr:row>306</xdr:row>
      <xdr:rowOff>122995</xdr:rowOff>
    </xdr:from>
    <xdr:to>
      <xdr:col>75</xdr:col>
      <xdr:colOff>103562</xdr:colOff>
      <xdr:row>308</xdr:row>
      <xdr:rowOff>145221</xdr:rowOff>
    </xdr:to>
    <xdr:sp macro="" textlink="">
      <xdr:nvSpPr>
        <xdr:cNvPr id="209" name="正方形/長方形 208">
          <a:extLst>
            <a:ext uri="{FF2B5EF4-FFF2-40B4-BE49-F238E27FC236}">
              <a16:creationId xmlns:a16="http://schemas.microsoft.com/office/drawing/2014/main" id="{00000000-0008-0000-0700-0000D1000000}"/>
            </a:ext>
          </a:extLst>
        </xdr:cNvPr>
        <xdr:cNvSpPr/>
      </xdr:nvSpPr>
      <xdr:spPr>
        <a:xfrm>
          <a:off x="7585211" y="46938370"/>
          <a:ext cx="1805226"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61</xdr:col>
      <xdr:colOff>31886</xdr:colOff>
      <xdr:row>309</xdr:row>
      <xdr:rowOff>60457</xdr:rowOff>
    </xdr:from>
    <xdr:to>
      <xdr:col>75</xdr:col>
      <xdr:colOff>103562</xdr:colOff>
      <xdr:row>311</xdr:row>
      <xdr:rowOff>82683</xdr:rowOff>
    </xdr:to>
    <xdr:sp macro="" textlink="">
      <xdr:nvSpPr>
        <xdr:cNvPr id="210" name="正方形/長方形 209">
          <a:extLst>
            <a:ext uri="{FF2B5EF4-FFF2-40B4-BE49-F238E27FC236}">
              <a16:creationId xmlns:a16="http://schemas.microsoft.com/office/drawing/2014/main" id="{00000000-0008-0000-0700-0000D2000000}"/>
            </a:ext>
          </a:extLst>
        </xdr:cNvPr>
        <xdr:cNvSpPr/>
      </xdr:nvSpPr>
      <xdr:spPr>
        <a:xfrm>
          <a:off x="7585211" y="47333032"/>
          <a:ext cx="1805226"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51</xdr:col>
      <xdr:colOff>57977</xdr:colOff>
      <xdr:row>314</xdr:row>
      <xdr:rowOff>77028</xdr:rowOff>
    </xdr:from>
    <xdr:to>
      <xdr:col>75</xdr:col>
      <xdr:colOff>110160</xdr:colOff>
      <xdr:row>316</xdr:row>
      <xdr:rowOff>99254</xdr:rowOff>
    </xdr:to>
    <xdr:sp macro="" textlink="">
      <xdr:nvSpPr>
        <xdr:cNvPr id="211" name="正方形/長方形 210">
          <a:extLst>
            <a:ext uri="{FF2B5EF4-FFF2-40B4-BE49-F238E27FC236}">
              <a16:creationId xmlns:a16="http://schemas.microsoft.com/office/drawing/2014/main" id="{00000000-0008-0000-0700-0000D3000000}"/>
            </a:ext>
          </a:extLst>
        </xdr:cNvPr>
        <xdr:cNvSpPr/>
      </xdr:nvSpPr>
      <xdr:spPr>
        <a:xfrm>
          <a:off x="6373052" y="48111603"/>
          <a:ext cx="3023983"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51</xdr:col>
      <xdr:colOff>65018</xdr:colOff>
      <xdr:row>306</xdr:row>
      <xdr:rowOff>132519</xdr:rowOff>
    </xdr:from>
    <xdr:to>
      <xdr:col>59</xdr:col>
      <xdr:colOff>114713</xdr:colOff>
      <xdr:row>309</xdr:row>
      <xdr:rowOff>5658</xdr:rowOff>
    </xdr:to>
    <xdr:sp macro="" textlink="">
      <xdr:nvSpPr>
        <xdr:cNvPr id="212" name="正方形/長方形 211">
          <a:extLst>
            <a:ext uri="{FF2B5EF4-FFF2-40B4-BE49-F238E27FC236}">
              <a16:creationId xmlns:a16="http://schemas.microsoft.com/office/drawing/2014/main" id="{00000000-0008-0000-0700-0000D4000000}"/>
            </a:ext>
          </a:extLst>
        </xdr:cNvPr>
        <xdr:cNvSpPr/>
      </xdr:nvSpPr>
      <xdr:spPr>
        <a:xfrm>
          <a:off x="6380093" y="46947894"/>
          <a:ext cx="1040295" cy="33033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51</xdr:col>
      <xdr:colOff>58555</xdr:colOff>
      <xdr:row>300</xdr:row>
      <xdr:rowOff>88622</xdr:rowOff>
    </xdr:from>
    <xdr:to>
      <xdr:col>59</xdr:col>
      <xdr:colOff>123765</xdr:colOff>
      <xdr:row>302</xdr:row>
      <xdr:rowOff>140891</xdr:rowOff>
    </xdr:to>
    <xdr:sp macro="" textlink="">
      <xdr:nvSpPr>
        <xdr:cNvPr id="213" name="正方形/長方形 212">
          <a:extLst>
            <a:ext uri="{FF2B5EF4-FFF2-40B4-BE49-F238E27FC236}">
              <a16:creationId xmlns:a16="http://schemas.microsoft.com/office/drawing/2014/main" id="{00000000-0008-0000-0700-0000D5000000}"/>
            </a:ext>
          </a:extLst>
        </xdr:cNvPr>
        <xdr:cNvSpPr/>
      </xdr:nvSpPr>
      <xdr:spPr>
        <a:xfrm>
          <a:off x="6373630" y="45989597"/>
          <a:ext cx="1055810"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51</xdr:col>
      <xdr:colOff>56735</xdr:colOff>
      <xdr:row>297</xdr:row>
      <xdr:rowOff>132521</xdr:rowOff>
    </xdr:from>
    <xdr:to>
      <xdr:col>59</xdr:col>
      <xdr:colOff>122252</xdr:colOff>
      <xdr:row>300</xdr:row>
      <xdr:rowOff>30925</xdr:rowOff>
    </xdr:to>
    <xdr:sp macro="" textlink="">
      <xdr:nvSpPr>
        <xdr:cNvPr id="214" name="正方形/長方形 213">
          <a:extLst>
            <a:ext uri="{FF2B5EF4-FFF2-40B4-BE49-F238E27FC236}">
              <a16:creationId xmlns:a16="http://schemas.microsoft.com/office/drawing/2014/main" id="{00000000-0008-0000-0700-0000D6000000}"/>
            </a:ext>
          </a:extLst>
        </xdr:cNvPr>
        <xdr:cNvSpPr/>
      </xdr:nvSpPr>
      <xdr:spPr>
        <a:xfrm>
          <a:off x="6371810" y="45576296"/>
          <a:ext cx="1056117" cy="35560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47625</xdr:colOff>
      <xdr:row>281</xdr:row>
      <xdr:rowOff>85725</xdr:rowOff>
    </xdr:from>
    <xdr:to>
      <xdr:col>35</xdr:col>
      <xdr:colOff>76200</xdr:colOff>
      <xdr:row>295</xdr:row>
      <xdr:rowOff>43961</xdr:rowOff>
    </xdr:to>
    <xdr:sp macro="" textlink="">
      <xdr:nvSpPr>
        <xdr:cNvPr id="215" name="正方形/長方形 214">
          <a:extLst>
            <a:ext uri="{FF2B5EF4-FFF2-40B4-BE49-F238E27FC236}">
              <a16:creationId xmlns:a16="http://schemas.microsoft.com/office/drawing/2014/main" id="{00000000-0008-0000-0700-0000D7000000}"/>
            </a:ext>
          </a:extLst>
        </xdr:cNvPr>
        <xdr:cNvSpPr/>
      </xdr:nvSpPr>
      <xdr:spPr>
        <a:xfrm>
          <a:off x="2647950" y="43091100"/>
          <a:ext cx="1762125" cy="209183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EPM/MPP</a:t>
          </a:r>
          <a:endParaRPr kumimoji="1" lang="ja-JP" altLang="en-US" sz="900">
            <a:solidFill>
              <a:sysClr val="windowText" lastClr="000000"/>
            </a:solidFill>
            <a:latin typeface="+mn-ea"/>
            <a:ea typeface="+mn-ea"/>
          </a:endParaRPr>
        </a:p>
      </xdr:txBody>
    </xdr:sp>
    <xdr:clientData/>
  </xdr:twoCellAnchor>
  <xdr:twoCellAnchor>
    <xdr:from>
      <xdr:col>23</xdr:col>
      <xdr:colOff>22109</xdr:colOff>
      <xdr:row>292</xdr:row>
      <xdr:rowOff>74451</xdr:rowOff>
    </xdr:from>
    <xdr:to>
      <xdr:col>33</xdr:col>
      <xdr:colOff>68932</xdr:colOff>
      <xdr:row>294</xdr:row>
      <xdr:rowOff>126720</xdr:rowOff>
    </xdr:to>
    <xdr:sp macro="" textlink="">
      <xdr:nvSpPr>
        <xdr:cNvPr id="216" name="正方形/長方形 215">
          <a:extLst>
            <a:ext uri="{FF2B5EF4-FFF2-40B4-BE49-F238E27FC236}">
              <a16:creationId xmlns:a16="http://schemas.microsoft.com/office/drawing/2014/main" id="{00000000-0008-0000-0700-0000D8000000}"/>
            </a:ext>
          </a:extLst>
        </xdr:cNvPr>
        <xdr:cNvSpPr/>
      </xdr:nvSpPr>
      <xdr:spPr>
        <a:xfrm>
          <a:off x="2870084" y="44756226"/>
          <a:ext cx="1285073"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Avaya Linux</a:t>
          </a:r>
          <a:endParaRPr kumimoji="1" lang="ja-JP" altLang="en-US" sz="900">
            <a:solidFill>
              <a:sysClr val="windowText" lastClr="000000"/>
            </a:solidFill>
            <a:latin typeface="+mn-ea"/>
            <a:ea typeface="+mn-ea"/>
          </a:endParaRPr>
        </a:p>
      </xdr:txBody>
    </xdr:sp>
    <xdr:clientData/>
  </xdr:twoCellAnchor>
  <xdr:twoCellAnchor>
    <xdr:from>
      <xdr:col>23</xdr:col>
      <xdr:colOff>24019</xdr:colOff>
      <xdr:row>286</xdr:row>
      <xdr:rowOff>35680</xdr:rowOff>
    </xdr:from>
    <xdr:to>
      <xdr:col>33</xdr:col>
      <xdr:colOff>71401</xdr:colOff>
      <xdr:row>288</xdr:row>
      <xdr:rowOff>87949</xdr:rowOff>
    </xdr:to>
    <xdr:sp macro="" textlink="">
      <xdr:nvSpPr>
        <xdr:cNvPr id="217" name="正方形/長方形 216">
          <a:extLst>
            <a:ext uri="{FF2B5EF4-FFF2-40B4-BE49-F238E27FC236}">
              <a16:creationId xmlns:a16="http://schemas.microsoft.com/office/drawing/2014/main" id="{00000000-0008-0000-0700-0000D9000000}"/>
            </a:ext>
          </a:extLst>
        </xdr:cNvPr>
        <xdr:cNvSpPr/>
      </xdr:nvSpPr>
      <xdr:spPr>
        <a:xfrm>
          <a:off x="2871994" y="43803055"/>
          <a:ext cx="1285632"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23</xdr:col>
      <xdr:colOff>28573</xdr:colOff>
      <xdr:row>283</xdr:row>
      <xdr:rowOff>62121</xdr:rowOff>
    </xdr:from>
    <xdr:to>
      <xdr:col>33</xdr:col>
      <xdr:colOff>75542</xdr:colOff>
      <xdr:row>285</xdr:row>
      <xdr:rowOff>114390</xdr:rowOff>
    </xdr:to>
    <xdr:sp macro="" textlink="">
      <xdr:nvSpPr>
        <xdr:cNvPr id="218" name="正方形/長方形 217">
          <a:extLst>
            <a:ext uri="{FF2B5EF4-FFF2-40B4-BE49-F238E27FC236}">
              <a16:creationId xmlns:a16="http://schemas.microsoft.com/office/drawing/2014/main" id="{00000000-0008-0000-0700-0000DA000000}"/>
            </a:ext>
          </a:extLst>
        </xdr:cNvPr>
        <xdr:cNvSpPr/>
      </xdr:nvSpPr>
      <xdr:spPr>
        <a:xfrm>
          <a:off x="2876548" y="43372296"/>
          <a:ext cx="1285219"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39</xdr:col>
      <xdr:colOff>38764</xdr:colOff>
      <xdr:row>303</xdr:row>
      <xdr:rowOff>109736</xdr:rowOff>
    </xdr:from>
    <xdr:to>
      <xdr:col>46</xdr:col>
      <xdr:colOff>110637</xdr:colOff>
      <xdr:row>306</xdr:row>
      <xdr:rowOff>54052</xdr:rowOff>
    </xdr:to>
    <xdr:sp macro="" textlink="">
      <xdr:nvSpPr>
        <xdr:cNvPr id="276" name="角丸四角形 275">
          <a:extLst>
            <a:ext uri="{FF2B5EF4-FFF2-40B4-BE49-F238E27FC236}">
              <a16:creationId xmlns:a16="http://schemas.microsoft.com/office/drawing/2014/main" id="{00000000-0008-0000-0700-000014010000}"/>
            </a:ext>
          </a:extLst>
        </xdr:cNvPr>
        <xdr:cNvSpPr/>
      </xdr:nvSpPr>
      <xdr:spPr>
        <a:xfrm>
          <a:off x="4867939" y="46467911"/>
          <a:ext cx="938648" cy="401516"/>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32</xdr:col>
      <xdr:colOff>9525</xdr:colOff>
      <xdr:row>303</xdr:row>
      <xdr:rowOff>109734</xdr:rowOff>
    </xdr:from>
    <xdr:to>
      <xdr:col>38</xdr:col>
      <xdr:colOff>120160</xdr:colOff>
      <xdr:row>306</xdr:row>
      <xdr:rowOff>54051</xdr:rowOff>
    </xdr:to>
    <xdr:sp macro="" textlink="">
      <xdr:nvSpPr>
        <xdr:cNvPr id="279" name="角丸四角形 278">
          <a:extLst>
            <a:ext uri="{FF2B5EF4-FFF2-40B4-BE49-F238E27FC236}">
              <a16:creationId xmlns:a16="http://schemas.microsoft.com/office/drawing/2014/main" id="{00000000-0008-0000-0700-000017010000}"/>
            </a:ext>
          </a:extLst>
        </xdr:cNvPr>
        <xdr:cNvSpPr/>
      </xdr:nvSpPr>
      <xdr:spPr>
        <a:xfrm>
          <a:off x="3971925" y="46467909"/>
          <a:ext cx="853585" cy="401517"/>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68</xdr:col>
      <xdr:colOff>57814</xdr:colOff>
      <xdr:row>303</xdr:row>
      <xdr:rowOff>109736</xdr:rowOff>
    </xdr:from>
    <xdr:to>
      <xdr:col>76</xdr:col>
      <xdr:colOff>5862</xdr:colOff>
      <xdr:row>306</xdr:row>
      <xdr:rowOff>54052</xdr:rowOff>
    </xdr:to>
    <xdr:sp macro="" textlink="">
      <xdr:nvSpPr>
        <xdr:cNvPr id="281" name="角丸四角形 280">
          <a:extLst>
            <a:ext uri="{FF2B5EF4-FFF2-40B4-BE49-F238E27FC236}">
              <a16:creationId xmlns:a16="http://schemas.microsoft.com/office/drawing/2014/main" id="{00000000-0008-0000-0700-000019010000}"/>
            </a:ext>
          </a:extLst>
        </xdr:cNvPr>
        <xdr:cNvSpPr/>
      </xdr:nvSpPr>
      <xdr:spPr>
        <a:xfrm>
          <a:off x="8477914" y="46467911"/>
          <a:ext cx="938648" cy="401516"/>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61</xdr:col>
      <xdr:colOff>28575</xdr:colOff>
      <xdr:row>303</xdr:row>
      <xdr:rowOff>109734</xdr:rowOff>
    </xdr:from>
    <xdr:to>
      <xdr:col>68</xdr:col>
      <xdr:colOff>15385</xdr:colOff>
      <xdr:row>306</xdr:row>
      <xdr:rowOff>54051</xdr:rowOff>
    </xdr:to>
    <xdr:sp macro="" textlink="">
      <xdr:nvSpPr>
        <xdr:cNvPr id="282" name="角丸四角形 281">
          <a:extLst>
            <a:ext uri="{FF2B5EF4-FFF2-40B4-BE49-F238E27FC236}">
              <a16:creationId xmlns:a16="http://schemas.microsoft.com/office/drawing/2014/main" id="{00000000-0008-0000-0700-00001A010000}"/>
            </a:ext>
          </a:extLst>
        </xdr:cNvPr>
        <xdr:cNvSpPr/>
      </xdr:nvSpPr>
      <xdr:spPr>
        <a:xfrm>
          <a:off x="7581900" y="46467909"/>
          <a:ext cx="853585" cy="401517"/>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6</xdr:col>
      <xdr:colOff>29309</xdr:colOff>
      <xdr:row>289</xdr:row>
      <xdr:rowOff>95251</xdr:rowOff>
    </xdr:from>
    <xdr:to>
      <xdr:col>16</xdr:col>
      <xdr:colOff>76132</xdr:colOff>
      <xdr:row>292</xdr:row>
      <xdr:rowOff>19051</xdr:rowOff>
    </xdr:to>
    <xdr:sp macro="" textlink="">
      <xdr:nvSpPr>
        <xdr:cNvPr id="291" name="正方形/長方形 290">
          <a:extLst>
            <a:ext uri="{FF2B5EF4-FFF2-40B4-BE49-F238E27FC236}">
              <a16:creationId xmlns:a16="http://schemas.microsoft.com/office/drawing/2014/main" id="{00000000-0008-0000-0700-000023010000}"/>
            </a:ext>
          </a:extLst>
        </xdr:cNvPr>
        <xdr:cNvSpPr/>
      </xdr:nvSpPr>
      <xdr:spPr>
        <a:xfrm>
          <a:off x="772259" y="44319826"/>
          <a:ext cx="1285073" cy="38100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23</xdr:col>
      <xdr:colOff>20517</xdr:colOff>
      <xdr:row>289</xdr:row>
      <xdr:rowOff>93785</xdr:rowOff>
    </xdr:from>
    <xdr:to>
      <xdr:col>33</xdr:col>
      <xdr:colOff>67340</xdr:colOff>
      <xdr:row>292</xdr:row>
      <xdr:rowOff>17585</xdr:rowOff>
    </xdr:to>
    <xdr:sp macro="" textlink="">
      <xdr:nvSpPr>
        <xdr:cNvPr id="292" name="正方形/長方形 291">
          <a:extLst>
            <a:ext uri="{FF2B5EF4-FFF2-40B4-BE49-F238E27FC236}">
              <a16:creationId xmlns:a16="http://schemas.microsoft.com/office/drawing/2014/main" id="{00000000-0008-0000-0700-000024010000}"/>
            </a:ext>
          </a:extLst>
        </xdr:cNvPr>
        <xdr:cNvSpPr/>
      </xdr:nvSpPr>
      <xdr:spPr>
        <a:xfrm>
          <a:off x="2868492" y="44318360"/>
          <a:ext cx="1285073" cy="38100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6</xdr:col>
      <xdr:colOff>45874</xdr:colOff>
      <xdr:row>306</xdr:row>
      <xdr:rowOff>70404</xdr:rowOff>
    </xdr:from>
    <xdr:to>
      <xdr:col>16</xdr:col>
      <xdr:colOff>92697</xdr:colOff>
      <xdr:row>308</xdr:row>
      <xdr:rowOff>143291</xdr:rowOff>
    </xdr:to>
    <xdr:sp macro="" textlink="">
      <xdr:nvSpPr>
        <xdr:cNvPr id="293" name="正方形/長方形 292">
          <a:extLst>
            <a:ext uri="{FF2B5EF4-FFF2-40B4-BE49-F238E27FC236}">
              <a16:creationId xmlns:a16="http://schemas.microsoft.com/office/drawing/2014/main" id="{00000000-0008-0000-0700-000025010000}"/>
            </a:ext>
          </a:extLst>
        </xdr:cNvPr>
        <xdr:cNvSpPr/>
      </xdr:nvSpPr>
      <xdr:spPr>
        <a:xfrm>
          <a:off x="788824" y="46885779"/>
          <a:ext cx="1285073" cy="37768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22</xdr:col>
      <xdr:colOff>45874</xdr:colOff>
      <xdr:row>311</xdr:row>
      <xdr:rowOff>144945</xdr:rowOff>
    </xdr:from>
    <xdr:to>
      <xdr:col>46</xdr:col>
      <xdr:colOff>91109</xdr:colOff>
      <xdr:row>314</xdr:row>
      <xdr:rowOff>16563</xdr:rowOff>
    </xdr:to>
    <xdr:sp macro="" textlink="">
      <xdr:nvSpPr>
        <xdr:cNvPr id="294" name="正方形/長方形 293">
          <a:extLst>
            <a:ext uri="{FF2B5EF4-FFF2-40B4-BE49-F238E27FC236}">
              <a16:creationId xmlns:a16="http://schemas.microsoft.com/office/drawing/2014/main" id="{00000000-0008-0000-0700-000026010000}"/>
            </a:ext>
          </a:extLst>
        </xdr:cNvPr>
        <xdr:cNvSpPr/>
      </xdr:nvSpPr>
      <xdr:spPr>
        <a:xfrm>
          <a:off x="2770024" y="47722320"/>
          <a:ext cx="3017035" cy="328818"/>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51</xdr:col>
      <xdr:colOff>54156</xdr:colOff>
      <xdr:row>311</xdr:row>
      <xdr:rowOff>144945</xdr:rowOff>
    </xdr:from>
    <xdr:to>
      <xdr:col>75</xdr:col>
      <xdr:colOff>99391</xdr:colOff>
      <xdr:row>314</xdr:row>
      <xdr:rowOff>16563</xdr:rowOff>
    </xdr:to>
    <xdr:sp macro="" textlink="">
      <xdr:nvSpPr>
        <xdr:cNvPr id="295" name="正方形/長方形 294">
          <a:extLst>
            <a:ext uri="{FF2B5EF4-FFF2-40B4-BE49-F238E27FC236}">
              <a16:creationId xmlns:a16="http://schemas.microsoft.com/office/drawing/2014/main" id="{00000000-0008-0000-0700-000027010000}"/>
            </a:ext>
          </a:extLst>
        </xdr:cNvPr>
        <xdr:cNvSpPr/>
      </xdr:nvSpPr>
      <xdr:spPr>
        <a:xfrm>
          <a:off x="6369231" y="47722320"/>
          <a:ext cx="3017035" cy="328818"/>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32</xdr:col>
      <xdr:colOff>4970</xdr:colOff>
      <xdr:row>297</xdr:row>
      <xdr:rowOff>115958</xdr:rowOff>
    </xdr:from>
    <xdr:to>
      <xdr:col>47</xdr:col>
      <xdr:colOff>8887</xdr:colOff>
      <xdr:row>300</xdr:row>
      <xdr:rowOff>39497</xdr:rowOff>
    </xdr:to>
    <xdr:sp macro="" textlink="">
      <xdr:nvSpPr>
        <xdr:cNvPr id="355" name="角丸四角形 354">
          <a:extLst>
            <a:ext uri="{FF2B5EF4-FFF2-40B4-BE49-F238E27FC236}">
              <a16:creationId xmlns:a16="http://schemas.microsoft.com/office/drawing/2014/main" id="{00000000-0008-0000-0700-000063010000}"/>
            </a:ext>
          </a:extLst>
        </xdr:cNvPr>
        <xdr:cNvSpPr/>
      </xdr:nvSpPr>
      <xdr:spPr>
        <a:xfrm>
          <a:off x="3967370" y="45559733"/>
          <a:ext cx="1861292"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31</xdr:col>
      <xdr:colOff>124238</xdr:colOff>
      <xdr:row>300</xdr:row>
      <xdr:rowOff>94424</xdr:rowOff>
    </xdr:from>
    <xdr:to>
      <xdr:col>47</xdr:col>
      <xdr:colOff>3916</xdr:colOff>
      <xdr:row>303</xdr:row>
      <xdr:rowOff>17963</xdr:rowOff>
    </xdr:to>
    <xdr:sp macro="" textlink="">
      <xdr:nvSpPr>
        <xdr:cNvPr id="356" name="角丸四角形 355">
          <a:extLst>
            <a:ext uri="{FF2B5EF4-FFF2-40B4-BE49-F238E27FC236}">
              <a16:creationId xmlns:a16="http://schemas.microsoft.com/office/drawing/2014/main" id="{00000000-0008-0000-0700-000064010000}"/>
            </a:ext>
          </a:extLst>
        </xdr:cNvPr>
        <xdr:cNvSpPr/>
      </xdr:nvSpPr>
      <xdr:spPr>
        <a:xfrm>
          <a:off x="3962813" y="45995399"/>
          <a:ext cx="1860878"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61</xdr:col>
      <xdr:colOff>29816</xdr:colOff>
      <xdr:row>297</xdr:row>
      <xdr:rowOff>107676</xdr:rowOff>
    </xdr:from>
    <xdr:to>
      <xdr:col>76</xdr:col>
      <xdr:colOff>33733</xdr:colOff>
      <xdr:row>300</xdr:row>
      <xdr:rowOff>31215</xdr:rowOff>
    </xdr:to>
    <xdr:sp macro="" textlink="">
      <xdr:nvSpPr>
        <xdr:cNvPr id="357" name="角丸四角形 356">
          <a:extLst>
            <a:ext uri="{FF2B5EF4-FFF2-40B4-BE49-F238E27FC236}">
              <a16:creationId xmlns:a16="http://schemas.microsoft.com/office/drawing/2014/main" id="{00000000-0008-0000-0700-000065010000}"/>
            </a:ext>
          </a:extLst>
        </xdr:cNvPr>
        <xdr:cNvSpPr/>
      </xdr:nvSpPr>
      <xdr:spPr>
        <a:xfrm>
          <a:off x="7583141" y="45551451"/>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61</xdr:col>
      <xdr:colOff>24845</xdr:colOff>
      <xdr:row>300</xdr:row>
      <xdr:rowOff>86142</xdr:rowOff>
    </xdr:from>
    <xdr:to>
      <xdr:col>76</xdr:col>
      <xdr:colOff>28762</xdr:colOff>
      <xdr:row>303</xdr:row>
      <xdr:rowOff>9681</xdr:rowOff>
    </xdr:to>
    <xdr:sp macro="" textlink="">
      <xdr:nvSpPr>
        <xdr:cNvPr id="358" name="角丸四角形 357">
          <a:extLst>
            <a:ext uri="{FF2B5EF4-FFF2-40B4-BE49-F238E27FC236}">
              <a16:creationId xmlns:a16="http://schemas.microsoft.com/office/drawing/2014/main" id="{00000000-0008-0000-0700-000066010000}"/>
            </a:ext>
          </a:extLst>
        </xdr:cNvPr>
        <xdr:cNvSpPr/>
      </xdr:nvSpPr>
      <xdr:spPr>
        <a:xfrm>
          <a:off x="7578170" y="45987117"/>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7</xdr:col>
      <xdr:colOff>94740</xdr:colOff>
      <xdr:row>253</xdr:row>
      <xdr:rowOff>43962</xdr:rowOff>
    </xdr:from>
    <xdr:to>
      <xdr:col>59</xdr:col>
      <xdr:colOff>47625</xdr:colOff>
      <xdr:row>268</xdr:row>
      <xdr:rowOff>65941</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961515" y="38782137"/>
          <a:ext cx="6391785" cy="230797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大和センター</a:t>
          </a:r>
        </a:p>
      </xdr:txBody>
    </xdr:sp>
    <xdr:clientData/>
  </xdr:twoCellAnchor>
  <xdr:twoCellAnchor>
    <xdr:from>
      <xdr:col>9</xdr:col>
      <xdr:colOff>41416</xdr:colOff>
      <xdr:row>209</xdr:row>
      <xdr:rowOff>132521</xdr:rowOff>
    </xdr:from>
    <xdr:to>
      <xdr:col>38</xdr:col>
      <xdr:colOff>7455</xdr:colOff>
      <xdr:row>234</xdr:row>
      <xdr:rowOff>123824</xdr:rowOff>
    </xdr:to>
    <xdr:sp macro="" textlink="">
      <xdr:nvSpPr>
        <xdr:cNvPr id="174" name="正方形/長方形 173">
          <a:extLst>
            <a:ext uri="{FF2B5EF4-FFF2-40B4-BE49-F238E27FC236}">
              <a16:creationId xmlns:a16="http://schemas.microsoft.com/office/drawing/2014/main" id="{00000000-0008-0000-0700-0000AE000000}"/>
            </a:ext>
          </a:extLst>
        </xdr:cNvPr>
        <xdr:cNvSpPr/>
      </xdr:nvSpPr>
      <xdr:spPr>
        <a:xfrm>
          <a:off x="1155841" y="32317496"/>
          <a:ext cx="3556964" cy="380130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21</xdr:col>
      <xdr:colOff>33121</xdr:colOff>
      <xdr:row>221</xdr:row>
      <xdr:rowOff>118027</xdr:rowOff>
    </xdr:from>
    <xdr:to>
      <xdr:col>36</xdr:col>
      <xdr:colOff>52290</xdr:colOff>
      <xdr:row>224</xdr:row>
      <xdr:rowOff>26089</xdr:rowOff>
    </xdr:to>
    <xdr:sp macro="" textlink="">
      <xdr:nvSpPr>
        <xdr:cNvPr id="175" name="正方形/長方形 174">
          <a:extLst>
            <a:ext uri="{FF2B5EF4-FFF2-40B4-BE49-F238E27FC236}">
              <a16:creationId xmlns:a16="http://schemas.microsoft.com/office/drawing/2014/main" id="{00000000-0008-0000-0700-0000AF000000}"/>
            </a:ext>
          </a:extLst>
        </xdr:cNvPr>
        <xdr:cNvSpPr/>
      </xdr:nvSpPr>
      <xdr:spPr>
        <a:xfrm>
          <a:off x="2633446" y="34131802"/>
          <a:ext cx="1876544"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21</xdr:col>
      <xdr:colOff>33121</xdr:colOff>
      <xdr:row>225</xdr:row>
      <xdr:rowOff>26090</xdr:rowOff>
    </xdr:from>
    <xdr:to>
      <xdr:col>36</xdr:col>
      <xdr:colOff>52290</xdr:colOff>
      <xdr:row>227</xdr:row>
      <xdr:rowOff>97511</xdr:rowOff>
    </xdr:to>
    <xdr:sp macro="" textlink="">
      <xdr:nvSpPr>
        <xdr:cNvPr id="176" name="正方形/長方形 175">
          <a:extLst>
            <a:ext uri="{FF2B5EF4-FFF2-40B4-BE49-F238E27FC236}">
              <a16:creationId xmlns:a16="http://schemas.microsoft.com/office/drawing/2014/main" id="{00000000-0008-0000-0700-0000B0000000}"/>
            </a:ext>
          </a:extLst>
        </xdr:cNvPr>
        <xdr:cNvSpPr/>
      </xdr:nvSpPr>
      <xdr:spPr>
        <a:xfrm>
          <a:off x="2633446" y="34649465"/>
          <a:ext cx="1876544" cy="37622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11</xdr:col>
      <xdr:colOff>77731</xdr:colOff>
      <xdr:row>231</xdr:row>
      <xdr:rowOff>107037</xdr:rowOff>
    </xdr:from>
    <xdr:to>
      <xdr:col>36</xdr:col>
      <xdr:colOff>65018</xdr:colOff>
      <xdr:row>234</xdr:row>
      <xdr:rowOff>32302</xdr:rowOff>
    </xdr:to>
    <xdr:sp macro="" textlink="">
      <xdr:nvSpPr>
        <xdr:cNvPr id="177" name="正方形/長方形 176">
          <a:extLst>
            <a:ext uri="{FF2B5EF4-FFF2-40B4-BE49-F238E27FC236}">
              <a16:creationId xmlns:a16="http://schemas.microsoft.com/office/drawing/2014/main" id="{00000000-0008-0000-0700-0000B1000000}"/>
            </a:ext>
          </a:extLst>
        </xdr:cNvPr>
        <xdr:cNvSpPr/>
      </xdr:nvSpPr>
      <xdr:spPr>
        <a:xfrm>
          <a:off x="1439806" y="35644812"/>
          <a:ext cx="3082912" cy="38246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11</xdr:col>
      <xdr:colOff>70405</xdr:colOff>
      <xdr:row>221</xdr:row>
      <xdr:rowOff>118027</xdr:rowOff>
    </xdr:from>
    <xdr:to>
      <xdr:col>19</xdr:col>
      <xdr:colOff>111435</xdr:colOff>
      <xdr:row>224</xdr:row>
      <xdr:rowOff>26089</xdr:rowOff>
    </xdr:to>
    <xdr:sp macro="" textlink="">
      <xdr:nvSpPr>
        <xdr:cNvPr id="178" name="正方形/長方形 177">
          <a:extLst>
            <a:ext uri="{FF2B5EF4-FFF2-40B4-BE49-F238E27FC236}">
              <a16:creationId xmlns:a16="http://schemas.microsoft.com/office/drawing/2014/main" id="{00000000-0008-0000-0700-0000B2000000}"/>
            </a:ext>
          </a:extLst>
        </xdr:cNvPr>
        <xdr:cNvSpPr/>
      </xdr:nvSpPr>
      <xdr:spPr>
        <a:xfrm>
          <a:off x="1432480" y="34131802"/>
          <a:ext cx="1031630"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11</xdr:col>
      <xdr:colOff>70405</xdr:colOff>
      <xdr:row>225</xdr:row>
      <xdr:rowOff>45140</xdr:rowOff>
    </xdr:from>
    <xdr:to>
      <xdr:col>19</xdr:col>
      <xdr:colOff>111435</xdr:colOff>
      <xdr:row>227</xdr:row>
      <xdr:rowOff>97511</xdr:rowOff>
    </xdr:to>
    <xdr:sp macro="" textlink="">
      <xdr:nvSpPr>
        <xdr:cNvPr id="179" name="正方形/長方形 178">
          <a:extLst>
            <a:ext uri="{FF2B5EF4-FFF2-40B4-BE49-F238E27FC236}">
              <a16:creationId xmlns:a16="http://schemas.microsoft.com/office/drawing/2014/main" id="{00000000-0008-0000-0700-0000B3000000}"/>
            </a:ext>
          </a:extLst>
        </xdr:cNvPr>
        <xdr:cNvSpPr/>
      </xdr:nvSpPr>
      <xdr:spPr>
        <a:xfrm>
          <a:off x="1432480" y="34668515"/>
          <a:ext cx="1031630" cy="35717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11</xdr:col>
      <xdr:colOff>52565</xdr:colOff>
      <xdr:row>214</xdr:row>
      <xdr:rowOff>109745</xdr:rowOff>
    </xdr:from>
    <xdr:to>
      <xdr:col>19</xdr:col>
      <xdr:colOff>118189</xdr:colOff>
      <xdr:row>217</xdr:row>
      <xdr:rowOff>32080</xdr:rowOff>
    </xdr:to>
    <xdr:sp macro="" textlink="">
      <xdr:nvSpPr>
        <xdr:cNvPr id="180" name="正方形/長方形 179">
          <a:extLst>
            <a:ext uri="{FF2B5EF4-FFF2-40B4-BE49-F238E27FC236}">
              <a16:creationId xmlns:a16="http://schemas.microsoft.com/office/drawing/2014/main" id="{00000000-0008-0000-0700-0000B4000000}"/>
            </a:ext>
          </a:extLst>
        </xdr:cNvPr>
        <xdr:cNvSpPr/>
      </xdr:nvSpPr>
      <xdr:spPr>
        <a:xfrm>
          <a:off x="1414640" y="33056720"/>
          <a:ext cx="1056224"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11</xdr:col>
      <xdr:colOff>42462</xdr:colOff>
      <xdr:row>211</xdr:row>
      <xdr:rowOff>128795</xdr:rowOff>
    </xdr:from>
    <xdr:to>
      <xdr:col>19</xdr:col>
      <xdr:colOff>108393</xdr:colOff>
      <xdr:row>214</xdr:row>
      <xdr:rowOff>51130</xdr:rowOff>
    </xdr:to>
    <xdr:sp macro="" textlink="">
      <xdr:nvSpPr>
        <xdr:cNvPr id="181" name="正方形/長方形 180">
          <a:extLst>
            <a:ext uri="{FF2B5EF4-FFF2-40B4-BE49-F238E27FC236}">
              <a16:creationId xmlns:a16="http://schemas.microsoft.com/office/drawing/2014/main" id="{00000000-0008-0000-0700-0000B5000000}"/>
            </a:ext>
          </a:extLst>
        </xdr:cNvPr>
        <xdr:cNvSpPr/>
      </xdr:nvSpPr>
      <xdr:spPr>
        <a:xfrm>
          <a:off x="1404537" y="32618570"/>
          <a:ext cx="1056531"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39</xdr:col>
      <xdr:colOff>91112</xdr:colOff>
      <xdr:row>209</xdr:row>
      <xdr:rowOff>132522</xdr:rowOff>
    </xdr:from>
    <xdr:to>
      <xdr:col>68</xdr:col>
      <xdr:colOff>57151</xdr:colOff>
      <xdr:row>234</xdr:row>
      <xdr:rowOff>123825</xdr:rowOff>
    </xdr:to>
    <xdr:sp macro="" textlink="">
      <xdr:nvSpPr>
        <xdr:cNvPr id="268" name="正方形/長方形 267">
          <a:extLst>
            <a:ext uri="{FF2B5EF4-FFF2-40B4-BE49-F238E27FC236}">
              <a16:creationId xmlns:a16="http://schemas.microsoft.com/office/drawing/2014/main" id="{00000000-0008-0000-0700-00000C010000}"/>
            </a:ext>
          </a:extLst>
        </xdr:cNvPr>
        <xdr:cNvSpPr/>
      </xdr:nvSpPr>
      <xdr:spPr>
        <a:xfrm>
          <a:off x="4920287" y="32317497"/>
          <a:ext cx="3556964" cy="380130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51</xdr:col>
      <xdr:colOff>82816</xdr:colOff>
      <xdr:row>221</xdr:row>
      <xdr:rowOff>118028</xdr:rowOff>
    </xdr:from>
    <xdr:to>
      <xdr:col>66</xdr:col>
      <xdr:colOff>101441</xdr:colOff>
      <xdr:row>224</xdr:row>
      <xdr:rowOff>26090</xdr:rowOff>
    </xdr:to>
    <xdr:sp macro="" textlink="">
      <xdr:nvSpPr>
        <xdr:cNvPr id="269" name="正方形/長方形 268">
          <a:extLst>
            <a:ext uri="{FF2B5EF4-FFF2-40B4-BE49-F238E27FC236}">
              <a16:creationId xmlns:a16="http://schemas.microsoft.com/office/drawing/2014/main" id="{00000000-0008-0000-0700-00000D010000}"/>
            </a:ext>
          </a:extLst>
        </xdr:cNvPr>
        <xdr:cNvSpPr/>
      </xdr:nvSpPr>
      <xdr:spPr>
        <a:xfrm>
          <a:off x="6397891" y="34131803"/>
          <a:ext cx="1876000"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51</xdr:col>
      <xdr:colOff>82816</xdr:colOff>
      <xdr:row>225</xdr:row>
      <xdr:rowOff>26091</xdr:rowOff>
    </xdr:from>
    <xdr:to>
      <xdr:col>66</xdr:col>
      <xdr:colOff>101441</xdr:colOff>
      <xdr:row>227</xdr:row>
      <xdr:rowOff>97512</xdr:rowOff>
    </xdr:to>
    <xdr:sp macro="" textlink="">
      <xdr:nvSpPr>
        <xdr:cNvPr id="270" name="正方形/長方形 269">
          <a:extLst>
            <a:ext uri="{FF2B5EF4-FFF2-40B4-BE49-F238E27FC236}">
              <a16:creationId xmlns:a16="http://schemas.microsoft.com/office/drawing/2014/main" id="{00000000-0008-0000-0700-00000E010000}"/>
            </a:ext>
          </a:extLst>
        </xdr:cNvPr>
        <xdr:cNvSpPr/>
      </xdr:nvSpPr>
      <xdr:spPr>
        <a:xfrm>
          <a:off x="6397891" y="34649466"/>
          <a:ext cx="1876000" cy="37622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42</xdr:col>
      <xdr:colOff>3188</xdr:colOff>
      <xdr:row>231</xdr:row>
      <xdr:rowOff>107038</xdr:rowOff>
    </xdr:from>
    <xdr:to>
      <xdr:col>66</xdr:col>
      <xdr:colOff>114300</xdr:colOff>
      <xdr:row>234</xdr:row>
      <xdr:rowOff>32303</xdr:rowOff>
    </xdr:to>
    <xdr:sp macro="" textlink="">
      <xdr:nvSpPr>
        <xdr:cNvPr id="271" name="正方形/長方形 270">
          <a:extLst>
            <a:ext uri="{FF2B5EF4-FFF2-40B4-BE49-F238E27FC236}">
              <a16:creationId xmlns:a16="http://schemas.microsoft.com/office/drawing/2014/main" id="{00000000-0008-0000-0700-00000F010000}"/>
            </a:ext>
          </a:extLst>
        </xdr:cNvPr>
        <xdr:cNvSpPr/>
      </xdr:nvSpPr>
      <xdr:spPr>
        <a:xfrm>
          <a:off x="5203838" y="35644813"/>
          <a:ext cx="3082912" cy="38246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41</xdr:col>
      <xdr:colOff>120101</xdr:colOff>
      <xdr:row>221</xdr:row>
      <xdr:rowOff>118028</xdr:rowOff>
    </xdr:from>
    <xdr:to>
      <xdr:col>50</xdr:col>
      <xdr:colOff>36891</xdr:colOff>
      <xdr:row>224</xdr:row>
      <xdr:rowOff>26090</xdr:rowOff>
    </xdr:to>
    <xdr:sp macro="" textlink="">
      <xdr:nvSpPr>
        <xdr:cNvPr id="272" name="正方形/長方形 271">
          <a:extLst>
            <a:ext uri="{FF2B5EF4-FFF2-40B4-BE49-F238E27FC236}">
              <a16:creationId xmlns:a16="http://schemas.microsoft.com/office/drawing/2014/main" id="{00000000-0008-0000-0700-000010010000}"/>
            </a:ext>
          </a:extLst>
        </xdr:cNvPr>
        <xdr:cNvSpPr/>
      </xdr:nvSpPr>
      <xdr:spPr>
        <a:xfrm>
          <a:off x="5196926" y="34131803"/>
          <a:ext cx="1031215"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41</xdr:col>
      <xdr:colOff>102261</xdr:colOff>
      <xdr:row>214</xdr:row>
      <xdr:rowOff>109746</xdr:rowOff>
    </xdr:from>
    <xdr:to>
      <xdr:col>50</xdr:col>
      <xdr:colOff>43645</xdr:colOff>
      <xdr:row>217</xdr:row>
      <xdr:rowOff>32081</xdr:rowOff>
    </xdr:to>
    <xdr:sp macro="" textlink="">
      <xdr:nvSpPr>
        <xdr:cNvPr id="273" name="正方形/長方形 272">
          <a:extLst>
            <a:ext uri="{FF2B5EF4-FFF2-40B4-BE49-F238E27FC236}">
              <a16:creationId xmlns:a16="http://schemas.microsoft.com/office/drawing/2014/main" id="{00000000-0008-0000-0700-000011010000}"/>
            </a:ext>
          </a:extLst>
        </xdr:cNvPr>
        <xdr:cNvSpPr/>
      </xdr:nvSpPr>
      <xdr:spPr>
        <a:xfrm>
          <a:off x="5179086" y="33056721"/>
          <a:ext cx="1055809"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41</xdr:col>
      <xdr:colOff>92158</xdr:colOff>
      <xdr:row>211</xdr:row>
      <xdr:rowOff>128796</xdr:rowOff>
    </xdr:from>
    <xdr:to>
      <xdr:col>50</xdr:col>
      <xdr:colOff>33849</xdr:colOff>
      <xdr:row>214</xdr:row>
      <xdr:rowOff>51131</xdr:rowOff>
    </xdr:to>
    <xdr:sp macro="" textlink="">
      <xdr:nvSpPr>
        <xdr:cNvPr id="274" name="正方形/長方形 273">
          <a:extLst>
            <a:ext uri="{FF2B5EF4-FFF2-40B4-BE49-F238E27FC236}">
              <a16:creationId xmlns:a16="http://schemas.microsoft.com/office/drawing/2014/main" id="{00000000-0008-0000-0700-000012010000}"/>
            </a:ext>
          </a:extLst>
        </xdr:cNvPr>
        <xdr:cNvSpPr/>
      </xdr:nvSpPr>
      <xdr:spPr>
        <a:xfrm>
          <a:off x="5168983" y="32618571"/>
          <a:ext cx="1056116"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38100</xdr:colOff>
      <xdr:row>218</xdr:row>
      <xdr:rowOff>47623</xdr:rowOff>
    </xdr:from>
    <xdr:to>
      <xdr:col>28</xdr:col>
      <xdr:colOff>24910</xdr:colOff>
      <xdr:row>220</xdr:row>
      <xdr:rowOff>144340</xdr:rowOff>
    </xdr:to>
    <xdr:sp macro="" textlink="">
      <xdr:nvSpPr>
        <xdr:cNvPr id="275" name="角丸四角形 274">
          <a:extLst>
            <a:ext uri="{FF2B5EF4-FFF2-40B4-BE49-F238E27FC236}">
              <a16:creationId xmlns:a16="http://schemas.microsoft.com/office/drawing/2014/main" id="{00000000-0008-0000-0700-000013010000}"/>
            </a:ext>
          </a:extLst>
        </xdr:cNvPr>
        <xdr:cNvSpPr/>
      </xdr:nvSpPr>
      <xdr:spPr>
        <a:xfrm>
          <a:off x="2638425" y="33604198"/>
          <a:ext cx="853585" cy="401517"/>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51</xdr:col>
      <xdr:colOff>95250</xdr:colOff>
      <xdr:row>218</xdr:row>
      <xdr:rowOff>47623</xdr:rowOff>
    </xdr:from>
    <xdr:to>
      <xdr:col>58</xdr:col>
      <xdr:colOff>82060</xdr:colOff>
      <xdr:row>220</xdr:row>
      <xdr:rowOff>144340</xdr:rowOff>
    </xdr:to>
    <xdr:sp macro="" textlink="">
      <xdr:nvSpPr>
        <xdr:cNvPr id="277" name="角丸四角形 276">
          <a:extLst>
            <a:ext uri="{FF2B5EF4-FFF2-40B4-BE49-F238E27FC236}">
              <a16:creationId xmlns:a16="http://schemas.microsoft.com/office/drawing/2014/main" id="{00000000-0008-0000-0700-000015010000}"/>
            </a:ext>
          </a:extLst>
        </xdr:cNvPr>
        <xdr:cNvSpPr/>
      </xdr:nvSpPr>
      <xdr:spPr>
        <a:xfrm>
          <a:off x="6410325" y="33604198"/>
          <a:ext cx="853585" cy="401517"/>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59</xdr:col>
      <xdr:colOff>19714</xdr:colOff>
      <xdr:row>218</xdr:row>
      <xdr:rowOff>38100</xdr:rowOff>
    </xdr:from>
    <xdr:to>
      <xdr:col>66</xdr:col>
      <xdr:colOff>91587</xdr:colOff>
      <xdr:row>220</xdr:row>
      <xdr:rowOff>134816</xdr:rowOff>
    </xdr:to>
    <xdr:sp macro="" textlink="">
      <xdr:nvSpPr>
        <xdr:cNvPr id="278" name="角丸四角形 277">
          <a:extLst>
            <a:ext uri="{FF2B5EF4-FFF2-40B4-BE49-F238E27FC236}">
              <a16:creationId xmlns:a16="http://schemas.microsoft.com/office/drawing/2014/main" id="{00000000-0008-0000-0700-000016010000}"/>
            </a:ext>
          </a:extLst>
        </xdr:cNvPr>
        <xdr:cNvSpPr/>
      </xdr:nvSpPr>
      <xdr:spPr>
        <a:xfrm>
          <a:off x="7325389" y="33594675"/>
          <a:ext cx="938648" cy="401516"/>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28</xdr:col>
      <xdr:colOff>76864</xdr:colOff>
      <xdr:row>218</xdr:row>
      <xdr:rowOff>47625</xdr:rowOff>
    </xdr:from>
    <xdr:to>
      <xdr:col>36</xdr:col>
      <xdr:colOff>24912</xdr:colOff>
      <xdr:row>220</xdr:row>
      <xdr:rowOff>144341</xdr:rowOff>
    </xdr:to>
    <xdr:sp macro="" textlink="">
      <xdr:nvSpPr>
        <xdr:cNvPr id="280" name="角丸四角形 279">
          <a:extLst>
            <a:ext uri="{FF2B5EF4-FFF2-40B4-BE49-F238E27FC236}">
              <a16:creationId xmlns:a16="http://schemas.microsoft.com/office/drawing/2014/main" id="{00000000-0008-0000-0700-000018010000}"/>
            </a:ext>
          </a:extLst>
        </xdr:cNvPr>
        <xdr:cNvSpPr/>
      </xdr:nvSpPr>
      <xdr:spPr>
        <a:xfrm>
          <a:off x="3543964" y="33604200"/>
          <a:ext cx="938648" cy="401516"/>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11</xdr:col>
      <xdr:colOff>76200</xdr:colOff>
      <xdr:row>228</xdr:row>
      <xdr:rowOff>76200</xdr:rowOff>
    </xdr:from>
    <xdr:to>
      <xdr:col>36</xdr:col>
      <xdr:colOff>62175</xdr:colOff>
      <xdr:row>231</xdr:row>
      <xdr:rowOff>0</xdr:rowOff>
    </xdr:to>
    <xdr:sp macro="" textlink="">
      <xdr:nvSpPr>
        <xdr:cNvPr id="289" name="正方形/長方形 288">
          <a:extLst>
            <a:ext uri="{FF2B5EF4-FFF2-40B4-BE49-F238E27FC236}">
              <a16:creationId xmlns:a16="http://schemas.microsoft.com/office/drawing/2014/main" id="{00000000-0008-0000-0700-000021010000}"/>
            </a:ext>
          </a:extLst>
        </xdr:cNvPr>
        <xdr:cNvSpPr/>
      </xdr:nvSpPr>
      <xdr:spPr>
        <a:xfrm>
          <a:off x="1438275" y="35156775"/>
          <a:ext cx="3081600" cy="38100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42</xdr:col>
      <xdr:colOff>0</xdr:colOff>
      <xdr:row>228</xdr:row>
      <xdr:rowOff>76200</xdr:rowOff>
    </xdr:from>
    <xdr:to>
      <xdr:col>66</xdr:col>
      <xdr:colOff>109800</xdr:colOff>
      <xdr:row>231</xdr:row>
      <xdr:rowOff>0</xdr:rowOff>
    </xdr:to>
    <xdr:sp macro="" textlink="">
      <xdr:nvSpPr>
        <xdr:cNvPr id="290" name="正方形/長方形 289">
          <a:extLst>
            <a:ext uri="{FF2B5EF4-FFF2-40B4-BE49-F238E27FC236}">
              <a16:creationId xmlns:a16="http://schemas.microsoft.com/office/drawing/2014/main" id="{00000000-0008-0000-0700-000022010000}"/>
            </a:ext>
          </a:extLst>
        </xdr:cNvPr>
        <xdr:cNvSpPr/>
      </xdr:nvSpPr>
      <xdr:spPr>
        <a:xfrm>
          <a:off x="5200650" y="35156775"/>
          <a:ext cx="3081600" cy="38100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51</xdr:col>
      <xdr:colOff>103757</xdr:colOff>
      <xdr:row>211</xdr:row>
      <xdr:rowOff>130037</xdr:rowOff>
    </xdr:from>
    <xdr:to>
      <xdr:col>66</xdr:col>
      <xdr:colOff>107674</xdr:colOff>
      <xdr:row>214</xdr:row>
      <xdr:rowOff>53576</xdr:rowOff>
    </xdr:to>
    <xdr:sp macro="" textlink="">
      <xdr:nvSpPr>
        <xdr:cNvPr id="339" name="角丸四角形 338">
          <a:extLst>
            <a:ext uri="{FF2B5EF4-FFF2-40B4-BE49-F238E27FC236}">
              <a16:creationId xmlns:a16="http://schemas.microsoft.com/office/drawing/2014/main" id="{00000000-0008-0000-0700-000053010000}"/>
            </a:ext>
          </a:extLst>
        </xdr:cNvPr>
        <xdr:cNvSpPr/>
      </xdr:nvSpPr>
      <xdr:spPr>
        <a:xfrm>
          <a:off x="6418832" y="32619812"/>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51</xdr:col>
      <xdr:colOff>98786</xdr:colOff>
      <xdr:row>214</xdr:row>
      <xdr:rowOff>108503</xdr:rowOff>
    </xdr:from>
    <xdr:to>
      <xdr:col>66</xdr:col>
      <xdr:colOff>102703</xdr:colOff>
      <xdr:row>217</xdr:row>
      <xdr:rowOff>32042</xdr:rowOff>
    </xdr:to>
    <xdr:sp macro="" textlink="">
      <xdr:nvSpPr>
        <xdr:cNvPr id="340" name="角丸四角形 339">
          <a:extLst>
            <a:ext uri="{FF2B5EF4-FFF2-40B4-BE49-F238E27FC236}">
              <a16:creationId xmlns:a16="http://schemas.microsoft.com/office/drawing/2014/main" id="{00000000-0008-0000-0700-000054010000}"/>
            </a:ext>
          </a:extLst>
        </xdr:cNvPr>
        <xdr:cNvSpPr/>
      </xdr:nvSpPr>
      <xdr:spPr>
        <a:xfrm>
          <a:off x="6413861" y="33055478"/>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21</xdr:col>
      <xdr:colOff>39679</xdr:colOff>
      <xdr:row>211</xdr:row>
      <xdr:rowOff>124690</xdr:rowOff>
    </xdr:from>
    <xdr:to>
      <xdr:col>36</xdr:col>
      <xdr:colOff>43596</xdr:colOff>
      <xdr:row>214</xdr:row>
      <xdr:rowOff>48229</xdr:rowOff>
    </xdr:to>
    <xdr:sp macro="" textlink="">
      <xdr:nvSpPr>
        <xdr:cNvPr id="383" name="角丸四角形 382">
          <a:extLst>
            <a:ext uri="{FF2B5EF4-FFF2-40B4-BE49-F238E27FC236}">
              <a16:creationId xmlns:a16="http://schemas.microsoft.com/office/drawing/2014/main" id="{00000000-0008-0000-0700-00007F010000}"/>
            </a:ext>
          </a:extLst>
        </xdr:cNvPr>
        <xdr:cNvSpPr/>
      </xdr:nvSpPr>
      <xdr:spPr>
        <a:xfrm>
          <a:off x="2640004" y="32614465"/>
          <a:ext cx="1861292"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21</xdr:col>
      <xdr:colOff>34708</xdr:colOff>
      <xdr:row>214</xdr:row>
      <xdr:rowOff>103156</xdr:rowOff>
    </xdr:from>
    <xdr:to>
      <xdr:col>36</xdr:col>
      <xdr:colOff>38625</xdr:colOff>
      <xdr:row>217</xdr:row>
      <xdr:rowOff>26695</xdr:rowOff>
    </xdr:to>
    <xdr:sp macro="" textlink="">
      <xdr:nvSpPr>
        <xdr:cNvPr id="384" name="角丸四角形 383">
          <a:extLst>
            <a:ext uri="{FF2B5EF4-FFF2-40B4-BE49-F238E27FC236}">
              <a16:creationId xmlns:a16="http://schemas.microsoft.com/office/drawing/2014/main" id="{00000000-0008-0000-0700-000080010000}"/>
            </a:ext>
          </a:extLst>
        </xdr:cNvPr>
        <xdr:cNvSpPr/>
      </xdr:nvSpPr>
      <xdr:spPr>
        <a:xfrm>
          <a:off x="2635033" y="33050131"/>
          <a:ext cx="1861292"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62</xdr:col>
      <xdr:colOff>17324</xdr:colOff>
      <xdr:row>168</xdr:row>
      <xdr:rowOff>133353</xdr:rowOff>
    </xdr:from>
    <xdr:to>
      <xdr:col>76</xdr:col>
      <xdr:colOff>23535</xdr:colOff>
      <xdr:row>187</xdr:row>
      <xdr:rowOff>80341</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7694474" y="26069928"/>
          <a:ext cx="1739761" cy="2842588"/>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5</xdr:col>
      <xdr:colOff>14010</xdr:colOff>
      <xdr:row>162</xdr:row>
      <xdr:rowOff>146538</xdr:rowOff>
    </xdr:from>
    <xdr:to>
      <xdr:col>23</xdr:col>
      <xdr:colOff>3020</xdr:colOff>
      <xdr:row>170</xdr:row>
      <xdr:rowOff>95986</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633135" y="25168713"/>
          <a:ext cx="2217860" cy="116864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WAS</a:t>
          </a:r>
          <a:endParaRPr lang="ja-JP" altLang="en-US" sz="900">
            <a:solidFill>
              <a:schemeClr val="tx1"/>
            </a:solidFill>
            <a:latin typeface="+mn-ea"/>
            <a:ea typeface="+mn-ea"/>
          </a:endParaRPr>
        </a:p>
      </xdr:txBody>
    </xdr:sp>
    <xdr:clientData/>
  </xdr:twoCellAnchor>
  <xdr:twoCellAnchor>
    <xdr:from>
      <xdr:col>25</xdr:col>
      <xdr:colOff>115342</xdr:colOff>
      <xdr:row>162</xdr:row>
      <xdr:rowOff>139380</xdr:rowOff>
    </xdr:from>
    <xdr:to>
      <xdr:col>56</xdr:col>
      <xdr:colOff>104305</xdr:colOff>
      <xdr:row>178</xdr:row>
      <xdr:rowOff>66676</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3210967" y="25161555"/>
          <a:ext cx="3827538"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25</xdr:col>
      <xdr:colOff>115342</xdr:colOff>
      <xdr:row>180</xdr:row>
      <xdr:rowOff>6030</xdr:rowOff>
    </xdr:from>
    <xdr:to>
      <xdr:col>56</xdr:col>
      <xdr:colOff>104305</xdr:colOff>
      <xdr:row>195</xdr:row>
      <xdr:rowOff>85726</xdr:rowOff>
    </xdr:to>
    <xdr:sp macro="" textlink="">
      <xdr:nvSpPr>
        <xdr:cNvPr id="139" name="正方形/長方形 138">
          <a:extLst>
            <a:ext uri="{FF2B5EF4-FFF2-40B4-BE49-F238E27FC236}">
              <a16:creationId xmlns:a16="http://schemas.microsoft.com/office/drawing/2014/main" id="{00000000-0008-0000-0700-00008B000000}"/>
            </a:ext>
          </a:extLst>
        </xdr:cNvPr>
        <xdr:cNvSpPr/>
      </xdr:nvSpPr>
      <xdr:spPr>
        <a:xfrm>
          <a:off x="3210967" y="27771405"/>
          <a:ext cx="3827538"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oneCellAnchor>
    <xdr:from>
      <xdr:col>76</xdr:col>
      <xdr:colOff>19050</xdr:colOff>
      <xdr:row>0</xdr:row>
      <xdr:rowOff>21492</xdr:rowOff>
    </xdr:from>
    <xdr:ext cx="751232" cy="204669"/>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xdr:col>
      <xdr:colOff>111295</xdr:colOff>
      <xdr:row>79</xdr:row>
      <xdr:rowOff>43576</xdr:rowOff>
    </xdr:from>
    <xdr:to>
      <xdr:col>10</xdr:col>
      <xdr:colOff>106396</xdr:colOff>
      <xdr:row>82</xdr:row>
      <xdr:rowOff>22519</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604354" y="12302811"/>
          <a:ext cx="734689" cy="44959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EPM/MPP</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52026</xdr:colOff>
      <xdr:row>73</xdr:row>
      <xdr:rowOff>74009</xdr:rowOff>
    </xdr:from>
    <xdr:to>
      <xdr:col>69</xdr:col>
      <xdr:colOff>27026</xdr:colOff>
      <xdr:row>95</xdr:row>
      <xdr:rowOff>134649</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1531202" y="11235068"/>
          <a:ext cx="7001089" cy="351205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113326</xdr:colOff>
      <xdr:row>89</xdr:row>
      <xdr:rowOff>5369</xdr:rowOff>
    </xdr:from>
    <xdr:to>
      <xdr:col>18</xdr:col>
      <xdr:colOff>45409</xdr:colOff>
      <xdr:row>92</xdr:row>
      <xdr:rowOff>27922</xdr:rowOff>
    </xdr:to>
    <xdr:sp macro="" textlink="">
      <xdr:nvSpPr>
        <xdr:cNvPr id="7" name="フローチャート: 書類 6">
          <a:extLst>
            <a:ext uri="{FF2B5EF4-FFF2-40B4-BE49-F238E27FC236}">
              <a16:creationId xmlns:a16="http://schemas.microsoft.com/office/drawing/2014/main" id="{00000000-0008-0000-0700-000007000000}"/>
            </a:ext>
          </a:extLst>
        </xdr:cNvPr>
        <xdr:cNvSpPr/>
      </xdr:nvSpPr>
      <xdr:spPr>
        <a:xfrm>
          <a:off x="1715767" y="13676545"/>
          <a:ext cx="548407" cy="493201"/>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19</xdr:col>
      <xdr:colOff>65633</xdr:colOff>
      <xdr:row>74</xdr:row>
      <xdr:rowOff>64901</xdr:rowOff>
    </xdr:from>
    <xdr:to>
      <xdr:col>40</xdr:col>
      <xdr:colOff>67236</xdr:colOff>
      <xdr:row>94</xdr:row>
      <xdr:rowOff>148696</xdr:rowOff>
    </xdr:to>
    <xdr:sp macro="" textlink="">
      <xdr:nvSpPr>
        <xdr:cNvPr id="8" name="角丸四角形 7">
          <a:extLst>
            <a:ext uri="{FF2B5EF4-FFF2-40B4-BE49-F238E27FC236}">
              <a16:creationId xmlns:a16="http://schemas.microsoft.com/office/drawing/2014/main" id="{00000000-0008-0000-0700-000008000000}"/>
            </a:ext>
          </a:extLst>
        </xdr:cNvPr>
        <xdr:cNvSpPr/>
      </xdr:nvSpPr>
      <xdr:spPr>
        <a:xfrm>
          <a:off x="2407662" y="11539725"/>
          <a:ext cx="2590162" cy="3221442"/>
        </a:xfrm>
        <a:prstGeom prst="roundRect">
          <a:avLst>
            <a:gd name="adj" fmla="val 721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KIUTAP01</a:t>
          </a:r>
        </a:p>
      </xdr:txBody>
    </xdr:sp>
    <xdr:clientData/>
  </xdr:twoCellAnchor>
  <xdr:twoCellAnchor>
    <xdr:from>
      <xdr:col>10</xdr:col>
      <xdr:colOff>106396</xdr:colOff>
      <xdr:row>80</xdr:row>
      <xdr:rowOff>92068</xdr:rowOff>
    </xdr:from>
    <xdr:to>
      <xdr:col>20</xdr:col>
      <xdr:colOff>108275</xdr:colOff>
      <xdr:row>80</xdr:row>
      <xdr:rowOff>111488</xdr:rowOff>
    </xdr:to>
    <xdr:cxnSp macro="">
      <xdr:nvCxnSpPr>
        <xdr:cNvPr id="9" name="直線矢印コネクタ 8">
          <a:extLst>
            <a:ext uri="{FF2B5EF4-FFF2-40B4-BE49-F238E27FC236}">
              <a16:creationId xmlns:a16="http://schemas.microsoft.com/office/drawing/2014/main" id="{00000000-0008-0000-0700-000009000000}"/>
            </a:ext>
          </a:extLst>
        </xdr:cNvPr>
        <xdr:cNvCxnSpPr>
          <a:stCxn id="5" idx="3"/>
          <a:endCxn id="14" idx="1"/>
        </xdr:cNvCxnSpPr>
      </xdr:nvCxnSpPr>
      <xdr:spPr>
        <a:xfrm flipV="1">
          <a:off x="1339043" y="12508186"/>
          <a:ext cx="1234526" cy="19420"/>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25770</xdr:colOff>
      <xdr:row>85</xdr:row>
      <xdr:rowOff>80509</xdr:rowOff>
    </xdr:from>
    <xdr:to>
      <xdr:col>40</xdr:col>
      <xdr:colOff>67589</xdr:colOff>
      <xdr:row>92</xdr:row>
      <xdr:rowOff>57611</xdr:rowOff>
    </xdr:to>
    <xdr:grpSp>
      <xdr:nvGrpSpPr>
        <xdr:cNvPr id="10" name="グループ化 9">
          <a:extLst>
            <a:ext uri="{FF2B5EF4-FFF2-40B4-BE49-F238E27FC236}">
              <a16:creationId xmlns:a16="http://schemas.microsoft.com/office/drawing/2014/main" id="{00000000-0008-0000-0700-00000A000000}"/>
            </a:ext>
          </a:extLst>
        </xdr:cNvPr>
        <xdr:cNvGrpSpPr/>
      </xdr:nvGrpSpPr>
      <xdr:grpSpPr>
        <a:xfrm>
          <a:off x="3353917" y="13281038"/>
          <a:ext cx="1644260" cy="1075279"/>
          <a:chOff x="3859165" y="10870252"/>
          <a:chExt cx="1542837" cy="1073776"/>
        </a:xfrm>
      </xdr:grpSpPr>
      <xdr:sp macro="" textlink="">
        <xdr:nvSpPr>
          <xdr:cNvPr id="11" name="五角形 10">
            <a:extLst>
              <a:ext uri="{FF2B5EF4-FFF2-40B4-BE49-F238E27FC236}">
                <a16:creationId xmlns:a16="http://schemas.microsoft.com/office/drawing/2014/main" id="{00000000-0008-0000-0700-00000B000000}"/>
              </a:ext>
            </a:extLst>
          </xdr:cNvPr>
          <xdr:cNvSpPr/>
        </xdr:nvSpPr>
        <xdr:spPr>
          <a:xfrm>
            <a:off x="3906629" y="10870252"/>
            <a:ext cx="1468837" cy="107377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3859165" y="11069539"/>
            <a:ext cx="1542837" cy="7992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KIUTAP01_AdminServer01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HTTP:17010</a:t>
            </a:r>
          </a:p>
          <a:p>
            <a:pPr algn="ctr"/>
            <a:r>
              <a:rPr kumimoji="1" lang="en-US" altLang="ja-JP" sz="900" b="0">
                <a:solidFill>
                  <a:schemeClr val="tx1"/>
                </a:solidFill>
                <a:latin typeface="+mn-ea"/>
                <a:ea typeface="+mn-ea"/>
              </a:rPr>
              <a:t>HTTPS:17050</a:t>
            </a:r>
          </a:p>
        </xdr:txBody>
      </xdr:sp>
    </xdr:grpSp>
    <xdr:clientData/>
  </xdr:twoCellAnchor>
  <xdr:twoCellAnchor>
    <xdr:from>
      <xdr:col>20</xdr:col>
      <xdr:colOff>88040</xdr:colOff>
      <xdr:row>77</xdr:row>
      <xdr:rowOff>150684</xdr:rowOff>
    </xdr:from>
    <xdr:to>
      <xdr:col>34</xdr:col>
      <xdr:colOff>9265</xdr:colOff>
      <xdr:row>84</xdr:row>
      <xdr:rowOff>131222</xdr:rowOff>
    </xdr:to>
    <xdr:grpSp>
      <xdr:nvGrpSpPr>
        <xdr:cNvPr id="13" name="グループ化 12">
          <a:extLst>
            <a:ext uri="{FF2B5EF4-FFF2-40B4-BE49-F238E27FC236}">
              <a16:creationId xmlns:a16="http://schemas.microsoft.com/office/drawing/2014/main" id="{00000000-0008-0000-0700-00000D000000}"/>
            </a:ext>
          </a:extLst>
        </xdr:cNvPr>
        <xdr:cNvGrpSpPr/>
      </xdr:nvGrpSpPr>
      <xdr:grpSpPr>
        <a:xfrm>
          <a:off x="2553334" y="12096155"/>
          <a:ext cx="1646931" cy="1078714"/>
          <a:chOff x="4859245" y="12163633"/>
          <a:chExt cx="1542837" cy="1076326"/>
        </a:xfrm>
      </xdr:grpSpPr>
      <xdr:sp macro="" textlink="">
        <xdr:nvSpPr>
          <xdr:cNvPr id="14" name="五角形 13">
            <a:extLst>
              <a:ext uri="{FF2B5EF4-FFF2-40B4-BE49-F238E27FC236}">
                <a16:creationId xmlns:a16="http://schemas.microsoft.com/office/drawing/2014/main" id="{00000000-0008-0000-0700-00000E000000}"/>
              </a:ext>
            </a:extLst>
          </xdr:cNvPr>
          <xdr:cNvSpPr/>
        </xdr:nvSpPr>
        <xdr:spPr>
          <a:xfrm>
            <a:off x="4878199" y="12163633"/>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4859245" y="12384151"/>
            <a:ext cx="1542837" cy="78338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KIUTAP01_ManagedServer01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HTTP:17011</a:t>
            </a:r>
          </a:p>
          <a:p>
            <a:pPr algn="ctr"/>
            <a:r>
              <a:rPr kumimoji="1" lang="en-US" altLang="ja-JP" sz="900" b="0">
                <a:solidFill>
                  <a:schemeClr val="tx1"/>
                </a:solidFill>
                <a:latin typeface="+mn-ea"/>
                <a:ea typeface="+mn-ea"/>
              </a:rPr>
              <a:t>HTTPS:17051</a:t>
            </a:r>
          </a:p>
        </xdr:txBody>
      </xdr:sp>
    </xdr:grpSp>
    <xdr:clientData/>
  </xdr:twoCellAnchor>
  <xdr:twoCellAnchor>
    <xdr:from>
      <xdr:col>41</xdr:col>
      <xdr:colOff>56029</xdr:colOff>
      <xdr:row>74</xdr:row>
      <xdr:rowOff>61275</xdr:rowOff>
    </xdr:from>
    <xdr:to>
      <xdr:col>60</xdr:col>
      <xdr:colOff>22759</xdr:colOff>
      <xdr:row>94</xdr:row>
      <xdr:rowOff>131760</xdr:rowOff>
    </xdr:to>
    <xdr:sp macro="" textlink="">
      <xdr:nvSpPr>
        <xdr:cNvPr id="16" name="角丸四角形 15">
          <a:extLst>
            <a:ext uri="{FF2B5EF4-FFF2-40B4-BE49-F238E27FC236}">
              <a16:creationId xmlns:a16="http://schemas.microsoft.com/office/drawing/2014/main" id="{00000000-0008-0000-0700-000010000000}"/>
            </a:ext>
          </a:extLst>
        </xdr:cNvPr>
        <xdr:cNvSpPr/>
      </xdr:nvSpPr>
      <xdr:spPr>
        <a:xfrm>
          <a:off x="5109882" y="11536099"/>
          <a:ext cx="2308759" cy="3208132"/>
        </a:xfrm>
        <a:prstGeom prst="roundRect">
          <a:avLst>
            <a:gd name="adj" fmla="val 768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KIUTAP02</a:t>
          </a:r>
        </a:p>
      </xdr:txBody>
    </xdr:sp>
    <xdr:clientData/>
  </xdr:twoCellAnchor>
  <xdr:twoCellAnchor>
    <xdr:from>
      <xdr:col>47</xdr:col>
      <xdr:colOff>1324</xdr:colOff>
      <xdr:row>85</xdr:row>
      <xdr:rowOff>70939</xdr:rowOff>
    </xdr:from>
    <xdr:to>
      <xdr:col>60</xdr:col>
      <xdr:colOff>43586</xdr:colOff>
      <xdr:row>92</xdr:row>
      <xdr:rowOff>51244</xdr:rowOff>
    </xdr:to>
    <xdr:grpSp>
      <xdr:nvGrpSpPr>
        <xdr:cNvPr id="17" name="グループ化 16">
          <a:extLst>
            <a:ext uri="{FF2B5EF4-FFF2-40B4-BE49-F238E27FC236}">
              <a16:creationId xmlns:a16="http://schemas.microsoft.com/office/drawing/2014/main" id="{00000000-0008-0000-0700-000011000000}"/>
            </a:ext>
          </a:extLst>
        </xdr:cNvPr>
        <xdr:cNvGrpSpPr/>
      </xdr:nvGrpSpPr>
      <xdr:grpSpPr>
        <a:xfrm>
          <a:off x="5794765" y="13271468"/>
          <a:ext cx="1644703" cy="1078482"/>
          <a:chOff x="6668717" y="10860682"/>
          <a:chExt cx="1543250" cy="1076651"/>
        </a:xfrm>
      </xdr:grpSpPr>
      <xdr:sp macro="" textlink="">
        <xdr:nvSpPr>
          <xdr:cNvPr id="18" name="五角形 17">
            <a:extLst>
              <a:ext uri="{FF2B5EF4-FFF2-40B4-BE49-F238E27FC236}">
                <a16:creationId xmlns:a16="http://schemas.microsoft.com/office/drawing/2014/main" id="{00000000-0008-0000-0700-000012000000}"/>
              </a:ext>
            </a:extLst>
          </xdr:cNvPr>
          <xdr:cNvSpPr/>
        </xdr:nvSpPr>
        <xdr:spPr>
          <a:xfrm>
            <a:off x="6716594" y="10860682"/>
            <a:ext cx="1468837" cy="1076651"/>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6668717" y="11048609"/>
            <a:ext cx="1543250" cy="817608"/>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KIUTAP02_AdminServer01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HTTP:17020</a:t>
            </a:r>
          </a:p>
          <a:p>
            <a:pPr algn="ctr"/>
            <a:r>
              <a:rPr kumimoji="1" lang="en-US" altLang="ja-JP" sz="900" b="0">
                <a:solidFill>
                  <a:schemeClr val="tx1"/>
                </a:solidFill>
                <a:latin typeface="+mn-ea"/>
                <a:ea typeface="+mn-ea"/>
              </a:rPr>
              <a:t>HTTPS:17060</a:t>
            </a:r>
          </a:p>
        </xdr:txBody>
      </xdr:sp>
    </xdr:grpSp>
    <xdr:clientData/>
  </xdr:twoCellAnchor>
  <xdr:twoCellAnchor>
    <xdr:from>
      <xdr:col>42</xdr:col>
      <xdr:colOff>64037</xdr:colOff>
      <xdr:row>77</xdr:row>
      <xdr:rowOff>149234</xdr:rowOff>
    </xdr:from>
    <xdr:to>
      <xdr:col>55</xdr:col>
      <xdr:colOff>108527</xdr:colOff>
      <xdr:row>84</xdr:row>
      <xdr:rowOff>129772</xdr:rowOff>
    </xdr:to>
    <xdr:grpSp>
      <xdr:nvGrpSpPr>
        <xdr:cNvPr id="20" name="グループ化 19">
          <a:extLst>
            <a:ext uri="{FF2B5EF4-FFF2-40B4-BE49-F238E27FC236}">
              <a16:creationId xmlns:a16="http://schemas.microsoft.com/office/drawing/2014/main" id="{00000000-0008-0000-0700-000014000000}"/>
            </a:ext>
          </a:extLst>
        </xdr:cNvPr>
        <xdr:cNvGrpSpPr/>
      </xdr:nvGrpSpPr>
      <xdr:grpSpPr>
        <a:xfrm>
          <a:off x="5241155" y="12094705"/>
          <a:ext cx="1646931" cy="1078714"/>
          <a:chOff x="7669209" y="12153900"/>
          <a:chExt cx="1542837" cy="1076326"/>
        </a:xfrm>
      </xdr:grpSpPr>
      <xdr:sp macro="" textlink="">
        <xdr:nvSpPr>
          <xdr:cNvPr id="21" name="五角形 20">
            <a:extLst>
              <a:ext uri="{FF2B5EF4-FFF2-40B4-BE49-F238E27FC236}">
                <a16:creationId xmlns:a16="http://schemas.microsoft.com/office/drawing/2014/main" id="{00000000-0008-0000-0700-000015000000}"/>
              </a:ext>
            </a:extLst>
          </xdr:cNvPr>
          <xdr:cNvSpPr/>
        </xdr:nvSpPr>
        <xdr:spPr>
          <a:xfrm>
            <a:off x="7688163" y="12153900"/>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7669209" y="12374418"/>
            <a:ext cx="1542837" cy="79441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KIUTAP02_ManagedServer01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HTTP:17021</a:t>
            </a:r>
          </a:p>
          <a:p>
            <a:pPr algn="ctr"/>
            <a:r>
              <a:rPr kumimoji="1" lang="en-US" altLang="ja-JP" sz="900" b="0">
                <a:solidFill>
                  <a:schemeClr val="tx1"/>
                </a:solidFill>
                <a:latin typeface="+mn-ea"/>
                <a:ea typeface="+mn-ea"/>
              </a:rPr>
              <a:t>HTTPS:17061</a:t>
            </a:r>
          </a:p>
        </xdr:txBody>
      </xdr:sp>
    </xdr:grpSp>
    <xdr:clientData/>
  </xdr:twoCellAnchor>
  <xdr:twoCellAnchor>
    <xdr:from>
      <xdr:col>11</xdr:col>
      <xdr:colOff>75462</xdr:colOff>
      <xdr:row>78</xdr:row>
      <xdr:rowOff>99922</xdr:rowOff>
    </xdr:from>
    <xdr:to>
      <xdr:col>20</xdr:col>
      <xdr:colOff>9221</xdr:colOff>
      <xdr:row>81</xdr:row>
      <xdr:rowOff>99755</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1431374" y="12202275"/>
          <a:ext cx="1043141" cy="4704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63</xdr:col>
      <xdr:colOff>17255</xdr:colOff>
      <xdr:row>170</xdr:row>
      <xdr:rowOff>136420</xdr:rowOff>
    </xdr:from>
    <xdr:to>
      <xdr:col>75</xdr:col>
      <xdr:colOff>12286</xdr:colOff>
      <xdr:row>186</xdr:row>
      <xdr:rowOff>86943</xdr:rowOff>
    </xdr:to>
    <xdr:sp macro="" textlink="">
      <xdr:nvSpPr>
        <xdr:cNvPr id="24" name="正方形/長方形 23">
          <a:extLst>
            <a:ext uri="{FF2B5EF4-FFF2-40B4-BE49-F238E27FC236}">
              <a16:creationId xmlns:a16="http://schemas.microsoft.com/office/drawing/2014/main" id="{00000000-0008-0000-0700-000018000000}"/>
            </a:ext>
          </a:extLst>
        </xdr:cNvPr>
        <xdr:cNvSpPr/>
      </xdr:nvSpPr>
      <xdr:spPr>
        <a:xfrm>
          <a:off x="7818230" y="26377795"/>
          <a:ext cx="1480931" cy="238892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sz="900">
            <a:latin typeface="+mn-ea"/>
            <a:ea typeface="+mn-ea"/>
          </a:endParaRPr>
        </a:p>
      </xdr:txBody>
    </xdr:sp>
    <xdr:clientData/>
  </xdr:twoCellAnchor>
  <xdr:twoCellAnchor>
    <xdr:from>
      <xdr:col>18</xdr:col>
      <xdr:colOff>25000</xdr:colOff>
      <xdr:row>164</xdr:row>
      <xdr:rowOff>69494</xdr:rowOff>
    </xdr:from>
    <xdr:to>
      <xdr:col>22</xdr:col>
      <xdr:colOff>96487</xdr:colOff>
      <xdr:row>168</xdr:row>
      <xdr:rowOff>120845</xdr:rowOff>
    </xdr:to>
    <xdr:sp macro="" textlink="">
      <xdr:nvSpPr>
        <xdr:cNvPr id="26" name="角丸四角形 25">
          <a:extLst>
            <a:ext uri="{FF2B5EF4-FFF2-40B4-BE49-F238E27FC236}">
              <a16:creationId xmlns:a16="http://schemas.microsoft.com/office/drawing/2014/main" id="{00000000-0008-0000-0700-00001A000000}"/>
            </a:ext>
          </a:extLst>
        </xdr:cNvPr>
        <xdr:cNvSpPr/>
      </xdr:nvSpPr>
      <xdr:spPr>
        <a:xfrm>
          <a:off x="2253850" y="25396469"/>
          <a:ext cx="566787" cy="660951"/>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900">
              <a:solidFill>
                <a:schemeClr val="tx1"/>
              </a:solidFill>
              <a:latin typeface="+mn-ea"/>
              <a:ea typeface="+mn-ea"/>
            </a:rPr>
            <a:t>データソース</a:t>
          </a:r>
        </a:p>
      </xdr:txBody>
    </xdr:sp>
    <xdr:clientData/>
  </xdr:twoCellAnchor>
  <xdr:twoCellAnchor>
    <xdr:from>
      <xdr:col>39</xdr:col>
      <xdr:colOff>3973</xdr:colOff>
      <xdr:row>163</xdr:row>
      <xdr:rowOff>127102</xdr:rowOff>
    </xdr:from>
    <xdr:to>
      <xdr:col>55</xdr:col>
      <xdr:colOff>7452</xdr:colOff>
      <xdr:row>176</xdr:row>
      <xdr:rowOff>98452</xdr:rowOff>
    </xdr:to>
    <xdr:sp macro="" textlink="">
      <xdr:nvSpPr>
        <xdr:cNvPr id="28" name="角丸四角形 27">
          <a:extLst>
            <a:ext uri="{FF2B5EF4-FFF2-40B4-BE49-F238E27FC236}">
              <a16:creationId xmlns:a16="http://schemas.microsoft.com/office/drawing/2014/main" id="{00000000-0008-0000-0700-00001C000000}"/>
            </a:ext>
          </a:extLst>
        </xdr:cNvPr>
        <xdr:cNvSpPr/>
      </xdr:nvSpPr>
      <xdr:spPr>
        <a:xfrm>
          <a:off x="4833148" y="25301677"/>
          <a:ext cx="1984679" cy="1952550"/>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OracleDB</a:t>
          </a:r>
        </a:p>
      </xdr:txBody>
    </xdr:sp>
    <xdr:clientData/>
  </xdr:twoCellAnchor>
  <xdr:twoCellAnchor>
    <xdr:from>
      <xdr:col>6</xdr:col>
      <xdr:colOff>23536</xdr:colOff>
      <xdr:row>164</xdr:row>
      <xdr:rowOff>133350</xdr:rowOff>
    </xdr:from>
    <xdr:to>
      <xdr:col>17</xdr:col>
      <xdr:colOff>32647</xdr:colOff>
      <xdr:row>168</xdr:row>
      <xdr:rowOff>44481</xdr:rowOff>
    </xdr:to>
    <xdr:sp macro="" textlink="">
      <xdr:nvSpPr>
        <xdr:cNvPr id="29" name="角丸四角形 28">
          <a:extLst>
            <a:ext uri="{FF2B5EF4-FFF2-40B4-BE49-F238E27FC236}">
              <a16:creationId xmlns:a16="http://schemas.microsoft.com/office/drawing/2014/main" id="{00000000-0008-0000-0700-00001D000000}"/>
            </a:ext>
          </a:extLst>
        </xdr:cNvPr>
        <xdr:cNvSpPr/>
      </xdr:nvSpPr>
      <xdr:spPr>
        <a:xfrm>
          <a:off x="766486" y="25460325"/>
          <a:ext cx="1371186" cy="520731"/>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ja-JP" altLang="en-US" sz="900">
              <a:solidFill>
                <a:sysClr val="windowText" lastClr="000000"/>
              </a:solidFill>
              <a:latin typeface="+mn-ea"/>
              <a:ea typeface="+mn-ea"/>
            </a:rPr>
            <a:t>業務</a:t>
          </a:r>
          <a:r>
            <a:rPr lang="en-US" altLang="ja-JP" sz="900">
              <a:solidFill>
                <a:sysClr val="windowText" lastClr="000000"/>
              </a:solidFill>
              <a:latin typeface="+mn-ea"/>
              <a:ea typeface="+mn-ea"/>
            </a:rPr>
            <a:t>AP</a:t>
          </a:r>
        </a:p>
        <a:p>
          <a:pPr algn="ctr">
            <a:defRPr/>
          </a:pPr>
          <a:r>
            <a:rPr lang="ja-JP" altLang="en-US" sz="900">
              <a:solidFill>
                <a:sysClr val="windowText" lastClr="000000"/>
              </a:solidFill>
              <a:latin typeface="+mn-ea"/>
              <a:ea typeface="+mn-ea"/>
            </a:rPr>
            <a:t>（音声フロー、管理画面等</a:t>
          </a:r>
          <a:r>
            <a:rPr lang="en-US" altLang="ja-JP" sz="900">
              <a:solidFill>
                <a:sysClr val="windowText" lastClr="000000"/>
              </a:solidFill>
              <a:latin typeface="+mn-ea"/>
              <a:ea typeface="+mn-ea"/>
            </a:rPr>
            <a:t>)</a:t>
          </a:r>
        </a:p>
      </xdr:txBody>
    </xdr:sp>
    <xdr:clientData/>
  </xdr:twoCellAnchor>
  <xdr:twoCellAnchor>
    <xdr:from>
      <xdr:col>35</xdr:col>
      <xdr:colOff>49355</xdr:colOff>
      <xdr:row>163</xdr:row>
      <xdr:rowOff>142450</xdr:rowOff>
    </xdr:from>
    <xdr:to>
      <xdr:col>38</xdr:col>
      <xdr:colOff>40817</xdr:colOff>
      <xdr:row>176</xdr:row>
      <xdr:rowOff>109656</xdr:rowOff>
    </xdr:to>
    <xdr:sp macro="" textlink="">
      <xdr:nvSpPr>
        <xdr:cNvPr id="30" name="角丸四角形 29">
          <a:extLst>
            <a:ext uri="{FF2B5EF4-FFF2-40B4-BE49-F238E27FC236}">
              <a16:creationId xmlns:a16="http://schemas.microsoft.com/office/drawing/2014/main" id="{00000000-0008-0000-0700-00001E000000}"/>
            </a:ext>
          </a:extLst>
        </xdr:cNvPr>
        <xdr:cNvSpPr/>
      </xdr:nvSpPr>
      <xdr:spPr>
        <a:xfrm>
          <a:off x="4383230" y="25317025"/>
          <a:ext cx="362937" cy="194840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開発リスナー</a:t>
          </a:r>
        </a:p>
      </xdr:txBody>
    </xdr:sp>
    <xdr:clientData/>
  </xdr:twoCellAnchor>
  <xdr:twoCellAnchor>
    <xdr:from>
      <xdr:col>17</xdr:col>
      <xdr:colOff>32647</xdr:colOff>
      <xdr:row>166</xdr:row>
      <xdr:rowOff>88916</xdr:rowOff>
    </xdr:from>
    <xdr:to>
      <xdr:col>40</xdr:col>
      <xdr:colOff>71161</xdr:colOff>
      <xdr:row>169</xdr:row>
      <xdr:rowOff>114300</xdr:rowOff>
    </xdr:to>
    <xdr:cxnSp macro="">
      <xdr:nvCxnSpPr>
        <xdr:cNvPr id="31" name="カギ線コネクタ 22">
          <a:extLst>
            <a:ext uri="{FF2B5EF4-FFF2-40B4-BE49-F238E27FC236}">
              <a16:creationId xmlns:a16="http://schemas.microsoft.com/office/drawing/2014/main" id="{00000000-0008-0000-0700-00001F000000}"/>
            </a:ext>
          </a:extLst>
        </xdr:cNvPr>
        <xdr:cNvCxnSpPr>
          <a:cxnSpLocks noChangeShapeType="1"/>
          <a:stCxn id="29" idx="3"/>
        </xdr:cNvCxnSpPr>
      </xdr:nvCxnSpPr>
      <xdr:spPr bwMode="auto">
        <a:xfrm>
          <a:off x="2137672" y="25720691"/>
          <a:ext cx="2886489" cy="482584"/>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40</xdr:col>
      <xdr:colOff>80899</xdr:colOff>
      <xdr:row>166</xdr:row>
      <xdr:rowOff>48512</xdr:rowOff>
    </xdr:from>
    <xdr:to>
      <xdr:col>54</xdr:col>
      <xdr:colOff>10107</xdr:colOff>
      <xdr:row>175</xdr:row>
      <xdr:rowOff>146420</xdr:rowOff>
    </xdr:to>
    <xdr:sp macro="" textlink="">
      <xdr:nvSpPr>
        <xdr:cNvPr id="32" name="円柱 31">
          <a:extLst>
            <a:ext uri="{FF2B5EF4-FFF2-40B4-BE49-F238E27FC236}">
              <a16:creationId xmlns:a16="http://schemas.microsoft.com/office/drawing/2014/main" id="{00000000-0008-0000-0700-000020000000}"/>
            </a:ext>
          </a:extLst>
        </xdr:cNvPr>
        <xdr:cNvSpPr/>
      </xdr:nvSpPr>
      <xdr:spPr>
        <a:xfrm>
          <a:off x="5033899" y="25680287"/>
          <a:ext cx="1662758" cy="1469508"/>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開発インスタンス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63</xdr:col>
      <xdr:colOff>84213</xdr:colOff>
      <xdr:row>176</xdr:row>
      <xdr:rowOff>14597</xdr:rowOff>
    </xdr:from>
    <xdr:to>
      <xdr:col>74</xdr:col>
      <xdr:colOff>57110</xdr:colOff>
      <xdr:row>178</xdr:row>
      <xdr:rowOff>85092</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7885188" y="27170372"/>
          <a:ext cx="1334972" cy="375295"/>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開発</a:t>
          </a:r>
          <a:r>
            <a:rPr kumimoji="1" lang="en-US" altLang="ja-JP" sz="900">
              <a:solidFill>
                <a:sysClr val="windowText" lastClr="000000"/>
              </a:solidFill>
              <a:latin typeface="+mn-ea"/>
              <a:ea typeface="+mn-ea"/>
            </a:rPr>
            <a:t>01</a:t>
          </a:r>
          <a:endParaRPr kumimoji="1" lang="ja-JP" altLang="en-US" sz="900">
            <a:solidFill>
              <a:sysClr val="windowText" lastClr="000000"/>
            </a:solidFill>
            <a:latin typeface="+mn-ea"/>
            <a:ea typeface="+mn-ea"/>
          </a:endParaRPr>
        </a:p>
      </xdr:txBody>
    </xdr:sp>
    <xdr:clientData/>
  </xdr:twoCellAnchor>
  <xdr:twoCellAnchor>
    <xdr:from>
      <xdr:col>63</xdr:col>
      <xdr:colOff>84077</xdr:colOff>
      <xdr:row>178</xdr:row>
      <xdr:rowOff>80573</xdr:rowOff>
    </xdr:from>
    <xdr:to>
      <xdr:col>74</xdr:col>
      <xdr:colOff>58790</xdr:colOff>
      <xdr:row>181</xdr:row>
      <xdr:rowOff>7023</xdr:rowOff>
    </xdr:to>
    <xdr:sp macro="" textlink="">
      <xdr:nvSpPr>
        <xdr:cNvPr id="34" name="正方形/長方形 33">
          <a:extLst>
            <a:ext uri="{FF2B5EF4-FFF2-40B4-BE49-F238E27FC236}">
              <a16:creationId xmlns:a16="http://schemas.microsoft.com/office/drawing/2014/main" id="{00000000-0008-0000-0700-000022000000}"/>
            </a:ext>
          </a:extLst>
        </xdr:cNvPr>
        <xdr:cNvSpPr/>
      </xdr:nvSpPr>
      <xdr:spPr>
        <a:xfrm>
          <a:off x="7885052" y="27541148"/>
          <a:ext cx="1336788" cy="383650"/>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a:t>
          </a:r>
          <a:r>
            <a:rPr kumimoji="1" lang="ja-JP" altLang="en-US" sz="900">
              <a:solidFill>
                <a:sysClr val="windowText" lastClr="000000"/>
              </a:solidFill>
              <a:latin typeface="+mn-ea"/>
              <a:ea typeface="+mn-ea"/>
              <a:cs typeface="+mn-cs"/>
            </a:rPr>
            <a:t>開発</a:t>
          </a:r>
          <a:r>
            <a:rPr kumimoji="1" lang="en-US" altLang="ja-JP" sz="900">
              <a:solidFill>
                <a:sysClr val="windowText" lastClr="000000"/>
              </a:solidFill>
              <a:latin typeface="+mn-ea"/>
              <a:ea typeface="+mn-ea"/>
            </a:rPr>
            <a:t>02</a:t>
          </a:r>
        </a:p>
      </xdr:txBody>
    </xdr:sp>
    <xdr:clientData/>
  </xdr:twoCellAnchor>
  <xdr:twoCellAnchor>
    <xdr:from>
      <xdr:col>63</xdr:col>
      <xdr:colOff>84212</xdr:colOff>
      <xdr:row>171</xdr:row>
      <xdr:rowOff>89923</xdr:rowOff>
    </xdr:from>
    <xdr:to>
      <xdr:col>74</xdr:col>
      <xdr:colOff>57110</xdr:colOff>
      <xdr:row>173</xdr:row>
      <xdr:rowOff>126803</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7885187" y="26483698"/>
          <a:ext cx="1334973" cy="341680"/>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システム表領域</a:t>
          </a:r>
          <a:endParaRPr kumimoji="1" lang="en-US" altLang="ja-JP" sz="900">
            <a:solidFill>
              <a:sysClr val="windowText" lastClr="000000"/>
            </a:solidFill>
            <a:latin typeface="+mn-ea"/>
            <a:ea typeface="+mn-ea"/>
          </a:endParaRPr>
        </a:p>
      </xdr:txBody>
    </xdr:sp>
    <xdr:clientData/>
  </xdr:twoCellAnchor>
  <xdr:twoCellAnchor>
    <xdr:from>
      <xdr:col>63</xdr:col>
      <xdr:colOff>84077</xdr:colOff>
      <xdr:row>181</xdr:row>
      <xdr:rowOff>7025</xdr:rowOff>
    </xdr:from>
    <xdr:to>
      <xdr:col>74</xdr:col>
      <xdr:colOff>58790</xdr:colOff>
      <xdr:row>183</xdr:row>
      <xdr:rowOff>77519</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7885052" y="27924800"/>
          <a:ext cx="1336788" cy="37529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開発</a:t>
          </a:r>
          <a:r>
            <a:rPr kumimoji="1" lang="en-US" altLang="ja-JP" sz="900">
              <a:solidFill>
                <a:sysClr val="windowText" lastClr="000000"/>
              </a:solidFill>
              <a:latin typeface="+mn-ea"/>
              <a:ea typeface="+mn-ea"/>
            </a:rPr>
            <a:t>03</a:t>
          </a:r>
        </a:p>
      </xdr:txBody>
    </xdr:sp>
    <xdr:clientData/>
  </xdr:twoCellAnchor>
  <xdr:twoCellAnchor>
    <xdr:from>
      <xdr:col>63</xdr:col>
      <xdr:colOff>84077</xdr:colOff>
      <xdr:row>183</xdr:row>
      <xdr:rowOff>77522</xdr:rowOff>
    </xdr:from>
    <xdr:to>
      <xdr:col>74</xdr:col>
      <xdr:colOff>58790</xdr:colOff>
      <xdr:row>185</xdr:row>
      <xdr:rowOff>151329</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7885052" y="28300097"/>
          <a:ext cx="1336788" cy="378607"/>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開発</a:t>
          </a:r>
          <a:r>
            <a:rPr kumimoji="1" lang="en-US" altLang="ja-JP" sz="900">
              <a:solidFill>
                <a:sysClr val="windowText" lastClr="000000"/>
              </a:solidFill>
              <a:latin typeface="+mn-ea"/>
              <a:ea typeface="+mn-ea"/>
            </a:rPr>
            <a:t>04</a:t>
          </a:r>
        </a:p>
      </xdr:txBody>
    </xdr:sp>
    <xdr:clientData/>
  </xdr:twoCellAnchor>
  <xdr:twoCellAnchor>
    <xdr:from>
      <xdr:col>63</xdr:col>
      <xdr:colOff>84212</xdr:colOff>
      <xdr:row>174</xdr:row>
      <xdr:rowOff>11335</xdr:rowOff>
    </xdr:from>
    <xdr:to>
      <xdr:col>74</xdr:col>
      <xdr:colOff>57110</xdr:colOff>
      <xdr:row>175</xdr:row>
      <xdr:rowOff>133374</xdr:rowOff>
    </xdr:to>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7885187" y="26862310"/>
          <a:ext cx="1334973" cy="27443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その他設定ファイル</a:t>
          </a:r>
          <a:endParaRPr kumimoji="1" lang="en-US" altLang="ja-JP" sz="900">
            <a:solidFill>
              <a:sysClr val="windowText" lastClr="000000"/>
            </a:solidFill>
            <a:latin typeface="+mn-ea"/>
            <a:ea typeface="+mn-ea"/>
          </a:endParaRPr>
        </a:p>
      </xdr:txBody>
    </xdr:sp>
    <xdr:clientData/>
  </xdr:twoCellAnchor>
  <xdr:twoCellAnchor>
    <xdr:from>
      <xdr:col>27</xdr:col>
      <xdr:colOff>35984</xdr:colOff>
      <xdr:row>171</xdr:row>
      <xdr:rowOff>19962</xdr:rowOff>
    </xdr:from>
    <xdr:to>
      <xdr:col>34</xdr:col>
      <xdr:colOff>84248</xdr:colOff>
      <xdr:row>173</xdr:row>
      <xdr:rowOff>815</xdr:rowOff>
    </xdr:to>
    <xdr:sp macro="" textlink="">
      <xdr:nvSpPr>
        <xdr:cNvPr id="39" name="角丸四角形 38">
          <a:extLst>
            <a:ext uri="{FF2B5EF4-FFF2-40B4-BE49-F238E27FC236}">
              <a16:creationId xmlns:a16="http://schemas.microsoft.com/office/drawing/2014/main" id="{00000000-0008-0000-0700-000027000000}"/>
            </a:ext>
          </a:extLst>
        </xdr:cNvPr>
        <xdr:cNvSpPr/>
      </xdr:nvSpPr>
      <xdr:spPr>
        <a:xfrm>
          <a:off x="3379259" y="26413737"/>
          <a:ext cx="915039"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30</xdr:col>
      <xdr:colOff>121469</xdr:colOff>
      <xdr:row>171</xdr:row>
      <xdr:rowOff>21266</xdr:rowOff>
    </xdr:from>
    <xdr:to>
      <xdr:col>40</xdr:col>
      <xdr:colOff>80899</xdr:colOff>
      <xdr:row>173</xdr:row>
      <xdr:rowOff>815</xdr:rowOff>
    </xdr:to>
    <xdr:cxnSp macro="">
      <xdr:nvCxnSpPr>
        <xdr:cNvPr id="40" name="カギ線コネクタ 39">
          <a:extLst>
            <a:ext uri="{FF2B5EF4-FFF2-40B4-BE49-F238E27FC236}">
              <a16:creationId xmlns:a16="http://schemas.microsoft.com/office/drawing/2014/main" id="{00000000-0008-0000-0700-000028000000}"/>
            </a:ext>
          </a:extLst>
        </xdr:cNvPr>
        <xdr:cNvCxnSpPr>
          <a:stCxn id="39" idx="2"/>
          <a:endCxn id="32" idx="2"/>
        </xdr:cNvCxnSpPr>
      </xdr:nvCxnSpPr>
      <xdr:spPr>
        <a:xfrm rot="5400000" flipH="1" flipV="1">
          <a:off x="4292884" y="25958376"/>
          <a:ext cx="284349" cy="1197680"/>
        </a:xfrm>
        <a:prstGeom prst="bentConnector4">
          <a:avLst>
            <a:gd name="adj1" fmla="val -80394"/>
            <a:gd name="adj2" fmla="val 69109"/>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28798</xdr:colOff>
      <xdr:row>258</xdr:row>
      <xdr:rowOff>139212</xdr:rowOff>
    </xdr:from>
    <xdr:to>
      <xdr:col>23</xdr:col>
      <xdr:colOff>0</xdr:colOff>
      <xdr:row>264</xdr:row>
      <xdr:rowOff>29308</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1267048" y="39639387"/>
          <a:ext cx="1580927" cy="8044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DB#1</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51291</xdr:colOff>
      <xdr:row>260</xdr:row>
      <xdr:rowOff>131885</xdr:rowOff>
    </xdr:from>
    <xdr:to>
      <xdr:col>21</xdr:col>
      <xdr:colOff>109904</xdr:colOff>
      <xdr:row>262</xdr:row>
      <xdr:rowOff>124558</xdr:rowOff>
    </xdr:to>
    <xdr:sp macro="" textlink="">
      <xdr:nvSpPr>
        <xdr:cNvPr id="42" name="角丸四角形 41">
          <a:extLst>
            <a:ext uri="{FF2B5EF4-FFF2-40B4-BE49-F238E27FC236}">
              <a16:creationId xmlns:a16="http://schemas.microsoft.com/office/drawing/2014/main" id="{00000000-0008-0000-0700-00002A000000}"/>
            </a:ext>
          </a:extLst>
        </xdr:cNvPr>
        <xdr:cNvSpPr/>
      </xdr:nvSpPr>
      <xdr:spPr>
        <a:xfrm>
          <a:off x="1413366" y="39936860"/>
          <a:ext cx="1296863" cy="297473"/>
        </a:xfrm>
        <a:prstGeom prst="roundRect">
          <a:avLst>
            <a:gd name="adj" fmla="val 5412"/>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HULFT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2211</xdr:colOff>
      <xdr:row>255</xdr:row>
      <xdr:rowOff>80595</xdr:rowOff>
    </xdr:from>
    <xdr:to>
      <xdr:col>55</xdr:col>
      <xdr:colOff>97237</xdr:colOff>
      <xdr:row>260</xdr:row>
      <xdr:rowOff>124556</xdr:rowOff>
    </xdr:to>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5302593" y="40892419"/>
          <a:ext cx="1574203" cy="828372"/>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IBM</a:t>
          </a:r>
          <a:r>
            <a:rPr lang="ja-JP" altLang="en-US" sz="900">
              <a:solidFill>
                <a:schemeClr val="tx1"/>
              </a:solidFill>
              <a:latin typeface="ＭＳ Ｐゴシック" panose="020B0600070205080204" pitchFamily="50" charset="-128"/>
              <a:ea typeface="ＭＳ Ｐゴシック" panose="020B0600070205080204" pitchFamily="50" charset="-128"/>
            </a:rPr>
            <a:t>ホスト（開発機）</a:t>
          </a:r>
        </a:p>
      </xdr:txBody>
    </xdr:sp>
    <xdr:clientData/>
  </xdr:twoCellAnchor>
  <xdr:twoCellAnchor>
    <xdr:from>
      <xdr:col>44</xdr:col>
      <xdr:colOff>24704</xdr:colOff>
      <xdr:row>257</xdr:row>
      <xdr:rowOff>131885</xdr:rowOff>
    </xdr:from>
    <xdr:to>
      <xdr:col>54</xdr:col>
      <xdr:colOff>82585</xdr:colOff>
      <xdr:row>259</xdr:row>
      <xdr:rowOff>124558</xdr:rowOff>
    </xdr:to>
    <xdr:sp macro="" textlink="">
      <xdr:nvSpPr>
        <xdr:cNvPr id="44" name="角丸四角形 43">
          <a:extLst>
            <a:ext uri="{FF2B5EF4-FFF2-40B4-BE49-F238E27FC236}">
              <a16:creationId xmlns:a16="http://schemas.microsoft.com/office/drawing/2014/main" id="{00000000-0008-0000-0700-00002C000000}"/>
            </a:ext>
          </a:extLst>
        </xdr:cNvPr>
        <xdr:cNvSpPr/>
      </xdr:nvSpPr>
      <xdr:spPr>
        <a:xfrm>
          <a:off x="5448351" y="41257473"/>
          <a:ext cx="1290528"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HULFT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2211</xdr:colOff>
      <xdr:row>261</xdr:row>
      <xdr:rowOff>124558</xdr:rowOff>
    </xdr:from>
    <xdr:to>
      <xdr:col>55</xdr:col>
      <xdr:colOff>97237</xdr:colOff>
      <xdr:row>267</xdr:row>
      <xdr:rowOff>14653</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5302593" y="41877676"/>
          <a:ext cx="1574203" cy="831389"/>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集配信</a:t>
          </a:r>
          <a:r>
            <a:rPr lang="en-US" altLang="ja-JP" sz="900">
              <a:solidFill>
                <a:schemeClr val="tx1"/>
              </a:solidFill>
              <a:latin typeface="ＭＳ Ｐゴシック" panose="020B0600070205080204" pitchFamily="50" charset="-128"/>
              <a:ea typeface="ＭＳ Ｐゴシック" panose="020B0600070205080204" pitchFamily="50" charset="-128"/>
            </a:rPr>
            <a:t>HUB</a:t>
          </a:r>
          <a:r>
            <a:rPr lang="ja-JP" altLang="en-US" sz="900">
              <a:solidFill>
                <a:schemeClr val="tx1"/>
              </a:solidFill>
              <a:latin typeface="ＭＳ Ｐゴシック" panose="020B0600070205080204" pitchFamily="50" charset="-128"/>
              <a:ea typeface="ＭＳ Ｐゴシック" panose="020B0600070205080204" pitchFamily="50" charset="-128"/>
            </a:rPr>
            <a:t>（開発機）</a:t>
          </a:r>
        </a:p>
      </xdr:txBody>
    </xdr:sp>
    <xdr:clientData/>
  </xdr:twoCellAnchor>
  <xdr:twoCellAnchor>
    <xdr:from>
      <xdr:col>44</xdr:col>
      <xdr:colOff>24704</xdr:colOff>
      <xdr:row>264</xdr:row>
      <xdr:rowOff>21981</xdr:rowOff>
    </xdr:from>
    <xdr:to>
      <xdr:col>54</xdr:col>
      <xdr:colOff>82585</xdr:colOff>
      <xdr:row>266</xdr:row>
      <xdr:rowOff>14653</xdr:rowOff>
    </xdr:to>
    <xdr:sp macro="" textlink="">
      <xdr:nvSpPr>
        <xdr:cNvPr id="46" name="角丸四角形 45">
          <a:extLst>
            <a:ext uri="{FF2B5EF4-FFF2-40B4-BE49-F238E27FC236}">
              <a16:creationId xmlns:a16="http://schemas.microsoft.com/office/drawing/2014/main" id="{00000000-0008-0000-0700-00002E000000}"/>
            </a:ext>
          </a:extLst>
        </xdr:cNvPr>
        <xdr:cNvSpPr/>
      </xdr:nvSpPr>
      <xdr:spPr>
        <a:xfrm>
          <a:off x="5448351" y="42245746"/>
          <a:ext cx="1290528" cy="30643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HULFT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109904</xdr:colOff>
      <xdr:row>258</xdr:row>
      <xdr:rowOff>128221</xdr:rowOff>
    </xdr:from>
    <xdr:to>
      <xdr:col>44</xdr:col>
      <xdr:colOff>24704</xdr:colOff>
      <xdr:row>261</xdr:row>
      <xdr:rowOff>128221</xdr:rowOff>
    </xdr:to>
    <xdr:cxnSp macro="">
      <xdr:nvCxnSpPr>
        <xdr:cNvPr id="47" name="カギ線コネクタ 46">
          <a:extLst>
            <a:ext uri="{FF2B5EF4-FFF2-40B4-BE49-F238E27FC236}">
              <a16:creationId xmlns:a16="http://schemas.microsoft.com/office/drawing/2014/main" id="{00000000-0008-0000-0700-00002F000000}"/>
            </a:ext>
          </a:extLst>
        </xdr:cNvPr>
        <xdr:cNvCxnSpPr>
          <a:stCxn id="42" idx="3"/>
          <a:endCxn id="44" idx="1"/>
        </xdr:cNvCxnSpPr>
      </xdr:nvCxnSpPr>
      <xdr:spPr>
        <a:xfrm flipV="1">
          <a:off x="2698463" y="41410692"/>
          <a:ext cx="2749888" cy="470647"/>
        </a:xfrm>
        <a:prstGeom prst="bentConnector3">
          <a:avLst>
            <a:gd name="adj1" fmla="val 3166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109904</xdr:colOff>
      <xdr:row>261</xdr:row>
      <xdr:rowOff>128221</xdr:rowOff>
    </xdr:from>
    <xdr:to>
      <xdr:col>44</xdr:col>
      <xdr:colOff>24704</xdr:colOff>
      <xdr:row>265</xdr:row>
      <xdr:rowOff>18317</xdr:rowOff>
    </xdr:to>
    <xdr:cxnSp macro="">
      <xdr:nvCxnSpPr>
        <xdr:cNvPr id="48" name="カギ線コネクタ 47">
          <a:extLst>
            <a:ext uri="{FF2B5EF4-FFF2-40B4-BE49-F238E27FC236}">
              <a16:creationId xmlns:a16="http://schemas.microsoft.com/office/drawing/2014/main" id="{00000000-0008-0000-0700-000030000000}"/>
            </a:ext>
          </a:extLst>
        </xdr:cNvPr>
        <xdr:cNvCxnSpPr>
          <a:stCxn id="42" idx="3"/>
          <a:endCxn id="46" idx="1"/>
        </xdr:cNvCxnSpPr>
      </xdr:nvCxnSpPr>
      <xdr:spPr>
        <a:xfrm>
          <a:off x="2698463" y="41881339"/>
          <a:ext cx="2749888" cy="517625"/>
        </a:xfrm>
        <a:prstGeom prst="bentConnector3">
          <a:avLst>
            <a:gd name="adj1" fmla="val 3166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50428</xdr:colOff>
      <xdr:row>340</xdr:row>
      <xdr:rowOff>22411</xdr:rowOff>
    </xdr:from>
    <xdr:to>
      <xdr:col>37</xdr:col>
      <xdr:colOff>121322</xdr:colOff>
      <xdr:row>347</xdr:row>
      <xdr:rowOff>97307</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3008781" y="54012352"/>
          <a:ext cx="1673335" cy="117307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運用管理</a:t>
          </a:r>
        </a:p>
      </xdr:txBody>
    </xdr:sp>
    <xdr:clientData/>
  </xdr:twoCellAnchor>
  <xdr:twoCellAnchor>
    <xdr:from>
      <xdr:col>25</xdr:col>
      <xdr:colOff>98929</xdr:colOff>
      <xdr:row>344</xdr:row>
      <xdr:rowOff>107187</xdr:rowOff>
    </xdr:from>
    <xdr:to>
      <xdr:col>36</xdr:col>
      <xdr:colOff>34693</xdr:colOff>
      <xdr:row>346</xdr:row>
      <xdr:rowOff>104639</xdr:rowOff>
    </xdr:to>
    <xdr:sp macro="" textlink="">
      <xdr:nvSpPr>
        <xdr:cNvPr id="51" name="角丸四角形 50">
          <a:extLst>
            <a:ext uri="{FF2B5EF4-FFF2-40B4-BE49-F238E27FC236}">
              <a16:creationId xmlns:a16="http://schemas.microsoft.com/office/drawing/2014/main" id="{00000000-0008-0000-0700-000033000000}"/>
            </a:ext>
          </a:extLst>
        </xdr:cNvPr>
        <xdr:cNvSpPr/>
      </xdr:nvSpPr>
      <xdr:spPr>
        <a:xfrm>
          <a:off x="3180547" y="54724658"/>
          <a:ext cx="1291675" cy="31121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p>
      </xdr:txBody>
    </xdr:sp>
    <xdr:clientData/>
  </xdr:twoCellAnchor>
  <xdr:twoCellAnchor>
    <xdr:from>
      <xdr:col>25</xdr:col>
      <xdr:colOff>98930</xdr:colOff>
      <xdr:row>342</xdr:row>
      <xdr:rowOff>14780</xdr:rowOff>
    </xdr:from>
    <xdr:to>
      <xdr:col>36</xdr:col>
      <xdr:colOff>34694</xdr:colOff>
      <xdr:row>344</xdr:row>
      <xdr:rowOff>7456</xdr:rowOff>
    </xdr:to>
    <xdr:sp macro="" textlink="">
      <xdr:nvSpPr>
        <xdr:cNvPr id="52" name="角丸四角形 51">
          <a:extLst>
            <a:ext uri="{FF2B5EF4-FFF2-40B4-BE49-F238E27FC236}">
              <a16:creationId xmlns:a16="http://schemas.microsoft.com/office/drawing/2014/main" id="{00000000-0008-0000-0700-000034000000}"/>
            </a:ext>
          </a:extLst>
        </xdr:cNvPr>
        <xdr:cNvSpPr/>
      </xdr:nvSpPr>
      <xdr:spPr>
        <a:xfrm>
          <a:off x="3180548" y="54318486"/>
          <a:ext cx="1291675" cy="306441"/>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JP1/AJS3-Manager</a:t>
          </a:r>
          <a:endParaRPr kumimoji="1" lang="ja-JP" altLang="en-US" sz="900">
            <a:solidFill>
              <a:schemeClr val="tx1"/>
            </a:solidFill>
            <a:latin typeface="+mn-ea"/>
            <a:ea typeface="+mn-ea"/>
          </a:endParaRPr>
        </a:p>
      </xdr:txBody>
    </xdr:sp>
    <xdr:clientData/>
  </xdr:twoCellAnchor>
  <xdr:twoCellAnchor>
    <xdr:from>
      <xdr:col>52</xdr:col>
      <xdr:colOff>22412</xdr:colOff>
      <xdr:row>344</xdr:row>
      <xdr:rowOff>11201</xdr:rowOff>
    </xdr:from>
    <xdr:to>
      <xdr:col>64</xdr:col>
      <xdr:colOff>19609</xdr:colOff>
      <xdr:row>351</xdr:row>
      <xdr:rowOff>29864</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6432177" y="53844260"/>
          <a:ext cx="1476373" cy="111683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EPM/MPPS</a:t>
          </a:r>
          <a:endParaRPr lang="ja-JP" altLang="en-US" sz="900">
            <a:solidFill>
              <a:schemeClr val="tx1"/>
            </a:solidFill>
            <a:latin typeface="+mn-ea"/>
            <a:ea typeface="+mn-ea"/>
          </a:endParaRPr>
        </a:p>
      </xdr:txBody>
    </xdr:sp>
    <xdr:clientData/>
  </xdr:twoCellAnchor>
  <xdr:twoCellAnchor>
    <xdr:from>
      <xdr:col>53</xdr:col>
      <xdr:colOff>44824</xdr:colOff>
      <xdr:row>348</xdr:row>
      <xdr:rowOff>44523</xdr:rowOff>
    </xdr:from>
    <xdr:to>
      <xdr:col>62</xdr:col>
      <xdr:colOff>120465</xdr:colOff>
      <xdr:row>350</xdr:row>
      <xdr:rowOff>37195</xdr:rowOff>
    </xdr:to>
    <xdr:sp macro="" textlink="">
      <xdr:nvSpPr>
        <xdr:cNvPr id="55" name="角丸四角形 54">
          <a:extLst>
            <a:ext uri="{FF2B5EF4-FFF2-40B4-BE49-F238E27FC236}">
              <a16:creationId xmlns:a16="http://schemas.microsoft.com/office/drawing/2014/main" id="{00000000-0008-0000-0700-000037000000}"/>
            </a:ext>
          </a:extLst>
        </xdr:cNvPr>
        <xdr:cNvSpPr/>
      </xdr:nvSpPr>
      <xdr:spPr>
        <a:xfrm>
          <a:off x="6577853" y="54505111"/>
          <a:ext cx="1185024" cy="306437"/>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endParaRPr kumimoji="1" lang="ja-JP" altLang="en-US" sz="900">
            <a:solidFill>
              <a:schemeClr val="tx1"/>
            </a:solidFill>
            <a:latin typeface="+mn-ea"/>
            <a:ea typeface="+mn-ea"/>
          </a:endParaRPr>
        </a:p>
      </xdr:txBody>
    </xdr:sp>
    <xdr:clientData/>
  </xdr:twoCellAnchor>
  <xdr:twoCellAnchor>
    <xdr:from>
      <xdr:col>53</xdr:col>
      <xdr:colOff>44825</xdr:colOff>
      <xdr:row>345</xdr:row>
      <xdr:rowOff>119725</xdr:rowOff>
    </xdr:from>
    <xdr:to>
      <xdr:col>62</xdr:col>
      <xdr:colOff>120466</xdr:colOff>
      <xdr:row>347</xdr:row>
      <xdr:rowOff>112398</xdr:rowOff>
    </xdr:to>
    <xdr:sp macro="" textlink="">
      <xdr:nvSpPr>
        <xdr:cNvPr id="56" name="角丸四角形 55">
          <a:extLst>
            <a:ext uri="{FF2B5EF4-FFF2-40B4-BE49-F238E27FC236}">
              <a16:creationId xmlns:a16="http://schemas.microsoft.com/office/drawing/2014/main" id="{00000000-0008-0000-0700-000038000000}"/>
            </a:ext>
          </a:extLst>
        </xdr:cNvPr>
        <xdr:cNvSpPr/>
      </xdr:nvSpPr>
      <xdr:spPr>
        <a:xfrm>
          <a:off x="6577854" y="54109666"/>
          <a:ext cx="1185024"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24</xdr:col>
      <xdr:colOff>31165</xdr:colOff>
      <xdr:row>354</xdr:row>
      <xdr:rowOff>33616</xdr:rowOff>
    </xdr:from>
    <xdr:to>
      <xdr:col>50</xdr:col>
      <xdr:colOff>82964</xdr:colOff>
      <xdr:row>361</xdr:row>
      <xdr:rowOff>41504</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989518" y="56219910"/>
          <a:ext cx="3256681" cy="110606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25</xdr:col>
      <xdr:colOff>75638</xdr:colOff>
      <xdr:row>358</xdr:row>
      <xdr:rowOff>67365</xdr:rowOff>
    </xdr:from>
    <xdr:to>
      <xdr:col>36</xdr:col>
      <xdr:colOff>9280</xdr:colOff>
      <xdr:row>360</xdr:row>
      <xdr:rowOff>60037</xdr:rowOff>
    </xdr:to>
    <xdr:sp macro="" textlink="">
      <xdr:nvSpPr>
        <xdr:cNvPr id="58" name="角丸四角形 57">
          <a:extLst>
            <a:ext uri="{FF2B5EF4-FFF2-40B4-BE49-F238E27FC236}">
              <a16:creationId xmlns:a16="http://schemas.microsoft.com/office/drawing/2014/main" id="{00000000-0008-0000-0700-00003A000000}"/>
            </a:ext>
          </a:extLst>
        </xdr:cNvPr>
        <xdr:cNvSpPr/>
      </xdr:nvSpPr>
      <xdr:spPr>
        <a:xfrm>
          <a:off x="3157256" y="56881189"/>
          <a:ext cx="1289553" cy="30643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p>
      </xdr:txBody>
    </xdr:sp>
    <xdr:clientData/>
  </xdr:twoCellAnchor>
  <xdr:twoCellAnchor>
    <xdr:from>
      <xdr:col>25</xdr:col>
      <xdr:colOff>75639</xdr:colOff>
      <xdr:row>355</xdr:row>
      <xdr:rowOff>142568</xdr:rowOff>
    </xdr:from>
    <xdr:to>
      <xdr:col>36</xdr:col>
      <xdr:colOff>9281</xdr:colOff>
      <xdr:row>357</xdr:row>
      <xdr:rowOff>135241</xdr:rowOff>
    </xdr:to>
    <xdr:sp macro="" textlink="">
      <xdr:nvSpPr>
        <xdr:cNvPr id="59" name="角丸四角形 58">
          <a:extLst>
            <a:ext uri="{FF2B5EF4-FFF2-40B4-BE49-F238E27FC236}">
              <a16:creationId xmlns:a16="http://schemas.microsoft.com/office/drawing/2014/main" id="{00000000-0008-0000-0700-00003B000000}"/>
            </a:ext>
          </a:extLst>
        </xdr:cNvPr>
        <xdr:cNvSpPr/>
      </xdr:nvSpPr>
      <xdr:spPr>
        <a:xfrm>
          <a:off x="3157257" y="56485744"/>
          <a:ext cx="1289553"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36</xdr:col>
      <xdr:colOff>34694</xdr:colOff>
      <xdr:row>343</xdr:row>
      <xdr:rowOff>11119</xdr:rowOff>
    </xdr:from>
    <xdr:to>
      <xdr:col>58</xdr:col>
      <xdr:colOff>21013</xdr:colOff>
      <xdr:row>345</xdr:row>
      <xdr:rowOff>119725</xdr:rowOff>
    </xdr:to>
    <xdr:cxnSp macro="">
      <xdr:nvCxnSpPr>
        <xdr:cNvPr id="60" name="カギ線コネクタ 59">
          <a:extLst>
            <a:ext uri="{FF2B5EF4-FFF2-40B4-BE49-F238E27FC236}">
              <a16:creationId xmlns:a16="http://schemas.microsoft.com/office/drawing/2014/main" id="{00000000-0008-0000-0700-00003C000000}"/>
            </a:ext>
          </a:extLst>
        </xdr:cNvPr>
        <xdr:cNvCxnSpPr>
          <a:stCxn id="52" idx="3"/>
          <a:endCxn id="56" idx="0"/>
        </xdr:cNvCxnSpPr>
      </xdr:nvCxnSpPr>
      <xdr:spPr>
        <a:xfrm>
          <a:off x="4472223" y="53687295"/>
          <a:ext cx="2698143" cy="42237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102359</xdr:colOff>
      <xdr:row>343</xdr:row>
      <xdr:rowOff>14782</xdr:rowOff>
    </xdr:from>
    <xdr:to>
      <xdr:col>40</xdr:col>
      <xdr:colOff>102360</xdr:colOff>
      <xdr:row>352</xdr:row>
      <xdr:rowOff>150841</xdr:rowOff>
    </xdr:to>
    <xdr:cxnSp macro="">
      <xdr:nvCxnSpPr>
        <xdr:cNvPr id="61" name="直線コネクタ 60">
          <a:extLst>
            <a:ext uri="{FF2B5EF4-FFF2-40B4-BE49-F238E27FC236}">
              <a16:creationId xmlns:a16="http://schemas.microsoft.com/office/drawing/2014/main" id="{00000000-0008-0000-0700-00003D000000}"/>
            </a:ext>
          </a:extLst>
        </xdr:cNvPr>
        <xdr:cNvCxnSpPr/>
      </xdr:nvCxnSpPr>
      <xdr:spPr>
        <a:xfrm flipH="1">
          <a:off x="5032947" y="54475370"/>
          <a:ext cx="1" cy="1548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50742</xdr:colOff>
      <xdr:row>352</xdr:row>
      <xdr:rowOff>137088</xdr:rowOff>
    </xdr:from>
    <xdr:to>
      <xdr:col>43</xdr:col>
      <xdr:colOff>50742</xdr:colOff>
      <xdr:row>355</xdr:row>
      <xdr:rowOff>134441</xdr:rowOff>
    </xdr:to>
    <xdr:cxnSp macro="">
      <xdr:nvCxnSpPr>
        <xdr:cNvPr id="63" name="直線矢印コネクタ 62">
          <a:extLst>
            <a:ext uri="{FF2B5EF4-FFF2-40B4-BE49-F238E27FC236}">
              <a16:creationId xmlns:a16="http://schemas.microsoft.com/office/drawing/2014/main" id="{00000000-0008-0000-0700-00003F000000}"/>
            </a:ext>
          </a:extLst>
        </xdr:cNvPr>
        <xdr:cNvCxnSpPr/>
      </xdr:nvCxnSpPr>
      <xdr:spPr>
        <a:xfrm flipH="1">
          <a:off x="5351124" y="56009617"/>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15131</xdr:colOff>
      <xdr:row>340</xdr:row>
      <xdr:rowOff>78440</xdr:rowOff>
    </xdr:from>
    <xdr:to>
      <xdr:col>17</xdr:col>
      <xdr:colOff>86025</xdr:colOff>
      <xdr:row>345</xdr:row>
      <xdr:rowOff>89643</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508190" y="54068381"/>
          <a:ext cx="1673335" cy="7956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運用操作端末</a:t>
          </a:r>
        </a:p>
      </xdr:txBody>
    </xdr:sp>
    <xdr:clientData/>
  </xdr:twoCellAnchor>
  <xdr:twoCellAnchor>
    <xdr:from>
      <xdr:col>5</xdr:col>
      <xdr:colOff>89261</xdr:colOff>
      <xdr:row>342</xdr:row>
      <xdr:rowOff>95095</xdr:rowOff>
    </xdr:from>
    <xdr:to>
      <xdr:col>16</xdr:col>
      <xdr:colOff>23637</xdr:colOff>
      <xdr:row>344</xdr:row>
      <xdr:rowOff>87768</xdr:rowOff>
    </xdr:to>
    <xdr:sp macro="" textlink="">
      <xdr:nvSpPr>
        <xdr:cNvPr id="65" name="角丸四角形 64">
          <a:extLst>
            <a:ext uri="{FF2B5EF4-FFF2-40B4-BE49-F238E27FC236}">
              <a16:creationId xmlns:a16="http://schemas.microsoft.com/office/drawing/2014/main" id="{00000000-0008-0000-0700-000041000000}"/>
            </a:ext>
          </a:extLst>
        </xdr:cNvPr>
        <xdr:cNvSpPr/>
      </xdr:nvSpPr>
      <xdr:spPr>
        <a:xfrm>
          <a:off x="705585" y="54398801"/>
          <a:ext cx="1290287"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JP1/AJS3-View</a:t>
          </a:r>
          <a:endParaRPr kumimoji="1" lang="ja-JP" altLang="en-US" sz="900">
            <a:solidFill>
              <a:schemeClr val="tx1"/>
            </a:solidFill>
            <a:latin typeface="+mn-ea"/>
            <a:ea typeface="+mn-ea"/>
          </a:endParaRPr>
        </a:p>
      </xdr:txBody>
    </xdr:sp>
    <xdr:clientData/>
  </xdr:twoCellAnchor>
  <xdr:twoCellAnchor>
    <xdr:from>
      <xdr:col>66</xdr:col>
      <xdr:colOff>57708</xdr:colOff>
      <xdr:row>344</xdr:row>
      <xdr:rowOff>11201</xdr:rowOff>
    </xdr:from>
    <xdr:to>
      <xdr:col>78</xdr:col>
      <xdr:colOff>54905</xdr:colOff>
      <xdr:row>351</xdr:row>
      <xdr:rowOff>29864</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8193179" y="53844260"/>
          <a:ext cx="1476373" cy="111683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WAS</a:t>
          </a:r>
          <a:endParaRPr lang="ja-JP" altLang="en-US" sz="900">
            <a:solidFill>
              <a:schemeClr val="tx1"/>
            </a:solidFill>
            <a:latin typeface="+mn-ea"/>
            <a:ea typeface="+mn-ea"/>
          </a:endParaRPr>
        </a:p>
      </xdr:txBody>
    </xdr:sp>
    <xdr:clientData/>
  </xdr:twoCellAnchor>
  <xdr:twoCellAnchor>
    <xdr:from>
      <xdr:col>67</xdr:col>
      <xdr:colOff>80119</xdr:colOff>
      <xdr:row>348</xdr:row>
      <xdr:rowOff>44523</xdr:rowOff>
    </xdr:from>
    <xdr:to>
      <xdr:col>77</xdr:col>
      <xdr:colOff>32496</xdr:colOff>
      <xdr:row>350</xdr:row>
      <xdr:rowOff>37195</xdr:rowOff>
    </xdr:to>
    <xdr:sp macro="" textlink="">
      <xdr:nvSpPr>
        <xdr:cNvPr id="68" name="角丸四角形 67">
          <a:extLst>
            <a:ext uri="{FF2B5EF4-FFF2-40B4-BE49-F238E27FC236}">
              <a16:creationId xmlns:a16="http://schemas.microsoft.com/office/drawing/2014/main" id="{00000000-0008-0000-0700-000044000000}"/>
            </a:ext>
          </a:extLst>
        </xdr:cNvPr>
        <xdr:cNvSpPr/>
      </xdr:nvSpPr>
      <xdr:spPr>
        <a:xfrm>
          <a:off x="8338854" y="54505111"/>
          <a:ext cx="1185024" cy="306437"/>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JP1/Base(※1)</a:t>
          </a:r>
          <a:endParaRPr kumimoji="1" lang="ja-JP" altLang="en-US" sz="900">
            <a:solidFill>
              <a:sysClr val="windowText" lastClr="000000"/>
            </a:solidFill>
            <a:latin typeface="+mn-ea"/>
            <a:ea typeface="+mn-ea"/>
          </a:endParaRPr>
        </a:p>
      </xdr:txBody>
    </xdr:sp>
    <xdr:clientData/>
  </xdr:twoCellAnchor>
  <xdr:twoCellAnchor>
    <xdr:from>
      <xdr:col>67</xdr:col>
      <xdr:colOff>80120</xdr:colOff>
      <xdr:row>345</xdr:row>
      <xdr:rowOff>119725</xdr:rowOff>
    </xdr:from>
    <xdr:to>
      <xdr:col>77</xdr:col>
      <xdr:colOff>32497</xdr:colOff>
      <xdr:row>347</xdr:row>
      <xdr:rowOff>112398</xdr:rowOff>
    </xdr:to>
    <xdr:sp macro="" textlink="">
      <xdr:nvSpPr>
        <xdr:cNvPr id="69" name="角丸四角形 68">
          <a:extLst>
            <a:ext uri="{FF2B5EF4-FFF2-40B4-BE49-F238E27FC236}">
              <a16:creationId xmlns:a16="http://schemas.microsoft.com/office/drawing/2014/main" id="{00000000-0008-0000-0700-000045000000}"/>
            </a:ext>
          </a:extLst>
        </xdr:cNvPr>
        <xdr:cNvSpPr/>
      </xdr:nvSpPr>
      <xdr:spPr>
        <a:xfrm>
          <a:off x="8338855" y="54109666"/>
          <a:ext cx="1185024"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xdr:col>
      <xdr:colOff>83225</xdr:colOff>
      <xdr:row>445</xdr:row>
      <xdr:rowOff>119114</xdr:rowOff>
    </xdr:from>
    <xdr:to>
      <xdr:col>77</xdr:col>
      <xdr:colOff>78404</xdr:colOff>
      <xdr:row>445</xdr:row>
      <xdr:rowOff>119115</xdr:rowOff>
    </xdr:to>
    <xdr:cxnSp macro="">
      <xdr:nvCxnSpPr>
        <xdr:cNvPr id="91" name="直線コネクタ 90">
          <a:extLst>
            <a:ext uri="{FF2B5EF4-FFF2-40B4-BE49-F238E27FC236}">
              <a16:creationId xmlns:a16="http://schemas.microsoft.com/office/drawing/2014/main" id="{00000000-0008-0000-0700-00005B000000}"/>
            </a:ext>
          </a:extLst>
        </xdr:cNvPr>
        <xdr:cNvCxnSpPr/>
      </xdr:nvCxnSpPr>
      <xdr:spPr>
        <a:xfrm flipV="1">
          <a:off x="325680" y="70119205"/>
          <a:ext cx="9087224"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47973</xdr:colOff>
      <xdr:row>67</xdr:row>
      <xdr:rowOff>36739</xdr:rowOff>
    </xdr:from>
    <xdr:to>
      <xdr:col>69</xdr:col>
      <xdr:colOff>38447</xdr:colOff>
      <xdr:row>70</xdr:row>
      <xdr:rowOff>149289</xdr:rowOff>
    </xdr:to>
    <xdr:sp macro="" textlink="">
      <xdr:nvSpPr>
        <xdr:cNvPr id="102" name="正方形/長方形 101">
          <a:extLst>
            <a:ext uri="{FF2B5EF4-FFF2-40B4-BE49-F238E27FC236}">
              <a16:creationId xmlns:a16="http://schemas.microsoft.com/office/drawing/2014/main" id="{00000000-0008-0000-0700-000066000000}"/>
            </a:ext>
          </a:extLst>
        </xdr:cNvPr>
        <xdr:cNvSpPr/>
      </xdr:nvSpPr>
      <xdr:spPr>
        <a:xfrm>
          <a:off x="7443855" y="10256504"/>
          <a:ext cx="1099857" cy="583197"/>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mn-ea"/>
            </a:rPr>
            <a:t>タンデム（開発機）</a:t>
          </a:r>
        </a:p>
      </xdr:txBody>
    </xdr:sp>
    <xdr:clientData/>
  </xdr:twoCellAnchor>
  <xdr:twoCellAnchor>
    <xdr:from>
      <xdr:col>33</xdr:col>
      <xdr:colOff>71693</xdr:colOff>
      <xdr:row>80</xdr:row>
      <xdr:rowOff>90618</xdr:rowOff>
    </xdr:from>
    <xdr:to>
      <xdr:col>42</xdr:col>
      <xdr:colOff>84272</xdr:colOff>
      <xdr:row>80</xdr:row>
      <xdr:rowOff>92068</xdr:rowOff>
    </xdr:to>
    <xdr:cxnSp macro="">
      <xdr:nvCxnSpPr>
        <xdr:cNvPr id="103" name="直線矢印コネクタ 102">
          <a:extLst>
            <a:ext uri="{FF2B5EF4-FFF2-40B4-BE49-F238E27FC236}">
              <a16:creationId xmlns:a16="http://schemas.microsoft.com/office/drawing/2014/main" id="{00000000-0008-0000-0700-000067000000}"/>
            </a:ext>
          </a:extLst>
        </xdr:cNvPr>
        <xdr:cNvCxnSpPr>
          <a:stCxn id="14" idx="5"/>
          <a:endCxn id="21" idx="1"/>
        </xdr:cNvCxnSpPr>
      </xdr:nvCxnSpPr>
      <xdr:spPr>
        <a:xfrm flipV="1">
          <a:off x="4139428" y="12506736"/>
          <a:ext cx="1121962" cy="145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63706</xdr:colOff>
      <xdr:row>79</xdr:row>
      <xdr:rowOff>16429</xdr:rowOff>
    </xdr:from>
    <xdr:to>
      <xdr:col>67</xdr:col>
      <xdr:colOff>104259</xdr:colOff>
      <xdr:row>82</xdr:row>
      <xdr:rowOff>6904</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7582853" y="12275664"/>
          <a:ext cx="780141"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55</xdr:col>
      <xdr:colOff>47690</xdr:colOff>
      <xdr:row>80</xdr:row>
      <xdr:rowOff>90107</xdr:rowOff>
    </xdr:from>
    <xdr:to>
      <xdr:col>61</xdr:col>
      <xdr:colOff>63706</xdr:colOff>
      <xdr:row>80</xdr:row>
      <xdr:rowOff>90618</xdr:rowOff>
    </xdr:to>
    <xdr:cxnSp macro="">
      <xdr:nvCxnSpPr>
        <xdr:cNvPr id="105" name="直線矢印コネクタ 104">
          <a:extLst>
            <a:ext uri="{FF2B5EF4-FFF2-40B4-BE49-F238E27FC236}">
              <a16:creationId xmlns:a16="http://schemas.microsoft.com/office/drawing/2014/main" id="{00000000-0008-0000-0700-000069000000}"/>
            </a:ext>
          </a:extLst>
        </xdr:cNvPr>
        <xdr:cNvCxnSpPr>
          <a:stCxn id="21" idx="5"/>
          <a:endCxn id="104" idx="1"/>
        </xdr:cNvCxnSpPr>
      </xdr:nvCxnSpPr>
      <xdr:spPr>
        <a:xfrm flipV="1">
          <a:off x="6827249" y="12506225"/>
          <a:ext cx="755604" cy="51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32616</xdr:colOff>
      <xdr:row>68</xdr:row>
      <xdr:rowOff>120230</xdr:rowOff>
    </xdr:from>
    <xdr:to>
      <xdr:col>68</xdr:col>
      <xdr:colOff>17708</xdr:colOff>
      <xdr:row>70</xdr:row>
      <xdr:rowOff>36869</xdr:rowOff>
    </xdr:to>
    <xdr:sp macro="" textlink="">
      <xdr:nvSpPr>
        <xdr:cNvPr id="106" name="正方形/長方形 105">
          <a:extLst>
            <a:ext uri="{FF2B5EF4-FFF2-40B4-BE49-F238E27FC236}">
              <a16:creationId xmlns:a16="http://schemas.microsoft.com/office/drawing/2014/main" id="{00000000-0008-0000-0700-00006A000000}"/>
            </a:ext>
          </a:extLst>
        </xdr:cNvPr>
        <xdr:cNvSpPr/>
      </xdr:nvSpPr>
      <xdr:spPr>
        <a:xfrm>
          <a:off x="7551763" y="10496877"/>
          <a:ext cx="847945" cy="23040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64</xdr:col>
      <xdr:colOff>83983</xdr:colOff>
      <xdr:row>70</xdr:row>
      <xdr:rowOff>36869</xdr:rowOff>
    </xdr:from>
    <xdr:to>
      <xdr:col>64</xdr:col>
      <xdr:colOff>86795</xdr:colOff>
      <xdr:row>79</xdr:row>
      <xdr:rowOff>16429</xdr:rowOff>
    </xdr:to>
    <xdr:cxnSp macro="">
      <xdr:nvCxnSpPr>
        <xdr:cNvPr id="107" name="直線矢印コネクタ 106">
          <a:extLst>
            <a:ext uri="{FF2B5EF4-FFF2-40B4-BE49-F238E27FC236}">
              <a16:creationId xmlns:a16="http://schemas.microsoft.com/office/drawing/2014/main" id="{00000000-0008-0000-0700-00006B000000}"/>
            </a:ext>
          </a:extLst>
        </xdr:cNvPr>
        <xdr:cNvCxnSpPr>
          <a:stCxn id="104" idx="0"/>
          <a:endCxn id="106" idx="2"/>
        </xdr:cNvCxnSpPr>
      </xdr:nvCxnSpPr>
      <xdr:spPr>
        <a:xfrm flipV="1">
          <a:off x="7972924" y="10884163"/>
          <a:ext cx="2812" cy="139150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35086</xdr:colOff>
      <xdr:row>67</xdr:row>
      <xdr:rowOff>8164</xdr:rowOff>
    </xdr:from>
    <xdr:to>
      <xdr:col>37</xdr:col>
      <xdr:colOff>25560</xdr:colOff>
      <xdr:row>70</xdr:row>
      <xdr:rowOff>120571</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3486498" y="10227929"/>
          <a:ext cx="1099856" cy="58305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38</xdr:col>
      <xdr:colOff>122289</xdr:colOff>
      <xdr:row>67</xdr:row>
      <xdr:rowOff>17689</xdr:rowOff>
    </xdr:from>
    <xdr:to>
      <xdr:col>47</xdr:col>
      <xdr:colOff>112762</xdr:colOff>
      <xdr:row>70</xdr:row>
      <xdr:rowOff>130096</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4806348" y="10237454"/>
          <a:ext cx="1099855" cy="58305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49</xdr:col>
      <xdr:colOff>103237</xdr:colOff>
      <xdr:row>67</xdr:row>
      <xdr:rowOff>27214</xdr:rowOff>
    </xdr:from>
    <xdr:to>
      <xdr:col>58</xdr:col>
      <xdr:colOff>93711</xdr:colOff>
      <xdr:row>70</xdr:row>
      <xdr:rowOff>139621</xdr:rowOff>
    </xdr:to>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6143208" y="10246979"/>
          <a:ext cx="1099856" cy="58305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27</xdr:col>
      <xdr:colOff>19755</xdr:colOff>
      <xdr:row>77</xdr:row>
      <xdr:rowOff>32546</xdr:rowOff>
    </xdr:from>
    <xdr:to>
      <xdr:col>27</xdr:col>
      <xdr:colOff>21195</xdr:colOff>
      <xdr:row>77</xdr:row>
      <xdr:rowOff>140546</xdr:rowOff>
    </xdr:to>
    <xdr:cxnSp macro="">
      <xdr:nvCxnSpPr>
        <xdr:cNvPr id="111" name="直線矢印コネクタ 110">
          <a:extLst>
            <a:ext uri="{FF2B5EF4-FFF2-40B4-BE49-F238E27FC236}">
              <a16:creationId xmlns:a16="http://schemas.microsoft.com/office/drawing/2014/main" id="{00000000-0008-0000-0700-00006F000000}"/>
            </a:ext>
          </a:extLst>
        </xdr:cNvPr>
        <xdr:cNvCxnSpPr/>
      </xdr:nvCxnSpPr>
      <xdr:spPr>
        <a:xfrm flipH="1" flipV="1">
          <a:off x="3347902" y="11978017"/>
          <a:ext cx="1440" cy="108000"/>
        </a:xfrm>
        <a:prstGeom prst="straightConnector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21521</xdr:colOff>
      <xdr:row>77</xdr:row>
      <xdr:rowOff>48947</xdr:rowOff>
    </xdr:from>
    <xdr:to>
      <xdr:col>39</xdr:col>
      <xdr:colOff>90344</xdr:colOff>
      <xdr:row>77</xdr:row>
      <xdr:rowOff>48947</xdr:rowOff>
    </xdr:to>
    <xdr:cxnSp macro="">
      <xdr:nvCxnSpPr>
        <xdr:cNvPr id="112" name="直線矢印コネクタ 111">
          <a:extLst>
            <a:ext uri="{FF2B5EF4-FFF2-40B4-BE49-F238E27FC236}">
              <a16:creationId xmlns:a16="http://schemas.microsoft.com/office/drawing/2014/main" id="{00000000-0008-0000-0700-000070000000}"/>
            </a:ext>
          </a:extLst>
        </xdr:cNvPr>
        <xdr:cNvCxnSpPr/>
      </xdr:nvCxnSpPr>
      <xdr:spPr>
        <a:xfrm flipV="1">
          <a:off x="3349668" y="11994418"/>
          <a:ext cx="1548000" cy="0"/>
        </a:xfrm>
        <a:prstGeom prst="straightConnector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88846</xdr:colOff>
      <xdr:row>72</xdr:row>
      <xdr:rowOff>145676</xdr:rowOff>
    </xdr:from>
    <xdr:to>
      <xdr:col>39</xdr:col>
      <xdr:colOff>88846</xdr:colOff>
      <xdr:row>77</xdr:row>
      <xdr:rowOff>45264</xdr:rowOff>
    </xdr:to>
    <xdr:cxnSp macro="">
      <xdr:nvCxnSpPr>
        <xdr:cNvPr id="113" name="直線矢印コネクタ 112">
          <a:extLst>
            <a:ext uri="{FF2B5EF4-FFF2-40B4-BE49-F238E27FC236}">
              <a16:creationId xmlns:a16="http://schemas.microsoft.com/office/drawing/2014/main" id="{00000000-0008-0000-0700-000071000000}"/>
            </a:ext>
          </a:extLst>
        </xdr:cNvPr>
        <xdr:cNvCxnSpPr/>
      </xdr:nvCxnSpPr>
      <xdr:spPr>
        <a:xfrm flipH="1" flipV="1">
          <a:off x="4896170" y="11306735"/>
          <a:ext cx="0" cy="684000"/>
        </a:xfrm>
        <a:prstGeom prst="straightConnector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94480</xdr:colOff>
      <xdr:row>70</xdr:row>
      <xdr:rowOff>120571</xdr:rowOff>
    </xdr:from>
    <xdr:to>
      <xdr:col>39</xdr:col>
      <xdr:colOff>118560</xdr:colOff>
      <xdr:row>72</xdr:row>
      <xdr:rowOff>139621</xdr:rowOff>
    </xdr:to>
    <xdr:cxnSp macro="">
      <xdr:nvCxnSpPr>
        <xdr:cNvPr id="114" name="カギ線コネクタ 113">
          <a:extLst>
            <a:ext uri="{FF2B5EF4-FFF2-40B4-BE49-F238E27FC236}">
              <a16:creationId xmlns:a16="http://schemas.microsoft.com/office/drawing/2014/main" id="{00000000-0008-0000-0700-000072000000}"/>
            </a:ext>
          </a:extLst>
        </xdr:cNvPr>
        <xdr:cNvCxnSpPr>
          <a:endCxn id="108" idx="2"/>
        </xdr:cNvCxnSpPr>
      </xdr:nvCxnSpPr>
      <xdr:spPr>
        <a:xfrm rot="10800000">
          <a:off x="4038951" y="10810983"/>
          <a:ext cx="886933" cy="332814"/>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88846</xdr:colOff>
      <xdr:row>70</xdr:row>
      <xdr:rowOff>130096</xdr:rowOff>
    </xdr:from>
    <xdr:to>
      <xdr:col>43</xdr:col>
      <xdr:colOff>55493</xdr:colOff>
      <xdr:row>72</xdr:row>
      <xdr:rowOff>134470</xdr:rowOff>
    </xdr:to>
    <xdr:cxnSp macro="">
      <xdr:nvCxnSpPr>
        <xdr:cNvPr id="115" name="カギ線コネクタ 114">
          <a:extLst>
            <a:ext uri="{FF2B5EF4-FFF2-40B4-BE49-F238E27FC236}">
              <a16:creationId xmlns:a16="http://schemas.microsoft.com/office/drawing/2014/main" id="{00000000-0008-0000-0700-000073000000}"/>
            </a:ext>
          </a:extLst>
        </xdr:cNvPr>
        <xdr:cNvCxnSpPr>
          <a:endCxn id="109" idx="2"/>
        </xdr:cNvCxnSpPr>
      </xdr:nvCxnSpPr>
      <xdr:spPr>
        <a:xfrm flipV="1">
          <a:off x="4896170" y="10820508"/>
          <a:ext cx="459705" cy="318138"/>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88846</xdr:colOff>
      <xdr:row>70</xdr:row>
      <xdr:rowOff>139621</xdr:rowOff>
    </xdr:from>
    <xdr:to>
      <xdr:col>54</xdr:col>
      <xdr:colOff>36042</xdr:colOff>
      <xdr:row>72</xdr:row>
      <xdr:rowOff>145676</xdr:rowOff>
    </xdr:to>
    <xdr:cxnSp macro="">
      <xdr:nvCxnSpPr>
        <xdr:cNvPr id="116" name="カギ線コネクタ 115">
          <a:extLst>
            <a:ext uri="{FF2B5EF4-FFF2-40B4-BE49-F238E27FC236}">
              <a16:creationId xmlns:a16="http://schemas.microsoft.com/office/drawing/2014/main" id="{00000000-0008-0000-0700-000074000000}"/>
            </a:ext>
          </a:extLst>
        </xdr:cNvPr>
        <xdr:cNvCxnSpPr>
          <a:endCxn id="110" idx="2"/>
        </xdr:cNvCxnSpPr>
      </xdr:nvCxnSpPr>
      <xdr:spPr>
        <a:xfrm flipV="1">
          <a:off x="4896170" y="10830033"/>
          <a:ext cx="1796166" cy="319819"/>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101041</xdr:colOff>
      <xdr:row>90</xdr:row>
      <xdr:rowOff>94098</xdr:rowOff>
    </xdr:from>
    <xdr:to>
      <xdr:col>68</xdr:col>
      <xdr:colOff>89877</xdr:colOff>
      <xdr:row>94</xdr:row>
      <xdr:rowOff>94098</xdr:rowOff>
    </xdr:to>
    <xdr:sp macro="" textlink="">
      <xdr:nvSpPr>
        <xdr:cNvPr id="117" name="角丸四角形 116">
          <a:extLst>
            <a:ext uri="{FF2B5EF4-FFF2-40B4-BE49-F238E27FC236}">
              <a16:creationId xmlns:a16="http://schemas.microsoft.com/office/drawing/2014/main" id="{00000000-0008-0000-0700-000075000000}"/>
            </a:ext>
          </a:extLst>
        </xdr:cNvPr>
        <xdr:cNvSpPr/>
      </xdr:nvSpPr>
      <xdr:spPr>
        <a:xfrm>
          <a:off x="7496923" y="13922157"/>
          <a:ext cx="974954" cy="627529"/>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70</xdr:col>
      <xdr:colOff>47543</xdr:colOff>
      <xdr:row>73</xdr:row>
      <xdr:rowOff>78440</xdr:rowOff>
    </xdr:from>
    <xdr:to>
      <xdr:col>78</xdr:col>
      <xdr:colOff>8547</xdr:colOff>
      <xdr:row>95</xdr:row>
      <xdr:rowOff>140154</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8676072" y="11239499"/>
          <a:ext cx="947122" cy="351312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28352</xdr:colOff>
      <xdr:row>84</xdr:row>
      <xdr:rowOff>131221</xdr:rowOff>
    </xdr:from>
    <xdr:to>
      <xdr:col>71</xdr:col>
      <xdr:colOff>35648</xdr:colOff>
      <xdr:row>93</xdr:row>
      <xdr:rowOff>14845</xdr:rowOff>
    </xdr:to>
    <xdr:cxnSp macro="">
      <xdr:nvCxnSpPr>
        <xdr:cNvPr id="119" name="カギ線コネクタ 118">
          <a:extLst>
            <a:ext uri="{FF2B5EF4-FFF2-40B4-BE49-F238E27FC236}">
              <a16:creationId xmlns:a16="http://schemas.microsoft.com/office/drawing/2014/main" id="{00000000-0008-0000-0700-000077000000}"/>
            </a:ext>
          </a:extLst>
        </xdr:cNvPr>
        <xdr:cNvCxnSpPr>
          <a:stCxn id="14" idx="3"/>
          <a:endCxn id="425" idx="2"/>
        </xdr:cNvCxnSpPr>
      </xdr:nvCxnSpPr>
      <xdr:spPr>
        <a:xfrm rot="16200000" flipH="1">
          <a:off x="5424188" y="11107179"/>
          <a:ext cx="1295565" cy="543094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16036</xdr:colOff>
      <xdr:row>67</xdr:row>
      <xdr:rowOff>13848</xdr:rowOff>
    </xdr:from>
    <xdr:to>
      <xdr:col>27</xdr:col>
      <xdr:colOff>8548</xdr:colOff>
      <xdr:row>70</xdr:row>
      <xdr:rowOff>126401</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2234801" y="10233613"/>
          <a:ext cx="1101894" cy="5832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22</xdr:col>
      <xdr:colOff>74725</xdr:colOff>
      <xdr:row>70</xdr:row>
      <xdr:rowOff>126401</xdr:rowOff>
    </xdr:from>
    <xdr:to>
      <xdr:col>32</xdr:col>
      <xdr:colOff>111259</xdr:colOff>
      <xdr:row>72</xdr:row>
      <xdr:rowOff>145676</xdr:rowOff>
    </xdr:to>
    <xdr:cxnSp macro="">
      <xdr:nvCxnSpPr>
        <xdr:cNvPr id="129" name="カギ線コネクタ 128">
          <a:extLst>
            <a:ext uri="{FF2B5EF4-FFF2-40B4-BE49-F238E27FC236}">
              <a16:creationId xmlns:a16="http://schemas.microsoft.com/office/drawing/2014/main" id="{00000000-0008-0000-0700-000081000000}"/>
            </a:ext>
          </a:extLst>
        </xdr:cNvPr>
        <xdr:cNvCxnSpPr>
          <a:endCxn id="128" idx="2"/>
        </xdr:cNvCxnSpPr>
      </xdr:nvCxnSpPr>
      <xdr:spPr>
        <a:xfrm rot="10800000">
          <a:off x="2786549" y="10816813"/>
          <a:ext cx="1269181" cy="333039"/>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3973</xdr:colOff>
      <xdr:row>180</xdr:row>
      <xdr:rowOff>146152</xdr:rowOff>
    </xdr:from>
    <xdr:to>
      <xdr:col>55</xdr:col>
      <xdr:colOff>7452</xdr:colOff>
      <xdr:row>193</xdr:row>
      <xdr:rowOff>117502</xdr:rowOff>
    </xdr:to>
    <xdr:sp macro="" textlink="">
      <xdr:nvSpPr>
        <xdr:cNvPr id="140" name="角丸四角形 139">
          <a:extLst>
            <a:ext uri="{FF2B5EF4-FFF2-40B4-BE49-F238E27FC236}">
              <a16:creationId xmlns:a16="http://schemas.microsoft.com/office/drawing/2014/main" id="{00000000-0008-0000-0700-00008C000000}"/>
            </a:ext>
          </a:extLst>
        </xdr:cNvPr>
        <xdr:cNvSpPr/>
      </xdr:nvSpPr>
      <xdr:spPr>
        <a:xfrm>
          <a:off x="4833148" y="27911527"/>
          <a:ext cx="1984679" cy="1952550"/>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bg1">
                  <a:lumMod val="50000"/>
                </a:schemeClr>
              </a:solidFill>
              <a:latin typeface="+mn-ea"/>
              <a:ea typeface="+mn-ea"/>
            </a:rPr>
            <a:t>OracleDB</a:t>
          </a:r>
        </a:p>
      </xdr:txBody>
    </xdr:sp>
    <xdr:clientData/>
  </xdr:twoCellAnchor>
  <xdr:twoCellAnchor>
    <xdr:from>
      <xdr:col>35</xdr:col>
      <xdr:colOff>49355</xdr:colOff>
      <xdr:row>181</xdr:row>
      <xdr:rowOff>9100</xdr:rowOff>
    </xdr:from>
    <xdr:to>
      <xdr:col>38</xdr:col>
      <xdr:colOff>40817</xdr:colOff>
      <xdr:row>193</xdr:row>
      <xdr:rowOff>128706</xdr:rowOff>
    </xdr:to>
    <xdr:sp macro="" textlink="">
      <xdr:nvSpPr>
        <xdr:cNvPr id="141" name="角丸四角形 140">
          <a:extLst>
            <a:ext uri="{FF2B5EF4-FFF2-40B4-BE49-F238E27FC236}">
              <a16:creationId xmlns:a16="http://schemas.microsoft.com/office/drawing/2014/main" id="{00000000-0008-0000-0700-00008D000000}"/>
            </a:ext>
          </a:extLst>
        </xdr:cNvPr>
        <xdr:cNvSpPr/>
      </xdr:nvSpPr>
      <xdr:spPr>
        <a:xfrm>
          <a:off x="4383230" y="27926875"/>
          <a:ext cx="362937" cy="1948406"/>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bg1">
                  <a:lumMod val="50000"/>
                </a:schemeClr>
              </a:solidFill>
              <a:latin typeface="+mn-ea"/>
              <a:ea typeface="+mn-ea"/>
            </a:rPr>
            <a:t>開発リスナー</a:t>
          </a:r>
        </a:p>
      </xdr:txBody>
    </xdr:sp>
    <xdr:clientData/>
  </xdr:twoCellAnchor>
  <xdr:twoCellAnchor>
    <xdr:from>
      <xdr:col>40</xdr:col>
      <xdr:colOff>80899</xdr:colOff>
      <xdr:row>183</xdr:row>
      <xdr:rowOff>67562</xdr:rowOff>
    </xdr:from>
    <xdr:to>
      <xdr:col>54</xdr:col>
      <xdr:colOff>10107</xdr:colOff>
      <xdr:row>193</xdr:row>
      <xdr:rowOff>13070</xdr:rowOff>
    </xdr:to>
    <xdr:sp macro="" textlink="">
      <xdr:nvSpPr>
        <xdr:cNvPr id="142" name="円柱 141">
          <a:extLst>
            <a:ext uri="{FF2B5EF4-FFF2-40B4-BE49-F238E27FC236}">
              <a16:creationId xmlns:a16="http://schemas.microsoft.com/office/drawing/2014/main" id="{00000000-0008-0000-0700-00008E000000}"/>
            </a:ext>
          </a:extLst>
        </xdr:cNvPr>
        <xdr:cNvSpPr/>
      </xdr:nvSpPr>
      <xdr:spPr>
        <a:xfrm>
          <a:off x="5033899" y="28290137"/>
          <a:ext cx="1662758" cy="1469508"/>
        </a:xfrm>
        <a:prstGeom prst="can">
          <a:avLst>
            <a:gd name="adj" fmla="val 19488"/>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chemeClr val="bg1">
                  <a:lumMod val="50000"/>
                </a:schemeClr>
              </a:solidFill>
              <a:latin typeface="+mn-ea"/>
              <a:ea typeface="+mn-ea"/>
            </a:rPr>
            <a:t>開発インスタンス</a:t>
          </a:r>
          <a:endParaRPr kumimoji="1" lang="en-US" altLang="ja-JP" sz="900">
            <a:solidFill>
              <a:schemeClr val="bg1">
                <a:lumMod val="50000"/>
              </a:schemeClr>
            </a:solidFill>
            <a:latin typeface="+mn-ea"/>
            <a:ea typeface="+mn-ea"/>
          </a:endParaRPr>
        </a:p>
        <a:p>
          <a:pPr algn="ctr">
            <a:lnSpc>
              <a:spcPts val="1300"/>
            </a:lnSpc>
          </a:pPr>
          <a:endParaRPr kumimoji="1" lang="ja-JP" altLang="en-US" sz="900">
            <a:solidFill>
              <a:schemeClr val="bg1">
                <a:lumMod val="50000"/>
              </a:schemeClr>
            </a:solidFill>
            <a:latin typeface="+mn-ea"/>
            <a:ea typeface="+mn-ea"/>
          </a:endParaRPr>
        </a:p>
      </xdr:txBody>
    </xdr:sp>
    <xdr:clientData/>
  </xdr:twoCellAnchor>
  <xdr:twoCellAnchor>
    <xdr:from>
      <xdr:col>27</xdr:col>
      <xdr:colOff>35984</xdr:colOff>
      <xdr:row>188</xdr:row>
      <xdr:rowOff>39012</xdr:rowOff>
    </xdr:from>
    <xdr:to>
      <xdr:col>34</xdr:col>
      <xdr:colOff>84248</xdr:colOff>
      <xdr:row>190</xdr:row>
      <xdr:rowOff>19865</xdr:rowOff>
    </xdr:to>
    <xdr:sp macro="" textlink="">
      <xdr:nvSpPr>
        <xdr:cNvPr id="143" name="角丸四角形 142">
          <a:extLst>
            <a:ext uri="{FF2B5EF4-FFF2-40B4-BE49-F238E27FC236}">
              <a16:creationId xmlns:a16="http://schemas.microsoft.com/office/drawing/2014/main" id="{00000000-0008-0000-0700-00008F000000}"/>
            </a:ext>
          </a:extLst>
        </xdr:cNvPr>
        <xdr:cNvSpPr/>
      </xdr:nvSpPr>
      <xdr:spPr>
        <a:xfrm>
          <a:off x="3379259" y="29023587"/>
          <a:ext cx="915039" cy="28565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27</xdr:col>
      <xdr:colOff>42586</xdr:colOff>
      <xdr:row>190</xdr:row>
      <xdr:rowOff>135017</xdr:rowOff>
    </xdr:from>
    <xdr:to>
      <xdr:col>34</xdr:col>
      <xdr:colOff>90290</xdr:colOff>
      <xdr:row>193</xdr:row>
      <xdr:rowOff>138792</xdr:rowOff>
    </xdr:to>
    <xdr:sp macro="" textlink="">
      <xdr:nvSpPr>
        <xdr:cNvPr id="144" name="角丸四角形 143">
          <a:extLst>
            <a:ext uri="{FF2B5EF4-FFF2-40B4-BE49-F238E27FC236}">
              <a16:creationId xmlns:a16="http://schemas.microsoft.com/office/drawing/2014/main" id="{00000000-0008-0000-0700-000090000000}"/>
            </a:ext>
          </a:extLst>
        </xdr:cNvPr>
        <xdr:cNvSpPr/>
      </xdr:nvSpPr>
      <xdr:spPr>
        <a:xfrm>
          <a:off x="3385861" y="29424392"/>
          <a:ext cx="914479" cy="4609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mn-ea"/>
              <a:ea typeface="+mn-ea"/>
            </a:rPr>
            <a:t>Oracle Client</a:t>
          </a:r>
          <a:endParaRPr lang="ja-JP" altLang="en-US" sz="900">
            <a:solidFill>
              <a:schemeClr val="tx1"/>
            </a:solidFill>
            <a:latin typeface="+mn-ea"/>
            <a:ea typeface="+mn-ea"/>
          </a:endParaRPr>
        </a:p>
      </xdr:txBody>
    </xdr:sp>
    <xdr:clientData/>
  </xdr:twoCellAnchor>
  <xdr:twoCellAnchor>
    <xdr:from>
      <xdr:col>56</xdr:col>
      <xdr:colOff>104305</xdr:colOff>
      <xdr:row>170</xdr:row>
      <xdr:rowOff>103028</xdr:rowOff>
    </xdr:from>
    <xdr:to>
      <xdr:col>62</xdr:col>
      <xdr:colOff>14011</xdr:colOff>
      <xdr:row>170</xdr:row>
      <xdr:rowOff>104775</xdr:rowOff>
    </xdr:to>
    <xdr:cxnSp macro="">
      <xdr:nvCxnSpPr>
        <xdr:cNvPr id="145" name="直線コネクタ 144">
          <a:extLst>
            <a:ext uri="{FF2B5EF4-FFF2-40B4-BE49-F238E27FC236}">
              <a16:creationId xmlns:a16="http://schemas.microsoft.com/office/drawing/2014/main" id="{00000000-0008-0000-0700-000091000000}"/>
            </a:ext>
          </a:extLst>
        </xdr:cNvPr>
        <xdr:cNvCxnSpPr>
          <a:stCxn id="27" idx="3"/>
        </xdr:cNvCxnSpPr>
      </xdr:nvCxnSpPr>
      <xdr:spPr>
        <a:xfrm>
          <a:off x="7038505" y="26344403"/>
          <a:ext cx="652656" cy="1747"/>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10107</xdr:colOff>
      <xdr:row>171</xdr:row>
      <xdr:rowOff>21266</xdr:rowOff>
    </xdr:from>
    <xdr:to>
      <xdr:col>63</xdr:col>
      <xdr:colOff>17255</xdr:colOff>
      <xdr:row>178</xdr:row>
      <xdr:rowOff>111682</xdr:rowOff>
    </xdr:to>
    <xdr:cxnSp macro="">
      <xdr:nvCxnSpPr>
        <xdr:cNvPr id="146" name="直線コネクタ 145">
          <a:extLst>
            <a:ext uri="{FF2B5EF4-FFF2-40B4-BE49-F238E27FC236}">
              <a16:creationId xmlns:a16="http://schemas.microsoft.com/office/drawing/2014/main" id="{00000000-0008-0000-0700-000092000000}"/>
            </a:ext>
          </a:extLst>
        </xdr:cNvPr>
        <xdr:cNvCxnSpPr>
          <a:stCxn id="32" idx="4"/>
          <a:endCxn id="24" idx="1"/>
        </xdr:cNvCxnSpPr>
      </xdr:nvCxnSpPr>
      <xdr:spPr>
        <a:xfrm>
          <a:off x="6696657" y="26415041"/>
          <a:ext cx="1121573" cy="1157216"/>
        </a:xfrm>
        <a:prstGeom prst="line">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113830</xdr:colOff>
      <xdr:row>185</xdr:row>
      <xdr:rowOff>83978</xdr:rowOff>
    </xdr:from>
    <xdr:to>
      <xdr:col>62</xdr:col>
      <xdr:colOff>23536</xdr:colOff>
      <xdr:row>185</xdr:row>
      <xdr:rowOff>85725</xdr:rowOff>
    </xdr:to>
    <xdr:cxnSp macro="">
      <xdr:nvCxnSpPr>
        <xdr:cNvPr id="147" name="直線コネクタ 146">
          <a:extLst>
            <a:ext uri="{FF2B5EF4-FFF2-40B4-BE49-F238E27FC236}">
              <a16:creationId xmlns:a16="http://schemas.microsoft.com/office/drawing/2014/main" id="{00000000-0008-0000-0700-000093000000}"/>
            </a:ext>
          </a:extLst>
        </xdr:cNvPr>
        <xdr:cNvCxnSpPr/>
      </xdr:nvCxnSpPr>
      <xdr:spPr>
        <a:xfrm>
          <a:off x="7048030" y="28611353"/>
          <a:ext cx="652656" cy="174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48472</xdr:colOff>
      <xdr:row>178</xdr:row>
      <xdr:rowOff>66676</xdr:rowOff>
    </xdr:from>
    <xdr:to>
      <xdr:col>41</xdr:col>
      <xdr:colOff>48472</xdr:colOff>
      <xdr:row>180</xdr:row>
      <xdr:rowOff>6030</xdr:rowOff>
    </xdr:to>
    <xdr:cxnSp macro="">
      <xdr:nvCxnSpPr>
        <xdr:cNvPr id="148" name="直線コネクタ 147">
          <a:extLst>
            <a:ext uri="{FF2B5EF4-FFF2-40B4-BE49-F238E27FC236}">
              <a16:creationId xmlns:a16="http://schemas.microsoft.com/office/drawing/2014/main" id="{00000000-0008-0000-0700-000094000000}"/>
            </a:ext>
          </a:extLst>
        </xdr:cNvPr>
        <xdr:cNvCxnSpPr>
          <a:stCxn id="139" idx="0"/>
          <a:endCxn id="27" idx="2"/>
        </xdr:cNvCxnSpPr>
      </xdr:nvCxnSpPr>
      <xdr:spPr>
        <a:xfrm flipV="1">
          <a:off x="5125297" y="27527251"/>
          <a:ext cx="0" cy="24415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33060</xdr:colOff>
      <xdr:row>178</xdr:row>
      <xdr:rowOff>85725</xdr:rowOff>
    </xdr:from>
    <xdr:to>
      <xdr:col>49</xdr:col>
      <xdr:colOff>61634</xdr:colOff>
      <xdr:row>180</xdr:row>
      <xdr:rowOff>47625</xdr:rowOff>
    </xdr:to>
    <xdr:sp macro="" textlink="">
      <xdr:nvSpPr>
        <xdr:cNvPr id="149" name="正方形/長方形 148">
          <a:extLst>
            <a:ext uri="{FF2B5EF4-FFF2-40B4-BE49-F238E27FC236}">
              <a16:creationId xmlns:a16="http://schemas.microsoft.com/office/drawing/2014/main" id="{00000000-0008-0000-0700-000095000000}"/>
            </a:ext>
          </a:extLst>
        </xdr:cNvPr>
        <xdr:cNvSpPr/>
      </xdr:nvSpPr>
      <xdr:spPr>
        <a:xfrm>
          <a:off x="5109885" y="27546300"/>
          <a:ext cx="1019174"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ハートビート</a:t>
          </a:r>
        </a:p>
      </xdr:txBody>
    </xdr:sp>
    <xdr:clientData/>
  </xdr:twoCellAnchor>
  <xdr:twoCellAnchor>
    <xdr:from>
      <xdr:col>57</xdr:col>
      <xdr:colOff>42586</xdr:colOff>
      <xdr:row>169</xdr:row>
      <xdr:rowOff>28575</xdr:rowOff>
    </xdr:from>
    <xdr:to>
      <xdr:col>60</xdr:col>
      <xdr:colOff>118227</xdr:colOff>
      <xdr:row>170</xdr:row>
      <xdr:rowOff>142875</xdr:rowOff>
    </xdr:to>
    <xdr:sp macro="" textlink="">
      <xdr:nvSpPr>
        <xdr:cNvPr id="150" name="正方形/長方形 149">
          <a:extLst>
            <a:ext uri="{FF2B5EF4-FFF2-40B4-BE49-F238E27FC236}">
              <a16:creationId xmlns:a16="http://schemas.microsoft.com/office/drawing/2014/main" id="{00000000-0008-0000-0700-000096000000}"/>
            </a:ext>
          </a:extLst>
        </xdr:cNvPr>
        <xdr:cNvSpPr/>
      </xdr:nvSpPr>
      <xdr:spPr>
        <a:xfrm>
          <a:off x="7100611" y="26117550"/>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FC</a:t>
          </a:r>
          <a:endParaRPr kumimoji="1" lang="ja-JP" altLang="en-US" sz="900">
            <a:solidFill>
              <a:sysClr val="windowText" lastClr="000000"/>
            </a:solidFill>
            <a:latin typeface="+mn-ea"/>
            <a:ea typeface="+mn-ea"/>
          </a:endParaRPr>
        </a:p>
      </xdr:txBody>
    </xdr:sp>
    <xdr:clientData/>
  </xdr:twoCellAnchor>
  <xdr:twoCellAnchor>
    <xdr:from>
      <xdr:col>57</xdr:col>
      <xdr:colOff>14011</xdr:colOff>
      <xdr:row>184</xdr:row>
      <xdr:rowOff>9525</xdr:rowOff>
    </xdr:from>
    <xdr:to>
      <xdr:col>60</xdr:col>
      <xdr:colOff>89652</xdr:colOff>
      <xdr:row>185</xdr:row>
      <xdr:rowOff>123825</xdr:rowOff>
    </xdr:to>
    <xdr:sp macro="" textlink="">
      <xdr:nvSpPr>
        <xdr:cNvPr id="151" name="正方形/長方形 150">
          <a:extLst>
            <a:ext uri="{FF2B5EF4-FFF2-40B4-BE49-F238E27FC236}">
              <a16:creationId xmlns:a16="http://schemas.microsoft.com/office/drawing/2014/main" id="{00000000-0008-0000-0700-000097000000}"/>
            </a:ext>
          </a:extLst>
        </xdr:cNvPr>
        <xdr:cNvSpPr/>
      </xdr:nvSpPr>
      <xdr:spPr>
        <a:xfrm>
          <a:off x="7072036" y="28384500"/>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FC</a:t>
          </a:r>
          <a:endParaRPr kumimoji="1" lang="ja-JP" altLang="en-US" sz="900">
            <a:solidFill>
              <a:sysClr val="windowText" lastClr="000000"/>
            </a:solidFill>
            <a:latin typeface="+mn-ea"/>
            <a:ea typeface="+mn-ea"/>
          </a:endParaRPr>
        </a:p>
      </xdr:txBody>
    </xdr:sp>
    <xdr:clientData/>
  </xdr:twoCellAnchor>
  <xdr:twoCellAnchor>
    <xdr:from>
      <xdr:col>30</xdr:col>
      <xdr:colOff>50955</xdr:colOff>
      <xdr:row>265</xdr:row>
      <xdr:rowOff>734</xdr:rowOff>
    </xdr:from>
    <xdr:to>
      <xdr:col>41</xdr:col>
      <xdr:colOff>75082</xdr:colOff>
      <xdr:row>266</xdr:row>
      <xdr:rowOff>104776</xdr:rowOff>
    </xdr:to>
    <xdr:sp macro="" textlink="">
      <xdr:nvSpPr>
        <xdr:cNvPr id="156" name="正方形/長方形 155">
          <a:extLst>
            <a:ext uri="{FF2B5EF4-FFF2-40B4-BE49-F238E27FC236}">
              <a16:creationId xmlns:a16="http://schemas.microsoft.com/office/drawing/2014/main" id="{00000000-0008-0000-0700-00009C000000}"/>
            </a:ext>
          </a:extLst>
        </xdr:cNvPr>
        <xdr:cNvSpPr/>
      </xdr:nvSpPr>
      <xdr:spPr>
        <a:xfrm>
          <a:off x="3748896" y="42381381"/>
          <a:ext cx="1380039" cy="26092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ＭＳ Ｐゴシック" panose="020B0600070205080204" pitchFamily="50" charset="-128"/>
              <a:ea typeface="+mn-ea"/>
            </a:rPr>
            <a:t>キャンペーン受付データ</a:t>
          </a:r>
        </a:p>
      </xdr:txBody>
    </xdr:sp>
    <xdr:clientData/>
  </xdr:twoCellAnchor>
  <xdr:twoCellAnchor>
    <xdr:from>
      <xdr:col>31</xdr:col>
      <xdr:colOff>76726</xdr:colOff>
      <xdr:row>257</xdr:row>
      <xdr:rowOff>55083</xdr:rowOff>
    </xdr:from>
    <xdr:to>
      <xdr:col>39</xdr:col>
      <xdr:colOff>110378</xdr:colOff>
      <xdr:row>259</xdr:row>
      <xdr:rowOff>2243</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3897932" y="41180671"/>
          <a:ext cx="1019770" cy="26092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ＭＳ Ｐゴシック" panose="020B0600070205080204" pitchFamily="50" charset="-128"/>
              <a:ea typeface="+mn-ea"/>
            </a:rPr>
            <a:t>資料受付データ</a:t>
          </a:r>
        </a:p>
      </xdr:txBody>
    </xdr:sp>
    <xdr:clientData/>
  </xdr:twoCellAnchor>
  <xdr:twoCellAnchor>
    <xdr:from>
      <xdr:col>10</xdr:col>
      <xdr:colOff>91749</xdr:colOff>
      <xdr:row>224</xdr:row>
      <xdr:rowOff>94232</xdr:rowOff>
    </xdr:from>
    <xdr:to>
      <xdr:col>20</xdr:col>
      <xdr:colOff>41415</xdr:colOff>
      <xdr:row>228</xdr:row>
      <xdr:rowOff>17808</xdr:rowOff>
    </xdr:to>
    <xdr:sp macro="" textlink="">
      <xdr:nvSpPr>
        <xdr:cNvPr id="182" name="角丸四角形 181">
          <a:extLst>
            <a:ext uri="{FF2B5EF4-FFF2-40B4-BE49-F238E27FC236}">
              <a16:creationId xmlns:a16="http://schemas.microsoft.com/office/drawing/2014/main" id="{00000000-0008-0000-0700-0000B6000000}"/>
            </a:ext>
          </a:extLst>
        </xdr:cNvPr>
        <xdr:cNvSpPr/>
      </xdr:nvSpPr>
      <xdr:spPr>
        <a:xfrm>
          <a:off x="1329999" y="34565207"/>
          <a:ext cx="1187916" cy="533176"/>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5</xdr:col>
      <xdr:colOff>49695</xdr:colOff>
      <xdr:row>390</xdr:row>
      <xdr:rowOff>91108</xdr:rowOff>
    </xdr:from>
    <xdr:to>
      <xdr:col>38</xdr:col>
      <xdr:colOff>61832</xdr:colOff>
      <xdr:row>412</xdr:row>
      <xdr:rowOff>95250</xdr:rowOff>
    </xdr:to>
    <xdr:sp macro="" textlink="">
      <xdr:nvSpPr>
        <xdr:cNvPr id="183" name="正方形/長方形 182">
          <a:extLst>
            <a:ext uri="{FF2B5EF4-FFF2-40B4-BE49-F238E27FC236}">
              <a16:creationId xmlns:a16="http://schemas.microsoft.com/office/drawing/2014/main" id="{00000000-0008-0000-0700-0000B7000000}"/>
            </a:ext>
          </a:extLst>
        </xdr:cNvPr>
        <xdr:cNvSpPr/>
      </xdr:nvSpPr>
      <xdr:spPr>
        <a:xfrm>
          <a:off x="668820" y="59555683"/>
          <a:ext cx="409836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16</xdr:col>
      <xdr:colOff>33574</xdr:colOff>
      <xdr:row>401</xdr:row>
      <xdr:rowOff>132516</xdr:rowOff>
    </xdr:from>
    <xdr:to>
      <xdr:col>36</xdr:col>
      <xdr:colOff>79591</xdr:colOff>
      <xdr:row>404</xdr:row>
      <xdr:rowOff>37265</xdr:rowOff>
    </xdr:to>
    <xdr:sp macro="" textlink="">
      <xdr:nvSpPr>
        <xdr:cNvPr id="184" name="正方形/長方形 183">
          <a:extLst>
            <a:ext uri="{FF2B5EF4-FFF2-40B4-BE49-F238E27FC236}">
              <a16:creationId xmlns:a16="http://schemas.microsoft.com/office/drawing/2014/main" id="{00000000-0008-0000-0700-0000B8000000}"/>
            </a:ext>
          </a:extLst>
        </xdr:cNvPr>
        <xdr:cNvSpPr/>
      </xdr:nvSpPr>
      <xdr:spPr>
        <a:xfrm>
          <a:off x="2014774" y="61273491"/>
          <a:ext cx="252251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16</xdr:col>
      <xdr:colOff>8725</xdr:colOff>
      <xdr:row>405</xdr:row>
      <xdr:rowOff>81998</xdr:rowOff>
    </xdr:from>
    <xdr:to>
      <xdr:col>36</xdr:col>
      <xdr:colOff>104390</xdr:colOff>
      <xdr:row>408</xdr:row>
      <xdr:rowOff>70592</xdr:rowOff>
    </xdr:to>
    <xdr:sp macro="" textlink="">
      <xdr:nvSpPr>
        <xdr:cNvPr id="185" name="正方形/長方形 184">
          <a:extLst>
            <a:ext uri="{FF2B5EF4-FFF2-40B4-BE49-F238E27FC236}">
              <a16:creationId xmlns:a16="http://schemas.microsoft.com/office/drawing/2014/main" id="{00000000-0008-0000-0700-0000B9000000}"/>
            </a:ext>
          </a:extLst>
        </xdr:cNvPr>
        <xdr:cNvSpPr/>
      </xdr:nvSpPr>
      <xdr:spPr>
        <a:xfrm>
          <a:off x="1989925" y="61832573"/>
          <a:ext cx="2572165"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a:t>
          </a:r>
          <a:r>
            <a:rPr kumimoji="1" lang="ja-JP" altLang="en-US" sz="900" baseline="0">
              <a:solidFill>
                <a:sysClr val="windowText" lastClr="000000"/>
              </a:solidFill>
              <a:latin typeface="+mn-ea"/>
              <a:ea typeface="+mn-ea"/>
            </a:rPr>
            <a:t>     </a:t>
          </a: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7</xdr:col>
      <xdr:colOff>86011</xdr:colOff>
      <xdr:row>409</xdr:row>
      <xdr:rowOff>13856</xdr:rowOff>
    </xdr:from>
    <xdr:to>
      <xdr:col>37</xdr:col>
      <xdr:colOff>14526</xdr:colOff>
      <xdr:row>411</xdr:row>
      <xdr:rowOff>94834</xdr:rowOff>
    </xdr:to>
    <xdr:sp macro="" textlink="">
      <xdr:nvSpPr>
        <xdr:cNvPr id="186" name="正方形/長方形 185">
          <a:extLst>
            <a:ext uri="{FF2B5EF4-FFF2-40B4-BE49-F238E27FC236}">
              <a16:creationId xmlns:a16="http://schemas.microsoft.com/office/drawing/2014/main" id="{00000000-0008-0000-0700-0000BA000000}"/>
            </a:ext>
          </a:extLst>
        </xdr:cNvPr>
        <xdr:cNvSpPr/>
      </xdr:nvSpPr>
      <xdr:spPr>
        <a:xfrm>
          <a:off x="952786" y="62374031"/>
          <a:ext cx="364326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7</xdr:col>
      <xdr:colOff>28986</xdr:colOff>
      <xdr:row>401</xdr:row>
      <xdr:rowOff>132516</xdr:rowOff>
    </xdr:from>
    <xdr:to>
      <xdr:col>15</xdr:col>
      <xdr:colOff>93473</xdr:colOff>
      <xdr:row>404</xdr:row>
      <xdr:rowOff>37265</xdr:rowOff>
    </xdr:to>
    <xdr:sp macro="" textlink="">
      <xdr:nvSpPr>
        <xdr:cNvPr id="187" name="正方形/長方形 186">
          <a:extLst>
            <a:ext uri="{FF2B5EF4-FFF2-40B4-BE49-F238E27FC236}">
              <a16:creationId xmlns:a16="http://schemas.microsoft.com/office/drawing/2014/main" id="{00000000-0008-0000-0700-0000BB000000}"/>
            </a:ext>
          </a:extLst>
        </xdr:cNvPr>
        <xdr:cNvSpPr/>
      </xdr:nvSpPr>
      <xdr:spPr>
        <a:xfrm>
          <a:off x="895761" y="61273491"/>
          <a:ext cx="105508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7</xdr:col>
      <xdr:colOff>53836</xdr:colOff>
      <xdr:row>405</xdr:row>
      <xdr:rowOff>104464</xdr:rowOff>
    </xdr:from>
    <xdr:to>
      <xdr:col>15</xdr:col>
      <xdr:colOff>94866</xdr:colOff>
      <xdr:row>408</xdr:row>
      <xdr:rowOff>70593</xdr:rowOff>
    </xdr:to>
    <xdr:sp macro="" textlink="">
      <xdr:nvSpPr>
        <xdr:cNvPr id="188" name="正方形/長方形 187">
          <a:extLst>
            <a:ext uri="{FF2B5EF4-FFF2-40B4-BE49-F238E27FC236}">
              <a16:creationId xmlns:a16="http://schemas.microsoft.com/office/drawing/2014/main" id="{00000000-0008-0000-0700-0000BC000000}"/>
            </a:ext>
          </a:extLst>
        </xdr:cNvPr>
        <xdr:cNvSpPr/>
      </xdr:nvSpPr>
      <xdr:spPr>
        <a:xfrm>
          <a:off x="920611" y="61855039"/>
          <a:ext cx="1031630" cy="42332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7</xdr:col>
      <xdr:colOff>27713</xdr:colOff>
      <xdr:row>395</xdr:row>
      <xdr:rowOff>68331</xdr:rowOff>
    </xdr:from>
    <xdr:to>
      <xdr:col>15</xdr:col>
      <xdr:colOff>93337</xdr:colOff>
      <xdr:row>397</xdr:row>
      <xdr:rowOff>139753</xdr:rowOff>
    </xdr:to>
    <xdr:sp macro="" textlink="">
      <xdr:nvSpPr>
        <xdr:cNvPr id="189" name="正方形/長方形 188">
          <a:extLst>
            <a:ext uri="{FF2B5EF4-FFF2-40B4-BE49-F238E27FC236}">
              <a16:creationId xmlns:a16="http://schemas.microsoft.com/office/drawing/2014/main" id="{00000000-0008-0000-0700-0000BD000000}"/>
            </a:ext>
          </a:extLst>
        </xdr:cNvPr>
        <xdr:cNvSpPr/>
      </xdr:nvSpPr>
      <xdr:spPr>
        <a:xfrm>
          <a:off x="894488" y="60294906"/>
          <a:ext cx="1056224"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7</xdr:col>
      <xdr:colOff>17610</xdr:colOff>
      <xdr:row>392</xdr:row>
      <xdr:rowOff>62532</xdr:rowOff>
    </xdr:from>
    <xdr:to>
      <xdr:col>15</xdr:col>
      <xdr:colOff>83541</xdr:colOff>
      <xdr:row>394</xdr:row>
      <xdr:rowOff>133954</xdr:rowOff>
    </xdr:to>
    <xdr:sp macro="" textlink="">
      <xdr:nvSpPr>
        <xdr:cNvPr id="190" name="正方形/長方形 189">
          <a:extLst>
            <a:ext uri="{FF2B5EF4-FFF2-40B4-BE49-F238E27FC236}">
              <a16:creationId xmlns:a16="http://schemas.microsoft.com/office/drawing/2014/main" id="{00000000-0008-0000-0700-0000BE000000}"/>
            </a:ext>
          </a:extLst>
        </xdr:cNvPr>
        <xdr:cNvSpPr/>
      </xdr:nvSpPr>
      <xdr:spPr>
        <a:xfrm>
          <a:off x="884385" y="59831907"/>
          <a:ext cx="1056531"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43</xdr:col>
      <xdr:colOff>66265</xdr:colOff>
      <xdr:row>390</xdr:row>
      <xdr:rowOff>91108</xdr:rowOff>
    </xdr:from>
    <xdr:to>
      <xdr:col>76</xdr:col>
      <xdr:colOff>78402</xdr:colOff>
      <xdr:row>412</xdr:row>
      <xdr:rowOff>95250</xdr:rowOff>
    </xdr:to>
    <xdr:sp macro="" textlink="">
      <xdr:nvSpPr>
        <xdr:cNvPr id="192" name="正方形/長方形 191">
          <a:extLst>
            <a:ext uri="{FF2B5EF4-FFF2-40B4-BE49-F238E27FC236}">
              <a16:creationId xmlns:a16="http://schemas.microsoft.com/office/drawing/2014/main" id="{00000000-0008-0000-0700-0000C0000000}"/>
            </a:ext>
          </a:extLst>
        </xdr:cNvPr>
        <xdr:cNvSpPr/>
      </xdr:nvSpPr>
      <xdr:spPr>
        <a:xfrm>
          <a:off x="5390740" y="59555683"/>
          <a:ext cx="409836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45</xdr:col>
      <xdr:colOff>91560</xdr:colOff>
      <xdr:row>401</xdr:row>
      <xdr:rowOff>132516</xdr:rowOff>
    </xdr:from>
    <xdr:to>
      <xdr:col>66</xdr:col>
      <xdr:colOff>13338</xdr:colOff>
      <xdr:row>404</xdr:row>
      <xdr:rowOff>37265</xdr:rowOff>
    </xdr:to>
    <xdr:sp macro="" textlink="">
      <xdr:nvSpPr>
        <xdr:cNvPr id="193" name="正方形/長方形 192">
          <a:extLst>
            <a:ext uri="{FF2B5EF4-FFF2-40B4-BE49-F238E27FC236}">
              <a16:creationId xmlns:a16="http://schemas.microsoft.com/office/drawing/2014/main" id="{00000000-0008-0000-0700-0000C1000000}"/>
            </a:ext>
          </a:extLst>
        </xdr:cNvPr>
        <xdr:cNvSpPr/>
      </xdr:nvSpPr>
      <xdr:spPr>
        <a:xfrm>
          <a:off x="5663685" y="61273491"/>
          <a:ext cx="2522103"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45</xdr:col>
      <xdr:colOff>91560</xdr:colOff>
      <xdr:row>405</xdr:row>
      <xdr:rowOff>81998</xdr:rowOff>
    </xdr:from>
    <xdr:to>
      <xdr:col>66</xdr:col>
      <xdr:colOff>62986</xdr:colOff>
      <xdr:row>408</xdr:row>
      <xdr:rowOff>70592</xdr:rowOff>
    </xdr:to>
    <xdr:sp macro="" textlink="">
      <xdr:nvSpPr>
        <xdr:cNvPr id="194" name="正方形/長方形 193">
          <a:extLst>
            <a:ext uri="{FF2B5EF4-FFF2-40B4-BE49-F238E27FC236}">
              <a16:creationId xmlns:a16="http://schemas.microsoft.com/office/drawing/2014/main" id="{00000000-0008-0000-0700-0000C2000000}"/>
            </a:ext>
          </a:extLst>
        </xdr:cNvPr>
        <xdr:cNvSpPr/>
      </xdr:nvSpPr>
      <xdr:spPr>
        <a:xfrm>
          <a:off x="5663685" y="61832573"/>
          <a:ext cx="2571751"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LifeKeeper</a:t>
          </a:r>
          <a:endParaRPr kumimoji="1" lang="ja-JP" altLang="en-US" sz="900">
            <a:solidFill>
              <a:sysClr val="windowText" lastClr="000000"/>
            </a:solidFill>
            <a:latin typeface="+mn-ea"/>
            <a:ea typeface="+mn-ea"/>
          </a:endParaRPr>
        </a:p>
      </xdr:txBody>
    </xdr:sp>
    <xdr:clientData/>
  </xdr:twoCellAnchor>
  <xdr:twoCellAnchor>
    <xdr:from>
      <xdr:col>45</xdr:col>
      <xdr:colOff>102581</xdr:colOff>
      <xdr:row>409</xdr:row>
      <xdr:rowOff>38704</xdr:rowOff>
    </xdr:from>
    <xdr:to>
      <xdr:col>75</xdr:col>
      <xdr:colOff>31096</xdr:colOff>
      <xdr:row>411</xdr:row>
      <xdr:rowOff>119682</xdr:rowOff>
    </xdr:to>
    <xdr:sp macro="" textlink="">
      <xdr:nvSpPr>
        <xdr:cNvPr id="195" name="正方形/長方形 194">
          <a:extLst>
            <a:ext uri="{FF2B5EF4-FFF2-40B4-BE49-F238E27FC236}">
              <a16:creationId xmlns:a16="http://schemas.microsoft.com/office/drawing/2014/main" id="{00000000-0008-0000-0700-0000C3000000}"/>
            </a:ext>
          </a:extLst>
        </xdr:cNvPr>
        <xdr:cNvSpPr/>
      </xdr:nvSpPr>
      <xdr:spPr>
        <a:xfrm>
          <a:off x="5674706" y="62398879"/>
          <a:ext cx="364326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67</xdr:col>
      <xdr:colOff>12425</xdr:colOff>
      <xdr:row>401</xdr:row>
      <xdr:rowOff>132516</xdr:rowOff>
    </xdr:from>
    <xdr:to>
      <xdr:col>75</xdr:col>
      <xdr:colOff>76912</xdr:colOff>
      <xdr:row>404</xdr:row>
      <xdr:rowOff>37265</xdr:rowOff>
    </xdr:to>
    <xdr:sp macro="" textlink="">
      <xdr:nvSpPr>
        <xdr:cNvPr id="196" name="正方形/長方形 195">
          <a:extLst>
            <a:ext uri="{FF2B5EF4-FFF2-40B4-BE49-F238E27FC236}">
              <a16:creationId xmlns:a16="http://schemas.microsoft.com/office/drawing/2014/main" id="{00000000-0008-0000-0700-0000C4000000}"/>
            </a:ext>
          </a:extLst>
        </xdr:cNvPr>
        <xdr:cNvSpPr/>
      </xdr:nvSpPr>
      <xdr:spPr>
        <a:xfrm>
          <a:off x="8308700" y="61273491"/>
          <a:ext cx="105508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67</xdr:col>
      <xdr:colOff>11152</xdr:colOff>
      <xdr:row>395</xdr:row>
      <xdr:rowOff>60048</xdr:rowOff>
    </xdr:from>
    <xdr:to>
      <xdr:col>75</xdr:col>
      <xdr:colOff>76776</xdr:colOff>
      <xdr:row>397</xdr:row>
      <xdr:rowOff>131470</xdr:rowOff>
    </xdr:to>
    <xdr:sp macro="" textlink="">
      <xdr:nvSpPr>
        <xdr:cNvPr id="197" name="正方形/長方形 196">
          <a:extLst>
            <a:ext uri="{FF2B5EF4-FFF2-40B4-BE49-F238E27FC236}">
              <a16:creationId xmlns:a16="http://schemas.microsoft.com/office/drawing/2014/main" id="{00000000-0008-0000-0700-0000C5000000}"/>
            </a:ext>
          </a:extLst>
        </xdr:cNvPr>
        <xdr:cNvSpPr/>
      </xdr:nvSpPr>
      <xdr:spPr>
        <a:xfrm>
          <a:off x="8307427" y="60286623"/>
          <a:ext cx="1056224"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67</xdr:col>
      <xdr:colOff>1049</xdr:colOff>
      <xdr:row>392</xdr:row>
      <xdr:rowOff>62532</xdr:rowOff>
    </xdr:from>
    <xdr:to>
      <xdr:col>75</xdr:col>
      <xdr:colOff>66980</xdr:colOff>
      <xdr:row>394</xdr:row>
      <xdr:rowOff>133954</xdr:rowOff>
    </xdr:to>
    <xdr:sp macro="" textlink="">
      <xdr:nvSpPr>
        <xdr:cNvPr id="198" name="正方形/長方形 197">
          <a:extLst>
            <a:ext uri="{FF2B5EF4-FFF2-40B4-BE49-F238E27FC236}">
              <a16:creationId xmlns:a16="http://schemas.microsoft.com/office/drawing/2014/main" id="{00000000-0008-0000-0700-0000C6000000}"/>
            </a:ext>
          </a:extLst>
        </xdr:cNvPr>
        <xdr:cNvSpPr/>
      </xdr:nvSpPr>
      <xdr:spPr>
        <a:xfrm>
          <a:off x="8297324" y="59831907"/>
          <a:ext cx="1056531"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117883</xdr:colOff>
      <xdr:row>412</xdr:row>
      <xdr:rowOff>91107</xdr:rowOff>
    </xdr:from>
    <xdr:to>
      <xdr:col>33</xdr:col>
      <xdr:colOff>44824</xdr:colOff>
      <xdr:row>417</xdr:row>
      <xdr:rowOff>106456</xdr:rowOff>
    </xdr:to>
    <xdr:cxnSp macro="">
      <xdr:nvCxnSpPr>
        <xdr:cNvPr id="200" name="直線コネクタ 199">
          <a:extLst>
            <a:ext uri="{FF2B5EF4-FFF2-40B4-BE49-F238E27FC236}">
              <a16:creationId xmlns:a16="http://schemas.microsoft.com/office/drawing/2014/main" id="{00000000-0008-0000-0700-0000C8000000}"/>
            </a:ext>
          </a:extLst>
        </xdr:cNvPr>
        <xdr:cNvCxnSpPr>
          <a:endCxn id="427" idx="1"/>
        </xdr:cNvCxnSpPr>
      </xdr:nvCxnSpPr>
      <xdr:spPr>
        <a:xfrm>
          <a:off x="2706442" y="64592166"/>
          <a:ext cx="1406117" cy="7997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11205</xdr:colOff>
      <xdr:row>412</xdr:row>
      <xdr:rowOff>91107</xdr:rowOff>
    </xdr:from>
    <xdr:to>
      <xdr:col>60</xdr:col>
      <xdr:colOff>10216</xdr:colOff>
      <xdr:row>417</xdr:row>
      <xdr:rowOff>106456</xdr:rowOff>
    </xdr:to>
    <xdr:cxnSp macro="">
      <xdr:nvCxnSpPr>
        <xdr:cNvPr id="201" name="直線コネクタ 200">
          <a:extLst>
            <a:ext uri="{FF2B5EF4-FFF2-40B4-BE49-F238E27FC236}">
              <a16:creationId xmlns:a16="http://schemas.microsoft.com/office/drawing/2014/main" id="{00000000-0008-0000-0700-0000C9000000}"/>
            </a:ext>
          </a:extLst>
        </xdr:cNvPr>
        <xdr:cNvCxnSpPr>
          <a:endCxn id="427" idx="3"/>
        </xdr:cNvCxnSpPr>
      </xdr:nvCxnSpPr>
      <xdr:spPr>
        <a:xfrm flipH="1">
          <a:off x="6051176" y="64592166"/>
          <a:ext cx="1354922" cy="7997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68188</xdr:colOff>
      <xdr:row>406</xdr:row>
      <xdr:rowOff>99387</xdr:rowOff>
    </xdr:from>
    <xdr:to>
      <xdr:col>43</xdr:col>
      <xdr:colOff>58992</xdr:colOff>
      <xdr:row>406</xdr:row>
      <xdr:rowOff>99387</xdr:rowOff>
    </xdr:to>
    <xdr:cxnSp macro="">
      <xdr:nvCxnSpPr>
        <xdr:cNvPr id="202" name="直線コネクタ 201">
          <a:extLst>
            <a:ext uri="{FF2B5EF4-FFF2-40B4-BE49-F238E27FC236}">
              <a16:creationId xmlns:a16="http://schemas.microsoft.com/office/drawing/2014/main" id="{00000000-0008-0000-0700-0000CA000000}"/>
            </a:ext>
          </a:extLst>
        </xdr:cNvPr>
        <xdr:cNvCxnSpPr/>
      </xdr:nvCxnSpPr>
      <xdr:spPr>
        <a:xfrm>
          <a:off x="4773538" y="62002362"/>
          <a:ext cx="60992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412</xdr:colOff>
      <xdr:row>413</xdr:row>
      <xdr:rowOff>26091</xdr:rowOff>
    </xdr:from>
    <xdr:to>
      <xdr:col>17</xdr:col>
      <xdr:colOff>9523</xdr:colOff>
      <xdr:row>416</xdr:row>
      <xdr:rowOff>57979</xdr:rowOff>
    </xdr:to>
    <xdr:sp macro="" textlink="">
      <xdr:nvSpPr>
        <xdr:cNvPr id="203" name="四角形吹き出し 202">
          <a:extLst>
            <a:ext uri="{FF2B5EF4-FFF2-40B4-BE49-F238E27FC236}">
              <a16:creationId xmlns:a16="http://schemas.microsoft.com/office/drawing/2014/main" id="{00000000-0008-0000-0700-0000CB000000}"/>
            </a:ext>
          </a:extLst>
        </xdr:cNvPr>
        <xdr:cNvSpPr/>
      </xdr:nvSpPr>
      <xdr:spPr>
        <a:xfrm>
          <a:off x="1114837" y="62995866"/>
          <a:ext cx="999711" cy="489088"/>
        </a:xfrm>
        <a:prstGeom prst="wedgeRectCallout">
          <a:avLst>
            <a:gd name="adj1" fmla="val 66279"/>
            <a:gd name="adj2" fmla="val -181175"/>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LifeKeeper</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5</xdr:col>
      <xdr:colOff>47625</xdr:colOff>
      <xdr:row>297</xdr:row>
      <xdr:rowOff>43891</xdr:rowOff>
    </xdr:from>
    <xdr:to>
      <xdr:col>77</xdr:col>
      <xdr:colOff>47625</xdr:colOff>
      <xdr:row>303</xdr:row>
      <xdr:rowOff>57978</xdr:rowOff>
    </xdr:to>
    <xdr:sp macro="" textlink="">
      <xdr:nvSpPr>
        <xdr:cNvPr id="219" name="角丸四角形 218">
          <a:extLst>
            <a:ext uri="{FF2B5EF4-FFF2-40B4-BE49-F238E27FC236}">
              <a16:creationId xmlns:a16="http://schemas.microsoft.com/office/drawing/2014/main" id="{00000000-0008-0000-0700-0000DB000000}"/>
            </a:ext>
          </a:extLst>
        </xdr:cNvPr>
        <xdr:cNvSpPr/>
      </xdr:nvSpPr>
      <xdr:spPr>
        <a:xfrm>
          <a:off x="666750" y="45487666"/>
          <a:ext cx="8915400" cy="928487"/>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52</xdr:col>
      <xdr:colOff>17036</xdr:colOff>
      <xdr:row>354</xdr:row>
      <xdr:rowOff>25333</xdr:rowOff>
    </xdr:from>
    <xdr:to>
      <xdr:col>78</xdr:col>
      <xdr:colOff>68835</xdr:colOff>
      <xdr:row>361</xdr:row>
      <xdr:rowOff>33221</xdr:rowOff>
    </xdr:to>
    <xdr:sp macro="" textlink="">
      <xdr:nvSpPr>
        <xdr:cNvPr id="221" name="正方形/長方形 220">
          <a:extLst>
            <a:ext uri="{FF2B5EF4-FFF2-40B4-BE49-F238E27FC236}">
              <a16:creationId xmlns:a16="http://schemas.microsoft.com/office/drawing/2014/main" id="{00000000-0008-0000-0700-0000DD000000}"/>
            </a:ext>
          </a:extLst>
        </xdr:cNvPr>
        <xdr:cNvSpPr/>
      </xdr:nvSpPr>
      <xdr:spPr>
        <a:xfrm>
          <a:off x="6426801" y="56211627"/>
          <a:ext cx="3256681" cy="110606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twoCellAnchor>
    <xdr:from>
      <xdr:col>53</xdr:col>
      <xdr:colOff>61510</xdr:colOff>
      <xdr:row>358</xdr:row>
      <xdr:rowOff>59082</xdr:rowOff>
    </xdr:from>
    <xdr:to>
      <xdr:col>63</xdr:col>
      <xdr:colOff>118417</xdr:colOff>
      <xdr:row>360</xdr:row>
      <xdr:rowOff>51754</xdr:rowOff>
    </xdr:to>
    <xdr:sp macro="" textlink="">
      <xdr:nvSpPr>
        <xdr:cNvPr id="222" name="角丸四角形 221">
          <a:extLst>
            <a:ext uri="{FF2B5EF4-FFF2-40B4-BE49-F238E27FC236}">
              <a16:creationId xmlns:a16="http://schemas.microsoft.com/office/drawing/2014/main" id="{00000000-0008-0000-0700-0000DE000000}"/>
            </a:ext>
          </a:extLst>
        </xdr:cNvPr>
        <xdr:cNvSpPr/>
      </xdr:nvSpPr>
      <xdr:spPr>
        <a:xfrm>
          <a:off x="6594539" y="56872906"/>
          <a:ext cx="1289554" cy="30643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p>
      </xdr:txBody>
    </xdr:sp>
    <xdr:clientData/>
  </xdr:twoCellAnchor>
  <xdr:twoCellAnchor>
    <xdr:from>
      <xdr:col>53</xdr:col>
      <xdr:colOff>61511</xdr:colOff>
      <xdr:row>355</xdr:row>
      <xdr:rowOff>134285</xdr:rowOff>
    </xdr:from>
    <xdr:to>
      <xdr:col>63</xdr:col>
      <xdr:colOff>118418</xdr:colOff>
      <xdr:row>357</xdr:row>
      <xdr:rowOff>126958</xdr:rowOff>
    </xdr:to>
    <xdr:sp macro="" textlink="">
      <xdr:nvSpPr>
        <xdr:cNvPr id="223" name="角丸四角形 222">
          <a:extLst>
            <a:ext uri="{FF2B5EF4-FFF2-40B4-BE49-F238E27FC236}">
              <a16:creationId xmlns:a16="http://schemas.microsoft.com/office/drawing/2014/main" id="{00000000-0008-0000-0700-0000DF000000}"/>
            </a:ext>
          </a:extLst>
        </xdr:cNvPr>
        <xdr:cNvSpPr/>
      </xdr:nvSpPr>
      <xdr:spPr>
        <a:xfrm>
          <a:off x="6594540" y="56477461"/>
          <a:ext cx="1289554"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58</xdr:col>
      <xdr:colOff>101518</xdr:colOff>
      <xdr:row>352</xdr:row>
      <xdr:rowOff>140711</xdr:rowOff>
    </xdr:from>
    <xdr:to>
      <xdr:col>58</xdr:col>
      <xdr:colOff>101518</xdr:colOff>
      <xdr:row>355</xdr:row>
      <xdr:rowOff>138064</xdr:rowOff>
    </xdr:to>
    <xdr:cxnSp macro="">
      <xdr:nvCxnSpPr>
        <xdr:cNvPr id="224" name="直線矢印コネクタ 223">
          <a:extLst>
            <a:ext uri="{FF2B5EF4-FFF2-40B4-BE49-F238E27FC236}">
              <a16:creationId xmlns:a16="http://schemas.microsoft.com/office/drawing/2014/main" id="{00000000-0008-0000-0700-0000E0000000}"/>
            </a:ext>
          </a:extLst>
        </xdr:cNvPr>
        <xdr:cNvCxnSpPr/>
      </xdr:nvCxnSpPr>
      <xdr:spPr>
        <a:xfrm flipH="1">
          <a:off x="7250871" y="56013240"/>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36613</xdr:colOff>
      <xdr:row>352</xdr:row>
      <xdr:rowOff>151217</xdr:rowOff>
    </xdr:from>
    <xdr:to>
      <xdr:col>71</xdr:col>
      <xdr:colOff>36613</xdr:colOff>
      <xdr:row>355</xdr:row>
      <xdr:rowOff>148570</xdr:rowOff>
    </xdr:to>
    <xdr:cxnSp macro="">
      <xdr:nvCxnSpPr>
        <xdr:cNvPr id="225" name="直線矢印コネクタ 224">
          <a:extLst>
            <a:ext uri="{FF2B5EF4-FFF2-40B4-BE49-F238E27FC236}">
              <a16:creationId xmlns:a16="http://schemas.microsoft.com/office/drawing/2014/main" id="{00000000-0008-0000-0700-0000E1000000}"/>
            </a:ext>
          </a:extLst>
        </xdr:cNvPr>
        <xdr:cNvCxnSpPr/>
      </xdr:nvCxnSpPr>
      <xdr:spPr>
        <a:xfrm flipH="1">
          <a:off x="8788407" y="56023746"/>
          <a:ext cx="0" cy="46800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112060</xdr:colOff>
      <xdr:row>352</xdr:row>
      <xdr:rowOff>141032</xdr:rowOff>
    </xdr:from>
    <xdr:to>
      <xdr:col>58</xdr:col>
      <xdr:colOff>80648</xdr:colOff>
      <xdr:row>352</xdr:row>
      <xdr:rowOff>141032</xdr:rowOff>
    </xdr:to>
    <xdr:cxnSp macro="">
      <xdr:nvCxnSpPr>
        <xdr:cNvPr id="226" name="直線コネクタ 225">
          <a:extLst>
            <a:ext uri="{FF2B5EF4-FFF2-40B4-BE49-F238E27FC236}">
              <a16:creationId xmlns:a16="http://schemas.microsoft.com/office/drawing/2014/main" id="{00000000-0008-0000-0700-0000E2000000}"/>
            </a:ext>
          </a:extLst>
        </xdr:cNvPr>
        <xdr:cNvCxnSpPr/>
      </xdr:nvCxnSpPr>
      <xdr:spPr>
        <a:xfrm>
          <a:off x="3810001" y="55229150"/>
          <a:ext cx="3420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91160</xdr:colOff>
      <xdr:row>352</xdr:row>
      <xdr:rowOff>143954</xdr:rowOff>
    </xdr:from>
    <xdr:to>
      <xdr:col>71</xdr:col>
      <xdr:colOff>96051</xdr:colOff>
      <xdr:row>352</xdr:row>
      <xdr:rowOff>143954</xdr:rowOff>
    </xdr:to>
    <xdr:cxnSp macro="">
      <xdr:nvCxnSpPr>
        <xdr:cNvPr id="227" name="直線コネクタ 226">
          <a:extLst>
            <a:ext uri="{FF2B5EF4-FFF2-40B4-BE49-F238E27FC236}">
              <a16:creationId xmlns:a16="http://schemas.microsoft.com/office/drawing/2014/main" id="{00000000-0008-0000-0700-0000E3000000}"/>
            </a:ext>
          </a:extLst>
        </xdr:cNvPr>
        <xdr:cNvCxnSpPr/>
      </xdr:nvCxnSpPr>
      <xdr:spPr>
        <a:xfrm flipV="1">
          <a:off x="7240513" y="55232072"/>
          <a:ext cx="1607332" cy="0"/>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59889</xdr:colOff>
      <xdr:row>445</xdr:row>
      <xdr:rowOff>124721</xdr:rowOff>
    </xdr:from>
    <xdr:to>
      <xdr:col>17</xdr:col>
      <xdr:colOff>59889</xdr:colOff>
      <xdr:row>447</xdr:row>
      <xdr:rowOff>30102</xdr:rowOff>
    </xdr:to>
    <xdr:cxnSp macro="">
      <xdr:nvCxnSpPr>
        <xdr:cNvPr id="228" name="直線コネクタ 227">
          <a:extLst>
            <a:ext uri="{FF2B5EF4-FFF2-40B4-BE49-F238E27FC236}">
              <a16:creationId xmlns:a16="http://schemas.microsoft.com/office/drawing/2014/main" id="{00000000-0008-0000-0700-0000E4000000}"/>
            </a:ext>
          </a:extLst>
        </xdr:cNvPr>
        <xdr:cNvCxnSpPr>
          <a:endCxn id="82" idx="0"/>
        </xdr:cNvCxnSpPr>
      </xdr:nvCxnSpPr>
      <xdr:spPr>
        <a:xfrm>
          <a:off x="2155389" y="70587309"/>
          <a:ext cx="0" cy="21914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73018</xdr:colOff>
      <xdr:row>445</xdr:row>
      <xdr:rowOff>119751</xdr:rowOff>
    </xdr:from>
    <xdr:to>
      <xdr:col>61</xdr:col>
      <xdr:colOff>73018</xdr:colOff>
      <xdr:row>447</xdr:row>
      <xdr:rowOff>25132</xdr:rowOff>
    </xdr:to>
    <xdr:cxnSp macro="">
      <xdr:nvCxnSpPr>
        <xdr:cNvPr id="229" name="直線コネクタ 228">
          <a:extLst>
            <a:ext uri="{FF2B5EF4-FFF2-40B4-BE49-F238E27FC236}">
              <a16:creationId xmlns:a16="http://schemas.microsoft.com/office/drawing/2014/main" id="{00000000-0008-0000-0700-0000E5000000}"/>
            </a:ext>
          </a:extLst>
        </xdr:cNvPr>
        <xdr:cNvCxnSpPr/>
      </xdr:nvCxnSpPr>
      <xdr:spPr>
        <a:xfrm>
          <a:off x="7592165" y="70582339"/>
          <a:ext cx="0" cy="21914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32297</xdr:colOff>
      <xdr:row>444</xdr:row>
      <xdr:rowOff>35371</xdr:rowOff>
    </xdr:from>
    <xdr:to>
      <xdr:col>79</xdr:col>
      <xdr:colOff>9061</xdr:colOff>
      <xdr:row>446</xdr:row>
      <xdr:rowOff>28043</xdr:rowOff>
    </xdr:to>
    <xdr:sp macro="" textlink="">
      <xdr:nvSpPr>
        <xdr:cNvPr id="230" name="角丸四角形 229">
          <a:extLst>
            <a:ext uri="{FF2B5EF4-FFF2-40B4-BE49-F238E27FC236}">
              <a16:creationId xmlns:a16="http://schemas.microsoft.com/office/drawing/2014/main" id="{00000000-0008-0000-0700-0000E6000000}"/>
            </a:ext>
          </a:extLst>
        </xdr:cNvPr>
        <xdr:cNvSpPr/>
      </xdr:nvSpPr>
      <xdr:spPr>
        <a:xfrm>
          <a:off x="8275752" y="69879598"/>
          <a:ext cx="1310264" cy="304400"/>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データセグメント</a:t>
          </a:r>
        </a:p>
      </xdr:txBody>
    </xdr:sp>
    <xdr:clientData/>
  </xdr:twoCellAnchor>
  <xdr:twoCellAnchor>
    <xdr:from>
      <xdr:col>34</xdr:col>
      <xdr:colOff>15555</xdr:colOff>
      <xdr:row>459</xdr:row>
      <xdr:rowOff>13302</xdr:rowOff>
    </xdr:from>
    <xdr:to>
      <xdr:col>44</xdr:col>
      <xdr:colOff>114610</xdr:colOff>
      <xdr:row>461</xdr:row>
      <xdr:rowOff>5970</xdr:rowOff>
    </xdr:to>
    <xdr:sp macro="" textlink="">
      <xdr:nvSpPr>
        <xdr:cNvPr id="231" name="角丸四角形 230">
          <a:extLst>
            <a:ext uri="{FF2B5EF4-FFF2-40B4-BE49-F238E27FC236}">
              <a16:creationId xmlns:a16="http://schemas.microsoft.com/office/drawing/2014/main" id="{00000000-0008-0000-0700-0000E7000000}"/>
            </a:ext>
          </a:extLst>
        </xdr:cNvPr>
        <xdr:cNvSpPr/>
      </xdr:nvSpPr>
      <xdr:spPr>
        <a:xfrm>
          <a:off x="4206555" y="72515361"/>
          <a:ext cx="1331702" cy="306433"/>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ハートビートセグメント</a:t>
          </a:r>
        </a:p>
      </xdr:txBody>
    </xdr:sp>
    <xdr:clientData/>
  </xdr:twoCellAnchor>
  <xdr:twoCellAnchor>
    <xdr:from>
      <xdr:col>54</xdr:col>
      <xdr:colOff>84459</xdr:colOff>
      <xdr:row>71</xdr:row>
      <xdr:rowOff>34764</xdr:rowOff>
    </xdr:from>
    <xdr:to>
      <xdr:col>59</xdr:col>
      <xdr:colOff>10891</xdr:colOff>
      <xdr:row>72</xdr:row>
      <xdr:rowOff>59612</xdr:rowOff>
    </xdr:to>
    <xdr:sp macro="" textlink="">
      <xdr:nvSpPr>
        <xdr:cNvPr id="252" name="正方形/長方形 251">
          <a:extLst>
            <a:ext uri="{FF2B5EF4-FFF2-40B4-BE49-F238E27FC236}">
              <a16:creationId xmlns:a16="http://schemas.microsoft.com/office/drawing/2014/main" id="{00000000-0008-0000-0700-0000FC000000}"/>
            </a:ext>
          </a:extLst>
        </xdr:cNvPr>
        <xdr:cNvSpPr/>
      </xdr:nvSpPr>
      <xdr:spPr>
        <a:xfrm>
          <a:off x="6740753" y="10882058"/>
          <a:ext cx="542756"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23</xdr:col>
      <xdr:colOff>6501</xdr:colOff>
      <xdr:row>71</xdr:row>
      <xdr:rowOff>29405</xdr:rowOff>
    </xdr:from>
    <xdr:to>
      <xdr:col>27</xdr:col>
      <xdr:colOff>54161</xdr:colOff>
      <xdr:row>72</xdr:row>
      <xdr:rowOff>54253</xdr:rowOff>
    </xdr:to>
    <xdr:sp macro="" textlink="">
      <xdr:nvSpPr>
        <xdr:cNvPr id="253" name="正方形/長方形 252">
          <a:extLst>
            <a:ext uri="{FF2B5EF4-FFF2-40B4-BE49-F238E27FC236}">
              <a16:creationId xmlns:a16="http://schemas.microsoft.com/office/drawing/2014/main" id="{00000000-0008-0000-0700-0000FD000000}"/>
            </a:ext>
          </a:extLst>
        </xdr:cNvPr>
        <xdr:cNvSpPr/>
      </xdr:nvSpPr>
      <xdr:spPr>
        <a:xfrm>
          <a:off x="2841589" y="10876699"/>
          <a:ext cx="540719"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ＭＳ Ｐゴシック" panose="020B0600070205080204" pitchFamily="50" charset="-128"/>
              <a:ea typeface="+mn-ea"/>
            </a:rPr>
            <a:t>HTTPS</a:t>
          </a:r>
        </a:p>
      </xdr:txBody>
    </xdr:sp>
    <xdr:clientData/>
  </xdr:twoCellAnchor>
  <xdr:twoCellAnchor>
    <xdr:from>
      <xdr:col>33</xdr:col>
      <xdr:colOff>26875</xdr:colOff>
      <xdr:row>71</xdr:row>
      <xdr:rowOff>37687</xdr:rowOff>
    </xdr:from>
    <xdr:to>
      <xdr:col>37</xdr:col>
      <xdr:colOff>78611</xdr:colOff>
      <xdr:row>72</xdr:row>
      <xdr:rowOff>62535</xdr:rowOff>
    </xdr:to>
    <xdr:sp macro="" textlink="">
      <xdr:nvSpPr>
        <xdr:cNvPr id="254" name="正方形/長方形 253">
          <a:extLst>
            <a:ext uri="{FF2B5EF4-FFF2-40B4-BE49-F238E27FC236}">
              <a16:creationId xmlns:a16="http://schemas.microsoft.com/office/drawing/2014/main" id="{00000000-0008-0000-0700-0000FE000000}"/>
            </a:ext>
          </a:extLst>
        </xdr:cNvPr>
        <xdr:cNvSpPr/>
      </xdr:nvSpPr>
      <xdr:spPr>
        <a:xfrm>
          <a:off x="4094610" y="10884981"/>
          <a:ext cx="544795"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43</xdr:col>
      <xdr:colOff>93717</xdr:colOff>
      <xdr:row>71</xdr:row>
      <xdr:rowOff>37687</xdr:rowOff>
    </xdr:from>
    <xdr:to>
      <xdr:col>48</xdr:col>
      <xdr:colOff>18113</xdr:colOff>
      <xdr:row>72</xdr:row>
      <xdr:rowOff>62535</xdr:rowOff>
    </xdr:to>
    <xdr:sp macro="" textlink="">
      <xdr:nvSpPr>
        <xdr:cNvPr id="255" name="正方形/長方形 254">
          <a:extLst>
            <a:ext uri="{FF2B5EF4-FFF2-40B4-BE49-F238E27FC236}">
              <a16:creationId xmlns:a16="http://schemas.microsoft.com/office/drawing/2014/main" id="{00000000-0008-0000-0700-0000FF000000}"/>
            </a:ext>
          </a:extLst>
        </xdr:cNvPr>
        <xdr:cNvSpPr/>
      </xdr:nvSpPr>
      <xdr:spPr>
        <a:xfrm>
          <a:off x="5394099" y="10884981"/>
          <a:ext cx="540720"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65</xdr:col>
      <xdr:colOff>31838</xdr:colOff>
      <xdr:row>71</xdr:row>
      <xdr:rowOff>47918</xdr:rowOff>
    </xdr:from>
    <xdr:to>
      <xdr:col>69</xdr:col>
      <xdr:colOff>79497</xdr:colOff>
      <xdr:row>72</xdr:row>
      <xdr:rowOff>72766</xdr:rowOff>
    </xdr:to>
    <xdr:sp macro="" textlink="">
      <xdr:nvSpPr>
        <xdr:cNvPr id="256" name="正方形/長方形 255">
          <a:extLst>
            <a:ext uri="{FF2B5EF4-FFF2-40B4-BE49-F238E27FC236}">
              <a16:creationId xmlns:a16="http://schemas.microsoft.com/office/drawing/2014/main" id="{00000000-0008-0000-0700-000000010000}"/>
            </a:ext>
          </a:extLst>
        </xdr:cNvPr>
        <xdr:cNvSpPr/>
      </xdr:nvSpPr>
      <xdr:spPr>
        <a:xfrm>
          <a:off x="8044044" y="10895212"/>
          <a:ext cx="540718"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clientData/>
  </xdr:twoCellAnchor>
  <xdr:twoCellAnchor>
    <xdr:from>
      <xdr:col>36</xdr:col>
      <xdr:colOff>85652</xdr:colOff>
      <xdr:row>79</xdr:row>
      <xdr:rowOff>83590</xdr:rowOff>
    </xdr:from>
    <xdr:to>
      <xdr:col>41</xdr:col>
      <xdr:colOff>11547</xdr:colOff>
      <xdr:row>80</xdr:row>
      <xdr:rowOff>115642</xdr:rowOff>
    </xdr:to>
    <xdr:sp macro="" textlink="">
      <xdr:nvSpPr>
        <xdr:cNvPr id="257" name="正方形/長方形 256">
          <a:extLst>
            <a:ext uri="{FF2B5EF4-FFF2-40B4-BE49-F238E27FC236}">
              <a16:creationId xmlns:a16="http://schemas.microsoft.com/office/drawing/2014/main" id="{00000000-0008-0000-0700-000001010000}"/>
            </a:ext>
          </a:extLst>
        </xdr:cNvPr>
        <xdr:cNvSpPr/>
      </xdr:nvSpPr>
      <xdr:spPr>
        <a:xfrm>
          <a:off x="4523181" y="12342825"/>
          <a:ext cx="542219" cy="18893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5</xdr:col>
      <xdr:colOff>1292</xdr:colOff>
      <xdr:row>282</xdr:row>
      <xdr:rowOff>136662</xdr:rowOff>
    </xdr:from>
    <xdr:to>
      <xdr:col>34</xdr:col>
      <xdr:colOff>67235</xdr:colOff>
      <xdr:row>289</xdr:row>
      <xdr:rowOff>21981</xdr:rowOff>
    </xdr:to>
    <xdr:sp macro="" textlink="">
      <xdr:nvSpPr>
        <xdr:cNvPr id="258" name="角丸四角形 257">
          <a:extLst>
            <a:ext uri="{FF2B5EF4-FFF2-40B4-BE49-F238E27FC236}">
              <a16:creationId xmlns:a16="http://schemas.microsoft.com/office/drawing/2014/main" id="{00000000-0008-0000-0700-000002010000}"/>
            </a:ext>
          </a:extLst>
        </xdr:cNvPr>
        <xdr:cNvSpPr/>
      </xdr:nvSpPr>
      <xdr:spPr>
        <a:xfrm>
          <a:off x="617616" y="44243015"/>
          <a:ext cx="3640619" cy="983495"/>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27</xdr:col>
      <xdr:colOff>33130</xdr:colOff>
      <xdr:row>406</xdr:row>
      <xdr:rowOff>4142</xdr:rowOff>
    </xdr:from>
    <xdr:to>
      <xdr:col>35</xdr:col>
      <xdr:colOff>40406</xdr:colOff>
      <xdr:row>408</xdr:row>
      <xdr:rowOff>28798</xdr:rowOff>
    </xdr:to>
    <xdr:sp macro="" textlink="">
      <xdr:nvSpPr>
        <xdr:cNvPr id="259" name="角丸四角形 258">
          <a:extLst>
            <a:ext uri="{FF2B5EF4-FFF2-40B4-BE49-F238E27FC236}">
              <a16:creationId xmlns:a16="http://schemas.microsoft.com/office/drawing/2014/main" id="{00000000-0008-0000-0700-000003010000}"/>
            </a:ext>
          </a:extLst>
        </xdr:cNvPr>
        <xdr:cNvSpPr/>
      </xdr:nvSpPr>
      <xdr:spPr>
        <a:xfrm>
          <a:off x="3376405" y="61907117"/>
          <a:ext cx="997876" cy="32945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57</xdr:col>
      <xdr:colOff>41413</xdr:colOff>
      <xdr:row>405</xdr:row>
      <xdr:rowOff>148259</xdr:rowOff>
    </xdr:from>
    <xdr:to>
      <xdr:col>65</xdr:col>
      <xdr:colOff>48689</xdr:colOff>
      <xdr:row>408</xdr:row>
      <xdr:rowOff>20515</xdr:rowOff>
    </xdr:to>
    <xdr:sp macro="" textlink="">
      <xdr:nvSpPr>
        <xdr:cNvPr id="260" name="角丸四角形 259">
          <a:extLst>
            <a:ext uri="{FF2B5EF4-FFF2-40B4-BE49-F238E27FC236}">
              <a16:creationId xmlns:a16="http://schemas.microsoft.com/office/drawing/2014/main" id="{00000000-0008-0000-0700-000004010000}"/>
            </a:ext>
          </a:extLst>
        </xdr:cNvPr>
        <xdr:cNvSpPr/>
      </xdr:nvSpPr>
      <xdr:spPr>
        <a:xfrm>
          <a:off x="7099438" y="61898834"/>
          <a:ext cx="997876" cy="32945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2</xdr:col>
      <xdr:colOff>83818</xdr:colOff>
      <xdr:row>474</xdr:row>
      <xdr:rowOff>94258</xdr:rowOff>
    </xdr:from>
    <xdr:to>
      <xdr:col>77</xdr:col>
      <xdr:colOff>78997</xdr:colOff>
      <xdr:row>474</xdr:row>
      <xdr:rowOff>94259</xdr:rowOff>
    </xdr:to>
    <xdr:cxnSp macro="">
      <xdr:nvCxnSpPr>
        <xdr:cNvPr id="261" name="直線コネクタ 260">
          <a:extLst>
            <a:ext uri="{FF2B5EF4-FFF2-40B4-BE49-F238E27FC236}">
              <a16:creationId xmlns:a16="http://schemas.microsoft.com/office/drawing/2014/main" id="{00000000-0008-0000-0700-000005010000}"/>
            </a:ext>
          </a:extLst>
        </xdr:cNvPr>
        <xdr:cNvCxnSpPr/>
      </xdr:nvCxnSpPr>
      <xdr:spPr>
        <a:xfrm flipV="1">
          <a:off x="330347" y="74322023"/>
          <a:ext cx="9240032"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117733</xdr:colOff>
      <xdr:row>474</xdr:row>
      <xdr:rowOff>47884</xdr:rowOff>
    </xdr:from>
    <xdr:to>
      <xdr:col>78</xdr:col>
      <xdr:colOff>93523</xdr:colOff>
      <xdr:row>476</xdr:row>
      <xdr:rowOff>34370</xdr:rowOff>
    </xdr:to>
    <xdr:sp macro="" textlink="">
      <xdr:nvSpPr>
        <xdr:cNvPr id="262" name="角丸四角形 261">
          <a:extLst>
            <a:ext uri="{FF2B5EF4-FFF2-40B4-BE49-F238E27FC236}">
              <a16:creationId xmlns:a16="http://schemas.microsoft.com/office/drawing/2014/main" id="{00000000-0008-0000-0700-000006010000}"/>
            </a:ext>
          </a:extLst>
        </xdr:cNvPr>
        <xdr:cNvSpPr/>
      </xdr:nvSpPr>
      <xdr:spPr>
        <a:xfrm>
          <a:off x="8376468" y="74903178"/>
          <a:ext cx="1331702" cy="300251"/>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PBX</a:t>
          </a:r>
          <a:r>
            <a:rPr kumimoji="1" lang="ja-JP" altLang="en-US" sz="900">
              <a:solidFill>
                <a:schemeClr val="tx1"/>
              </a:solidFill>
              <a:latin typeface="ＭＳ Ｐゴシック" panose="020B0600070205080204" pitchFamily="50" charset="-128"/>
              <a:ea typeface="ＭＳ Ｐゴシック" panose="020B0600070205080204" pitchFamily="50" charset="-128"/>
            </a:rPr>
            <a:t>管理セグメント</a:t>
          </a:r>
        </a:p>
      </xdr:txBody>
    </xdr:sp>
    <xdr:clientData/>
  </xdr:twoCellAnchor>
  <xdr:twoCellAnchor>
    <xdr:from>
      <xdr:col>16</xdr:col>
      <xdr:colOff>122251</xdr:colOff>
      <xdr:row>473</xdr:row>
      <xdr:rowOff>27427</xdr:rowOff>
    </xdr:from>
    <xdr:to>
      <xdr:col>16</xdr:col>
      <xdr:colOff>122251</xdr:colOff>
      <xdr:row>474</xdr:row>
      <xdr:rowOff>94266</xdr:rowOff>
    </xdr:to>
    <xdr:cxnSp macro="">
      <xdr:nvCxnSpPr>
        <xdr:cNvPr id="265" name="直線コネクタ 264">
          <a:extLst>
            <a:ext uri="{FF2B5EF4-FFF2-40B4-BE49-F238E27FC236}">
              <a16:creationId xmlns:a16="http://schemas.microsoft.com/office/drawing/2014/main" id="{00000000-0008-0000-0700-000009010000}"/>
            </a:ext>
          </a:extLst>
        </xdr:cNvPr>
        <xdr:cNvCxnSpPr/>
      </xdr:nvCxnSpPr>
      <xdr:spPr>
        <a:xfrm>
          <a:off x="2094486" y="74882721"/>
          <a:ext cx="0" cy="22372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89755</xdr:colOff>
      <xdr:row>473</xdr:row>
      <xdr:rowOff>22457</xdr:rowOff>
    </xdr:from>
    <xdr:to>
      <xdr:col>61</xdr:col>
      <xdr:colOff>89755</xdr:colOff>
      <xdr:row>474</xdr:row>
      <xdr:rowOff>89296</xdr:rowOff>
    </xdr:to>
    <xdr:cxnSp macro="">
      <xdr:nvCxnSpPr>
        <xdr:cNvPr id="266" name="直線コネクタ 265">
          <a:extLst>
            <a:ext uri="{FF2B5EF4-FFF2-40B4-BE49-F238E27FC236}">
              <a16:creationId xmlns:a16="http://schemas.microsoft.com/office/drawing/2014/main" id="{00000000-0008-0000-0700-00000A010000}"/>
            </a:ext>
          </a:extLst>
        </xdr:cNvPr>
        <xdr:cNvCxnSpPr/>
      </xdr:nvCxnSpPr>
      <xdr:spPr>
        <a:xfrm>
          <a:off x="7608902" y="74877751"/>
          <a:ext cx="0" cy="22372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86388</xdr:colOff>
      <xdr:row>398</xdr:row>
      <xdr:rowOff>104775</xdr:rowOff>
    </xdr:from>
    <xdr:to>
      <xdr:col>36</xdr:col>
      <xdr:colOff>76199</xdr:colOff>
      <xdr:row>401</xdr:row>
      <xdr:rowOff>49091</xdr:rowOff>
    </xdr:to>
    <xdr:sp macro="" textlink="">
      <xdr:nvSpPr>
        <xdr:cNvPr id="283" name="角丸四角形 282">
          <a:extLst>
            <a:ext uri="{FF2B5EF4-FFF2-40B4-BE49-F238E27FC236}">
              <a16:creationId xmlns:a16="http://schemas.microsoft.com/office/drawing/2014/main" id="{00000000-0008-0000-0700-00001B010000}"/>
            </a:ext>
          </a:extLst>
        </xdr:cNvPr>
        <xdr:cNvSpPr/>
      </xdr:nvSpPr>
      <xdr:spPr>
        <a:xfrm>
          <a:off x="3058188" y="60788550"/>
          <a:ext cx="1475711" cy="40151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16</xdr:col>
      <xdr:colOff>47625</xdr:colOff>
      <xdr:row>398</xdr:row>
      <xdr:rowOff>104773</xdr:rowOff>
    </xdr:from>
    <xdr:to>
      <xdr:col>24</xdr:col>
      <xdr:colOff>26545</xdr:colOff>
      <xdr:row>401</xdr:row>
      <xdr:rowOff>49090</xdr:rowOff>
    </xdr:to>
    <xdr:sp macro="" textlink="">
      <xdr:nvSpPr>
        <xdr:cNvPr id="284" name="角丸四角形 283">
          <a:extLst>
            <a:ext uri="{FF2B5EF4-FFF2-40B4-BE49-F238E27FC236}">
              <a16:creationId xmlns:a16="http://schemas.microsoft.com/office/drawing/2014/main" id="{00000000-0008-0000-0700-00001C010000}"/>
            </a:ext>
          </a:extLst>
        </xdr:cNvPr>
        <xdr:cNvSpPr/>
      </xdr:nvSpPr>
      <xdr:spPr>
        <a:xfrm>
          <a:off x="2028825" y="60788548"/>
          <a:ext cx="969520" cy="401517"/>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54</xdr:col>
      <xdr:colOff>29238</xdr:colOff>
      <xdr:row>398</xdr:row>
      <xdr:rowOff>95250</xdr:rowOff>
    </xdr:from>
    <xdr:to>
      <xdr:col>66</xdr:col>
      <xdr:colOff>19049</xdr:colOff>
      <xdr:row>401</xdr:row>
      <xdr:rowOff>39566</xdr:rowOff>
    </xdr:to>
    <xdr:sp macro="" textlink="">
      <xdr:nvSpPr>
        <xdr:cNvPr id="285" name="角丸四角形 284">
          <a:extLst>
            <a:ext uri="{FF2B5EF4-FFF2-40B4-BE49-F238E27FC236}">
              <a16:creationId xmlns:a16="http://schemas.microsoft.com/office/drawing/2014/main" id="{00000000-0008-0000-0700-00001D010000}"/>
            </a:ext>
          </a:extLst>
        </xdr:cNvPr>
        <xdr:cNvSpPr/>
      </xdr:nvSpPr>
      <xdr:spPr>
        <a:xfrm>
          <a:off x="6715788" y="60779025"/>
          <a:ext cx="1475711" cy="40151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45</xdr:col>
      <xdr:colOff>114300</xdr:colOff>
      <xdr:row>398</xdr:row>
      <xdr:rowOff>95248</xdr:rowOff>
    </xdr:from>
    <xdr:to>
      <xdr:col>53</xdr:col>
      <xdr:colOff>93220</xdr:colOff>
      <xdr:row>401</xdr:row>
      <xdr:rowOff>39565</xdr:rowOff>
    </xdr:to>
    <xdr:sp macro="" textlink="">
      <xdr:nvSpPr>
        <xdr:cNvPr id="286" name="角丸四角形 285">
          <a:extLst>
            <a:ext uri="{FF2B5EF4-FFF2-40B4-BE49-F238E27FC236}">
              <a16:creationId xmlns:a16="http://schemas.microsoft.com/office/drawing/2014/main" id="{00000000-0008-0000-0700-00001E010000}"/>
            </a:ext>
          </a:extLst>
        </xdr:cNvPr>
        <xdr:cNvSpPr/>
      </xdr:nvSpPr>
      <xdr:spPr>
        <a:xfrm>
          <a:off x="5686425" y="60779023"/>
          <a:ext cx="969520" cy="401517"/>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53</xdr:col>
      <xdr:colOff>74058</xdr:colOff>
      <xdr:row>132</xdr:row>
      <xdr:rowOff>46772</xdr:rowOff>
    </xdr:from>
    <xdr:to>
      <xdr:col>77</xdr:col>
      <xdr:colOff>114496</xdr:colOff>
      <xdr:row>138</xdr:row>
      <xdr:rowOff>96470</xdr:rowOff>
    </xdr:to>
    <xdr:grpSp>
      <xdr:nvGrpSpPr>
        <xdr:cNvPr id="306" name="グループ化 305">
          <a:extLst>
            <a:ext uri="{FF2B5EF4-FFF2-40B4-BE49-F238E27FC236}">
              <a16:creationId xmlns:a16="http://schemas.microsoft.com/office/drawing/2014/main" id="{00000000-0008-0000-0700-000032010000}"/>
            </a:ext>
          </a:extLst>
        </xdr:cNvPr>
        <xdr:cNvGrpSpPr/>
      </xdr:nvGrpSpPr>
      <xdr:grpSpPr>
        <a:xfrm>
          <a:off x="6607087" y="20620772"/>
          <a:ext cx="2998791" cy="990992"/>
          <a:chOff x="7031936" y="16515522"/>
          <a:chExt cx="3023151" cy="944217"/>
        </a:xfrm>
      </xdr:grpSpPr>
      <xdr:sp macro="" textlink="">
        <xdr:nvSpPr>
          <xdr:cNvPr id="307" name="正方形/長方形 306">
            <a:extLst>
              <a:ext uri="{FF2B5EF4-FFF2-40B4-BE49-F238E27FC236}">
                <a16:creationId xmlns:a16="http://schemas.microsoft.com/office/drawing/2014/main" id="{00000000-0008-0000-0700-000033010000}"/>
              </a:ext>
            </a:extLst>
          </xdr:cNvPr>
          <xdr:cNvSpPr/>
        </xdr:nvSpPr>
        <xdr:spPr>
          <a:xfrm>
            <a:off x="7031936" y="16515522"/>
            <a:ext cx="3017768" cy="94421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08" name="テキスト ボックス 307">
            <a:extLst>
              <a:ext uri="{FF2B5EF4-FFF2-40B4-BE49-F238E27FC236}">
                <a16:creationId xmlns:a16="http://schemas.microsoft.com/office/drawing/2014/main" id="{00000000-0008-0000-0700-000034010000}"/>
              </a:ext>
            </a:extLst>
          </xdr:cNvPr>
          <xdr:cNvSpPr txBox="1"/>
        </xdr:nvSpPr>
        <xdr:spPr>
          <a:xfrm>
            <a:off x="7711082" y="16867502"/>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09" name="テキスト ボックス 308">
            <a:extLst>
              <a:ext uri="{FF2B5EF4-FFF2-40B4-BE49-F238E27FC236}">
                <a16:creationId xmlns:a16="http://schemas.microsoft.com/office/drawing/2014/main" id="{00000000-0008-0000-0700-000035010000}"/>
              </a:ext>
            </a:extLst>
          </xdr:cNvPr>
          <xdr:cNvSpPr txBox="1"/>
        </xdr:nvSpPr>
        <xdr:spPr>
          <a:xfrm>
            <a:off x="7715428" y="17117922"/>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10" name="正方形/長方形 309">
            <a:extLst>
              <a:ext uri="{FF2B5EF4-FFF2-40B4-BE49-F238E27FC236}">
                <a16:creationId xmlns:a16="http://schemas.microsoft.com/office/drawing/2014/main" id="{00000000-0008-0000-0700-000036010000}"/>
              </a:ext>
            </a:extLst>
          </xdr:cNvPr>
          <xdr:cNvSpPr/>
        </xdr:nvSpPr>
        <xdr:spPr>
          <a:xfrm>
            <a:off x="7206932" y="16855465"/>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11" name="正方形/長方形 310">
            <a:extLst>
              <a:ext uri="{FF2B5EF4-FFF2-40B4-BE49-F238E27FC236}">
                <a16:creationId xmlns:a16="http://schemas.microsoft.com/office/drawing/2014/main" id="{00000000-0008-0000-0700-000037010000}"/>
              </a:ext>
            </a:extLst>
          </xdr:cNvPr>
          <xdr:cNvSpPr/>
        </xdr:nvSpPr>
        <xdr:spPr>
          <a:xfrm>
            <a:off x="7199981" y="17117003"/>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12" name="テキスト ボックス 311">
            <a:extLst>
              <a:ext uri="{FF2B5EF4-FFF2-40B4-BE49-F238E27FC236}">
                <a16:creationId xmlns:a16="http://schemas.microsoft.com/office/drawing/2014/main" id="{00000000-0008-0000-0700-000038010000}"/>
              </a:ext>
            </a:extLst>
          </xdr:cNvPr>
          <xdr:cNvSpPr txBox="1"/>
        </xdr:nvSpPr>
        <xdr:spPr>
          <a:xfrm>
            <a:off x="9231811" y="16826564"/>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13" name="角丸四角形 312">
            <a:extLst>
              <a:ext uri="{FF2B5EF4-FFF2-40B4-BE49-F238E27FC236}">
                <a16:creationId xmlns:a16="http://schemas.microsoft.com/office/drawing/2014/main" id="{00000000-0008-0000-0700-000039010000}"/>
              </a:ext>
            </a:extLst>
          </xdr:cNvPr>
          <xdr:cNvSpPr/>
        </xdr:nvSpPr>
        <xdr:spPr>
          <a:xfrm>
            <a:off x="8695846" y="16831441"/>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4" name="正方形/長方形 313">
            <a:extLst>
              <a:ext uri="{FF2B5EF4-FFF2-40B4-BE49-F238E27FC236}">
                <a16:creationId xmlns:a16="http://schemas.microsoft.com/office/drawing/2014/main" id="{00000000-0008-0000-0700-00003A010000}"/>
              </a:ext>
            </a:extLst>
          </xdr:cNvPr>
          <xdr:cNvSpPr/>
        </xdr:nvSpPr>
        <xdr:spPr>
          <a:xfrm>
            <a:off x="8717510" y="17104829"/>
            <a:ext cx="442800" cy="169200"/>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15" name="テキスト ボックス 314">
            <a:extLst>
              <a:ext uri="{FF2B5EF4-FFF2-40B4-BE49-F238E27FC236}">
                <a16:creationId xmlns:a16="http://schemas.microsoft.com/office/drawing/2014/main" id="{00000000-0008-0000-0700-00003B010000}"/>
              </a:ext>
            </a:extLst>
          </xdr:cNvPr>
          <xdr:cNvSpPr txBox="1"/>
        </xdr:nvSpPr>
        <xdr:spPr>
          <a:xfrm>
            <a:off x="9240094" y="17091608"/>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27</xdr:col>
      <xdr:colOff>33128</xdr:colOff>
      <xdr:row>173</xdr:row>
      <xdr:rowOff>91107</xdr:rowOff>
    </xdr:from>
    <xdr:to>
      <xdr:col>34</xdr:col>
      <xdr:colOff>81455</xdr:colOff>
      <xdr:row>176</xdr:row>
      <xdr:rowOff>93846</xdr:rowOff>
    </xdr:to>
    <xdr:sp macro="" textlink="">
      <xdr:nvSpPr>
        <xdr:cNvPr id="316" name="正方形/長方形 315">
          <a:extLst>
            <a:ext uri="{FF2B5EF4-FFF2-40B4-BE49-F238E27FC236}">
              <a16:creationId xmlns:a16="http://schemas.microsoft.com/office/drawing/2014/main" id="{00000000-0008-0000-0700-00003C010000}"/>
            </a:ext>
          </a:extLst>
        </xdr:cNvPr>
        <xdr:cNvSpPr/>
      </xdr:nvSpPr>
      <xdr:spPr>
        <a:xfrm>
          <a:off x="3376403" y="26789682"/>
          <a:ext cx="915102" cy="45993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62</xdr:col>
      <xdr:colOff>87382</xdr:colOff>
      <xdr:row>260</xdr:row>
      <xdr:rowOff>53010</xdr:rowOff>
    </xdr:from>
    <xdr:to>
      <xdr:col>79</xdr:col>
      <xdr:colOff>8283</xdr:colOff>
      <xdr:row>267</xdr:row>
      <xdr:rowOff>133350</xdr:rowOff>
    </xdr:to>
    <xdr:grpSp>
      <xdr:nvGrpSpPr>
        <xdr:cNvPr id="317" name="グループ化 316">
          <a:extLst>
            <a:ext uri="{FF2B5EF4-FFF2-40B4-BE49-F238E27FC236}">
              <a16:creationId xmlns:a16="http://schemas.microsoft.com/office/drawing/2014/main" id="{00000000-0008-0000-0700-00003D010000}"/>
            </a:ext>
          </a:extLst>
        </xdr:cNvPr>
        <xdr:cNvGrpSpPr/>
      </xdr:nvGrpSpPr>
      <xdr:grpSpPr>
        <a:xfrm>
          <a:off x="7729794" y="40707951"/>
          <a:ext cx="2016401" cy="1178517"/>
          <a:chOff x="7790208" y="38997836"/>
          <a:chExt cx="2032966" cy="1123949"/>
        </a:xfrm>
      </xdr:grpSpPr>
      <xdr:sp macro="" textlink="">
        <xdr:nvSpPr>
          <xdr:cNvPr id="318" name="正方形/長方形 317">
            <a:extLst>
              <a:ext uri="{FF2B5EF4-FFF2-40B4-BE49-F238E27FC236}">
                <a16:creationId xmlns:a16="http://schemas.microsoft.com/office/drawing/2014/main" id="{00000000-0008-0000-0700-00003E010000}"/>
              </a:ext>
            </a:extLst>
          </xdr:cNvPr>
          <xdr:cNvSpPr/>
        </xdr:nvSpPr>
        <xdr:spPr>
          <a:xfrm>
            <a:off x="7790208" y="38997836"/>
            <a:ext cx="2032966" cy="112394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19" name="テキスト ボックス 318">
            <a:extLst>
              <a:ext uri="{FF2B5EF4-FFF2-40B4-BE49-F238E27FC236}">
                <a16:creationId xmlns:a16="http://schemas.microsoft.com/office/drawing/2014/main" id="{00000000-0008-0000-0700-00003F010000}"/>
              </a:ext>
            </a:extLst>
          </xdr:cNvPr>
          <xdr:cNvSpPr txBox="1"/>
        </xdr:nvSpPr>
        <xdr:spPr>
          <a:xfrm>
            <a:off x="8444358" y="39274513"/>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0" name="テキスト ボックス 319">
            <a:extLst>
              <a:ext uri="{FF2B5EF4-FFF2-40B4-BE49-F238E27FC236}">
                <a16:creationId xmlns:a16="http://schemas.microsoft.com/office/drawing/2014/main" id="{00000000-0008-0000-0700-000040010000}"/>
              </a:ext>
            </a:extLst>
          </xdr:cNvPr>
          <xdr:cNvSpPr txBox="1"/>
        </xdr:nvSpPr>
        <xdr:spPr>
          <a:xfrm>
            <a:off x="8449104" y="39786991"/>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1" name="正方形/長方形 320">
            <a:extLst>
              <a:ext uri="{FF2B5EF4-FFF2-40B4-BE49-F238E27FC236}">
                <a16:creationId xmlns:a16="http://schemas.microsoft.com/office/drawing/2014/main" id="{00000000-0008-0000-0700-000041010000}"/>
              </a:ext>
            </a:extLst>
          </xdr:cNvPr>
          <xdr:cNvSpPr/>
        </xdr:nvSpPr>
        <xdr:spPr>
          <a:xfrm>
            <a:off x="7940261" y="39262221"/>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22" name="正方形/長方形 321">
            <a:extLst>
              <a:ext uri="{FF2B5EF4-FFF2-40B4-BE49-F238E27FC236}">
                <a16:creationId xmlns:a16="http://schemas.microsoft.com/office/drawing/2014/main" id="{00000000-0008-0000-0700-000042010000}"/>
              </a:ext>
            </a:extLst>
          </xdr:cNvPr>
          <xdr:cNvSpPr/>
        </xdr:nvSpPr>
        <xdr:spPr>
          <a:xfrm>
            <a:off x="7933334" y="39786053"/>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23" name="テキスト ボックス 322">
            <a:extLst>
              <a:ext uri="{FF2B5EF4-FFF2-40B4-BE49-F238E27FC236}">
                <a16:creationId xmlns:a16="http://schemas.microsoft.com/office/drawing/2014/main" id="{00000000-0008-0000-0700-000043010000}"/>
              </a:ext>
            </a:extLst>
          </xdr:cNvPr>
          <xdr:cNvSpPr txBox="1"/>
        </xdr:nvSpPr>
        <xdr:spPr>
          <a:xfrm>
            <a:off x="8444359" y="39544112"/>
            <a:ext cx="1096238"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4" name="正方形/長方形 323">
            <a:extLst>
              <a:ext uri="{FF2B5EF4-FFF2-40B4-BE49-F238E27FC236}">
                <a16:creationId xmlns:a16="http://schemas.microsoft.com/office/drawing/2014/main" id="{00000000-0008-0000-0700-000044010000}"/>
              </a:ext>
            </a:extLst>
          </xdr:cNvPr>
          <xdr:cNvSpPr/>
        </xdr:nvSpPr>
        <xdr:spPr>
          <a:xfrm>
            <a:off x="7940261" y="39535133"/>
            <a:ext cx="444484" cy="16238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69</xdr:col>
      <xdr:colOff>39757</xdr:colOff>
      <xdr:row>221</xdr:row>
      <xdr:rowOff>16151</xdr:rowOff>
    </xdr:from>
    <xdr:to>
      <xdr:col>83</xdr:col>
      <xdr:colOff>50798</xdr:colOff>
      <xdr:row>231</xdr:row>
      <xdr:rowOff>49696</xdr:rowOff>
    </xdr:to>
    <xdr:grpSp>
      <xdr:nvGrpSpPr>
        <xdr:cNvPr id="325" name="グループ化 324">
          <a:extLst>
            <a:ext uri="{FF2B5EF4-FFF2-40B4-BE49-F238E27FC236}">
              <a16:creationId xmlns:a16="http://schemas.microsoft.com/office/drawing/2014/main" id="{00000000-0008-0000-0700-000045010000}"/>
            </a:ext>
          </a:extLst>
        </xdr:cNvPr>
        <xdr:cNvGrpSpPr/>
      </xdr:nvGrpSpPr>
      <xdr:grpSpPr>
        <a:xfrm>
          <a:off x="8545022" y="34552680"/>
          <a:ext cx="1736747" cy="1602369"/>
          <a:chOff x="8612257" y="33295673"/>
          <a:chExt cx="1750389" cy="1524414"/>
        </a:xfrm>
      </xdr:grpSpPr>
      <xdr:sp macro="" textlink="">
        <xdr:nvSpPr>
          <xdr:cNvPr id="326" name="正方形/長方形 325">
            <a:extLst>
              <a:ext uri="{FF2B5EF4-FFF2-40B4-BE49-F238E27FC236}">
                <a16:creationId xmlns:a16="http://schemas.microsoft.com/office/drawing/2014/main" id="{00000000-0008-0000-0700-000046010000}"/>
              </a:ext>
            </a:extLst>
          </xdr:cNvPr>
          <xdr:cNvSpPr/>
        </xdr:nvSpPr>
        <xdr:spPr>
          <a:xfrm>
            <a:off x="8612257" y="33295673"/>
            <a:ext cx="1642082" cy="152441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27" name="テキスト ボックス 326">
            <a:extLst>
              <a:ext uri="{FF2B5EF4-FFF2-40B4-BE49-F238E27FC236}">
                <a16:creationId xmlns:a16="http://schemas.microsoft.com/office/drawing/2014/main" id="{00000000-0008-0000-0700-000047010000}"/>
              </a:ext>
            </a:extLst>
          </xdr:cNvPr>
          <xdr:cNvSpPr txBox="1"/>
        </xdr:nvSpPr>
        <xdr:spPr>
          <a:xfrm>
            <a:off x="9266504" y="33573249"/>
            <a:ext cx="1096142" cy="24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8" name="テキスト ボックス 327">
            <a:extLst>
              <a:ext uri="{FF2B5EF4-FFF2-40B4-BE49-F238E27FC236}">
                <a16:creationId xmlns:a16="http://schemas.microsoft.com/office/drawing/2014/main" id="{00000000-0008-0000-0700-000048010000}"/>
              </a:ext>
            </a:extLst>
          </xdr:cNvPr>
          <xdr:cNvSpPr txBox="1"/>
        </xdr:nvSpPr>
        <xdr:spPr>
          <a:xfrm>
            <a:off x="9270850" y="33823796"/>
            <a:ext cx="1057494" cy="240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9" name="正方形/長方形 328">
            <a:extLst>
              <a:ext uri="{FF2B5EF4-FFF2-40B4-BE49-F238E27FC236}">
                <a16:creationId xmlns:a16="http://schemas.microsoft.com/office/drawing/2014/main" id="{00000000-0008-0000-0700-000049010000}"/>
              </a:ext>
            </a:extLst>
          </xdr:cNvPr>
          <xdr:cNvSpPr/>
        </xdr:nvSpPr>
        <xdr:spPr>
          <a:xfrm>
            <a:off x="8762393" y="33561205"/>
            <a:ext cx="444299" cy="16559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30" name="正方形/長方形 329">
            <a:extLst>
              <a:ext uri="{FF2B5EF4-FFF2-40B4-BE49-F238E27FC236}">
                <a16:creationId xmlns:a16="http://schemas.microsoft.com/office/drawing/2014/main" id="{00000000-0008-0000-0700-00004A010000}"/>
              </a:ext>
            </a:extLst>
          </xdr:cNvPr>
          <xdr:cNvSpPr/>
        </xdr:nvSpPr>
        <xdr:spPr>
          <a:xfrm>
            <a:off x="8755443" y="33822877"/>
            <a:ext cx="444299" cy="16474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31" name="テキスト ボックス 330">
            <a:extLst>
              <a:ext uri="{FF2B5EF4-FFF2-40B4-BE49-F238E27FC236}">
                <a16:creationId xmlns:a16="http://schemas.microsoft.com/office/drawing/2014/main" id="{00000000-0008-0000-0700-00004B010000}"/>
              </a:ext>
            </a:extLst>
          </xdr:cNvPr>
          <xdr:cNvSpPr txBox="1"/>
        </xdr:nvSpPr>
        <xdr:spPr>
          <a:xfrm>
            <a:off x="9296361" y="34087508"/>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32" name="角丸四角形 331">
            <a:extLst>
              <a:ext uri="{FF2B5EF4-FFF2-40B4-BE49-F238E27FC236}">
                <a16:creationId xmlns:a16="http://schemas.microsoft.com/office/drawing/2014/main" id="{00000000-0008-0000-0700-00004C010000}"/>
              </a:ext>
            </a:extLst>
          </xdr:cNvPr>
          <xdr:cNvSpPr/>
        </xdr:nvSpPr>
        <xdr:spPr>
          <a:xfrm>
            <a:off x="8760439" y="34092387"/>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33" name="角丸四角形 332">
            <a:extLst>
              <a:ext uri="{FF2B5EF4-FFF2-40B4-BE49-F238E27FC236}">
                <a16:creationId xmlns:a16="http://schemas.microsoft.com/office/drawing/2014/main" id="{00000000-0008-0000-0700-00004D010000}"/>
              </a:ext>
            </a:extLst>
          </xdr:cNvPr>
          <xdr:cNvSpPr/>
        </xdr:nvSpPr>
        <xdr:spPr>
          <a:xfrm>
            <a:off x="8752156" y="34382279"/>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34" name="テキスト ボックス 333">
            <a:extLst>
              <a:ext uri="{FF2B5EF4-FFF2-40B4-BE49-F238E27FC236}">
                <a16:creationId xmlns:a16="http://schemas.microsoft.com/office/drawing/2014/main" id="{00000000-0008-0000-0700-00004E010000}"/>
              </a:ext>
            </a:extLst>
          </xdr:cNvPr>
          <xdr:cNvSpPr txBox="1"/>
        </xdr:nvSpPr>
        <xdr:spPr>
          <a:xfrm>
            <a:off x="9293088" y="34360834"/>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16</xdr:col>
      <xdr:colOff>78910</xdr:colOff>
      <xdr:row>392</xdr:row>
      <xdr:rowOff>55492</xdr:rowOff>
    </xdr:from>
    <xdr:to>
      <xdr:col>37</xdr:col>
      <xdr:colOff>688</xdr:colOff>
      <xdr:row>394</xdr:row>
      <xdr:rowOff>128118</xdr:rowOff>
    </xdr:to>
    <xdr:sp macro="" textlink="">
      <xdr:nvSpPr>
        <xdr:cNvPr id="337" name="角丸四角形 336">
          <a:extLst>
            <a:ext uri="{FF2B5EF4-FFF2-40B4-BE49-F238E27FC236}">
              <a16:creationId xmlns:a16="http://schemas.microsoft.com/office/drawing/2014/main" id="{00000000-0008-0000-0700-000051010000}"/>
            </a:ext>
          </a:extLst>
        </xdr:cNvPr>
        <xdr:cNvSpPr/>
      </xdr:nvSpPr>
      <xdr:spPr>
        <a:xfrm>
          <a:off x="2060110" y="59824867"/>
          <a:ext cx="2522103" cy="37742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16</xdr:col>
      <xdr:colOff>73939</xdr:colOff>
      <xdr:row>395</xdr:row>
      <xdr:rowOff>67090</xdr:rowOff>
    </xdr:from>
    <xdr:to>
      <xdr:col>36</xdr:col>
      <xdr:colOff>119956</xdr:colOff>
      <xdr:row>397</xdr:row>
      <xdr:rowOff>139716</xdr:rowOff>
    </xdr:to>
    <xdr:sp macro="" textlink="">
      <xdr:nvSpPr>
        <xdr:cNvPr id="338" name="角丸四角形 337">
          <a:extLst>
            <a:ext uri="{FF2B5EF4-FFF2-40B4-BE49-F238E27FC236}">
              <a16:creationId xmlns:a16="http://schemas.microsoft.com/office/drawing/2014/main" id="{00000000-0008-0000-0700-000052010000}"/>
            </a:ext>
          </a:extLst>
        </xdr:cNvPr>
        <xdr:cNvSpPr/>
      </xdr:nvSpPr>
      <xdr:spPr>
        <a:xfrm>
          <a:off x="2055139" y="60293665"/>
          <a:ext cx="2522517" cy="37742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xdr:col>
      <xdr:colOff>8283</xdr:colOff>
      <xdr:row>181</xdr:row>
      <xdr:rowOff>74544</xdr:rowOff>
    </xdr:from>
    <xdr:to>
      <xdr:col>21</xdr:col>
      <xdr:colOff>99391</xdr:colOff>
      <xdr:row>195</xdr:row>
      <xdr:rowOff>33130</xdr:rowOff>
    </xdr:to>
    <xdr:grpSp>
      <xdr:nvGrpSpPr>
        <xdr:cNvPr id="341" name="グループ化 340">
          <a:extLst>
            <a:ext uri="{FF2B5EF4-FFF2-40B4-BE49-F238E27FC236}">
              <a16:creationId xmlns:a16="http://schemas.microsoft.com/office/drawing/2014/main" id="{00000000-0008-0000-0700-000055010000}"/>
            </a:ext>
          </a:extLst>
        </xdr:cNvPr>
        <xdr:cNvGrpSpPr/>
      </xdr:nvGrpSpPr>
      <xdr:grpSpPr>
        <a:xfrm>
          <a:off x="747871" y="28335779"/>
          <a:ext cx="1940079" cy="2154939"/>
          <a:chOff x="753718" y="27390587"/>
          <a:chExt cx="1954695" cy="2045804"/>
        </a:xfrm>
      </xdr:grpSpPr>
      <xdr:sp macro="" textlink="">
        <xdr:nvSpPr>
          <xdr:cNvPr id="342" name="正方形/長方形 341">
            <a:extLst>
              <a:ext uri="{FF2B5EF4-FFF2-40B4-BE49-F238E27FC236}">
                <a16:creationId xmlns:a16="http://schemas.microsoft.com/office/drawing/2014/main" id="{00000000-0008-0000-0700-000056010000}"/>
              </a:ext>
            </a:extLst>
          </xdr:cNvPr>
          <xdr:cNvSpPr/>
        </xdr:nvSpPr>
        <xdr:spPr>
          <a:xfrm>
            <a:off x="753718" y="27390587"/>
            <a:ext cx="1954695" cy="204580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mn-ea"/>
                <a:ea typeface="+mn-ea"/>
                <a:cs typeface="+mn-cs"/>
              </a:rPr>
              <a:t>【</a:t>
            </a:r>
            <a:r>
              <a:rPr kumimoji="1" lang="ja-JP" altLang="en-US" sz="900">
                <a:solidFill>
                  <a:sysClr val="windowText" lastClr="000000"/>
                </a:solidFill>
                <a:latin typeface="+mn-ea"/>
                <a:ea typeface="+mn-ea"/>
                <a:cs typeface="+mn-cs"/>
              </a:rPr>
              <a:t>凡例</a:t>
            </a:r>
            <a:r>
              <a:rPr kumimoji="1" lang="en-US" altLang="ja-JP" sz="900">
                <a:solidFill>
                  <a:sysClr val="windowText" lastClr="000000"/>
                </a:solidFill>
                <a:latin typeface="+mn-ea"/>
                <a:ea typeface="+mn-ea"/>
                <a:cs typeface="+mn-cs"/>
              </a:rPr>
              <a:t>】</a:t>
            </a:r>
          </a:p>
        </xdr:txBody>
      </xdr:sp>
      <xdr:sp macro="" textlink="">
        <xdr:nvSpPr>
          <xdr:cNvPr id="343" name="テキスト ボックス 342">
            <a:extLst>
              <a:ext uri="{FF2B5EF4-FFF2-40B4-BE49-F238E27FC236}">
                <a16:creationId xmlns:a16="http://schemas.microsoft.com/office/drawing/2014/main" id="{00000000-0008-0000-0700-000057010000}"/>
              </a:ext>
            </a:extLst>
          </xdr:cNvPr>
          <xdr:cNvSpPr txBox="1"/>
        </xdr:nvSpPr>
        <xdr:spPr>
          <a:xfrm>
            <a:off x="1408016" y="27676306"/>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サーバ</a:t>
            </a:r>
            <a:endParaRPr lang="en-US" altLang="ja-JP" sz="900" b="0" i="0" baseline="0">
              <a:solidFill>
                <a:schemeClr val="dk1"/>
              </a:solidFill>
              <a:latin typeface="+mn-ea"/>
              <a:ea typeface="+mn-ea"/>
              <a:cs typeface="+mn-cs"/>
            </a:endParaRPr>
          </a:p>
        </xdr:txBody>
      </xdr:sp>
      <xdr:sp macro="" textlink="">
        <xdr:nvSpPr>
          <xdr:cNvPr id="344" name="テキスト ボックス 343">
            <a:extLst>
              <a:ext uri="{FF2B5EF4-FFF2-40B4-BE49-F238E27FC236}">
                <a16:creationId xmlns:a16="http://schemas.microsoft.com/office/drawing/2014/main" id="{00000000-0008-0000-0700-000058010000}"/>
              </a:ext>
            </a:extLst>
          </xdr:cNvPr>
          <xdr:cNvSpPr txBox="1"/>
        </xdr:nvSpPr>
        <xdr:spPr>
          <a:xfrm>
            <a:off x="1412362" y="27926726"/>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ミドルウェア</a:t>
            </a:r>
            <a:endParaRPr lang="en-US" altLang="ja-JP" sz="900" b="0" i="0" baseline="0">
              <a:solidFill>
                <a:schemeClr val="dk1"/>
              </a:solidFill>
              <a:latin typeface="+mn-ea"/>
              <a:ea typeface="+mn-ea"/>
              <a:cs typeface="+mn-cs"/>
            </a:endParaRPr>
          </a:p>
        </xdr:txBody>
      </xdr:sp>
      <xdr:sp macro="" textlink="">
        <xdr:nvSpPr>
          <xdr:cNvPr id="345" name="正方形/長方形 344">
            <a:extLst>
              <a:ext uri="{FF2B5EF4-FFF2-40B4-BE49-F238E27FC236}">
                <a16:creationId xmlns:a16="http://schemas.microsoft.com/office/drawing/2014/main" id="{00000000-0008-0000-0700-000059010000}"/>
              </a:ext>
            </a:extLst>
          </xdr:cNvPr>
          <xdr:cNvSpPr/>
        </xdr:nvSpPr>
        <xdr:spPr>
          <a:xfrm>
            <a:off x="903866" y="27664269"/>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sp macro="" textlink="">
        <xdr:nvSpPr>
          <xdr:cNvPr id="346" name="正方形/長方形 345">
            <a:extLst>
              <a:ext uri="{FF2B5EF4-FFF2-40B4-BE49-F238E27FC236}">
                <a16:creationId xmlns:a16="http://schemas.microsoft.com/office/drawing/2014/main" id="{00000000-0008-0000-0700-00005A010000}"/>
              </a:ext>
            </a:extLst>
          </xdr:cNvPr>
          <xdr:cNvSpPr/>
        </xdr:nvSpPr>
        <xdr:spPr>
          <a:xfrm>
            <a:off x="896915" y="27925807"/>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mn-ea"/>
              <a:ea typeface="+mn-ea"/>
            </a:endParaRPr>
          </a:p>
        </xdr:txBody>
      </xdr:sp>
      <xdr:sp macro="" textlink="">
        <xdr:nvSpPr>
          <xdr:cNvPr id="347" name="テキスト ボックス 346">
            <a:extLst>
              <a:ext uri="{FF2B5EF4-FFF2-40B4-BE49-F238E27FC236}">
                <a16:creationId xmlns:a16="http://schemas.microsoft.com/office/drawing/2014/main" id="{00000000-0008-0000-0700-00005B010000}"/>
              </a:ext>
            </a:extLst>
          </xdr:cNvPr>
          <xdr:cNvSpPr txBox="1"/>
        </xdr:nvSpPr>
        <xdr:spPr>
          <a:xfrm>
            <a:off x="1437876" y="28190303"/>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製品機能</a:t>
            </a:r>
            <a:endParaRPr lang="en-US" altLang="ja-JP" sz="900" b="0" i="0" baseline="0">
              <a:solidFill>
                <a:schemeClr val="dk1"/>
              </a:solidFill>
              <a:latin typeface="+mn-ea"/>
              <a:ea typeface="+mn-ea"/>
              <a:cs typeface="+mn-cs"/>
            </a:endParaRPr>
          </a:p>
        </xdr:txBody>
      </xdr:sp>
      <xdr:sp macro="" textlink="">
        <xdr:nvSpPr>
          <xdr:cNvPr id="348" name="角丸四角形 347">
            <a:extLst>
              <a:ext uri="{FF2B5EF4-FFF2-40B4-BE49-F238E27FC236}">
                <a16:creationId xmlns:a16="http://schemas.microsoft.com/office/drawing/2014/main" id="{00000000-0008-0000-0700-00005C010000}"/>
              </a:ext>
            </a:extLst>
          </xdr:cNvPr>
          <xdr:cNvSpPr/>
        </xdr:nvSpPr>
        <xdr:spPr>
          <a:xfrm>
            <a:off x="901911" y="28195180"/>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900">
              <a:solidFill>
                <a:schemeClr val="tx1"/>
              </a:solidFill>
              <a:latin typeface="+mn-ea"/>
              <a:ea typeface="+mn-ea"/>
            </a:endParaRPr>
          </a:p>
        </xdr:txBody>
      </xdr:sp>
      <xdr:sp macro="" textlink="">
        <xdr:nvSpPr>
          <xdr:cNvPr id="349" name="正方形/長方形 348">
            <a:extLst>
              <a:ext uri="{FF2B5EF4-FFF2-40B4-BE49-F238E27FC236}">
                <a16:creationId xmlns:a16="http://schemas.microsoft.com/office/drawing/2014/main" id="{00000000-0008-0000-0700-00005D010000}"/>
              </a:ext>
            </a:extLst>
          </xdr:cNvPr>
          <xdr:cNvSpPr/>
        </xdr:nvSpPr>
        <xdr:spPr>
          <a:xfrm>
            <a:off x="923575" y="29131182"/>
            <a:ext cx="442800" cy="169200"/>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sp macro="" textlink="">
        <xdr:nvSpPr>
          <xdr:cNvPr id="350" name="テキスト ボックス 349">
            <a:extLst>
              <a:ext uri="{FF2B5EF4-FFF2-40B4-BE49-F238E27FC236}">
                <a16:creationId xmlns:a16="http://schemas.microsoft.com/office/drawing/2014/main" id="{00000000-0008-0000-0700-00005E010000}"/>
              </a:ext>
            </a:extLst>
          </xdr:cNvPr>
          <xdr:cNvSpPr txBox="1"/>
        </xdr:nvSpPr>
        <xdr:spPr>
          <a:xfrm>
            <a:off x="1446159" y="29117961"/>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共有ディスク</a:t>
            </a:r>
            <a:endParaRPr lang="en-US" altLang="ja-JP" sz="900" b="0" i="0" baseline="0">
              <a:solidFill>
                <a:schemeClr val="dk1"/>
              </a:solidFill>
              <a:latin typeface="+mn-ea"/>
              <a:ea typeface="+mn-ea"/>
              <a:cs typeface="+mn-cs"/>
            </a:endParaRPr>
          </a:p>
        </xdr:txBody>
      </xdr:sp>
      <xdr:sp macro="" textlink="">
        <xdr:nvSpPr>
          <xdr:cNvPr id="351" name="テキスト ボックス 350">
            <a:extLst>
              <a:ext uri="{FF2B5EF4-FFF2-40B4-BE49-F238E27FC236}">
                <a16:creationId xmlns:a16="http://schemas.microsoft.com/office/drawing/2014/main" id="{00000000-0008-0000-0700-00005F010000}"/>
              </a:ext>
            </a:extLst>
          </xdr:cNvPr>
          <xdr:cNvSpPr txBox="1"/>
        </xdr:nvSpPr>
        <xdr:spPr>
          <a:xfrm>
            <a:off x="1449472" y="28831381"/>
            <a:ext cx="927637"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業務</a:t>
            </a:r>
            <a:r>
              <a:rPr lang="en-US" altLang="ja-JP" sz="900" b="0" i="0" baseline="0">
                <a:solidFill>
                  <a:schemeClr val="dk1"/>
                </a:solidFill>
                <a:latin typeface="+mn-ea"/>
                <a:ea typeface="+mn-ea"/>
                <a:cs typeface="+mn-cs"/>
              </a:rPr>
              <a:t>AP</a:t>
            </a:r>
            <a:r>
              <a:rPr lang="ja-JP" altLang="en-US" sz="900" b="0" i="0" baseline="0">
                <a:solidFill>
                  <a:schemeClr val="dk1"/>
                </a:solidFill>
                <a:latin typeface="+mn-ea"/>
                <a:ea typeface="+mn-ea"/>
                <a:cs typeface="+mn-cs"/>
              </a:rPr>
              <a:t>、バッチ</a:t>
            </a:r>
            <a:endParaRPr lang="en-US" altLang="ja-JP" sz="900" b="0" i="0" baseline="0">
              <a:solidFill>
                <a:schemeClr val="dk1"/>
              </a:solidFill>
              <a:latin typeface="+mn-ea"/>
              <a:ea typeface="+mn-ea"/>
              <a:cs typeface="+mn-cs"/>
            </a:endParaRPr>
          </a:p>
        </xdr:txBody>
      </xdr:sp>
      <xdr:sp macro="" textlink="">
        <xdr:nvSpPr>
          <xdr:cNvPr id="352" name="角丸四角形 351">
            <a:extLst>
              <a:ext uri="{FF2B5EF4-FFF2-40B4-BE49-F238E27FC236}">
                <a16:creationId xmlns:a16="http://schemas.microsoft.com/office/drawing/2014/main" id="{00000000-0008-0000-0700-000060010000}"/>
              </a:ext>
            </a:extLst>
          </xdr:cNvPr>
          <xdr:cNvSpPr/>
        </xdr:nvSpPr>
        <xdr:spPr>
          <a:xfrm>
            <a:off x="913507" y="28836258"/>
            <a:ext cx="444333" cy="165509"/>
          </a:xfrm>
          <a:prstGeom prst="roundRect">
            <a:avLst>
              <a:gd name="adj" fmla="val 27822"/>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900">
              <a:solidFill>
                <a:schemeClr val="tx1"/>
              </a:solidFill>
              <a:latin typeface="+mn-ea"/>
              <a:ea typeface="+mn-ea"/>
            </a:endParaRPr>
          </a:p>
        </xdr:txBody>
      </xdr:sp>
      <xdr:sp macro="" textlink="">
        <xdr:nvSpPr>
          <xdr:cNvPr id="353" name="角丸四角形 352">
            <a:extLst>
              <a:ext uri="{FF2B5EF4-FFF2-40B4-BE49-F238E27FC236}">
                <a16:creationId xmlns:a16="http://schemas.microsoft.com/office/drawing/2014/main" id="{00000000-0008-0000-0700-000061010000}"/>
              </a:ext>
            </a:extLst>
          </xdr:cNvPr>
          <xdr:cNvSpPr/>
        </xdr:nvSpPr>
        <xdr:spPr>
          <a:xfrm>
            <a:off x="903553" y="2848837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900">
              <a:solidFill>
                <a:schemeClr val="tx1"/>
              </a:solidFill>
              <a:latin typeface="+mn-ea"/>
              <a:ea typeface="+mn-ea"/>
            </a:endParaRPr>
          </a:p>
        </xdr:txBody>
      </xdr:sp>
      <xdr:sp macro="" textlink="">
        <xdr:nvSpPr>
          <xdr:cNvPr id="354" name="テキスト ボックス 353">
            <a:extLst>
              <a:ext uri="{FF2B5EF4-FFF2-40B4-BE49-F238E27FC236}">
                <a16:creationId xmlns:a16="http://schemas.microsoft.com/office/drawing/2014/main" id="{00000000-0008-0000-0700-000062010000}"/>
              </a:ext>
            </a:extLst>
          </xdr:cNvPr>
          <xdr:cNvSpPr txBox="1"/>
        </xdr:nvSpPr>
        <xdr:spPr>
          <a:xfrm>
            <a:off x="1444485" y="2846693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製品機能</a:t>
            </a:r>
            <a:endParaRPr lang="en-US" altLang="ja-JP" sz="900" b="0" i="0" baseline="0">
              <a:solidFill>
                <a:schemeClr val="dk1"/>
              </a:solidFill>
              <a:latin typeface="+mn-ea"/>
              <a:ea typeface="+mn-ea"/>
              <a:cs typeface="+mn-cs"/>
            </a:endParaRPr>
          </a:p>
          <a:p>
            <a:pPr rtl="0"/>
            <a:r>
              <a:rPr lang="ja-JP" altLang="en-US" sz="900" b="0" i="0" baseline="0">
                <a:solidFill>
                  <a:schemeClr val="dk1"/>
                </a:solidFill>
                <a:latin typeface="+mn-ea"/>
                <a:ea typeface="+mn-ea"/>
                <a:cs typeface="+mn-cs"/>
              </a:rPr>
              <a:t>（スタンバイ）</a:t>
            </a:r>
            <a:endParaRPr lang="en-US" altLang="ja-JP" sz="900" b="0" i="0" baseline="0">
              <a:solidFill>
                <a:schemeClr val="dk1"/>
              </a:solidFill>
              <a:latin typeface="+mn-ea"/>
              <a:ea typeface="+mn-ea"/>
              <a:cs typeface="+mn-cs"/>
            </a:endParaRPr>
          </a:p>
        </xdr:txBody>
      </xdr:sp>
    </xdr:grpSp>
    <xdr:clientData/>
  </xdr:twoCellAnchor>
  <xdr:twoCellAnchor>
    <xdr:from>
      <xdr:col>62</xdr:col>
      <xdr:colOff>66262</xdr:colOff>
      <xdr:row>284</xdr:row>
      <xdr:rowOff>0</xdr:rowOff>
    </xdr:from>
    <xdr:to>
      <xdr:col>78</xdr:col>
      <xdr:colOff>111402</xdr:colOff>
      <xdr:row>294</xdr:row>
      <xdr:rowOff>33131</xdr:rowOff>
    </xdr:to>
    <xdr:grpSp>
      <xdr:nvGrpSpPr>
        <xdr:cNvPr id="359" name="グループ化 358">
          <a:extLst>
            <a:ext uri="{FF2B5EF4-FFF2-40B4-BE49-F238E27FC236}">
              <a16:creationId xmlns:a16="http://schemas.microsoft.com/office/drawing/2014/main" id="{00000000-0008-0000-0700-000067010000}"/>
            </a:ext>
          </a:extLst>
        </xdr:cNvPr>
        <xdr:cNvGrpSpPr/>
      </xdr:nvGrpSpPr>
      <xdr:grpSpPr>
        <a:xfrm>
          <a:off x="7708674" y="44420118"/>
          <a:ext cx="2017375" cy="1601954"/>
          <a:chOff x="7885044" y="42489782"/>
          <a:chExt cx="2032966" cy="1524001"/>
        </a:xfrm>
      </xdr:grpSpPr>
      <xdr:sp macro="" textlink="">
        <xdr:nvSpPr>
          <xdr:cNvPr id="360" name="正方形/長方形 359">
            <a:extLst>
              <a:ext uri="{FF2B5EF4-FFF2-40B4-BE49-F238E27FC236}">
                <a16:creationId xmlns:a16="http://schemas.microsoft.com/office/drawing/2014/main" id="{00000000-0008-0000-0700-000068010000}"/>
              </a:ext>
            </a:extLst>
          </xdr:cNvPr>
          <xdr:cNvSpPr/>
        </xdr:nvSpPr>
        <xdr:spPr>
          <a:xfrm>
            <a:off x="7885044" y="42489782"/>
            <a:ext cx="2032966" cy="152400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61" name="テキスト ボックス 360">
            <a:extLst>
              <a:ext uri="{FF2B5EF4-FFF2-40B4-BE49-F238E27FC236}">
                <a16:creationId xmlns:a16="http://schemas.microsoft.com/office/drawing/2014/main" id="{00000000-0008-0000-0700-000069010000}"/>
              </a:ext>
            </a:extLst>
          </xdr:cNvPr>
          <xdr:cNvSpPr txBox="1"/>
        </xdr:nvSpPr>
        <xdr:spPr>
          <a:xfrm>
            <a:off x="8539194" y="42766459"/>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62" name="テキスト ボックス 361">
            <a:extLst>
              <a:ext uri="{FF2B5EF4-FFF2-40B4-BE49-F238E27FC236}">
                <a16:creationId xmlns:a16="http://schemas.microsoft.com/office/drawing/2014/main" id="{00000000-0008-0000-0700-00006A010000}"/>
              </a:ext>
            </a:extLst>
          </xdr:cNvPr>
          <xdr:cNvSpPr txBox="1"/>
        </xdr:nvSpPr>
        <xdr:spPr>
          <a:xfrm>
            <a:off x="8543940" y="43013894"/>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63" name="正方形/長方形 362">
            <a:extLst>
              <a:ext uri="{FF2B5EF4-FFF2-40B4-BE49-F238E27FC236}">
                <a16:creationId xmlns:a16="http://schemas.microsoft.com/office/drawing/2014/main" id="{00000000-0008-0000-0700-00006B010000}"/>
              </a:ext>
            </a:extLst>
          </xdr:cNvPr>
          <xdr:cNvSpPr/>
        </xdr:nvSpPr>
        <xdr:spPr>
          <a:xfrm>
            <a:off x="8035097" y="42754167"/>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64" name="正方形/長方形 363">
            <a:extLst>
              <a:ext uri="{FF2B5EF4-FFF2-40B4-BE49-F238E27FC236}">
                <a16:creationId xmlns:a16="http://schemas.microsoft.com/office/drawing/2014/main" id="{00000000-0008-0000-0700-00006C010000}"/>
              </a:ext>
            </a:extLst>
          </xdr:cNvPr>
          <xdr:cNvSpPr/>
        </xdr:nvSpPr>
        <xdr:spPr>
          <a:xfrm>
            <a:off x="8028170" y="43012956"/>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65" name="テキスト ボックス 364">
            <a:extLst>
              <a:ext uri="{FF2B5EF4-FFF2-40B4-BE49-F238E27FC236}">
                <a16:creationId xmlns:a16="http://schemas.microsoft.com/office/drawing/2014/main" id="{00000000-0008-0000-0700-00006D010000}"/>
              </a:ext>
            </a:extLst>
          </xdr:cNvPr>
          <xdr:cNvSpPr txBox="1"/>
        </xdr:nvSpPr>
        <xdr:spPr>
          <a:xfrm>
            <a:off x="8569147" y="43273335"/>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66" name="角丸四角形 365">
            <a:extLst>
              <a:ext uri="{FF2B5EF4-FFF2-40B4-BE49-F238E27FC236}">
                <a16:creationId xmlns:a16="http://schemas.microsoft.com/office/drawing/2014/main" id="{00000000-0008-0000-0700-00006E010000}"/>
              </a:ext>
            </a:extLst>
          </xdr:cNvPr>
          <xdr:cNvSpPr/>
        </xdr:nvSpPr>
        <xdr:spPr>
          <a:xfrm>
            <a:off x="8033225" y="43278214"/>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67" name="角丸四角形 366">
            <a:extLst>
              <a:ext uri="{FF2B5EF4-FFF2-40B4-BE49-F238E27FC236}">
                <a16:creationId xmlns:a16="http://schemas.microsoft.com/office/drawing/2014/main" id="{00000000-0008-0000-0700-00006F010000}"/>
              </a:ext>
            </a:extLst>
          </xdr:cNvPr>
          <xdr:cNvSpPr/>
        </xdr:nvSpPr>
        <xdr:spPr>
          <a:xfrm>
            <a:off x="8040758" y="43562705"/>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68" name="テキスト ボックス 367">
            <a:extLst>
              <a:ext uri="{FF2B5EF4-FFF2-40B4-BE49-F238E27FC236}">
                <a16:creationId xmlns:a16="http://schemas.microsoft.com/office/drawing/2014/main" id="{00000000-0008-0000-0700-000070010000}"/>
              </a:ext>
            </a:extLst>
          </xdr:cNvPr>
          <xdr:cNvSpPr txBox="1"/>
        </xdr:nvSpPr>
        <xdr:spPr>
          <a:xfrm>
            <a:off x="8581690" y="43541260"/>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37</xdr:col>
      <xdr:colOff>96468</xdr:colOff>
      <xdr:row>355</xdr:row>
      <xdr:rowOff>151427</xdr:rowOff>
    </xdr:from>
    <xdr:to>
      <xdr:col>49</xdr:col>
      <xdr:colOff>45599</xdr:colOff>
      <xdr:row>357</xdr:row>
      <xdr:rowOff>144852</xdr:rowOff>
    </xdr:to>
    <xdr:sp macro="" textlink="">
      <xdr:nvSpPr>
        <xdr:cNvPr id="369" name="角丸四角形 368">
          <a:extLst>
            <a:ext uri="{FF2B5EF4-FFF2-40B4-BE49-F238E27FC236}">
              <a16:creationId xmlns:a16="http://schemas.microsoft.com/office/drawing/2014/main" id="{00000000-0008-0000-0700-000071010000}"/>
            </a:ext>
          </a:extLst>
        </xdr:cNvPr>
        <xdr:cNvSpPr/>
      </xdr:nvSpPr>
      <xdr:spPr>
        <a:xfrm>
          <a:off x="4657262" y="56494603"/>
          <a:ext cx="1428308" cy="307190"/>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37</xdr:col>
      <xdr:colOff>99780</xdr:colOff>
      <xdr:row>358</xdr:row>
      <xdr:rowOff>47552</xdr:rowOff>
    </xdr:from>
    <xdr:to>
      <xdr:col>49</xdr:col>
      <xdr:colOff>48911</xdr:colOff>
      <xdr:row>360</xdr:row>
      <xdr:rowOff>40979</xdr:rowOff>
    </xdr:to>
    <xdr:sp macro="" textlink="">
      <xdr:nvSpPr>
        <xdr:cNvPr id="370" name="角丸四角形 369">
          <a:extLst>
            <a:ext uri="{FF2B5EF4-FFF2-40B4-BE49-F238E27FC236}">
              <a16:creationId xmlns:a16="http://schemas.microsoft.com/office/drawing/2014/main" id="{00000000-0008-0000-0700-000072010000}"/>
            </a:ext>
          </a:extLst>
        </xdr:cNvPr>
        <xdr:cNvSpPr/>
      </xdr:nvSpPr>
      <xdr:spPr>
        <a:xfrm>
          <a:off x="4660574" y="56861376"/>
          <a:ext cx="1428308" cy="307191"/>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65</xdr:col>
      <xdr:colOff>52522</xdr:colOff>
      <xdr:row>355</xdr:row>
      <xdr:rowOff>129892</xdr:rowOff>
    </xdr:from>
    <xdr:to>
      <xdr:col>77</xdr:col>
      <xdr:colOff>1653</xdr:colOff>
      <xdr:row>357</xdr:row>
      <xdr:rowOff>123317</xdr:rowOff>
    </xdr:to>
    <xdr:sp macro="" textlink="">
      <xdr:nvSpPr>
        <xdr:cNvPr id="371" name="角丸四角形 370">
          <a:extLst>
            <a:ext uri="{FF2B5EF4-FFF2-40B4-BE49-F238E27FC236}">
              <a16:creationId xmlns:a16="http://schemas.microsoft.com/office/drawing/2014/main" id="{00000000-0008-0000-0700-000073010000}"/>
            </a:ext>
          </a:extLst>
        </xdr:cNvPr>
        <xdr:cNvSpPr/>
      </xdr:nvSpPr>
      <xdr:spPr>
        <a:xfrm>
          <a:off x="8064728" y="56473068"/>
          <a:ext cx="1428307" cy="307190"/>
        </a:xfrm>
        <a:prstGeom prst="roundRect">
          <a:avLst>
            <a:gd name="adj" fmla="val 10993"/>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論理</a:t>
          </a:r>
          <a:r>
            <a:rPr kumimoji="1" lang="en-US" altLang="ja-JP" sz="900">
              <a:solidFill>
                <a:sysClr val="windowText" lastClr="000000"/>
              </a:solidFill>
              <a:latin typeface="+mn-ea"/>
              <a:ea typeface="+mn-ea"/>
            </a:rPr>
            <a:t>)JP1/AJS3-Agent</a:t>
          </a:r>
        </a:p>
      </xdr:txBody>
    </xdr:sp>
    <xdr:clientData/>
  </xdr:twoCellAnchor>
  <xdr:twoCellAnchor>
    <xdr:from>
      <xdr:col>65</xdr:col>
      <xdr:colOff>55834</xdr:colOff>
      <xdr:row>358</xdr:row>
      <xdr:rowOff>26017</xdr:rowOff>
    </xdr:from>
    <xdr:to>
      <xdr:col>77</xdr:col>
      <xdr:colOff>4965</xdr:colOff>
      <xdr:row>360</xdr:row>
      <xdr:rowOff>19444</xdr:rowOff>
    </xdr:to>
    <xdr:sp macro="" textlink="">
      <xdr:nvSpPr>
        <xdr:cNvPr id="372" name="角丸四角形 371">
          <a:extLst>
            <a:ext uri="{FF2B5EF4-FFF2-40B4-BE49-F238E27FC236}">
              <a16:creationId xmlns:a16="http://schemas.microsoft.com/office/drawing/2014/main" id="{00000000-0008-0000-0700-000074010000}"/>
            </a:ext>
          </a:extLst>
        </xdr:cNvPr>
        <xdr:cNvSpPr/>
      </xdr:nvSpPr>
      <xdr:spPr>
        <a:xfrm>
          <a:off x="8068040" y="56839841"/>
          <a:ext cx="1428307" cy="307191"/>
        </a:xfrm>
        <a:prstGeom prst="roundRect">
          <a:avLst>
            <a:gd name="adj" fmla="val 10993"/>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論理</a:t>
          </a:r>
          <a:r>
            <a:rPr kumimoji="1" lang="en-US" altLang="ja-JP" sz="900">
              <a:solidFill>
                <a:sysClr val="windowText" lastClr="000000"/>
              </a:solidFill>
              <a:latin typeface="+mn-ea"/>
              <a:ea typeface="+mn-ea"/>
            </a:rPr>
            <a:t>)JP1/Base</a:t>
          </a:r>
        </a:p>
      </xdr:txBody>
    </xdr:sp>
    <xdr:clientData/>
  </xdr:twoCellAnchor>
  <xdr:twoCellAnchor>
    <xdr:from>
      <xdr:col>3</xdr:col>
      <xdr:colOff>109531</xdr:colOff>
      <xdr:row>351</xdr:row>
      <xdr:rowOff>387</xdr:rowOff>
    </xdr:from>
    <xdr:to>
      <xdr:col>20</xdr:col>
      <xdr:colOff>101625</xdr:colOff>
      <xdr:row>361</xdr:row>
      <xdr:rowOff>78439</xdr:rowOff>
    </xdr:to>
    <xdr:grpSp>
      <xdr:nvGrpSpPr>
        <xdr:cNvPr id="426" name="グループ化 425">
          <a:extLst>
            <a:ext uri="{FF2B5EF4-FFF2-40B4-BE49-F238E27FC236}">
              <a16:creationId xmlns:a16="http://schemas.microsoft.com/office/drawing/2014/main" id="{00000000-0008-0000-0700-0000AA010000}"/>
            </a:ext>
          </a:extLst>
        </xdr:cNvPr>
        <xdr:cNvGrpSpPr/>
      </xdr:nvGrpSpPr>
      <xdr:grpSpPr>
        <a:xfrm>
          <a:off x="479325" y="54931622"/>
          <a:ext cx="2087594" cy="1646876"/>
          <a:chOff x="479323" y="55335035"/>
          <a:chExt cx="2087594" cy="1646876"/>
        </a:xfrm>
      </xdr:grpSpPr>
      <xdr:sp macro="" textlink="">
        <xdr:nvSpPr>
          <xdr:cNvPr id="374" name="正方形/長方形 373">
            <a:extLst>
              <a:ext uri="{FF2B5EF4-FFF2-40B4-BE49-F238E27FC236}">
                <a16:creationId xmlns:a16="http://schemas.microsoft.com/office/drawing/2014/main" id="{00000000-0008-0000-0700-000076010000}"/>
              </a:ext>
            </a:extLst>
          </xdr:cNvPr>
          <xdr:cNvSpPr/>
        </xdr:nvSpPr>
        <xdr:spPr>
          <a:xfrm>
            <a:off x="479323" y="55335035"/>
            <a:ext cx="1728236" cy="1646876"/>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75" name="テキスト ボックス 374">
            <a:extLst>
              <a:ext uri="{FF2B5EF4-FFF2-40B4-BE49-F238E27FC236}">
                <a16:creationId xmlns:a16="http://schemas.microsoft.com/office/drawing/2014/main" id="{00000000-0008-0000-0700-000077010000}"/>
              </a:ext>
            </a:extLst>
          </xdr:cNvPr>
          <xdr:cNvSpPr txBox="1"/>
        </xdr:nvSpPr>
        <xdr:spPr>
          <a:xfrm>
            <a:off x="1256236" y="55624067"/>
            <a:ext cx="1310681" cy="25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76" name="テキスト ボックス 375">
            <a:extLst>
              <a:ext uri="{FF2B5EF4-FFF2-40B4-BE49-F238E27FC236}">
                <a16:creationId xmlns:a16="http://schemas.microsoft.com/office/drawing/2014/main" id="{00000000-0008-0000-0700-000078010000}"/>
              </a:ext>
            </a:extLst>
          </xdr:cNvPr>
          <xdr:cNvSpPr txBox="1"/>
        </xdr:nvSpPr>
        <xdr:spPr>
          <a:xfrm>
            <a:off x="1260945" y="55926984"/>
            <a:ext cx="1049174" cy="249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77" name="正方形/長方形 376">
            <a:extLst>
              <a:ext uri="{FF2B5EF4-FFF2-40B4-BE49-F238E27FC236}">
                <a16:creationId xmlns:a16="http://schemas.microsoft.com/office/drawing/2014/main" id="{00000000-0008-0000-0700-000079010000}"/>
              </a:ext>
            </a:extLst>
          </xdr:cNvPr>
          <xdr:cNvSpPr/>
        </xdr:nvSpPr>
        <xdr:spPr>
          <a:xfrm>
            <a:off x="756015" y="55611245"/>
            <a:ext cx="441066" cy="17283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78" name="正方形/長方形 377">
            <a:extLst>
              <a:ext uri="{FF2B5EF4-FFF2-40B4-BE49-F238E27FC236}">
                <a16:creationId xmlns:a16="http://schemas.microsoft.com/office/drawing/2014/main" id="{00000000-0008-0000-0700-00007A010000}"/>
              </a:ext>
            </a:extLst>
          </xdr:cNvPr>
          <xdr:cNvSpPr/>
        </xdr:nvSpPr>
        <xdr:spPr>
          <a:xfrm>
            <a:off x="749141" y="55926006"/>
            <a:ext cx="441066" cy="1719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79" name="テキスト ボックス 378">
            <a:extLst>
              <a:ext uri="{FF2B5EF4-FFF2-40B4-BE49-F238E27FC236}">
                <a16:creationId xmlns:a16="http://schemas.microsoft.com/office/drawing/2014/main" id="{00000000-0008-0000-0700-00007B010000}"/>
              </a:ext>
            </a:extLst>
          </xdr:cNvPr>
          <xdr:cNvSpPr txBox="1"/>
        </xdr:nvSpPr>
        <xdr:spPr>
          <a:xfrm>
            <a:off x="1281699" y="56251424"/>
            <a:ext cx="808663" cy="2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80" name="角丸四角形 379">
            <a:extLst>
              <a:ext uri="{FF2B5EF4-FFF2-40B4-BE49-F238E27FC236}">
                <a16:creationId xmlns:a16="http://schemas.microsoft.com/office/drawing/2014/main" id="{00000000-0008-0000-0700-00007C010000}"/>
              </a:ext>
            </a:extLst>
          </xdr:cNvPr>
          <xdr:cNvSpPr/>
        </xdr:nvSpPr>
        <xdr:spPr>
          <a:xfrm>
            <a:off x="749898" y="56256513"/>
            <a:ext cx="440883" cy="17272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1" name="角丸四角形 380">
            <a:extLst>
              <a:ext uri="{FF2B5EF4-FFF2-40B4-BE49-F238E27FC236}">
                <a16:creationId xmlns:a16="http://schemas.microsoft.com/office/drawing/2014/main" id="{00000000-0008-0000-0700-00007D010000}"/>
              </a:ext>
            </a:extLst>
          </xdr:cNvPr>
          <xdr:cNvSpPr/>
        </xdr:nvSpPr>
        <xdr:spPr>
          <a:xfrm>
            <a:off x="757373" y="56553259"/>
            <a:ext cx="440883" cy="172726"/>
          </a:xfrm>
          <a:prstGeom prst="roundRect">
            <a:avLst>
              <a:gd name="adj" fmla="val 27822"/>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2" name="テキスト ボックス 381">
            <a:extLst>
              <a:ext uri="{FF2B5EF4-FFF2-40B4-BE49-F238E27FC236}">
                <a16:creationId xmlns:a16="http://schemas.microsoft.com/office/drawing/2014/main" id="{00000000-0008-0000-0700-00007E010000}"/>
              </a:ext>
            </a:extLst>
          </xdr:cNvPr>
          <xdr:cNvSpPr txBox="1"/>
        </xdr:nvSpPr>
        <xdr:spPr>
          <a:xfrm>
            <a:off x="1294146" y="56530890"/>
            <a:ext cx="978051" cy="44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45</xdr:col>
      <xdr:colOff>103758</xdr:colOff>
      <xdr:row>392</xdr:row>
      <xdr:rowOff>55492</xdr:rowOff>
    </xdr:from>
    <xdr:to>
      <xdr:col>66</xdr:col>
      <xdr:colOff>25536</xdr:colOff>
      <xdr:row>394</xdr:row>
      <xdr:rowOff>128118</xdr:rowOff>
    </xdr:to>
    <xdr:sp macro="" textlink="">
      <xdr:nvSpPr>
        <xdr:cNvPr id="385" name="角丸四角形 384">
          <a:extLst>
            <a:ext uri="{FF2B5EF4-FFF2-40B4-BE49-F238E27FC236}">
              <a16:creationId xmlns:a16="http://schemas.microsoft.com/office/drawing/2014/main" id="{00000000-0008-0000-0700-000081010000}"/>
            </a:ext>
          </a:extLst>
        </xdr:cNvPr>
        <xdr:cNvSpPr/>
      </xdr:nvSpPr>
      <xdr:spPr>
        <a:xfrm>
          <a:off x="5675883" y="59824867"/>
          <a:ext cx="2522103" cy="37742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45</xdr:col>
      <xdr:colOff>98787</xdr:colOff>
      <xdr:row>395</xdr:row>
      <xdr:rowOff>67090</xdr:rowOff>
    </xdr:from>
    <xdr:to>
      <xdr:col>66</xdr:col>
      <xdr:colOff>20565</xdr:colOff>
      <xdr:row>397</xdr:row>
      <xdr:rowOff>139716</xdr:rowOff>
    </xdr:to>
    <xdr:sp macro="" textlink="">
      <xdr:nvSpPr>
        <xdr:cNvPr id="386" name="角丸四角形 385">
          <a:extLst>
            <a:ext uri="{FF2B5EF4-FFF2-40B4-BE49-F238E27FC236}">
              <a16:creationId xmlns:a16="http://schemas.microsoft.com/office/drawing/2014/main" id="{00000000-0008-0000-0700-000082010000}"/>
            </a:ext>
          </a:extLst>
        </xdr:cNvPr>
        <xdr:cNvSpPr/>
      </xdr:nvSpPr>
      <xdr:spPr>
        <a:xfrm>
          <a:off x="5670912" y="60293665"/>
          <a:ext cx="2522103" cy="37742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55</xdr:col>
      <xdr:colOff>14911</xdr:colOff>
      <xdr:row>416</xdr:row>
      <xdr:rowOff>14911</xdr:rowOff>
    </xdr:from>
    <xdr:to>
      <xdr:col>82</xdr:col>
      <xdr:colOff>82079</xdr:colOff>
      <xdr:row>420</xdr:row>
      <xdr:rowOff>142447</xdr:rowOff>
    </xdr:to>
    <xdr:grpSp>
      <xdr:nvGrpSpPr>
        <xdr:cNvPr id="387" name="グループ化 386">
          <a:extLst>
            <a:ext uri="{FF2B5EF4-FFF2-40B4-BE49-F238E27FC236}">
              <a16:creationId xmlns:a16="http://schemas.microsoft.com/office/drawing/2014/main" id="{00000000-0008-0000-0700-000083010000}"/>
            </a:ext>
          </a:extLst>
        </xdr:cNvPr>
        <xdr:cNvGrpSpPr/>
      </xdr:nvGrpSpPr>
      <xdr:grpSpPr>
        <a:xfrm>
          <a:off x="6794470" y="65143499"/>
          <a:ext cx="3395315" cy="755066"/>
          <a:chOff x="5991641" y="53583510"/>
          <a:chExt cx="3421625" cy="723884"/>
        </a:xfrm>
      </xdr:grpSpPr>
      <xdr:sp macro="" textlink="">
        <xdr:nvSpPr>
          <xdr:cNvPr id="388" name="正方形/長方形 387">
            <a:extLst>
              <a:ext uri="{FF2B5EF4-FFF2-40B4-BE49-F238E27FC236}">
                <a16:creationId xmlns:a16="http://schemas.microsoft.com/office/drawing/2014/main" id="{00000000-0008-0000-0700-000084010000}"/>
              </a:ext>
            </a:extLst>
          </xdr:cNvPr>
          <xdr:cNvSpPr/>
        </xdr:nvSpPr>
        <xdr:spPr>
          <a:xfrm>
            <a:off x="5991641" y="53583510"/>
            <a:ext cx="3293163" cy="66757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89" name="テキスト ボックス 388">
            <a:extLst>
              <a:ext uri="{FF2B5EF4-FFF2-40B4-BE49-F238E27FC236}">
                <a16:creationId xmlns:a16="http://schemas.microsoft.com/office/drawing/2014/main" id="{00000000-0008-0000-0700-000085010000}"/>
              </a:ext>
            </a:extLst>
          </xdr:cNvPr>
          <xdr:cNvSpPr txBox="1"/>
        </xdr:nvSpPr>
        <xdr:spPr>
          <a:xfrm>
            <a:off x="6943966" y="53677970"/>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90" name="テキスト ボックス 389">
            <a:extLst>
              <a:ext uri="{FF2B5EF4-FFF2-40B4-BE49-F238E27FC236}">
                <a16:creationId xmlns:a16="http://schemas.microsoft.com/office/drawing/2014/main" id="{00000000-0008-0000-0700-000086010000}"/>
              </a:ext>
            </a:extLst>
          </xdr:cNvPr>
          <xdr:cNvSpPr txBox="1"/>
        </xdr:nvSpPr>
        <xdr:spPr>
          <a:xfrm>
            <a:off x="6948712" y="53925405"/>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91" name="正方形/長方形 390">
            <a:extLst>
              <a:ext uri="{FF2B5EF4-FFF2-40B4-BE49-F238E27FC236}">
                <a16:creationId xmlns:a16="http://schemas.microsoft.com/office/drawing/2014/main" id="{00000000-0008-0000-0700-000087010000}"/>
              </a:ext>
            </a:extLst>
          </xdr:cNvPr>
          <xdr:cNvSpPr/>
        </xdr:nvSpPr>
        <xdr:spPr>
          <a:xfrm>
            <a:off x="6439869" y="53665678"/>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92" name="正方形/長方形 391">
            <a:extLst>
              <a:ext uri="{FF2B5EF4-FFF2-40B4-BE49-F238E27FC236}">
                <a16:creationId xmlns:a16="http://schemas.microsoft.com/office/drawing/2014/main" id="{00000000-0008-0000-0700-000088010000}"/>
              </a:ext>
            </a:extLst>
          </xdr:cNvPr>
          <xdr:cNvSpPr/>
        </xdr:nvSpPr>
        <xdr:spPr>
          <a:xfrm>
            <a:off x="6432942" y="53924467"/>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93" name="テキスト ボックス 392">
            <a:extLst>
              <a:ext uri="{FF2B5EF4-FFF2-40B4-BE49-F238E27FC236}">
                <a16:creationId xmlns:a16="http://schemas.microsoft.com/office/drawing/2014/main" id="{00000000-0008-0000-0700-000089010000}"/>
              </a:ext>
            </a:extLst>
          </xdr:cNvPr>
          <xdr:cNvSpPr txBox="1"/>
        </xdr:nvSpPr>
        <xdr:spPr>
          <a:xfrm>
            <a:off x="8415093" y="53613346"/>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94" name="角丸四角形 393">
            <a:extLst>
              <a:ext uri="{FF2B5EF4-FFF2-40B4-BE49-F238E27FC236}">
                <a16:creationId xmlns:a16="http://schemas.microsoft.com/office/drawing/2014/main" id="{00000000-0008-0000-0700-00008A010000}"/>
              </a:ext>
            </a:extLst>
          </xdr:cNvPr>
          <xdr:cNvSpPr/>
        </xdr:nvSpPr>
        <xdr:spPr>
          <a:xfrm>
            <a:off x="7879171" y="53618225"/>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5" name="角丸四角形 394">
            <a:extLst>
              <a:ext uri="{FF2B5EF4-FFF2-40B4-BE49-F238E27FC236}">
                <a16:creationId xmlns:a16="http://schemas.microsoft.com/office/drawing/2014/main" id="{00000000-0008-0000-0700-00008B010000}"/>
              </a:ext>
            </a:extLst>
          </xdr:cNvPr>
          <xdr:cNvSpPr/>
        </xdr:nvSpPr>
        <xdr:spPr>
          <a:xfrm>
            <a:off x="7886704" y="5390271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6" name="テキスト ボックス 395">
            <a:extLst>
              <a:ext uri="{FF2B5EF4-FFF2-40B4-BE49-F238E27FC236}">
                <a16:creationId xmlns:a16="http://schemas.microsoft.com/office/drawing/2014/main" id="{00000000-0008-0000-0700-00008C010000}"/>
              </a:ext>
            </a:extLst>
          </xdr:cNvPr>
          <xdr:cNvSpPr txBox="1"/>
        </xdr:nvSpPr>
        <xdr:spPr>
          <a:xfrm>
            <a:off x="8427636" y="5388127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3</xdr:col>
      <xdr:colOff>21538</xdr:colOff>
      <xdr:row>220</xdr:row>
      <xdr:rowOff>135422</xdr:rowOff>
    </xdr:from>
    <xdr:to>
      <xdr:col>11</xdr:col>
      <xdr:colOff>31063</xdr:colOff>
      <xdr:row>224</xdr:row>
      <xdr:rowOff>14911</xdr:rowOff>
    </xdr:to>
    <xdr:sp macro="" textlink="">
      <xdr:nvSpPr>
        <xdr:cNvPr id="155" name="四角形吹き出し 154">
          <a:extLst>
            <a:ext uri="{FF2B5EF4-FFF2-40B4-BE49-F238E27FC236}">
              <a16:creationId xmlns:a16="http://schemas.microsoft.com/office/drawing/2014/main" id="{00000000-0008-0000-0700-00009B000000}"/>
            </a:ext>
          </a:extLst>
        </xdr:cNvPr>
        <xdr:cNvSpPr/>
      </xdr:nvSpPr>
      <xdr:spPr>
        <a:xfrm>
          <a:off x="393013" y="33996797"/>
          <a:ext cx="1000125" cy="489089"/>
        </a:xfrm>
        <a:prstGeom prst="wedgeRectCallout">
          <a:avLst>
            <a:gd name="adj1" fmla="val 41073"/>
            <a:gd name="adj2" fmla="val 94558"/>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HULFT</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41</xdr:col>
      <xdr:colOff>93593</xdr:colOff>
      <xdr:row>290</xdr:row>
      <xdr:rowOff>24849</xdr:rowOff>
    </xdr:from>
    <xdr:to>
      <xdr:col>49</xdr:col>
      <xdr:colOff>103118</xdr:colOff>
      <xdr:row>293</xdr:row>
      <xdr:rowOff>56736</xdr:rowOff>
    </xdr:to>
    <xdr:sp macro="" textlink="">
      <xdr:nvSpPr>
        <xdr:cNvPr id="159" name="四角形吹き出し 158">
          <a:extLst>
            <a:ext uri="{FF2B5EF4-FFF2-40B4-BE49-F238E27FC236}">
              <a16:creationId xmlns:a16="http://schemas.microsoft.com/office/drawing/2014/main" id="{00000000-0008-0000-0700-00009F000000}"/>
            </a:ext>
          </a:extLst>
        </xdr:cNvPr>
        <xdr:cNvSpPr/>
      </xdr:nvSpPr>
      <xdr:spPr>
        <a:xfrm>
          <a:off x="5170418" y="44401824"/>
          <a:ext cx="1000125" cy="489087"/>
        </a:xfrm>
        <a:prstGeom prst="wedgeRectCallout">
          <a:avLst>
            <a:gd name="adj1" fmla="val -118927"/>
            <a:gd name="adj2" fmla="val -102140"/>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rgbClr val="FF0000"/>
              </a:solidFill>
            </a:rPr>
            <a:t>設計範囲</a:t>
          </a:r>
        </a:p>
      </xdr:txBody>
    </xdr:sp>
    <xdr:clientData/>
  </xdr:twoCellAnchor>
  <xdr:twoCellAnchor>
    <xdr:from>
      <xdr:col>41</xdr:col>
      <xdr:colOff>93593</xdr:colOff>
      <xdr:row>290</xdr:row>
      <xdr:rowOff>24849</xdr:rowOff>
    </xdr:from>
    <xdr:to>
      <xdr:col>49</xdr:col>
      <xdr:colOff>103118</xdr:colOff>
      <xdr:row>293</xdr:row>
      <xdr:rowOff>56736</xdr:rowOff>
    </xdr:to>
    <xdr:sp macro="" textlink="">
      <xdr:nvSpPr>
        <xdr:cNvPr id="220" name="四角形吹き出し 219">
          <a:extLst>
            <a:ext uri="{FF2B5EF4-FFF2-40B4-BE49-F238E27FC236}">
              <a16:creationId xmlns:a16="http://schemas.microsoft.com/office/drawing/2014/main" id="{00000000-0008-0000-0700-0000DC000000}"/>
            </a:ext>
          </a:extLst>
        </xdr:cNvPr>
        <xdr:cNvSpPr/>
      </xdr:nvSpPr>
      <xdr:spPr>
        <a:xfrm>
          <a:off x="5170418" y="44401824"/>
          <a:ext cx="1000125" cy="489087"/>
        </a:xfrm>
        <a:prstGeom prst="wedgeRectCallout">
          <a:avLst>
            <a:gd name="adj1" fmla="val -61784"/>
            <a:gd name="adj2" fmla="val 160773"/>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JP1</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71</xdr:col>
      <xdr:colOff>35648</xdr:colOff>
      <xdr:row>91</xdr:row>
      <xdr:rowOff>21610</xdr:rowOff>
    </xdr:from>
    <xdr:to>
      <xdr:col>77</xdr:col>
      <xdr:colOff>16598</xdr:colOff>
      <xdr:row>95</xdr:row>
      <xdr:rowOff>8080</xdr:rowOff>
    </xdr:to>
    <xdr:sp macro="" textlink="">
      <xdr:nvSpPr>
        <xdr:cNvPr id="425" name="円柱 424">
          <a:extLst>
            <a:ext uri="{FF2B5EF4-FFF2-40B4-BE49-F238E27FC236}">
              <a16:creationId xmlns:a16="http://schemas.microsoft.com/office/drawing/2014/main" id="{00000000-0008-0000-0700-0000A9010000}"/>
            </a:ext>
          </a:extLst>
        </xdr:cNvPr>
        <xdr:cNvSpPr/>
      </xdr:nvSpPr>
      <xdr:spPr>
        <a:xfrm>
          <a:off x="8787442" y="14006551"/>
          <a:ext cx="720538" cy="614000"/>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t"/>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開発</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11205</xdr:colOff>
      <xdr:row>97</xdr:row>
      <xdr:rowOff>33618</xdr:rowOff>
    </xdr:from>
    <xdr:to>
      <xdr:col>73</xdr:col>
      <xdr:colOff>79721</xdr:colOff>
      <xdr:row>100</xdr:row>
      <xdr:rowOff>111551</xdr:rowOff>
    </xdr:to>
    <xdr:grpSp>
      <xdr:nvGrpSpPr>
        <xdr:cNvPr id="433" name="グループ化 432">
          <a:extLst>
            <a:ext uri="{FF2B5EF4-FFF2-40B4-BE49-F238E27FC236}">
              <a16:creationId xmlns:a16="http://schemas.microsoft.com/office/drawing/2014/main" id="{00000000-0008-0000-0700-0000B1010000}"/>
            </a:ext>
          </a:extLst>
        </xdr:cNvPr>
        <xdr:cNvGrpSpPr/>
      </xdr:nvGrpSpPr>
      <xdr:grpSpPr>
        <a:xfrm>
          <a:off x="2599764" y="15116736"/>
          <a:ext cx="6478281" cy="548580"/>
          <a:chOff x="10521043" y="10993480"/>
          <a:chExt cx="6478281" cy="548580"/>
        </a:xfrm>
      </xdr:grpSpPr>
      <xdr:sp macro="" textlink="">
        <xdr:nvSpPr>
          <xdr:cNvPr id="434" name="正方形/長方形 433">
            <a:extLst>
              <a:ext uri="{FF2B5EF4-FFF2-40B4-BE49-F238E27FC236}">
                <a16:creationId xmlns:a16="http://schemas.microsoft.com/office/drawing/2014/main" id="{00000000-0008-0000-0700-0000B2010000}"/>
              </a:ext>
            </a:extLst>
          </xdr:cNvPr>
          <xdr:cNvSpPr/>
        </xdr:nvSpPr>
        <xdr:spPr>
          <a:xfrm>
            <a:off x="10521043" y="10993480"/>
            <a:ext cx="6478281" cy="54858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35" name="テキスト ボックス 434">
            <a:extLst>
              <a:ext uri="{FF2B5EF4-FFF2-40B4-BE49-F238E27FC236}">
                <a16:creationId xmlns:a16="http://schemas.microsoft.com/office/drawing/2014/main" id="{00000000-0008-0000-0700-0000B3010000}"/>
              </a:ext>
            </a:extLst>
          </xdr:cNvPr>
          <xdr:cNvSpPr txBox="1"/>
        </xdr:nvSpPr>
        <xdr:spPr>
          <a:xfrm>
            <a:off x="11113460" y="11259814"/>
            <a:ext cx="1087053"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36" name="テキスト ボックス 435">
            <a:extLst>
              <a:ext uri="{FF2B5EF4-FFF2-40B4-BE49-F238E27FC236}">
                <a16:creationId xmlns:a16="http://schemas.microsoft.com/office/drawing/2014/main" id="{00000000-0008-0000-0700-0000B4010000}"/>
              </a:ext>
            </a:extLst>
          </xdr:cNvPr>
          <xdr:cNvSpPr txBox="1"/>
        </xdr:nvSpPr>
        <xdr:spPr>
          <a:xfrm>
            <a:off x="14535565" y="11255401"/>
            <a:ext cx="1048725" cy="25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37" name="正方形/長方形 436">
            <a:extLst>
              <a:ext uri="{FF2B5EF4-FFF2-40B4-BE49-F238E27FC236}">
                <a16:creationId xmlns:a16="http://schemas.microsoft.com/office/drawing/2014/main" id="{00000000-0008-0000-0700-0000B5010000}"/>
              </a:ext>
            </a:extLst>
          </xdr:cNvPr>
          <xdr:cNvSpPr/>
        </xdr:nvSpPr>
        <xdr:spPr>
          <a:xfrm>
            <a:off x="10613529" y="11247123"/>
            <a:ext cx="440614" cy="1745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38" name="正方形/長方形 437">
            <a:extLst>
              <a:ext uri="{FF2B5EF4-FFF2-40B4-BE49-F238E27FC236}">
                <a16:creationId xmlns:a16="http://schemas.microsoft.com/office/drawing/2014/main" id="{00000000-0008-0000-0700-0000B6010000}"/>
              </a:ext>
            </a:extLst>
          </xdr:cNvPr>
          <xdr:cNvSpPr/>
        </xdr:nvSpPr>
        <xdr:spPr>
          <a:xfrm>
            <a:off x="14024432" y="11254432"/>
            <a:ext cx="440614" cy="17362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39" name="テキスト ボックス 438">
            <a:extLst>
              <a:ext uri="{FF2B5EF4-FFF2-40B4-BE49-F238E27FC236}">
                <a16:creationId xmlns:a16="http://schemas.microsoft.com/office/drawing/2014/main" id="{00000000-0008-0000-0700-0000B7010000}"/>
              </a:ext>
            </a:extLst>
          </xdr:cNvPr>
          <xdr:cNvSpPr txBox="1"/>
        </xdr:nvSpPr>
        <xdr:spPr>
          <a:xfrm>
            <a:off x="15919765" y="11246914"/>
            <a:ext cx="1048725" cy="253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0" name="角丸四角形 439">
            <a:extLst>
              <a:ext uri="{FF2B5EF4-FFF2-40B4-BE49-F238E27FC236}">
                <a16:creationId xmlns:a16="http://schemas.microsoft.com/office/drawing/2014/main" id="{00000000-0008-0000-0700-0000B8010000}"/>
              </a:ext>
            </a:extLst>
          </xdr:cNvPr>
          <xdr:cNvSpPr/>
        </xdr:nvSpPr>
        <xdr:spPr>
          <a:xfrm>
            <a:off x="15404714" y="11252057"/>
            <a:ext cx="440614" cy="17451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41" name="テキスト ボックス 440">
            <a:extLst>
              <a:ext uri="{FF2B5EF4-FFF2-40B4-BE49-F238E27FC236}">
                <a16:creationId xmlns:a16="http://schemas.microsoft.com/office/drawing/2014/main" id="{00000000-0008-0000-0700-0000B9010000}"/>
              </a:ext>
            </a:extLst>
          </xdr:cNvPr>
          <xdr:cNvSpPr txBox="1"/>
        </xdr:nvSpPr>
        <xdr:spPr>
          <a:xfrm>
            <a:off x="12887267" y="11261317"/>
            <a:ext cx="1026888"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2" name="正方形/長方形 441">
            <a:extLst>
              <a:ext uri="{FF2B5EF4-FFF2-40B4-BE49-F238E27FC236}">
                <a16:creationId xmlns:a16="http://schemas.microsoft.com/office/drawing/2014/main" id="{00000000-0008-0000-0700-0000BA010000}"/>
              </a:ext>
            </a:extLst>
          </xdr:cNvPr>
          <xdr:cNvSpPr/>
        </xdr:nvSpPr>
        <xdr:spPr>
          <a:xfrm>
            <a:off x="12387336" y="11248626"/>
            <a:ext cx="440614" cy="174515"/>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41</xdr:col>
      <xdr:colOff>89647</xdr:colOff>
      <xdr:row>443</xdr:row>
      <xdr:rowOff>118386</xdr:rowOff>
    </xdr:from>
    <xdr:to>
      <xdr:col>54</xdr:col>
      <xdr:colOff>38099</xdr:colOff>
      <xdr:row>445</xdr:row>
      <xdr:rowOff>32742</xdr:rowOff>
    </xdr:to>
    <xdr:sp macro="" textlink="">
      <xdr:nvSpPr>
        <xdr:cNvPr id="446" name="角丸四角形吹き出し 445">
          <a:extLst>
            <a:ext uri="{FF2B5EF4-FFF2-40B4-BE49-F238E27FC236}">
              <a16:creationId xmlns:a16="http://schemas.microsoft.com/office/drawing/2014/main" id="{00000000-0008-0000-0700-0000BE010000}"/>
            </a:ext>
          </a:extLst>
        </xdr:cNvPr>
        <xdr:cNvSpPr/>
      </xdr:nvSpPr>
      <xdr:spPr>
        <a:xfrm>
          <a:off x="5143500" y="69482798"/>
          <a:ext cx="1550893" cy="228120"/>
        </a:xfrm>
        <a:prstGeom prst="wedgeRoundRectCallout">
          <a:avLst>
            <a:gd name="adj1" fmla="val 16696"/>
            <a:gd name="adj2" fmla="val 8542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副</a:t>
          </a:r>
          <a:r>
            <a:rPr kumimoji="1" lang="en-US" altLang="ja-JP" sz="900">
              <a:solidFill>
                <a:schemeClr val="tx1"/>
              </a:solidFill>
              <a:latin typeface="+mn-ea"/>
              <a:ea typeface="+mn-ea"/>
            </a:rPr>
            <a:t>)</a:t>
          </a:r>
        </a:p>
      </xdr:txBody>
    </xdr:sp>
    <xdr:clientData/>
  </xdr:twoCellAnchor>
  <xdr:twoCellAnchor>
    <xdr:from>
      <xdr:col>34</xdr:col>
      <xdr:colOff>29940</xdr:colOff>
      <xdr:row>456</xdr:row>
      <xdr:rowOff>147527</xdr:rowOff>
    </xdr:from>
    <xdr:to>
      <xdr:col>46</xdr:col>
      <xdr:colOff>101659</xdr:colOff>
      <xdr:row>458</xdr:row>
      <xdr:rowOff>70105</xdr:rowOff>
    </xdr:to>
    <xdr:sp macro="" textlink="">
      <xdr:nvSpPr>
        <xdr:cNvPr id="447" name="角丸四角形吹き出し 446">
          <a:extLst>
            <a:ext uri="{FF2B5EF4-FFF2-40B4-BE49-F238E27FC236}">
              <a16:creationId xmlns:a16="http://schemas.microsoft.com/office/drawing/2014/main" id="{00000000-0008-0000-0700-0000BF010000}"/>
            </a:ext>
          </a:extLst>
        </xdr:cNvPr>
        <xdr:cNvSpPr/>
      </xdr:nvSpPr>
      <xdr:spPr>
        <a:xfrm>
          <a:off x="4220940" y="71551409"/>
          <a:ext cx="1550895" cy="236343"/>
        </a:xfrm>
        <a:prstGeom prst="wedgeRoundRectCallout">
          <a:avLst>
            <a:gd name="adj1" fmla="val -19450"/>
            <a:gd name="adj2" fmla="val 10106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正</a:t>
          </a:r>
          <a:r>
            <a:rPr kumimoji="1" lang="en-US" altLang="ja-JP" sz="900">
              <a:solidFill>
                <a:schemeClr val="tx1"/>
              </a:solidFill>
              <a:latin typeface="+mn-ea"/>
              <a:ea typeface="+mn-ea"/>
            </a:rPr>
            <a:t>)</a:t>
          </a:r>
        </a:p>
      </xdr:txBody>
    </xdr:sp>
    <xdr:clientData/>
  </xdr:twoCellAnchor>
  <xdr:twoCellAnchor>
    <xdr:from>
      <xdr:col>40</xdr:col>
      <xdr:colOff>34042</xdr:colOff>
      <xdr:row>468</xdr:row>
      <xdr:rowOff>140639</xdr:rowOff>
    </xdr:from>
    <xdr:to>
      <xdr:col>46</xdr:col>
      <xdr:colOff>1</xdr:colOff>
      <xdr:row>472</xdr:row>
      <xdr:rowOff>33619</xdr:rowOff>
    </xdr:to>
    <xdr:sp macro="" textlink="">
      <xdr:nvSpPr>
        <xdr:cNvPr id="420" name="円柱 419">
          <a:extLst>
            <a:ext uri="{FF2B5EF4-FFF2-40B4-BE49-F238E27FC236}">
              <a16:creationId xmlns:a16="http://schemas.microsoft.com/office/drawing/2014/main" id="{00000000-0008-0000-0700-0000A4010000}"/>
            </a:ext>
          </a:extLst>
        </xdr:cNvPr>
        <xdr:cNvSpPr/>
      </xdr:nvSpPr>
      <xdr:spPr>
        <a:xfrm>
          <a:off x="4964630" y="73427110"/>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33</xdr:col>
      <xdr:colOff>44824</xdr:colOff>
      <xdr:row>414</xdr:row>
      <xdr:rowOff>100852</xdr:rowOff>
    </xdr:from>
    <xdr:to>
      <xdr:col>49</xdr:col>
      <xdr:colOff>11205</xdr:colOff>
      <xdr:row>420</xdr:row>
      <xdr:rowOff>112060</xdr:rowOff>
    </xdr:to>
    <xdr:sp macro="" textlink="">
      <xdr:nvSpPr>
        <xdr:cNvPr id="427" name="正方形/長方形 426">
          <a:extLst>
            <a:ext uri="{FF2B5EF4-FFF2-40B4-BE49-F238E27FC236}">
              <a16:creationId xmlns:a16="http://schemas.microsoft.com/office/drawing/2014/main" id="{00000000-0008-0000-0700-0000AB010000}"/>
            </a:ext>
          </a:extLst>
        </xdr:cNvPr>
        <xdr:cNvSpPr/>
      </xdr:nvSpPr>
      <xdr:spPr>
        <a:xfrm>
          <a:off x="4112559" y="64915676"/>
          <a:ext cx="1938617" cy="952502"/>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34</xdr:col>
      <xdr:colOff>114519</xdr:colOff>
      <xdr:row>416</xdr:row>
      <xdr:rowOff>65255</xdr:rowOff>
    </xdr:from>
    <xdr:to>
      <xdr:col>40</xdr:col>
      <xdr:colOff>80478</xdr:colOff>
      <xdr:row>419</xdr:row>
      <xdr:rowOff>115117</xdr:rowOff>
    </xdr:to>
    <xdr:sp macro="" textlink="">
      <xdr:nvSpPr>
        <xdr:cNvPr id="428" name="円柱 427">
          <a:extLst>
            <a:ext uri="{FF2B5EF4-FFF2-40B4-BE49-F238E27FC236}">
              <a16:creationId xmlns:a16="http://schemas.microsoft.com/office/drawing/2014/main" id="{00000000-0008-0000-0700-0000AC010000}"/>
            </a:ext>
          </a:extLst>
        </xdr:cNvPr>
        <xdr:cNvSpPr/>
      </xdr:nvSpPr>
      <xdr:spPr>
        <a:xfrm>
          <a:off x="4305519" y="65193843"/>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41</xdr:col>
      <xdr:colOff>90071</xdr:colOff>
      <xdr:row>416</xdr:row>
      <xdr:rowOff>62198</xdr:rowOff>
    </xdr:from>
    <xdr:to>
      <xdr:col>47</xdr:col>
      <xdr:colOff>56030</xdr:colOff>
      <xdr:row>419</xdr:row>
      <xdr:rowOff>112060</xdr:rowOff>
    </xdr:to>
    <xdr:sp macro="" textlink="">
      <xdr:nvSpPr>
        <xdr:cNvPr id="429" name="円柱 428">
          <a:extLst>
            <a:ext uri="{FF2B5EF4-FFF2-40B4-BE49-F238E27FC236}">
              <a16:creationId xmlns:a16="http://schemas.microsoft.com/office/drawing/2014/main" id="{00000000-0008-0000-0700-0000AD010000}"/>
            </a:ext>
          </a:extLst>
        </xdr:cNvPr>
        <xdr:cNvSpPr/>
      </xdr:nvSpPr>
      <xdr:spPr>
        <a:xfrm>
          <a:off x="5143924" y="65190786"/>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15</xdr:col>
      <xdr:colOff>115957</xdr:colOff>
      <xdr:row>404</xdr:row>
      <xdr:rowOff>115129</xdr:rowOff>
    </xdr:from>
    <xdr:to>
      <xdr:col>66</xdr:col>
      <xdr:colOff>117231</xdr:colOff>
      <xdr:row>408</xdr:row>
      <xdr:rowOff>132649</xdr:rowOff>
    </xdr:to>
    <xdr:sp macro="" textlink="">
      <xdr:nvSpPr>
        <xdr:cNvPr id="191" name="角丸四角形 190">
          <a:extLst>
            <a:ext uri="{FF2B5EF4-FFF2-40B4-BE49-F238E27FC236}">
              <a16:creationId xmlns:a16="http://schemas.microsoft.com/office/drawing/2014/main" id="{00000000-0008-0000-0700-0000BF000000}"/>
            </a:ext>
          </a:extLst>
        </xdr:cNvPr>
        <xdr:cNvSpPr/>
      </xdr:nvSpPr>
      <xdr:spPr>
        <a:xfrm>
          <a:off x="1973332" y="61713304"/>
          <a:ext cx="6316349" cy="627120"/>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17</xdr:col>
      <xdr:colOff>86025</xdr:colOff>
      <xdr:row>343</xdr:row>
      <xdr:rowOff>5601</xdr:rowOff>
    </xdr:from>
    <xdr:to>
      <xdr:col>25</xdr:col>
      <xdr:colOff>98930</xdr:colOff>
      <xdr:row>343</xdr:row>
      <xdr:rowOff>5601</xdr:rowOff>
    </xdr:to>
    <xdr:cxnSp macro="">
      <xdr:nvCxnSpPr>
        <xdr:cNvPr id="421" name="直線矢印コネクタ 420">
          <a:extLst>
            <a:ext uri="{FF2B5EF4-FFF2-40B4-BE49-F238E27FC236}">
              <a16:creationId xmlns:a16="http://schemas.microsoft.com/office/drawing/2014/main" id="{00000000-0008-0000-0700-0000A5010000}"/>
            </a:ext>
          </a:extLst>
        </xdr:cNvPr>
        <xdr:cNvCxnSpPr>
          <a:stCxn id="64" idx="3"/>
          <a:endCxn id="52" idx="1"/>
        </xdr:cNvCxnSpPr>
      </xdr:nvCxnSpPr>
      <xdr:spPr>
        <a:xfrm>
          <a:off x="2181525" y="54466189"/>
          <a:ext cx="99902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113495</xdr:colOff>
      <xdr:row>352</xdr:row>
      <xdr:rowOff>143812</xdr:rowOff>
    </xdr:from>
    <xdr:to>
      <xdr:col>30</xdr:col>
      <xdr:colOff>113495</xdr:colOff>
      <xdr:row>355</xdr:row>
      <xdr:rowOff>141165</xdr:rowOff>
    </xdr:to>
    <xdr:cxnSp macro="">
      <xdr:nvCxnSpPr>
        <xdr:cNvPr id="444" name="直線矢印コネクタ 443">
          <a:extLst>
            <a:ext uri="{FF2B5EF4-FFF2-40B4-BE49-F238E27FC236}">
              <a16:creationId xmlns:a16="http://schemas.microsoft.com/office/drawing/2014/main" id="{00000000-0008-0000-0700-0000BC010000}"/>
            </a:ext>
          </a:extLst>
        </xdr:cNvPr>
        <xdr:cNvCxnSpPr/>
      </xdr:nvCxnSpPr>
      <xdr:spPr>
        <a:xfrm flipH="1">
          <a:off x="3811436" y="56016341"/>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34694</xdr:colOff>
      <xdr:row>343</xdr:row>
      <xdr:rowOff>11119</xdr:rowOff>
    </xdr:from>
    <xdr:to>
      <xdr:col>72</xdr:col>
      <xdr:colOff>56308</xdr:colOff>
      <xdr:row>345</xdr:row>
      <xdr:rowOff>119725</xdr:rowOff>
    </xdr:to>
    <xdr:cxnSp macro="">
      <xdr:nvCxnSpPr>
        <xdr:cNvPr id="445" name="カギ線コネクタ 444">
          <a:extLst>
            <a:ext uri="{FF2B5EF4-FFF2-40B4-BE49-F238E27FC236}">
              <a16:creationId xmlns:a16="http://schemas.microsoft.com/office/drawing/2014/main" id="{00000000-0008-0000-0700-0000BD010000}"/>
            </a:ext>
          </a:extLst>
        </xdr:cNvPr>
        <xdr:cNvCxnSpPr>
          <a:stCxn id="52" idx="3"/>
          <a:endCxn id="69" idx="0"/>
        </xdr:cNvCxnSpPr>
      </xdr:nvCxnSpPr>
      <xdr:spPr>
        <a:xfrm>
          <a:off x="4472223" y="53687295"/>
          <a:ext cx="4459144" cy="42237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52136</xdr:colOff>
      <xdr:row>115</xdr:row>
      <xdr:rowOff>0</xdr:rowOff>
    </xdr:from>
    <xdr:to>
      <xdr:col>45</xdr:col>
      <xdr:colOff>64272</xdr:colOff>
      <xdr:row>135</xdr:row>
      <xdr:rowOff>70585</xdr:rowOff>
    </xdr:to>
    <xdr:sp macro="" textlink="">
      <xdr:nvSpPr>
        <xdr:cNvPr id="536" name="正方形/長方形 535">
          <a:extLst>
            <a:ext uri="{FF2B5EF4-FFF2-40B4-BE49-F238E27FC236}">
              <a16:creationId xmlns:a16="http://schemas.microsoft.com/office/drawing/2014/main" id="{00000000-0008-0000-0700-000018020000}"/>
            </a:ext>
          </a:extLst>
        </xdr:cNvPr>
        <xdr:cNvSpPr/>
      </xdr:nvSpPr>
      <xdr:spPr>
        <a:xfrm>
          <a:off x="1161518" y="18691412"/>
          <a:ext cx="4449666" cy="320823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44826</xdr:colOff>
      <xdr:row>115</xdr:row>
      <xdr:rowOff>124622</xdr:rowOff>
    </xdr:from>
    <xdr:to>
      <xdr:col>44</xdr:col>
      <xdr:colOff>55989</xdr:colOff>
      <xdr:row>136</xdr:row>
      <xdr:rowOff>46181</xdr:rowOff>
    </xdr:to>
    <xdr:sp macro="" textlink="">
      <xdr:nvSpPr>
        <xdr:cNvPr id="537" name="正方形/長方形 536">
          <a:extLst>
            <a:ext uri="{FF2B5EF4-FFF2-40B4-BE49-F238E27FC236}">
              <a16:creationId xmlns:a16="http://schemas.microsoft.com/office/drawing/2014/main" id="{00000000-0008-0000-0700-000019020000}"/>
            </a:ext>
          </a:extLst>
        </xdr:cNvPr>
        <xdr:cNvSpPr/>
      </xdr:nvSpPr>
      <xdr:spPr>
        <a:xfrm>
          <a:off x="1030944" y="18816034"/>
          <a:ext cx="4448692" cy="32160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126</xdr:row>
      <xdr:rowOff>46034</xdr:rowOff>
    </xdr:from>
    <xdr:to>
      <xdr:col>43</xdr:col>
      <xdr:colOff>132</xdr:colOff>
      <xdr:row>127</xdr:row>
      <xdr:rowOff>148352</xdr:rowOff>
    </xdr:to>
    <xdr:sp macro="" textlink="">
      <xdr:nvSpPr>
        <xdr:cNvPr id="538" name="正方形/長方形 537">
          <a:extLst>
            <a:ext uri="{FF2B5EF4-FFF2-40B4-BE49-F238E27FC236}">
              <a16:creationId xmlns:a16="http://schemas.microsoft.com/office/drawing/2014/main" id="{00000000-0008-0000-0700-00001A020000}"/>
            </a:ext>
          </a:extLst>
        </xdr:cNvPr>
        <xdr:cNvSpPr/>
      </xdr:nvSpPr>
      <xdr:spPr>
        <a:xfrm>
          <a:off x="3356853" y="20463152"/>
          <a:ext cx="1943661"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129</xdr:row>
      <xdr:rowOff>47154</xdr:rowOff>
    </xdr:from>
    <xdr:to>
      <xdr:col>43</xdr:col>
      <xdr:colOff>132</xdr:colOff>
      <xdr:row>130</xdr:row>
      <xdr:rowOff>149472</xdr:rowOff>
    </xdr:to>
    <xdr:sp macro="" textlink="">
      <xdr:nvSpPr>
        <xdr:cNvPr id="539" name="正方形/長方形 538">
          <a:extLst>
            <a:ext uri="{FF2B5EF4-FFF2-40B4-BE49-F238E27FC236}">
              <a16:creationId xmlns:a16="http://schemas.microsoft.com/office/drawing/2014/main" id="{00000000-0008-0000-0700-00001B020000}"/>
            </a:ext>
          </a:extLst>
        </xdr:cNvPr>
        <xdr:cNvSpPr/>
      </xdr:nvSpPr>
      <xdr:spPr>
        <a:xfrm>
          <a:off x="3356853" y="20934919"/>
          <a:ext cx="1943661"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LifeKeeper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81849</xdr:colOff>
      <xdr:row>133</xdr:row>
      <xdr:rowOff>53530</xdr:rowOff>
    </xdr:from>
    <xdr:to>
      <xdr:col>43</xdr:col>
      <xdr:colOff>10114</xdr:colOff>
      <xdr:row>134</xdr:row>
      <xdr:rowOff>155848</xdr:rowOff>
    </xdr:to>
    <xdr:sp macro="" textlink="">
      <xdr:nvSpPr>
        <xdr:cNvPr id="540" name="正方形/長方形 539">
          <a:extLst>
            <a:ext uri="{FF2B5EF4-FFF2-40B4-BE49-F238E27FC236}">
              <a16:creationId xmlns:a16="http://schemas.microsoft.com/office/drawing/2014/main" id="{00000000-0008-0000-0700-00001C020000}"/>
            </a:ext>
          </a:extLst>
        </xdr:cNvPr>
        <xdr:cNvSpPr/>
      </xdr:nvSpPr>
      <xdr:spPr>
        <a:xfrm>
          <a:off x="1314496" y="21568824"/>
          <a:ext cx="3996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114998</xdr:colOff>
      <xdr:row>119</xdr:row>
      <xdr:rowOff>147034</xdr:rowOff>
    </xdr:from>
    <xdr:to>
      <xdr:col>69</xdr:col>
      <xdr:colOff>50864</xdr:colOff>
      <xdr:row>129</xdr:row>
      <xdr:rowOff>135828</xdr:rowOff>
    </xdr:to>
    <xdr:sp macro="" textlink="">
      <xdr:nvSpPr>
        <xdr:cNvPr id="541" name="正方形/長方形 540">
          <a:extLst>
            <a:ext uri="{FF2B5EF4-FFF2-40B4-BE49-F238E27FC236}">
              <a16:creationId xmlns:a16="http://schemas.microsoft.com/office/drawing/2014/main" id="{00000000-0008-0000-0700-00001D020000}"/>
            </a:ext>
          </a:extLst>
        </xdr:cNvPr>
        <xdr:cNvSpPr/>
      </xdr:nvSpPr>
      <xdr:spPr>
        <a:xfrm>
          <a:off x="6154969" y="19465975"/>
          <a:ext cx="2401160" cy="1557618"/>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51</xdr:col>
      <xdr:colOff>76898</xdr:colOff>
      <xdr:row>122</xdr:row>
      <xdr:rowOff>58920</xdr:rowOff>
    </xdr:from>
    <xdr:to>
      <xdr:col>57</xdr:col>
      <xdr:colOff>86423</xdr:colOff>
      <xdr:row>125</xdr:row>
      <xdr:rowOff>144645</xdr:rowOff>
    </xdr:to>
    <xdr:sp macro="" textlink="">
      <xdr:nvSpPr>
        <xdr:cNvPr id="542" name="円柱 541">
          <a:extLst>
            <a:ext uri="{FF2B5EF4-FFF2-40B4-BE49-F238E27FC236}">
              <a16:creationId xmlns:a16="http://schemas.microsoft.com/office/drawing/2014/main" id="{00000000-0008-0000-0700-00001E020000}"/>
            </a:ext>
          </a:extLst>
        </xdr:cNvPr>
        <xdr:cNvSpPr/>
      </xdr:nvSpPr>
      <xdr:spPr>
        <a:xfrm>
          <a:off x="6363398" y="19848508"/>
          <a:ext cx="749113" cy="556372"/>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61</xdr:col>
      <xdr:colOff>33750</xdr:colOff>
      <xdr:row>122</xdr:row>
      <xdr:rowOff>58920</xdr:rowOff>
    </xdr:from>
    <xdr:to>
      <xdr:col>67</xdr:col>
      <xdr:colOff>43276</xdr:colOff>
      <xdr:row>125</xdr:row>
      <xdr:rowOff>144645</xdr:rowOff>
    </xdr:to>
    <xdr:sp macro="" textlink="">
      <xdr:nvSpPr>
        <xdr:cNvPr id="543" name="円柱 542">
          <a:extLst>
            <a:ext uri="{FF2B5EF4-FFF2-40B4-BE49-F238E27FC236}">
              <a16:creationId xmlns:a16="http://schemas.microsoft.com/office/drawing/2014/main" id="{00000000-0008-0000-0700-00001F020000}"/>
            </a:ext>
          </a:extLst>
        </xdr:cNvPr>
        <xdr:cNvSpPr/>
      </xdr:nvSpPr>
      <xdr:spPr>
        <a:xfrm>
          <a:off x="7552897" y="19848508"/>
          <a:ext cx="749114" cy="556372"/>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20692</xdr:colOff>
      <xdr:row>123</xdr:row>
      <xdr:rowOff>97019</xdr:rowOff>
    </xdr:from>
    <xdr:to>
      <xdr:col>62</xdr:col>
      <xdr:colOff>88100</xdr:colOff>
      <xdr:row>125</xdr:row>
      <xdr:rowOff>58920</xdr:rowOff>
    </xdr:to>
    <xdr:sp macro="" textlink="">
      <xdr:nvSpPr>
        <xdr:cNvPr id="544" name="正方形/長方形 543">
          <a:extLst>
            <a:ext uri="{FF2B5EF4-FFF2-40B4-BE49-F238E27FC236}">
              <a16:creationId xmlns:a16="http://schemas.microsoft.com/office/drawing/2014/main" id="{00000000-0008-0000-0700-000020020000}"/>
            </a:ext>
          </a:extLst>
        </xdr:cNvPr>
        <xdr:cNvSpPr/>
      </xdr:nvSpPr>
      <xdr:spPr>
        <a:xfrm>
          <a:off x="7170045" y="20043490"/>
          <a:ext cx="560467" cy="27566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54</xdr:col>
      <xdr:colOff>39914</xdr:colOff>
      <xdr:row>127</xdr:row>
      <xdr:rowOff>21379</xdr:rowOff>
    </xdr:from>
    <xdr:to>
      <xdr:col>64</xdr:col>
      <xdr:colOff>95772</xdr:colOff>
      <xdr:row>128</xdr:row>
      <xdr:rowOff>140162</xdr:rowOff>
    </xdr:to>
    <xdr:sp macro="" textlink="">
      <xdr:nvSpPr>
        <xdr:cNvPr id="545" name="正方形/長方形 544">
          <a:extLst>
            <a:ext uri="{FF2B5EF4-FFF2-40B4-BE49-F238E27FC236}">
              <a16:creationId xmlns:a16="http://schemas.microsoft.com/office/drawing/2014/main" id="{00000000-0008-0000-0700-000021020000}"/>
            </a:ext>
          </a:extLst>
        </xdr:cNvPr>
        <xdr:cNvSpPr/>
      </xdr:nvSpPr>
      <xdr:spPr>
        <a:xfrm>
          <a:off x="6696208" y="20595379"/>
          <a:ext cx="1288505" cy="27566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データベース・ファイル</a:t>
          </a:r>
        </a:p>
      </xdr:txBody>
    </xdr:sp>
    <xdr:clientData/>
  </xdr:twoCellAnchor>
  <xdr:twoCellAnchor>
    <xdr:from>
      <xdr:col>51</xdr:col>
      <xdr:colOff>73274</xdr:colOff>
      <xdr:row>126</xdr:row>
      <xdr:rowOff>22717</xdr:rowOff>
    </xdr:from>
    <xdr:to>
      <xdr:col>67</xdr:col>
      <xdr:colOff>50862</xdr:colOff>
      <xdr:row>127</xdr:row>
      <xdr:rowOff>12563</xdr:rowOff>
    </xdr:to>
    <xdr:sp macro="" textlink="">
      <xdr:nvSpPr>
        <xdr:cNvPr id="546" name="右中かっこ 545">
          <a:extLst>
            <a:ext uri="{FF2B5EF4-FFF2-40B4-BE49-F238E27FC236}">
              <a16:creationId xmlns:a16="http://schemas.microsoft.com/office/drawing/2014/main" id="{00000000-0008-0000-0700-000022020000}"/>
            </a:ext>
          </a:extLst>
        </xdr:cNvPr>
        <xdr:cNvSpPr/>
      </xdr:nvSpPr>
      <xdr:spPr>
        <a:xfrm rot="5400000">
          <a:off x="7261322" y="19538287"/>
          <a:ext cx="146728" cy="1949823"/>
        </a:xfrm>
        <a:prstGeom prst="rightBrace">
          <a:avLst>
            <a:gd name="adj1" fmla="val 22369"/>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72842</xdr:colOff>
      <xdr:row>126</xdr:row>
      <xdr:rowOff>46034</xdr:rowOff>
    </xdr:from>
    <xdr:to>
      <xdr:col>26</xdr:col>
      <xdr:colOff>44607</xdr:colOff>
      <xdr:row>127</xdr:row>
      <xdr:rowOff>148352</xdr:rowOff>
    </xdr:to>
    <xdr:sp macro="" textlink="">
      <xdr:nvSpPr>
        <xdr:cNvPr id="547" name="正方形/長方形 546">
          <a:extLst>
            <a:ext uri="{FF2B5EF4-FFF2-40B4-BE49-F238E27FC236}">
              <a16:creationId xmlns:a16="http://schemas.microsoft.com/office/drawing/2014/main" id="{00000000-0008-0000-0700-000023020000}"/>
            </a:ext>
          </a:extLst>
        </xdr:cNvPr>
        <xdr:cNvSpPr/>
      </xdr:nvSpPr>
      <xdr:spPr>
        <a:xfrm>
          <a:off x="1305489" y="20463152"/>
          <a:ext cx="1944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baseline="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72842</xdr:colOff>
      <xdr:row>129</xdr:row>
      <xdr:rowOff>43791</xdr:rowOff>
    </xdr:from>
    <xdr:to>
      <xdr:col>26</xdr:col>
      <xdr:colOff>44607</xdr:colOff>
      <xdr:row>130</xdr:row>
      <xdr:rowOff>146109</xdr:rowOff>
    </xdr:to>
    <xdr:sp macro="" textlink="">
      <xdr:nvSpPr>
        <xdr:cNvPr id="548" name="正方形/長方形 547">
          <a:extLst>
            <a:ext uri="{FF2B5EF4-FFF2-40B4-BE49-F238E27FC236}">
              <a16:creationId xmlns:a16="http://schemas.microsoft.com/office/drawing/2014/main" id="{00000000-0008-0000-0700-000024020000}"/>
            </a:ext>
          </a:extLst>
        </xdr:cNvPr>
        <xdr:cNvSpPr/>
      </xdr:nvSpPr>
      <xdr:spPr>
        <a:xfrm>
          <a:off x="1305489" y="20931556"/>
          <a:ext cx="1944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HULFT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67669</xdr:colOff>
      <xdr:row>119</xdr:row>
      <xdr:rowOff>66624</xdr:rowOff>
    </xdr:from>
    <xdr:to>
      <xdr:col>26</xdr:col>
      <xdr:colOff>39434</xdr:colOff>
      <xdr:row>121</xdr:row>
      <xdr:rowOff>12237</xdr:rowOff>
    </xdr:to>
    <xdr:sp macro="" textlink="">
      <xdr:nvSpPr>
        <xdr:cNvPr id="549" name="正方形/長方形 548">
          <a:extLst>
            <a:ext uri="{FF2B5EF4-FFF2-40B4-BE49-F238E27FC236}">
              <a16:creationId xmlns:a16="http://schemas.microsoft.com/office/drawing/2014/main" id="{00000000-0008-0000-0700-000025020000}"/>
            </a:ext>
          </a:extLst>
        </xdr:cNvPr>
        <xdr:cNvSpPr/>
      </xdr:nvSpPr>
      <xdr:spPr>
        <a:xfrm>
          <a:off x="1300316" y="19385565"/>
          <a:ext cx="1944000" cy="2593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68772</xdr:colOff>
      <xdr:row>117</xdr:row>
      <xdr:rowOff>63263</xdr:rowOff>
    </xdr:from>
    <xdr:to>
      <xdr:col>26</xdr:col>
      <xdr:colOff>40537</xdr:colOff>
      <xdr:row>119</xdr:row>
      <xdr:rowOff>8877</xdr:rowOff>
    </xdr:to>
    <xdr:sp macro="" textlink="">
      <xdr:nvSpPr>
        <xdr:cNvPr id="550" name="正方形/長方形 549">
          <a:extLst>
            <a:ext uri="{FF2B5EF4-FFF2-40B4-BE49-F238E27FC236}">
              <a16:creationId xmlns:a16="http://schemas.microsoft.com/office/drawing/2014/main" id="{00000000-0008-0000-0700-000026020000}"/>
            </a:ext>
          </a:extLst>
        </xdr:cNvPr>
        <xdr:cNvSpPr/>
      </xdr:nvSpPr>
      <xdr:spPr>
        <a:xfrm>
          <a:off x="1301419" y="19068439"/>
          <a:ext cx="1944000" cy="25937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10</xdr:col>
      <xdr:colOff>82796</xdr:colOff>
      <xdr:row>131</xdr:row>
      <xdr:rowOff>44005</xdr:rowOff>
    </xdr:from>
    <xdr:to>
      <xdr:col>43</xdr:col>
      <xdr:colOff>11061</xdr:colOff>
      <xdr:row>132</xdr:row>
      <xdr:rowOff>146322</xdr:rowOff>
    </xdr:to>
    <xdr:sp macro="" textlink="">
      <xdr:nvSpPr>
        <xdr:cNvPr id="551" name="正方形/長方形 550">
          <a:extLst>
            <a:ext uri="{FF2B5EF4-FFF2-40B4-BE49-F238E27FC236}">
              <a16:creationId xmlns:a16="http://schemas.microsoft.com/office/drawing/2014/main" id="{00000000-0008-0000-0700-000027020000}"/>
            </a:ext>
          </a:extLst>
        </xdr:cNvPr>
        <xdr:cNvSpPr/>
      </xdr:nvSpPr>
      <xdr:spPr>
        <a:xfrm>
          <a:off x="1315443" y="21245534"/>
          <a:ext cx="3996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43142</xdr:colOff>
      <xdr:row>117</xdr:row>
      <xdr:rowOff>68594</xdr:rowOff>
    </xdr:from>
    <xdr:to>
      <xdr:col>43</xdr:col>
      <xdr:colOff>14907</xdr:colOff>
      <xdr:row>119</xdr:row>
      <xdr:rowOff>15003</xdr:rowOff>
    </xdr:to>
    <xdr:sp macro="" textlink="">
      <xdr:nvSpPr>
        <xdr:cNvPr id="552" name="角丸四角形 551">
          <a:extLst>
            <a:ext uri="{FF2B5EF4-FFF2-40B4-BE49-F238E27FC236}">
              <a16:creationId xmlns:a16="http://schemas.microsoft.com/office/drawing/2014/main" id="{00000000-0008-0000-0700-000028020000}"/>
            </a:ext>
          </a:extLst>
        </xdr:cNvPr>
        <xdr:cNvSpPr/>
      </xdr:nvSpPr>
      <xdr:spPr>
        <a:xfrm>
          <a:off x="3371289" y="19073770"/>
          <a:ext cx="1944000" cy="260174"/>
        </a:xfrm>
        <a:prstGeom prst="roundRect">
          <a:avLst>
            <a:gd name="adj" fmla="val 31174"/>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27</xdr:col>
      <xdr:colOff>49377</xdr:colOff>
      <xdr:row>119</xdr:row>
      <xdr:rowOff>69470</xdr:rowOff>
    </xdr:from>
    <xdr:to>
      <xdr:col>43</xdr:col>
      <xdr:colOff>21142</xdr:colOff>
      <xdr:row>121</xdr:row>
      <xdr:rowOff>15878</xdr:rowOff>
    </xdr:to>
    <xdr:sp macro="" textlink="">
      <xdr:nvSpPr>
        <xdr:cNvPr id="553" name="角丸四角形 552">
          <a:extLst>
            <a:ext uri="{FF2B5EF4-FFF2-40B4-BE49-F238E27FC236}">
              <a16:creationId xmlns:a16="http://schemas.microsoft.com/office/drawing/2014/main" id="{00000000-0008-0000-0700-000029020000}"/>
            </a:ext>
          </a:extLst>
        </xdr:cNvPr>
        <xdr:cNvSpPr/>
      </xdr:nvSpPr>
      <xdr:spPr>
        <a:xfrm>
          <a:off x="3377524" y="19388411"/>
          <a:ext cx="1944000" cy="260173"/>
        </a:xfrm>
        <a:prstGeom prst="roundRect">
          <a:avLst>
            <a:gd name="adj" fmla="val 2829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63</xdr:col>
      <xdr:colOff>66178</xdr:colOff>
      <xdr:row>116</xdr:row>
      <xdr:rowOff>23476</xdr:rowOff>
    </xdr:from>
    <xdr:to>
      <xdr:col>71</xdr:col>
      <xdr:colOff>75702</xdr:colOff>
      <xdr:row>119</xdr:row>
      <xdr:rowOff>52051</xdr:rowOff>
    </xdr:to>
    <xdr:sp macro="" textlink="">
      <xdr:nvSpPr>
        <xdr:cNvPr id="554" name="四角形吹き出し 553">
          <a:extLst>
            <a:ext uri="{FF2B5EF4-FFF2-40B4-BE49-F238E27FC236}">
              <a16:creationId xmlns:a16="http://schemas.microsoft.com/office/drawing/2014/main" id="{00000000-0008-0000-0700-00002A020000}"/>
            </a:ext>
          </a:extLst>
        </xdr:cNvPr>
        <xdr:cNvSpPr/>
      </xdr:nvSpPr>
      <xdr:spPr>
        <a:xfrm>
          <a:off x="7831854" y="18871770"/>
          <a:ext cx="995642" cy="499222"/>
        </a:xfrm>
        <a:prstGeom prst="wedgeRectCallout">
          <a:avLst>
            <a:gd name="adj1" fmla="val -77659"/>
            <a:gd name="adj2" fmla="val 127021"/>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Oracle DB</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9</xdr:col>
      <xdr:colOff>109478</xdr:colOff>
      <xdr:row>121</xdr:row>
      <xdr:rowOff>124621</xdr:rowOff>
    </xdr:from>
    <xdr:to>
      <xdr:col>68</xdr:col>
      <xdr:colOff>44826</xdr:colOff>
      <xdr:row>128</xdr:row>
      <xdr:rowOff>91005</xdr:rowOff>
    </xdr:to>
    <xdr:sp macro="" textlink="">
      <xdr:nvSpPr>
        <xdr:cNvPr id="555" name="角丸四角形 554">
          <a:extLst>
            <a:ext uri="{FF2B5EF4-FFF2-40B4-BE49-F238E27FC236}">
              <a16:creationId xmlns:a16="http://schemas.microsoft.com/office/drawing/2014/main" id="{00000000-0008-0000-0700-00002B020000}"/>
            </a:ext>
          </a:extLst>
        </xdr:cNvPr>
        <xdr:cNvSpPr/>
      </xdr:nvSpPr>
      <xdr:spPr>
        <a:xfrm>
          <a:off x="1218860" y="19757327"/>
          <a:ext cx="7207966" cy="1064560"/>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44</xdr:col>
      <xdr:colOff>55989</xdr:colOff>
      <xdr:row>124</xdr:row>
      <xdr:rowOff>141431</xdr:rowOff>
    </xdr:from>
    <xdr:to>
      <xdr:col>49</xdr:col>
      <xdr:colOff>114998</xdr:colOff>
      <xdr:row>125</xdr:row>
      <xdr:rowOff>130225</xdr:rowOff>
    </xdr:to>
    <xdr:cxnSp macro="">
      <xdr:nvCxnSpPr>
        <xdr:cNvPr id="556" name="直線コネクタ 555">
          <a:extLst>
            <a:ext uri="{FF2B5EF4-FFF2-40B4-BE49-F238E27FC236}">
              <a16:creationId xmlns:a16="http://schemas.microsoft.com/office/drawing/2014/main" id="{00000000-0008-0000-0700-00002C020000}"/>
            </a:ext>
          </a:extLst>
        </xdr:cNvPr>
        <xdr:cNvCxnSpPr>
          <a:endCxn id="541" idx="1"/>
        </xdr:cNvCxnSpPr>
      </xdr:nvCxnSpPr>
      <xdr:spPr>
        <a:xfrm flipV="1">
          <a:off x="5479636" y="20244784"/>
          <a:ext cx="675333" cy="14567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89649</xdr:colOff>
      <xdr:row>123</xdr:row>
      <xdr:rowOff>134470</xdr:rowOff>
    </xdr:from>
    <xdr:to>
      <xdr:col>49</xdr:col>
      <xdr:colOff>114998</xdr:colOff>
      <xdr:row>124</xdr:row>
      <xdr:rowOff>141431</xdr:rowOff>
    </xdr:to>
    <xdr:cxnSp macro="">
      <xdr:nvCxnSpPr>
        <xdr:cNvPr id="557" name="直線コネクタ 556">
          <a:extLst>
            <a:ext uri="{FF2B5EF4-FFF2-40B4-BE49-F238E27FC236}">
              <a16:creationId xmlns:a16="http://schemas.microsoft.com/office/drawing/2014/main" id="{00000000-0008-0000-0700-00002D020000}"/>
            </a:ext>
          </a:extLst>
        </xdr:cNvPr>
        <xdr:cNvCxnSpPr>
          <a:endCxn id="541" idx="1"/>
        </xdr:cNvCxnSpPr>
      </xdr:nvCxnSpPr>
      <xdr:spPr>
        <a:xfrm>
          <a:off x="5636561" y="20080941"/>
          <a:ext cx="518408" cy="163843"/>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38660</xdr:colOff>
      <xdr:row>122</xdr:row>
      <xdr:rowOff>41671</xdr:rowOff>
    </xdr:from>
    <xdr:to>
      <xdr:col>43</xdr:col>
      <xdr:colOff>10425</xdr:colOff>
      <xdr:row>123</xdr:row>
      <xdr:rowOff>143988</xdr:rowOff>
    </xdr:to>
    <xdr:sp macro="" textlink="">
      <xdr:nvSpPr>
        <xdr:cNvPr id="558" name="角丸四角形 557">
          <a:extLst>
            <a:ext uri="{FF2B5EF4-FFF2-40B4-BE49-F238E27FC236}">
              <a16:creationId xmlns:a16="http://schemas.microsoft.com/office/drawing/2014/main" id="{00000000-0008-0000-0700-00002E020000}"/>
            </a:ext>
          </a:extLst>
        </xdr:cNvPr>
        <xdr:cNvSpPr/>
      </xdr:nvSpPr>
      <xdr:spPr>
        <a:xfrm>
          <a:off x="3366807" y="19831259"/>
          <a:ext cx="1944000" cy="259200"/>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27</xdr:col>
      <xdr:colOff>33689</xdr:colOff>
      <xdr:row>124</xdr:row>
      <xdr:rowOff>42547</xdr:rowOff>
    </xdr:from>
    <xdr:to>
      <xdr:col>43</xdr:col>
      <xdr:colOff>5454</xdr:colOff>
      <xdr:row>125</xdr:row>
      <xdr:rowOff>144865</xdr:rowOff>
    </xdr:to>
    <xdr:sp macro="" textlink="">
      <xdr:nvSpPr>
        <xdr:cNvPr id="559" name="角丸四角形 558">
          <a:extLst>
            <a:ext uri="{FF2B5EF4-FFF2-40B4-BE49-F238E27FC236}">
              <a16:creationId xmlns:a16="http://schemas.microsoft.com/office/drawing/2014/main" id="{00000000-0008-0000-0700-00002F020000}"/>
            </a:ext>
          </a:extLst>
        </xdr:cNvPr>
        <xdr:cNvSpPr/>
      </xdr:nvSpPr>
      <xdr:spPr>
        <a:xfrm>
          <a:off x="3361836" y="20145900"/>
          <a:ext cx="1944000" cy="259200"/>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25</xdr:col>
      <xdr:colOff>67235</xdr:colOff>
      <xdr:row>476</xdr:row>
      <xdr:rowOff>112059</xdr:rowOff>
    </xdr:from>
    <xdr:to>
      <xdr:col>55</xdr:col>
      <xdr:colOff>2927</xdr:colOff>
      <xdr:row>481</xdr:row>
      <xdr:rowOff>109902</xdr:rowOff>
    </xdr:to>
    <xdr:grpSp>
      <xdr:nvGrpSpPr>
        <xdr:cNvPr id="430" name="グループ化 429">
          <a:extLst>
            <a:ext uri="{FF2B5EF4-FFF2-40B4-BE49-F238E27FC236}">
              <a16:creationId xmlns:a16="http://schemas.microsoft.com/office/drawing/2014/main" id="{00000000-0008-0000-0700-0000AE010000}"/>
            </a:ext>
          </a:extLst>
        </xdr:cNvPr>
        <xdr:cNvGrpSpPr/>
      </xdr:nvGrpSpPr>
      <xdr:grpSpPr>
        <a:xfrm>
          <a:off x="3148853" y="74653588"/>
          <a:ext cx="3633633" cy="782255"/>
          <a:chOff x="2681911" y="72888231"/>
          <a:chExt cx="3707166" cy="773383"/>
        </a:xfrm>
      </xdr:grpSpPr>
      <xdr:sp macro="" textlink="">
        <xdr:nvSpPr>
          <xdr:cNvPr id="431" name="正方形/長方形 430">
            <a:extLst>
              <a:ext uri="{FF2B5EF4-FFF2-40B4-BE49-F238E27FC236}">
                <a16:creationId xmlns:a16="http://schemas.microsoft.com/office/drawing/2014/main" id="{00000000-0008-0000-0700-0000AF010000}"/>
              </a:ext>
            </a:extLst>
          </xdr:cNvPr>
          <xdr:cNvSpPr/>
        </xdr:nvSpPr>
        <xdr:spPr>
          <a:xfrm>
            <a:off x="2681911" y="72888231"/>
            <a:ext cx="3707166" cy="77338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32" name="テキスト ボックス 431">
            <a:extLst>
              <a:ext uri="{FF2B5EF4-FFF2-40B4-BE49-F238E27FC236}">
                <a16:creationId xmlns:a16="http://schemas.microsoft.com/office/drawing/2014/main" id="{00000000-0008-0000-0700-0000B0010000}"/>
              </a:ext>
            </a:extLst>
          </xdr:cNvPr>
          <xdr:cNvSpPr txBox="1"/>
        </xdr:nvSpPr>
        <xdr:spPr>
          <a:xfrm>
            <a:off x="3636630" y="73073364"/>
            <a:ext cx="1324157" cy="253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3" name="テキスト ボックス 442">
            <a:extLst>
              <a:ext uri="{FF2B5EF4-FFF2-40B4-BE49-F238E27FC236}">
                <a16:creationId xmlns:a16="http://schemas.microsoft.com/office/drawing/2014/main" id="{00000000-0008-0000-0700-0000BB010000}"/>
              </a:ext>
            </a:extLst>
          </xdr:cNvPr>
          <xdr:cNvSpPr txBox="1"/>
        </xdr:nvSpPr>
        <xdr:spPr>
          <a:xfrm>
            <a:off x="3641388" y="73327333"/>
            <a:ext cx="1059962" cy="245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8" name="正方形/長方形 447">
            <a:extLst>
              <a:ext uri="{FF2B5EF4-FFF2-40B4-BE49-F238E27FC236}">
                <a16:creationId xmlns:a16="http://schemas.microsoft.com/office/drawing/2014/main" id="{00000000-0008-0000-0700-0000C0010000}"/>
              </a:ext>
            </a:extLst>
          </xdr:cNvPr>
          <xdr:cNvSpPr/>
        </xdr:nvSpPr>
        <xdr:spPr>
          <a:xfrm>
            <a:off x="3131266" y="73060748"/>
            <a:ext cx="445601" cy="170071"/>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49" name="正方形/長方形 448">
            <a:extLst>
              <a:ext uri="{FF2B5EF4-FFF2-40B4-BE49-F238E27FC236}">
                <a16:creationId xmlns:a16="http://schemas.microsoft.com/office/drawing/2014/main" id="{00000000-0008-0000-0700-0000C1010000}"/>
              </a:ext>
            </a:extLst>
          </xdr:cNvPr>
          <xdr:cNvSpPr/>
        </xdr:nvSpPr>
        <xdr:spPr>
          <a:xfrm>
            <a:off x="3124321" y="73326370"/>
            <a:ext cx="445601" cy="16918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0" name="テキスト ボックス 449">
            <a:extLst>
              <a:ext uri="{FF2B5EF4-FFF2-40B4-BE49-F238E27FC236}">
                <a16:creationId xmlns:a16="http://schemas.microsoft.com/office/drawing/2014/main" id="{00000000-0008-0000-0700-0000C2010000}"/>
              </a:ext>
            </a:extLst>
          </xdr:cNvPr>
          <xdr:cNvSpPr txBox="1"/>
        </xdr:nvSpPr>
        <xdr:spPr>
          <a:xfrm>
            <a:off x="5111455" y="73007034"/>
            <a:ext cx="1167718" cy="246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51" name="角丸四角形 450">
            <a:extLst>
              <a:ext uri="{FF2B5EF4-FFF2-40B4-BE49-F238E27FC236}">
                <a16:creationId xmlns:a16="http://schemas.microsoft.com/office/drawing/2014/main" id="{00000000-0008-0000-0700-0000C3010000}"/>
              </a:ext>
            </a:extLst>
          </xdr:cNvPr>
          <xdr:cNvSpPr/>
        </xdr:nvSpPr>
        <xdr:spPr>
          <a:xfrm>
            <a:off x="4574186" y="73012042"/>
            <a:ext cx="445416" cy="169965"/>
          </a:xfrm>
          <a:prstGeom prst="roundRect">
            <a:avLst>
              <a:gd name="adj" fmla="val 27822"/>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52" name="角丸四角形 451">
            <a:extLst>
              <a:ext uri="{FF2B5EF4-FFF2-40B4-BE49-F238E27FC236}">
                <a16:creationId xmlns:a16="http://schemas.microsoft.com/office/drawing/2014/main" id="{00000000-0008-0000-0700-0000C4010000}"/>
              </a:ext>
            </a:extLst>
          </xdr:cNvPr>
          <xdr:cNvSpPr/>
        </xdr:nvSpPr>
        <xdr:spPr>
          <a:xfrm>
            <a:off x="4581738" y="73304045"/>
            <a:ext cx="445416" cy="169965"/>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53" name="テキスト ボックス 452">
            <a:extLst>
              <a:ext uri="{FF2B5EF4-FFF2-40B4-BE49-F238E27FC236}">
                <a16:creationId xmlns:a16="http://schemas.microsoft.com/office/drawing/2014/main" id="{00000000-0008-0000-0700-0000C5010000}"/>
              </a:ext>
            </a:extLst>
          </xdr:cNvPr>
          <xdr:cNvSpPr txBox="1"/>
        </xdr:nvSpPr>
        <xdr:spPr>
          <a:xfrm>
            <a:off x="5133436" y="73300110"/>
            <a:ext cx="1167718" cy="35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mn-ea"/>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9</xdr:col>
      <xdr:colOff>112064</xdr:colOff>
      <xdr:row>19</xdr:row>
      <xdr:rowOff>11208</xdr:rowOff>
    </xdr:from>
    <xdr:to>
      <xdr:col>42</xdr:col>
      <xdr:colOff>112057</xdr:colOff>
      <xdr:row>41</xdr:row>
      <xdr:rowOff>67237</xdr:rowOff>
    </xdr:to>
    <xdr:sp macro="" textlink="">
      <xdr:nvSpPr>
        <xdr:cNvPr id="514" name="正方形/長方形 513">
          <a:extLst>
            <a:ext uri="{FF2B5EF4-FFF2-40B4-BE49-F238E27FC236}">
              <a16:creationId xmlns:a16="http://schemas.microsoft.com/office/drawing/2014/main" id="{00000000-0008-0000-0700-000002020000}"/>
            </a:ext>
          </a:extLst>
        </xdr:cNvPr>
        <xdr:cNvSpPr/>
      </xdr:nvSpPr>
      <xdr:spPr>
        <a:xfrm>
          <a:off x="1226489" y="2782983"/>
          <a:ext cx="4086218" cy="340882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33608</xdr:colOff>
      <xdr:row>25</xdr:row>
      <xdr:rowOff>1</xdr:rowOff>
    </xdr:from>
    <xdr:to>
      <xdr:col>31</xdr:col>
      <xdr:colOff>81236</xdr:colOff>
      <xdr:row>33</xdr:row>
      <xdr:rowOff>347</xdr:rowOff>
    </xdr:to>
    <xdr:sp macro="" textlink="">
      <xdr:nvSpPr>
        <xdr:cNvPr id="515" name="正方形/長方形 514">
          <a:extLst>
            <a:ext uri="{FF2B5EF4-FFF2-40B4-BE49-F238E27FC236}">
              <a16:creationId xmlns:a16="http://schemas.microsoft.com/office/drawing/2014/main" id="{00000000-0008-0000-0700-000003020000}"/>
            </a:ext>
          </a:extLst>
        </xdr:cNvPr>
        <xdr:cNvSpPr/>
      </xdr:nvSpPr>
      <xdr:spPr>
        <a:xfrm>
          <a:off x="1519508" y="3686176"/>
          <a:ext cx="2400303" cy="121954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36</xdr:row>
      <xdr:rowOff>38100</xdr:rowOff>
    </xdr:from>
    <xdr:to>
      <xdr:col>41</xdr:col>
      <xdr:colOff>17909</xdr:colOff>
      <xdr:row>37</xdr:row>
      <xdr:rowOff>140418</xdr:rowOff>
    </xdr:to>
    <xdr:sp macro="" textlink="">
      <xdr:nvSpPr>
        <xdr:cNvPr id="516" name="正方形/長方形 515">
          <a:extLst>
            <a:ext uri="{FF2B5EF4-FFF2-40B4-BE49-F238E27FC236}">
              <a16:creationId xmlns:a16="http://schemas.microsoft.com/office/drawing/2014/main" id="{00000000-0008-0000-0700-000004020000}"/>
            </a:ext>
          </a:extLst>
        </xdr:cNvPr>
        <xdr:cNvSpPr/>
      </xdr:nvSpPr>
      <xdr:spPr>
        <a:xfrm>
          <a:off x="1519508" y="5400675"/>
          <a:ext cx="3575226"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13</xdr:col>
      <xdr:colOff>33612</xdr:colOff>
      <xdr:row>29</xdr:row>
      <xdr:rowOff>67239</xdr:rowOff>
    </xdr:from>
    <xdr:to>
      <xdr:col>21</xdr:col>
      <xdr:colOff>68199</xdr:colOff>
      <xdr:row>31</xdr:row>
      <xdr:rowOff>73875</xdr:rowOff>
    </xdr:to>
    <xdr:sp macro="" textlink="">
      <xdr:nvSpPr>
        <xdr:cNvPr id="517" name="角丸四角形 516">
          <a:extLst>
            <a:ext uri="{FF2B5EF4-FFF2-40B4-BE49-F238E27FC236}">
              <a16:creationId xmlns:a16="http://schemas.microsoft.com/office/drawing/2014/main" id="{00000000-0008-0000-0700-000005020000}"/>
            </a:ext>
          </a:extLst>
        </xdr:cNvPr>
        <xdr:cNvSpPr/>
      </xdr:nvSpPr>
      <xdr:spPr>
        <a:xfrm>
          <a:off x="1643337" y="4363014"/>
          <a:ext cx="1025187" cy="311436"/>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22</xdr:col>
      <xdr:colOff>91887</xdr:colOff>
      <xdr:row>29</xdr:row>
      <xdr:rowOff>76764</xdr:rowOff>
    </xdr:from>
    <xdr:to>
      <xdr:col>30</xdr:col>
      <xdr:colOff>78431</xdr:colOff>
      <xdr:row>31</xdr:row>
      <xdr:rowOff>82927</xdr:rowOff>
    </xdr:to>
    <xdr:sp macro="" textlink="">
      <xdr:nvSpPr>
        <xdr:cNvPr id="518" name="角丸四角形 517">
          <a:extLst>
            <a:ext uri="{FF2B5EF4-FFF2-40B4-BE49-F238E27FC236}">
              <a16:creationId xmlns:a16="http://schemas.microsoft.com/office/drawing/2014/main" id="{00000000-0008-0000-0700-000006020000}"/>
            </a:ext>
          </a:extLst>
        </xdr:cNvPr>
        <xdr:cNvSpPr/>
      </xdr:nvSpPr>
      <xdr:spPr>
        <a:xfrm>
          <a:off x="2816037" y="4372539"/>
          <a:ext cx="977144" cy="310963"/>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データソース</a:t>
          </a:r>
          <a:endParaRPr kumimoji="1" lang="en-US" altLang="ja-JP" sz="900">
            <a:solidFill>
              <a:schemeClr val="tx1"/>
            </a:solidFill>
            <a:latin typeface="+mn-ea"/>
            <a:ea typeface="+mn-ea"/>
          </a:endParaRPr>
        </a:p>
      </xdr:txBody>
    </xdr:sp>
    <xdr:clientData/>
  </xdr:twoCellAnchor>
  <xdr:twoCellAnchor>
    <xdr:from>
      <xdr:col>11</xdr:col>
      <xdr:colOff>65560</xdr:colOff>
      <xdr:row>28</xdr:row>
      <xdr:rowOff>134470</xdr:rowOff>
    </xdr:from>
    <xdr:to>
      <xdr:col>32</xdr:col>
      <xdr:colOff>1</xdr:colOff>
      <xdr:row>35</xdr:row>
      <xdr:rowOff>112058</xdr:rowOff>
    </xdr:to>
    <xdr:sp macro="" textlink="">
      <xdr:nvSpPr>
        <xdr:cNvPr id="519" name="角丸四角形 518">
          <a:extLst>
            <a:ext uri="{FF2B5EF4-FFF2-40B4-BE49-F238E27FC236}">
              <a16:creationId xmlns:a16="http://schemas.microsoft.com/office/drawing/2014/main" id="{00000000-0008-0000-0700-000007020000}"/>
            </a:ext>
          </a:extLst>
        </xdr:cNvPr>
        <xdr:cNvSpPr/>
      </xdr:nvSpPr>
      <xdr:spPr>
        <a:xfrm>
          <a:off x="1427635" y="4277845"/>
          <a:ext cx="2534766" cy="1044388"/>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12</xdr:col>
      <xdr:colOff>33608</xdr:colOff>
      <xdr:row>33</xdr:row>
      <xdr:rowOff>95811</xdr:rowOff>
    </xdr:from>
    <xdr:to>
      <xdr:col>31</xdr:col>
      <xdr:colOff>81978</xdr:colOff>
      <xdr:row>35</xdr:row>
      <xdr:rowOff>45729</xdr:rowOff>
    </xdr:to>
    <xdr:sp macro="" textlink="">
      <xdr:nvSpPr>
        <xdr:cNvPr id="520" name="正方形/長方形 519">
          <a:extLst>
            <a:ext uri="{FF2B5EF4-FFF2-40B4-BE49-F238E27FC236}">
              <a16:creationId xmlns:a16="http://schemas.microsoft.com/office/drawing/2014/main" id="{00000000-0008-0000-0700-000008020000}"/>
            </a:ext>
          </a:extLst>
        </xdr:cNvPr>
        <xdr:cNvSpPr/>
      </xdr:nvSpPr>
      <xdr:spPr>
        <a:xfrm>
          <a:off x="1519508" y="5001186"/>
          <a:ext cx="2401045"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Java SE Development Kit</a:t>
          </a:r>
          <a:endParaRPr kumimoji="1" lang="ja-JP" altLang="en-US" sz="900">
            <a:solidFill>
              <a:sysClr val="windowText" lastClr="000000"/>
            </a:solidFill>
            <a:latin typeface="+mn-ea"/>
            <a:ea typeface="+mn-ea"/>
          </a:endParaRPr>
        </a:p>
      </xdr:txBody>
    </xdr:sp>
    <xdr:clientData/>
  </xdr:twoCellAnchor>
  <xdr:twoCellAnchor>
    <xdr:from>
      <xdr:col>12</xdr:col>
      <xdr:colOff>43360</xdr:colOff>
      <xdr:row>22</xdr:row>
      <xdr:rowOff>112627</xdr:rowOff>
    </xdr:from>
    <xdr:to>
      <xdr:col>41</xdr:col>
      <xdr:colOff>28515</xdr:colOff>
      <xdr:row>24</xdr:row>
      <xdr:rowOff>58061</xdr:rowOff>
    </xdr:to>
    <xdr:sp macro="" textlink="">
      <xdr:nvSpPr>
        <xdr:cNvPr id="521" name="正方形/長方形 520">
          <a:extLst>
            <a:ext uri="{FF2B5EF4-FFF2-40B4-BE49-F238E27FC236}">
              <a16:creationId xmlns:a16="http://schemas.microsoft.com/office/drawing/2014/main" id="{00000000-0008-0000-0700-000009020000}"/>
            </a:ext>
          </a:extLst>
        </xdr:cNvPr>
        <xdr:cNvSpPr/>
      </xdr:nvSpPr>
      <xdr:spPr>
        <a:xfrm>
          <a:off x="1529260" y="3341602"/>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12</xdr:col>
      <xdr:colOff>41120</xdr:colOff>
      <xdr:row>20</xdr:row>
      <xdr:rowOff>123834</xdr:rowOff>
    </xdr:from>
    <xdr:to>
      <xdr:col>41</xdr:col>
      <xdr:colOff>26275</xdr:colOff>
      <xdr:row>22</xdr:row>
      <xdr:rowOff>69268</xdr:rowOff>
    </xdr:to>
    <xdr:sp macro="" textlink="">
      <xdr:nvSpPr>
        <xdr:cNvPr id="522" name="正方形/長方形 521">
          <a:extLst>
            <a:ext uri="{FF2B5EF4-FFF2-40B4-BE49-F238E27FC236}">
              <a16:creationId xmlns:a16="http://schemas.microsoft.com/office/drawing/2014/main" id="{00000000-0008-0000-0700-00000A020000}"/>
            </a:ext>
          </a:extLst>
        </xdr:cNvPr>
        <xdr:cNvSpPr/>
      </xdr:nvSpPr>
      <xdr:spPr>
        <a:xfrm>
          <a:off x="1527020" y="3048009"/>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38</xdr:row>
      <xdr:rowOff>77878</xdr:rowOff>
    </xdr:from>
    <xdr:to>
      <xdr:col>41</xdr:col>
      <xdr:colOff>17909</xdr:colOff>
      <xdr:row>40</xdr:row>
      <xdr:rowOff>23314</xdr:rowOff>
    </xdr:to>
    <xdr:sp macro="" textlink="">
      <xdr:nvSpPr>
        <xdr:cNvPr id="523" name="正方形/長方形 522">
          <a:extLst>
            <a:ext uri="{FF2B5EF4-FFF2-40B4-BE49-F238E27FC236}">
              <a16:creationId xmlns:a16="http://schemas.microsoft.com/office/drawing/2014/main" id="{00000000-0008-0000-0700-00000B020000}"/>
            </a:ext>
          </a:extLst>
        </xdr:cNvPr>
        <xdr:cNvSpPr/>
      </xdr:nvSpPr>
      <xdr:spPr>
        <a:xfrm>
          <a:off x="1519508" y="5745253"/>
          <a:ext cx="3575226" cy="25023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53</xdr:col>
      <xdr:colOff>103922</xdr:colOff>
      <xdr:row>34</xdr:row>
      <xdr:rowOff>8659</xdr:rowOff>
    </xdr:from>
    <xdr:to>
      <xdr:col>72</xdr:col>
      <xdr:colOff>48485</xdr:colOff>
      <xdr:row>41</xdr:row>
      <xdr:rowOff>67235</xdr:rowOff>
    </xdr:to>
    <xdr:grpSp>
      <xdr:nvGrpSpPr>
        <xdr:cNvPr id="524" name="グループ化 523">
          <a:extLst>
            <a:ext uri="{FF2B5EF4-FFF2-40B4-BE49-F238E27FC236}">
              <a16:creationId xmlns:a16="http://schemas.microsoft.com/office/drawing/2014/main" id="{00000000-0008-0000-0700-00000C020000}"/>
            </a:ext>
          </a:extLst>
        </xdr:cNvPr>
        <xdr:cNvGrpSpPr/>
      </xdr:nvGrpSpPr>
      <xdr:grpSpPr>
        <a:xfrm>
          <a:off x="6636951" y="5208188"/>
          <a:ext cx="2286593" cy="1156753"/>
          <a:chOff x="7553325" y="5057775"/>
          <a:chExt cx="2297348" cy="1123582"/>
        </a:xfrm>
      </xdr:grpSpPr>
      <xdr:sp macro="" textlink="">
        <xdr:nvSpPr>
          <xdr:cNvPr id="525" name="正方形/長方形 524">
            <a:extLst>
              <a:ext uri="{FF2B5EF4-FFF2-40B4-BE49-F238E27FC236}">
                <a16:creationId xmlns:a16="http://schemas.microsoft.com/office/drawing/2014/main" id="{00000000-0008-0000-0700-00000D020000}"/>
              </a:ext>
            </a:extLst>
          </xdr:cNvPr>
          <xdr:cNvSpPr/>
        </xdr:nvSpPr>
        <xdr:spPr>
          <a:xfrm>
            <a:off x="7553325" y="5057775"/>
            <a:ext cx="2259893" cy="112358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26" name="テキスト ボックス 525">
            <a:extLst>
              <a:ext uri="{FF2B5EF4-FFF2-40B4-BE49-F238E27FC236}">
                <a16:creationId xmlns:a16="http://schemas.microsoft.com/office/drawing/2014/main" id="{00000000-0008-0000-0700-00000E020000}"/>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27" name="テキスト ボックス 526">
            <a:extLst>
              <a:ext uri="{FF2B5EF4-FFF2-40B4-BE49-F238E27FC236}">
                <a16:creationId xmlns:a16="http://schemas.microsoft.com/office/drawing/2014/main" id="{00000000-0008-0000-0700-00000F020000}"/>
              </a:ext>
            </a:extLst>
          </xdr:cNvPr>
          <xdr:cNvSpPr txBox="1"/>
        </xdr:nvSpPr>
        <xdr:spPr>
          <a:xfrm>
            <a:off x="8259222" y="5576841"/>
            <a:ext cx="1591451"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sp macro="" textlink="">
        <xdr:nvSpPr>
          <xdr:cNvPr id="528" name="正方形/長方形 527">
            <a:extLst>
              <a:ext uri="{FF2B5EF4-FFF2-40B4-BE49-F238E27FC236}">
                <a16:creationId xmlns:a16="http://schemas.microsoft.com/office/drawing/2014/main" id="{00000000-0008-0000-0700-000010020000}"/>
              </a:ext>
            </a:extLst>
          </xdr:cNvPr>
          <xdr:cNvSpPr/>
        </xdr:nvSpPr>
        <xdr:spPr>
          <a:xfrm>
            <a:off x="7752483" y="5303693"/>
            <a:ext cx="442800" cy="1692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29" name="正方形/長方形 528">
            <a:extLst>
              <a:ext uri="{FF2B5EF4-FFF2-40B4-BE49-F238E27FC236}">
                <a16:creationId xmlns:a16="http://schemas.microsoft.com/office/drawing/2014/main" id="{00000000-0008-0000-0700-000011020000}"/>
              </a:ext>
            </a:extLst>
          </xdr:cNvPr>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30" name="テキスト ボックス 529">
            <a:extLst>
              <a:ext uri="{FF2B5EF4-FFF2-40B4-BE49-F238E27FC236}">
                <a16:creationId xmlns:a16="http://schemas.microsoft.com/office/drawing/2014/main" id="{00000000-0008-0000-0700-000012020000}"/>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31" name="角丸四角形 530">
            <a:extLst>
              <a:ext uri="{FF2B5EF4-FFF2-40B4-BE49-F238E27FC236}">
                <a16:creationId xmlns:a16="http://schemas.microsoft.com/office/drawing/2014/main" id="{00000000-0008-0000-0700-000013020000}"/>
              </a:ext>
            </a:extLst>
          </xdr:cNvPr>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32</xdr:col>
      <xdr:colOff>22411</xdr:colOff>
      <xdr:row>25</xdr:row>
      <xdr:rowOff>0</xdr:rowOff>
    </xdr:from>
    <xdr:to>
      <xdr:col>36</xdr:col>
      <xdr:colOff>56030</xdr:colOff>
      <xdr:row>35</xdr:row>
      <xdr:rowOff>44824</xdr:rowOff>
    </xdr:to>
    <xdr:sp macro="" textlink="">
      <xdr:nvSpPr>
        <xdr:cNvPr id="532" name="正方形/長方形 531">
          <a:extLst>
            <a:ext uri="{FF2B5EF4-FFF2-40B4-BE49-F238E27FC236}">
              <a16:creationId xmlns:a16="http://schemas.microsoft.com/office/drawing/2014/main" id="{00000000-0008-0000-0700-000014020000}"/>
            </a:ext>
          </a:extLst>
        </xdr:cNvPr>
        <xdr:cNvSpPr/>
      </xdr:nvSpPr>
      <xdr:spPr>
        <a:xfrm>
          <a:off x="3984811" y="3686175"/>
          <a:ext cx="528919" cy="156882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RSC</a:t>
          </a:r>
        </a:p>
        <a:p>
          <a:pPr algn="ctr"/>
          <a:r>
            <a:rPr kumimoji="1" lang="ja-JP" altLang="en-US" sz="900">
              <a:solidFill>
                <a:sysClr val="windowText" lastClr="000000"/>
              </a:solidFill>
              <a:latin typeface="+mn-ea"/>
              <a:ea typeface="+mn-ea"/>
            </a:rPr>
            <a:t>クライアント</a:t>
          </a:r>
        </a:p>
      </xdr:txBody>
    </xdr:sp>
    <xdr:clientData/>
  </xdr:twoCellAnchor>
  <xdr:twoCellAnchor>
    <xdr:from>
      <xdr:col>13</xdr:col>
      <xdr:colOff>38878</xdr:colOff>
      <xdr:row>25</xdr:row>
      <xdr:rowOff>103101</xdr:rowOff>
    </xdr:from>
    <xdr:to>
      <xdr:col>30</xdr:col>
      <xdr:colOff>85378</xdr:colOff>
      <xdr:row>28</xdr:row>
      <xdr:rowOff>50054</xdr:rowOff>
    </xdr:to>
    <xdr:sp macro="" textlink="">
      <xdr:nvSpPr>
        <xdr:cNvPr id="533" name="正方形/長方形 532">
          <a:extLst>
            <a:ext uri="{FF2B5EF4-FFF2-40B4-BE49-F238E27FC236}">
              <a16:creationId xmlns:a16="http://schemas.microsoft.com/office/drawing/2014/main" id="{00000000-0008-0000-0700-000015020000}"/>
            </a:ext>
          </a:extLst>
        </xdr:cNvPr>
        <xdr:cNvSpPr/>
      </xdr:nvSpPr>
      <xdr:spPr>
        <a:xfrm>
          <a:off x="1648603" y="3789276"/>
          <a:ext cx="2151525" cy="40415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（音声フロー、管理画面、</a:t>
          </a:r>
          <a:r>
            <a:rPr kumimoji="1" lang="en-US" altLang="ja-JP" sz="900">
              <a:solidFill>
                <a:sysClr val="windowText" lastClr="000000"/>
              </a:solidFill>
              <a:latin typeface="+mn-ea"/>
              <a:ea typeface="+mn-ea"/>
            </a:rPr>
            <a:t>RSC</a:t>
          </a:r>
          <a:r>
            <a:rPr kumimoji="1" lang="ja-JP" altLang="en-US" sz="900">
              <a:solidFill>
                <a:sysClr val="windowText" lastClr="000000"/>
              </a:solidFill>
              <a:latin typeface="+mn-ea"/>
              <a:ea typeface="+mn-ea"/>
            </a:rPr>
            <a:t>アダプタ</a:t>
          </a:r>
          <a:r>
            <a:rPr kumimoji="1" lang="en-US" altLang="ja-JP" sz="900">
              <a:solidFill>
                <a:sysClr val="windowText" lastClr="000000"/>
              </a:solidFill>
              <a:latin typeface="+mn-ea"/>
              <a:ea typeface="+mn-ea"/>
            </a:rPr>
            <a:t>)</a:t>
          </a:r>
        </a:p>
      </xdr:txBody>
    </xdr:sp>
    <xdr:clientData/>
  </xdr:twoCellAnchor>
  <xdr:twoCellAnchor>
    <xdr:from>
      <xdr:col>36</xdr:col>
      <xdr:colOff>118783</xdr:colOff>
      <xdr:row>24</xdr:row>
      <xdr:rowOff>152400</xdr:rowOff>
    </xdr:from>
    <xdr:to>
      <xdr:col>41</xdr:col>
      <xdr:colOff>29136</xdr:colOff>
      <xdr:row>35</xdr:row>
      <xdr:rowOff>40342</xdr:rowOff>
    </xdr:to>
    <xdr:sp macro="" textlink="">
      <xdr:nvSpPr>
        <xdr:cNvPr id="534" name="正方形/長方形 533">
          <a:extLst>
            <a:ext uri="{FF2B5EF4-FFF2-40B4-BE49-F238E27FC236}">
              <a16:creationId xmlns:a16="http://schemas.microsoft.com/office/drawing/2014/main" id="{00000000-0008-0000-0700-000016020000}"/>
            </a:ext>
          </a:extLst>
        </xdr:cNvPr>
        <xdr:cNvSpPr/>
      </xdr:nvSpPr>
      <xdr:spPr>
        <a:xfrm>
          <a:off x="4576483" y="3686175"/>
          <a:ext cx="529478" cy="156434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45</xdr:col>
      <xdr:colOff>58276</xdr:colOff>
      <xdr:row>21</xdr:row>
      <xdr:rowOff>109820</xdr:rowOff>
    </xdr:from>
    <xdr:to>
      <xdr:col>53</xdr:col>
      <xdr:colOff>67242</xdr:colOff>
      <xdr:row>24</xdr:row>
      <xdr:rowOff>138395</xdr:rowOff>
    </xdr:to>
    <xdr:sp macro="" textlink="">
      <xdr:nvSpPr>
        <xdr:cNvPr id="535" name="四角形吹き出し 534">
          <a:extLst>
            <a:ext uri="{FF2B5EF4-FFF2-40B4-BE49-F238E27FC236}">
              <a16:creationId xmlns:a16="http://schemas.microsoft.com/office/drawing/2014/main" id="{00000000-0008-0000-0700-000017020000}"/>
            </a:ext>
          </a:extLst>
        </xdr:cNvPr>
        <xdr:cNvSpPr/>
      </xdr:nvSpPr>
      <xdr:spPr>
        <a:xfrm>
          <a:off x="5630401" y="3186395"/>
          <a:ext cx="999566" cy="485775"/>
        </a:xfrm>
        <a:prstGeom prst="wedgeRectCallout">
          <a:avLst>
            <a:gd name="adj1" fmla="val -229740"/>
            <a:gd name="adj2" fmla="val 188202"/>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WebLogic</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61</xdr:col>
      <xdr:colOff>67236</xdr:colOff>
      <xdr:row>83</xdr:row>
      <xdr:rowOff>123264</xdr:rowOff>
    </xdr:from>
    <xdr:to>
      <xdr:col>67</xdr:col>
      <xdr:colOff>105751</xdr:colOff>
      <xdr:row>86</xdr:row>
      <xdr:rowOff>113739</xdr:rowOff>
    </xdr:to>
    <xdr:sp macro="" textlink="">
      <xdr:nvSpPr>
        <xdr:cNvPr id="562" name="正方形/長方形 561">
          <a:extLst>
            <a:ext uri="{FF2B5EF4-FFF2-40B4-BE49-F238E27FC236}">
              <a16:creationId xmlns:a16="http://schemas.microsoft.com/office/drawing/2014/main" id="{00000000-0008-0000-0700-000032020000}"/>
            </a:ext>
          </a:extLst>
        </xdr:cNvPr>
        <xdr:cNvSpPr/>
      </xdr:nvSpPr>
      <xdr:spPr>
        <a:xfrm>
          <a:off x="7586383" y="13010029"/>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50</xdr:col>
      <xdr:colOff>69478</xdr:colOff>
      <xdr:row>113</xdr:row>
      <xdr:rowOff>145675</xdr:rowOff>
    </xdr:from>
    <xdr:to>
      <xdr:col>76</xdr:col>
      <xdr:colOff>25395</xdr:colOff>
      <xdr:row>122</xdr:row>
      <xdr:rowOff>82547</xdr:rowOff>
    </xdr:to>
    <xdr:sp macro="" textlink="">
      <xdr:nvSpPr>
        <xdr:cNvPr id="3" name="正方形/長方形 2">
          <a:extLst>
            <a:ext uri="{FF2B5EF4-FFF2-40B4-BE49-F238E27FC236}">
              <a16:creationId xmlns:a16="http://schemas.microsoft.com/office/drawing/2014/main" id="{00000000-0008-0000-0900-000003000000}"/>
            </a:ext>
          </a:extLst>
        </xdr:cNvPr>
        <xdr:cNvSpPr/>
      </xdr:nvSpPr>
      <xdr:spPr>
        <a:xfrm>
          <a:off x="6232713" y="24327969"/>
          <a:ext cx="3160800" cy="1348813"/>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clientData/>
  </xdr:twoCellAnchor>
  <xdr:twoCellAnchor>
    <xdr:from>
      <xdr:col>63</xdr:col>
      <xdr:colOff>21819</xdr:colOff>
      <xdr:row>176</xdr:row>
      <xdr:rowOff>89555</xdr:rowOff>
    </xdr:from>
    <xdr:to>
      <xdr:col>74</xdr:col>
      <xdr:colOff>31343</xdr:colOff>
      <xdr:row>180</xdr:row>
      <xdr:rowOff>145678</xdr:rowOff>
    </xdr:to>
    <xdr:sp macro="" textlink="">
      <xdr:nvSpPr>
        <xdr:cNvPr id="4" name="円柱 3">
          <a:extLst>
            <a:ext uri="{FF2B5EF4-FFF2-40B4-BE49-F238E27FC236}">
              <a16:creationId xmlns:a16="http://schemas.microsoft.com/office/drawing/2014/main" id="{00000000-0008-0000-0900-000004000000}"/>
            </a:ext>
          </a:extLst>
        </xdr:cNvPr>
        <xdr:cNvSpPr/>
      </xdr:nvSpPr>
      <xdr:spPr>
        <a:xfrm>
          <a:off x="7822794" y="29236055"/>
          <a:ext cx="1371599" cy="741923"/>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clientData/>
  </xdr:twoCellAnchor>
  <xdr:twoCellAnchor>
    <xdr:from>
      <xdr:col>58</xdr:col>
      <xdr:colOff>123264</xdr:colOff>
      <xdr:row>157</xdr:row>
      <xdr:rowOff>145677</xdr:rowOff>
    </xdr:from>
    <xdr:to>
      <xdr:col>78</xdr:col>
      <xdr:colOff>79181</xdr:colOff>
      <xdr:row>175</xdr:row>
      <xdr:rowOff>86595</xdr:rowOff>
    </xdr:to>
    <xdr:sp macro="" textlink="">
      <xdr:nvSpPr>
        <xdr:cNvPr id="5" name="正方形/長方形 4">
          <a:extLst>
            <a:ext uri="{FF2B5EF4-FFF2-40B4-BE49-F238E27FC236}">
              <a16:creationId xmlns:a16="http://schemas.microsoft.com/office/drawing/2014/main" id="{00000000-0008-0000-0900-000005000000}"/>
            </a:ext>
          </a:extLst>
        </xdr:cNvPr>
        <xdr:cNvSpPr/>
      </xdr:nvSpPr>
      <xdr:spPr>
        <a:xfrm>
          <a:off x="7305114" y="26034627"/>
          <a:ext cx="2432417" cy="3027018"/>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clientData/>
  </xdr:twoCellAnchor>
  <xdr:twoCellAnchor>
    <xdr:from>
      <xdr:col>68</xdr:col>
      <xdr:colOff>88213</xdr:colOff>
      <xdr:row>162</xdr:row>
      <xdr:rowOff>53792</xdr:rowOff>
    </xdr:from>
    <xdr:to>
      <xdr:col>68</xdr:col>
      <xdr:colOff>89650</xdr:colOff>
      <xdr:row>176</xdr:row>
      <xdr:rowOff>89555</xdr:rowOff>
    </xdr:to>
    <xdr:cxnSp macro="">
      <xdr:nvCxnSpPr>
        <xdr:cNvPr id="6" name="直線コネクタ 5">
          <a:extLst>
            <a:ext uri="{FF2B5EF4-FFF2-40B4-BE49-F238E27FC236}">
              <a16:creationId xmlns:a16="http://schemas.microsoft.com/office/drawing/2014/main" id="{00000000-0008-0000-0900-000006000000}"/>
            </a:ext>
          </a:extLst>
        </xdr:cNvPr>
        <xdr:cNvCxnSpPr>
          <a:stCxn id="66" idx="2"/>
          <a:endCxn id="4" idx="1"/>
        </xdr:cNvCxnSpPr>
      </xdr:nvCxnSpPr>
      <xdr:spPr>
        <a:xfrm flipH="1">
          <a:off x="8508313" y="26799992"/>
          <a:ext cx="1437" cy="243606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31201</xdr:colOff>
      <xdr:row>115</xdr:row>
      <xdr:rowOff>89645</xdr:rowOff>
    </xdr:from>
    <xdr:to>
      <xdr:col>70</xdr:col>
      <xdr:colOff>0</xdr:colOff>
      <xdr:row>121</xdr:row>
      <xdr:rowOff>75525</xdr:rowOff>
    </xdr:to>
    <xdr:sp macro="" textlink="">
      <xdr:nvSpPr>
        <xdr:cNvPr id="7" name="角丸四角形 6">
          <a:extLst>
            <a:ext uri="{FF2B5EF4-FFF2-40B4-BE49-F238E27FC236}">
              <a16:creationId xmlns:a16="http://schemas.microsoft.com/office/drawing/2014/main" id="{00000000-0008-0000-0900-000007000000}"/>
            </a:ext>
          </a:extLst>
        </xdr:cNvPr>
        <xdr:cNvSpPr/>
      </xdr:nvSpPr>
      <xdr:spPr>
        <a:xfrm>
          <a:off x="6934025" y="24585704"/>
          <a:ext cx="1694504" cy="927174"/>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mn-ea"/>
              <a:ea typeface="+mn-ea"/>
            </a:rPr>
            <a:t>バックアップ用共有フォルダ</a:t>
          </a:r>
        </a:p>
      </xdr:txBody>
    </xdr:sp>
    <xdr:clientData/>
  </xdr:twoCellAnchor>
  <xdr:oneCellAnchor>
    <xdr:from>
      <xdr:col>76</xdr:col>
      <xdr:colOff>19050</xdr:colOff>
      <xdr:row>0</xdr:row>
      <xdr:rowOff>21492</xdr:rowOff>
    </xdr:from>
    <xdr:ext cx="751232" cy="204669"/>
    <xdr:sp macro="" textlink="">
      <xdr:nvSpPr>
        <xdr:cNvPr id="8" name="テキスト ボックス 7">
          <a:extLst>
            <a:ext uri="{FF2B5EF4-FFF2-40B4-BE49-F238E27FC236}">
              <a16:creationId xmlns:a16="http://schemas.microsoft.com/office/drawing/2014/main" id="{00000000-0008-0000-0900-000008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11</xdr:col>
      <xdr:colOff>78442</xdr:colOff>
      <xdr:row>113</xdr:row>
      <xdr:rowOff>139700</xdr:rowOff>
    </xdr:from>
    <xdr:to>
      <xdr:col>37</xdr:col>
      <xdr:colOff>35255</xdr:colOff>
      <xdr:row>122</xdr:row>
      <xdr:rowOff>76427</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1434354" y="24321994"/>
          <a:ext cx="3161695" cy="1348668"/>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DB</a:t>
          </a:r>
          <a:r>
            <a:rPr kumimoji="1" lang="ja-JP" altLang="en-US" sz="900">
              <a:solidFill>
                <a:schemeClr val="tx1"/>
              </a:solidFill>
              <a:latin typeface="+mn-ea"/>
              <a:ea typeface="+mn-ea"/>
            </a:rPr>
            <a:t>サーバ</a:t>
          </a:r>
        </a:p>
      </xdr:txBody>
    </xdr:sp>
    <xdr:clientData/>
  </xdr:twoCellAnchor>
  <xdr:twoCellAnchor>
    <xdr:from>
      <xdr:col>5</xdr:col>
      <xdr:colOff>116178</xdr:colOff>
      <xdr:row>124</xdr:row>
      <xdr:rowOff>22410</xdr:rowOff>
    </xdr:from>
    <xdr:to>
      <xdr:col>42</xdr:col>
      <xdr:colOff>120421</xdr:colOff>
      <xdr:row>139</xdr:row>
      <xdr:rowOff>22413</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732502" y="25930410"/>
          <a:ext cx="4565037" cy="2353238"/>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共有ディスク</a:t>
          </a:r>
        </a:p>
      </xdr:txBody>
    </xdr:sp>
    <xdr:clientData/>
  </xdr:twoCellAnchor>
  <xdr:twoCellAnchor>
    <xdr:from>
      <xdr:col>6</xdr:col>
      <xdr:colOff>91957</xdr:colOff>
      <xdr:row>125</xdr:row>
      <xdr:rowOff>89931</xdr:rowOff>
    </xdr:from>
    <xdr:to>
      <xdr:col>42</xdr:col>
      <xdr:colOff>6637</xdr:colOff>
      <xdr:row>138</xdr:row>
      <xdr:rowOff>44823</xdr:rowOff>
    </xdr:to>
    <xdr:sp macro="" textlink="">
      <xdr:nvSpPr>
        <xdr:cNvPr id="11" name="円柱 10">
          <a:extLst>
            <a:ext uri="{FF2B5EF4-FFF2-40B4-BE49-F238E27FC236}">
              <a16:creationId xmlns:a16="http://schemas.microsoft.com/office/drawing/2014/main" id="{00000000-0008-0000-0900-00000B000000}"/>
            </a:ext>
          </a:extLst>
        </xdr:cNvPr>
        <xdr:cNvSpPr/>
      </xdr:nvSpPr>
      <xdr:spPr>
        <a:xfrm>
          <a:off x="831545" y="26154813"/>
          <a:ext cx="4352210" cy="1994363"/>
        </a:xfrm>
        <a:prstGeom prst="can">
          <a:avLst>
            <a:gd name="adj" fmla="val 6561"/>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clientData/>
  </xdr:twoCellAnchor>
  <xdr:twoCellAnchor>
    <xdr:from>
      <xdr:col>7</xdr:col>
      <xdr:colOff>89109</xdr:colOff>
      <xdr:row>127</xdr:row>
      <xdr:rowOff>20216</xdr:rowOff>
    </xdr:from>
    <xdr:to>
      <xdr:col>40</xdr:col>
      <xdr:colOff>101044</xdr:colOff>
      <xdr:row>137</xdr:row>
      <xdr:rowOff>89642</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951962" y="26398863"/>
          <a:ext cx="4079670" cy="1638250"/>
        </a:xfrm>
        <a:prstGeom prst="rect">
          <a:avLst/>
        </a:prstGeom>
        <a:noFill/>
        <a:ln w="158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90000" rIns="90000" bIns="90000" numCol="1" spcCol="0" rtlCol="0" fromWordArt="0" anchor="t" anchorCtr="0" forceAA="0" compatLnSpc="1">
          <a:prstTxWarp prst="textNoShape">
            <a:avLst/>
          </a:prstTxWarp>
          <a:noAutofit/>
        </a:bodyPr>
        <a:lstStyle/>
        <a:p>
          <a:pPr algn="ctr"/>
          <a:r>
            <a:rPr kumimoji="1" lang="ja-JP" altLang="en-US" sz="900" b="1">
              <a:solidFill>
                <a:srgbClr val="FF0000"/>
              </a:solidFill>
              <a:latin typeface="+mn-ea"/>
              <a:ea typeface="+mn-ea"/>
            </a:rPr>
            <a:t>ターゲットデータベース</a:t>
          </a:r>
        </a:p>
      </xdr:txBody>
    </xdr:sp>
    <xdr:clientData/>
  </xdr:twoCellAnchor>
  <xdr:twoCellAnchor>
    <xdr:from>
      <xdr:col>30</xdr:col>
      <xdr:colOff>21114</xdr:colOff>
      <xdr:row>129</xdr:row>
      <xdr:rowOff>31449</xdr:rowOff>
    </xdr:from>
    <xdr:to>
      <xdr:col>39</xdr:col>
      <xdr:colOff>56947</xdr:colOff>
      <xdr:row>132</xdr:row>
      <xdr:rowOff>110245</xdr:rowOff>
    </xdr:to>
    <xdr:grpSp>
      <xdr:nvGrpSpPr>
        <xdr:cNvPr id="13" name="グループ化 12">
          <a:extLst>
            <a:ext uri="{FF2B5EF4-FFF2-40B4-BE49-F238E27FC236}">
              <a16:creationId xmlns:a16="http://schemas.microsoft.com/office/drawing/2014/main" id="{00000000-0008-0000-0900-00000D000000}"/>
            </a:ext>
          </a:extLst>
        </xdr:cNvPr>
        <xdr:cNvGrpSpPr/>
      </xdr:nvGrpSpPr>
      <xdr:grpSpPr>
        <a:xfrm>
          <a:off x="3719055" y="20134802"/>
          <a:ext cx="1145216" cy="549443"/>
          <a:chOff x="4625062" y="11695534"/>
          <a:chExt cx="1153730" cy="545988"/>
        </a:xfrm>
        <a:solidFill>
          <a:schemeClr val="bg1">
            <a:lumMod val="95000"/>
          </a:schemeClr>
        </a:solidFill>
      </xdr:grpSpPr>
      <xdr:sp macro="" textlink="">
        <xdr:nvSpPr>
          <xdr:cNvPr id="14" name="フローチャート: 書類 13">
            <a:extLst>
              <a:ext uri="{FF2B5EF4-FFF2-40B4-BE49-F238E27FC236}">
                <a16:creationId xmlns:a16="http://schemas.microsoft.com/office/drawing/2014/main" id="{00000000-0008-0000-0900-00000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5" name="フローチャート: 書類 14">
            <a:extLst>
              <a:ext uri="{FF2B5EF4-FFF2-40B4-BE49-F238E27FC236}">
                <a16:creationId xmlns:a16="http://schemas.microsoft.com/office/drawing/2014/main" id="{00000000-0008-0000-0900-00000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6" name="フローチャート: 書類 15">
            <a:extLst>
              <a:ext uri="{FF2B5EF4-FFF2-40B4-BE49-F238E27FC236}">
                <a16:creationId xmlns:a16="http://schemas.microsoft.com/office/drawing/2014/main" id="{00000000-0008-0000-0900-00001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オンライン</a:t>
            </a:r>
            <a:r>
              <a:rPr kumimoji="1" lang="en-US" altLang="ja-JP" sz="900">
                <a:solidFill>
                  <a:schemeClr val="tx1"/>
                </a:solidFill>
                <a:latin typeface="+mn-ea"/>
                <a:ea typeface="+mn-ea"/>
              </a:rPr>
              <a:t>REDO</a:t>
            </a: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clientData/>
  </xdr:twoCellAnchor>
  <xdr:twoCellAnchor>
    <xdr:from>
      <xdr:col>30</xdr:col>
      <xdr:colOff>21115</xdr:colOff>
      <xdr:row>133</xdr:row>
      <xdr:rowOff>8266</xdr:rowOff>
    </xdr:from>
    <xdr:to>
      <xdr:col>39</xdr:col>
      <xdr:colOff>56948</xdr:colOff>
      <xdr:row>136</xdr:row>
      <xdr:rowOff>87063</xdr:rowOff>
    </xdr:to>
    <xdr:grpSp>
      <xdr:nvGrpSpPr>
        <xdr:cNvPr id="17" name="グループ化 16">
          <a:extLst>
            <a:ext uri="{FF2B5EF4-FFF2-40B4-BE49-F238E27FC236}">
              <a16:creationId xmlns:a16="http://schemas.microsoft.com/office/drawing/2014/main" id="{00000000-0008-0000-0900-000011000000}"/>
            </a:ext>
          </a:extLst>
        </xdr:cNvPr>
        <xdr:cNvGrpSpPr/>
      </xdr:nvGrpSpPr>
      <xdr:grpSpPr>
        <a:xfrm>
          <a:off x="3719056" y="20739148"/>
          <a:ext cx="1145216" cy="549444"/>
          <a:chOff x="4625062" y="11695534"/>
          <a:chExt cx="1153730" cy="545988"/>
        </a:xfrm>
        <a:solidFill>
          <a:schemeClr val="bg1">
            <a:lumMod val="95000"/>
          </a:schemeClr>
        </a:solidFill>
      </xdr:grpSpPr>
      <xdr:sp macro="" textlink="">
        <xdr:nvSpPr>
          <xdr:cNvPr id="18" name="フローチャート: 書類 17">
            <a:extLst>
              <a:ext uri="{FF2B5EF4-FFF2-40B4-BE49-F238E27FC236}">
                <a16:creationId xmlns:a16="http://schemas.microsoft.com/office/drawing/2014/main" id="{00000000-0008-0000-0900-00001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9" name="フローチャート: 書類 18">
            <a:extLst>
              <a:ext uri="{FF2B5EF4-FFF2-40B4-BE49-F238E27FC236}">
                <a16:creationId xmlns:a16="http://schemas.microsoft.com/office/drawing/2014/main" id="{00000000-0008-0000-0900-00001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0" name="フローチャート: 書類 19">
            <a:extLst>
              <a:ext uri="{FF2B5EF4-FFF2-40B4-BE49-F238E27FC236}">
                <a16:creationId xmlns:a16="http://schemas.microsoft.com/office/drawing/2014/main" id="{00000000-0008-0000-0900-00001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その他ファイル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clientData/>
  </xdr:twoCellAnchor>
  <xdr:twoCellAnchor>
    <xdr:from>
      <xdr:col>19</xdr:col>
      <xdr:colOff>94078</xdr:colOff>
      <xdr:row>129</xdr:row>
      <xdr:rowOff>39899</xdr:rowOff>
    </xdr:from>
    <xdr:to>
      <xdr:col>29</xdr:col>
      <xdr:colOff>6647</xdr:colOff>
      <xdr:row>132</xdr:row>
      <xdr:rowOff>118695</xdr:rowOff>
    </xdr:to>
    <xdr:grpSp>
      <xdr:nvGrpSpPr>
        <xdr:cNvPr id="21" name="グループ化 20">
          <a:extLst>
            <a:ext uri="{FF2B5EF4-FFF2-40B4-BE49-F238E27FC236}">
              <a16:creationId xmlns:a16="http://schemas.microsoft.com/office/drawing/2014/main" id="{00000000-0008-0000-0900-000015000000}"/>
            </a:ext>
          </a:extLst>
        </xdr:cNvPr>
        <xdr:cNvGrpSpPr/>
      </xdr:nvGrpSpPr>
      <xdr:grpSpPr>
        <a:xfrm>
          <a:off x="2436107" y="20143252"/>
          <a:ext cx="1145216" cy="549443"/>
          <a:chOff x="4625062" y="11695534"/>
          <a:chExt cx="1153730" cy="545988"/>
        </a:xfrm>
        <a:solidFill>
          <a:schemeClr val="bg1"/>
        </a:solidFill>
      </xdr:grpSpPr>
      <xdr:sp macro="" textlink="">
        <xdr:nvSpPr>
          <xdr:cNvPr id="22" name="フローチャート: 書類 21">
            <a:extLst>
              <a:ext uri="{FF2B5EF4-FFF2-40B4-BE49-F238E27FC236}">
                <a16:creationId xmlns:a16="http://schemas.microsoft.com/office/drawing/2014/main" id="{00000000-0008-0000-0900-000016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3" name="フローチャート: 書類 22">
            <a:extLst>
              <a:ext uri="{FF2B5EF4-FFF2-40B4-BE49-F238E27FC236}">
                <a16:creationId xmlns:a16="http://schemas.microsoft.com/office/drawing/2014/main" id="{00000000-0008-0000-0900-000017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4" name="フローチャート: 書類 23">
            <a:extLst>
              <a:ext uri="{FF2B5EF4-FFF2-40B4-BE49-F238E27FC236}">
                <a16:creationId xmlns:a16="http://schemas.microsoft.com/office/drawing/2014/main" id="{00000000-0008-0000-0900-000018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制御ファイル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(RMAN</a:t>
            </a:r>
            <a:r>
              <a:rPr kumimoji="1" lang="ja-JP" altLang="en-US" sz="900">
                <a:solidFill>
                  <a:schemeClr val="tx1"/>
                </a:solidFill>
                <a:latin typeface="+mn-ea"/>
                <a:ea typeface="+mn-ea"/>
              </a:rPr>
              <a:t>リポジトリ</a:t>
            </a:r>
            <a:r>
              <a:rPr kumimoji="1" lang="en-US" altLang="ja-JP" sz="900">
                <a:solidFill>
                  <a:schemeClr val="tx1"/>
                </a:solidFill>
                <a:latin typeface="+mn-ea"/>
                <a:ea typeface="+mn-ea"/>
              </a:rPr>
              <a:t>)</a:t>
            </a:r>
            <a:endParaRPr kumimoji="1" lang="ja-JP" altLang="en-US" sz="900">
              <a:solidFill>
                <a:schemeClr val="tx1"/>
              </a:solidFill>
              <a:latin typeface="+mn-ea"/>
              <a:ea typeface="+mn-ea"/>
            </a:endParaRPr>
          </a:p>
        </xdr:txBody>
      </xdr:sp>
    </xdr:grpSp>
    <xdr:clientData/>
  </xdr:twoCellAnchor>
  <xdr:twoCellAnchor>
    <xdr:from>
      <xdr:col>9</xdr:col>
      <xdr:colOff>35533</xdr:colOff>
      <xdr:row>129</xdr:row>
      <xdr:rowOff>22998</xdr:rowOff>
    </xdr:from>
    <xdr:to>
      <xdr:col>18</xdr:col>
      <xdr:colOff>71366</xdr:colOff>
      <xdr:row>132</xdr:row>
      <xdr:rowOff>101794</xdr:rowOff>
    </xdr:to>
    <xdr:grpSp>
      <xdr:nvGrpSpPr>
        <xdr:cNvPr id="25" name="グループ化 24">
          <a:extLst>
            <a:ext uri="{FF2B5EF4-FFF2-40B4-BE49-F238E27FC236}">
              <a16:creationId xmlns:a16="http://schemas.microsoft.com/office/drawing/2014/main" id="{00000000-0008-0000-0900-000019000000}"/>
            </a:ext>
          </a:extLst>
        </xdr:cNvPr>
        <xdr:cNvGrpSpPr/>
      </xdr:nvGrpSpPr>
      <xdr:grpSpPr>
        <a:xfrm>
          <a:off x="1144915" y="20126351"/>
          <a:ext cx="1145216" cy="549443"/>
          <a:chOff x="4625062" y="11695534"/>
          <a:chExt cx="1153730" cy="545988"/>
        </a:xfrm>
        <a:solidFill>
          <a:schemeClr val="bg1"/>
        </a:solidFill>
      </xdr:grpSpPr>
      <xdr:sp macro="" textlink="">
        <xdr:nvSpPr>
          <xdr:cNvPr id="26" name="フローチャート: 書類 25">
            <a:extLst>
              <a:ext uri="{FF2B5EF4-FFF2-40B4-BE49-F238E27FC236}">
                <a16:creationId xmlns:a16="http://schemas.microsoft.com/office/drawing/2014/main" id="{00000000-0008-0000-0900-00001A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7" name="フローチャート: 書類 26">
            <a:extLst>
              <a:ext uri="{FF2B5EF4-FFF2-40B4-BE49-F238E27FC236}">
                <a16:creationId xmlns:a16="http://schemas.microsoft.com/office/drawing/2014/main" id="{00000000-0008-0000-0900-00001B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8" name="フローチャート: 書類 27">
            <a:extLst>
              <a:ext uri="{FF2B5EF4-FFF2-40B4-BE49-F238E27FC236}">
                <a16:creationId xmlns:a16="http://schemas.microsoft.com/office/drawing/2014/main" id="{00000000-0008-0000-0900-00001C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データファイル</a:t>
            </a:r>
            <a:endParaRPr kumimoji="1" lang="en-US" altLang="ja-JP" sz="900">
              <a:solidFill>
                <a:schemeClr val="tx1"/>
              </a:solidFill>
              <a:latin typeface="+mn-ea"/>
              <a:ea typeface="+mn-ea"/>
            </a:endParaRPr>
          </a:p>
        </xdr:txBody>
      </xdr:sp>
    </xdr:grpSp>
    <xdr:clientData/>
  </xdr:twoCellAnchor>
  <xdr:twoCellAnchor>
    <xdr:from>
      <xdr:col>9</xdr:col>
      <xdr:colOff>19044</xdr:colOff>
      <xdr:row>133</xdr:row>
      <xdr:rowOff>50519</xdr:rowOff>
    </xdr:from>
    <xdr:to>
      <xdr:col>18</xdr:col>
      <xdr:colOff>54877</xdr:colOff>
      <xdr:row>136</xdr:row>
      <xdr:rowOff>129316</xdr:rowOff>
    </xdr:to>
    <xdr:grpSp>
      <xdr:nvGrpSpPr>
        <xdr:cNvPr id="29" name="グループ化 28">
          <a:extLst>
            <a:ext uri="{FF2B5EF4-FFF2-40B4-BE49-F238E27FC236}">
              <a16:creationId xmlns:a16="http://schemas.microsoft.com/office/drawing/2014/main" id="{00000000-0008-0000-0900-00001D000000}"/>
            </a:ext>
          </a:extLst>
        </xdr:cNvPr>
        <xdr:cNvGrpSpPr/>
      </xdr:nvGrpSpPr>
      <xdr:grpSpPr>
        <a:xfrm>
          <a:off x="1128426" y="20781401"/>
          <a:ext cx="1145216" cy="549444"/>
          <a:chOff x="4625062" y="11695534"/>
          <a:chExt cx="1153730" cy="545988"/>
        </a:xfrm>
        <a:solidFill>
          <a:schemeClr val="bg1"/>
        </a:solidFill>
      </xdr:grpSpPr>
      <xdr:sp macro="" textlink="">
        <xdr:nvSpPr>
          <xdr:cNvPr id="30" name="フローチャート: 書類 29">
            <a:extLst>
              <a:ext uri="{FF2B5EF4-FFF2-40B4-BE49-F238E27FC236}">
                <a16:creationId xmlns:a16="http://schemas.microsoft.com/office/drawing/2014/main" id="{00000000-0008-0000-0900-00001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1" name="フローチャート: 書類 30">
            <a:extLst>
              <a:ext uri="{FF2B5EF4-FFF2-40B4-BE49-F238E27FC236}">
                <a16:creationId xmlns:a16="http://schemas.microsoft.com/office/drawing/2014/main" id="{00000000-0008-0000-0900-00001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2" name="フローチャート: 書類 31">
            <a:extLst>
              <a:ext uri="{FF2B5EF4-FFF2-40B4-BE49-F238E27FC236}">
                <a16:creationId xmlns:a16="http://schemas.microsoft.com/office/drawing/2014/main" id="{00000000-0008-0000-0900-00002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アーカイブ</a:t>
            </a:r>
            <a:r>
              <a:rPr kumimoji="1" lang="en-US" altLang="ja-JP" sz="900">
                <a:solidFill>
                  <a:schemeClr val="tx1"/>
                </a:solidFill>
                <a:latin typeface="+mn-ea"/>
                <a:ea typeface="+mn-ea"/>
              </a:rPr>
              <a:t>REDO</a:t>
            </a:r>
          </a:p>
          <a:p>
            <a:pPr algn="ct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xdr:txBody>
      </xdr:sp>
    </xdr:grpSp>
    <xdr:clientData/>
  </xdr:twoCellAnchor>
  <xdr:twoCellAnchor>
    <xdr:from>
      <xdr:col>19</xdr:col>
      <xdr:colOff>61099</xdr:colOff>
      <xdr:row>133</xdr:row>
      <xdr:rowOff>42069</xdr:rowOff>
    </xdr:from>
    <xdr:to>
      <xdr:col>28</xdr:col>
      <xdr:colOff>96932</xdr:colOff>
      <xdr:row>136</xdr:row>
      <xdr:rowOff>120866</xdr:rowOff>
    </xdr:to>
    <xdr:grpSp>
      <xdr:nvGrpSpPr>
        <xdr:cNvPr id="33" name="グループ化 32">
          <a:extLst>
            <a:ext uri="{FF2B5EF4-FFF2-40B4-BE49-F238E27FC236}">
              <a16:creationId xmlns:a16="http://schemas.microsoft.com/office/drawing/2014/main" id="{00000000-0008-0000-0900-000021000000}"/>
            </a:ext>
          </a:extLst>
        </xdr:cNvPr>
        <xdr:cNvGrpSpPr/>
      </xdr:nvGrpSpPr>
      <xdr:grpSpPr>
        <a:xfrm>
          <a:off x="2403128" y="20772951"/>
          <a:ext cx="1145216" cy="549444"/>
          <a:chOff x="4625062" y="11695534"/>
          <a:chExt cx="1153730" cy="545988"/>
        </a:xfrm>
        <a:solidFill>
          <a:schemeClr val="bg1"/>
        </a:solidFill>
      </xdr:grpSpPr>
      <xdr:sp macro="" textlink="">
        <xdr:nvSpPr>
          <xdr:cNvPr id="34" name="フローチャート: 書類 33">
            <a:extLst>
              <a:ext uri="{FF2B5EF4-FFF2-40B4-BE49-F238E27FC236}">
                <a16:creationId xmlns:a16="http://schemas.microsoft.com/office/drawing/2014/main" id="{00000000-0008-0000-0900-00002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5" name="フローチャート: 書類 34">
            <a:extLst>
              <a:ext uri="{FF2B5EF4-FFF2-40B4-BE49-F238E27FC236}">
                <a16:creationId xmlns:a16="http://schemas.microsoft.com/office/drawing/2014/main" id="{00000000-0008-0000-0900-00002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6" name="フローチャート: 書類 35">
            <a:extLst>
              <a:ext uri="{FF2B5EF4-FFF2-40B4-BE49-F238E27FC236}">
                <a16:creationId xmlns:a16="http://schemas.microsoft.com/office/drawing/2014/main" id="{00000000-0008-0000-0900-00002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サーバ・パラメタ・ファイル</a:t>
            </a:r>
            <a:endParaRPr kumimoji="1" lang="en-US" altLang="ja-JP" sz="900">
              <a:solidFill>
                <a:schemeClr val="tx1"/>
              </a:solidFill>
              <a:latin typeface="+mn-ea"/>
              <a:ea typeface="+mn-ea"/>
            </a:endParaRPr>
          </a:p>
        </xdr:txBody>
      </xdr:sp>
    </xdr:grpSp>
    <xdr:clientData/>
  </xdr:twoCellAnchor>
  <xdr:twoCellAnchor>
    <xdr:from>
      <xdr:col>57</xdr:col>
      <xdr:colOff>68881</xdr:colOff>
      <xdr:row>123</xdr:row>
      <xdr:rowOff>156791</xdr:rowOff>
    </xdr:from>
    <xdr:to>
      <xdr:col>68</xdr:col>
      <xdr:colOff>78405</xdr:colOff>
      <xdr:row>129</xdr:row>
      <xdr:rowOff>128492</xdr:rowOff>
    </xdr:to>
    <xdr:sp macro="" textlink="">
      <xdr:nvSpPr>
        <xdr:cNvPr id="37" name="円柱 36">
          <a:extLst>
            <a:ext uri="{FF2B5EF4-FFF2-40B4-BE49-F238E27FC236}">
              <a16:creationId xmlns:a16="http://schemas.microsoft.com/office/drawing/2014/main" id="{00000000-0008-0000-0900-000025000000}"/>
            </a:ext>
          </a:extLst>
        </xdr:cNvPr>
        <xdr:cNvSpPr/>
      </xdr:nvSpPr>
      <xdr:spPr>
        <a:xfrm>
          <a:off x="7094969" y="25907909"/>
          <a:ext cx="1365436" cy="912995"/>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clientData/>
  </xdr:twoCellAnchor>
  <xdr:twoCellAnchor>
    <xdr:from>
      <xdr:col>58</xdr:col>
      <xdr:colOff>48996</xdr:colOff>
      <xdr:row>117</xdr:row>
      <xdr:rowOff>34478</xdr:rowOff>
    </xdr:from>
    <xdr:to>
      <xdr:col>67</xdr:col>
      <xdr:colOff>84961</xdr:colOff>
      <xdr:row>120</xdr:row>
      <xdr:rowOff>148156</xdr:rowOff>
    </xdr:to>
    <xdr:grpSp>
      <xdr:nvGrpSpPr>
        <xdr:cNvPr id="38" name="グループ化 37">
          <a:extLst>
            <a:ext uri="{FF2B5EF4-FFF2-40B4-BE49-F238E27FC236}">
              <a16:creationId xmlns:a16="http://schemas.microsoft.com/office/drawing/2014/main" id="{00000000-0008-0000-0900-000026000000}"/>
            </a:ext>
          </a:extLst>
        </xdr:cNvPr>
        <xdr:cNvGrpSpPr/>
      </xdr:nvGrpSpPr>
      <xdr:grpSpPr>
        <a:xfrm>
          <a:off x="7198349" y="18255243"/>
          <a:ext cx="1145347" cy="584325"/>
          <a:chOff x="3208735" y="5470923"/>
          <a:chExt cx="1148952" cy="541734"/>
        </a:xfrm>
        <a:solidFill>
          <a:schemeClr val="bg1"/>
        </a:solidFill>
      </xdr:grpSpPr>
      <xdr:sp macro="" textlink="">
        <xdr:nvSpPr>
          <xdr:cNvPr id="39" name="フローチャート: 書類 38">
            <a:extLst>
              <a:ext uri="{FF2B5EF4-FFF2-40B4-BE49-F238E27FC236}">
                <a16:creationId xmlns:a16="http://schemas.microsoft.com/office/drawing/2014/main" id="{00000000-0008-0000-0900-000027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0" name="フローチャート: 書類 39">
            <a:extLst>
              <a:ext uri="{FF2B5EF4-FFF2-40B4-BE49-F238E27FC236}">
                <a16:creationId xmlns:a16="http://schemas.microsoft.com/office/drawing/2014/main" id="{00000000-0008-0000-0900-000028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1" name="フローチャート: 書類 40">
            <a:extLst>
              <a:ext uri="{FF2B5EF4-FFF2-40B4-BE49-F238E27FC236}">
                <a16:creationId xmlns:a16="http://schemas.microsoft.com/office/drawing/2014/main" id="{00000000-0008-0000-0900-000029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RMAN</a:t>
            </a:r>
          </a:p>
          <a:p>
            <a:pPr algn="ctr"/>
            <a:r>
              <a:rPr kumimoji="1" lang="ja-JP" altLang="en-US" sz="900">
                <a:solidFill>
                  <a:schemeClr val="tx1"/>
                </a:solidFill>
                <a:latin typeface="+mn-ea"/>
                <a:ea typeface="+mn-ea"/>
              </a:rPr>
              <a:t>バックアップセット</a:t>
            </a:r>
          </a:p>
        </xdr:txBody>
      </xdr:sp>
    </xdr:grpSp>
    <xdr:clientData/>
  </xdr:twoCellAnchor>
  <xdr:twoCellAnchor>
    <xdr:from>
      <xdr:col>63</xdr:col>
      <xdr:colOff>12011</xdr:colOff>
      <xdr:row>121</xdr:row>
      <xdr:rowOff>75525</xdr:rowOff>
    </xdr:from>
    <xdr:to>
      <xdr:col>63</xdr:col>
      <xdr:colOff>15601</xdr:colOff>
      <xdr:row>123</xdr:row>
      <xdr:rowOff>156791</xdr:rowOff>
    </xdr:to>
    <xdr:cxnSp macro="">
      <xdr:nvCxnSpPr>
        <xdr:cNvPr id="42" name="直線コネクタ 41">
          <a:extLst>
            <a:ext uri="{FF2B5EF4-FFF2-40B4-BE49-F238E27FC236}">
              <a16:creationId xmlns:a16="http://schemas.microsoft.com/office/drawing/2014/main" id="{00000000-0008-0000-0900-00002A000000}"/>
            </a:ext>
          </a:extLst>
        </xdr:cNvPr>
        <xdr:cNvCxnSpPr>
          <a:stCxn id="7" idx="2"/>
          <a:endCxn id="37" idx="1"/>
        </xdr:cNvCxnSpPr>
      </xdr:nvCxnSpPr>
      <xdr:spPr>
        <a:xfrm flipH="1">
          <a:off x="7777687" y="25512878"/>
          <a:ext cx="3590" cy="39503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78439</xdr:colOff>
      <xdr:row>18</xdr:row>
      <xdr:rowOff>112059</xdr:rowOff>
    </xdr:from>
    <xdr:to>
      <xdr:col>46</xdr:col>
      <xdr:colOff>104557</xdr:colOff>
      <xdr:row>24</xdr:row>
      <xdr:rowOff>147456</xdr:rowOff>
    </xdr:to>
    <xdr:sp macro="" textlink="">
      <xdr:nvSpPr>
        <xdr:cNvPr id="44" name="Rectangle 15">
          <a:extLst>
            <a:ext uri="{FF2B5EF4-FFF2-40B4-BE49-F238E27FC236}">
              <a16:creationId xmlns:a16="http://schemas.microsoft.com/office/drawing/2014/main" id="{00000000-0008-0000-0900-00002C000000}"/>
            </a:ext>
          </a:extLst>
        </xdr:cNvPr>
        <xdr:cNvSpPr>
          <a:spLocks noChangeArrowheads="1"/>
        </xdr:cNvSpPr>
      </xdr:nvSpPr>
      <xdr:spPr bwMode="auto">
        <a:xfrm>
          <a:off x="4269439" y="2801471"/>
          <a:ext cx="1505294" cy="976691"/>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clientData/>
  </xdr:twoCellAnchor>
  <xdr:twoCellAnchor>
    <xdr:from>
      <xdr:col>36</xdr:col>
      <xdr:colOff>21902</xdr:colOff>
      <xdr:row>20</xdr:row>
      <xdr:rowOff>67346</xdr:rowOff>
    </xdr:from>
    <xdr:to>
      <xdr:col>45</xdr:col>
      <xdr:colOff>28519</xdr:colOff>
      <xdr:row>21</xdr:row>
      <xdr:rowOff>80808</xdr:rowOff>
    </xdr:to>
    <xdr:sp macro="" textlink="">
      <xdr:nvSpPr>
        <xdr:cNvPr id="45" name="角丸四角形 44">
          <a:extLst>
            <a:ext uri="{FF2B5EF4-FFF2-40B4-BE49-F238E27FC236}">
              <a16:creationId xmlns:a16="http://schemas.microsoft.com/office/drawing/2014/main" id="{00000000-0008-0000-0900-00002D000000}"/>
            </a:ext>
          </a:extLst>
        </xdr:cNvPr>
        <xdr:cNvSpPr>
          <a:spLocks noChangeArrowheads="1"/>
        </xdr:cNvSpPr>
      </xdr:nvSpPr>
      <xdr:spPr bwMode="auto">
        <a:xfrm>
          <a:off x="4459431" y="3070522"/>
          <a:ext cx="1116000" cy="170345"/>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47</xdr:col>
      <xdr:colOff>44824</xdr:colOff>
      <xdr:row>21</xdr:row>
      <xdr:rowOff>11207</xdr:rowOff>
    </xdr:from>
    <xdr:to>
      <xdr:col>59</xdr:col>
      <xdr:colOff>57761</xdr:colOff>
      <xdr:row>21</xdr:row>
      <xdr:rowOff>11207</xdr:rowOff>
    </xdr:to>
    <xdr:cxnSp macro="">
      <xdr:nvCxnSpPr>
        <xdr:cNvPr id="49" name="直線矢印コネクタ 48">
          <a:extLst>
            <a:ext uri="{FF2B5EF4-FFF2-40B4-BE49-F238E27FC236}">
              <a16:creationId xmlns:a16="http://schemas.microsoft.com/office/drawing/2014/main" id="{00000000-0008-0000-0900-000031000000}"/>
            </a:ext>
          </a:extLst>
        </xdr:cNvPr>
        <xdr:cNvCxnSpPr>
          <a:stCxn id="55" idx="1"/>
        </xdr:cNvCxnSpPr>
      </xdr:nvCxnSpPr>
      <xdr:spPr>
        <a:xfrm flipH="1">
          <a:off x="5838265" y="3171266"/>
          <a:ext cx="1492114" cy="0"/>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10517</xdr:colOff>
      <xdr:row>20</xdr:row>
      <xdr:rowOff>82365</xdr:rowOff>
    </xdr:from>
    <xdr:to>
      <xdr:col>34</xdr:col>
      <xdr:colOff>22412</xdr:colOff>
      <xdr:row>20</xdr:row>
      <xdr:rowOff>145677</xdr:rowOff>
    </xdr:to>
    <xdr:cxnSp macro="">
      <xdr:nvCxnSpPr>
        <xdr:cNvPr id="50" name="直線矢印コネクタ 49">
          <a:extLst>
            <a:ext uri="{FF2B5EF4-FFF2-40B4-BE49-F238E27FC236}">
              <a16:creationId xmlns:a16="http://schemas.microsoft.com/office/drawing/2014/main" id="{00000000-0008-0000-0900-000032000000}"/>
            </a:ext>
          </a:extLst>
        </xdr:cNvPr>
        <xdr:cNvCxnSpPr>
          <a:stCxn id="47" idx="3"/>
        </xdr:cNvCxnSpPr>
      </xdr:nvCxnSpPr>
      <xdr:spPr>
        <a:xfrm>
          <a:off x="2599076" y="3085541"/>
          <a:ext cx="1614336" cy="63312"/>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23995</xdr:colOff>
      <xdr:row>19</xdr:row>
      <xdr:rowOff>22197</xdr:rowOff>
    </xdr:from>
    <xdr:to>
      <xdr:col>30</xdr:col>
      <xdr:colOff>78440</xdr:colOff>
      <xdr:row>22</xdr:row>
      <xdr:rowOff>67233</xdr:rowOff>
    </xdr:to>
    <xdr:sp macro="" textlink="">
      <xdr:nvSpPr>
        <xdr:cNvPr id="51" name="Rectangle 15">
          <a:extLst>
            <a:ext uri="{FF2B5EF4-FFF2-40B4-BE49-F238E27FC236}">
              <a16:creationId xmlns:a16="http://schemas.microsoft.com/office/drawing/2014/main" id="{00000000-0008-0000-0900-000033000000}"/>
            </a:ext>
          </a:extLst>
        </xdr:cNvPr>
        <xdr:cNvSpPr>
          <a:spLocks noChangeArrowheads="1"/>
        </xdr:cNvSpPr>
      </xdr:nvSpPr>
      <xdr:spPr bwMode="auto">
        <a:xfrm>
          <a:off x="2859083" y="2868491"/>
          <a:ext cx="917298" cy="515683"/>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31</xdr:col>
      <xdr:colOff>19948</xdr:colOff>
      <xdr:row>29</xdr:row>
      <xdr:rowOff>100853</xdr:rowOff>
    </xdr:from>
    <xdr:to>
      <xdr:col>40</xdr:col>
      <xdr:colOff>116538</xdr:colOff>
      <xdr:row>32</xdr:row>
      <xdr:rowOff>53084</xdr:rowOff>
    </xdr:to>
    <xdr:sp macro="" textlink="">
      <xdr:nvSpPr>
        <xdr:cNvPr id="52" name="円柱 51">
          <a:extLst>
            <a:ext uri="{FF2B5EF4-FFF2-40B4-BE49-F238E27FC236}">
              <a16:creationId xmlns:a16="http://schemas.microsoft.com/office/drawing/2014/main" id="{00000000-0008-0000-0900-000034000000}"/>
            </a:ext>
          </a:extLst>
        </xdr:cNvPr>
        <xdr:cNvSpPr/>
      </xdr:nvSpPr>
      <xdr:spPr>
        <a:xfrm>
          <a:off x="3841154" y="4515971"/>
          <a:ext cx="1205972" cy="422878"/>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clientData/>
  </xdr:twoCellAnchor>
  <xdr:twoCellAnchor>
    <xdr:from>
      <xdr:col>50</xdr:col>
      <xdr:colOff>19511</xdr:colOff>
      <xdr:row>17</xdr:row>
      <xdr:rowOff>51332</xdr:rowOff>
    </xdr:from>
    <xdr:to>
      <xdr:col>58</xdr:col>
      <xdr:colOff>33615</xdr:colOff>
      <xdr:row>20</xdr:row>
      <xdr:rowOff>96369</xdr:rowOff>
    </xdr:to>
    <xdr:sp macro="" textlink="">
      <xdr:nvSpPr>
        <xdr:cNvPr id="58" name="Rectangle 15">
          <a:extLst>
            <a:ext uri="{FF2B5EF4-FFF2-40B4-BE49-F238E27FC236}">
              <a16:creationId xmlns:a16="http://schemas.microsoft.com/office/drawing/2014/main" id="{00000000-0008-0000-0900-00003A000000}"/>
            </a:ext>
          </a:extLst>
        </xdr:cNvPr>
        <xdr:cNvSpPr>
          <a:spLocks noChangeArrowheads="1"/>
        </xdr:cNvSpPr>
      </xdr:nvSpPr>
      <xdr:spPr bwMode="auto">
        <a:xfrm>
          <a:off x="6182746" y="2583861"/>
          <a:ext cx="1000222" cy="515684"/>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a:p>
          <a:r>
            <a:rPr lang="en-US" altLang="ja-JP" sz="900">
              <a:latin typeface="+mn-ea"/>
              <a:ea typeface="+mn-ea"/>
              <a:cs typeface="Meiryo UI" pitchFamily="50" charset="-128"/>
            </a:rPr>
            <a:t>DB</a:t>
          </a:r>
          <a:r>
            <a:rPr lang="ja-JP" altLang="en-US" sz="900">
              <a:latin typeface="+mn-ea"/>
              <a:ea typeface="+mn-ea"/>
              <a:cs typeface="Meiryo UI" pitchFamily="50" charset="-128"/>
            </a:rPr>
            <a:t>データ</a:t>
          </a:r>
          <a:endParaRPr lang="en-US" altLang="ja-JP" sz="900">
            <a:latin typeface="+mn-ea"/>
            <a:ea typeface="+mn-ea"/>
            <a:cs typeface="Meiryo UI" pitchFamily="50" charset="-128"/>
          </a:endParaRPr>
        </a:p>
        <a:p>
          <a:r>
            <a:rPr lang="ja-JP" altLang="en-US" sz="900">
              <a:latin typeface="+mn-ea"/>
              <a:ea typeface="+mn-ea"/>
              <a:cs typeface="Meiryo UI" pitchFamily="50" charset="-128"/>
            </a:rPr>
            <a:t>録音ファイル</a:t>
          </a:r>
          <a:endParaRPr lang="en-US" altLang="ja-JP" sz="900">
            <a:latin typeface="+mn-ea"/>
            <a:ea typeface="+mn-ea"/>
            <a:cs typeface="Meiryo UI" pitchFamily="50" charset="-128"/>
          </a:endParaRPr>
        </a:p>
      </xdr:txBody>
    </xdr:sp>
    <xdr:clientData/>
  </xdr:twoCellAnchor>
  <xdr:twoCellAnchor>
    <xdr:from>
      <xdr:col>15</xdr:col>
      <xdr:colOff>89648</xdr:colOff>
      <xdr:row>116</xdr:row>
      <xdr:rowOff>156879</xdr:rowOff>
    </xdr:from>
    <xdr:to>
      <xdr:col>32</xdr:col>
      <xdr:colOff>33618</xdr:colOff>
      <xdr:row>119</xdr:row>
      <xdr:rowOff>145675</xdr:rowOff>
    </xdr:to>
    <xdr:sp macro="" textlink="">
      <xdr:nvSpPr>
        <xdr:cNvPr id="59" name="角丸四角形 58">
          <a:extLst>
            <a:ext uri="{FF2B5EF4-FFF2-40B4-BE49-F238E27FC236}">
              <a16:creationId xmlns:a16="http://schemas.microsoft.com/office/drawing/2014/main" id="{00000000-0008-0000-0900-00003B000000}"/>
            </a:ext>
          </a:extLst>
        </xdr:cNvPr>
        <xdr:cNvSpPr>
          <a:spLocks noChangeArrowheads="1"/>
        </xdr:cNvSpPr>
      </xdr:nvSpPr>
      <xdr:spPr bwMode="auto">
        <a:xfrm>
          <a:off x="1938619" y="24809820"/>
          <a:ext cx="2039470" cy="459443"/>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clientData/>
  </xdr:twoCellAnchor>
  <xdr:twoCellAnchor>
    <xdr:from>
      <xdr:col>21</xdr:col>
      <xdr:colOff>43588</xdr:colOff>
      <xdr:row>119</xdr:row>
      <xdr:rowOff>56027</xdr:rowOff>
    </xdr:from>
    <xdr:to>
      <xdr:col>24</xdr:col>
      <xdr:colOff>112576</xdr:colOff>
      <xdr:row>126</xdr:row>
      <xdr:rowOff>11206</xdr:rowOff>
    </xdr:to>
    <xdr:sp macro="" textlink="">
      <xdr:nvSpPr>
        <xdr:cNvPr id="60" name="下矢印 59">
          <a:extLst>
            <a:ext uri="{FF2B5EF4-FFF2-40B4-BE49-F238E27FC236}">
              <a16:creationId xmlns:a16="http://schemas.microsoft.com/office/drawing/2014/main" id="{00000000-0008-0000-0900-00003C000000}"/>
            </a:ext>
          </a:extLst>
        </xdr:cNvPr>
        <xdr:cNvSpPr/>
      </xdr:nvSpPr>
      <xdr:spPr>
        <a:xfrm rot="10800000">
          <a:off x="2632147" y="25179615"/>
          <a:ext cx="438782" cy="1053356"/>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31</xdr:col>
      <xdr:colOff>78442</xdr:colOff>
      <xdr:row>116</xdr:row>
      <xdr:rowOff>151091</xdr:rowOff>
    </xdr:from>
    <xdr:to>
      <xdr:col>57</xdr:col>
      <xdr:colOff>44828</xdr:colOff>
      <xdr:row>120</xdr:row>
      <xdr:rowOff>24812</xdr:rowOff>
    </xdr:to>
    <xdr:sp macro="" textlink="">
      <xdr:nvSpPr>
        <xdr:cNvPr id="61" name="下矢印 60">
          <a:extLst>
            <a:ext uri="{FF2B5EF4-FFF2-40B4-BE49-F238E27FC236}">
              <a16:creationId xmlns:a16="http://schemas.microsoft.com/office/drawing/2014/main" id="{00000000-0008-0000-0900-00003D000000}"/>
            </a:ext>
          </a:extLst>
        </xdr:cNvPr>
        <xdr:cNvSpPr/>
      </xdr:nvSpPr>
      <xdr:spPr>
        <a:xfrm rot="16200000">
          <a:off x="5234656" y="23469024"/>
          <a:ext cx="501251" cy="3171268"/>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24</xdr:col>
      <xdr:colOff>56668</xdr:colOff>
      <xdr:row>122</xdr:row>
      <xdr:rowOff>76427</xdr:rowOff>
    </xdr:from>
    <xdr:to>
      <xdr:col>24</xdr:col>
      <xdr:colOff>56849</xdr:colOff>
      <xdr:row>124</xdr:row>
      <xdr:rowOff>22410</xdr:rowOff>
    </xdr:to>
    <xdr:cxnSp macro="">
      <xdr:nvCxnSpPr>
        <xdr:cNvPr id="62" name="直線コネクタ 61">
          <a:extLst>
            <a:ext uri="{FF2B5EF4-FFF2-40B4-BE49-F238E27FC236}">
              <a16:creationId xmlns:a16="http://schemas.microsoft.com/office/drawing/2014/main" id="{00000000-0008-0000-0900-00003E000000}"/>
            </a:ext>
          </a:extLst>
        </xdr:cNvPr>
        <xdr:cNvCxnSpPr>
          <a:stCxn id="9" idx="2"/>
          <a:endCxn id="10" idx="0"/>
        </xdr:cNvCxnSpPr>
      </xdr:nvCxnSpPr>
      <xdr:spPr>
        <a:xfrm flipH="1">
          <a:off x="3015021" y="25670662"/>
          <a:ext cx="181" cy="25974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96369</xdr:colOff>
      <xdr:row>115</xdr:row>
      <xdr:rowOff>123263</xdr:rowOff>
    </xdr:from>
    <xdr:to>
      <xdr:col>48</xdr:col>
      <xdr:colOff>67232</xdr:colOff>
      <xdr:row>117</xdr:row>
      <xdr:rowOff>68698</xdr:rowOff>
    </xdr:to>
    <xdr:sp macro="" textlink="">
      <xdr:nvSpPr>
        <xdr:cNvPr id="63" name="角丸四角形吹き出し 62">
          <a:extLst>
            <a:ext uri="{FF2B5EF4-FFF2-40B4-BE49-F238E27FC236}">
              <a16:creationId xmlns:a16="http://schemas.microsoft.com/office/drawing/2014/main" id="{00000000-0008-0000-0900-00003F000000}"/>
            </a:ext>
          </a:extLst>
        </xdr:cNvPr>
        <xdr:cNvSpPr/>
      </xdr:nvSpPr>
      <xdr:spPr>
        <a:xfrm>
          <a:off x="4903693" y="24619322"/>
          <a:ext cx="1080245" cy="259200"/>
        </a:xfrm>
        <a:prstGeom prst="wedgeRoundRectCallout">
          <a:avLst>
            <a:gd name="adj1" fmla="val 7826"/>
            <a:gd name="adj2" fmla="val 11397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②バックアップ</a:t>
          </a:r>
        </a:p>
      </xdr:txBody>
    </xdr:sp>
    <xdr:clientData/>
  </xdr:twoCellAnchor>
  <xdr:twoCellAnchor>
    <xdr:from>
      <xdr:col>15</xdr:col>
      <xdr:colOff>44821</xdr:colOff>
      <xdr:row>121</xdr:row>
      <xdr:rowOff>134466</xdr:rowOff>
    </xdr:from>
    <xdr:to>
      <xdr:col>20</xdr:col>
      <xdr:colOff>70217</xdr:colOff>
      <xdr:row>123</xdr:row>
      <xdr:rowOff>79903</xdr:rowOff>
    </xdr:to>
    <xdr:sp macro="" textlink="">
      <xdr:nvSpPr>
        <xdr:cNvPr id="64" name="角丸四角形吹き出し 63">
          <a:extLst>
            <a:ext uri="{FF2B5EF4-FFF2-40B4-BE49-F238E27FC236}">
              <a16:creationId xmlns:a16="http://schemas.microsoft.com/office/drawing/2014/main" id="{00000000-0008-0000-0900-000040000000}"/>
            </a:ext>
          </a:extLst>
        </xdr:cNvPr>
        <xdr:cNvSpPr/>
      </xdr:nvSpPr>
      <xdr:spPr>
        <a:xfrm>
          <a:off x="1893792" y="25571819"/>
          <a:ext cx="641719" cy="259202"/>
        </a:xfrm>
        <a:prstGeom prst="wedgeRoundRectCallout">
          <a:avLst>
            <a:gd name="adj1" fmla="val 81492"/>
            <a:gd name="adj2" fmla="val 3219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①抽出</a:t>
          </a:r>
        </a:p>
      </xdr:txBody>
    </xdr:sp>
    <xdr:clientData/>
  </xdr:twoCellAnchor>
  <xdr:twoCellAnchor>
    <xdr:from>
      <xdr:col>5</xdr:col>
      <xdr:colOff>-1</xdr:colOff>
      <xdr:row>157</xdr:row>
      <xdr:rowOff>143595</xdr:rowOff>
    </xdr:from>
    <xdr:to>
      <xdr:col>54</xdr:col>
      <xdr:colOff>100852</xdr:colOff>
      <xdr:row>180</xdr:row>
      <xdr:rowOff>67236</xdr:rowOff>
    </xdr:to>
    <xdr:sp macro="" textlink="">
      <xdr:nvSpPr>
        <xdr:cNvPr id="65" name="正方形/長方形 64">
          <a:extLst>
            <a:ext uri="{FF2B5EF4-FFF2-40B4-BE49-F238E27FC236}">
              <a16:creationId xmlns:a16="http://schemas.microsoft.com/office/drawing/2014/main" id="{00000000-0008-0000-0900-000041000000}"/>
            </a:ext>
          </a:extLst>
        </xdr:cNvPr>
        <xdr:cNvSpPr/>
      </xdr:nvSpPr>
      <xdr:spPr>
        <a:xfrm>
          <a:off x="619124" y="26032545"/>
          <a:ext cx="6168278" cy="3866991"/>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対象サーバ</a:t>
          </a:r>
        </a:p>
      </xdr:txBody>
    </xdr:sp>
    <xdr:clientData/>
  </xdr:twoCellAnchor>
  <xdr:twoCellAnchor>
    <xdr:from>
      <xdr:col>62</xdr:col>
      <xdr:colOff>3</xdr:colOff>
      <xdr:row>160</xdr:row>
      <xdr:rowOff>11207</xdr:rowOff>
    </xdr:from>
    <xdr:to>
      <xdr:col>75</xdr:col>
      <xdr:colOff>56031</xdr:colOff>
      <xdr:row>162</xdr:row>
      <xdr:rowOff>53792</xdr:rowOff>
    </xdr:to>
    <xdr:sp macro="" textlink="">
      <xdr:nvSpPr>
        <xdr:cNvPr id="66" name="角丸四角形 65">
          <a:extLst>
            <a:ext uri="{FF2B5EF4-FFF2-40B4-BE49-F238E27FC236}">
              <a16:creationId xmlns:a16="http://schemas.microsoft.com/office/drawing/2014/main" id="{00000000-0008-0000-0900-000042000000}"/>
            </a:ext>
          </a:extLst>
        </xdr:cNvPr>
        <xdr:cNvSpPr>
          <a:spLocks noChangeArrowheads="1"/>
        </xdr:cNvSpPr>
      </xdr:nvSpPr>
      <xdr:spPr bwMode="auto">
        <a:xfrm>
          <a:off x="7677153" y="26414507"/>
          <a:ext cx="1665753"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38</xdr:col>
      <xdr:colOff>100850</xdr:colOff>
      <xdr:row>160</xdr:row>
      <xdr:rowOff>11206</xdr:rowOff>
    </xdr:from>
    <xdr:to>
      <xdr:col>52</xdr:col>
      <xdr:colOff>33613</xdr:colOff>
      <xdr:row>162</xdr:row>
      <xdr:rowOff>53791</xdr:rowOff>
    </xdr:to>
    <xdr:sp macro="" textlink="">
      <xdr:nvSpPr>
        <xdr:cNvPr id="67" name="角丸四角形 66">
          <a:extLst>
            <a:ext uri="{FF2B5EF4-FFF2-40B4-BE49-F238E27FC236}">
              <a16:creationId xmlns:a16="http://schemas.microsoft.com/office/drawing/2014/main" id="{00000000-0008-0000-0900-000043000000}"/>
            </a:ext>
          </a:extLst>
        </xdr:cNvPr>
        <xdr:cNvSpPr>
          <a:spLocks noChangeArrowheads="1"/>
        </xdr:cNvSpPr>
      </xdr:nvSpPr>
      <xdr:spPr bwMode="auto">
        <a:xfrm>
          <a:off x="4806200" y="26414506"/>
          <a:ext cx="1666313"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a:p>
          <a:pPr>
            <a:buFontTx/>
            <a:buNone/>
            <a:tabLst>
              <a:tab pos="622300" algn="l"/>
            </a:tabLst>
          </a:pPr>
          <a:r>
            <a:rPr lang="en-US" altLang="ja-JP" sz="900" b="0">
              <a:solidFill>
                <a:sysClr val="windowText" lastClr="000000"/>
              </a:solidFill>
              <a:latin typeface="+mn-ea"/>
              <a:ea typeface="+mn-ea"/>
            </a:rPr>
            <a:t>Virtual Machines Agent</a:t>
          </a:r>
        </a:p>
      </xdr:txBody>
    </xdr:sp>
    <xdr:clientData/>
  </xdr:twoCellAnchor>
  <xdr:twoCellAnchor>
    <xdr:from>
      <xdr:col>7</xdr:col>
      <xdr:colOff>71543</xdr:colOff>
      <xdr:row>167</xdr:row>
      <xdr:rowOff>29132</xdr:rowOff>
    </xdr:from>
    <xdr:to>
      <xdr:col>20</xdr:col>
      <xdr:colOff>80679</xdr:colOff>
      <xdr:row>173</xdr:row>
      <xdr:rowOff>136714</xdr:rowOff>
    </xdr:to>
    <xdr:sp macro="" textlink="">
      <xdr:nvSpPr>
        <xdr:cNvPr id="68" name="角丸四角形 67">
          <a:extLst>
            <a:ext uri="{FF2B5EF4-FFF2-40B4-BE49-F238E27FC236}">
              <a16:creationId xmlns:a16="http://schemas.microsoft.com/office/drawing/2014/main" id="{00000000-0008-0000-0900-000044000000}"/>
            </a:ext>
          </a:extLst>
        </xdr:cNvPr>
        <xdr:cNvSpPr/>
      </xdr:nvSpPr>
      <xdr:spPr>
        <a:xfrm>
          <a:off x="938318" y="27632582"/>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ja-JP" altLang="en-US" sz="900">
              <a:solidFill>
                <a:schemeClr val="tx1"/>
              </a:solidFill>
              <a:latin typeface="+mn-ea"/>
              <a:ea typeface="+mn-ea"/>
            </a:rPr>
            <a:t>業務データディレクトリ</a:t>
          </a:r>
        </a:p>
      </xdr:txBody>
    </xdr:sp>
    <xdr:clientData/>
  </xdr:twoCellAnchor>
  <xdr:twoCellAnchor>
    <xdr:from>
      <xdr:col>9</xdr:col>
      <xdr:colOff>66926</xdr:colOff>
      <xdr:row>168</xdr:row>
      <xdr:rowOff>41202</xdr:rowOff>
    </xdr:from>
    <xdr:to>
      <xdr:col>18</xdr:col>
      <xdr:colOff>102890</xdr:colOff>
      <xdr:row>172</xdr:row>
      <xdr:rowOff>2479</xdr:rowOff>
    </xdr:to>
    <xdr:grpSp>
      <xdr:nvGrpSpPr>
        <xdr:cNvPr id="69" name="グループ化 68">
          <a:extLst>
            <a:ext uri="{FF2B5EF4-FFF2-40B4-BE49-F238E27FC236}">
              <a16:creationId xmlns:a16="http://schemas.microsoft.com/office/drawing/2014/main" id="{00000000-0008-0000-0900-000045000000}"/>
            </a:ext>
          </a:extLst>
        </xdr:cNvPr>
        <xdr:cNvGrpSpPr/>
      </xdr:nvGrpSpPr>
      <xdr:grpSpPr>
        <a:xfrm>
          <a:off x="1176308" y="26262967"/>
          <a:ext cx="1145347" cy="588806"/>
          <a:chOff x="3208735" y="5470923"/>
          <a:chExt cx="1148952" cy="541734"/>
        </a:xfrm>
        <a:solidFill>
          <a:schemeClr val="bg1"/>
        </a:solidFill>
      </xdr:grpSpPr>
      <xdr:sp macro="" textlink="">
        <xdr:nvSpPr>
          <xdr:cNvPr id="70" name="フローチャート: 書類 69">
            <a:extLst>
              <a:ext uri="{FF2B5EF4-FFF2-40B4-BE49-F238E27FC236}">
                <a16:creationId xmlns:a16="http://schemas.microsoft.com/office/drawing/2014/main" id="{00000000-0008-0000-0900-000046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1" name="フローチャート: 書類 70">
            <a:extLst>
              <a:ext uri="{FF2B5EF4-FFF2-40B4-BE49-F238E27FC236}">
                <a16:creationId xmlns:a16="http://schemas.microsoft.com/office/drawing/2014/main" id="{00000000-0008-0000-0900-000047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2" name="フローチャート: 書類 71">
            <a:extLst>
              <a:ext uri="{FF2B5EF4-FFF2-40B4-BE49-F238E27FC236}">
                <a16:creationId xmlns:a16="http://schemas.microsoft.com/office/drawing/2014/main" id="{00000000-0008-0000-0900-000048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23</xdr:col>
      <xdr:colOff>44650</xdr:colOff>
      <xdr:row>167</xdr:row>
      <xdr:rowOff>47061</xdr:rowOff>
    </xdr:from>
    <xdr:to>
      <xdr:col>36</xdr:col>
      <xdr:colOff>53786</xdr:colOff>
      <xdr:row>173</xdr:row>
      <xdr:rowOff>154643</xdr:rowOff>
    </xdr:to>
    <xdr:sp macro="" textlink="">
      <xdr:nvSpPr>
        <xdr:cNvPr id="73" name="角丸四角形 72">
          <a:extLst>
            <a:ext uri="{FF2B5EF4-FFF2-40B4-BE49-F238E27FC236}">
              <a16:creationId xmlns:a16="http://schemas.microsoft.com/office/drawing/2014/main" id="{00000000-0008-0000-0900-000049000000}"/>
            </a:ext>
          </a:extLst>
        </xdr:cNvPr>
        <xdr:cNvSpPr/>
      </xdr:nvSpPr>
      <xdr:spPr>
        <a:xfrm>
          <a:off x="2892625" y="27650511"/>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Work</a:t>
          </a:r>
          <a:r>
            <a:rPr kumimoji="1" lang="ja-JP" altLang="en-US" sz="900">
              <a:solidFill>
                <a:schemeClr val="tx1"/>
              </a:solidFill>
              <a:latin typeface="+mn-ea"/>
              <a:ea typeface="+mn-ea"/>
            </a:rPr>
            <a:t>ディレクトリ</a:t>
          </a:r>
        </a:p>
      </xdr:txBody>
    </xdr:sp>
    <xdr:clientData/>
  </xdr:twoCellAnchor>
  <xdr:twoCellAnchor>
    <xdr:from>
      <xdr:col>25</xdr:col>
      <xdr:colOff>40032</xdr:colOff>
      <xdr:row>168</xdr:row>
      <xdr:rowOff>59131</xdr:rowOff>
    </xdr:from>
    <xdr:to>
      <xdr:col>34</xdr:col>
      <xdr:colOff>75997</xdr:colOff>
      <xdr:row>172</xdr:row>
      <xdr:rowOff>15925</xdr:rowOff>
    </xdr:to>
    <xdr:grpSp>
      <xdr:nvGrpSpPr>
        <xdr:cNvPr id="74" name="グループ化 73">
          <a:extLst>
            <a:ext uri="{FF2B5EF4-FFF2-40B4-BE49-F238E27FC236}">
              <a16:creationId xmlns:a16="http://schemas.microsoft.com/office/drawing/2014/main" id="{00000000-0008-0000-0900-00004A000000}"/>
            </a:ext>
          </a:extLst>
        </xdr:cNvPr>
        <xdr:cNvGrpSpPr/>
      </xdr:nvGrpSpPr>
      <xdr:grpSpPr>
        <a:xfrm>
          <a:off x="3121650" y="26280896"/>
          <a:ext cx="1145347" cy="584323"/>
          <a:chOff x="3208735" y="5470923"/>
          <a:chExt cx="1148952" cy="541734"/>
        </a:xfrm>
        <a:solidFill>
          <a:schemeClr val="bg1"/>
        </a:solidFill>
      </xdr:grpSpPr>
      <xdr:sp macro="" textlink="">
        <xdr:nvSpPr>
          <xdr:cNvPr id="75" name="フローチャート: 書類 74">
            <a:extLst>
              <a:ext uri="{FF2B5EF4-FFF2-40B4-BE49-F238E27FC236}">
                <a16:creationId xmlns:a16="http://schemas.microsoft.com/office/drawing/2014/main" id="{00000000-0008-0000-0900-00004B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6" name="フローチャート: 書類 75">
            <a:extLst>
              <a:ext uri="{FF2B5EF4-FFF2-40B4-BE49-F238E27FC236}">
                <a16:creationId xmlns:a16="http://schemas.microsoft.com/office/drawing/2014/main" id="{00000000-0008-0000-0900-00004C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7" name="フローチャート: 書類 76">
            <a:extLst>
              <a:ext uri="{FF2B5EF4-FFF2-40B4-BE49-F238E27FC236}">
                <a16:creationId xmlns:a16="http://schemas.microsoft.com/office/drawing/2014/main" id="{00000000-0008-0000-0900-00004D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39</xdr:col>
      <xdr:colOff>28963</xdr:colOff>
      <xdr:row>167</xdr:row>
      <xdr:rowOff>42579</xdr:rowOff>
    </xdr:from>
    <xdr:to>
      <xdr:col>52</xdr:col>
      <xdr:colOff>38099</xdr:colOff>
      <xdr:row>173</xdr:row>
      <xdr:rowOff>150161</xdr:rowOff>
    </xdr:to>
    <xdr:sp macro="" textlink="">
      <xdr:nvSpPr>
        <xdr:cNvPr id="78" name="角丸四角形 77">
          <a:extLst>
            <a:ext uri="{FF2B5EF4-FFF2-40B4-BE49-F238E27FC236}">
              <a16:creationId xmlns:a16="http://schemas.microsoft.com/office/drawing/2014/main" id="{00000000-0008-0000-0900-00004E000000}"/>
            </a:ext>
          </a:extLst>
        </xdr:cNvPr>
        <xdr:cNvSpPr/>
      </xdr:nvSpPr>
      <xdr:spPr>
        <a:xfrm>
          <a:off x="4858138" y="27646029"/>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41</xdr:col>
      <xdr:colOff>24346</xdr:colOff>
      <xdr:row>168</xdr:row>
      <xdr:rowOff>54649</xdr:rowOff>
    </xdr:from>
    <xdr:to>
      <xdr:col>50</xdr:col>
      <xdr:colOff>60311</xdr:colOff>
      <xdr:row>172</xdr:row>
      <xdr:rowOff>11443</xdr:rowOff>
    </xdr:to>
    <xdr:grpSp>
      <xdr:nvGrpSpPr>
        <xdr:cNvPr id="79" name="グループ化 78">
          <a:extLst>
            <a:ext uri="{FF2B5EF4-FFF2-40B4-BE49-F238E27FC236}">
              <a16:creationId xmlns:a16="http://schemas.microsoft.com/office/drawing/2014/main" id="{00000000-0008-0000-0900-00004F000000}"/>
            </a:ext>
          </a:extLst>
        </xdr:cNvPr>
        <xdr:cNvGrpSpPr/>
      </xdr:nvGrpSpPr>
      <xdr:grpSpPr>
        <a:xfrm>
          <a:off x="5078199" y="26276414"/>
          <a:ext cx="1145347" cy="584323"/>
          <a:chOff x="3208735" y="5470923"/>
          <a:chExt cx="1148952" cy="541734"/>
        </a:xfrm>
        <a:solidFill>
          <a:schemeClr val="bg1"/>
        </a:solidFill>
      </xdr:grpSpPr>
      <xdr:sp macro="" textlink="">
        <xdr:nvSpPr>
          <xdr:cNvPr id="80" name="フローチャート: 書類 79">
            <a:extLst>
              <a:ext uri="{FF2B5EF4-FFF2-40B4-BE49-F238E27FC236}">
                <a16:creationId xmlns:a16="http://schemas.microsoft.com/office/drawing/2014/main" id="{00000000-0008-0000-0900-000050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1" name="フローチャート: 書類 80">
            <a:extLst>
              <a:ext uri="{FF2B5EF4-FFF2-40B4-BE49-F238E27FC236}">
                <a16:creationId xmlns:a16="http://schemas.microsoft.com/office/drawing/2014/main" id="{00000000-0008-0000-0900-000051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2" name="フローチャート: 書類 81">
            <a:extLst>
              <a:ext uri="{FF2B5EF4-FFF2-40B4-BE49-F238E27FC236}">
                <a16:creationId xmlns:a16="http://schemas.microsoft.com/office/drawing/2014/main" id="{00000000-0008-0000-0900-000052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62</xdr:col>
      <xdr:colOff>24482</xdr:colOff>
      <xdr:row>167</xdr:row>
      <xdr:rowOff>38097</xdr:rowOff>
    </xdr:from>
    <xdr:to>
      <xdr:col>75</xdr:col>
      <xdr:colOff>33618</xdr:colOff>
      <xdr:row>173</xdr:row>
      <xdr:rowOff>145679</xdr:rowOff>
    </xdr:to>
    <xdr:sp macro="" textlink="">
      <xdr:nvSpPr>
        <xdr:cNvPr id="83" name="角丸四角形 82">
          <a:extLst>
            <a:ext uri="{FF2B5EF4-FFF2-40B4-BE49-F238E27FC236}">
              <a16:creationId xmlns:a16="http://schemas.microsoft.com/office/drawing/2014/main" id="{00000000-0008-0000-0900-000053000000}"/>
            </a:ext>
          </a:extLst>
        </xdr:cNvPr>
        <xdr:cNvSpPr/>
      </xdr:nvSpPr>
      <xdr:spPr>
        <a:xfrm>
          <a:off x="7701632" y="27641547"/>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64</xdr:col>
      <xdr:colOff>19865</xdr:colOff>
      <xdr:row>168</xdr:row>
      <xdr:rowOff>50167</xdr:rowOff>
    </xdr:from>
    <xdr:to>
      <xdr:col>73</xdr:col>
      <xdr:colOff>55829</xdr:colOff>
      <xdr:row>172</xdr:row>
      <xdr:rowOff>6961</xdr:rowOff>
    </xdr:to>
    <xdr:grpSp>
      <xdr:nvGrpSpPr>
        <xdr:cNvPr id="84" name="グループ化 83">
          <a:extLst>
            <a:ext uri="{FF2B5EF4-FFF2-40B4-BE49-F238E27FC236}">
              <a16:creationId xmlns:a16="http://schemas.microsoft.com/office/drawing/2014/main" id="{00000000-0008-0000-0900-000054000000}"/>
            </a:ext>
          </a:extLst>
        </xdr:cNvPr>
        <xdr:cNvGrpSpPr/>
      </xdr:nvGrpSpPr>
      <xdr:grpSpPr>
        <a:xfrm>
          <a:off x="7908806" y="26271932"/>
          <a:ext cx="1145347" cy="584323"/>
          <a:chOff x="3208735" y="5470923"/>
          <a:chExt cx="1148952" cy="541734"/>
        </a:xfrm>
        <a:solidFill>
          <a:schemeClr val="bg1"/>
        </a:solidFill>
      </xdr:grpSpPr>
      <xdr:sp macro="" textlink="">
        <xdr:nvSpPr>
          <xdr:cNvPr id="85" name="フローチャート: 書類 84">
            <a:extLst>
              <a:ext uri="{FF2B5EF4-FFF2-40B4-BE49-F238E27FC236}">
                <a16:creationId xmlns:a16="http://schemas.microsoft.com/office/drawing/2014/main" id="{00000000-0008-0000-0900-000055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6" name="フローチャート: 書類 85">
            <a:extLst>
              <a:ext uri="{FF2B5EF4-FFF2-40B4-BE49-F238E27FC236}">
                <a16:creationId xmlns:a16="http://schemas.microsoft.com/office/drawing/2014/main" id="{00000000-0008-0000-0900-000056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7" name="フローチャート: 書類 86">
            <a:extLst>
              <a:ext uri="{FF2B5EF4-FFF2-40B4-BE49-F238E27FC236}">
                <a16:creationId xmlns:a16="http://schemas.microsoft.com/office/drawing/2014/main" id="{00000000-0008-0000-0900-000057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16</xdr:col>
      <xdr:colOff>44824</xdr:colOff>
      <xdr:row>160</xdr:row>
      <xdr:rowOff>13445</xdr:rowOff>
    </xdr:from>
    <xdr:to>
      <xdr:col>25</xdr:col>
      <xdr:colOff>24658</xdr:colOff>
      <xdr:row>162</xdr:row>
      <xdr:rowOff>56030</xdr:rowOff>
    </xdr:to>
    <xdr:sp macro="" textlink="">
      <xdr:nvSpPr>
        <xdr:cNvPr id="88" name="角丸四角形 87">
          <a:extLst>
            <a:ext uri="{FF2B5EF4-FFF2-40B4-BE49-F238E27FC236}">
              <a16:creationId xmlns:a16="http://schemas.microsoft.com/office/drawing/2014/main" id="{00000000-0008-0000-0900-000058000000}"/>
            </a:ext>
          </a:extLst>
        </xdr:cNvPr>
        <xdr:cNvSpPr>
          <a:spLocks noChangeArrowheads="1"/>
        </xdr:cNvSpPr>
      </xdr:nvSpPr>
      <xdr:spPr bwMode="auto">
        <a:xfrm>
          <a:off x="2026024" y="26416745"/>
          <a:ext cx="1094259"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データ収集機能</a:t>
          </a:r>
          <a:endParaRPr lang="en-US" altLang="ja-JP" sz="900" b="0">
            <a:solidFill>
              <a:sysClr val="windowText" lastClr="000000"/>
            </a:solidFill>
            <a:latin typeface="+mn-ea"/>
            <a:ea typeface="+mn-ea"/>
          </a:endParaRPr>
        </a:p>
      </xdr:txBody>
    </xdr:sp>
    <xdr:clientData/>
  </xdr:twoCellAnchor>
  <xdr:twoCellAnchor>
    <xdr:from>
      <xdr:col>15</xdr:col>
      <xdr:colOff>67228</xdr:colOff>
      <xdr:row>176</xdr:row>
      <xdr:rowOff>35858</xdr:rowOff>
    </xdr:from>
    <xdr:to>
      <xdr:col>24</xdr:col>
      <xdr:colOff>47063</xdr:colOff>
      <xdr:row>178</xdr:row>
      <xdr:rowOff>78443</xdr:rowOff>
    </xdr:to>
    <xdr:sp macro="" textlink="">
      <xdr:nvSpPr>
        <xdr:cNvPr id="89" name="角丸四角形 88">
          <a:extLst>
            <a:ext uri="{FF2B5EF4-FFF2-40B4-BE49-F238E27FC236}">
              <a16:creationId xmlns:a16="http://schemas.microsoft.com/office/drawing/2014/main" id="{00000000-0008-0000-0900-000059000000}"/>
            </a:ext>
          </a:extLst>
        </xdr:cNvPr>
        <xdr:cNvSpPr>
          <a:spLocks noChangeArrowheads="1"/>
        </xdr:cNvSpPr>
      </xdr:nvSpPr>
      <xdr:spPr bwMode="auto">
        <a:xfrm>
          <a:off x="1924603" y="29182358"/>
          <a:ext cx="1094260"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データ削除機能</a:t>
          </a:r>
          <a:endParaRPr lang="en-US" altLang="ja-JP" sz="900" b="0">
            <a:solidFill>
              <a:sysClr val="windowText" lastClr="000000"/>
            </a:solidFill>
            <a:latin typeface="+mn-ea"/>
            <a:ea typeface="+mn-ea"/>
          </a:endParaRPr>
        </a:p>
      </xdr:txBody>
    </xdr:sp>
    <xdr:clientData/>
  </xdr:twoCellAnchor>
  <xdr:twoCellAnchor>
    <xdr:from>
      <xdr:col>17</xdr:col>
      <xdr:colOff>22412</xdr:colOff>
      <xdr:row>168</xdr:row>
      <xdr:rowOff>89649</xdr:rowOff>
    </xdr:from>
    <xdr:to>
      <xdr:col>26</xdr:col>
      <xdr:colOff>11209</xdr:colOff>
      <xdr:row>171</xdr:row>
      <xdr:rowOff>120253</xdr:rowOff>
    </xdr:to>
    <xdr:sp macro="" textlink="">
      <xdr:nvSpPr>
        <xdr:cNvPr id="90" name="下矢印 89">
          <a:extLst>
            <a:ext uri="{FF2B5EF4-FFF2-40B4-BE49-F238E27FC236}">
              <a16:creationId xmlns:a16="http://schemas.microsoft.com/office/drawing/2014/main" id="{00000000-0008-0000-0900-00005A000000}"/>
            </a:ext>
          </a:extLst>
        </xdr:cNvPr>
        <xdr:cNvSpPr/>
      </xdr:nvSpPr>
      <xdr:spPr>
        <a:xfrm rot="16200000">
          <a:off x="2406571" y="27585415"/>
          <a:ext cx="544954" cy="1103222"/>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33</xdr:col>
      <xdr:colOff>29136</xdr:colOff>
      <xdr:row>168</xdr:row>
      <xdr:rowOff>85166</xdr:rowOff>
    </xdr:from>
    <xdr:to>
      <xdr:col>42</xdr:col>
      <xdr:colOff>17932</xdr:colOff>
      <xdr:row>171</xdr:row>
      <xdr:rowOff>115770</xdr:rowOff>
    </xdr:to>
    <xdr:sp macro="" textlink="">
      <xdr:nvSpPr>
        <xdr:cNvPr id="91" name="下矢印 90">
          <a:extLst>
            <a:ext uri="{FF2B5EF4-FFF2-40B4-BE49-F238E27FC236}">
              <a16:creationId xmlns:a16="http://schemas.microsoft.com/office/drawing/2014/main" id="{00000000-0008-0000-0900-00005B000000}"/>
            </a:ext>
          </a:extLst>
        </xdr:cNvPr>
        <xdr:cNvSpPr/>
      </xdr:nvSpPr>
      <xdr:spPr>
        <a:xfrm rot="16200000">
          <a:off x="4394495" y="27580932"/>
          <a:ext cx="544954" cy="1103221"/>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20</xdr:col>
      <xdr:colOff>96374</xdr:colOff>
      <xdr:row>162</xdr:row>
      <xdr:rowOff>56030</xdr:rowOff>
    </xdr:from>
    <xdr:to>
      <xdr:col>21</xdr:col>
      <xdr:colOff>56029</xdr:colOff>
      <xdr:row>169</xdr:row>
      <xdr:rowOff>100851</xdr:rowOff>
    </xdr:to>
    <xdr:cxnSp macro="">
      <xdr:nvCxnSpPr>
        <xdr:cNvPr id="92" name="直線コネクタ 91">
          <a:extLst>
            <a:ext uri="{FF2B5EF4-FFF2-40B4-BE49-F238E27FC236}">
              <a16:creationId xmlns:a16="http://schemas.microsoft.com/office/drawing/2014/main" id="{00000000-0008-0000-0900-00005C000000}"/>
            </a:ext>
          </a:extLst>
        </xdr:cNvPr>
        <xdr:cNvCxnSpPr>
          <a:stCxn id="88" idx="2"/>
        </xdr:cNvCxnSpPr>
      </xdr:nvCxnSpPr>
      <xdr:spPr>
        <a:xfrm>
          <a:off x="2572874" y="26802230"/>
          <a:ext cx="83480" cy="1244971"/>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162</xdr:row>
      <xdr:rowOff>56030</xdr:rowOff>
    </xdr:from>
    <xdr:to>
      <xdr:col>29</xdr:col>
      <xdr:colOff>122615</xdr:colOff>
      <xdr:row>168</xdr:row>
      <xdr:rowOff>104079</xdr:rowOff>
    </xdr:to>
    <xdr:cxnSp macro="">
      <xdr:nvCxnSpPr>
        <xdr:cNvPr id="93" name="直線コネクタ 92">
          <a:extLst>
            <a:ext uri="{FF2B5EF4-FFF2-40B4-BE49-F238E27FC236}">
              <a16:creationId xmlns:a16="http://schemas.microsoft.com/office/drawing/2014/main" id="{00000000-0008-0000-0900-00005D000000}"/>
            </a:ext>
          </a:extLst>
        </xdr:cNvPr>
        <xdr:cNvCxnSpPr>
          <a:stCxn id="88" idx="2"/>
          <a:endCxn id="76" idx="0"/>
        </xdr:cNvCxnSpPr>
      </xdr:nvCxnSpPr>
      <xdr:spPr>
        <a:xfrm>
          <a:off x="2572874" y="26802230"/>
          <a:ext cx="1140666" cy="1076749"/>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162</xdr:row>
      <xdr:rowOff>56030</xdr:rowOff>
    </xdr:from>
    <xdr:to>
      <xdr:col>37</xdr:col>
      <xdr:colOff>112059</xdr:colOff>
      <xdr:row>169</xdr:row>
      <xdr:rowOff>123263</xdr:rowOff>
    </xdr:to>
    <xdr:cxnSp macro="">
      <xdr:nvCxnSpPr>
        <xdr:cNvPr id="94" name="直線コネクタ 93">
          <a:extLst>
            <a:ext uri="{FF2B5EF4-FFF2-40B4-BE49-F238E27FC236}">
              <a16:creationId xmlns:a16="http://schemas.microsoft.com/office/drawing/2014/main" id="{00000000-0008-0000-0900-00005E000000}"/>
            </a:ext>
          </a:extLst>
        </xdr:cNvPr>
        <xdr:cNvCxnSpPr>
          <a:stCxn id="88" idx="2"/>
        </xdr:cNvCxnSpPr>
      </xdr:nvCxnSpPr>
      <xdr:spPr>
        <a:xfrm>
          <a:off x="2572874" y="26802230"/>
          <a:ext cx="2120710" cy="1267383"/>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118779</xdr:colOff>
      <xdr:row>171</xdr:row>
      <xdr:rowOff>145676</xdr:rowOff>
    </xdr:from>
    <xdr:to>
      <xdr:col>41</xdr:col>
      <xdr:colOff>67237</xdr:colOff>
      <xdr:row>176</xdr:row>
      <xdr:rowOff>35858</xdr:rowOff>
    </xdr:to>
    <xdr:cxnSp macro="">
      <xdr:nvCxnSpPr>
        <xdr:cNvPr id="95" name="直線コネクタ 94">
          <a:extLst>
            <a:ext uri="{FF2B5EF4-FFF2-40B4-BE49-F238E27FC236}">
              <a16:creationId xmlns:a16="http://schemas.microsoft.com/office/drawing/2014/main" id="{00000000-0008-0000-0900-00005F000000}"/>
            </a:ext>
          </a:extLst>
        </xdr:cNvPr>
        <xdr:cNvCxnSpPr>
          <a:endCxn id="89" idx="0"/>
        </xdr:cNvCxnSpPr>
      </xdr:nvCxnSpPr>
      <xdr:spPr>
        <a:xfrm flipH="1">
          <a:off x="2471454" y="28434926"/>
          <a:ext cx="2672608" cy="747432"/>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159</xdr:row>
      <xdr:rowOff>100853</xdr:rowOff>
    </xdr:from>
    <xdr:to>
      <xdr:col>69</xdr:col>
      <xdr:colOff>1</xdr:colOff>
      <xdr:row>178</xdr:row>
      <xdr:rowOff>145676</xdr:rowOff>
    </xdr:to>
    <xdr:sp macro="" textlink="">
      <xdr:nvSpPr>
        <xdr:cNvPr id="96" name="環状矢印 95">
          <a:extLst>
            <a:ext uri="{FF2B5EF4-FFF2-40B4-BE49-F238E27FC236}">
              <a16:creationId xmlns:a16="http://schemas.microsoft.com/office/drawing/2014/main" id="{00000000-0008-0000-0900-000060000000}"/>
            </a:ext>
          </a:extLst>
        </xdr:cNvPr>
        <xdr:cNvSpPr/>
      </xdr:nvSpPr>
      <xdr:spPr>
        <a:xfrm>
          <a:off x="5695950" y="26332703"/>
          <a:ext cx="2847976" cy="3302373"/>
        </a:xfrm>
        <a:prstGeom prst="circularArrow">
          <a:avLst>
            <a:gd name="adj1" fmla="val 7475"/>
            <a:gd name="adj2" fmla="val 738721"/>
            <a:gd name="adj3" fmla="val 20772325"/>
            <a:gd name="adj4" fmla="val 10737672"/>
            <a:gd name="adj5" fmla="val 9165"/>
          </a:avLst>
        </a:prstGeom>
        <a:solidFill>
          <a:srgbClr val="00B0F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13</xdr:col>
      <xdr:colOff>100852</xdr:colOff>
      <xdr:row>164</xdr:row>
      <xdr:rowOff>100855</xdr:rowOff>
    </xdr:from>
    <xdr:to>
      <xdr:col>19</xdr:col>
      <xdr:colOff>117264</xdr:colOff>
      <xdr:row>166</xdr:row>
      <xdr:rowOff>44826</xdr:rowOff>
    </xdr:to>
    <xdr:sp macro="" textlink="">
      <xdr:nvSpPr>
        <xdr:cNvPr id="97" name="角丸四角形吹き出し 96">
          <a:extLst>
            <a:ext uri="{FF2B5EF4-FFF2-40B4-BE49-F238E27FC236}">
              <a16:creationId xmlns:a16="http://schemas.microsoft.com/office/drawing/2014/main" id="{00000000-0008-0000-0900-000061000000}"/>
            </a:ext>
          </a:extLst>
        </xdr:cNvPr>
        <xdr:cNvSpPr/>
      </xdr:nvSpPr>
      <xdr:spPr>
        <a:xfrm>
          <a:off x="1710577" y="27189955"/>
          <a:ext cx="759362" cy="286871"/>
        </a:xfrm>
        <a:prstGeom prst="wedgeRoundRectCallout">
          <a:avLst>
            <a:gd name="adj1" fmla="val 69634"/>
            <a:gd name="adj2" fmla="val 223501"/>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①コピー</a:t>
          </a:r>
        </a:p>
      </xdr:txBody>
    </xdr:sp>
    <xdr:clientData/>
  </xdr:twoCellAnchor>
  <xdr:twoCellAnchor>
    <xdr:from>
      <xdr:col>33</xdr:col>
      <xdr:colOff>118782</xdr:colOff>
      <xdr:row>164</xdr:row>
      <xdr:rowOff>51550</xdr:rowOff>
    </xdr:from>
    <xdr:to>
      <xdr:col>42</xdr:col>
      <xdr:colOff>17399</xdr:colOff>
      <xdr:row>165</xdr:row>
      <xdr:rowOff>152404</xdr:rowOff>
    </xdr:to>
    <xdr:sp macro="" textlink="">
      <xdr:nvSpPr>
        <xdr:cNvPr id="98" name="角丸四角形吹き出し 97">
          <a:extLst>
            <a:ext uri="{FF2B5EF4-FFF2-40B4-BE49-F238E27FC236}">
              <a16:creationId xmlns:a16="http://schemas.microsoft.com/office/drawing/2014/main" id="{00000000-0008-0000-0900-000062000000}"/>
            </a:ext>
          </a:extLst>
        </xdr:cNvPr>
        <xdr:cNvSpPr/>
      </xdr:nvSpPr>
      <xdr:spPr>
        <a:xfrm>
          <a:off x="4205007" y="27140650"/>
          <a:ext cx="1013042" cy="272304"/>
        </a:xfrm>
        <a:prstGeom prst="wedgeRoundRectCallout">
          <a:avLst>
            <a:gd name="adj1" fmla="val -1733"/>
            <a:gd name="adj2" fmla="val 29306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②圧縮コピー</a:t>
          </a:r>
        </a:p>
      </xdr:txBody>
    </xdr:sp>
    <xdr:clientData/>
  </xdr:twoCellAnchor>
  <xdr:twoCellAnchor>
    <xdr:from>
      <xdr:col>26</xdr:col>
      <xdr:colOff>69478</xdr:colOff>
      <xdr:row>162</xdr:row>
      <xdr:rowOff>58275</xdr:rowOff>
    </xdr:from>
    <xdr:to>
      <xdr:col>32</xdr:col>
      <xdr:colOff>85889</xdr:colOff>
      <xdr:row>164</xdr:row>
      <xdr:rowOff>2246</xdr:rowOff>
    </xdr:to>
    <xdr:sp macro="" textlink="">
      <xdr:nvSpPr>
        <xdr:cNvPr id="99" name="角丸四角形吹き出し 98">
          <a:extLst>
            <a:ext uri="{FF2B5EF4-FFF2-40B4-BE49-F238E27FC236}">
              <a16:creationId xmlns:a16="http://schemas.microsoft.com/office/drawing/2014/main" id="{00000000-0008-0000-0900-000063000000}"/>
            </a:ext>
          </a:extLst>
        </xdr:cNvPr>
        <xdr:cNvSpPr/>
      </xdr:nvSpPr>
      <xdr:spPr>
        <a:xfrm>
          <a:off x="3288928" y="26804475"/>
          <a:ext cx="759361" cy="286871"/>
        </a:xfrm>
        <a:prstGeom prst="wedgeRoundRectCallout">
          <a:avLst>
            <a:gd name="adj1" fmla="val 859"/>
            <a:gd name="adj2" fmla="val 34089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③削除</a:t>
          </a:r>
        </a:p>
      </xdr:txBody>
    </xdr:sp>
    <xdr:clientData/>
  </xdr:twoCellAnchor>
  <xdr:twoCellAnchor>
    <xdr:from>
      <xdr:col>33</xdr:col>
      <xdr:colOff>87408</xdr:colOff>
      <xdr:row>175</xdr:row>
      <xdr:rowOff>76202</xdr:rowOff>
    </xdr:from>
    <xdr:to>
      <xdr:col>39</xdr:col>
      <xdr:colOff>103819</xdr:colOff>
      <xdr:row>177</xdr:row>
      <xdr:rowOff>20174</xdr:rowOff>
    </xdr:to>
    <xdr:sp macro="" textlink="">
      <xdr:nvSpPr>
        <xdr:cNvPr id="100" name="角丸四角形吹き出し 99">
          <a:extLst>
            <a:ext uri="{FF2B5EF4-FFF2-40B4-BE49-F238E27FC236}">
              <a16:creationId xmlns:a16="http://schemas.microsoft.com/office/drawing/2014/main" id="{00000000-0008-0000-0900-000064000000}"/>
            </a:ext>
          </a:extLst>
        </xdr:cNvPr>
        <xdr:cNvSpPr/>
      </xdr:nvSpPr>
      <xdr:spPr>
        <a:xfrm>
          <a:off x="4173633" y="29051252"/>
          <a:ext cx="759361" cy="286872"/>
        </a:xfrm>
        <a:prstGeom prst="wedgeRoundRectCallout">
          <a:avLst>
            <a:gd name="adj1" fmla="val 76455"/>
            <a:gd name="adj2" fmla="val -246063"/>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⑤削除</a:t>
          </a:r>
        </a:p>
      </xdr:txBody>
    </xdr:sp>
    <xdr:clientData/>
  </xdr:twoCellAnchor>
  <xdr:twoCellAnchor>
    <xdr:from>
      <xdr:col>52</xdr:col>
      <xdr:colOff>105336</xdr:colOff>
      <xdr:row>164</xdr:row>
      <xdr:rowOff>60515</xdr:rowOff>
    </xdr:from>
    <xdr:to>
      <xdr:col>61</xdr:col>
      <xdr:colOff>111954</xdr:colOff>
      <xdr:row>166</xdr:row>
      <xdr:rowOff>4486</xdr:rowOff>
    </xdr:to>
    <xdr:sp macro="" textlink="">
      <xdr:nvSpPr>
        <xdr:cNvPr id="101" name="角丸四角形吹き出し 100">
          <a:extLst>
            <a:ext uri="{FF2B5EF4-FFF2-40B4-BE49-F238E27FC236}">
              <a16:creationId xmlns:a16="http://schemas.microsoft.com/office/drawing/2014/main" id="{00000000-0008-0000-0900-000065000000}"/>
            </a:ext>
          </a:extLst>
        </xdr:cNvPr>
        <xdr:cNvSpPr/>
      </xdr:nvSpPr>
      <xdr:spPr>
        <a:xfrm>
          <a:off x="6544236" y="27149615"/>
          <a:ext cx="1121043" cy="286871"/>
        </a:xfrm>
        <a:prstGeom prst="wedgeRoundRectCallout">
          <a:avLst>
            <a:gd name="adj1" fmla="val -70289"/>
            <a:gd name="adj2" fmla="val -5041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④バックアップ</a:t>
          </a:r>
        </a:p>
      </xdr:txBody>
    </xdr:sp>
    <xdr:clientData/>
  </xdr:twoCellAnchor>
  <xdr:twoCellAnchor>
    <xdr:from>
      <xdr:col>47</xdr:col>
      <xdr:colOff>67236</xdr:colOff>
      <xdr:row>21</xdr:row>
      <xdr:rowOff>123267</xdr:rowOff>
    </xdr:from>
    <xdr:to>
      <xdr:col>59</xdr:col>
      <xdr:colOff>63797</xdr:colOff>
      <xdr:row>29</xdr:row>
      <xdr:rowOff>118584</xdr:rowOff>
    </xdr:to>
    <xdr:cxnSp macro="">
      <xdr:nvCxnSpPr>
        <xdr:cNvPr id="146" name="直線矢印コネクタ 145">
          <a:extLst>
            <a:ext uri="{FF2B5EF4-FFF2-40B4-BE49-F238E27FC236}">
              <a16:creationId xmlns:a16="http://schemas.microsoft.com/office/drawing/2014/main" id="{00000000-0008-0000-0900-000092000000}"/>
            </a:ext>
          </a:extLst>
        </xdr:cNvPr>
        <xdr:cNvCxnSpPr>
          <a:stCxn id="144" idx="1"/>
        </xdr:cNvCxnSpPr>
      </xdr:nvCxnSpPr>
      <xdr:spPr>
        <a:xfrm flipH="1" flipV="1">
          <a:off x="5860677" y="3283326"/>
          <a:ext cx="1475738" cy="125037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4384</xdr:colOff>
      <xdr:row>27</xdr:row>
      <xdr:rowOff>64778</xdr:rowOff>
    </xdr:from>
    <xdr:to>
      <xdr:col>58</xdr:col>
      <xdr:colOff>58829</xdr:colOff>
      <xdr:row>30</xdr:row>
      <xdr:rowOff>109813</xdr:rowOff>
    </xdr:to>
    <xdr:sp macro="" textlink="">
      <xdr:nvSpPr>
        <xdr:cNvPr id="151" name="Rectangle 15">
          <a:extLst>
            <a:ext uri="{FF2B5EF4-FFF2-40B4-BE49-F238E27FC236}">
              <a16:creationId xmlns:a16="http://schemas.microsoft.com/office/drawing/2014/main" id="{00000000-0008-0000-0900-000097000000}"/>
            </a:ext>
          </a:extLst>
        </xdr:cNvPr>
        <xdr:cNvSpPr>
          <a:spLocks noChangeArrowheads="1"/>
        </xdr:cNvSpPr>
      </xdr:nvSpPr>
      <xdr:spPr bwMode="auto">
        <a:xfrm>
          <a:off x="6290884" y="4166131"/>
          <a:ext cx="917298" cy="515682"/>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clientData/>
  </xdr:twoCellAnchor>
  <xdr:twoCellAnchor>
    <xdr:from>
      <xdr:col>20</xdr:col>
      <xdr:colOff>118094</xdr:colOff>
      <xdr:row>21</xdr:row>
      <xdr:rowOff>112059</xdr:rowOff>
    </xdr:from>
    <xdr:to>
      <xdr:col>33</xdr:col>
      <xdr:colOff>112059</xdr:colOff>
      <xdr:row>30</xdr:row>
      <xdr:rowOff>10652</xdr:rowOff>
    </xdr:to>
    <xdr:cxnSp macro="">
      <xdr:nvCxnSpPr>
        <xdr:cNvPr id="153" name="直線矢印コネクタ 152">
          <a:extLst>
            <a:ext uri="{FF2B5EF4-FFF2-40B4-BE49-F238E27FC236}">
              <a16:creationId xmlns:a16="http://schemas.microsoft.com/office/drawing/2014/main" id="{00000000-0008-0000-0900-000099000000}"/>
            </a:ext>
          </a:extLst>
        </xdr:cNvPr>
        <xdr:cNvCxnSpPr>
          <a:stCxn id="150" idx="3"/>
        </xdr:cNvCxnSpPr>
      </xdr:nvCxnSpPr>
      <xdr:spPr>
        <a:xfrm flipV="1">
          <a:off x="2583388" y="3272118"/>
          <a:ext cx="1596406" cy="1310534"/>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97952</xdr:colOff>
      <xdr:row>27</xdr:row>
      <xdr:rowOff>73746</xdr:rowOff>
    </xdr:from>
    <xdr:to>
      <xdr:col>31</xdr:col>
      <xdr:colOff>29132</xdr:colOff>
      <xdr:row>30</xdr:row>
      <xdr:rowOff>118781</xdr:rowOff>
    </xdr:to>
    <xdr:sp macro="" textlink="">
      <xdr:nvSpPr>
        <xdr:cNvPr id="156" name="Rectangle 15">
          <a:extLst>
            <a:ext uri="{FF2B5EF4-FFF2-40B4-BE49-F238E27FC236}">
              <a16:creationId xmlns:a16="http://schemas.microsoft.com/office/drawing/2014/main" id="{00000000-0008-0000-0900-00009C000000}"/>
            </a:ext>
          </a:extLst>
        </xdr:cNvPr>
        <xdr:cNvSpPr>
          <a:spLocks noChangeArrowheads="1"/>
        </xdr:cNvSpPr>
      </xdr:nvSpPr>
      <xdr:spPr bwMode="auto">
        <a:xfrm>
          <a:off x="2933040" y="4175099"/>
          <a:ext cx="917298" cy="515682"/>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clientData/>
  </xdr:twoCellAnchor>
  <xdr:twoCellAnchor>
    <xdr:from>
      <xdr:col>34</xdr:col>
      <xdr:colOff>78630</xdr:colOff>
      <xdr:row>22</xdr:row>
      <xdr:rowOff>67238</xdr:rowOff>
    </xdr:from>
    <xdr:to>
      <xdr:col>39</xdr:col>
      <xdr:colOff>66489</xdr:colOff>
      <xdr:row>24</xdr:row>
      <xdr:rowOff>149472</xdr:rowOff>
    </xdr:to>
    <xdr:sp macro="" textlink="">
      <xdr:nvSpPr>
        <xdr:cNvPr id="159" name="Rectangle 15">
          <a:extLst>
            <a:ext uri="{FF2B5EF4-FFF2-40B4-BE49-F238E27FC236}">
              <a16:creationId xmlns:a16="http://schemas.microsoft.com/office/drawing/2014/main" id="{00000000-0008-0000-0900-00009F000000}"/>
            </a:ext>
          </a:extLst>
        </xdr:cNvPr>
        <xdr:cNvSpPr>
          <a:spLocks noChangeArrowheads="1"/>
        </xdr:cNvSpPr>
      </xdr:nvSpPr>
      <xdr:spPr bwMode="auto">
        <a:xfrm>
          <a:off x="4269630" y="3384179"/>
          <a:ext cx="604183" cy="395999"/>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39</xdr:col>
      <xdr:colOff>67234</xdr:colOff>
      <xdr:row>22</xdr:row>
      <xdr:rowOff>67237</xdr:rowOff>
    </xdr:from>
    <xdr:to>
      <xdr:col>46</xdr:col>
      <xdr:colOff>101041</xdr:colOff>
      <xdr:row>24</xdr:row>
      <xdr:rowOff>150908</xdr:rowOff>
    </xdr:to>
    <xdr:sp macro="" textlink="">
      <xdr:nvSpPr>
        <xdr:cNvPr id="160" name="Rectangle 15">
          <a:extLst>
            <a:ext uri="{FF2B5EF4-FFF2-40B4-BE49-F238E27FC236}">
              <a16:creationId xmlns:a16="http://schemas.microsoft.com/office/drawing/2014/main" id="{00000000-0008-0000-0900-0000A0000000}"/>
            </a:ext>
          </a:extLst>
        </xdr:cNvPr>
        <xdr:cNvSpPr>
          <a:spLocks noChangeArrowheads="1"/>
        </xdr:cNvSpPr>
      </xdr:nvSpPr>
      <xdr:spPr bwMode="auto">
        <a:xfrm>
          <a:off x="4874558" y="3384178"/>
          <a:ext cx="896659" cy="397436"/>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42</xdr:col>
      <xdr:colOff>49086</xdr:colOff>
      <xdr:row>29</xdr:row>
      <xdr:rowOff>107576</xdr:rowOff>
    </xdr:from>
    <xdr:to>
      <xdr:col>52</xdr:col>
      <xdr:colOff>22411</xdr:colOff>
      <xdr:row>32</xdr:row>
      <xdr:rowOff>59807</xdr:rowOff>
    </xdr:to>
    <xdr:sp macro="" textlink="">
      <xdr:nvSpPr>
        <xdr:cNvPr id="161" name="円柱 160">
          <a:extLst>
            <a:ext uri="{FF2B5EF4-FFF2-40B4-BE49-F238E27FC236}">
              <a16:creationId xmlns:a16="http://schemas.microsoft.com/office/drawing/2014/main" id="{00000000-0008-0000-0900-0000A1000000}"/>
            </a:ext>
          </a:extLst>
        </xdr:cNvPr>
        <xdr:cNvSpPr/>
      </xdr:nvSpPr>
      <xdr:spPr>
        <a:xfrm>
          <a:off x="5226204" y="4522694"/>
          <a:ext cx="1205972" cy="422878"/>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lientData/>
  </xdr:twoCellAnchor>
  <xdr:twoCellAnchor>
    <xdr:from>
      <xdr:col>36</xdr:col>
      <xdr:colOff>6611</xdr:colOff>
      <xdr:row>24</xdr:row>
      <xdr:rowOff>149472</xdr:rowOff>
    </xdr:from>
    <xdr:to>
      <xdr:col>37</xdr:col>
      <xdr:colOff>10928</xdr:colOff>
      <xdr:row>29</xdr:row>
      <xdr:rowOff>100853</xdr:rowOff>
    </xdr:to>
    <xdr:cxnSp macro="">
      <xdr:nvCxnSpPr>
        <xdr:cNvPr id="147" name="直線コネクタ 146">
          <a:extLst>
            <a:ext uri="{FF2B5EF4-FFF2-40B4-BE49-F238E27FC236}">
              <a16:creationId xmlns:a16="http://schemas.microsoft.com/office/drawing/2014/main" id="{00000000-0008-0000-0900-000093000000}"/>
            </a:ext>
          </a:extLst>
        </xdr:cNvPr>
        <xdr:cNvCxnSpPr>
          <a:stCxn id="159" idx="2"/>
          <a:endCxn id="52" idx="1"/>
        </xdr:cNvCxnSpPr>
      </xdr:nvCxnSpPr>
      <xdr:spPr>
        <a:xfrm flipH="1">
          <a:off x="4444140" y="3780178"/>
          <a:ext cx="127582" cy="73579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22506</xdr:colOff>
      <xdr:row>24</xdr:row>
      <xdr:rowOff>150908</xdr:rowOff>
    </xdr:from>
    <xdr:to>
      <xdr:col>47</xdr:col>
      <xdr:colOff>35749</xdr:colOff>
      <xdr:row>29</xdr:row>
      <xdr:rowOff>107576</xdr:rowOff>
    </xdr:to>
    <xdr:cxnSp macro="">
      <xdr:nvCxnSpPr>
        <xdr:cNvPr id="164" name="直線コネクタ 163">
          <a:extLst>
            <a:ext uri="{FF2B5EF4-FFF2-40B4-BE49-F238E27FC236}">
              <a16:creationId xmlns:a16="http://schemas.microsoft.com/office/drawing/2014/main" id="{00000000-0008-0000-0900-0000A4000000}"/>
            </a:ext>
          </a:extLst>
        </xdr:cNvPr>
        <xdr:cNvCxnSpPr>
          <a:stCxn id="160" idx="2"/>
          <a:endCxn id="161" idx="1"/>
        </xdr:cNvCxnSpPr>
      </xdr:nvCxnSpPr>
      <xdr:spPr>
        <a:xfrm>
          <a:off x="5322888" y="3781614"/>
          <a:ext cx="506302" cy="74108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34662</xdr:colOff>
      <xdr:row>18</xdr:row>
      <xdr:rowOff>12730</xdr:rowOff>
    </xdr:from>
    <xdr:to>
      <xdr:col>21</xdr:col>
      <xdr:colOff>10517</xdr:colOff>
      <xdr:row>22</xdr:row>
      <xdr:rowOff>152001</xdr:rowOff>
    </xdr:to>
    <xdr:grpSp>
      <xdr:nvGrpSpPr>
        <xdr:cNvPr id="148" name="グループ化 147">
          <a:extLst>
            <a:ext uri="{FF2B5EF4-FFF2-40B4-BE49-F238E27FC236}">
              <a16:creationId xmlns:a16="http://schemas.microsoft.com/office/drawing/2014/main" id="{00000000-0008-0000-0900-000094000000}"/>
            </a:ext>
          </a:extLst>
        </xdr:cNvPr>
        <xdr:cNvGrpSpPr/>
      </xdr:nvGrpSpPr>
      <xdr:grpSpPr>
        <a:xfrm>
          <a:off x="897515" y="2702142"/>
          <a:ext cx="1701561" cy="766800"/>
          <a:chOff x="897515" y="2444407"/>
          <a:chExt cx="1701561" cy="766800"/>
        </a:xfrm>
      </xdr:grpSpPr>
      <xdr:sp macro="" textlink="">
        <xdr:nvSpPr>
          <xdr:cNvPr id="47" name="Rectangle 15">
            <a:extLst>
              <a:ext uri="{FF2B5EF4-FFF2-40B4-BE49-F238E27FC236}">
                <a16:creationId xmlns:a16="http://schemas.microsoft.com/office/drawing/2014/main" id="{00000000-0008-0000-0900-00002F000000}"/>
              </a:ext>
            </a:extLst>
          </xdr:cNvPr>
          <xdr:cNvSpPr>
            <a:spLocks noChangeArrowheads="1"/>
          </xdr:cNvSpPr>
        </xdr:nvSpPr>
        <xdr:spPr bwMode="auto">
          <a:xfrm>
            <a:off x="897515" y="244440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EPM/MPP</a:t>
            </a:r>
          </a:p>
        </xdr:txBody>
      </xdr:sp>
      <xdr:sp macro="" textlink="">
        <xdr:nvSpPr>
          <xdr:cNvPr id="48" name="角丸四角形 47">
            <a:extLst>
              <a:ext uri="{FF2B5EF4-FFF2-40B4-BE49-F238E27FC236}">
                <a16:creationId xmlns:a16="http://schemas.microsoft.com/office/drawing/2014/main" id="{00000000-0008-0000-0900-000030000000}"/>
              </a:ext>
            </a:extLst>
          </xdr:cNvPr>
          <xdr:cNvSpPr>
            <a:spLocks noChangeArrowheads="1"/>
          </xdr:cNvSpPr>
        </xdr:nvSpPr>
        <xdr:spPr bwMode="auto">
          <a:xfrm>
            <a:off x="1128242" y="270583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54" name="角丸四角形 153">
            <a:extLst>
              <a:ext uri="{FF2B5EF4-FFF2-40B4-BE49-F238E27FC236}">
                <a16:creationId xmlns:a16="http://schemas.microsoft.com/office/drawing/2014/main" id="{00000000-0008-0000-0900-00009A000000}"/>
              </a:ext>
            </a:extLst>
          </xdr:cNvPr>
          <xdr:cNvSpPr>
            <a:spLocks noChangeArrowheads="1"/>
          </xdr:cNvSpPr>
        </xdr:nvSpPr>
        <xdr:spPr bwMode="auto">
          <a:xfrm>
            <a:off x="1134964" y="294788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7</xdr:col>
      <xdr:colOff>18974</xdr:colOff>
      <xdr:row>27</xdr:row>
      <xdr:rowOff>97899</xdr:rowOff>
    </xdr:from>
    <xdr:to>
      <xdr:col>20</xdr:col>
      <xdr:colOff>118094</xdr:colOff>
      <xdr:row>32</xdr:row>
      <xdr:rowOff>80287</xdr:rowOff>
    </xdr:to>
    <xdr:grpSp>
      <xdr:nvGrpSpPr>
        <xdr:cNvPr id="158" name="グループ化 157">
          <a:extLst>
            <a:ext uri="{FF2B5EF4-FFF2-40B4-BE49-F238E27FC236}">
              <a16:creationId xmlns:a16="http://schemas.microsoft.com/office/drawing/2014/main" id="{00000000-0008-0000-0900-00009E000000}"/>
            </a:ext>
          </a:extLst>
        </xdr:cNvPr>
        <xdr:cNvGrpSpPr/>
      </xdr:nvGrpSpPr>
      <xdr:grpSpPr>
        <a:xfrm>
          <a:off x="881827" y="4199252"/>
          <a:ext cx="1701561" cy="766800"/>
          <a:chOff x="881827" y="3941517"/>
          <a:chExt cx="1701561" cy="766800"/>
        </a:xfrm>
      </xdr:grpSpPr>
      <xdr:sp macro="" textlink="">
        <xdr:nvSpPr>
          <xdr:cNvPr id="150" name="Rectangle 15">
            <a:extLst>
              <a:ext uri="{FF2B5EF4-FFF2-40B4-BE49-F238E27FC236}">
                <a16:creationId xmlns:a16="http://schemas.microsoft.com/office/drawing/2014/main" id="{00000000-0008-0000-0900-000096000000}"/>
              </a:ext>
            </a:extLst>
          </xdr:cNvPr>
          <xdr:cNvSpPr>
            <a:spLocks noChangeArrowheads="1"/>
          </xdr:cNvSpPr>
        </xdr:nvSpPr>
        <xdr:spPr bwMode="auto">
          <a:xfrm>
            <a:off x="881827" y="394151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sp macro="" textlink="">
        <xdr:nvSpPr>
          <xdr:cNvPr id="152" name="角丸四角形 151">
            <a:extLst>
              <a:ext uri="{FF2B5EF4-FFF2-40B4-BE49-F238E27FC236}">
                <a16:creationId xmlns:a16="http://schemas.microsoft.com/office/drawing/2014/main" id="{00000000-0008-0000-0900-000098000000}"/>
              </a:ext>
            </a:extLst>
          </xdr:cNvPr>
          <xdr:cNvSpPr>
            <a:spLocks noChangeArrowheads="1"/>
          </xdr:cNvSpPr>
        </xdr:nvSpPr>
        <xdr:spPr bwMode="auto">
          <a:xfrm>
            <a:off x="1112554" y="420294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55" name="角丸四角形 154">
            <a:extLst>
              <a:ext uri="{FF2B5EF4-FFF2-40B4-BE49-F238E27FC236}">
                <a16:creationId xmlns:a16="http://schemas.microsoft.com/office/drawing/2014/main" id="{00000000-0008-0000-0900-00009B000000}"/>
              </a:ext>
            </a:extLst>
          </xdr:cNvPr>
          <xdr:cNvSpPr>
            <a:spLocks noChangeArrowheads="1"/>
          </xdr:cNvSpPr>
        </xdr:nvSpPr>
        <xdr:spPr bwMode="auto">
          <a:xfrm>
            <a:off x="1119276" y="444499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59</xdr:col>
      <xdr:colOff>57761</xdr:colOff>
      <xdr:row>18</xdr:row>
      <xdr:rowOff>3</xdr:rowOff>
    </xdr:from>
    <xdr:to>
      <xdr:col>73</xdr:col>
      <xdr:colOff>33617</xdr:colOff>
      <xdr:row>24</xdr:row>
      <xdr:rowOff>22410</xdr:rowOff>
    </xdr:to>
    <xdr:grpSp>
      <xdr:nvGrpSpPr>
        <xdr:cNvPr id="53" name="グループ化 52">
          <a:extLst>
            <a:ext uri="{FF2B5EF4-FFF2-40B4-BE49-F238E27FC236}">
              <a16:creationId xmlns:a16="http://schemas.microsoft.com/office/drawing/2014/main" id="{00000000-0008-0000-0900-000035000000}"/>
            </a:ext>
          </a:extLst>
        </xdr:cNvPr>
        <xdr:cNvGrpSpPr/>
      </xdr:nvGrpSpPr>
      <xdr:grpSpPr>
        <a:xfrm>
          <a:off x="7330379" y="2689415"/>
          <a:ext cx="1701562" cy="963701"/>
          <a:chOff x="7330379" y="2431680"/>
          <a:chExt cx="1701562" cy="963701"/>
        </a:xfrm>
      </xdr:grpSpPr>
      <xdr:sp macro="" textlink="">
        <xdr:nvSpPr>
          <xdr:cNvPr id="55" name="Rectangle 15">
            <a:extLst>
              <a:ext uri="{FF2B5EF4-FFF2-40B4-BE49-F238E27FC236}">
                <a16:creationId xmlns:a16="http://schemas.microsoft.com/office/drawing/2014/main" id="{00000000-0008-0000-0900-000037000000}"/>
              </a:ext>
            </a:extLst>
          </xdr:cNvPr>
          <xdr:cNvSpPr>
            <a:spLocks noChangeArrowheads="1"/>
          </xdr:cNvSpPr>
        </xdr:nvSpPr>
        <xdr:spPr bwMode="auto">
          <a:xfrm>
            <a:off x="7330379" y="2431680"/>
            <a:ext cx="1701562" cy="963701"/>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DB</a:t>
            </a:r>
          </a:p>
        </xdr:txBody>
      </xdr:sp>
      <xdr:sp macro="" textlink="">
        <xdr:nvSpPr>
          <xdr:cNvPr id="56" name="角丸四角形 55">
            <a:extLst>
              <a:ext uri="{FF2B5EF4-FFF2-40B4-BE49-F238E27FC236}">
                <a16:creationId xmlns:a16="http://schemas.microsoft.com/office/drawing/2014/main" id="{00000000-0008-0000-0900-000038000000}"/>
              </a:ext>
            </a:extLst>
          </xdr:cNvPr>
          <xdr:cNvSpPr>
            <a:spLocks noChangeArrowheads="1"/>
          </xdr:cNvSpPr>
        </xdr:nvSpPr>
        <xdr:spPr bwMode="auto">
          <a:xfrm>
            <a:off x="7561105" y="3124043"/>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sp macro="" textlink="">
        <xdr:nvSpPr>
          <xdr:cNvPr id="57" name="角丸四角形 56">
            <a:extLst>
              <a:ext uri="{FF2B5EF4-FFF2-40B4-BE49-F238E27FC236}">
                <a16:creationId xmlns:a16="http://schemas.microsoft.com/office/drawing/2014/main" id="{00000000-0008-0000-0900-000039000000}"/>
              </a:ext>
            </a:extLst>
          </xdr:cNvPr>
          <xdr:cNvSpPr>
            <a:spLocks noChangeArrowheads="1"/>
          </xdr:cNvSpPr>
        </xdr:nvSpPr>
        <xdr:spPr bwMode="auto">
          <a:xfrm>
            <a:off x="7556043" y="2884237"/>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sp macro="" textlink="">
        <xdr:nvSpPr>
          <xdr:cNvPr id="157" name="角丸四角形 156">
            <a:extLst>
              <a:ext uri="{FF2B5EF4-FFF2-40B4-BE49-F238E27FC236}">
                <a16:creationId xmlns:a16="http://schemas.microsoft.com/office/drawing/2014/main" id="{00000000-0008-0000-0900-00009D000000}"/>
              </a:ext>
            </a:extLst>
          </xdr:cNvPr>
          <xdr:cNvSpPr>
            <a:spLocks noChangeArrowheads="1"/>
          </xdr:cNvSpPr>
        </xdr:nvSpPr>
        <xdr:spPr bwMode="auto">
          <a:xfrm>
            <a:off x="7555936" y="2645321"/>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grpSp>
    <xdr:clientData/>
  </xdr:twoCellAnchor>
  <xdr:twoCellAnchor>
    <xdr:from>
      <xdr:col>59</xdr:col>
      <xdr:colOff>63797</xdr:colOff>
      <xdr:row>26</xdr:row>
      <xdr:rowOff>112058</xdr:rowOff>
    </xdr:from>
    <xdr:to>
      <xdr:col>73</xdr:col>
      <xdr:colOff>39652</xdr:colOff>
      <xdr:row>32</xdr:row>
      <xdr:rowOff>125110</xdr:rowOff>
    </xdr:to>
    <xdr:grpSp>
      <xdr:nvGrpSpPr>
        <xdr:cNvPr id="142" name="グループ化 141">
          <a:extLst>
            <a:ext uri="{FF2B5EF4-FFF2-40B4-BE49-F238E27FC236}">
              <a16:creationId xmlns:a16="http://schemas.microsoft.com/office/drawing/2014/main" id="{00000000-0008-0000-0900-00008E000000}"/>
            </a:ext>
          </a:extLst>
        </xdr:cNvPr>
        <xdr:cNvGrpSpPr/>
      </xdr:nvGrpSpPr>
      <xdr:grpSpPr>
        <a:xfrm>
          <a:off x="7336415" y="4056529"/>
          <a:ext cx="1701561" cy="954346"/>
          <a:chOff x="7336415" y="3798794"/>
          <a:chExt cx="1701561" cy="954346"/>
        </a:xfrm>
      </xdr:grpSpPr>
      <xdr:sp macro="" textlink="">
        <xdr:nvSpPr>
          <xdr:cNvPr id="144" name="Rectangle 15">
            <a:extLst>
              <a:ext uri="{FF2B5EF4-FFF2-40B4-BE49-F238E27FC236}">
                <a16:creationId xmlns:a16="http://schemas.microsoft.com/office/drawing/2014/main" id="{00000000-0008-0000-0900-000090000000}"/>
              </a:ext>
            </a:extLst>
          </xdr:cNvPr>
          <xdr:cNvSpPr>
            <a:spLocks noChangeArrowheads="1"/>
          </xdr:cNvSpPr>
        </xdr:nvSpPr>
        <xdr:spPr bwMode="auto">
          <a:xfrm>
            <a:off x="7336415" y="3798794"/>
            <a:ext cx="1701561" cy="954346"/>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endParaRPr>
          </a:p>
        </xdr:txBody>
      </xdr:sp>
      <xdr:sp macro="" textlink="">
        <xdr:nvSpPr>
          <xdr:cNvPr id="145" name="角丸四角形 144">
            <a:extLst>
              <a:ext uri="{FF2B5EF4-FFF2-40B4-BE49-F238E27FC236}">
                <a16:creationId xmlns:a16="http://schemas.microsoft.com/office/drawing/2014/main" id="{00000000-0008-0000-0900-000091000000}"/>
              </a:ext>
            </a:extLst>
          </xdr:cNvPr>
          <xdr:cNvSpPr>
            <a:spLocks noChangeArrowheads="1"/>
          </xdr:cNvSpPr>
        </xdr:nvSpPr>
        <xdr:spPr bwMode="auto">
          <a:xfrm>
            <a:off x="7567142" y="4045324"/>
            <a:ext cx="1260056" cy="373863"/>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WindowsServer</a:t>
            </a:r>
          </a:p>
          <a:p>
            <a:pPr>
              <a:buFontTx/>
              <a:buNone/>
              <a:tabLst>
                <a:tab pos="622300" algn="l"/>
              </a:tabLst>
            </a:pPr>
            <a:r>
              <a:rPr lang="ja-JP" altLang="en-US" sz="900" b="0">
                <a:solidFill>
                  <a:sysClr val="windowText" lastClr="000000"/>
                </a:solidFill>
                <a:latin typeface="+mn-ea"/>
                <a:ea typeface="+mn-ea"/>
              </a:rPr>
              <a:t>バックアップ</a:t>
            </a:r>
            <a:endParaRPr lang="en-US" altLang="ja-JP" sz="900" b="0">
              <a:solidFill>
                <a:sysClr val="windowText" lastClr="000000"/>
              </a:solidFill>
              <a:latin typeface="+mn-ea"/>
              <a:ea typeface="+mn-ea"/>
            </a:endParaRPr>
          </a:p>
        </xdr:txBody>
      </xdr:sp>
      <xdr:sp macro="" textlink="">
        <xdr:nvSpPr>
          <xdr:cNvPr id="162" name="角丸四角形 161">
            <a:extLst>
              <a:ext uri="{FF2B5EF4-FFF2-40B4-BE49-F238E27FC236}">
                <a16:creationId xmlns:a16="http://schemas.microsoft.com/office/drawing/2014/main" id="{00000000-0008-0000-0900-0000A2000000}"/>
              </a:ext>
            </a:extLst>
          </xdr:cNvPr>
          <xdr:cNvSpPr>
            <a:spLocks noChangeArrowheads="1"/>
          </xdr:cNvSpPr>
        </xdr:nvSpPr>
        <xdr:spPr bwMode="auto">
          <a:xfrm>
            <a:off x="7562659" y="4478607"/>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wsDr>
</file>

<file path=xl/drawings/drawing11.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xdr:col>
      <xdr:colOff>89646</xdr:colOff>
      <xdr:row>206</xdr:row>
      <xdr:rowOff>145677</xdr:rowOff>
    </xdr:from>
    <xdr:to>
      <xdr:col>10</xdr:col>
      <xdr:colOff>78441</xdr:colOff>
      <xdr:row>216</xdr:row>
      <xdr:rowOff>44824</xdr:rowOff>
    </xdr:to>
    <xdr:sp macro="" textlink="">
      <xdr:nvSpPr>
        <xdr:cNvPr id="3" name="雲 2">
          <a:extLst>
            <a:ext uri="{FF2B5EF4-FFF2-40B4-BE49-F238E27FC236}">
              <a16:creationId xmlns:a16="http://schemas.microsoft.com/office/drawing/2014/main" id="{00000000-0008-0000-0A00-000003000000}"/>
            </a:ext>
          </a:extLst>
        </xdr:cNvPr>
        <xdr:cNvSpPr/>
      </xdr:nvSpPr>
      <xdr:spPr>
        <a:xfrm>
          <a:off x="584946" y="20138652"/>
          <a:ext cx="731745" cy="142314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McAfee</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サイト</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xdr:txBody>
    </xdr:sp>
    <xdr:clientData/>
  </xdr:twoCellAnchor>
  <xdr:twoCellAnchor>
    <xdr:from>
      <xdr:col>17</xdr:col>
      <xdr:colOff>100854</xdr:colOff>
      <xdr:row>206</xdr:row>
      <xdr:rowOff>67234</xdr:rowOff>
    </xdr:from>
    <xdr:to>
      <xdr:col>71</xdr:col>
      <xdr:colOff>44824</xdr:colOff>
      <xdr:row>216</xdr:row>
      <xdr:rowOff>145676</xdr:rowOff>
    </xdr:to>
    <xdr:sp macro="" textlink="">
      <xdr:nvSpPr>
        <xdr:cNvPr id="4" name="正方形/長方形 3">
          <a:extLst>
            <a:ext uri="{FF2B5EF4-FFF2-40B4-BE49-F238E27FC236}">
              <a16:creationId xmlns:a16="http://schemas.microsoft.com/office/drawing/2014/main" id="{00000000-0008-0000-0A00-000004000000}"/>
            </a:ext>
          </a:extLst>
        </xdr:cNvPr>
        <xdr:cNvSpPr/>
      </xdr:nvSpPr>
      <xdr:spPr>
        <a:xfrm>
          <a:off x="2205879" y="20060209"/>
          <a:ext cx="6620995" cy="1602442"/>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大和センター</a:t>
          </a:r>
        </a:p>
      </xdr:txBody>
    </xdr:sp>
    <xdr:clientData/>
  </xdr:twoCellAnchor>
  <xdr:twoCellAnchor>
    <xdr:from>
      <xdr:col>23</xdr:col>
      <xdr:colOff>107583</xdr:colOff>
      <xdr:row>208</xdr:row>
      <xdr:rowOff>129990</xdr:rowOff>
    </xdr:from>
    <xdr:to>
      <xdr:col>37</xdr:col>
      <xdr:colOff>56034</xdr:colOff>
      <xdr:row>214</xdr:row>
      <xdr:rowOff>78441</xdr:rowOff>
    </xdr:to>
    <xdr:sp macro="" textlink="">
      <xdr:nvSpPr>
        <xdr:cNvPr id="5" name="正方形/長方形 4">
          <a:extLst>
            <a:ext uri="{FF2B5EF4-FFF2-40B4-BE49-F238E27FC236}">
              <a16:creationId xmlns:a16="http://schemas.microsoft.com/office/drawing/2014/main" id="{00000000-0008-0000-0A00-000005000000}"/>
            </a:ext>
          </a:extLst>
        </xdr:cNvPr>
        <xdr:cNvSpPr/>
      </xdr:nvSpPr>
      <xdr:spPr>
        <a:xfrm>
          <a:off x="2955558" y="20427765"/>
          <a:ext cx="1682001" cy="862851"/>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ePolicy</a:t>
          </a:r>
          <a:endParaRPr kumimoji="1" lang="ja-JP" altLang="en-US" sz="900">
            <a:solidFill>
              <a:schemeClr val="tx1"/>
            </a:solidFill>
            <a:latin typeface="+mn-ea"/>
            <a:ea typeface="+mn-ea"/>
          </a:endParaRPr>
        </a:p>
      </xdr:txBody>
    </xdr:sp>
    <xdr:clientData/>
  </xdr:twoCellAnchor>
  <xdr:twoCellAnchor>
    <xdr:from>
      <xdr:col>25</xdr:col>
      <xdr:colOff>58277</xdr:colOff>
      <xdr:row>211</xdr:row>
      <xdr:rowOff>47068</xdr:rowOff>
    </xdr:from>
    <xdr:to>
      <xdr:col>35</xdr:col>
      <xdr:colOff>100858</xdr:colOff>
      <xdr:row>212</xdr:row>
      <xdr:rowOff>100854</xdr:rowOff>
    </xdr:to>
    <xdr:sp macro="" textlink="">
      <xdr:nvSpPr>
        <xdr:cNvPr id="6" name="正方形/長方形 5">
          <a:extLst>
            <a:ext uri="{FF2B5EF4-FFF2-40B4-BE49-F238E27FC236}">
              <a16:creationId xmlns:a16="http://schemas.microsoft.com/office/drawing/2014/main" id="{00000000-0008-0000-0A00-000006000000}"/>
            </a:ext>
          </a:extLst>
        </xdr:cNvPr>
        <xdr:cNvSpPr/>
      </xdr:nvSpPr>
      <xdr:spPr>
        <a:xfrm>
          <a:off x="3153902" y="20802043"/>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マネージャ</a:t>
          </a:r>
        </a:p>
      </xdr:txBody>
    </xdr:sp>
    <xdr:clientData/>
  </xdr:twoCellAnchor>
  <xdr:twoCellAnchor>
    <xdr:from>
      <xdr:col>48</xdr:col>
      <xdr:colOff>80683</xdr:colOff>
      <xdr:row>208</xdr:row>
      <xdr:rowOff>13449</xdr:rowOff>
    </xdr:from>
    <xdr:to>
      <xdr:col>62</xdr:col>
      <xdr:colOff>40340</xdr:colOff>
      <xdr:row>215</xdr:row>
      <xdr:rowOff>67236</xdr:rowOff>
    </xdr:to>
    <xdr:sp macro="" textlink="">
      <xdr:nvSpPr>
        <xdr:cNvPr id="7" name="正方形/長方形 6">
          <a:extLst>
            <a:ext uri="{FF2B5EF4-FFF2-40B4-BE49-F238E27FC236}">
              <a16:creationId xmlns:a16="http://schemas.microsoft.com/office/drawing/2014/main" id="{00000000-0008-0000-0A00-000007000000}"/>
            </a:ext>
          </a:extLst>
        </xdr:cNvPr>
        <xdr:cNvSpPr/>
      </xdr:nvSpPr>
      <xdr:spPr>
        <a:xfrm>
          <a:off x="6024283" y="20311224"/>
          <a:ext cx="1683682" cy="1120587"/>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運用管理</a:t>
          </a:r>
        </a:p>
      </xdr:txBody>
    </xdr:sp>
    <xdr:clientData/>
  </xdr:twoCellAnchor>
  <xdr:twoCellAnchor>
    <xdr:from>
      <xdr:col>50</xdr:col>
      <xdr:colOff>42584</xdr:colOff>
      <xdr:row>209</xdr:row>
      <xdr:rowOff>109820</xdr:rowOff>
    </xdr:from>
    <xdr:to>
      <xdr:col>60</xdr:col>
      <xdr:colOff>85165</xdr:colOff>
      <xdr:row>211</xdr:row>
      <xdr:rowOff>6725</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6224309" y="20559995"/>
          <a:ext cx="1280831" cy="20170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VSE</a:t>
          </a:r>
          <a:endParaRPr kumimoji="1" lang="ja-JP" altLang="en-US" sz="900">
            <a:solidFill>
              <a:schemeClr val="tx1"/>
            </a:solidFill>
            <a:latin typeface="+mn-ea"/>
            <a:ea typeface="+mn-ea"/>
          </a:endParaRPr>
        </a:p>
      </xdr:txBody>
    </xdr:sp>
    <xdr:clientData/>
  </xdr:twoCellAnchor>
  <xdr:twoCellAnchor>
    <xdr:from>
      <xdr:col>50</xdr:col>
      <xdr:colOff>49307</xdr:colOff>
      <xdr:row>211</xdr:row>
      <xdr:rowOff>71721</xdr:rowOff>
    </xdr:from>
    <xdr:to>
      <xdr:col>60</xdr:col>
      <xdr:colOff>91888</xdr:colOff>
      <xdr:row>212</xdr:row>
      <xdr:rowOff>125507</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6231032" y="20826696"/>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エージェント</a:t>
          </a:r>
        </a:p>
      </xdr:txBody>
    </xdr:sp>
    <xdr:clientData/>
  </xdr:twoCellAnchor>
  <xdr:twoCellAnchor>
    <xdr:from>
      <xdr:col>50</xdr:col>
      <xdr:colOff>44824</xdr:colOff>
      <xdr:row>213</xdr:row>
      <xdr:rowOff>33621</xdr:rowOff>
    </xdr:from>
    <xdr:to>
      <xdr:col>60</xdr:col>
      <xdr:colOff>87405</xdr:colOff>
      <xdr:row>214</xdr:row>
      <xdr:rowOff>87408</xdr:rowOff>
    </xdr:to>
    <xdr:sp macro="" textlink="">
      <xdr:nvSpPr>
        <xdr:cNvPr id="10" name="正方形/長方形 9">
          <a:extLst>
            <a:ext uri="{FF2B5EF4-FFF2-40B4-BE49-F238E27FC236}">
              <a16:creationId xmlns:a16="http://schemas.microsoft.com/office/drawing/2014/main" id="{00000000-0008-0000-0A00-00000A000000}"/>
            </a:ext>
          </a:extLst>
        </xdr:cNvPr>
        <xdr:cNvSpPr/>
      </xdr:nvSpPr>
      <xdr:spPr>
        <a:xfrm>
          <a:off x="6226549" y="21093396"/>
          <a:ext cx="1280831" cy="20618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Windows 2016</a:t>
          </a:r>
          <a:endParaRPr kumimoji="1" lang="ja-JP" altLang="en-US" sz="900">
            <a:solidFill>
              <a:schemeClr val="tx1"/>
            </a:solidFill>
            <a:latin typeface="+mn-ea"/>
            <a:ea typeface="+mn-ea"/>
          </a:endParaRPr>
        </a:p>
      </xdr:txBody>
    </xdr:sp>
    <xdr:clientData/>
  </xdr:twoCellAnchor>
  <xdr:twoCellAnchor>
    <xdr:from>
      <xdr:col>9</xdr:col>
      <xdr:colOff>89647</xdr:colOff>
      <xdr:row>212</xdr:row>
      <xdr:rowOff>1</xdr:rowOff>
    </xdr:from>
    <xdr:to>
      <xdr:col>26</xdr:col>
      <xdr:colOff>82147</xdr:colOff>
      <xdr:row>212</xdr:row>
      <xdr:rowOff>1</xdr:rowOff>
    </xdr:to>
    <xdr:sp macro="" textlink="">
      <xdr:nvSpPr>
        <xdr:cNvPr id="11" name="フリーフォーム 10">
          <a:extLst>
            <a:ext uri="{FF2B5EF4-FFF2-40B4-BE49-F238E27FC236}">
              <a16:creationId xmlns:a16="http://schemas.microsoft.com/office/drawing/2014/main" id="{00000000-0008-0000-0A00-00000B000000}"/>
            </a:ext>
          </a:extLst>
        </xdr:cNvPr>
        <xdr:cNvSpPr/>
      </xdr:nvSpPr>
      <xdr:spPr>
        <a:xfrm>
          <a:off x="1204072" y="20907376"/>
          <a:ext cx="2097525"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96372</xdr:colOff>
      <xdr:row>212</xdr:row>
      <xdr:rowOff>6724</xdr:rowOff>
    </xdr:from>
    <xdr:to>
      <xdr:col>51</xdr:col>
      <xdr:colOff>64078</xdr:colOff>
      <xdr:row>212</xdr:row>
      <xdr:rowOff>6724</xdr:rowOff>
    </xdr:to>
    <xdr:sp macro="" textlink="">
      <xdr:nvSpPr>
        <xdr:cNvPr id="12" name="フリーフォーム 11">
          <a:extLst>
            <a:ext uri="{FF2B5EF4-FFF2-40B4-BE49-F238E27FC236}">
              <a16:creationId xmlns:a16="http://schemas.microsoft.com/office/drawing/2014/main" id="{00000000-0008-0000-0A00-00000C000000}"/>
            </a:ext>
          </a:extLst>
        </xdr:cNvPr>
        <xdr:cNvSpPr/>
      </xdr:nvSpPr>
      <xdr:spPr>
        <a:xfrm>
          <a:off x="4306422" y="20914099"/>
          <a:ext cx="2063206"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56029</xdr:colOff>
      <xdr:row>213</xdr:row>
      <xdr:rowOff>78442</xdr:rowOff>
    </xdr:from>
    <xdr:to>
      <xdr:col>28</xdr:col>
      <xdr:colOff>99793</xdr:colOff>
      <xdr:row>215</xdr:row>
      <xdr:rowOff>23877</xdr:rowOff>
    </xdr:to>
    <xdr:sp macro="" textlink="">
      <xdr:nvSpPr>
        <xdr:cNvPr id="13" name="角丸四角形吹き出し 12">
          <a:extLst>
            <a:ext uri="{FF2B5EF4-FFF2-40B4-BE49-F238E27FC236}">
              <a16:creationId xmlns:a16="http://schemas.microsoft.com/office/drawing/2014/main" id="{00000000-0008-0000-0A00-00000D000000}"/>
            </a:ext>
          </a:extLst>
        </xdr:cNvPr>
        <xdr:cNvSpPr/>
      </xdr:nvSpPr>
      <xdr:spPr>
        <a:xfrm>
          <a:off x="1541929" y="21138217"/>
          <a:ext cx="2024964" cy="250235"/>
        </a:xfrm>
        <a:prstGeom prst="wedgeRoundRectCallout">
          <a:avLst>
            <a:gd name="adj1" fmla="val -8293"/>
            <a:gd name="adj2" fmla="val -12812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パターンファイルダウンロード</a:t>
          </a:r>
        </a:p>
      </xdr:txBody>
    </xdr:sp>
    <xdr:clientData/>
  </xdr:twoCellAnchor>
  <xdr:twoCellAnchor>
    <xdr:from>
      <xdr:col>34</xdr:col>
      <xdr:colOff>85163</xdr:colOff>
      <xdr:row>213</xdr:row>
      <xdr:rowOff>107577</xdr:rowOff>
    </xdr:from>
    <xdr:to>
      <xdr:col>47</xdr:col>
      <xdr:colOff>102722</xdr:colOff>
      <xdr:row>215</xdr:row>
      <xdr:rowOff>53012</xdr:rowOff>
    </xdr:to>
    <xdr:sp macro="" textlink="">
      <xdr:nvSpPr>
        <xdr:cNvPr id="14" name="角丸四角形吹き出し 13">
          <a:extLst>
            <a:ext uri="{FF2B5EF4-FFF2-40B4-BE49-F238E27FC236}">
              <a16:creationId xmlns:a16="http://schemas.microsoft.com/office/drawing/2014/main" id="{00000000-0008-0000-0A00-00000E000000}"/>
            </a:ext>
          </a:extLst>
        </xdr:cNvPr>
        <xdr:cNvSpPr/>
      </xdr:nvSpPr>
      <xdr:spPr>
        <a:xfrm>
          <a:off x="4295213" y="21167352"/>
          <a:ext cx="1627284" cy="250235"/>
        </a:xfrm>
        <a:prstGeom prst="wedgeRoundRectCallout">
          <a:avLst>
            <a:gd name="adj1" fmla="val -11196"/>
            <a:gd name="adj2" fmla="val -141096"/>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パターンファイル配布</a:t>
          </a:r>
        </a:p>
      </xdr:txBody>
    </xdr:sp>
    <xdr:clientData/>
  </xdr:twoCellAnchor>
  <xdr:twoCellAnchor>
    <xdr:from>
      <xdr:col>57</xdr:col>
      <xdr:colOff>44825</xdr:colOff>
      <xdr:row>208</xdr:row>
      <xdr:rowOff>67236</xdr:rowOff>
    </xdr:from>
    <xdr:to>
      <xdr:col>60</xdr:col>
      <xdr:colOff>59468</xdr:colOff>
      <xdr:row>210</xdr:row>
      <xdr:rowOff>154307</xdr:rowOff>
    </xdr:to>
    <xdr:sp macro="" textlink="">
      <xdr:nvSpPr>
        <xdr:cNvPr id="15" name="環状矢印 14">
          <a:extLst>
            <a:ext uri="{FF2B5EF4-FFF2-40B4-BE49-F238E27FC236}">
              <a16:creationId xmlns:a16="http://schemas.microsoft.com/office/drawing/2014/main" id="{00000000-0008-0000-0A00-00000F000000}"/>
            </a:ext>
          </a:extLst>
        </xdr:cNvPr>
        <xdr:cNvSpPr/>
      </xdr:nvSpPr>
      <xdr:spPr>
        <a:xfrm>
          <a:off x="7093325" y="20365011"/>
          <a:ext cx="386118" cy="391871"/>
        </a:xfrm>
        <a:prstGeom prst="circularArrow">
          <a:avLst>
            <a:gd name="adj1" fmla="val 12500"/>
            <a:gd name="adj2" fmla="val 1142319"/>
            <a:gd name="adj3" fmla="val 20457681"/>
            <a:gd name="adj4" fmla="val 1497819"/>
            <a:gd name="adj5" fmla="val 12500"/>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69475</xdr:colOff>
      <xdr:row>205</xdr:row>
      <xdr:rowOff>47066</xdr:rowOff>
    </xdr:from>
    <xdr:to>
      <xdr:col>71</xdr:col>
      <xdr:colOff>87034</xdr:colOff>
      <xdr:row>206</xdr:row>
      <xdr:rowOff>149383</xdr:rowOff>
    </xdr:to>
    <xdr:sp macro="" textlink="">
      <xdr:nvSpPr>
        <xdr:cNvPr id="16" name="角丸四角形吹き出し 15">
          <a:extLst>
            <a:ext uri="{FF2B5EF4-FFF2-40B4-BE49-F238E27FC236}">
              <a16:creationId xmlns:a16="http://schemas.microsoft.com/office/drawing/2014/main" id="{00000000-0008-0000-0A00-000010000000}"/>
            </a:ext>
          </a:extLst>
        </xdr:cNvPr>
        <xdr:cNvSpPr/>
      </xdr:nvSpPr>
      <xdr:spPr>
        <a:xfrm>
          <a:off x="7241800" y="19887641"/>
          <a:ext cx="1627284" cy="254717"/>
        </a:xfrm>
        <a:prstGeom prst="wedgeRoundRectCallout">
          <a:avLst>
            <a:gd name="adj1" fmla="val -45782"/>
            <a:gd name="adj2" fmla="val 170179"/>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リアルタイムスキャン</a:t>
          </a:r>
        </a:p>
      </xdr:txBody>
    </xdr:sp>
    <xdr:clientData/>
  </xdr:twoCellAnchor>
  <xdr:twoCellAnchor>
    <xdr:from>
      <xdr:col>39</xdr:col>
      <xdr:colOff>57150</xdr:colOff>
      <xdr:row>210</xdr:row>
      <xdr:rowOff>133350</xdr:rowOff>
    </xdr:from>
    <xdr:to>
      <xdr:col>47</xdr:col>
      <xdr:colOff>76200</xdr:colOff>
      <xdr:row>212</xdr:row>
      <xdr:rowOff>85725</xdr:rowOff>
    </xdr:to>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4886325" y="20735925"/>
          <a:ext cx="1009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kumimoji="1" lang="ja-JP" altLang="en-US" sz="900"/>
            <a:t>データセグメント</a:t>
          </a:r>
        </a:p>
      </xdr:txBody>
    </xdr:sp>
    <xdr:clientData/>
  </xdr:twoCellAnchor>
  <xdr:twoCellAnchor>
    <xdr:from>
      <xdr:col>73</xdr:col>
      <xdr:colOff>56029</xdr:colOff>
      <xdr:row>70</xdr:row>
      <xdr:rowOff>134471</xdr:rowOff>
    </xdr:from>
    <xdr:to>
      <xdr:col>75</xdr:col>
      <xdr:colOff>22411</xdr:colOff>
      <xdr:row>72</xdr:row>
      <xdr:rowOff>33617</xdr:rowOff>
    </xdr:to>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8466604" y="106786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40341</xdr:colOff>
      <xdr:row>70</xdr:row>
      <xdr:rowOff>129987</xdr:rowOff>
    </xdr:from>
    <xdr:to>
      <xdr:col>77</xdr:col>
      <xdr:colOff>6724</xdr:colOff>
      <xdr:row>72</xdr:row>
      <xdr:rowOff>29133</xdr:rowOff>
    </xdr:to>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8698566" y="106741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102</xdr:row>
      <xdr:rowOff>0</xdr:rowOff>
    </xdr:from>
    <xdr:to>
      <xdr:col>29</xdr:col>
      <xdr:colOff>0</xdr:colOff>
      <xdr:row>104</xdr:row>
      <xdr:rowOff>0</xdr:rowOff>
    </xdr:to>
    <xdr:sp macro="" textlink="">
      <xdr:nvSpPr>
        <xdr:cNvPr id="22" name="Line 2">
          <a:extLst>
            <a:ext uri="{FF2B5EF4-FFF2-40B4-BE49-F238E27FC236}">
              <a16:creationId xmlns:a16="http://schemas.microsoft.com/office/drawing/2014/main" id="{00000000-0008-0000-0A00-000016000000}"/>
            </a:ext>
          </a:extLst>
        </xdr:cNvPr>
        <xdr:cNvSpPr>
          <a:spLocks noChangeShapeType="1"/>
        </xdr:cNvSpPr>
      </xdr:nvSpPr>
      <xdr:spPr bwMode="auto">
        <a:xfrm flipH="1">
          <a:off x="1479176" y="16338176"/>
          <a:ext cx="2095500" cy="31376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102</xdr:row>
      <xdr:rowOff>0</xdr:rowOff>
    </xdr:from>
    <xdr:to>
      <xdr:col>34</xdr:col>
      <xdr:colOff>112059</xdr:colOff>
      <xdr:row>104</xdr:row>
      <xdr:rowOff>0</xdr:rowOff>
    </xdr:to>
    <xdr:sp macro="" textlink="">
      <xdr:nvSpPr>
        <xdr:cNvPr id="23" name="Line 2">
          <a:extLst>
            <a:ext uri="{FF2B5EF4-FFF2-40B4-BE49-F238E27FC236}">
              <a16:creationId xmlns:a16="http://schemas.microsoft.com/office/drawing/2014/main" id="{00000000-0008-0000-0A00-000017000000}"/>
            </a:ext>
          </a:extLst>
        </xdr:cNvPr>
        <xdr:cNvSpPr>
          <a:spLocks noChangeShapeType="1"/>
        </xdr:cNvSpPr>
      </xdr:nvSpPr>
      <xdr:spPr bwMode="auto">
        <a:xfrm flipH="1">
          <a:off x="4045323" y="16338176"/>
          <a:ext cx="257736" cy="31376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102</xdr:row>
      <xdr:rowOff>0</xdr:rowOff>
    </xdr:from>
    <xdr:to>
      <xdr:col>52</xdr:col>
      <xdr:colOff>112058</xdr:colOff>
      <xdr:row>103</xdr:row>
      <xdr:rowOff>145676</xdr:rowOff>
    </xdr:to>
    <xdr:sp macro="" textlink="">
      <xdr:nvSpPr>
        <xdr:cNvPr id="24" name="Line 2">
          <a:extLst>
            <a:ext uri="{FF2B5EF4-FFF2-40B4-BE49-F238E27FC236}">
              <a16:creationId xmlns:a16="http://schemas.microsoft.com/office/drawing/2014/main" id="{00000000-0008-0000-0A00-000018000000}"/>
            </a:ext>
          </a:extLst>
        </xdr:cNvPr>
        <xdr:cNvSpPr>
          <a:spLocks noChangeShapeType="1"/>
        </xdr:cNvSpPr>
      </xdr:nvSpPr>
      <xdr:spPr bwMode="auto">
        <a:xfrm>
          <a:off x="5289176" y="16338176"/>
          <a:ext cx="1221441" cy="302559"/>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102</xdr:row>
      <xdr:rowOff>22412</xdr:rowOff>
    </xdr:from>
    <xdr:to>
      <xdr:col>74</xdr:col>
      <xdr:colOff>22411</xdr:colOff>
      <xdr:row>103</xdr:row>
      <xdr:rowOff>145676</xdr:rowOff>
    </xdr:to>
    <xdr:sp macro="" textlink="">
      <xdr:nvSpPr>
        <xdr:cNvPr id="25" name="Line 2">
          <a:extLst>
            <a:ext uri="{FF2B5EF4-FFF2-40B4-BE49-F238E27FC236}">
              <a16:creationId xmlns:a16="http://schemas.microsoft.com/office/drawing/2014/main" id="{00000000-0008-0000-0A00-000019000000}"/>
            </a:ext>
          </a:extLst>
        </xdr:cNvPr>
        <xdr:cNvSpPr>
          <a:spLocks noChangeShapeType="1"/>
        </xdr:cNvSpPr>
      </xdr:nvSpPr>
      <xdr:spPr bwMode="auto">
        <a:xfrm>
          <a:off x="6555440" y="16360588"/>
          <a:ext cx="2577353" cy="280147"/>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58</xdr:col>
      <xdr:colOff>56029</xdr:colOff>
      <xdr:row>157</xdr:row>
      <xdr:rowOff>134471</xdr:rowOff>
    </xdr:from>
    <xdr:to>
      <xdr:col>60</xdr:col>
      <xdr:colOff>22411</xdr:colOff>
      <xdr:row>159</xdr:row>
      <xdr:rowOff>33617</xdr:rowOff>
    </xdr:to>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7228354" y="216514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40341</xdr:colOff>
      <xdr:row>157</xdr:row>
      <xdr:rowOff>129987</xdr:rowOff>
    </xdr:from>
    <xdr:to>
      <xdr:col>62</xdr:col>
      <xdr:colOff>6724</xdr:colOff>
      <xdr:row>159</xdr:row>
      <xdr:rowOff>29133</xdr:rowOff>
    </xdr:to>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7460316" y="216469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I47"/>
  <sheetViews>
    <sheetView showGridLines="0" view="pageBreakPreview" zoomScale="85" zoomScaleNormal="100" zoomScaleSheetLayoutView="85" workbookViewId="0"/>
  </sheetViews>
  <sheetFormatPr defaultColWidth="1.625" defaultRowHeight="12" customHeight="1"/>
  <cols>
    <col min="1" max="1" width="1.625" customWidth="1"/>
  </cols>
  <sheetData>
    <row r="1" spans="1:87" ht="17.25" customHeight="1"/>
    <row r="2" spans="1:87" ht="4.5" customHeight="1"/>
    <row r="6" spans="1:87" ht="5.0999999999999996" customHeight="1"/>
    <row r="9" spans="1:87" ht="12" customHeight="1">
      <c r="A9" s="550" t="s">
        <v>19</v>
      </c>
      <c r="B9" s="550"/>
      <c r="C9" s="550"/>
      <c r="D9" s="550"/>
      <c r="E9" s="550"/>
      <c r="F9" s="550"/>
      <c r="G9" s="550"/>
      <c r="H9" s="550"/>
      <c r="I9" s="550"/>
      <c r="J9" s="550"/>
      <c r="K9" s="550"/>
      <c r="L9" s="550"/>
      <c r="M9" s="550"/>
      <c r="N9" s="550"/>
      <c r="O9" s="550"/>
      <c r="P9" s="550"/>
      <c r="Q9" s="550"/>
      <c r="R9" s="550"/>
      <c r="S9" s="550"/>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0"/>
      <c r="BO9" s="550"/>
      <c r="BP9" s="550"/>
      <c r="BQ9" s="550"/>
      <c r="BR9" s="550"/>
      <c r="BS9" s="550"/>
      <c r="BT9" s="550"/>
      <c r="BU9" s="550"/>
      <c r="BV9" s="550"/>
      <c r="BW9" s="550"/>
      <c r="BX9" s="550"/>
      <c r="BY9" s="550"/>
      <c r="BZ9" s="550"/>
      <c r="CA9" s="550"/>
      <c r="CB9" s="550"/>
      <c r="CC9" s="550"/>
      <c r="CD9" s="550"/>
      <c r="CE9" s="550"/>
    </row>
    <row r="10" spans="1:87" ht="12" customHeight="1">
      <c r="A10" s="550"/>
      <c r="B10" s="550"/>
      <c r="C10" s="550"/>
      <c r="D10" s="550"/>
      <c r="E10" s="550"/>
      <c r="F10" s="550"/>
      <c r="G10" s="550"/>
      <c r="H10" s="550"/>
      <c r="I10" s="550"/>
      <c r="J10" s="550"/>
      <c r="K10" s="550"/>
      <c r="L10" s="550"/>
      <c r="M10" s="550"/>
      <c r="N10" s="550"/>
      <c r="O10" s="550"/>
      <c r="P10" s="550"/>
      <c r="Q10" s="550"/>
      <c r="R10" s="550"/>
      <c r="S10" s="550"/>
      <c r="T10" s="550"/>
      <c r="U10" s="550"/>
      <c r="V10" s="550"/>
      <c r="W10" s="550"/>
      <c r="X10" s="550"/>
      <c r="Y10" s="550"/>
      <c r="Z10" s="550"/>
      <c r="AA10" s="550"/>
      <c r="AB10" s="550"/>
      <c r="AC10" s="550"/>
      <c r="AD10" s="550"/>
      <c r="AE10" s="550"/>
      <c r="AF10" s="550"/>
      <c r="AG10" s="550"/>
      <c r="AH10" s="550"/>
      <c r="AI10" s="550"/>
      <c r="AJ10" s="550"/>
      <c r="AK10" s="550"/>
      <c r="AL10" s="550"/>
      <c r="AM10" s="550"/>
      <c r="AN10" s="550"/>
      <c r="AO10" s="550"/>
      <c r="AP10" s="550"/>
      <c r="AQ10" s="550"/>
      <c r="AR10" s="550"/>
      <c r="AS10" s="550"/>
      <c r="AT10" s="550"/>
      <c r="AU10" s="550"/>
      <c r="AV10" s="550"/>
      <c r="AW10" s="550"/>
      <c r="AX10" s="550"/>
      <c r="AY10" s="550"/>
      <c r="AZ10" s="550"/>
      <c r="BA10" s="550"/>
      <c r="BB10" s="550"/>
      <c r="BC10" s="550"/>
      <c r="BD10" s="550"/>
      <c r="BE10" s="550"/>
      <c r="BF10" s="550"/>
      <c r="BG10" s="550"/>
      <c r="BH10" s="550"/>
      <c r="BI10" s="550"/>
      <c r="BJ10" s="550"/>
      <c r="BK10" s="550"/>
      <c r="BL10" s="550"/>
      <c r="BM10" s="550"/>
      <c r="BN10" s="550"/>
      <c r="BO10" s="550"/>
      <c r="BP10" s="550"/>
      <c r="BQ10" s="550"/>
      <c r="BR10" s="550"/>
      <c r="BS10" s="550"/>
      <c r="BT10" s="550"/>
      <c r="BU10" s="550"/>
      <c r="BV10" s="550"/>
      <c r="BW10" s="550"/>
      <c r="BX10" s="550"/>
      <c r="BY10" s="550"/>
      <c r="BZ10" s="550"/>
      <c r="CA10" s="550"/>
      <c r="CB10" s="550"/>
      <c r="CC10" s="550"/>
      <c r="CD10" s="550"/>
      <c r="CE10" s="550"/>
      <c r="CF10" s="6"/>
      <c r="CG10" s="6"/>
      <c r="CH10" s="6"/>
      <c r="CI10" s="6"/>
    </row>
    <row r="11" spans="1:87" ht="12" customHeight="1">
      <c r="A11" s="550"/>
      <c r="B11" s="550"/>
      <c r="C11" s="550"/>
      <c r="D11" s="550"/>
      <c r="E11" s="550"/>
      <c r="F11" s="550"/>
      <c r="G11" s="550"/>
      <c r="H11" s="550"/>
      <c r="I11" s="550"/>
      <c r="J11" s="550"/>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550"/>
      <c r="AU11" s="550"/>
      <c r="AV11" s="550"/>
      <c r="AW11" s="550"/>
      <c r="AX11" s="550"/>
      <c r="AY11" s="550"/>
      <c r="AZ11" s="550"/>
      <c r="BA11" s="550"/>
      <c r="BB11" s="550"/>
      <c r="BC11" s="550"/>
      <c r="BD11" s="550"/>
      <c r="BE11" s="550"/>
      <c r="BF11" s="550"/>
      <c r="BG11" s="550"/>
      <c r="BH11" s="550"/>
      <c r="BI11" s="550"/>
      <c r="BJ11" s="550"/>
      <c r="BK11" s="550"/>
      <c r="BL11" s="550"/>
      <c r="BM11" s="550"/>
      <c r="BN11" s="550"/>
      <c r="BO11" s="550"/>
      <c r="BP11" s="550"/>
      <c r="BQ11" s="550"/>
      <c r="BR11" s="550"/>
      <c r="BS11" s="550"/>
      <c r="BT11" s="550"/>
      <c r="BU11" s="550"/>
      <c r="BV11" s="550"/>
      <c r="BW11" s="550"/>
      <c r="BX11" s="550"/>
      <c r="BY11" s="550"/>
      <c r="BZ11" s="550"/>
      <c r="CA11" s="550"/>
      <c r="CB11" s="550"/>
      <c r="CC11" s="550"/>
      <c r="CD11" s="550"/>
      <c r="CE11" s="550"/>
      <c r="CF11" s="6"/>
      <c r="CG11" s="6"/>
      <c r="CH11" s="6"/>
      <c r="CI11" s="6"/>
    </row>
    <row r="12" spans="1:87" ht="12" customHeight="1">
      <c r="A12" s="550"/>
      <c r="B12" s="550"/>
      <c r="C12" s="550"/>
      <c r="D12" s="550"/>
      <c r="E12" s="550"/>
      <c r="F12" s="550"/>
      <c r="G12" s="550"/>
      <c r="H12" s="550"/>
      <c r="I12" s="550"/>
      <c r="J12" s="550"/>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c r="BB12" s="550"/>
      <c r="BC12" s="550"/>
      <c r="BD12" s="550"/>
      <c r="BE12" s="550"/>
      <c r="BF12" s="550"/>
      <c r="BG12" s="550"/>
      <c r="BH12" s="550"/>
      <c r="BI12" s="550"/>
      <c r="BJ12" s="550"/>
      <c r="BK12" s="550"/>
      <c r="BL12" s="550"/>
      <c r="BM12" s="550"/>
      <c r="BN12" s="550"/>
      <c r="BO12" s="550"/>
      <c r="BP12" s="550"/>
      <c r="BQ12" s="550"/>
      <c r="BR12" s="550"/>
      <c r="BS12" s="550"/>
      <c r="BT12" s="550"/>
      <c r="BU12" s="550"/>
      <c r="BV12" s="550"/>
      <c r="BW12" s="550"/>
      <c r="BX12" s="550"/>
      <c r="BY12" s="550"/>
      <c r="BZ12" s="550"/>
      <c r="CA12" s="550"/>
      <c r="CB12" s="550"/>
      <c r="CC12" s="550"/>
      <c r="CD12" s="550"/>
      <c r="CE12" s="550"/>
      <c r="CF12" s="6"/>
      <c r="CG12" s="6"/>
      <c r="CH12" s="6"/>
      <c r="CI12" s="6"/>
    </row>
    <row r="13" spans="1:87" ht="12" customHeight="1">
      <c r="CF13" s="6"/>
      <c r="CG13" s="6"/>
      <c r="CH13" s="6"/>
      <c r="CI13" s="6"/>
    </row>
    <row r="14" spans="1:87" ht="12" customHeight="1">
      <c r="CF14" s="7"/>
      <c r="CG14" s="7"/>
      <c r="CH14" s="7"/>
      <c r="CI14" s="7"/>
    </row>
    <row r="15" spans="1:87" ht="12" customHeight="1">
      <c r="A15" s="551" t="s">
        <v>38</v>
      </c>
      <c r="B15" s="551"/>
      <c r="C15" s="551"/>
      <c r="D15" s="551"/>
      <c r="E15" s="551"/>
      <c r="F15" s="551"/>
      <c r="G15" s="551"/>
      <c r="H15" s="551"/>
      <c r="I15" s="551"/>
      <c r="J15" s="551"/>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7"/>
      <c r="CG15" s="7"/>
      <c r="CH15" s="7"/>
      <c r="CI15" s="7"/>
    </row>
    <row r="16" spans="1:87" ht="12" customHeight="1">
      <c r="A16" s="551"/>
      <c r="B16" s="551"/>
      <c r="C16" s="551"/>
      <c r="D16" s="551"/>
      <c r="E16" s="551"/>
      <c r="F16" s="551"/>
      <c r="G16" s="551"/>
      <c r="H16" s="551"/>
      <c r="I16" s="551"/>
      <c r="J16" s="551"/>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7"/>
      <c r="CG16" s="7"/>
      <c r="CH16" s="7"/>
      <c r="CI16" s="7"/>
    </row>
    <row r="17" spans="1:87" ht="12" customHeight="1">
      <c r="A17" s="551"/>
      <c r="B17" s="551"/>
      <c r="C17" s="551"/>
      <c r="D17" s="551"/>
      <c r="E17" s="551"/>
      <c r="F17" s="551"/>
      <c r="G17" s="551"/>
      <c r="H17" s="551"/>
      <c r="I17" s="551"/>
      <c r="J17" s="551"/>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7"/>
      <c r="CG17" s="7"/>
      <c r="CH17" s="7"/>
      <c r="CI17" s="7"/>
    </row>
    <row r="18" spans="1:87" ht="12" customHeight="1">
      <c r="A18" s="551"/>
      <c r="B18" s="551"/>
      <c r="C18" s="551"/>
      <c r="D18" s="551"/>
      <c r="E18" s="551"/>
      <c r="F18" s="551"/>
      <c r="G18" s="551"/>
      <c r="H18" s="551"/>
      <c r="I18" s="551"/>
      <c r="J18" s="551"/>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7"/>
      <c r="CG18" s="7"/>
      <c r="CH18" s="7"/>
      <c r="CI18" s="7"/>
    </row>
    <row r="19" spans="1:87" ht="12" customHeight="1">
      <c r="A19" s="551"/>
      <c r="B19" s="551"/>
      <c r="C19" s="551"/>
      <c r="D19" s="551"/>
      <c r="E19" s="551"/>
      <c r="F19" s="551"/>
      <c r="G19" s="551"/>
      <c r="H19" s="551"/>
      <c r="I19" s="551"/>
      <c r="J19" s="551"/>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7"/>
      <c r="CG19" s="7"/>
      <c r="CH19" s="7"/>
      <c r="CI19" s="7"/>
    </row>
    <row r="20" spans="1:87" ht="12" customHeight="1">
      <c r="A20" s="551"/>
      <c r="B20" s="551"/>
      <c r="C20" s="551"/>
      <c r="D20" s="551"/>
      <c r="E20" s="551"/>
      <c r="F20" s="551"/>
      <c r="G20" s="551"/>
      <c r="H20" s="551"/>
      <c r="I20" s="551"/>
      <c r="J20" s="551"/>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7"/>
      <c r="CG20" s="7"/>
      <c r="CH20" s="7"/>
      <c r="CI20" s="7"/>
    </row>
    <row r="21" spans="1:87" ht="12" customHeight="1">
      <c r="A21" s="551"/>
      <c r="B21" s="551"/>
      <c r="C21" s="551"/>
      <c r="D21" s="551"/>
      <c r="E21" s="551"/>
      <c r="F21" s="551"/>
      <c r="G21" s="551"/>
      <c r="H21" s="551"/>
      <c r="I21" s="551"/>
      <c r="J21" s="551"/>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7"/>
      <c r="CG21" s="7"/>
      <c r="CH21" s="7"/>
      <c r="CI21" s="7"/>
    </row>
    <row r="22" spans="1:87" ht="12" customHeight="1">
      <c r="A22" s="552" t="s">
        <v>20</v>
      </c>
      <c r="B22" s="552"/>
      <c r="C22" s="552"/>
      <c r="D22" s="552"/>
      <c r="E22" s="552"/>
      <c r="F22" s="552"/>
      <c r="G22" s="552"/>
      <c r="H22" s="552"/>
      <c r="I22" s="552"/>
      <c r="J22" s="552"/>
      <c r="K22" s="552"/>
      <c r="L22" s="552"/>
      <c r="M22" s="552"/>
      <c r="N22" s="552"/>
      <c r="O22" s="552"/>
      <c r="P22" s="552"/>
      <c r="Q22" s="552"/>
      <c r="R22" s="552"/>
      <c r="S22" s="552"/>
      <c r="T22" s="552"/>
      <c r="U22" s="552"/>
      <c r="V22" s="552"/>
      <c r="W22" s="552"/>
      <c r="X22" s="552"/>
      <c r="Y22" s="552"/>
      <c r="Z22" s="552"/>
      <c r="AA22" s="552"/>
      <c r="AB22" s="552"/>
      <c r="AC22" s="552"/>
      <c r="AD22" s="552"/>
      <c r="AE22" s="552"/>
      <c r="AF22" s="552"/>
      <c r="AG22" s="552"/>
      <c r="AH22" s="552"/>
      <c r="AI22" s="552"/>
      <c r="AJ22" s="552"/>
      <c r="AK22" s="552"/>
      <c r="AL22" s="552"/>
      <c r="AM22" s="552"/>
      <c r="AN22" s="552"/>
      <c r="AO22" s="552"/>
      <c r="AP22" s="552"/>
      <c r="AQ22" s="552"/>
      <c r="AR22" s="552"/>
      <c r="AS22" s="552"/>
      <c r="AT22" s="552"/>
      <c r="AU22" s="552"/>
      <c r="AV22" s="552"/>
      <c r="AW22" s="552"/>
      <c r="AX22" s="552"/>
      <c r="AY22" s="552"/>
      <c r="AZ22" s="552"/>
      <c r="BA22" s="552"/>
      <c r="BB22" s="552"/>
      <c r="BC22" s="552"/>
      <c r="BD22" s="552"/>
      <c r="BE22" s="552"/>
      <c r="BF22" s="552"/>
      <c r="BG22" s="552"/>
      <c r="BH22" s="552"/>
      <c r="BI22" s="552"/>
      <c r="BJ22" s="552"/>
      <c r="BK22" s="552"/>
      <c r="BL22" s="552"/>
      <c r="BM22" s="552"/>
      <c r="BN22" s="552"/>
      <c r="BO22" s="552"/>
      <c r="BP22" s="552"/>
      <c r="BQ22" s="552"/>
      <c r="BR22" s="552"/>
      <c r="BS22" s="552"/>
      <c r="BT22" s="552"/>
      <c r="BU22" s="552"/>
      <c r="BV22" s="552"/>
      <c r="BW22" s="552"/>
      <c r="BX22" s="552"/>
      <c r="BY22" s="552"/>
      <c r="BZ22" s="552"/>
      <c r="CA22" s="552"/>
      <c r="CB22" s="552"/>
      <c r="CC22" s="552"/>
      <c r="CD22" s="552"/>
      <c r="CE22" s="552"/>
      <c r="CF22" s="7"/>
      <c r="CG22" s="7"/>
      <c r="CH22" s="7"/>
      <c r="CI22" s="7"/>
    </row>
    <row r="23" spans="1:87" ht="12" customHeight="1">
      <c r="A23" s="552"/>
      <c r="B23" s="552"/>
      <c r="C23" s="552"/>
      <c r="D23" s="552"/>
      <c r="E23" s="552"/>
      <c r="F23" s="552"/>
      <c r="G23" s="552"/>
      <c r="H23" s="552"/>
      <c r="I23" s="552"/>
      <c r="J23" s="552"/>
      <c r="K23" s="552"/>
      <c r="L23" s="552"/>
      <c r="M23" s="552"/>
      <c r="N23" s="552"/>
      <c r="O23" s="552"/>
      <c r="P23" s="552"/>
      <c r="Q23" s="552"/>
      <c r="R23" s="552"/>
      <c r="S23" s="552"/>
      <c r="T23" s="552"/>
      <c r="U23" s="552"/>
      <c r="V23" s="552"/>
      <c r="W23" s="552"/>
      <c r="X23" s="552"/>
      <c r="Y23" s="552"/>
      <c r="Z23" s="552"/>
      <c r="AA23" s="552"/>
      <c r="AB23" s="552"/>
      <c r="AC23" s="552"/>
      <c r="AD23" s="552"/>
      <c r="AE23" s="552"/>
      <c r="AF23" s="552"/>
      <c r="AG23" s="552"/>
      <c r="AH23" s="552"/>
      <c r="AI23" s="552"/>
      <c r="AJ23" s="552"/>
      <c r="AK23" s="552"/>
      <c r="AL23" s="552"/>
      <c r="AM23" s="552"/>
      <c r="AN23" s="552"/>
      <c r="AO23" s="552"/>
      <c r="AP23" s="552"/>
      <c r="AQ23" s="552"/>
      <c r="AR23" s="552"/>
      <c r="AS23" s="552"/>
      <c r="AT23" s="552"/>
      <c r="AU23" s="552"/>
      <c r="AV23" s="552"/>
      <c r="AW23" s="552"/>
      <c r="AX23" s="552"/>
      <c r="AY23" s="552"/>
      <c r="AZ23" s="552"/>
      <c r="BA23" s="552"/>
      <c r="BB23" s="552"/>
      <c r="BC23" s="552"/>
      <c r="BD23" s="552"/>
      <c r="BE23" s="552"/>
      <c r="BF23" s="552"/>
      <c r="BG23" s="552"/>
      <c r="BH23" s="552"/>
      <c r="BI23" s="552"/>
      <c r="BJ23" s="552"/>
      <c r="BK23" s="552"/>
      <c r="BL23" s="552"/>
      <c r="BM23" s="552"/>
      <c r="BN23" s="552"/>
      <c r="BO23" s="552"/>
      <c r="BP23" s="552"/>
      <c r="BQ23" s="552"/>
      <c r="BR23" s="552"/>
      <c r="BS23" s="552"/>
      <c r="BT23" s="552"/>
      <c r="BU23" s="552"/>
      <c r="BV23" s="552"/>
      <c r="BW23" s="552"/>
      <c r="BX23" s="552"/>
      <c r="BY23" s="552"/>
      <c r="BZ23" s="552"/>
      <c r="CA23" s="552"/>
      <c r="CB23" s="552"/>
      <c r="CC23" s="552"/>
      <c r="CD23" s="552"/>
      <c r="CE23" s="552"/>
      <c r="CF23" s="8"/>
      <c r="CG23" s="8"/>
      <c r="CH23" s="8"/>
      <c r="CI23" s="8"/>
    </row>
    <row r="24" spans="1:87" ht="12" customHeight="1">
      <c r="A24" s="552"/>
      <c r="B24" s="552"/>
      <c r="C24" s="552"/>
      <c r="D24" s="552"/>
      <c r="E24" s="552"/>
      <c r="F24" s="552"/>
      <c r="G24" s="552"/>
      <c r="H24" s="552"/>
      <c r="I24" s="552"/>
      <c r="J24" s="552"/>
      <c r="K24" s="552"/>
      <c r="L24" s="552"/>
      <c r="M24" s="552"/>
      <c r="N24" s="552"/>
      <c r="O24" s="552"/>
      <c r="P24" s="552"/>
      <c r="Q24" s="552"/>
      <c r="R24" s="552"/>
      <c r="S24" s="552"/>
      <c r="T24" s="552"/>
      <c r="U24" s="552"/>
      <c r="V24" s="552"/>
      <c r="W24" s="552"/>
      <c r="X24" s="552"/>
      <c r="Y24" s="552"/>
      <c r="Z24" s="552"/>
      <c r="AA24" s="552"/>
      <c r="AB24" s="552"/>
      <c r="AC24" s="552"/>
      <c r="AD24" s="552"/>
      <c r="AE24" s="552"/>
      <c r="AF24" s="552"/>
      <c r="AG24" s="552"/>
      <c r="AH24" s="552"/>
      <c r="AI24" s="552"/>
      <c r="AJ24" s="552"/>
      <c r="AK24" s="552"/>
      <c r="AL24" s="552"/>
      <c r="AM24" s="552"/>
      <c r="AN24" s="552"/>
      <c r="AO24" s="552"/>
      <c r="AP24" s="552"/>
      <c r="AQ24" s="552"/>
      <c r="AR24" s="552"/>
      <c r="AS24" s="552"/>
      <c r="AT24" s="552"/>
      <c r="AU24" s="552"/>
      <c r="AV24" s="552"/>
      <c r="AW24" s="552"/>
      <c r="AX24" s="552"/>
      <c r="AY24" s="552"/>
      <c r="AZ24" s="552"/>
      <c r="BA24" s="552"/>
      <c r="BB24" s="552"/>
      <c r="BC24" s="552"/>
      <c r="BD24" s="552"/>
      <c r="BE24" s="552"/>
      <c r="BF24" s="552"/>
      <c r="BG24" s="552"/>
      <c r="BH24" s="552"/>
      <c r="BI24" s="552"/>
      <c r="BJ24" s="552"/>
      <c r="BK24" s="552"/>
      <c r="BL24" s="552"/>
      <c r="BM24" s="552"/>
      <c r="BN24" s="552"/>
      <c r="BO24" s="552"/>
      <c r="BP24" s="552"/>
      <c r="BQ24" s="552"/>
      <c r="BR24" s="552"/>
      <c r="BS24" s="552"/>
      <c r="BT24" s="552"/>
      <c r="BU24" s="552"/>
      <c r="BV24" s="552"/>
      <c r="BW24" s="552"/>
      <c r="BX24" s="552"/>
      <c r="BY24" s="552"/>
      <c r="BZ24" s="552"/>
      <c r="CA24" s="552"/>
      <c r="CB24" s="552"/>
      <c r="CC24" s="552"/>
      <c r="CD24" s="552"/>
      <c r="CE24" s="552"/>
      <c r="CF24" s="8"/>
      <c r="CG24" s="8"/>
      <c r="CH24" s="8"/>
      <c r="CI24" s="8"/>
    </row>
    <row r="25" spans="1:87" ht="12" customHeight="1">
      <c r="A25" s="552"/>
      <c r="B25" s="552"/>
      <c r="C25" s="552"/>
      <c r="D25" s="552"/>
      <c r="E25" s="552"/>
      <c r="F25" s="552"/>
      <c r="G25" s="552"/>
      <c r="H25" s="552"/>
      <c r="I25" s="552"/>
      <c r="J25" s="552"/>
      <c r="K25" s="552"/>
      <c r="L25" s="552"/>
      <c r="M25" s="552"/>
      <c r="N25" s="552"/>
      <c r="O25" s="552"/>
      <c r="P25" s="552"/>
      <c r="Q25" s="552"/>
      <c r="R25" s="552"/>
      <c r="S25" s="552"/>
      <c r="T25" s="552"/>
      <c r="U25" s="552"/>
      <c r="V25" s="552"/>
      <c r="W25" s="552"/>
      <c r="X25" s="552"/>
      <c r="Y25" s="552"/>
      <c r="Z25" s="552"/>
      <c r="AA25" s="552"/>
      <c r="AB25" s="552"/>
      <c r="AC25" s="552"/>
      <c r="AD25" s="552"/>
      <c r="AE25" s="552"/>
      <c r="AF25" s="552"/>
      <c r="AG25" s="552"/>
      <c r="AH25" s="552"/>
      <c r="AI25" s="552"/>
      <c r="AJ25" s="552"/>
      <c r="AK25" s="552"/>
      <c r="AL25" s="552"/>
      <c r="AM25" s="552"/>
      <c r="AN25" s="552"/>
      <c r="AO25" s="552"/>
      <c r="AP25" s="552"/>
      <c r="AQ25" s="552"/>
      <c r="AR25" s="552"/>
      <c r="AS25" s="552"/>
      <c r="AT25" s="552"/>
      <c r="AU25" s="552"/>
      <c r="AV25" s="552"/>
      <c r="AW25" s="552"/>
      <c r="AX25" s="552"/>
      <c r="AY25" s="552"/>
      <c r="AZ25" s="552"/>
      <c r="BA25" s="552"/>
      <c r="BB25" s="552"/>
      <c r="BC25" s="552"/>
      <c r="BD25" s="552"/>
      <c r="BE25" s="552"/>
      <c r="BF25" s="552"/>
      <c r="BG25" s="552"/>
      <c r="BH25" s="552"/>
      <c r="BI25" s="552"/>
      <c r="BJ25" s="552"/>
      <c r="BK25" s="552"/>
      <c r="BL25" s="552"/>
      <c r="BM25" s="552"/>
      <c r="BN25" s="552"/>
      <c r="BO25" s="552"/>
      <c r="BP25" s="552"/>
      <c r="BQ25" s="552"/>
      <c r="BR25" s="552"/>
      <c r="BS25" s="552"/>
      <c r="BT25" s="552"/>
      <c r="BU25" s="552"/>
      <c r="BV25" s="552"/>
      <c r="BW25" s="552"/>
      <c r="BX25" s="552"/>
      <c r="BY25" s="552"/>
      <c r="BZ25" s="552"/>
      <c r="CA25" s="552"/>
      <c r="CB25" s="552"/>
      <c r="CC25" s="552"/>
      <c r="CD25" s="552"/>
      <c r="CE25" s="552"/>
      <c r="CF25" s="8"/>
      <c r="CG25" s="8"/>
      <c r="CH25" s="8"/>
      <c r="CI25" s="8"/>
    </row>
    <row r="26" spans="1:87" ht="12" customHeight="1">
      <c r="CF26" s="8"/>
      <c r="CG26" s="8"/>
      <c r="CH26" s="8"/>
      <c r="CI26" s="8"/>
    </row>
    <row r="27" spans="1:87" ht="12" customHeight="1">
      <c r="A27" s="552" t="s">
        <v>1199</v>
      </c>
      <c r="B27" s="552"/>
      <c r="C27" s="552"/>
      <c r="D27" s="552"/>
      <c r="E27" s="552"/>
      <c r="F27" s="552"/>
      <c r="G27" s="552"/>
      <c r="H27" s="552"/>
      <c r="I27" s="552"/>
      <c r="J27" s="552"/>
      <c r="K27" s="552"/>
      <c r="L27" s="552"/>
      <c r="M27" s="552"/>
      <c r="N27" s="552"/>
      <c r="O27" s="552"/>
      <c r="P27" s="552"/>
      <c r="Q27" s="552"/>
      <c r="R27" s="552"/>
      <c r="S27" s="552"/>
      <c r="T27" s="552"/>
      <c r="U27" s="552"/>
      <c r="V27" s="552"/>
      <c r="W27" s="552"/>
      <c r="X27" s="552"/>
      <c r="Y27" s="552"/>
      <c r="Z27" s="552"/>
      <c r="AA27" s="552"/>
      <c r="AB27" s="552"/>
      <c r="AC27" s="552"/>
      <c r="AD27" s="552"/>
      <c r="AE27" s="552"/>
      <c r="AF27" s="552"/>
      <c r="AG27" s="552"/>
      <c r="AH27" s="552"/>
      <c r="AI27" s="552"/>
      <c r="AJ27" s="552"/>
      <c r="AK27" s="552"/>
      <c r="AL27" s="552"/>
      <c r="AM27" s="552"/>
      <c r="AN27" s="552"/>
      <c r="AO27" s="552"/>
      <c r="AP27" s="552"/>
      <c r="AQ27" s="552"/>
      <c r="AR27" s="552"/>
      <c r="AS27" s="552"/>
      <c r="AT27" s="552"/>
      <c r="AU27" s="552"/>
      <c r="AV27" s="552"/>
      <c r="AW27" s="552"/>
      <c r="AX27" s="552"/>
      <c r="AY27" s="552"/>
      <c r="AZ27" s="552"/>
      <c r="BA27" s="552"/>
      <c r="BB27" s="552"/>
      <c r="BC27" s="552"/>
      <c r="BD27" s="552"/>
      <c r="BE27" s="552"/>
      <c r="BF27" s="552"/>
      <c r="BG27" s="552"/>
      <c r="BH27" s="552"/>
      <c r="BI27" s="552"/>
      <c r="BJ27" s="552"/>
      <c r="BK27" s="552"/>
      <c r="BL27" s="552"/>
      <c r="BM27" s="552"/>
      <c r="BN27" s="552"/>
      <c r="BO27" s="552"/>
      <c r="BP27" s="552"/>
      <c r="BQ27" s="552"/>
      <c r="BR27" s="552"/>
      <c r="BS27" s="552"/>
      <c r="BT27" s="552"/>
      <c r="BU27" s="552"/>
      <c r="BV27" s="552"/>
      <c r="BW27" s="552"/>
      <c r="BX27" s="552"/>
      <c r="BY27" s="552"/>
      <c r="BZ27" s="552"/>
      <c r="CA27" s="552"/>
      <c r="CB27" s="552"/>
      <c r="CC27" s="552"/>
      <c r="CD27" s="552"/>
      <c r="CE27" s="552"/>
      <c r="CF27" s="8"/>
      <c r="CG27" s="8"/>
      <c r="CH27" s="8"/>
      <c r="CI27" s="8"/>
    </row>
    <row r="28" spans="1:87" ht="12" customHeight="1">
      <c r="A28" s="552"/>
      <c r="B28" s="552"/>
      <c r="C28" s="552"/>
      <c r="D28" s="552"/>
      <c r="E28" s="552"/>
      <c r="F28" s="552"/>
      <c r="G28" s="552"/>
      <c r="H28" s="552"/>
      <c r="I28" s="552"/>
      <c r="J28" s="552"/>
      <c r="K28" s="552"/>
      <c r="L28" s="552"/>
      <c r="M28" s="552"/>
      <c r="N28" s="552"/>
      <c r="O28" s="552"/>
      <c r="P28" s="552"/>
      <c r="Q28" s="552"/>
      <c r="R28" s="552"/>
      <c r="S28" s="552"/>
      <c r="T28" s="552"/>
      <c r="U28" s="552"/>
      <c r="V28" s="552"/>
      <c r="W28" s="552"/>
      <c r="X28" s="552"/>
      <c r="Y28" s="552"/>
      <c r="Z28" s="552"/>
      <c r="AA28" s="552"/>
      <c r="AB28" s="552"/>
      <c r="AC28" s="552"/>
      <c r="AD28" s="552"/>
      <c r="AE28" s="552"/>
      <c r="AF28" s="552"/>
      <c r="AG28" s="552"/>
      <c r="AH28" s="552"/>
      <c r="AI28" s="552"/>
      <c r="AJ28" s="552"/>
      <c r="AK28" s="552"/>
      <c r="AL28" s="552"/>
      <c r="AM28" s="552"/>
      <c r="AN28" s="552"/>
      <c r="AO28" s="552"/>
      <c r="AP28" s="552"/>
      <c r="AQ28" s="552"/>
      <c r="AR28" s="552"/>
      <c r="AS28" s="552"/>
      <c r="AT28" s="552"/>
      <c r="AU28" s="552"/>
      <c r="AV28" s="552"/>
      <c r="AW28" s="552"/>
      <c r="AX28" s="552"/>
      <c r="AY28" s="552"/>
      <c r="AZ28" s="552"/>
      <c r="BA28" s="552"/>
      <c r="BB28" s="552"/>
      <c r="BC28" s="552"/>
      <c r="BD28" s="552"/>
      <c r="BE28" s="552"/>
      <c r="BF28" s="552"/>
      <c r="BG28" s="552"/>
      <c r="BH28" s="552"/>
      <c r="BI28" s="552"/>
      <c r="BJ28" s="552"/>
      <c r="BK28" s="552"/>
      <c r="BL28" s="552"/>
      <c r="BM28" s="552"/>
      <c r="BN28" s="552"/>
      <c r="BO28" s="552"/>
      <c r="BP28" s="552"/>
      <c r="BQ28" s="552"/>
      <c r="BR28" s="552"/>
      <c r="BS28" s="552"/>
      <c r="BT28" s="552"/>
      <c r="BU28" s="552"/>
      <c r="BV28" s="552"/>
      <c r="BW28" s="552"/>
      <c r="BX28" s="552"/>
      <c r="BY28" s="552"/>
      <c r="BZ28" s="552"/>
      <c r="CA28" s="552"/>
      <c r="CB28" s="552"/>
      <c r="CC28" s="552"/>
      <c r="CD28" s="552"/>
      <c r="CE28" s="552"/>
    </row>
    <row r="29" spans="1:87" ht="12" customHeight="1">
      <c r="A29" s="552"/>
      <c r="B29" s="552"/>
      <c r="C29" s="552"/>
      <c r="D29" s="552"/>
      <c r="E29" s="552"/>
      <c r="F29" s="552"/>
      <c r="G29" s="552"/>
      <c r="H29" s="552"/>
      <c r="I29" s="552"/>
      <c r="J29" s="552"/>
      <c r="K29" s="552"/>
      <c r="L29" s="552"/>
      <c r="M29" s="552"/>
      <c r="N29" s="552"/>
      <c r="O29" s="552"/>
      <c r="P29" s="552"/>
      <c r="Q29" s="552"/>
      <c r="R29" s="552"/>
      <c r="S29" s="552"/>
      <c r="T29" s="552"/>
      <c r="U29" s="552"/>
      <c r="V29" s="552"/>
      <c r="W29" s="552"/>
      <c r="X29" s="552"/>
      <c r="Y29" s="552"/>
      <c r="Z29" s="552"/>
      <c r="AA29" s="552"/>
      <c r="AB29" s="552"/>
      <c r="AC29" s="552"/>
      <c r="AD29" s="552"/>
      <c r="AE29" s="552"/>
      <c r="AF29" s="552"/>
      <c r="AG29" s="552"/>
      <c r="AH29" s="552"/>
      <c r="AI29" s="552"/>
      <c r="AJ29" s="552"/>
      <c r="AK29" s="552"/>
      <c r="AL29" s="552"/>
      <c r="AM29" s="552"/>
      <c r="AN29" s="552"/>
      <c r="AO29" s="552"/>
      <c r="AP29" s="552"/>
      <c r="AQ29" s="552"/>
      <c r="AR29" s="552"/>
      <c r="AS29" s="552"/>
      <c r="AT29" s="552"/>
      <c r="AU29" s="552"/>
      <c r="AV29" s="552"/>
      <c r="AW29" s="552"/>
      <c r="AX29" s="552"/>
      <c r="AY29" s="552"/>
      <c r="AZ29" s="552"/>
      <c r="BA29" s="552"/>
      <c r="BB29" s="552"/>
      <c r="BC29" s="552"/>
      <c r="BD29" s="552"/>
      <c r="BE29" s="552"/>
      <c r="BF29" s="552"/>
      <c r="BG29" s="552"/>
      <c r="BH29" s="552"/>
      <c r="BI29" s="552"/>
      <c r="BJ29" s="552"/>
      <c r="BK29" s="552"/>
      <c r="BL29" s="552"/>
      <c r="BM29" s="552"/>
      <c r="BN29" s="552"/>
      <c r="BO29" s="552"/>
      <c r="BP29" s="552"/>
      <c r="BQ29" s="552"/>
      <c r="BR29" s="552"/>
      <c r="BS29" s="552"/>
      <c r="BT29" s="552"/>
      <c r="BU29" s="552"/>
      <c r="BV29" s="552"/>
      <c r="BW29" s="552"/>
      <c r="BX29" s="552"/>
      <c r="BY29" s="552"/>
      <c r="BZ29" s="552"/>
      <c r="CA29" s="552"/>
      <c r="CB29" s="552"/>
      <c r="CC29" s="552"/>
      <c r="CD29" s="552"/>
      <c r="CE29" s="552"/>
    </row>
    <row r="30" spans="1:87" ht="12" customHeight="1">
      <c r="A30" s="552"/>
      <c r="B30" s="552"/>
      <c r="C30" s="552"/>
      <c r="D30" s="552"/>
      <c r="E30" s="552"/>
      <c r="F30" s="552"/>
      <c r="G30" s="552"/>
      <c r="H30" s="552"/>
      <c r="I30" s="552"/>
      <c r="J30" s="552"/>
      <c r="K30" s="552"/>
      <c r="L30" s="552"/>
      <c r="M30" s="552"/>
      <c r="N30" s="552"/>
      <c r="O30" s="552"/>
      <c r="P30" s="552"/>
      <c r="Q30" s="552"/>
      <c r="R30" s="552"/>
      <c r="S30" s="552"/>
      <c r="T30" s="552"/>
      <c r="U30" s="552"/>
      <c r="V30" s="552"/>
      <c r="W30" s="552"/>
      <c r="X30" s="552"/>
      <c r="Y30" s="552"/>
      <c r="Z30" s="552"/>
      <c r="AA30" s="552"/>
      <c r="AB30" s="552"/>
      <c r="AC30" s="552"/>
      <c r="AD30" s="552"/>
      <c r="AE30" s="552"/>
      <c r="AF30" s="552"/>
      <c r="AG30" s="552"/>
      <c r="AH30" s="552"/>
      <c r="AI30" s="552"/>
      <c r="AJ30" s="552"/>
      <c r="AK30" s="552"/>
      <c r="AL30" s="552"/>
      <c r="AM30" s="552"/>
      <c r="AN30" s="552"/>
      <c r="AO30" s="552"/>
      <c r="AP30" s="552"/>
      <c r="AQ30" s="552"/>
      <c r="AR30" s="552"/>
      <c r="AS30" s="552"/>
      <c r="AT30" s="552"/>
      <c r="AU30" s="552"/>
      <c r="AV30" s="552"/>
      <c r="AW30" s="552"/>
      <c r="AX30" s="552"/>
      <c r="AY30" s="552"/>
      <c r="AZ30" s="552"/>
      <c r="BA30" s="552"/>
      <c r="BB30" s="552"/>
      <c r="BC30" s="552"/>
      <c r="BD30" s="552"/>
      <c r="BE30" s="552"/>
      <c r="BF30" s="552"/>
      <c r="BG30" s="552"/>
      <c r="BH30" s="552"/>
      <c r="BI30" s="552"/>
      <c r="BJ30" s="552"/>
      <c r="BK30" s="552"/>
      <c r="BL30" s="552"/>
      <c r="BM30" s="552"/>
      <c r="BN30" s="552"/>
      <c r="BO30" s="552"/>
      <c r="BP30" s="552"/>
      <c r="BQ30" s="552"/>
      <c r="BR30" s="552"/>
      <c r="BS30" s="552"/>
      <c r="BT30" s="552"/>
      <c r="BU30" s="552"/>
      <c r="BV30" s="552"/>
      <c r="BW30" s="552"/>
      <c r="BX30" s="552"/>
      <c r="BY30" s="552"/>
      <c r="BZ30" s="552"/>
      <c r="CA30" s="552"/>
      <c r="CB30" s="552"/>
      <c r="CC30" s="552"/>
      <c r="CD30" s="552"/>
      <c r="CE30" s="552"/>
    </row>
    <row r="41" spans="1:87" ht="12" customHeight="1">
      <c r="A41" s="553"/>
      <c r="B41" s="553"/>
      <c r="C41" s="553"/>
      <c r="D41" s="553"/>
      <c r="E41" s="553"/>
      <c r="F41" s="553"/>
      <c r="G41" s="553"/>
      <c r="H41" s="553"/>
      <c r="I41" s="553"/>
      <c r="J41" s="553"/>
      <c r="K41" s="553"/>
      <c r="L41" s="553"/>
      <c r="M41" s="553"/>
      <c r="N41" s="553"/>
      <c r="O41" s="553"/>
      <c r="P41" s="553"/>
      <c r="Q41" s="553"/>
      <c r="R41" s="553"/>
      <c r="S41" s="553"/>
      <c r="T41" s="553"/>
      <c r="U41" s="553"/>
      <c r="V41" s="553"/>
      <c r="W41" s="553"/>
      <c r="X41" s="553"/>
      <c r="Y41" s="553"/>
      <c r="Z41" s="553"/>
      <c r="AA41" s="553"/>
      <c r="AB41" s="553"/>
      <c r="AC41" s="553"/>
      <c r="AD41" s="553"/>
      <c r="AE41" s="553"/>
      <c r="AF41" s="553"/>
      <c r="AG41" s="553"/>
      <c r="AH41" s="553"/>
      <c r="AI41" s="553"/>
      <c r="AJ41" s="553"/>
      <c r="AK41" s="553"/>
      <c r="AL41" s="553"/>
      <c r="AM41" s="553"/>
      <c r="AN41" s="553"/>
      <c r="AO41" s="553"/>
      <c r="AP41" s="553"/>
      <c r="AQ41" s="553"/>
      <c r="AR41" s="553"/>
      <c r="AS41" s="553"/>
      <c r="AT41" s="553"/>
      <c r="AU41" s="553"/>
      <c r="AV41" s="553"/>
      <c r="AW41" s="553"/>
      <c r="AX41" s="553"/>
      <c r="AY41" s="553"/>
      <c r="AZ41" s="553"/>
      <c r="BA41" s="553"/>
      <c r="BB41" s="553"/>
      <c r="BC41" s="553"/>
      <c r="BD41" s="553"/>
      <c r="BE41" s="553"/>
      <c r="BF41" s="553"/>
      <c r="BG41" s="553"/>
      <c r="BH41" s="553"/>
      <c r="BI41" s="553"/>
      <c r="BJ41" s="553"/>
      <c r="BK41" s="553"/>
      <c r="BL41" s="553"/>
      <c r="BM41" s="553"/>
      <c r="BN41" s="553"/>
      <c r="BO41" s="553"/>
      <c r="BP41" s="553"/>
      <c r="BQ41" s="553"/>
      <c r="BR41" s="553"/>
      <c r="BS41" s="553"/>
      <c r="BT41" s="553"/>
      <c r="BU41" s="553"/>
      <c r="BV41" s="553"/>
      <c r="BW41" s="553"/>
      <c r="BX41" s="553"/>
      <c r="BY41" s="553"/>
      <c r="BZ41" s="553"/>
      <c r="CA41" s="553"/>
      <c r="CB41" s="553"/>
      <c r="CC41" s="553"/>
      <c r="CD41" s="553"/>
      <c r="CE41" s="553"/>
    </row>
    <row r="42" spans="1:87" ht="12" customHeight="1">
      <c r="A42" s="553"/>
      <c r="B42" s="553"/>
      <c r="C42" s="553"/>
      <c r="D42" s="553"/>
      <c r="E42" s="553"/>
      <c r="F42" s="553"/>
      <c r="G42" s="553"/>
      <c r="H42" s="553"/>
      <c r="I42" s="553"/>
      <c r="J42" s="553"/>
      <c r="K42" s="553"/>
      <c r="L42" s="553"/>
      <c r="M42" s="553"/>
      <c r="N42" s="553"/>
      <c r="O42" s="553"/>
      <c r="P42" s="553"/>
      <c r="Q42" s="553"/>
      <c r="R42" s="553"/>
      <c r="S42" s="553"/>
      <c r="T42" s="553"/>
      <c r="U42" s="553"/>
      <c r="V42" s="553"/>
      <c r="W42" s="553"/>
      <c r="X42" s="553"/>
      <c r="Y42" s="553"/>
      <c r="Z42" s="553"/>
      <c r="AA42" s="553"/>
      <c r="AB42" s="553"/>
      <c r="AC42" s="553"/>
      <c r="AD42" s="553"/>
      <c r="AE42" s="553"/>
      <c r="AF42" s="553"/>
      <c r="AG42" s="553"/>
      <c r="AH42" s="553"/>
      <c r="AI42" s="553"/>
      <c r="AJ42" s="553"/>
      <c r="AK42" s="553"/>
      <c r="AL42" s="553"/>
      <c r="AM42" s="553"/>
      <c r="AN42" s="553"/>
      <c r="AO42" s="553"/>
      <c r="AP42" s="553"/>
      <c r="AQ42" s="553"/>
      <c r="AR42" s="553"/>
      <c r="AS42" s="553"/>
      <c r="AT42" s="553"/>
      <c r="AU42" s="553"/>
      <c r="AV42" s="553"/>
      <c r="AW42" s="553"/>
      <c r="AX42" s="553"/>
      <c r="AY42" s="553"/>
      <c r="AZ42" s="553"/>
      <c r="BA42" s="553"/>
      <c r="BB42" s="553"/>
      <c r="BC42" s="553"/>
      <c r="BD42" s="553"/>
      <c r="BE42" s="553"/>
      <c r="BF42" s="553"/>
      <c r="BG42" s="553"/>
      <c r="BH42" s="553"/>
      <c r="BI42" s="553"/>
      <c r="BJ42" s="553"/>
      <c r="BK42" s="553"/>
      <c r="BL42" s="553"/>
      <c r="BM42" s="553"/>
      <c r="BN42" s="553"/>
      <c r="BO42" s="553"/>
      <c r="BP42" s="553"/>
      <c r="BQ42" s="553"/>
      <c r="BR42" s="553"/>
      <c r="BS42" s="553"/>
      <c r="BT42" s="553"/>
      <c r="BU42" s="553"/>
      <c r="BV42" s="553"/>
      <c r="BW42" s="553"/>
      <c r="BX42" s="553"/>
      <c r="BY42" s="553"/>
      <c r="BZ42" s="553"/>
      <c r="CA42" s="553"/>
      <c r="CB42" s="553"/>
      <c r="CC42" s="553"/>
      <c r="CD42" s="553"/>
      <c r="CE42" s="553"/>
    </row>
    <row r="43" spans="1:87" ht="12" customHeight="1">
      <c r="A43" s="553">
        <v>43448</v>
      </c>
      <c r="B43" s="553"/>
      <c r="C43" s="553"/>
      <c r="D43" s="553"/>
      <c r="E43" s="553"/>
      <c r="F43" s="553"/>
      <c r="G43" s="553"/>
      <c r="H43" s="553"/>
      <c r="I43" s="553"/>
      <c r="J43" s="553"/>
      <c r="K43" s="553"/>
      <c r="L43" s="553"/>
      <c r="M43" s="553"/>
      <c r="N43" s="553"/>
      <c r="O43" s="553"/>
      <c r="P43" s="553"/>
      <c r="Q43" s="553"/>
      <c r="R43" s="553"/>
      <c r="S43" s="553"/>
      <c r="T43" s="553"/>
      <c r="U43" s="553"/>
      <c r="V43" s="553"/>
      <c r="W43" s="553"/>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53"/>
      <c r="AT43" s="553"/>
      <c r="AU43" s="553"/>
      <c r="AV43" s="553"/>
      <c r="AW43" s="553"/>
      <c r="AX43" s="553"/>
      <c r="AY43" s="553"/>
      <c r="AZ43" s="553"/>
      <c r="BA43" s="553"/>
      <c r="BB43" s="553"/>
      <c r="BC43" s="553"/>
      <c r="BD43" s="553"/>
      <c r="BE43" s="553"/>
      <c r="BF43" s="553"/>
      <c r="BG43" s="553"/>
      <c r="BH43" s="553"/>
      <c r="BI43" s="553"/>
      <c r="BJ43" s="553"/>
      <c r="BK43" s="553"/>
      <c r="BL43" s="553"/>
      <c r="BM43" s="553"/>
      <c r="BN43" s="553"/>
      <c r="BO43" s="553"/>
      <c r="BP43" s="553"/>
      <c r="BQ43" s="553"/>
      <c r="BR43" s="553"/>
      <c r="BS43" s="553"/>
      <c r="BT43" s="553"/>
      <c r="BU43" s="553"/>
      <c r="BV43" s="553"/>
      <c r="BW43" s="553"/>
      <c r="BX43" s="553"/>
      <c r="BY43" s="553"/>
      <c r="BZ43" s="553"/>
      <c r="CA43" s="553"/>
      <c r="CB43" s="553"/>
      <c r="CC43" s="553"/>
      <c r="CD43" s="553"/>
      <c r="CE43" s="553"/>
      <c r="CF43" s="9"/>
      <c r="CG43" s="9"/>
      <c r="CH43" s="9"/>
      <c r="CI43" s="9"/>
    </row>
    <row r="44" spans="1:87" ht="12" customHeight="1">
      <c r="A44" s="553"/>
      <c r="B44" s="553"/>
      <c r="C44" s="553"/>
      <c r="D44" s="553"/>
      <c r="E44" s="553"/>
      <c r="F44" s="553"/>
      <c r="G44" s="553"/>
      <c r="H44" s="553"/>
      <c r="I44" s="553"/>
      <c r="J44" s="553"/>
      <c r="K44" s="553"/>
      <c r="L44" s="553"/>
      <c r="M44" s="553"/>
      <c r="N44" s="553"/>
      <c r="O44" s="553"/>
      <c r="P44" s="553"/>
      <c r="Q44" s="553"/>
      <c r="R44" s="553"/>
      <c r="S44" s="553"/>
      <c r="T44" s="553"/>
      <c r="U44" s="553"/>
      <c r="V44" s="553"/>
      <c r="W44" s="553"/>
      <c r="X44" s="553"/>
      <c r="Y44" s="553"/>
      <c r="Z44" s="553"/>
      <c r="AA44" s="553"/>
      <c r="AB44" s="553"/>
      <c r="AC44" s="553"/>
      <c r="AD44" s="553"/>
      <c r="AE44" s="553"/>
      <c r="AF44" s="553"/>
      <c r="AG44" s="553"/>
      <c r="AH44" s="553"/>
      <c r="AI44" s="553"/>
      <c r="AJ44" s="553"/>
      <c r="AK44" s="553"/>
      <c r="AL44" s="553"/>
      <c r="AM44" s="553"/>
      <c r="AN44" s="553"/>
      <c r="AO44" s="553"/>
      <c r="AP44" s="553"/>
      <c r="AQ44" s="553"/>
      <c r="AR44" s="553"/>
      <c r="AS44" s="553"/>
      <c r="AT44" s="553"/>
      <c r="AU44" s="553"/>
      <c r="AV44" s="553"/>
      <c r="AW44" s="553"/>
      <c r="AX44" s="553"/>
      <c r="AY44" s="553"/>
      <c r="AZ44" s="553"/>
      <c r="BA44" s="553"/>
      <c r="BB44" s="553"/>
      <c r="BC44" s="553"/>
      <c r="BD44" s="553"/>
      <c r="BE44" s="553"/>
      <c r="BF44" s="553"/>
      <c r="BG44" s="553"/>
      <c r="BH44" s="553"/>
      <c r="BI44" s="553"/>
      <c r="BJ44" s="553"/>
      <c r="BK44" s="553"/>
      <c r="BL44" s="553"/>
      <c r="BM44" s="553"/>
      <c r="BN44" s="553"/>
      <c r="BO44" s="553"/>
      <c r="BP44" s="553"/>
      <c r="BQ44" s="553"/>
      <c r="BR44" s="553"/>
      <c r="BS44" s="553"/>
      <c r="BT44" s="553"/>
      <c r="BU44" s="553"/>
      <c r="BV44" s="553"/>
      <c r="BW44" s="553"/>
      <c r="BX44" s="553"/>
      <c r="BY44" s="553"/>
      <c r="BZ44" s="553"/>
      <c r="CA44" s="553"/>
      <c r="CB44" s="553"/>
      <c r="CC44" s="553"/>
      <c r="CD44" s="553"/>
      <c r="CE44" s="553"/>
      <c r="CF44" s="9"/>
      <c r="CG44" s="9"/>
      <c r="CH44" s="9"/>
      <c r="CI44" s="9"/>
    </row>
    <row r="45" spans="1:87" ht="12"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row>
    <row r="46" spans="1:87" ht="12" customHeight="1">
      <c r="A46" s="549" t="s">
        <v>21</v>
      </c>
      <c r="B46" s="549"/>
      <c r="C46" s="549"/>
      <c r="D46" s="549"/>
      <c r="E46" s="549"/>
      <c r="F46" s="549"/>
      <c r="G46" s="549"/>
      <c r="H46" s="549"/>
      <c r="I46" s="549"/>
      <c r="J46" s="549"/>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c r="AI46" s="549"/>
      <c r="AJ46" s="549"/>
      <c r="AK46" s="549"/>
      <c r="AL46" s="549"/>
      <c r="AM46" s="549"/>
      <c r="AN46" s="549"/>
      <c r="AO46" s="549"/>
      <c r="AP46" s="549"/>
      <c r="AQ46" s="549"/>
      <c r="AR46" s="549"/>
      <c r="AS46" s="549"/>
      <c r="AT46" s="549"/>
      <c r="AU46" s="549"/>
      <c r="AV46" s="549"/>
      <c r="AW46" s="549"/>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11"/>
      <c r="CG46" s="11"/>
      <c r="CH46" s="11"/>
      <c r="CI46" s="11"/>
    </row>
    <row r="47" spans="1:87" ht="12" customHeight="1">
      <c r="A47" s="549"/>
      <c r="B47" s="549"/>
      <c r="C47" s="549"/>
      <c r="D47" s="549"/>
      <c r="E47" s="549"/>
      <c r="F47" s="549"/>
      <c r="G47" s="549"/>
      <c r="H47" s="549"/>
      <c r="I47" s="549"/>
      <c r="J47" s="549"/>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c r="AI47" s="549"/>
      <c r="AJ47" s="549"/>
      <c r="AK47" s="549"/>
      <c r="AL47" s="549"/>
      <c r="AM47" s="549"/>
      <c r="AN47" s="549"/>
      <c r="AO47" s="549"/>
      <c r="AP47" s="549"/>
      <c r="AQ47" s="549"/>
      <c r="AR47" s="549"/>
      <c r="AS47" s="549"/>
      <c r="AT47" s="549"/>
      <c r="AU47" s="549"/>
      <c r="AV47" s="549"/>
      <c r="AW47" s="549"/>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11"/>
      <c r="CG47" s="11"/>
      <c r="CH47" s="11"/>
      <c r="CI47" s="11"/>
    </row>
  </sheetData>
  <mergeCells count="7">
    <mergeCell ref="A46:CE47"/>
    <mergeCell ref="A9:CE12"/>
    <mergeCell ref="A15:CE21"/>
    <mergeCell ref="A22:CE25"/>
    <mergeCell ref="A27:CE30"/>
    <mergeCell ref="A41:CE42"/>
    <mergeCell ref="A43:CE44"/>
  </mergeCells>
  <phoneticPr fontId="25"/>
  <printOptions horizontalCentered="1"/>
  <pageMargins left="0.59055118110236227" right="0.59055118110236227" top="0.78740157480314965" bottom="0" header="0.43307086614173229" footer="0"/>
  <pageSetup paperSize="9" fitToHeight="0" orientation="landscape" verticalDpi="1200" r:id="rId1"/>
  <rowBreaks count="1" manualBreakCount="1">
    <brk id="49"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E42"/>
  <sheetViews>
    <sheetView showGridLines="0" tabSelected="1" view="pageBreakPreview" zoomScale="85" zoomScaleNormal="100" zoomScaleSheetLayoutView="85" workbookViewId="0">
      <selection sqref="A1:CE1"/>
    </sheetView>
  </sheetViews>
  <sheetFormatPr defaultColWidth="1.625" defaultRowHeight="12" customHeight="1"/>
  <cols>
    <col min="1" max="1" width="1.625" customWidth="1"/>
  </cols>
  <sheetData>
    <row r="1" spans="1:83" ht="17.25" customHeight="1">
      <c r="A1" s="598" t="s">
        <v>32</v>
      </c>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599"/>
      <c r="AE1" s="599"/>
      <c r="AF1" s="599"/>
      <c r="AG1" s="599"/>
      <c r="AH1" s="599"/>
      <c r="AI1" s="599"/>
      <c r="AJ1" s="599"/>
      <c r="AK1" s="599"/>
      <c r="AL1" s="599"/>
      <c r="AM1" s="599"/>
      <c r="AN1" s="599"/>
      <c r="AO1" s="599"/>
      <c r="AP1" s="599"/>
      <c r="AQ1" s="599"/>
      <c r="AR1" s="599"/>
      <c r="AS1" s="599"/>
      <c r="AT1" s="599"/>
      <c r="AU1" s="599"/>
      <c r="AV1" s="599"/>
      <c r="AW1" s="599"/>
      <c r="AX1" s="599"/>
      <c r="AY1" s="599"/>
      <c r="AZ1" s="599"/>
      <c r="BA1" s="599"/>
      <c r="BB1" s="599"/>
      <c r="BC1" s="599"/>
      <c r="BD1" s="599"/>
      <c r="BE1" s="599"/>
      <c r="BF1" s="599"/>
      <c r="BG1" s="599"/>
      <c r="BH1" s="599"/>
      <c r="BI1" s="599"/>
      <c r="BJ1" s="599"/>
      <c r="BK1" s="599"/>
      <c r="BL1" s="599"/>
      <c r="BM1" s="599"/>
      <c r="BN1" s="599"/>
      <c r="BO1" s="599"/>
      <c r="BP1" s="599"/>
      <c r="BQ1" s="599"/>
      <c r="BR1" s="599"/>
      <c r="BS1" s="599"/>
      <c r="BT1" s="599"/>
      <c r="BU1" s="599"/>
      <c r="BV1" s="599"/>
      <c r="BW1" s="599"/>
      <c r="BX1" s="599"/>
      <c r="BY1" s="599"/>
      <c r="BZ1" s="599"/>
      <c r="CA1" s="599"/>
      <c r="CB1" s="599"/>
      <c r="CC1" s="599"/>
      <c r="CD1" s="599"/>
      <c r="CE1" s="599"/>
    </row>
    <row r="2" spans="1:83" ht="4.5" customHeight="1"/>
    <row r="3" spans="1:83" ht="12" customHeight="1">
      <c r="A3" s="593" t="s">
        <v>8</v>
      </c>
      <c r="B3" s="593"/>
      <c r="C3" s="593"/>
      <c r="D3" s="593"/>
      <c r="E3" s="593"/>
      <c r="F3" s="593"/>
      <c r="G3" s="593"/>
      <c r="H3" s="593"/>
      <c r="I3" s="592"/>
      <c r="J3" s="592"/>
      <c r="K3" s="592"/>
      <c r="L3" s="592"/>
      <c r="M3" s="592"/>
      <c r="N3" s="592"/>
      <c r="O3" s="592"/>
      <c r="P3" s="592"/>
      <c r="Q3" s="592"/>
      <c r="R3" s="592"/>
      <c r="S3" s="592"/>
      <c r="T3" s="592"/>
      <c r="U3" s="592"/>
      <c r="V3" s="592"/>
      <c r="W3" s="592"/>
      <c r="X3" s="592"/>
      <c r="Y3" s="592"/>
      <c r="Z3" s="592"/>
      <c r="AA3" s="592"/>
      <c r="AB3" s="592"/>
      <c r="AC3" s="592"/>
      <c r="AD3" s="593" t="s">
        <v>1</v>
      </c>
      <c r="AE3" s="593"/>
      <c r="AF3" s="593"/>
      <c r="AG3" s="593"/>
      <c r="AH3" s="593"/>
      <c r="AI3" s="593"/>
      <c r="AJ3" s="593"/>
      <c r="AK3" s="593"/>
      <c r="AL3" s="593"/>
      <c r="AM3" s="594" t="s">
        <v>11</v>
      </c>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6"/>
      <c r="BR3" s="600" t="s">
        <v>6</v>
      </c>
      <c r="BS3" s="600"/>
      <c r="BT3" s="601" t="s">
        <v>756</v>
      </c>
      <c r="BU3" s="593"/>
      <c r="BV3" s="593"/>
      <c r="BW3" s="593"/>
      <c r="BX3" s="593"/>
      <c r="BY3" s="600" t="s">
        <v>7</v>
      </c>
      <c r="BZ3" s="600"/>
      <c r="CA3" s="601" t="s">
        <v>757</v>
      </c>
      <c r="CB3" s="593"/>
      <c r="CC3" s="593"/>
      <c r="CD3" s="593"/>
      <c r="CE3" s="593"/>
    </row>
    <row r="4" spans="1:83" ht="12" customHeight="1">
      <c r="A4" s="593" t="s">
        <v>9</v>
      </c>
      <c r="B4" s="593"/>
      <c r="C4" s="593"/>
      <c r="D4" s="593"/>
      <c r="E4" s="593"/>
      <c r="F4" s="593"/>
      <c r="G4" s="593"/>
      <c r="H4" s="593"/>
      <c r="I4" s="591" t="s">
        <v>10</v>
      </c>
      <c r="J4" s="592"/>
      <c r="K4" s="592"/>
      <c r="L4" s="592"/>
      <c r="M4" s="592"/>
      <c r="N4" s="592"/>
      <c r="O4" s="592"/>
      <c r="P4" s="592"/>
      <c r="Q4" s="592"/>
      <c r="R4" s="592"/>
      <c r="S4" s="592"/>
      <c r="T4" s="592"/>
      <c r="U4" s="592"/>
      <c r="V4" s="592"/>
      <c r="W4" s="592"/>
      <c r="X4" s="592"/>
      <c r="Y4" s="592"/>
      <c r="Z4" s="592"/>
      <c r="AA4" s="592"/>
      <c r="AB4" s="592"/>
      <c r="AC4" s="592"/>
      <c r="AD4" s="593" t="s">
        <v>0</v>
      </c>
      <c r="AE4" s="593"/>
      <c r="AF4" s="593"/>
      <c r="AG4" s="593"/>
      <c r="AH4" s="593"/>
      <c r="AI4" s="593"/>
      <c r="AJ4" s="593"/>
      <c r="AK4" s="593"/>
      <c r="AL4" s="593"/>
      <c r="AM4" s="594" t="s">
        <v>17</v>
      </c>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6"/>
      <c r="BR4" s="600"/>
      <c r="BS4" s="600"/>
      <c r="BT4" s="593"/>
      <c r="BU4" s="593"/>
      <c r="BV4" s="593"/>
      <c r="BW4" s="593"/>
      <c r="BX4" s="593"/>
      <c r="BY4" s="600"/>
      <c r="BZ4" s="600"/>
      <c r="CA4" s="593"/>
      <c r="CB4" s="593"/>
      <c r="CC4" s="593"/>
      <c r="CD4" s="593"/>
      <c r="CE4" s="593"/>
    </row>
    <row r="5" spans="1:83" ht="12" customHeight="1">
      <c r="A5" s="593"/>
      <c r="B5" s="593"/>
      <c r="C5" s="593"/>
      <c r="D5" s="593"/>
      <c r="E5" s="593"/>
      <c r="F5" s="593"/>
      <c r="G5" s="593"/>
      <c r="H5" s="593"/>
      <c r="I5" s="592"/>
      <c r="J5" s="592"/>
      <c r="K5" s="592"/>
      <c r="L5" s="592"/>
      <c r="M5" s="592"/>
      <c r="N5" s="592"/>
      <c r="O5" s="592"/>
      <c r="P5" s="592"/>
      <c r="Q5" s="592"/>
      <c r="R5" s="592"/>
      <c r="S5" s="592"/>
      <c r="T5" s="592"/>
      <c r="U5" s="592"/>
      <c r="V5" s="592"/>
      <c r="W5" s="592"/>
      <c r="X5" s="592"/>
      <c r="Y5" s="592"/>
      <c r="Z5" s="592"/>
      <c r="AA5" s="592"/>
      <c r="AB5" s="592"/>
      <c r="AC5" s="592"/>
      <c r="AD5" s="593" t="s">
        <v>2</v>
      </c>
      <c r="AE5" s="593"/>
      <c r="AF5" s="593"/>
      <c r="AG5" s="593"/>
      <c r="AH5" s="597">
        <v>43503</v>
      </c>
      <c r="AI5" s="597"/>
      <c r="AJ5" s="597"/>
      <c r="AK5" s="597"/>
      <c r="AL5" s="597"/>
      <c r="AM5" s="597"/>
      <c r="AN5" s="597"/>
      <c r="AO5" s="593" t="s">
        <v>3</v>
      </c>
      <c r="AP5" s="593"/>
      <c r="AQ5" s="593"/>
      <c r="AR5" s="593"/>
      <c r="AS5" s="597">
        <v>43577</v>
      </c>
      <c r="AT5" s="597"/>
      <c r="AU5" s="597"/>
      <c r="AV5" s="597"/>
      <c r="AW5" s="597"/>
      <c r="AX5" s="597"/>
      <c r="AY5" s="597"/>
      <c r="AZ5" s="593" t="s">
        <v>4</v>
      </c>
      <c r="BA5" s="593"/>
      <c r="BB5" s="593"/>
      <c r="BC5" s="593"/>
      <c r="BD5" s="597"/>
      <c r="BE5" s="597"/>
      <c r="BF5" s="597"/>
      <c r="BG5" s="597"/>
      <c r="BH5" s="597"/>
      <c r="BI5" s="597"/>
      <c r="BJ5" s="597"/>
      <c r="BK5" s="593" t="s">
        <v>5</v>
      </c>
      <c r="BL5" s="593"/>
      <c r="BM5" s="593"/>
      <c r="BN5" s="602"/>
      <c r="BO5" s="602"/>
      <c r="BP5" s="602"/>
      <c r="BQ5" s="602"/>
      <c r="BR5" s="600"/>
      <c r="BS5" s="600"/>
      <c r="BT5" s="593"/>
      <c r="BU5" s="593"/>
      <c r="BV5" s="593"/>
      <c r="BW5" s="593"/>
      <c r="BX5" s="593"/>
      <c r="BY5" s="600"/>
      <c r="BZ5" s="600"/>
      <c r="CA5" s="593"/>
      <c r="CB5" s="593"/>
      <c r="CC5" s="593"/>
      <c r="CD5" s="593"/>
      <c r="CE5" s="593"/>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588" t="s">
        <v>22</v>
      </c>
      <c r="C9" s="589"/>
      <c r="D9" s="589"/>
      <c r="E9" s="590"/>
      <c r="F9" s="588" t="s">
        <v>23</v>
      </c>
      <c r="G9" s="589"/>
      <c r="H9" s="589"/>
      <c r="I9" s="589"/>
      <c r="J9" s="589"/>
      <c r="K9" s="589"/>
      <c r="L9" s="589"/>
      <c r="M9" s="590"/>
      <c r="N9" s="588" t="s">
        <v>24</v>
      </c>
      <c r="O9" s="589"/>
      <c r="P9" s="589"/>
      <c r="Q9" s="589"/>
      <c r="R9" s="589"/>
      <c r="S9" s="589"/>
      <c r="T9" s="589"/>
      <c r="U9" s="589"/>
      <c r="V9" s="589"/>
      <c r="W9" s="589"/>
      <c r="X9" s="589"/>
      <c r="Y9" s="589"/>
      <c r="Z9" s="589"/>
      <c r="AA9" s="589"/>
      <c r="AB9" s="589"/>
      <c r="AC9" s="589"/>
      <c r="AD9" s="589"/>
      <c r="AE9" s="589"/>
      <c r="AF9" s="589"/>
      <c r="AG9" s="589"/>
      <c r="AH9" s="589"/>
      <c r="AI9" s="589"/>
      <c r="AJ9" s="590"/>
      <c r="AK9" s="588" t="s">
        <v>25</v>
      </c>
      <c r="AL9" s="589"/>
      <c r="AM9" s="589"/>
      <c r="AN9" s="589"/>
      <c r="AO9" s="589"/>
      <c r="AP9" s="589"/>
      <c r="AQ9" s="590"/>
      <c r="AR9" s="588" t="s">
        <v>26</v>
      </c>
      <c r="AS9" s="589"/>
      <c r="AT9" s="589"/>
      <c r="AU9" s="589"/>
      <c r="AV9" s="589"/>
      <c r="AW9" s="589"/>
      <c r="AX9" s="589"/>
      <c r="AY9" s="589"/>
      <c r="AZ9" s="589"/>
      <c r="BA9" s="589"/>
      <c r="BB9" s="589"/>
      <c r="BC9" s="589"/>
      <c r="BD9" s="589"/>
      <c r="BE9" s="589"/>
      <c r="BF9" s="589"/>
      <c r="BG9" s="589"/>
      <c r="BH9" s="589"/>
      <c r="BI9" s="589"/>
      <c r="BJ9" s="589"/>
      <c r="BK9" s="589"/>
      <c r="BL9" s="589"/>
      <c r="BM9" s="589"/>
      <c r="BN9" s="589"/>
      <c r="BO9" s="589"/>
      <c r="BP9" s="589"/>
      <c r="BQ9" s="589"/>
      <c r="BR9" s="589"/>
      <c r="BS9" s="589"/>
      <c r="BT9" s="589"/>
      <c r="BU9" s="589"/>
      <c r="BV9" s="589"/>
      <c r="BW9" s="589"/>
      <c r="BX9" s="589"/>
      <c r="BY9" s="589"/>
      <c r="BZ9" s="589"/>
      <c r="CA9" s="589"/>
      <c r="CB9" s="589"/>
      <c r="CC9" s="589"/>
      <c r="CD9" s="590"/>
      <c r="CE9" s="12"/>
    </row>
    <row r="10" spans="1:83" ht="12" customHeight="1">
      <c r="A10" s="12"/>
      <c r="B10" s="576">
        <v>1</v>
      </c>
      <c r="C10" s="555"/>
      <c r="D10" s="555"/>
      <c r="E10" s="556"/>
      <c r="F10" s="575">
        <v>43503</v>
      </c>
      <c r="G10" s="555"/>
      <c r="H10" s="555"/>
      <c r="I10" s="555"/>
      <c r="J10" s="555"/>
      <c r="K10" s="555"/>
      <c r="L10" s="555"/>
      <c r="M10" s="556"/>
      <c r="N10" s="577" t="s">
        <v>27</v>
      </c>
      <c r="O10" s="561"/>
      <c r="P10" s="561"/>
      <c r="Q10" s="561"/>
      <c r="R10" s="561"/>
      <c r="S10" s="561"/>
      <c r="T10" s="561"/>
      <c r="U10" s="561"/>
      <c r="V10" s="561"/>
      <c r="W10" s="561"/>
      <c r="X10" s="561"/>
      <c r="Y10" s="561"/>
      <c r="Z10" s="561"/>
      <c r="AA10" s="561"/>
      <c r="AB10" s="561"/>
      <c r="AC10" s="561"/>
      <c r="AD10" s="561"/>
      <c r="AE10" s="561"/>
      <c r="AF10" s="561"/>
      <c r="AG10" s="561"/>
      <c r="AH10" s="561"/>
      <c r="AI10" s="561"/>
      <c r="AJ10" s="562"/>
      <c r="AK10" s="578" t="s">
        <v>33</v>
      </c>
      <c r="AL10" s="579"/>
      <c r="AM10" s="579"/>
      <c r="AN10" s="579"/>
      <c r="AO10" s="579"/>
      <c r="AP10" s="579"/>
      <c r="AQ10" s="580"/>
      <c r="AR10" s="560" t="s">
        <v>28</v>
      </c>
      <c r="AS10" s="561"/>
      <c r="AT10" s="561"/>
      <c r="AU10" s="561"/>
      <c r="AV10" s="561"/>
      <c r="AW10" s="561"/>
      <c r="AX10" s="561"/>
      <c r="AY10" s="561"/>
      <c r="AZ10" s="561"/>
      <c r="BA10" s="561"/>
      <c r="BB10" s="561"/>
      <c r="BC10" s="561"/>
      <c r="BD10" s="561"/>
      <c r="BE10" s="561"/>
      <c r="BF10" s="561"/>
      <c r="BG10" s="561"/>
      <c r="BH10" s="561"/>
      <c r="BI10" s="561"/>
      <c r="BJ10" s="561"/>
      <c r="BK10" s="561"/>
      <c r="BL10" s="561"/>
      <c r="BM10" s="561"/>
      <c r="BN10" s="561"/>
      <c r="BO10" s="561"/>
      <c r="BP10" s="561"/>
      <c r="BQ10" s="561"/>
      <c r="BR10" s="561"/>
      <c r="BS10" s="561"/>
      <c r="BT10" s="561"/>
      <c r="BU10" s="561"/>
      <c r="BV10" s="561"/>
      <c r="BW10" s="561"/>
      <c r="BX10" s="561"/>
      <c r="BY10" s="561"/>
      <c r="BZ10" s="561"/>
      <c r="CA10" s="561"/>
      <c r="CB10" s="561"/>
      <c r="CC10" s="561"/>
      <c r="CD10" s="562"/>
      <c r="CE10" s="12"/>
    </row>
    <row r="11" spans="1:83" ht="12" customHeight="1">
      <c r="A11" s="12"/>
      <c r="B11" s="581">
        <v>1.1000000000000001</v>
      </c>
      <c r="C11" s="582"/>
      <c r="D11" s="582"/>
      <c r="E11" s="583"/>
      <c r="F11" s="584">
        <v>43577</v>
      </c>
      <c r="G11" s="582"/>
      <c r="H11" s="582"/>
      <c r="I11" s="582"/>
      <c r="J11" s="582"/>
      <c r="K11" s="582"/>
      <c r="L11" s="582"/>
      <c r="M11" s="583"/>
      <c r="N11" s="585" t="s">
        <v>1232</v>
      </c>
      <c r="O11" s="586"/>
      <c r="P11" s="586"/>
      <c r="Q11" s="586"/>
      <c r="R11" s="586"/>
      <c r="S11" s="586"/>
      <c r="T11" s="586"/>
      <c r="U11" s="586"/>
      <c r="V11" s="586"/>
      <c r="W11" s="586"/>
      <c r="X11" s="586"/>
      <c r="Y11" s="586"/>
      <c r="Z11" s="586"/>
      <c r="AA11" s="586"/>
      <c r="AB11" s="586"/>
      <c r="AC11" s="586"/>
      <c r="AD11" s="586"/>
      <c r="AE11" s="586"/>
      <c r="AF11" s="586"/>
      <c r="AG11" s="586"/>
      <c r="AH11" s="586"/>
      <c r="AI11" s="586"/>
      <c r="AJ11" s="587"/>
      <c r="AK11" s="581" t="s">
        <v>1230</v>
      </c>
      <c r="AL11" s="582"/>
      <c r="AM11" s="582"/>
      <c r="AN11" s="582"/>
      <c r="AO11" s="582"/>
      <c r="AP11" s="582"/>
      <c r="AQ11" s="583"/>
      <c r="AR11" s="572" t="s">
        <v>1231</v>
      </c>
      <c r="AS11" s="573"/>
      <c r="AT11" s="573"/>
      <c r="AU11" s="573"/>
      <c r="AV11" s="573"/>
      <c r="AW11" s="573"/>
      <c r="AX11" s="573"/>
      <c r="AY11" s="573"/>
      <c r="AZ11" s="573"/>
      <c r="BA11" s="573"/>
      <c r="BB11" s="573"/>
      <c r="BC11" s="573"/>
      <c r="BD11" s="573"/>
      <c r="BE11" s="573"/>
      <c r="BF11" s="573"/>
      <c r="BG11" s="573"/>
      <c r="BH11" s="573"/>
      <c r="BI11" s="573"/>
      <c r="BJ11" s="573"/>
      <c r="BK11" s="573"/>
      <c r="BL11" s="573"/>
      <c r="BM11" s="573"/>
      <c r="BN11" s="573"/>
      <c r="BO11" s="573"/>
      <c r="BP11" s="573"/>
      <c r="BQ11" s="573"/>
      <c r="BR11" s="573"/>
      <c r="BS11" s="573"/>
      <c r="BT11" s="573"/>
      <c r="BU11" s="573"/>
      <c r="BV11" s="573"/>
      <c r="BW11" s="573"/>
      <c r="BX11" s="573"/>
      <c r="BY11" s="573"/>
      <c r="BZ11" s="573"/>
      <c r="CA11" s="573"/>
      <c r="CB11" s="573"/>
      <c r="CC11" s="573"/>
      <c r="CD11" s="574"/>
      <c r="CE11" s="12"/>
    </row>
    <row r="12" spans="1:83" ht="12" customHeight="1">
      <c r="A12" s="12"/>
      <c r="B12" s="554"/>
      <c r="C12" s="555"/>
      <c r="D12" s="555"/>
      <c r="E12" s="556"/>
      <c r="F12" s="554"/>
      <c r="G12" s="555"/>
      <c r="H12" s="555"/>
      <c r="I12" s="555"/>
      <c r="J12" s="555"/>
      <c r="K12" s="555"/>
      <c r="L12" s="555"/>
      <c r="M12" s="556"/>
      <c r="N12" s="569"/>
      <c r="O12" s="570"/>
      <c r="P12" s="570"/>
      <c r="Q12" s="570"/>
      <c r="R12" s="570"/>
      <c r="S12" s="570"/>
      <c r="T12" s="570"/>
      <c r="U12" s="570"/>
      <c r="V12" s="570"/>
      <c r="W12" s="570"/>
      <c r="X12" s="570"/>
      <c r="Y12" s="570"/>
      <c r="Z12" s="570"/>
      <c r="AA12" s="570"/>
      <c r="AB12" s="570"/>
      <c r="AC12" s="570"/>
      <c r="AD12" s="570"/>
      <c r="AE12" s="570"/>
      <c r="AF12" s="570"/>
      <c r="AG12" s="570"/>
      <c r="AH12" s="570"/>
      <c r="AI12" s="570"/>
      <c r="AJ12" s="571"/>
      <c r="AK12" s="554"/>
      <c r="AL12" s="555"/>
      <c r="AM12" s="555"/>
      <c r="AN12" s="555"/>
      <c r="AO12" s="555"/>
      <c r="AP12" s="555"/>
      <c r="AQ12" s="556"/>
      <c r="AR12" s="572"/>
      <c r="AS12" s="573"/>
      <c r="AT12" s="573"/>
      <c r="AU12" s="573"/>
      <c r="AV12" s="573"/>
      <c r="AW12" s="573"/>
      <c r="AX12" s="573"/>
      <c r="AY12" s="573"/>
      <c r="AZ12" s="573"/>
      <c r="BA12" s="573"/>
      <c r="BB12" s="573"/>
      <c r="BC12" s="573"/>
      <c r="BD12" s="573"/>
      <c r="BE12" s="573"/>
      <c r="BF12" s="573"/>
      <c r="BG12" s="573"/>
      <c r="BH12" s="573"/>
      <c r="BI12" s="573"/>
      <c r="BJ12" s="573"/>
      <c r="BK12" s="573"/>
      <c r="BL12" s="573"/>
      <c r="BM12" s="573"/>
      <c r="BN12" s="573"/>
      <c r="BO12" s="573"/>
      <c r="BP12" s="573"/>
      <c r="BQ12" s="573"/>
      <c r="BR12" s="573"/>
      <c r="BS12" s="573"/>
      <c r="BT12" s="573"/>
      <c r="BU12" s="573"/>
      <c r="BV12" s="573"/>
      <c r="BW12" s="573"/>
      <c r="BX12" s="573"/>
      <c r="BY12" s="573"/>
      <c r="BZ12" s="573"/>
      <c r="CA12" s="573"/>
      <c r="CB12" s="573"/>
      <c r="CC12" s="573"/>
      <c r="CD12" s="574"/>
      <c r="CE12" s="12"/>
    </row>
    <row r="13" spans="1:83" ht="12" customHeight="1">
      <c r="A13" s="12"/>
      <c r="B13" s="554"/>
      <c r="C13" s="555"/>
      <c r="D13" s="555"/>
      <c r="E13" s="556"/>
      <c r="F13" s="554"/>
      <c r="G13" s="555"/>
      <c r="H13" s="555"/>
      <c r="I13" s="555"/>
      <c r="J13" s="555"/>
      <c r="K13" s="555"/>
      <c r="L13" s="555"/>
      <c r="M13" s="556"/>
      <c r="N13" s="569"/>
      <c r="O13" s="570"/>
      <c r="P13" s="570"/>
      <c r="Q13" s="570"/>
      <c r="R13" s="570"/>
      <c r="S13" s="570"/>
      <c r="T13" s="570"/>
      <c r="U13" s="570"/>
      <c r="V13" s="570"/>
      <c r="W13" s="570"/>
      <c r="X13" s="570"/>
      <c r="Y13" s="570"/>
      <c r="Z13" s="570"/>
      <c r="AA13" s="570"/>
      <c r="AB13" s="570"/>
      <c r="AC13" s="570"/>
      <c r="AD13" s="570"/>
      <c r="AE13" s="570"/>
      <c r="AF13" s="570"/>
      <c r="AG13" s="570"/>
      <c r="AH13" s="570"/>
      <c r="AI13" s="570"/>
      <c r="AJ13" s="571"/>
      <c r="AK13" s="554"/>
      <c r="AL13" s="555"/>
      <c r="AM13" s="555"/>
      <c r="AN13" s="555"/>
      <c r="AO13" s="555"/>
      <c r="AP13" s="555"/>
      <c r="AQ13" s="556"/>
      <c r="AR13" s="563"/>
      <c r="AS13" s="563"/>
      <c r="AT13" s="563"/>
      <c r="AU13" s="563"/>
      <c r="AV13" s="563"/>
      <c r="AW13" s="563"/>
      <c r="AX13" s="563"/>
      <c r="AY13" s="563"/>
      <c r="AZ13" s="563"/>
      <c r="BA13" s="563"/>
      <c r="BB13" s="563"/>
      <c r="BC13" s="563"/>
      <c r="BD13" s="563"/>
      <c r="BE13" s="563"/>
      <c r="BF13" s="563"/>
      <c r="BG13" s="563"/>
      <c r="BH13" s="563"/>
      <c r="BI13" s="563"/>
      <c r="BJ13" s="563"/>
      <c r="BK13" s="563"/>
      <c r="BL13" s="563"/>
      <c r="BM13" s="563"/>
      <c r="BN13" s="563"/>
      <c r="BO13" s="563"/>
      <c r="BP13" s="563"/>
      <c r="BQ13" s="563"/>
      <c r="BR13" s="563"/>
      <c r="BS13" s="563"/>
      <c r="BT13" s="563"/>
      <c r="BU13" s="563"/>
      <c r="BV13" s="563"/>
      <c r="BW13" s="563"/>
      <c r="BX13" s="563"/>
      <c r="BY13" s="563"/>
      <c r="BZ13" s="563"/>
      <c r="CA13" s="563"/>
      <c r="CB13" s="563"/>
      <c r="CC13" s="563"/>
      <c r="CD13" s="563"/>
      <c r="CE13" s="12"/>
    </row>
    <row r="14" spans="1:83" ht="12" customHeight="1">
      <c r="A14" s="12"/>
      <c r="B14" s="554"/>
      <c r="C14" s="555"/>
      <c r="D14" s="555"/>
      <c r="E14" s="556"/>
      <c r="F14" s="554"/>
      <c r="G14" s="555"/>
      <c r="H14" s="555"/>
      <c r="I14" s="555"/>
      <c r="J14" s="555"/>
      <c r="K14" s="555"/>
      <c r="L14" s="555"/>
      <c r="M14" s="556"/>
      <c r="N14" s="569"/>
      <c r="O14" s="570"/>
      <c r="P14" s="570"/>
      <c r="Q14" s="570"/>
      <c r="R14" s="570"/>
      <c r="S14" s="570"/>
      <c r="T14" s="570"/>
      <c r="U14" s="570"/>
      <c r="V14" s="570"/>
      <c r="W14" s="570"/>
      <c r="X14" s="570"/>
      <c r="Y14" s="570"/>
      <c r="Z14" s="570"/>
      <c r="AA14" s="570"/>
      <c r="AB14" s="570"/>
      <c r="AC14" s="570"/>
      <c r="AD14" s="570"/>
      <c r="AE14" s="570"/>
      <c r="AF14" s="570"/>
      <c r="AG14" s="570"/>
      <c r="AH14" s="570"/>
      <c r="AI14" s="570"/>
      <c r="AJ14" s="571"/>
      <c r="AK14" s="554"/>
      <c r="AL14" s="555"/>
      <c r="AM14" s="555"/>
      <c r="AN14" s="555"/>
      <c r="AO14" s="555"/>
      <c r="AP14" s="555"/>
      <c r="AQ14" s="556"/>
      <c r="AR14" s="572"/>
      <c r="AS14" s="573"/>
      <c r="AT14" s="573"/>
      <c r="AU14" s="573"/>
      <c r="AV14" s="573"/>
      <c r="AW14" s="573"/>
      <c r="AX14" s="573"/>
      <c r="AY14" s="573"/>
      <c r="AZ14" s="573"/>
      <c r="BA14" s="573"/>
      <c r="BB14" s="573"/>
      <c r="BC14" s="573"/>
      <c r="BD14" s="573"/>
      <c r="BE14" s="573"/>
      <c r="BF14" s="573"/>
      <c r="BG14" s="573"/>
      <c r="BH14" s="573"/>
      <c r="BI14" s="573"/>
      <c r="BJ14" s="573"/>
      <c r="BK14" s="573"/>
      <c r="BL14" s="573"/>
      <c r="BM14" s="573"/>
      <c r="BN14" s="573"/>
      <c r="BO14" s="573"/>
      <c r="BP14" s="573"/>
      <c r="BQ14" s="573"/>
      <c r="BR14" s="573"/>
      <c r="BS14" s="573"/>
      <c r="BT14" s="573"/>
      <c r="BU14" s="573"/>
      <c r="BV14" s="573"/>
      <c r="BW14" s="573"/>
      <c r="BX14" s="573"/>
      <c r="BY14" s="573"/>
      <c r="BZ14" s="573"/>
      <c r="CA14" s="573"/>
      <c r="CB14" s="573"/>
      <c r="CC14" s="573"/>
      <c r="CD14" s="574"/>
      <c r="CE14" s="12"/>
    </row>
    <row r="15" spans="1:83" ht="12" customHeight="1">
      <c r="A15" s="12"/>
      <c r="B15" s="554"/>
      <c r="C15" s="555"/>
      <c r="D15" s="555"/>
      <c r="E15" s="556"/>
      <c r="F15" s="575"/>
      <c r="G15" s="555"/>
      <c r="H15" s="555"/>
      <c r="I15" s="555"/>
      <c r="J15" s="555"/>
      <c r="K15" s="555"/>
      <c r="L15" s="555"/>
      <c r="M15" s="556"/>
      <c r="N15" s="557"/>
      <c r="O15" s="558"/>
      <c r="P15" s="558"/>
      <c r="Q15" s="558"/>
      <c r="R15" s="558"/>
      <c r="S15" s="558"/>
      <c r="T15" s="558"/>
      <c r="U15" s="558"/>
      <c r="V15" s="558"/>
      <c r="W15" s="558"/>
      <c r="X15" s="558"/>
      <c r="Y15" s="558"/>
      <c r="Z15" s="558"/>
      <c r="AA15" s="558"/>
      <c r="AB15" s="558"/>
      <c r="AC15" s="558"/>
      <c r="AD15" s="558"/>
      <c r="AE15" s="558"/>
      <c r="AF15" s="558"/>
      <c r="AG15" s="558"/>
      <c r="AH15" s="558"/>
      <c r="AI15" s="558"/>
      <c r="AJ15" s="559"/>
      <c r="AK15" s="554"/>
      <c r="AL15" s="555"/>
      <c r="AM15" s="555"/>
      <c r="AN15" s="555"/>
      <c r="AO15" s="555"/>
      <c r="AP15" s="555"/>
      <c r="AQ15" s="555"/>
      <c r="AR15" s="563"/>
      <c r="AS15" s="563"/>
      <c r="AT15" s="563"/>
      <c r="AU15" s="563"/>
      <c r="AV15" s="563"/>
      <c r="AW15" s="563"/>
      <c r="AX15" s="563"/>
      <c r="AY15" s="563"/>
      <c r="AZ15" s="563"/>
      <c r="BA15" s="563"/>
      <c r="BB15" s="563"/>
      <c r="BC15" s="563"/>
      <c r="BD15" s="563"/>
      <c r="BE15" s="563"/>
      <c r="BF15" s="563"/>
      <c r="BG15" s="563"/>
      <c r="BH15" s="563"/>
      <c r="BI15" s="563"/>
      <c r="BJ15" s="563"/>
      <c r="BK15" s="563"/>
      <c r="BL15" s="563"/>
      <c r="BM15" s="563"/>
      <c r="BN15" s="563"/>
      <c r="BO15" s="563"/>
      <c r="BP15" s="563"/>
      <c r="BQ15" s="563"/>
      <c r="BR15" s="563"/>
      <c r="BS15" s="563"/>
      <c r="BT15" s="563"/>
      <c r="BU15" s="563"/>
      <c r="BV15" s="563"/>
      <c r="BW15" s="563"/>
      <c r="BX15" s="563"/>
      <c r="BY15" s="563"/>
      <c r="BZ15" s="563"/>
      <c r="CA15" s="563"/>
      <c r="CB15" s="563"/>
      <c r="CC15" s="563"/>
      <c r="CD15" s="563"/>
      <c r="CE15" s="12"/>
    </row>
    <row r="16" spans="1:83" ht="12" customHeight="1">
      <c r="A16" s="12"/>
      <c r="B16" s="554"/>
      <c r="C16" s="555"/>
      <c r="D16" s="555"/>
      <c r="E16" s="556"/>
      <c r="F16" s="554"/>
      <c r="G16" s="555"/>
      <c r="H16" s="555"/>
      <c r="I16" s="555"/>
      <c r="J16" s="555"/>
      <c r="K16" s="555"/>
      <c r="L16" s="555"/>
      <c r="M16" s="556"/>
      <c r="N16" s="557"/>
      <c r="O16" s="558"/>
      <c r="P16" s="558"/>
      <c r="Q16" s="558"/>
      <c r="R16" s="558"/>
      <c r="S16" s="558"/>
      <c r="T16" s="558"/>
      <c r="U16" s="558"/>
      <c r="V16" s="558"/>
      <c r="W16" s="558"/>
      <c r="X16" s="558"/>
      <c r="Y16" s="558"/>
      <c r="Z16" s="558"/>
      <c r="AA16" s="558"/>
      <c r="AB16" s="558"/>
      <c r="AC16" s="558"/>
      <c r="AD16" s="558"/>
      <c r="AE16" s="558"/>
      <c r="AF16" s="558"/>
      <c r="AG16" s="558"/>
      <c r="AH16" s="558"/>
      <c r="AI16" s="558"/>
      <c r="AJ16" s="559"/>
      <c r="AK16" s="554"/>
      <c r="AL16" s="555"/>
      <c r="AM16" s="555"/>
      <c r="AN16" s="555"/>
      <c r="AO16" s="555"/>
      <c r="AP16" s="555"/>
      <c r="AQ16" s="555"/>
      <c r="AR16" s="563"/>
      <c r="AS16" s="563"/>
      <c r="AT16" s="563"/>
      <c r="AU16" s="563"/>
      <c r="AV16" s="563"/>
      <c r="AW16" s="563"/>
      <c r="AX16" s="563"/>
      <c r="AY16" s="563"/>
      <c r="AZ16" s="563"/>
      <c r="BA16" s="563"/>
      <c r="BB16" s="563"/>
      <c r="BC16" s="563"/>
      <c r="BD16" s="563"/>
      <c r="BE16" s="563"/>
      <c r="BF16" s="563"/>
      <c r="BG16" s="563"/>
      <c r="BH16" s="563"/>
      <c r="BI16" s="563"/>
      <c r="BJ16" s="563"/>
      <c r="BK16" s="563"/>
      <c r="BL16" s="563"/>
      <c r="BM16" s="563"/>
      <c r="BN16" s="563"/>
      <c r="BO16" s="563"/>
      <c r="BP16" s="563"/>
      <c r="BQ16" s="563"/>
      <c r="BR16" s="563"/>
      <c r="BS16" s="563"/>
      <c r="BT16" s="563"/>
      <c r="BU16" s="563"/>
      <c r="BV16" s="563"/>
      <c r="BW16" s="563"/>
      <c r="BX16" s="563"/>
      <c r="BY16" s="563"/>
      <c r="BZ16" s="563"/>
      <c r="CA16" s="563"/>
      <c r="CB16" s="563"/>
      <c r="CC16" s="563"/>
      <c r="CD16" s="563"/>
      <c r="CE16" s="12"/>
    </row>
    <row r="17" spans="1:83" ht="13.5">
      <c r="A17" s="12"/>
      <c r="B17" s="554"/>
      <c r="C17" s="555"/>
      <c r="D17" s="555"/>
      <c r="E17" s="556"/>
      <c r="F17" s="554"/>
      <c r="G17" s="555"/>
      <c r="H17" s="555"/>
      <c r="I17" s="555"/>
      <c r="J17" s="555"/>
      <c r="K17" s="555"/>
      <c r="L17" s="555"/>
      <c r="M17" s="556"/>
      <c r="N17" s="557"/>
      <c r="O17" s="558"/>
      <c r="P17" s="558"/>
      <c r="Q17" s="558"/>
      <c r="R17" s="558"/>
      <c r="S17" s="558"/>
      <c r="T17" s="558"/>
      <c r="U17" s="558"/>
      <c r="V17" s="558"/>
      <c r="W17" s="558"/>
      <c r="X17" s="558"/>
      <c r="Y17" s="558"/>
      <c r="Z17" s="558"/>
      <c r="AA17" s="558"/>
      <c r="AB17" s="558"/>
      <c r="AC17" s="558"/>
      <c r="AD17" s="558"/>
      <c r="AE17" s="558"/>
      <c r="AF17" s="558"/>
      <c r="AG17" s="558"/>
      <c r="AH17" s="558"/>
      <c r="AI17" s="558"/>
      <c r="AJ17" s="559"/>
      <c r="AK17" s="554"/>
      <c r="AL17" s="555"/>
      <c r="AM17" s="555"/>
      <c r="AN17" s="555"/>
      <c r="AO17" s="555"/>
      <c r="AP17" s="555"/>
      <c r="AQ17" s="555"/>
      <c r="AR17" s="565"/>
      <c r="AS17" s="565"/>
      <c r="AT17" s="565"/>
      <c r="AU17" s="565"/>
      <c r="AV17" s="565"/>
      <c r="AW17" s="565"/>
      <c r="AX17" s="565"/>
      <c r="AY17" s="565"/>
      <c r="AZ17" s="565"/>
      <c r="BA17" s="565"/>
      <c r="BB17" s="565"/>
      <c r="BC17" s="565"/>
      <c r="BD17" s="565"/>
      <c r="BE17" s="565"/>
      <c r="BF17" s="565"/>
      <c r="BG17" s="565"/>
      <c r="BH17" s="565"/>
      <c r="BI17" s="565"/>
      <c r="BJ17" s="565"/>
      <c r="BK17" s="565"/>
      <c r="BL17" s="565"/>
      <c r="BM17" s="565"/>
      <c r="BN17" s="565"/>
      <c r="BO17" s="565"/>
      <c r="BP17" s="565"/>
      <c r="BQ17" s="565"/>
      <c r="BR17" s="565"/>
      <c r="BS17" s="565"/>
      <c r="BT17" s="565"/>
      <c r="BU17" s="565"/>
      <c r="BV17" s="565"/>
      <c r="BW17" s="565"/>
      <c r="BX17" s="565"/>
      <c r="BY17" s="565"/>
      <c r="BZ17" s="565"/>
      <c r="CA17" s="565"/>
      <c r="CB17" s="565"/>
      <c r="CC17" s="565"/>
      <c r="CD17" s="565"/>
      <c r="CE17" s="12"/>
    </row>
    <row r="18" spans="1:83" ht="12" customHeight="1">
      <c r="A18" s="12"/>
      <c r="B18" s="554"/>
      <c r="C18" s="555"/>
      <c r="D18" s="555"/>
      <c r="E18" s="556"/>
      <c r="F18" s="554"/>
      <c r="G18" s="555"/>
      <c r="H18" s="555"/>
      <c r="I18" s="555"/>
      <c r="J18" s="555"/>
      <c r="K18" s="555"/>
      <c r="L18" s="555"/>
      <c r="M18" s="556"/>
      <c r="N18" s="557"/>
      <c r="O18" s="558"/>
      <c r="P18" s="558"/>
      <c r="Q18" s="558"/>
      <c r="R18" s="558"/>
      <c r="S18" s="558"/>
      <c r="T18" s="558"/>
      <c r="U18" s="558"/>
      <c r="V18" s="558"/>
      <c r="W18" s="558"/>
      <c r="X18" s="558"/>
      <c r="Y18" s="558"/>
      <c r="Z18" s="558"/>
      <c r="AA18" s="558"/>
      <c r="AB18" s="558"/>
      <c r="AC18" s="558"/>
      <c r="AD18" s="558"/>
      <c r="AE18" s="558"/>
      <c r="AF18" s="558"/>
      <c r="AG18" s="558"/>
      <c r="AH18" s="558"/>
      <c r="AI18" s="558"/>
      <c r="AJ18" s="559"/>
      <c r="AK18" s="554"/>
      <c r="AL18" s="555"/>
      <c r="AM18" s="555"/>
      <c r="AN18" s="555"/>
      <c r="AO18" s="555"/>
      <c r="AP18" s="555"/>
      <c r="AQ18" s="555"/>
      <c r="AR18" s="563"/>
      <c r="AS18" s="563"/>
      <c r="AT18" s="563"/>
      <c r="AU18" s="563"/>
      <c r="AV18" s="563"/>
      <c r="AW18" s="563"/>
      <c r="AX18" s="563"/>
      <c r="AY18" s="563"/>
      <c r="AZ18" s="563"/>
      <c r="BA18" s="563"/>
      <c r="BB18" s="563"/>
      <c r="BC18" s="563"/>
      <c r="BD18" s="563"/>
      <c r="BE18" s="563"/>
      <c r="BF18" s="563"/>
      <c r="BG18" s="563"/>
      <c r="BH18" s="563"/>
      <c r="BI18" s="563"/>
      <c r="BJ18" s="563"/>
      <c r="BK18" s="563"/>
      <c r="BL18" s="563"/>
      <c r="BM18" s="563"/>
      <c r="BN18" s="563"/>
      <c r="BO18" s="563"/>
      <c r="BP18" s="563"/>
      <c r="BQ18" s="563"/>
      <c r="BR18" s="563"/>
      <c r="BS18" s="563"/>
      <c r="BT18" s="563"/>
      <c r="BU18" s="563"/>
      <c r="BV18" s="563"/>
      <c r="BW18" s="563"/>
      <c r="BX18" s="563"/>
      <c r="BY18" s="563"/>
      <c r="BZ18" s="563"/>
      <c r="CA18" s="563"/>
      <c r="CB18" s="563"/>
      <c r="CC18" s="563"/>
      <c r="CD18" s="563"/>
      <c r="CE18" s="12"/>
    </row>
    <row r="19" spans="1:83" ht="12" customHeight="1">
      <c r="A19" s="12"/>
      <c r="B19" s="554"/>
      <c r="C19" s="555"/>
      <c r="D19" s="555"/>
      <c r="E19" s="556"/>
      <c r="F19" s="554"/>
      <c r="G19" s="555"/>
      <c r="H19" s="555"/>
      <c r="I19" s="555"/>
      <c r="J19" s="555"/>
      <c r="K19" s="555"/>
      <c r="L19" s="555"/>
      <c r="M19" s="556"/>
      <c r="N19" s="557"/>
      <c r="O19" s="558"/>
      <c r="P19" s="558"/>
      <c r="Q19" s="558"/>
      <c r="R19" s="558"/>
      <c r="S19" s="558"/>
      <c r="T19" s="558"/>
      <c r="U19" s="558"/>
      <c r="V19" s="558"/>
      <c r="W19" s="558"/>
      <c r="X19" s="558"/>
      <c r="Y19" s="558"/>
      <c r="Z19" s="558"/>
      <c r="AA19" s="558"/>
      <c r="AB19" s="558"/>
      <c r="AC19" s="558"/>
      <c r="AD19" s="558"/>
      <c r="AE19" s="558"/>
      <c r="AF19" s="558"/>
      <c r="AG19" s="558"/>
      <c r="AH19" s="558"/>
      <c r="AI19" s="558"/>
      <c r="AJ19" s="559"/>
      <c r="AK19" s="554"/>
      <c r="AL19" s="555"/>
      <c r="AM19" s="555"/>
      <c r="AN19" s="555"/>
      <c r="AO19" s="555"/>
      <c r="AP19" s="555"/>
      <c r="AQ19" s="555"/>
      <c r="AR19" s="563"/>
      <c r="AS19" s="563"/>
      <c r="AT19" s="563"/>
      <c r="AU19" s="563"/>
      <c r="AV19" s="563"/>
      <c r="AW19" s="563"/>
      <c r="AX19" s="563"/>
      <c r="AY19" s="563"/>
      <c r="AZ19" s="563"/>
      <c r="BA19" s="563"/>
      <c r="BB19" s="563"/>
      <c r="BC19" s="563"/>
      <c r="BD19" s="563"/>
      <c r="BE19" s="563"/>
      <c r="BF19" s="563"/>
      <c r="BG19" s="563"/>
      <c r="BH19" s="563"/>
      <c r="BI19" s="563"/>
      <c r="BJ19" s="563"/>
      <c r="BK19" s="563"/>
      <c r="BL19" s="563"/>
      <c r="BM19" s="563"/>
      <c r="BN19" s="563"/>
      <c r="BO19" s="563"/>
      <c r="BP19" s="563"/>
      <c r="BQ19" s="563"/>
      <c r="BR19" s="563"/>
      <c r="BS19" s="563"/>
      <c r="BT19" s="563"/>
      <c r="BU19" s="563"/>
      <c r="BV19" s="563"/>
      <c r="BW19" s="563"/>
      <c r="BX19" s="563"/>
      <c r="BY19" s="563"/>
      <c r="BZ19" s="563"/>
      <c r="CA19" s="563"/>
      <c r="CB19" s="563"/>
      <c r="CC19" s="563"/>
      <c r="CD19" s="563"/>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563"/>
      <c r="AS20" s="563"/>
      <c r="AT20" s="563"/>
      <c r="AU20" s="563"/>
      <c r="AV20" s="563"/>
      <c r="AW20" s="563"/>
      <c r="AX20" s="563"/>
      <c r="AY20" s="563"/>
      <c r="AZ20" s="563"/>
      <c r="BA20" s="563"/>
      <c r="BB20" s="563"/>
      <c r="BC20" s="563"/>
      <c r="BD20" s="563"/>
      <c r="BE20" s="563"/>
      <c r="BF20" s="563"/>
      <c r="BG20" s="563"/>
      <c r="BH20" s="563"/>
      <c r="BI20" s="563"/>
      <c r="BJ20" s="563"/>
      <c r="BK20" s="563"/>
      <c r="BL20" s="563"/>
      <c r="BM20" s="563"/>
      <c r="BN20" s="563"/>
      <c r="BO20" s="563"/>
      <c r="BP20" s="563"/>
      <c r="BQ20" s="563"/>
      <c r="BR20" s="563"/>
      <c r="BS20" s="563"/>
      <c r="BT20" s="563"/>
      <c r="BU20" s="563"/>
      <c r="BV20" s="563"/>
      <c r="BW20" s="563"/>
      <c r="BX20" s="563"/>
      <c r="BY20" s="563"/>
      <c r="BZ20" s="563"/>
      <c r="CA20" s="563"/>
      <c r="CB20" s="563"/>
      <c r="CC20" s="563"/>
      <c r="CD20" s="563"/>
      <c r="CE20" s="12"/>
    </row>
    <row r="21" spans="1:83" ht="12" customHeight="1">
      <c r="A21" s="12"/>
      <c r="B21" s="554"/>
      <c r="C21" s="555"/>
      <c r="D21" s="555"/>
      <c r="E21" s="556"/>
      <c r="F21" s="554"/>
      <c r="G21" s="555"/>
      <c r="H21" s="555"/>
      <c r="I21" s="555"/>
      <c r="J21" s="555"/>
      <c r="K21" s="555"/>
      <c r="L21" s="555"/>
      <c r="M21" s="556"/>
      <c r="N21" s="557"/>
      <c r="O21" s="558"/>
      <c r="P21" s="558"/>
      <c r="Q21" s="558"/>
      <c r="R21" s="558"/>
      <c r="S21" s="558"/>
      <c r="T21" s="558"/>
      <c r="U21" s="558"/>
      <c r="V21" s="558"/>
      <c r="W21" s="558"/>
      <c r="X21" s="558"/>
      <c r="Y21" s="558"/>
      <c r="Z21" s="558"/>
      <c r="AA21" s="558"/>
      <c r="AB21" s="558"/>
      <c r="AC21" s="558"/>
      <c r="AD21" s="558"/>
      <c r="AE21" s="558"/>
      <c r="AF21" s="558"/>
      <c r="AG21" s="558"/>
      <c r="AH21" s="558"/>
      <c r="AI21" s="558"/>
      <c r="AJ21" s="559"/>
      <c r="AK21" s="554"/>
      <c r="AL21" s="555"/>
      <c r="AM21" s="555"/>
      <c r="AN21" s="555"/>
      <c r="AO21" s="555"/>
      <c r="AP21" s="555"/>
      <c r="AQ21" s="555"/>
      <c r="AR21" s="563"/>
      <c r="AS21" s="563"/>
      <c r="AT21" s="563"/>
      <c r="AU21" s="563"/>
      <c r="AV21" s="563"/>
      <c r="AW21" s="563"/>
      <c r="AX21" s="563"/>
      <c r="AY21" s="563"/>
      <c r="AZ21" s="563"/>
      <c r="BA21" s="563"/>
      <c r="BB21" s="563"/>
      <c r="BC21" s="563"/>
      <c r="BD21" s="563"/>
      <c r="BE21" s="563"/>
      <c r="BF21" s="563"/>
      <c r="BG21" s="563"/>
      <c r="BH21" s="563"/>
      <c r="BI21" s="563"/>
      <c r="BJ21" s="563"/>
      <c r="BK21" s="563"/>
      <c r="BL21" s="563"/>
      <c r="BM21" s="563"/>
      <c r="BN21" s="563"/>
      <c r="BO21" s="563"/>
      <c r="BP21" s="563"/>
      <c r="BQ21" s="563"/>
      <c r="BR21" s="563"/>
      <c r="BS21" s="563"/>
      <c r="BT21" s="563"/>
      <c r="BU21" s="563"/>
      <c r="BV21" s="563"/>
      <c r="BW21" s="563"/>
      <c r="BX21" s="563"/>
      <c r="BY21" s="563"/>
      <c r="BZ21" s="563"/>
      <c r="CA21" s="563"/>
      <c r="CB21" s="563"/>
      <c r="CC21" s="563"/>
      <c r="CD21" s="563"/>
      <c r="CE21" s="12"/>
    </row>
    <row r="22" spans="1:83" ht="12" customHeight="1">
      <c r="A22" s="12"/>
      <c r="B22" s="554"/>
      <c r="C22" s="555"/>
      <c r="D22" s="555"/>
      <c r="E22" s="556"/>
      <c r="F22" s="554"/>
      <c r="G22" s="555"/>
      <c r="H22" s="555"/>
      <c r="I22" s="555"/>
      <c r="J22" s="555"/>
      <c r="K22" s="555"/>
      <c r="L22" s="555"/>
      <c r="M22" s="556"/>
      <c r="N22" s="557"/>
      <c r="O22" s="558"/>
      <c r="P22" s="558"/>
      <c r="Q22" s="558"/>
      <c r="R22" s="558"/>
      <c r="S22" s="558"/>
      <c r="T22" s="558"/>
      <c r="U22" s="558"/>
      <c r="V22" s="558"/>
      <c r="W22" s="558"/>
      <c r="X22" s="558"/>
      <c r="Y22" s="558"/>
      <c r="Z22" s="558"/>
      <c r="AA22" s="558"/>
      <c r="AB22" s="558"/>
      <c r="AC22" s="558"/>
      <c r="AD22" s="558"/>
      <c r="AE22" s="558"/>
      <c r="AF22" s="558"/>
      <c r="AG22" s="558"/>
      <c r="AH22" s="558"/>
      <c r="AI22" s="558"/>
      <c r="AJ22" s="559"/>
      <c r="AK22" s="554"/>
      <c r="AL22" s="555"/>
      <c r="AM22" s="555"/>
      <c r="AN22" s="555"/>
      <c r="AO22" s="555"/>
      <c r="AP22" s="555"/>
      <c r="AQ22" s="555"/>
      <c r="AR22" s="563"/>
      <c r="AS22" s="563"/>
      <c r="AT22" s="563"/>
      <c r="AU22" s="563"/>
      <c r="AV22" s="563"/>
      <c r="AW22" s="563"/>
      <c r="AX22" s="563"/>
      <c r="AY22" s="563"/>
      <c r="AZ22" s="563"/>
      <c r="BA22" s="563"/>
      <c r="BB22" s="563"/>
      <c r="BC22" s="563"/>
      <c r="BD22" s="563"/>
      <c r="BE22" s="563"/>
      <c r="BF22" s="563"/>
      <c r="BG22" s="563"/>
      <c r="BH22" s="563"/>
      <c r="BI22" s="563"/>
      <c r="BJ22" s="563"/>
      <c r="BK22" s="563"/>
      <c r="BL22" s="563"/>
      <c r="BM22" s="563"/>
      <c r="BN22" s="563"/>
      <c r="BO22" s="563"/>
      <c r="BP22" s="563"/>
      <c r="BQ22" s="563"/>
      <c r="BR22" s="563"/>
      <c r="BS22" s="563"/>
      <c r="BT22" s="563"/>
      <c r="BU22" s="563"/>
      <c r="BV22" s="563"/>
      <c r="BW22" s="563"/>
      <c r="BX22" s="563"/>
      <c r="BY22" s="563"/>
      <c r="BZ22" s="563"/>
      <c r="CA22" s="563"/>
      <c r="CB22" s="563"/>
      <c r="CC22" s="563"/>
      <c r="CD22" s="563"/>
      <c r="CE22" s="12"/>
    </row>
    <row r="23" spans="1:83" ht="12" customHeight="1">
      <c r="A23" s="12"/>
      <c r="B23" s="13"/>
      <c r="C23" s="14"/>
      <c r="D23" s="14"/>
      <c r="E23" s="15"/>
      <c r="F23" s="13"/>
      <c r="G23" s="14"/>
      <c r="H23" s="14"/>
      <c r="I23" s="14"/>
      <c r="J23" s="14"/>
      <c r="K23" s="14"/>
      <c r="L23" s="14"/>
      <c r="M23" s="15"/>
      <c r="N23" s="557"/>
      <c r="O23" s="558"/>
      <c r="P23" s="558"/>
      <c r="Q23" s="558"/>
      <c r="R23" s="558"/>
      <c r="S23" s="558"/>
      <c r="T23" s="558"/>
      <c r="U23" s="558"/>
      <c r="V23" s="558"/>
      <c r="W23" s="558"/>
      <c r="X23" s="558"/>
      <c r="Y23" s="558"/>
      <c r="Z23" s="558"/>
      <c r="AA23" s="558"/>
      <c r="AB23" s="558"/>
      <c r="AC23" s="558"/>
      <c r="AD23" s="558"/>
      <c r="AE23" s="558"/>
      <c r="AF23" s="558"/>
      <c r="AG23" s="558"/>
      <c r="AH23" s="558"/>
      <c r="AI23" s="558"/>
      <c r="AJ23" s="559"/>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554"/>
      <c r="C24" s="555"/>
      <c r="D24" s="555"/>
      <c r="E24" s="556"/>
      <c r="F24" s="554"/>
      <c r="G24" s="555"/>
      <c r="H24" s="555"/>
      <c r="I24" s="555"/>
      <c r="J24" s="555"/>
      <c r="K24" s="555"/>
      <c r="L24" s="555"/>
      <c r="M24" s="556"/>
      <c r="N24" s="557"/>
      <c r="O24" s="558"/>
      <c r="P24" s="558"/>
      <c r="Q24" s="558"/>
      <c r="R24" s="558"/>
      <c r="S24" s="558"/>
      <c r="T24" s="558"/>
      <c r="U24" s="558"/>
      <c r="V24" s="558"/>
      <c r="W24" s="558"/>
      <c r="X24" s="558"/>
      <c r="Y24" s="558"/>
      <c r="Z24" s="558"/>
      <c r="AA24" s="558"/>
      <c r="AB24" s="558"/>
      <c r="AC24" s="558"/>
      <c r="AD24" s="558"/>
      <c r="AE24" s="558"/>
      <c r="AF24" s="558"/>
      <c r="AG24" s="558"/>
      <c r="AH24" s="558"/>
      <c r="AI24" s="558"/>
      <c r="AJ24" s="559"/>
      <c r="AK24" s="554"/>
      <c r="AL24" s="555"/>
      <c r="AM24" s="555"/>
      <c r="AN24" s="555"/>
      <c r="AO24" s="555"/>
      <c r="AP24" s="555"/>
      <c r="AQ24" s="555"/>
      <c r="AR24" s="566"/>
      <c r="AS24" s="567"/>
      <c r="AT24" s="567"/>
      <c r="AU24" s="567"/>
      <c r="AV24" s="567"/>
      <c r="AW24" s="567"/>
      <c r="AX24" s="567"/>
      <c r="AY24" s="567"/>
      <c r="AZ24" s="567"/>
      <c r="BA24" s="567"/>
      <c r="BB24" s="567"/>
      <c r="BC24" s="567"/>
      <c r="BD24" s="567"/>
      <c r="BE24" s="567"/>
      <c r="BF24" s="567"/>
      <c r="BG24" s="567"/>
      <c r="BH24" s="567"/>
      <c r="BI24" s="567"/>
      <c r="BJ24" s="567"/>
      <c r="BK24" s="567"/>
      <c r="BL24" s="567"/>
      <c r="BM24" s="567"/>
      <c r="BN24" s="567"/>
      <c r="BO24" s="567"/>
      <c r="BP24" s="567"/>
      <c r="BQ24" s="567"/>
      <c r="BR24" s="567"/>
      <c r="BS24" s="567"/>
      <c r="BT24" s="567"/>
      <c r="BU24" s="567"/>
      <c r="BV24" s="567"/>
      <c r="BW24" s="567"/>
      <c r="BX24" s="567"/>
      <c r="BY24" s="567"/>
      <c r="BZ24" s="567"/>
      <c r="CA24" s="567"/>
      <c r="CB24" s="567"/>
      <c r="CC24" s="567"/>
      <c r="CD24" s="568"/>
      <c r="CE24" s="12"/>
    </row>
    <row r="25" spans="1:83" ht="13.5">
      <c r="A25" s="12"/>
      <c r="B25" s="554"/>
      <c r="C25" s="555"/>
      <c r="D25" s="555"/>
      <c r="E25" s="556"/>
      <c r="F25" s="554"/>
      <c r="G25" s="555"/>
      <c r="H25" s="555"/>
      <c r="I25" s="555"/>
      <c r="J25" s="555"/>
      <c r="K25" s="555"/>
      <c r="L25" s="555"/>
      <c r="M25" s="556"/>
      <c r="N25" s="557"/>
      <c r="O25" s="558"/>
      <c r="P25" s="558"/>
      <c r="Q25" s="558"/>
      <c r="R25" s="558"/>
      <c r="S25" s="558"/>
      <c r="T25" s="558"/>
      <c r="U25" s="558"/>
      <c r="V25" s="558"/>
      <c r="W25" s="558"/>
      <c r="X25" s="558"/>
      <c r="Y25" s="558"/>
      <c r="Z25" s="558"/>
      <c r="AA25" s="558"/>
      <c r="AB25" s="558"/>
      <c r="AC25" s="558"/>
      <c r="AD25" s="558"/>
      <c r="AE25" s="558"/>
      <c r="AF25" s="558"/>
      <c r="AG25" s="558"/>
      <c r="AH25" s="558"/>
      <c r="AI25" s="558"/>
      <c r="AJ25" s="559"/>
      <c r="AK25" s="554"/>
      <c r="AL25" s="555"/>
      <c r="AM25" s="555"/>
      <c r="AN25" s="555"/>
      <c r="AO25" s="555"/>
      <c r="AP25" s="555"/>
      <c r="AQ25" s="555"/>
      <c r="AR25" s="565"/>
      <c r="AS25" s="565"/>
      <c r="AT25" s="565"/>
      <c r="AU25" s="565"/>
      <c r="AV25" s="565"/>
      <c r="AW25" s="565"/>
      <c r="AX25" s="565"/>
      <c r="AY25" s="565"/>
      <c r="AZ25" s="565"/>
      <c r="BA25" s="565"/>
      <c r="BB25" s="565"/>
      <c r="BC25" s="565"/>
      <c r="BD25" s="565"/>
      <c r="BE25" s="565"/>
      <c r="BF25" s="565"/>
      <c r="BG25" s="565"/>
      <c r="BH25" s="565"/>
      <c r="BI25" s="565"/>
      <c r="BJ25" s="565"/>
      <c r="BK25" s="565"/>
      <c r="BL25" s="565"/>
      <c r="BM25" s="565"/>
      <c r="BN25" s="565"/>
      <c r="BO25" s="565"/>
      <c r="BP25" s="565"/>
      <c r="BQ25" s="565"/>
      <c r="BR25" s="565"/>
      <c r="BS25" s="565"/>
      <c r="BT25" s="565"/>
      <c r="BU25" s="565"/>
      <c r="BV25" s="565"/>
      <c r="BW25" s="565"/>
      <c r="BX25" s="565"/>
      <c r="BY25" s="565"/>
      <c r="BZ25" s="565"/>
      <c r="CA25" s="565"/>
      <c r="CB25" s="565"/>
      <c r="CC25" s="565"/>
      <c r="CD25" s="565"/>
      <c r="CE25" s="12"/>
    </row>
    <row r="26" spans="1:83" ht="12" customHeight="1">
      <c r="A26" s="12"/>
      <c r="B26" s="554"/>
      <c r="C26" s="555"/>
      <c r="D26" s="555"/>
      <c r="E26" s="556"/>
      <c r="F26" s="554"/>
      <c r="G26" s="555"/>
      <c r="H26" s="555"/>
      <c r="I26" s="555"/>
      <c r="J26" s="555"/>
      <c r="K26" s="555"/>
      <c r="L26" s="555"/>
      <c r="M26" s="556"/>
      <c r="N26" s="557"/>
      <c r="O26" s="558"/>
      <c r="P26" s="558"/>
      <c r="Q26" s="558"/>
      <c r="R26" s="558"/>
      <c r="S26" s="558"/>
      <c r="T26" s="558"/>
      <c r="U26" s="558"/>
      <c r="V26" s="558"/>
      <c r="W26" s="558"/>
      <c r="X26" s="558"/>
      <c r="Y26" s="558"/>
      <c r="Z26" s="558"/>
      <c r="AA26" s="558"/>
      <c r="AB26" s="558"/>
      <c r="AC26" s="558"/>
      <c r="AD26" s="558"/>
      <c r="AE26" s="558"/>
      <c r="AF26" s="558"/>
      <c r="AG26" s="558"/>
      <c r="AH26" s="558"/>
      <c r="AI26" s="558"/>
      <c r="AJ26" s="559"/>
      <c r="AK26" s="554"/>
      <c r="AL26" s="555"/>
      <c r="AM26" s="555"/>
      <c r="AN26" s="555"/>
      <c r="AO26" s="555"/>
      <c r="AP26" s="555"/>
      <c r="AQ26" s="555"/>
      <c r="AR26" s="563"/>
      <c r="AS26" s="563"/>
      <c r="AT26" s="563"/>
      <c r="AU26" s="563"/>
      <c r="AV26" s="563"/>
      <c r="AW26" s="563"/>
      <c r="AX26" s="563"/>
      <c r="AY26" s="563"/>
      <c r="AZ26" s="563"/>
      <c r="BA26" s="563"/>
      <c r="BB26" s="563"/>
      <c r="BC26" s="563"/>
      <c r="BD26" s="563"/>
      <c r="BE26" s="563"/>
      <c r="BF26" s="563"/>
      <c r="BG26" s="563"/>
      <c r="BH26" s="563"/>
      <c r="BI26" s="563"/>
      <c r="BJ26" s="563"/>
      <c r="BK26" s="563"/>
      <c r="BL26" s="563"/>
      <c r="BM26" s="563"/>
      <c r="BN26" s="563"/>
      <c r="BO26" s="563"/>
      <c r="BP26" s="563"/>
      <c r="BQ26" s="563"/>
      <c r="BR26" s="563"/>
      <c r="BS26" s="563"/>
      <c r="BT26" s="563"/>
      <c r="BU26" s="563"/>
      <c r="BV26" s="563"/>
      <c r="BW26" s="563"/>
      <c r="BX26" s="563"/>
      <c r="BY26" s="563"/>
      <c r="BZ26" s="563"/>
      <c r="CA26" s="563"/>
      <c r="CB26" s="563"/>
      <c r="CC26" s="563"/>
      <c r="CD26" s="563"/>
      <c r="CE26" s="12"/>
    </row>
    <row r="27" spans="1:83" ht="13.5">
      <c r="A27" s="12"/>
      <c r="B27" s="554"/>
      <c r="C27" s="555"/>
      <c r="D27" s="555"/>
      <c r="E27" s="556"/>
      <c r="F27" s="554"/>
      <c r="G27" s="555"/>
      <c r="H27" s="555"/>
      <c r="I27" s="555"/>
      <c r="J27" s="555"/>
      <c r="K27" s="555"/>
      <c r="L27" s="555"/>
      <c r="M27" s="556"/>
      <c r="N27" s="557"/>
      <c r="O27" s="558"/>
      <c r="P27" s="558"/>
      <c r="Q27" s="558"/>
      <c r="R27" s="558"/>
      <c r="S27" s="558"/>
      <c r="T27" s="558"/>
      <c r="U27" s="558"/>
      <c r="V27" s="558"/>
      <c r="W27" s="558"/>
      <c r="X27" s="558"/>
      <c r="Y27" s="558"/>
      <c r="Z27" s="558"/>
      <c r="AA27" s="558"/>
      <c r="AB27" s="558"/>
      <c r="AC27" s="558"/>
      <c r="AD27" s="558"/>
      <c r="AE27" s="558"/>
      <c r="AF27" s="558"/>
      <c r="AG27" s="558"/>
      <c r="AH27" s="558"/>
      <c r="AI27" s="558"/>
      <c r="AJ27" s="559"/>
      <c r="AK27" s="554"/>
      <c r="AL27" s="555"/>
      <c r="AM27" s="555"/>
      <c r="AN27" s="555"/>
      <c r="AO27" s="555"/>
      <c r="AP27" s="555"/>
      <c r="AQ27" s="555"/>
      <c r="AR27" s="565"/>
      <c r="AS27" s="565"/>
      <c r="AT27" s="565"/>
      <c r="AU27" s="565"/>
      <c r="AV27" s="565"/>
      <c r="AW27" s="565"/>
      <c r="AX27" s="565"/>
      <c r="AY27" s="565"/>
      <c r="AZ27" s="565"/>
      <c r="BA27" s="565"/>
      <c r="BB27" s="565"/>
      <c r="BC27" s="565"/>
      <c r="BD27" s="565"/>
      <c r="BE27" s="565"/>
      <c r="BF27" s="565"/>
      <c r="BG27" s="565"/>
      <c r="BH27" s="565"/>
      <c r="BI27" s="565"/>
      <c r="BJ27" s="565"/>
      <c r="BK27" s="565"/>
      <c r="BL27" s="565"/>
      <c r="BM27" s="565"/>
      <c r="BN27" s="565"/>
      <c r="BO27" s="565"/>
      <c r="BP27" s="565"/>
      <c r="BQ27" s="565"/>
      <c r="BR27" s="565"/>
      <c r="BS27" s="565"/>
      <c r="BT27" s="565"/>
      <c r="BU27" s="565"/>
      <c r="BV27" s="565"/>
      <c r="BW27" s="565"/>
      <c r="BX27" s="565"/>
      <c r="BY27" s="565"/>
      <c r="BZ27" s="565"/>
      <c r="CA27" s="565"/>
      <c r="CB27" s="565"/>
      <c r="CC27" s="565"/>
      <c r="CD27" s="565"/>
      <c r="CE27" s="12"/>
    </row>
    <row r="28" spans="1:83" ht="13.5">
      <c r="A28" s="12"/>
      <c r="B28" s="554"/>
      <c r="C28" s="555"/>
      <c r="D28" s="555"/>
      <c r="E28" s="556"/>
      <c r="F28" s="554"/>
      <c r="G28" s="555"/>
      <c r="H28" s="555"/>
      <c r="I28" s="555"/>
      <c r="J28" s="555"/>
      <c r="K28" s="555"/>
      <c r="L28" s="555"/>
      <c r="M28" s="556"/>
      <c r="N28" s="557"/>
      <c r="O28" s="558"/>
      <c r="P28" s="558"/>
      <c r="Q28" s="558"/>
      <c r="R28" s="558"/>
      <c r="S28" s="558"/>
      <c r="T28" s="558"/>
      <c r="U28" s="558"/>
      <c r="V28" s="558"/>
      <c r="W28" s="558"/>
      <c r="X28" s="558"/>
      <c r="Y28" s="558"/>
      <c r="Z28" s="558"/>
      <c r="AA28" s="558"/>
      <c r="AB28" s="558"/>
      <c r="AC28" s="558"/>
      <c r="AD28" s="558"/>
      <c r="AE28" s="558"/>
      <c r="AF28" s="558"/>
      <c r="AG28" s="558"/>
      <c r="AH28" s="558"/>
      <c r="AI28" s="558"/>
      <c r="AJ28" s="559"/>
      <c r="AK28" s="554"/>
      <c r="AL28" s="555"/>
      <c r="AM28" s="555"/>
      <c r="AN28" s="555"/>
      <c r="AO28" s="555"/>
      <c r="AP28" s="555"/>
      <c r="AQ28" s="555"/>
      <c r="AR28" s="565"/>
      <c r="AS28" s="565"/>
      <c r="AT28" s="565"/>
      <c r="AU28" s="565"/>
      <c r="AV28" s="565"/>
      <c r="AW28" s="565"/>
      <c r="AX28" s="565"/>
      <c r="AY28" s="565"/>
      <c r="AZ28" s="565"/>
      <c r="BA28" s="565"/>
      <c r="BB28" s="565"/>
      <c r="BC28" s="565"/>
      <c r="BD28" s="565"/>
      <c r="BE28" s="565"/>
      <c r="BF28" s="565"/>
      <c r="BG28" s="565"/>
      <c r="BH28" s="565"/>
      <c r="BI28" s="565"/>
      <c r="BJ28" s="565"/>
      <c r="BK28" s="565"/>
      <c r="BL28" s="565"/>
      <c r="BM28" s="565"/>
      <c r="BN28" s="565"/>
      <c r="BO28" s="565"/>
      <c r="BP28" s="565"/>
      <c r="BQ28" s="565"/>
      <c r="BR28" s="565"/>
      <c r="BS28" s="565"/>
      <c r="BT28" s="565"/>
      <c r="BU28" s="565"/>
      <c r="BV28" s="565"/>
      <c r="BW28" s="565"/>
      <c r="BX28" s="565"/>
      <c r="BY28" s="565"/>
      <c r="BZ28" s="565"/>
      <c r="CA28" s="565"/>
      <c r="CB28" s="565"/>
      <c r="CC28" s="565"/>
      <c r="CD28" s="565"/>
      <c r="CE28" s="12"/>
    </row>
    <row r="29" spans="1:83" ht="12" customHeight="1">
      <c r="A29" s="12"/>
      <c r="B29" s="554"/>
      <c r="C29" s="555"/>
      <c r="D29" s="555"/>
      <c r="E29" s="556"/>
      <c r="F29" s="554"/>
      <c r="G29" s="555"/>
      <c r="H29" s="555"/>
      <c r="I29" s="555"/>
      <c r="J29" s="555"/>
      <c r="K29" s="555"/>
      <c r="L29" s="555"/>
      <c r="M29" s="556"/>
      <c r="N29" s="557"/>
      <c r="O29" s="558"/>
      <c r="P29" s="558"/>
      <c r="Q29" s="558"/>
      <c r="R29" s="558"/>
      <c r="S29" s="558"/>
      <c r="T29" s="558"/>
      <c r="U29" s="558"/>
      <c r="V29" s="558"/>
      <c r="W29" s="558"/>
      <c r="X29" s="558"/>
      <c r="Y29" s="558"/>
      <c r="Z29" s="558"/>
      <c r="AA29" s="558"/>
      <c r="AB29" s="558"/>
      <c r="AC29" s="558"/>
      <c r="AD29" s="558"/>
      <c r="AE29" s="558"/>
      <c r="AF29" s="558"/>
      <c r="AG29" s="558"/>
      <c r="AH29" s="558"/>
      <c r="AI29" s="558"/>
      <c r="AJ29" s="559"/>
      <c r="AK29" s="554"/>
      <c r="AL29" s="555"/>
      <c r="AM29" s="555"/>
      <c r="AN29" s="555"/>
      <c r="AO29" s="555"/>
      <c r="AP29" s="555"/>
      <c r="AQ29" s="555"/>
      <c r="AR29" s="563"/>
      <c r="AS29" s="563"/>
      <c r="AT29" s="563"/>
      <c r="AU29" s="563"/>
      <c r="AV29" s="563"/>
      <c r="AW29" s="563"/>
      <c r="AX29" s="563"/>
      <c r="AY29" s="563"/>
      <c r="AZ29" s="563"/>
      <c r="BA29" s="563"/>
      <c r="BB29" s="563"/>
      <c r="BC29" s="563"/>
      <c r="BD29" s="563"/>
      <c r="BE29" s="563"/>
      <c r="BF29" s="563"/>
      <c r="BG29" s="563"/>
      <c r="BH29" s="563"/>
      <c r="BI29" s="563"/>
      <c r="BJ29" s="563"/>
      <c r="BK29" s="563"/>
      <c r="BL29" s="563"/>
      <c r="BM29" s="563"/>
      <c r="BN29" s="563"/>
      <c r="BO29" s="563"/>
      <c r="BP29" s="563"/>
      <c r="BQ29" s="563"/>
      <c r="BR29" s="563"/>
      <c r="BS29" s="563"/>
      <c r="BT29" s="563"/>
      <c r="BU29" s="563"/>
      <c r="BV29" s="563"/>
      <c r="BW29" s="563"/>
      <c r="BX29" s="563"/>
      <c r="BY29" s="563"/>
      <c r="BZ29" s="563"/>
      <c r="CA29" s="563"/>
      <c r="CB29" s="563"/>
      <c r="CC29" s="563"/>
      <c r="CD29" s="563"/>
      <c r="CE29" s="12"/>
    </row>
    <row r="30" spans="1:83" ht="13.5">
      <c r="A30" s="12"/>
      <c r="B30" s="554"/>
      <c r="C30" s="555"/>
      <c r="D30" s="555"/>
      <c r="E30" s="556"/>
      <c r="F30" s="554"/>
      <c r="G30" s="555"/>
      <c r="H30" s="555"/>
      <c r="I30" s="555"/>
      <c r="J30" s="555"/>
      <c r="K30" s="555"/>
      <c r="L30" s="555"/>
      <c r="M30" s="556"/>
      <c r="N30" s="557"/>
      <c r="O30" s="558"/>
      <c r="P30" s="558"/>
      <c r="Q30" s="558"/>
      <c r="R30" s="558"/>
      <c r="S30" s="558"/>
      <c r="T30" s="558"/>
      <c r="U30" s="558"/>
      <c r="V30" s="558"/>
      <c r="W30" s="558"/>
      <c r="X30" s="558"/>
      <c r="Y30" s="558"/>
      <c r="Z30" s="558"/>
      <c r="AA30" s="558"/>
      <c r="AB30" s="558"/>
      <c r="AC30" s="558"/>
      <c r="AD30" s="558"/>
      <c r="AE30" s="558"/>
      <c r="AF30" s="558"/>
      <c r="AG30" s="558"/>
      <c r="AH30" s="558"/>
      <c r="AI30" s="558"/>
      <c r="AJ30" s="559"/>
      <c r="AK30" s="554"/>
      <c r="AL30" s="555"/>
      <c r="AM30" s="555"/>
      <c r="AN30" s="555"/>
      <c r="AO30" s="555"/>
      <c r="AP30" s="555"/>
      <c r="AQ30" s="555"/>
      <c r="AR30" s="565"/>
      <c r="AS30" s="565"/>
      <c r="AT30" s="565"/>
      <c r="AU30" s="565"/>
      <c r="AV30" s="565"/>
      <c r="AW30" s="565"/>
      <c r="AX30" s="565"/>
      <c r="AY30" s="565"/>
      <c r="AZ30" s="565"/>
      <c r="BA30" s="565"/>
      <c r="BB30" s="565"/>
      <c r="BC30" s="565"/>
      <c r="BD30" s="565"/>
      <c r="BE30" s="565"/>
      <c r="BF30" s="565"/>
      <c r="BG30" s="565"/>
      <c r="BH30" s="565"/>
      <c r="BI30" s="565"/>
      <c r="BJ30" s="565"/>
      <c r="BK30" s="565"/>
      <c r="BL30" s="565"/>
      <c r="BM30" s="565"/>
      <c r="BN30" s="565"/>
      <c r="BO30" s="565"/>
      <c r="BP30" s="565"/>
      <c r="BQ30" s="565"/>
      <c r="BR30" s="565"/>
      <c r="BS30" s="565"/>
      <c r="BT30" s="565"/>
      <c r="BU30" s="565"/>
      <c r="BV30" s="565"/>
      <c r="BW30" s="565"/>
      <c r="BX30" s="565"/>
      <c r="BY30" s="565"/>
      <c r="BZ30" s="565"/>
      <c r="CA30" s="565"/>
      <c r="CB30" s="565"/>
      <c r="CC30" s="565"/>
      <c r="CD30" s="565"/>
      <c r="CE30" s="12"/>
    </row>
    <row r="31" spans="1:83" ht="12" customHeight="1">
      <c r="A31" s="12"/>
      <c r="B31" s="554"/>
      <c r="C31" s="555"/>
      <c r="D31" s="555"/>
      <c r="E31" s="556"/>
      <c r="F31" s="554"/>
      <c r="G31" s="555"/>
      <c r="H31" s="555"/>
      <c r="I31" s="555"/>
      <c r="J31" s="555"/>
      <c r="K31" s="555"/>
      <c r="L31" s="555"/>
      <c r="M31" s="556"/>
      <c r="N31" s="557"/>
      <c r="O31" s="558"/>
      <c r="P31" s="558"/>
      <c r="Q31" s="558"/>
      <c r="R31" s="558"/>
      <c r="S31" s="558"/>
      <c r="T31" s="558"/>
      <c r="U31" s="558"/>
      <c r="V31" s="558"/>
      <c r="W31" s="558"/>
      <c r="X31" s="558"/>
      <c r="Y31" s="558"/>
      <c r="Z31" s="558"/>
      <c r="AA31" s="558"/>
      <c r="AB31" s="558"/>
      <c r="AC31" s="558"/>
      <c r="AD31" s="558"/>
      <c r="AE31" s="558"/>
      <c r="AF31" s="558"/>
      <c r="AG31" s="558"/>
      <c r="AH31" s="558"/>
      <c r="AI31" s="558"/>
      <c r="AJ31" s="559"/>
      <c r="AK31" s="554"/>
      <c r="AL31" s="555"/>
      <c r="AM31" s="555"/>
      <c r="AN31" s="555"/>
      <c r="AO31" s="555"/>
      <c r="AP31" s="555"/>
      <c r="AQ31" s="555"/>
      <c r="AR31" s="563"/>
      <c r="AS31" s="563"/>
      <c r="AT31" s="563"/>
      <c r="AU31" s="563"/>
      <c r="AV31" s="563"/>
      <c r="AW31" s="563"/>
      <c r="AX31" s="563"/>
      <c r="AY31" s="563"/>
      <c r="AZ31" s="563"/>
      <c r="BA31" s="563"/>
      <c r="BB31" s="563"/>
      <c r="BC31" s="563"/>
      <c r="BD31" s="563"/>
      <c r="BE31" s="563"/>
      <c r="BF31" s="563"/>
      <c r="BG31" s="563"/>
      <c r="BH31" s="563"/>
      <c r="BI31" s="563"/>
      <c r="BJ31" s="563"/>
      <c r="BK31" s="563"/>
      <c r="BL31" s="563"/>
      <c r="BM31" s="563"/>
      <c r="BN31" s="563"/>
      <c r="BO31" s="563"/>
      <c r="BP31" s="563"/>
      <c r="BQ31" s="563"/>
      <c r="BR31" s="563"/>
      <c r="BS31" s="563"/>
      <c r="BT31" s="563"/>
      <c r="BU31" s="563"/>
      <c r="BV31" s="563"/>
      <c r="BW31" s="563"/>
      <c r="BX31" s="563"/>
      <c r="BY31" s="563"/>
      <c r="BZ31" s="563"/>
      <c r="CA31" s="563"/>
      <c r="CB31" s="563"/>
      <c r="CC31" s="563"/>
      <c r="CD31" s="563"/>
      <c r="CE31" s="12"/>
    </row>
    <row r="32" spans="1:83" ht="12" customHeight="1">
      <c r="A32" s="12"/>
      <c r="B32" s="554"/>
      <c r="C32" s="555"/>
      <c r="D32" s="555"/>
      <c r="E32" s="556"/>
      <c r="F32" s="554"/>
      <c r="G32" s="555"/>
      <c r="H32" s="555"/>
      <c r="I32" s="555"/>
      <c r="J32" s="555"/>
      <c r="K32" s="555"/>
      <c r="L32" s="555"/>
      <c r="M32" s="556"/>
      <c r="N32" s="557"/>
      <c r="O32" s="558"/>
      <c r="P32" s="558"/>
      <c r="Q32" s="558"/>
      <c r="R32" s="558"/>
      <c r="S32" s="558"/>
      <c r="T32" s="558"/>
      <c r="U32" s="558"/>
      <c r="V32" s="558"/>
      <c r="W32" s="558"/>
      <c r="X32" s="558"/>
      <c r="Y32" s="558"/>
      <c r="Z32" s="558"/>
      <c r="AA32" s="558"/>
      <c r="AB32" s="558"/>
      <c r="AC32" s="558"/>
      <c r="AD32" s="558"/>
      <c r="AE32" s="558"/>
      <c r="AF32" s="558"/>
      <c r="AG32" s="558"/>
      <c r="AH32" s="558"/>
      <c r="AI32" s="558"/>
      <c r="AJ32" s="559"/>
      <c r="AK32" s="554"/>
      <c r="AL32" s="555"/>
      <c r="AM32" s="555"/>
      <c r="AN32" s="555"/>
      <c r="AO32" s="555"/>
      <c r="AP32" s="555"/>
      <c r="AQ32" s="555"/>
      <c r="AR32" s="563"/>
      <c r="AS32" s="563"/>
      <c r="AT32" s="563"/>
      <c r="AU32" s="563"/>
      <c r="AV32" s="563"/>
      <c r="AW32" s="563"/>
      <c r="AX32" s="563"/>
      <c r="AY32" s="563"/>
      <c r="AZ32" s="563"/>
      <c r="BA32" s="563"/>
      <c r="BB32" s="563"/>
      <c r="BC32" s="563"/>
      <c r="BD32" s="563"/>
      <c r="BE32" s="563"/>
      <c r="BF32" s="563"/>
      <c r="BG32" s="563"/>
      <c r="BH32" s="563"/>
      <c r="BI32" s="563"/>
      <c r="BJ32" s="563"/>
      <c r="BK32" s="563"/>
      <c r="BL32" s="563"/>
      <c r="BM32" s="563"/>
      <c r="BN32" s="563"/>
      <c r="BO32" s="563"/>
      <c r="BP32" s="563"/>
      <c r="BQ32" s="563"/>
      <c r="BR32" s="563"/>
      <c r="BS32" s="563"/>
      <c r="BT32" s="563"/>
      <c r="BU32" s="563"/>
      <c r="BV32" s="563"/>
      <c r="BW32" s="563"/>
      <c r="BX32" s="563"/>
      <c r="BY32" s="563"/>
      <c r="BZ32" s="563"/>
      <c r="CA32" s="563"/>
      <c r="CB32" s="563"/>
      <c r="CC32" s="563"/>
      <c r="CD32" s="563"/>
      <c r="CE32" s="12"/>
    </row>
    <row r="33" spans="1:83" ht="12" customHeight="1">
      <c r="A33" s="12"/>
      <c r="B33" s="554"/>
      <c r="C33" s="555"/>
      <c r="D33" s="555"/>
      <c r="E33" s="556"/>
      <c r="F33" s="554"/>
      <c r="G33" s="555"/>
      <c r="H33" s="555"/>
      <c r="I33" s="555"/>
      <c r="J33" s="555"/>
      <c r="K33" s="555"/>
      <c r="L33" s="555"/>
      <c r="M33" s="556"/>
      <c r="N33" s="557"/>
      <c r="O33" s="558"/>
      <c r="P33" s="558"/>
      <c r="Q33" s="558"/>
      <c r="R33" s="558"/>
      <c r="S33" s="558"/>
      <c r="T33" s="558"/>
      <c r="U33" s="558"/>
      <c r="V33" s="558"/>
      <c r="W33" s="558"/>
      <c r="X33" s="558"/>
      <c r="Y33" s="558"/>
      <c r="Z33" s="558"/>
      <c r="AA33" s="558"/>
      <c r="AB33" s="558"/>
      <c r="AC33" s="558"/>
      <c r="AD33" s="558"/>
      <c r="AE33" s="558"/>
      <c r="AF33" s="558"/>
      <c r="AG33" s="558"/>
      <c r="AH33" s="558"/>
      <c r="AI33" s="558"/>
      <c r="AJ33" s="559"/>
      <c r="AK33" s="554"/>
      <c r="AL33" s="555"/>
      <c r="AM33" s="555"/>
      <c r="AN33" s="555"/>
      <c r="AO33" s="555"/>
      <c r="AP33" s="555"/>
      <c r="AQ33" s="555"/>
      <c r="AR33" s="563"/>
      <c r="AS33" s="563"/>
      <c r="AT33" s="563"/>
      <c r="AU33" s="563"/>
      <c r="AV33" s="563"/>
      <c r="AW33" s="563"/>
      <c r="AX33" s="563"/>
      <c r="AY33" s="563"/>
      <c r="AZ33" s="563"/>
      <c r="BA33" s="563"/>
      <c r="BB33" s="563"/>
      <c r="BC33" s="563"/>
      <c r="BD33" s="563"/>
      <c r="BE33" s="563"/>
      <c r="BF33" s="563"/>
      <c r="BG33" s="563"/>
      <c r="BH33" s="563"/>
      <c r="BI33" s="563"/>
      <c r="BJ33" s="563"/>
      <c r="BK33" s="563"/>
      <c r="BL33" s="563"/>
      <c r="BM33" s="563"/>
      <c r="BN33" s="563"/>
      <c r="BO33" s="563"/>
      <c r="BP33" s="563"/>
      <c r="BQ33" s="563"/>
      <c r="BR33" s="563"/>
      <c r="BS33" s="563"/>
      <c r="BT33" s="563"/>
      <c r="BU33" s="563"/>
      <c r="BV33" s="563"/>
      <c r="BW33" s="563"/>
      <c r="BX33" s="563"/>
      <c r="BY33" s="563"/>
      <c r="BZ33" s="563"/>
      <c r="CA33" s="563"/>
      <c r="CB33" s="563"/>
      <c r="CC33" s="563"/>
      <c r="CD33" s="563"/>
      <c r="CE33" s="12"/>
    </row>
    <row r="34" spans="1:83" ht="12" customHeight="1">
      <c r="A34" s="12"/>
      <c r="B34" s="554"/>
      <c r="C34" s="555"/>
      <c r="D34" s="555"/>
      <c r="E34" s="556"/>
      <c r="F34" s="554"/>
      <c r="G34" s="555"/>
      <c r="H34" s="555"/>
      <c r="I34" s="555"/>
      <c r="J34" s="555"/>
      <c r="K34" s="555"/>
      <c r="L34" s="555"/>
      <c r="M34" s="556"/>
      <c r="N34" s="557"/>
      <c r="O34" s="558"/>
      <c r="P34" s="558"/>
      <c r="Q34" s="558"/>
      <c r="R34" s="558"/>
      <c r="S34" s="558"/>
      <c r="T34" s="558"/>
      <c r="U34" s="558"/>
      <c r="V34" s="558"/>
      <c r="W34" s="558"/>
      <c r="X34" s="558"/>
      <c r="Y34" s="558"/>
      <c r="Z34" s="558"/>
      <c r="AA34" s="558"/>
      <c r="AB34" s="558"/>
      <c r="AC34" s="558"/>
      <c r="AD34" s="558"/>
      <c r="AE34" s="558"/>
      <c r="AF34" s="558"/>
      <c r="AG34" s="558"/>
      <c r="AH34" s="558"/>
      <c r="AI34" s="558"/>
      <c r="AJ34" s="559"/>
      <c r="AK34" s="554"/>
      <c r="AL34" s="555"/>
      <c r="AM34" s="555"/>
      <c r="AN34" s="555"/>
      <c r="AO34" s="555"/>
      <c r="AP34" s="555"/>
      <c r="AQ34" s="555"/>
      <c r="AR34" s="563"/>
      <c r="AS34" s="563"/>
      <c r="AT34" s="563"/>
      <c r="AU34" s="563"/>
      <c r="AV34" s="563"/>
      <c r="AW34" s="563"/>
      <c r="AX34" s="563"/>
      <c r="AY34" s="563"/>
      <c r="AZ34" s="563"/>
      <c r="BA34" s="563"/>
      <c r="BB34" s="563"/>
      <c r="BC34" s="563"/>
      <c r="BD34" s="563"/>
      <c r="BE34" s="563"/>
      <c r="BF34" s="563"/>
      <c r="BG34" s="563"/>
      <c r="BH34" s="563"/>
      <c r="BI34" s="563"/>
      <c r="BJ34" s="563"/>
      <c r="BK34" s="563"/>
      <c r="BL34" s="563"/>
      <c r="BM34" s="563"/>
      <c r="BN34" s="563"/>
      <c r="BO34" s="563"/>
      <c r="BP34" s="563"/>
      <c r="BQ34" s="563"/>
      <c r="BR34" s="563"/>
      <c r="BS34" s="563"/>
      <c r="BT34" s="563"/>
      <c r="BU34" s="563"/>
      <c r="BV34" s="563"/>
      <c r="BW34" s="563"/>
      <c r="BX34" s="563"/>
      <c r="BY34" s="563"/>
      <c r="BZ34" s="563"/>
      <c r="CA34" s="563"/>
      <c r="CB34" s="563"/>
      <c r="CC34" s="563"/>
      <c r="CD34" s="563"/>
      <c r="CE34" s="12"/>
    </row>
    <row r="35" spans="1:83" ht="12" customHeight="1">
      <c r="A35" s="12"/>
      <c r="B35" s="554"/>
      <c r="C35" s="555"/>
      <c r="D35" s="555"/>
      <c r="E35" s="556"/>
      <c r="F35" s="554"/>
      <c r="G35" s="555"/>
      <c r="H35" s="555"/>
      <c r="I35" s="555"/>
      <c r="J35" s="555"/>
      <c r="K35" s="555"/>
      <c r="L35" s="555"/>
      <c r="M35" s="556"/>
      <c r="N35" s="557"/>
      <c r="O35" s="558"/>
      <c r="P35" s="558"/>
      <c r="Q35" s="558"/>
      <c r="R35" s="558"/>
      <c r="S35" s="558"/>
      <c r="T35" s="558"/>
      <c r="U35" s="558"/>
      <c r="V35" s="558"/>
      <c r="W35" s="558"/>
      <c r="X35" s="558"/>
      <c r="Y35" s="558"/>
      <c r="Z35" s="558"/>
      <c r="AA35" s="558"/>
      <c r="AB35" s="558"/>
      <c r="AC35" s="558"/>
      <c r="AD35" s="558"/>
      <c r="AE35" s="558"/>
      <c r="AF35" s="558"/>
      <c r="AG35" s="558"/>
      <c r="AH35" s="558"/>
      <c r="AI35" s="558"/>
      <c r="AJ35" s="559"/>
      <c r="AK35" s="554"/>
      <c r="AL35" s="555"/>
      <c r="AM35" s="555"/>
      <c r="AN35" s="555"/>
      <c r="AO35" s="555"/>
      <c r="AP35" s="555"/>
      <c r="AQ35" s="555"/>
      <c r="AR35" s="564"/>
      <c r="AS35" s="564"/>
      <c r="AT35" s="564"/>
      <c r="AU35" s="564"/>
      <c r="AV35" s="564"/>
      <c r="AW35" s="564"/>
      <c r="AX35" s="564"/>
      <c r="AY35" s="564"/>
      <c r="AZ35" s="564"/>
      <c r="BA35" s="564"/>
      <c r="BB35" s="564"/>
      <c r="BC35" s="564"/>
      <c r="BD35" s="564"/>
      <c r="BE35" s="564"/>
      <c r="BF35" s="564"/>
      <c r="BG35" s="564"/>
      <c r="BH35" s="564"/>
      <c r="BI35" s="564"/>
      <c r="BJ35" s="564"/>
      <c r="BK35" s="564"/>
      <c r="BL35" s="564"/>
      <c r="BM35" s="564"/>
      <c r="BN35" s="564"/>
      <c r="BO35" s="564"/>
      <c r="BP35" s="564"/>
      <c r="BQ35" s="564"/>
      <c r="BR35" s="564"/>
      <c r="BS35" s="564"/>
      <c r="BT35" s="564"/>
      <c r="BU35" s="564"/>
      <c r="BV35" s="564"/>
      <c r="BW35" s="564"/>
      <c r="BX35" s="564"/>
      <c r="BY35" s="564"/>
      <c r="BZ35" s="564"/>
      <c r="CA35" s="564"/>
      <c r="CB35" s="564"/>
      <c r="CC35" s="564"/>
      <c r="CD35" s="564"/>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554"/>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6"/>
      <c r="CE36" s="12"/>
    </row>
    <row r="37" spans="1:83" ht="13.5" customHeight="1">
      <c r="A37" s="12"/>
      <c r="B37" s="554"/>
      <c r="C37" s="555"/>
      <c r="D37" s="555"/>
      <c r="E37" s="556"/>
      <c r="F37" s="554"/>
      <c r="G37" s="555"/>
      <c r="H37" s="555"/>
      <c r="I37" s="555"/>
      <c r="J37" s="555"/>
      <c r="K37" s="555"/>
      <c r="L37" s="555"/>
      <c r="M37" s="556"/>
      <c r="N37" s="557"/>
      <c r="O37" s="558"/>
      <c r="P37" s="558"/>
      <c r="Q37" s="558"/>
      <c r="R37" s="558"/>
      <c r="S37" s="558"/>
      <c r="T37" s="558"/>
      <c r="U37" s="558"/>
      <c r="V37" s="558"/>
      <c r="W37" s="558"/>
      <c r="X37" s="558"/>
      <c r="Y37" s="558"/>
      <c r="Z37" s="558"/>
      <c r="AA37" s="558"/>
      <c r="AB37" s="558"/>
      <c r="AC37" s="558"/>
      <c r="AD37" s="558"/>
      <c r="AE37" s="558"/>
      <c r="AF37" s="558"/>
      <c r="AG37" s="558"/>
      <c r="AH37" s="558"/>
      <c r="AI37" s="558"/>
      <c r="AJ37" s="559"/>
      <c r="AK37" s="554"/>
      <c r="AL37" s="555"/>
      <c r="AM37" s="555"/>
      <c r="AN37" s="555"/>
      <c r="AO37" s="555"/>
      <c r="AP37" s="555"/>
      <c r="AQ37" s="555"/>
      <c r="AR37" s="563"/>
      <c r="AS37" s="563"/>
      <c r="AT37" s="563"/>
      <c r="AU37" s="563"/>
      <c r="AV37" s="563"/>
      <c r="AW37" s="563"/>
      <c r="AX37" s="563"/>
      <c r="AY37" s="563"/>
      <c r="AZ37" s="563"/>
      <c r="BA37" s="563"/>
      <c r="BB37" s="563"/>
      <c r="BC37" s="563"/>
      <c r="BD37" s="563"/>
      <c r="BE37" s="563"/>
      <c r="BF37" s="563"/>
      <c r="BG37" s="563"/>
      <c r="BH37" s="563"/>
      <c r="BI37" s="563"/>
      <c r="BJ37" s="563"/>
      <c r="BK37" s="563"/>
      <c r="BL37" s="563"/>
      <c r="BM37" s="563"/>
      <c r="BN37" s="563"/>
      <c r="BO37" s="563"/>
      <c r="BP37" s="563"/>
      <c r="BQ37" s="563"/>
      <c r="BR37" s="563"/>
      <c r="BS37" s="563"/>
      <c r="BT37" s="563"/>
      <c r="BU37" s="563"/>
      <c r="BV37" s="563"/>
      <c r="BW37" s="563"/>
      <c r="BX37" s="563"/>
      <c r="BY37" s="563"/>
      <c r="BZ37" s="563"/>
      <c r="CA37" s="563"/>
      <c r="CB37" s="563"/>
      <c r="CC37" s="563"/>
      <c r="CD37" s="563"/>
      <c r="CE37" s="12"/>
    </row>
    <row r="38" spans="1:83" ht="12" customHeight="1">
      <c r="A38" s="12"/>
      <c r="B38" s="554"/>
      <c r="C38" s="555"/>
      <c r="D38" s="555"/>
      <c r="E38" s="556"/>
      <c r="F38" s="554"/>
      <c r="G38" s="555"/>
      <c r="H38" s="555"/>
      <c r="I38" s="555"/>
      <c r="J38" s="555"/>
      <c r="K38" s="555"/>
      <c r="L38" s="555"/>
      <c r="M38" s="556"/>
      <c r="N38" s="557"/>
      <c r="O38" s="558"/>
      <c r="P38" s="558"/>
      <c r="Q38" s="558"/>
      <c r="R38" s="558"/>
      <c r="S38" s="558"/>
      <c r="T38" s="558"/>
      <c r="U38" s="558"/>
      <c r="V38" s="558"/>
      <c r="W38" s="558"/>
      <c r="X38" s="558"/>
      <c r="Y38" s="558"/>
      <c r="Z38" s="558"/>
      <c r="AA38" s="558"/>
      <c r="AB38" s="558"/>
      <c r="AC38" s="558"/>
      <c r="AD38" s="558"/>
      <c r="AE38" s="558"/>
      <c r="AF38" s="558"/>
      <c r="AG38" s="558"/>
      <c r="AH38" s="558"/>
      <c r="AI38" s="558"/>
      <c r="AJ38" s="559"/>
      <c r="AK38" s="554"/>
      <c r="AL38" s="555"/>
      <c r="AM38" s="555"/>
      <c r="AN38" s="555"/>
      <c r="AO38" s="555"/>
      <c r="AP38" s="555"/>
      <c r="AQ38" s="555"/>
      <c r="AR38" s="563"/>
      <c r="AS38" s="563"/>
      <c r="AT38" s="563"/>
      <c r="AU38" s="563"/>
      <c r="AV38" s="563"/>
      <c r="AW38" s="563"/>
      <c r="AX38" s="563"/>
      <c r="AY38" s="563"/>
      <c r="AZ38" s="563"/>
      <c r="BA38" s="563"/>
      <c r="BB38" s="563"/>
      <c r="BC38" s="563"/>
      <c r="BD38" s="563"/>
      <c r="BE38" s="563"/>
      <c r="BF38" s="563"/>
      <c r="BG38" s="563"/>
      <c r="BH38" s="563"/>
      <c r="BI38" s="563"/>
      <c r="BJ38" s="563"/>
      <c r="BK38" s="563"/>
      <c r="BL38" s="563"/>
      <c r="BM38" s="563"/>
      <c r="BN38" s="563"/>
      <c r="BO38" s="563"/>
      <c r="BP38" s="563"/>
      <c r="BQ38" s="563"/>
      <c r="BR38" s="563"/>
      <c r="BS38" s="563"/>
      <c r="BT38" s="563"/>
      <c r="BU38" s="563"/>
      <c r="BV38" s="563"/>
      <c r="BW38" s="563"/>
      <c r="BX38" s="563"/>
      <c r="BY38" s="563"/>
      <c r="BZ38" s="563"/>
      <c r="CA38" s="563"/>
      <c r="CB38" s="563"/>
      <c r="CC38" s="563"/>
      <c r="CD38" s="563"/>
      <c r="CE38" s="12"/>
    </row>
    <row r="39" spans="1:83" ht="12" customHeight="1">
      <c r="A39" s="12"/>
      <c r="B39" s="554"/>
      <c r="C39" s="555"/>
      <c r="D39" s="555"/>
      <c r="E39" s="556"/>
      <c r="F39" s="554"/>
      <c r="G39" s="555"/>
      <c r="H39" s="555"/>
      <c r="I39" s="555"/>
      <c r="J39" s="555"/>
      <c r="K39" s="555"/>
      <c r="L39" s="555"/>
      <c r="M39" s="556"/>
      <c r="N39" s="557"/>
      <c r="O39" s="558"/>
      <c r="P39" s="558"/>
      <c r="Q39" s="558"/>
      <c r="R39" s="558"/>
      <c r="S39" s="558"/>
      <c r="T39" s="558"/>
      <c r="U39" s="558"/>
      <c r="V39" s="558"/>
      <c r="W39" s="558"/>
      <c r="X39" s="558"/>
      <c r="Y39" s="558"/>
      <c r="Z39" s="558"/>
      <c r="AA39" s="558"/>
      <c r="AB39" s="558"/>
      <c r="AC39" s="558"/>
      <c r="AD39" s="558"/>
      <c r="AE39" s="558"/>
      <c r="AF39" s="558"/>
      <c r="AG39" s="558"/>
      <c r="AH39" s="558"/>
      <c r="AI39" s="558"/>
      <c r="AJ39" s="559"/>
      <c r="AK39" s="554"/>
      <c r="AL39" s="555"/>
      <c r="AM39" s="555"/>
      <c r="AN39" s="555"/>
      <c r="AO39" s="555"/>
      <c r="AP39" s="555"/>
      <c r="AQ39" s="556"/>
      <c r="AR39" s="560"/>
      <c r="AS39" s="561"/>
      <c r="AT39" s="561"/>
      <c r="AU39" s="561"/>
      <c r="AV39" s="561"/>
      <c r="AW39" s="561"/>
      <c r="AX39" s="561"/>
      <c r="AY39" s="561"/>
      <c r="AZ39" s="561"/>
      <c r="BA39" s="561"/>
      <c r="BB39" s="561"/>
      <c r="BC39" s="561"/>
      <c r="BD39" s="561"/>
      <c r="BE39" s="561"/>
      <c r="BF39" s="561"/>
      <c r="BG39" s="561"/>
      <c r="BH39" s="561"/>
      <c r="BI39" s="561"/>
      <c r="BJ39" s="561"/>
      <c r="BK39" s="561"/>
      <c r="BL39" s="561"/>
      <c r="BM39" s="561"/>
      <c r="BN39" s="561"/>
      <c r="BO39" s="561"/>
      <c r="BP39" s="561"/>
      <c r="BQ39" s="561"/>
      <c r="BR39" s="561"/>
      <c r="BS39" s="561"/>
      <c r="BT39" s="561"/>
      <c r="BU39" s="561"/>
      <c r="BV39" s="561"/>
      <c r="BW39" s="561"/>
      <c r="BX39" s="561"/>
      <c r="BY39" s="561"/>
      <c r="BZ39" s="561"/>
      <c r="CA39" s="561"/>
      <c r="CB39" s="561"/>
      <c r="CC39" s="561"/>
      <c r="CD39" s="562"/>
      <c r="CE39" s="12"/>
    </row>
    <row r="40" spans="1:83" ht="12" customHeight="1">
      <c r="A40" s="12"/>
      <c r="B40" s="554"/>
      <c r="C40" s="555"/>
      <c r="D40" s="555"/>
      <c r="E40" s="556"/>
      <c r="F40" s="554"/>
      <c r="G40" s="555"/>
      <c r="H40" s="555"/>
      <c r="I40" s="555"/>
      <c r="J40" s="555"/>
      <c r="K40" s="555"/>
      <c r="L40" s="555"/>
      <c r="M40" s="556"/>
      <c r="N40" s="557"/>
      <c r="O40" s="558"/>
      <c r="P40" s="558"/>
      <c r="Q40" s="558"/>
      <c r="R40" s="558"/>
      <c r="S40" s="558"/>
      <c r="T40" s="558"/>
      <c r="U40" s="558"/>
      <c r="V40" s="558"/>
      <c r="W40" s="558"/>
      <c r="X40" s="558"/>
      <c r="Y40" s="558"/>
      <c r="Z40" s="558"/>
      <c r="AA40" s="558"/>
      <c r="AB40" s="558"/>
      <c r="AC40" s="558"/>
      <c r="AD40" s="558"/>
      <c r="AE40" s="558"/>
      <c r="AF40" s="558"/>
      <c r="AG40" s="558"/>
      <c r="AH40" s="558"/>
      <c r="AI40" s="558"/>
      <c r="AJ40" s="559"/>
      <c r="AK40" s="554"/>
      <c r="AL40" s="555"/>
      <c r="AM40" s="555"/>
      <c r="AN40" s="555"/>
      <c r="AO40" s="555"/>
      <c r="AP40" s="555"/>
      <c r="AQ40" s="556"/>
      <c r="AR40" s="560"/>
      <c r="AS40" s="561"/>
      <c r="AT40" s="561"/>
      <c r="AU40" s="561"/>
      <c r="AV40" s="561"/>
      <c r="AW40" s="561"/>
      <c r="AX40" s="561"/>
      <c r="AY40" s="561"/>
      <c r="AZ40" s="561"/>
      <c r="BA40" s="561"/>
      <c r="BB40" s="561"/>
      <c r="BC40" s="561"/>
      <c r="BD40" s="561"/>
      <c r="BE40" s="561"/>
      <c r="BF40" s="561"/>
      <c r="BG40" s="561"/>
      <c r="BH40" s="561"/>
      <c r="BI40" s="561"/>
      <c r="BJ40" s="561"/>
      <c r="BK40" s="561"/>
      <c r="BL40" s="561"/>
      <c r="BM40" s="561"/>
      <c r="BN40" s="561"/>
      <c r="BO40" s="561"/>
      <c r="BP40" s="561"/>
      <c r="BQ40" s="561"/>
      <c r="BR40" s="561"/>
      <c r="BS40" s="561"/>
      <c r="BT40" s="561"/>
      <c r="BU40" s="561"/>
      <c r="BV40" s="561"/>
      <c r="BW40" s="561"/>
      <c r="BX40" s="561"/>
      <c r="BY40" s="561"/>
      <c r="BZ40" s="561"/>
      <c r="CA40" s="561"/>
      <c r="CB40" s="561"/>
      <c r="CC40" s="561"/>
      <c r="CD40" s="562"/>
      <c r="CE40" s="12"/>
    </row>
    <row r="41" spans="1:83" ht="12" customHeight="1">
      <c r="A41" s="12"/>
      <c r="B41" s="554"/>
      <c r="C41" s="555"/>
      <c r="D41" s="555"/>
      <c r="E41" s="556"/>
      <c r="F41" s="554"/>
      <c r="G41" s="555"/>
      <c r="H41" s="555"/>
      <c r="I41" s="555"/>
      <c r="J41" s="555"/>
      <c r="K41" s="555"/>
      <c r="L41" s="555"/>
      <c r="M41" s="556"/>
      <c r="N41" s="557"/>
      <c r="O41" s="558"/>
      <c r="P41" s="558"/>
      <c r="Q41" s="558"/>
      <c r="R41" s="558"/>
      <c r="S41" s="558"/>
      <c r="T41" s="558"/>
      <c r="U41" s="558"/>
      <c r="V41" s="558"/>
      <c r="W41" s="558"/>
      <c r="X41" s="558"/>
      <c r="Y41" s="558"/>
      <c r="Z41" s="558"/>
      <c r="AA41" s="558"/>
      <c r="AB41" s="558"/>
      <c r="AC41" s="558"/>
      <c r="AD41" s="558"/>
      <c r="AE41" s="558"/>
      <c r="AF41" s="558"/>
      <c r="AG41" s="558"/>
      <c r="AH41" s="558"/>
      <c r="AI41" s="558"/>
      <c r="AJ41" s="559"/>
      <c r="AK41" s="554"/>
      <c r="AL41" s="555"/>
      <c r="AM41" s="555"/>
      <c r="AN41" s="555"/>
      <c r="AO41" s="555"/>
      <c r="AP41" s="555"/>
      <c r="AQ41" s="556"/>
      <c r="AR41" s="560"/>
      <c r="AS41" s="561"/>
      <c r="AT41" s="561"/>
      <c r="AU41" s="561"/>
      <c r="AV41" s="561"/>
      <c r="AW41" s="561"/>
      <c r="AX41" s="561"/>
      <c r="AY41" s="561"/>
      <c r="AZ41" s="561"/>
      <c r="BA41" s="561"/>
      <c r="BB41" s="561"/>
      <c r="BC41" s="561"/>
      <c r="BD41" s="561"/>
      <c r="BE41" s="561"/>
      <c r="BF41" s="561"/>
      <c r="BG41" s="561"/>
      <c r="BH41" s="561"/>
      <c r="BI41" s="561"/>
      <c r="BJ41" s="561"/>
      <c r="BK41" s="561"/>
      <c r="BL41" s="561"/>
      <c r="BM41" s="561"/>
      <c r="BN41" s="561"/>
      <c r="BO41" s="561"/>
      <c r="BP41" s="561"/>
      <c r="BQ41" s="561"/>
      <c r="BR41" s="561"/>
      <c r="BS41" s="561"/>
      <c r="BT41" s="561"/>
      <c r="BU41" s="561"/>
      <c r="BV41" s="561"/>
      <c r="BW41" s="561"/>
      <c r="BX41" s="561"/>
      <c r="BY41" s="561"/>
      <c r="BZ41" s="561"/>
      <c r="CA41" s="561"/>
      <c r="CB41" s="561"/>
      <c r="CC41" s="561"/>
      <c r="CD41" s="562"/>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A1:CE1"/>
    <mergeCell ref="A3:H3"/>
    <mergeCell ref="I3:AC3"/>
    <mergeCell ref="AD3:AL3"/>
    <mergeCell ref="AM3:BQ3"/>
    <mergeCell ref="BR3:BS5"/>
    <mergeCell ref="BT3:BX5"/>
    <mergeCell ref="BY3:BZ5"/>
    <mergeCell ref="CA3:CE5"/>
    <mergeCell ref="A4:H5"/>
    <mergeCell ref="BN5:BQ5"/>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B10:E10"/>
    <mergeCell ref="F10:M10"/>
    <mergeCell ref="N10:AJ10"/>
    <mergeCell ref="AK10:AQ10"/>
    <mergeCell ref="AR10:CD10"/>
    <mergeCell ref="B11:E11"/>
    <mergeCell ref="F11:M11"/>
    <mergeCell ref="N11:AJ11"/>
    <mergeCell ref="AK11:AQ11"/>
    <mergeCell ref="AR11:CD11"/>
    <mergeCell ref="B12:E12"/>
    <mergeCell ref="F12:M12"/>
    <mergeCell ref="N12:AJ12"/>
    <mergeCell ref="AK12:AQ12"/>
    <mergeCell ref="AR12:CD12"/>
    <mergeCell ref="B13:E13"/>
    <mergeCell ref="F13:M13"/>
    <mergeCell ref="N13:AJ13"/>
    <mergeCell ref="AK13:AQ13"/>
    <mergeCell ref="AR13:CD13"/>
    <mergeCell ref="B14:E14"/>
    <mergeCell ref="F14:M14"/>
    <mergeCell ref="N14:AJ14"/>
    <mergeCell ref="AK14:AQ14"/>
    <mergeCell ref="AR14:CD14"/>
    <mergeCell ref="B15:E15"/>
    <mergeCell ref="F15:M15"/>
    <mergeCell ref="N15:AJ15"/>
    <mergeCell ref="AK15:AQ15"/>
    <mergeCell ref="AR15:CD15"/>
    <mergeCell ref="B16:E16"/>
    <mergeCell ref="F16:M16"/>
    <mergeCell ref="N16:AJ16"/>
    <mergeCell ref="AK16:AQ16"/>
    <mergeCell ref="AR16:CD16"/>
    <mergeCell ref="B17:E17"/>
    <mergeCell ref="F17:M17"/>
    <mergeCell ref="N17:AJ17"/>
    <mergeCell ref="AK17:AQ17"/>
    <mergeCell ref="AR17:CD17"/>
    <mergeCell ref="B18:E18"/>
    <mergeCell ref="F18:M18"/>
    <mergeCell ref="N18:AJ18"/>
    <mergeCell ref="AK18:AQ18"/>
    <mergeCell ref="AR18:CD18"/>
    <mergeCell ref="B19:E19"/>
    <mergeCell ref="F19:M19"/>
    <mergeCell ref="N19:AJ19"/>
    <mergeCell ref="AK19:AQ19"/>
    <mergeCell ref="AR19:CD19"/>
    <mergeCell ref="B22:E22"/>
    <mergeCell ref="F22:M22"/>
    <mergeCell ref="N22:AJ22"/>
    <mergeCell ref="AK22:AQ22"/>
    <mergeCell ref="AR22:CD22"/>
    <mergeCell ref="N23:AJ23"/>
    <mergeCell ref="AR20:CD20"/>
    <mergeCell ref="B21:E21"/>
    <mergeCell ref="F21:M21"/>
    <mergeCell ref="N21:AJ21"/>
    <mergeCell ref="AK21:AQ21"/>
    <mergeCell ref="AR21:CD21"/>
    <mergeCell ref="B24:E24"/>
    <mergeCell ref="F24:M24"/>
    <mergeCell ref="N24:AJ24"/>
    <mergeCell ref="AK24:AQ24"/>
    <mergeCell ref="AR24:CD24"/>
    <mergeCell ref="B25:E25"/>
    <mergeCell ref="F25:M25"/>
    <mergeCell ref="N25:AJ25"/>
    <mergeCell ref="AK25:AQ25"/>
    <mergeCell ref="AR25:CD25"/>
    <mergeCell ref="B26:E26"/>
    <mergeCell ref="F26:M26"/>
    <mergeCell ref="N26:AJ26"/>
    <mergeCell ref="AK26:AQ26"/>
    <mergeCell ref="AR26:CD26"/>
    <mergeCell ref="B27:E27"/>
    <mergeCell ref="F27:M27"/>
    <mergeCell ref="N27:AJ27"/>
    <mergeCell ref="AK27:AQ27"/>
    <mergeCell ref="AR27:CD27"/>
    <mergeCell ref="B28:E28"/>
    <mergeCell ref="F28:M28"/>
    <mergeCell ref="N28:AJ28"/>
    <mergeCell ref="AK28:AQ28"/>
    <mergeCell ref="AR28:CD28"/>
    <mergeCell ref="B29:E29"/>
    <mergeCell ref="F29:M29"/>
    <mergeCell ref="N29:AJ29"/>
    <mergeCell ref="AK29:AQ29"/>
    <mergeCell ref="AR29:CD29"/>
    <mergeCell ref="B30:E30"/>
    <mergeCell ref="F30:M30"/>
    <mergeCell ref="N30:AJ30"/>
    <mergeCell ref="AK30:AQ30"/>
    <mergeCell ref="AR30:CD30"/>
    <mergeCell ref="B31:E31"/>
    <mergeCell ref="F31:M31"/>
    <mergeCell ref="N31:AJ31"/>
    <mergeCell ref="AK31:AQ31"/>
    <mergeCell ref="AR31:CD31"/>
    <mergeCell ref="B32:E32"/>
    <mergeCell ref="F32:M32"/>
    <mergeCell ref="N32:AJ32"/>
    <mergeCell ref="AK32:AQ32"/>
    <mergeCell ref="AR32:CD32"/>
    <mergeCell ref="B33:E33"/>
    <mergeCell ref="F33:M33"/>
    <mergeCell ref="N33:AJ33"/>
    <mergeCell ref="AK33:AQ33"/>
    <mergeCell ref="AR33:CD33"/>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8:E38"/>
    <mergeCell ref="F38:M38"/>
    <mergeCell ref="N38:AJ38"/>
    <mergeCell ref="AK38:AQ38"/>
    <mergeCell ref="AR38:CD38"/>
    <mergeCell ref="B39:E39"/>
    <mergeCell ref="F39:M39"/>
    <mergeCell ref="N39:AJ39"/>
    <mergeCell ref="AK39:AQ39"/>
    <mergeCell ref="AR39:CD39"/>
    <mergeCell ref="B40:E40"/>
    <mergeCell ref="F40:M40"/>
    <mergeCell ref="N40:AJ40"/>
    <mergeCell ref="AK40:AQ40"/>
    <mergeCell ref="AR40:CD40"/>
    <mergeCell ref="B41:E41"/>
    <mergeCell ref="F41:M41"/>
    <mergeCell ref="N41:AJ41"/>
    <mergeCell ref="AK41:AQ41"/>
    <mergeCell ref="AR41:CD41"/>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E102"/>
  <sheetViews>
    <sheetView showGridLines="0" view="pageBreakPreview" zoomScale="85" zoomScaleNormal="100" zoomScaleSheetLayoutView="85" workbookViewId="0">
      <selection sqref="A1:CE1"/>
    </sheetView>
  </sheetViews>
  <sheetFormatPr defaultColWidth="1.625" defaultRowHeight="12" customHeight="1"/>
  <cols>
    <col min="1" max="1" width="1.625" style="400" customWidth="1"/>
    <col min="2" max="16384" width="1.625" style="400"/>
  </cols>
  <sheetData>
    <row r="1" spans="1:83" ht="17.25" customHeight="1">
      <c r="A1" s="605" t="s">
        <v>34</v>
      </c>
      <c r="B1" s="606"/>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c r="AM1" s="606"/>
      <c r="AN1" s="606"/>
      <c r="AO1" s="606"/>
      <c r="AP1" s="606"/>
      <c r="AQ1" s="606"/>
      <c r="AR1" s="606"/>
      <c r="AS1" s="606"/>
      <c r="AT1" s="606"/>
      <c r="AU1" s="606"/>
      <c r="AV1" s="606"/>
      <c r="AW1" s="606"/>
      <c r="AX1" s="606"/>
      <c r="AY1" s="606"/>
      <c r="AZ1" s="606"/>
      <c r="BA1" s="606"/>
      <c r="BB1" s="606"/>
      <c r="BC1" s="606"/>
      <c r="BD1" s="606"/>
      <c r="BE1" s="606"/>
      <c r="BF1" s="606"/>
      <c r="BG1" s="606"/>
      <c r="BH1" s="606"/>
      <c r="BI1" s="606"/>
      <c r="BJ1" s="606"/>
      <c r="BK1" s="606"/>
      <c r="BL1" s="606"/>
      <c r="BM1" s="606"/>
      <c r="BN1" s="606"/>
      <c r="BO1" s="606"/>
      <c r="BP1" s="606"/>
      <c r="BQ1" s="606"/>
      <c r="BR1" s="606"/>
      <c r="BS1" s="606"/>
      <c r="BT1" s="606"/>
      <c r="BU1" s="606"/>
      <c r="BV1" s="606"/>
      <c r="BW1" s="606"/>
      <c r="BX1" s="606"/>
      <c r="BY1" s="606"/>
      <c r="BZ1" s="606"/>
      <c r="CA1" s="606"/>
      <c r="CB1" s="606"/>
      <c r="CC1" s="606"/>
      <c r="CD1" s="606"/>
      <c r="CE1" s="606"/>
    </row>
    <row r="2" spans="1:83" ht="4.5" customHeight="1"/>
    <row r="3" spans="1:83" ht="12" customHeight="1">
      <c r="A3" s="603" t="s">
        <v>8</v>
      </c>
      <c r="B3" s="603"/>
      <c r="C3" s="603"/>
      <c r="D3" s="603"/>
      <c r="E3" s="603"/>
      <c r="F3" s="603"/>
      <c r="G3" s="603"/>
      <c r="H3" s="603"/>
      <c r="I3" s="603"/>
      <c r="J3" s="603"/>
      <c r="K3" s="603"/>
      <c r="L3" s="603"/>
      <c r="M3" s="603"/>
      <c r="N3" s="603"/>
      <c r="O3" s="603"/>
      <c r="P3" s="603"/>
      <c r="Q3" s="603"/>
      <c r="R3" s="603"/>
      <c r="S3" s="603"/>
      <c r="T3" s="603"/>
      <c r="U3" s="603"/>
      <c r="V3" s="603"/>
      <c r="W3" s="603"/>
      <c r="X3" s="603"/>
      <c r="Y3" s="603"/>
      <c r="Z3" s="603"/>
      <c r="AA3" s="603"/>
      <c r="AB3" s="603"/>
      <c r="AC3" s="603"/>
      <c r="AD3" s="603" t="s">
        <v>1</v>
      </c>
      <c r="AE3" s="603"/>
      <c r="AF3" s="603"/>
      <c r="AG3" s="603"/>
      <c r="AH3" s="603"/>
      <c r="AI3" s="603"/>
      <c r="AJ3" s="603"/>
      <c r="AK3" s="603"/>
      <c r="AL3" s="603"/>
      <c r="AM3" s="607" t="s">
        <v>29</v>
      </c>
      <c r="AN3" s="608"/>
      <c r="AO3" s="608"/>
      <c r="AP3" s="608"/>
      <c r="AQ3" s="608"/>
      <c r="AR3" s="608"/>
      <c r="AS3" s="608"/>
      <c r="AT3" s="608"/>
      <c r="AU3" s="608"/>
      <c r="AV3" s="608"/>
      <c r="AW3" s="608"/>
      <c r="AX3" s="608"/>
      <c r="AY3" s="608"/>
      <c r="AZ3" s="608"/>
      <c r="BA3" s="608"/>
      <c r="BB3" s="608"/>
      <c r="BC3" s="608"/>
      <c r="BD3" s="608"/>
      <c r="BE3" s="608"/>
      <c r="BF3" s="608"/>
      <c r="BG3" s="608"/>
      <c r="BH3" s="608"/>
      <c r="BI3" s="608"/>
      <c r="BJ3" s="608"/>
      <c r="BK3" s="608"/>
      <c r="BL3" s="608"/>
      <c r="BM3" s="608"/>
      <c r="BN3" s="608"/>
      <c r="BO3" s="608"/>
      <c r="BP3" s="608"/>
      <c r="BQ3" s="609"/>
      <c r="BR3" s="610" t="s">
        <v>6</v>
      </c>
      <c r="BS3" s="610"/>
      <c r="BT3" s="611" t="s">
        <v>756</v>
      </c>
      <c r="BU3" s="603"/>
      <c r="BV3" s="603"/>
      <c r="BW3" s="603"/>
      <c r="BX3" s="603"/>
      <c r="BY3" s="610" t="s">
        <v>7</v>
      </c>
      <c r="BZ3" s="610"/>
      <c r="CA3" s="611" t="s">
        <v>757</v>
      </c>
      <c r="CB3" s="603"/>
      <c r="CC3" s="603"/>
      <c r="CD3" s="603"/>
      <c r="CE3" s="603"/>
    </row>
    <row r="4" spans="1:83" ht="12" customHeight="1">
      <c r="A4" s="603" t="s">
        <v>9</v>
      </c>
      <c r="B4" s="603"/>
      <c r="C4" s="603"/>
      <c r="D4" s="603"/>
      <c r="E4" s="603"/>
      <c r="F4" s="603"/>
      <c r="G4" s="603"/>
      <c r="H4" s="603"/>
      <c r="I4" s="611" t="s">
        <v>30</v>
      </c>
      <c r="J4" s="603"/>
      <c r="K4" s="603"/>
      <c r="L4" s="603"/>
      <c r="M4" s="603"/>
      <c r="N4" s="603"/>
      <c r="O4" s="603"/>
      <c r="P4" s="603"/>
      <c r="Q4" s="603"/>
      <c r="R4" s="603"/>
      <c r="S4" s="603"/>
      <c r="T4" s="603"/>
      <c r="U4" s="603"/>
      <c r="V4" s="603"/>
      <c r="W4" s="603"/>
      <c r="X4" s="603"/>
      <c r="Y4" s="603"/>
      <c r="Z4" s="603"/>
      <c r="AA4" s="603"/>
      <c r="AB4" s="603"/>
      <c r="AC4" s="603"/>
      <c r="AD4" s="603" t="s">
        <v>0</v>
      </c>
      <c r="AE4" s="603"/>
      <c r="AF4" s="603"/>
      <c r="AG4" s="603"/>
      <c r="AH4" s="603"/>
      <c r="AI4" s="603"/>
      <c r="AJ4" s="603"/>
      <c r="AK4" s="603"/>
      <c r="AL4" s="603"/>
      <c r="AM4" s="607" t="s">
        <v>17</v>
      </c>
      <c r="AN4" s="608"/>
      <c r="AO4" s="608"/>
      <c r="AP4" s="608"/>
      <c r="AQ4" s="608"/>
      <c r="AR4" s="608"/>
      <c r="AS4" s="608"/>
      <c r="AT4" s="608"/>
      <c r="AU4" s="608"/>
      <c r="AV4" s="608"/>
      <c r="AW4" s="608"/>
      <c r="AX4" s="608"/>
      <c r="AY4" s="608"/>
      <c r="AZ4" s="608"/>
      <c r="BA4" s="608"/>
      <c r="BB4" s="608"/>
      <c r="BC4" s="608"/>
      <c r="BD4" s="608"/>
      <c r="BE4" s="608"/>
      <c r="BF4" s="608"/>
      <c r="BG4" s="608"/>
      <c r="BH4" s="608"/>
      <c r="BI4" s="608"/>
      <c r="BJ4" s="608"/>
      <c r="BK4" s="608"/>
      <c r="BL4" s="608"/>
      <c r="BM4" s="608"/>
      <c r="BN4" s="608"/>
      <c r="BO4" s="608"/>
      <c r="BP4" s="608"/>
      <c r="BQ4" s="609"/>
      <c r="BR4" s="610"/>
      <c r="BS4" s="610"/>
      <c r="BT4" s="603"/>
      <c r="BU4" s="603"/>
      <c r="BV4" s="603"/>
      <c r="BW4" s="603"/>
      <c r="BX4" s="603"/>
      <c r="BY4" s="610"/>
      <c r="BZ4" s="610"/>
      <c r="CA4" s="603"/>
      <c r="CB4" s="603"/>
      <c r="CC4" s="603"/>
      <c r="CD4" s="603"/>
      <c r="CE4" s="603"/>
    </row>
    <row r="5" spans="1:83" ht="12" customHeight="1">
      <c r="A5" s="603"/>
      <c r="B5" s="603"/>
      <c r="C5" s="603"/>
      <c r="D5" s="603"/>
      <c r="E5" s="603"/>
      <c r="F5" s="603"/>
      <c r="G5" s="603"/>
      <c r="H5" s="603"/>
      <c r="I5" s="603"/>
      <c r="J5" s="603"/>
      <c r="K5" s="603"/>
      <c r="L5" s="603"/>
      <c r="M5" s="603"/>
      <c r="N5" s="603"/>
      <c r="O5" s="603"/>
      <c r="P5" s="603"/>
      <c r="Q5" s="603"/>
      <c r="R5" s="603"/>
      <c r="S5" s="603"/>
      <c r="T5" s="603"/>
      <c r="U5" s="603"/>
      <c r="V5" s="603"/>
      <c r="W5" s="603"/>
      <c r="X5" s="603"/>
      <c r="Y5" s="603"/>
      <c r="Z5" s="603"/>
      <c r="AA5" s="603"/>
      <c r="AB5" s="603"/>
      <c r="AC5" s="603"/>
      <c r="AD5" s="603" t="s">
        <v>2</v>
      </c>
      <c r="AE5" s="603"/>
      <c r="AF5" s="603"/>
      <c r="AG5" s="603"/>
      <c r="AH5" s="604">
        <v>43503</v>
      </c>
      <c r="AI5" s="604"/>
      <c r="AJ5" s="604"/>
      <c r="AK5" s="604"/>
      <c r="AL5" s="604"/>
      <c r="AM5" s="604"/>
      <c r="AN5" s="604"/>
      <c r="AO5" s="603" t="s">
        <v>3</v>
      </c>
      <c r="AP5" s="603"/>
      <c r="AQ5" s="603"/>
      <c r="AR5" s="603"/>
      <c r="AS5" s="604"/>
      <c r="AT5" s="604"/>
      <c r="AU5" s="604"/>
      <c r="AV5" s="604"/>
      <c r="AW5" s="604"/>
      <c r="AX5" s="604"/>
      <c r="AY5" s="604"/>
      <c r="AZ5" s="603" t="s">
        <v>4</v>
      </c>
      <c r="BA5" s="603"/>
      <c r="BB5" s="603"/>
      <c r="BC5" s="603"/>
      <c r="BD5" s="604"/>
      <c r="BE5" s="604"/>
      <c r="BF5" s="604"/>
      <c r="BG5" s="604"/>
      <c r="BH5" s="604"/>
      <c r="BI5" s="604"/>
      <c r="BJ5" s="604"/>
      <c r="BK5" s="603" t="s">
        <v>5</v>
      </c>
      <c r="BL5" s="603"/>
      <c r="BM5" s="603"/>
      <c r="BN5" s="612"/>
      <c r="BO5" s="612"/>
      <c r="BP5" s="612"/>
      <c r="BQ5" s="612"/>
      <c r="BR5" s="610"/>
      <c r="BS5" s="610"/>
      <c r="BT5" s="603"/>
      <c r="BU5" s="603"/>
      <c r="BV5" s="603"/>
      <c r="BW5" s="603"/>
      <c r="BX5" s="603"/>
      <c r="BY5" s="610"/>
      <c r="BZ5" s="610"/>
      <c r="CA5" s="603"/>
      <c r="CB5" s="603"/>
      <c r="CC5" s="603"/>
      <c r="CD5" s="603"/>
      <c r="CE5" s="603"/>
    </row>
    <row r="6" spans="1:83" ht="5.0999999999999996" customHeight="1"/>
    <row r="7" spans="1:83" ht="12" customHeigh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row>
    <row r="8" spans="1:83" ht="12"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row>
    <row r="9" spans="1:83" ht="12" customHeight="1">
      <c r="A9" s="29"/>
      <c r="B9" s="23" t="s">
        <v>31</v>
      </c>
      <c r="C9" s="23"/>
      <c r="D9" s="23"/>
      <c r="E9" s="23"/>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row>
    <row r="10" spans="1:83" ht="12" customHeight="1">
      <c r="A10" s="29"/>
      <c r="B10" s="23"/>
      <c r="C10" s="23"/>
      <c r="D10" s="23"/>
      <c r="E10" s="23"/>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row>
    <row r="11" spans="1:83" ht="12" customHeight="1">
      <c r="A11" s="29"/>
      <c r="B11" s="23" t="s">
        <v>45</v>
      </c>
      <c r="C11" s="26"/>
      <c r="D11" s="23"/>
      <c r="E11" s="23"/>
      <c r="F11" s="29"/>
      <c r="G11" s="29"/>
      <c r="H11" s="29"/>
      <c r="I11" s="29"/>
      <c r="J11" s="29"/>
      <c r="K11" s="29"/>
      <c r="L11" s="29"/>
      <c r="M11" s="29"/>
      <c r="N11" s="29"/>
      <c r="O11" s="29"/>
      <c r="P11" s="29"/>
      <c r="Q11" s="29"/>
      <c r="R11" s="29"/>
      <c r="S11" s="29"/>
      <c r="T11" s="29"/>
      <c r="U11" s="29"/>
      <c r="V11" s="29"/>
      <c r="W11" s="29"/>
      <c r="X11" s="29"/>
      <c r="Y11" s="29"/>
      <c r="Z11" s="28"/>
      <c r="AA11" s="23" t="s">
        <v>799</v>
      </c>
      <c r="AB11" s="23"/>
      <c r="AC11" s="23"/>
      <c r="AD11" s="28"/>
      <c r="AE11" s="29"/>
      <c r="AF11" s="28"/>
      <c r="AG11" s="28"/>
      <c r="AH11" s="28"/>
      <c r="AI11" s="29"/>
      <c r="AJ11" s="29"/>
      <c r="AK11" s="29"/>
      <c r="AL11" s="29"/>
      <c r="AM11" s="29"/>
      <c r="AN11" s="29"/>
      <c r="AO11" s="29"/>
      <c r="AP11" s="29"/>
      <c r="AQ11" s="29"/>
      <c r="AR11" s="29"/>
      <c r="AS11" s="29"/>
      <c r="AT11" s="29"/>
      <c r="AU11" s="29"/>
      <c r="AV11" s="29"/>
      <c r="AW11" s="29"/>
      <c r="AX11" s="29"/>
      <c r="AY11" s="29"/>
      <c r="AZ11" s="29"/>
      <c r="BA11" s="29"/>
      <c r="BB11" s="29"/>
      <c r="BC11" s="29" t="s">
        <v>1197</v>
      </c>
      <c r="BD11" s="23"/>
      <c r="BE11" s="26"/>
      <c r="BF11" s="23"/>
      <c r="BG11" s="29"/>
      <c r="BJ11" s="29"/>
      <c r="BK11" s="28"/>
      <c r="BL11" s="28"/>
      <c r="BM11" s="28"/>
      <c r="BN11" s="29"/>
      <c r="BO11" s="29"/>
      <c r="BP11" s="29"/>
      <c r="BQ11" s="29"/>
      <c r="BR11" s="29"/>
      <c r="BS11" s="29"/>
      <c r="BT11" s="29"/>
      <c r="BU11" s="29"/>
      <c r="BV11" s="29"/>
      <c r="BW11" s="29"/>
      <c r="BX11" s="29"/>
      <c r="BY11" s="29"/>
      <c r="BZ11" s="29"/>
      <c r="CA11" s="28"/>
      <c r="CB11" s="29"/>
      <c r="CC11" s="29"/>
      <c r="CD11" s="29"/>
      <c r="CE11" s="29"/>
    </row>
    <row r="12" spans="1:83" ht="12" customHeight="1">
      <c r="A12" s="29"/>
      <c r="B12" s="23" t="s">
        <v>39</v>
      </c>
      <c r="C12" s="23" t="s">
        <v>40</v>
      </c>
      <c r="D12" s="26"/>
      <c r="E12" s="23"/>
      <c r="F12" s="29"/>
      <c r="G12" s="29"/>
      <c r="H12" s="29"/>
      <c r="I12" s="29"/>
      <c r="J12" s="29"/>
      <c r="K12" s="29"/>
      <c r="L12" s="29"/>
      <c r="M12" s="29"/>
      <c r="N12" s="29"/>
      <c r="O12" s="29"/>
      <c r="P12" s="29"/>
      <c r="Q12" s="29"/>
      <c r="R12" s="29"/>
      <c r="S12" s="29"/>
      <c r="T12" s="29"/>
      <c r="U12" s="29"/>
      <c r="V12" s="29"/>
      <c r="W12" s="29"/>
      <c r="X12" s="29"/>
      <c r="Y12" s="29"/>
      <c r="Z12" s="28"/>
      <c r="AA12" s="28"/>
      <c r="AB12" s="23" t="s">
        <v>800</v>
      </c>
      <c r="AC12" s="23"/>
      <c r="AD12" s="28"/>
      <c r="AE12" s="29"/>
      <c r="AF12" s="28"/>
      <c r="AG12" s="28"/>
      <c r="AH12" s="28"/>
      <c r="AI12" s="29"/>
      <c r="AJ12" s="29"/>
      <c r="AK12" s="29"/>
      <c r="AL12" s="29"/>
      <c r="AM12" s="29"/>
      <c r="AN12" s="29"/>
      <c r="AO12" s="29"/>
      <c r="AP12" s="29"/>
      <c r="AQ12" s="29"/>
      <c r="AR12" s="29"/>
      <c r="AS12" s="29"/>
      <c r="AT12" s="29"/>
      <c r="AU12" s="29"/>
      <c r="AV12" s="29"/>
      <c r="AW12" s="29"/>
      <c r="AX12" s="29"/>
      <c r="AY12" s="29"/>
      <c r="AZ12" s="29"/>
      <c r="BA12" s="29"/>
      <c r="BB12" s="29"/>
      <c r="BC12" s="23"/>
      <c r="BD12" s="23" t="s">
        <v>993</v>
      </c>
      <c r="BE12" s="23"/>
      <c r="BF12" s="23"/>
      <c r="BG12" s="29"/>
      <c r="BH12" s="28"/>
      <c r="BI12" s="28"/>
      <c r="BJ12" s="29"/>
      <c r="BK12" s="28"/>
      <c r="BL12" s="28"/>
      <c r="BM12" s="28"/>
      <c r="BN12" s="29"/>
      <c r="BO12" s="29"/>
      <c r="BP12" s="29"/>
      <c r="BQ12" s="29"/>
      <c r="BR12" s="29"/>
      <c r="BS12" s="29"/>
      <c r="BT12" s="29"/>
      <c r="BU12" s="29"/>
      <c r="BV12" s="29"/>
      <c r="BW12" s="29"/>
      <c r="BX12" s="29"/>
      <c r="BY12" s="29"/>
      <c r="BZ12" s="29"/>
      <c r="CA12" s="28"/>
      <c r="CB12" s="29"/>
      <c r="CC12" s="29"/>
      <c r="CD12" s="29"/>
      <c r="CE12" s="29"/>
    </row>
    <row r="13" spans="1:83" ht="12" customHeight="1">
      <c r="A13" s="29"/>
      <c r="B13" s="23" t="s">
        <v>39</v>
      </c>
      <c r="C13" s="23" t="s">
        <v>41</v>
      </c>
      <c r="D13" s="26"/>
      <c r="E13" s="23"/>
      <c r="F13" s="29"/>
      <c r="G13" s="29"/>
      <c r="H13" s="29"/>
      <c r="I13" s="29"/>
      <c r="J13" s="29"/>
      <c r="K13" s="29"/>
      <c r="L13" s="29"/>
      <c r="M13" s="29"/>
      <c r="N13" s="29"/>
      <c r="O13" s="29"/>
      <c r="P13" s="29"/>
      <c r="Q13" s="29"/>
      <c r="R13" s="29"/>
      <c r="S13" s="29"/>
      <c r="T13" s="29"/>
      <c r="U13" s="29"/>
      <c r="V13" s="29"/>
      <c r="W13" s="29"/>
      <c r="X13" s="29"/>
      <c r="Y13" s="29"/>
      <c r="Z13" s="28"/>
      <c r="AA13" s="23"/>
      <c r="AB13" s="23"/>
      <c r="AC13" s="23" t="s">
        <v>801</v>
      </c>
      <c r="AD13" s="28"/>
      <c r="AE13" s="28"/>
      <c r="AF13" s="28"/>
      <c r="AG13" s="28"/>
      <c r="AH13" s="28"/>
      <c r="AI13" s="29"/>
      <c r="AJ13" s="29"/>
      <c r="AK13" s="29"/>
      <c r="AL13" s="29"/>
      <c r="AM13" s="29"/>
      <c r="AN13" s="29"/>
      <c r="AO13" s="29"/>
      <c r="AP13" s="29"/>
      <c r="AQ13" s="29"/>
      <c r="AR13" s="29"/>
      <c r="AS13" s="29"/>
      <c r="AT13" s="29"/>
      <c r="AU13" s="29"/>
      <c r="AV13" s="29"/>
      <c r="AW13" s="29"/>
      <c r="AX13" s="29"/>
      <c r="AY13" s="29"/>
      <c r="AZ13" s="29"/>
      <c r="BA13" s="29"/>
      <c r="BB13" s="29"/>
      <c r="BC13" s="23"/>
      <c r="BD13" s="23" t="s">
        <v>994</v>
      </c>
      <c r="BE13" s="23"/>
      <c r="BF13" s="23"/>
      <c r="BG13" s="29"/>
      <c r="BH13" s="28"/>
      <c r="BI13" s="28"/>
      <c r="BJ13" s="29"/>
      <c r="BK13" s="28"/>
      <c r="BL13" s="28"/>
      <c r="BM13" s="28"/>
      <c r="BN13" s="29"/>
      <c r="BO13" s="29"/>
      <c r="BP13" s="29"/>
      <c r="BQ13" s="29"/>
      <c r="BR13" s="29"/>
      <c r="BS13" s="29"/>
      <c r="BT13" s="29"/>
      <c r="BU13" s="29"/>
      <c r="BV13" s="29"/>
      <c r="BW13" s="29"/>
      <c r="BX13" s="29"/>
      <c r="BY13" s="29"/>
      <c r="BZ13" s="29"/>
      <c r="CA13" s="28"/>
      <c r="CB13" s="29"/>
      <c r="CC13" s="29"/>
      <c r="CD13" s="29"/>
      <c r="CE13" s="29"/>
    </row>
    <row r="14" spans="1:83" ht="12" customHeight="1">
      <c r="A14" s="28"/>
      <c r="B14" s="28" t="s">
        <v>39</v>
      </c>
      <c r="C14" s="23" t="s">
        <v>42</v>
      </c>
      <c r="D14" s="28"/>
      <c r="E14" s="28"/>
      <c r="F14" s="28"/>
      <c r="G14" s="29"/>
      <c r="H14" s="29"/>
      <c r="I14" s="29"/>
      <c r="J14" s="29"/>
      <c r="K14" s="29"/>
      <c r="L14" s="29"/>
      <c r="M14" s="29"/>
      <c r="N14" s="29"/>
      <c r="O14" s="29"/>
      <c r="P14" s="29"/>
      <c r="Q14" s="29"/>
      <c r="R14" s="29"/>
      <c r="S14" s="29"/>
      <c r="T14" s="29"/>
      <c r="U14" s="29"/>
      <c r="V14" s="29"/>
      <c r="W14" s="29"/>
      <c r="X14" s="29"/>
      <c r="Y14" s="29"/>
      <c r="Z14" s="28"/>
      <c r="AA14" s="28"/>
      <c r="AB14" s="28"/>
      <c r="AC14" s="23" t="s">
        <v>802</v>
      </c>
      <c r="AD14" s="28"/>
      <c r="AE14" s="28"/>
      <c r="AF14" s="28"/>
      <c r="AG14" s="28"/>
      <c r="AH14" s="28"/>
      <c r="AI14" s="29"/>
      <c r="AJ14" s="29"/>
      <c r="AK14" s="29"/>
      <c r="AL14" s="29"/>
      <c r="AM14" s="29"/>
      <c r="AN14" s="29"/>
      <c r="AO14" s="29"/>
      <c r="AP14" s="29"/>
      <c r="AQ14" s="29"/>
      <c r="AR14" s="29"/>
      <c r="AS14" s="29"/>
      <c r="AT14" s="29"/>
      <c r="AU14" s="29"/>
      <c r="AV14" s="29"/>
      <c r="AW14" s="29"/>
      <c r="AX14" s="29"/>
      <c r="AY14" s="29"/>
      <c r="AZ14" s="29"/>
      <c r="BA14" s="29"/>
      <c r="BB14" s="29"/>
      <c r="BC14" s="23"/>
      <c r="BD14" s="23" t="s">
        <v>995</v>
      </c>
      <c r="BE14" s="23"/>
      <c r="BF14" s="23"/>
      <c r="BG14" s="29"/>
      <c r="BH14" s="29"/>
      <c r="BI14" s="29"/>
      <c r="BJ14" s="29"/>
      <c r="BK14" s="28"/>
      <c r="BL14" s="28"/>
      <c r="BM14" s="28"/>
      <c r="BN14" s="28"/>
      <c r="BO14" s="29"/>
      <c r="BP14" s="29"/>
      <c r="BQ14" s="29"/>
      <c r="BR14" s="29"/>
      <c r="BS14" s="29"/>
      <c r="BT14" s="29"/>
      <c r="BU14" s="29"/>
      <c r="BV14" s="29"/>
      <c r="BW14" s="29"/>
      <c r="BX14" s="29"/>
      <c r="BY14" s="29"/>
      <c r="BZ14" s="29"/>
      <c r="CA14" s="28"/>
      <c r="CB14" s="29"/>
      <c r="CC14" s="29"/>
      <c r="CD14" s="29"/>
      <c r="CE14" s="29"/>
    </row>
    <row r="15" spans="1:83" ht="12" customHeight="1">
      <c r="A15" s="29"/>
      <c r="B15" s="28"/>
      <c r="C15" s="27"/>
      <c r="D15" s="28"/>
      <c r="E15" s="28"/>
      <c r="F15" s="28"/>
      <c r="G15" s="28"/>
      <c r="H15" s="28"/>
      <c r="I15" s="28"/>
      <c r="J15" s="28"/>
      <c r="K15" s="28"/>
      <c r="L15" s="29"/>
      <c r="M15" s="29"/>
      <c r="N15" s="29"/>
      <c r="O15" s="29"/>
      <c r="P15" s="29"/>
      <c r="Q15" s="29"/>
      <c r="R15" s="29"/>
      <c r="S15" s="29"/>
      <c r="T15" s="29"/>
      <c r="U15" s="29"/>
      <c r="V15" s="29"/>
      <c r="W15" s="29"/>
      <c r="X15" s="29"/>
      <c r="Y15" s="29"/>
      <c r="Z15" s="28"/>
      <c r="AA15" s="28"/>
      <c r="AB15" s="28"/>
      <c r="AC15" s="28" t="s">
        <v>803</v>
      </c>
      <c r="AD15" s="28"/>
      <c r="AE15" s="28"/>
      <c r="AF15" s="28"/>
      <c r="AG15" s="28"/>
      <c r="AH15" s="28"/>
      <c r="AI15" s="29"/>
      <c r="AJ15" s="29"/>
      <c r="AK15" s="29"/>
      <c r="AL15" s="29"/>
      <c r="AM15" s="29"/>
      <c r="AN15" s="29"/>
      <c r="AO15" s="29"/>
      <c r="AP15" s="29"/>
      <c r="AQ15" s="29"/>
      <c r="AR15" s="29"/>
      <c r="AS15" s="29"/>
      <c r="AT15" s="29"/>
      <c r="AU15" s="29"/>
      <c r="AV15" s="29"/>
      <c r="AW15" s="29"/>
      <c r="AX15" s="29"/>
      <c r="AY15" s="29"/>
      <c r="AZ15" s="29"/>
      <c r="BA15" s="29"/>
      <c r="BB15" s="29"/>
      <c r="BC15" s="23"/>
      <c r="BD15" s="23"/>
      <c r="BE15" s="23" t="s">
        <v>996</v>
      </c>
      <c r="BF15" s="23"/>
      <c r="BG15" s="29"/>
      <c r="BH15" s="29"/>
      <c r="BI15" s="29"/>
      <c r="BJ15" s="29"/>
      <c r="BK15" s="28"/>
      <c r="BL15" s="28"/>
      <c r="BM15" s="28"/>
      <c r="BN15" s="29"/>
      <c r="BO15" s="29"/>
      <c r="BP15" s="29"/>
      <c r="BQ15" s="29"/>
      <c r="BR15" s="29"/>
      <c r="BS15" s="29"/>
      <c r="BT15" s="28"/>
      <c r="BU15" s="29"/>
      <c r="BV15" s="29"/>
      <c r="BW15" s="29"/>
      <c r="BX15" s="29"/>
      <c r="BY15" s="29"/>
      <c r="BZ15" s="29"/>
      <c r="CA15" s="28"/>
      <c r="CB15" s="29"/>
      <c r="CC15" s="29"/>
      <c r="CD15" s="29"/>
      <c r="CE15" s="29"/>
    </row>
    <row r="16" spans="1:83" ht="12" customHeight="1">
      <c r="A16" s="29"/>
      <c r="B16" s="23" t="s">
        <v>44</v>
      </c>
      <c r="C16" s="26"/>
      <c r="D16" s="23"/>
      <c r="E16" s="23"/>
      <c r="F16" s="28"/>
      <c r="G16" s="28"/>
      <c r="H16" s="28"/>
      <c r="I16" s="28"/>
      <c r="J16" s="28"/>
      <c r="K16" s="28"/>
      <c r="L16" s="29"/>
      <c r="M16" s="29"/>
      <c r="N16" s="29"/>
      <c r="O16" s="29"/>
      <c r="P16" s="29"/>
      <c r="Q16" s="29"/>
      <c r="R16" s="29"/>
      <c r="S16" s="29"/>
      <c r="T16" s="29"/>
      <c r="U16" s="29"/>
      <c r="V16" s="29"/>
      <c r="W16" s="29"/>
      <c r="X16" s="29"/>
      <c r="Y16" s="29"/>
      <c r="Z16" s="28"/>
      <c r="AA16" s="28"/>
      <c r="AB16" s="28" t="s">
        <v>804</v>
      </c>
      <c r="AC16" s="28"/>
      <c r="AD16" s="28"/>
      <c r="AE16" s="28"/>
      <c r="AF16" s="28"/>
      <c r="AG16" s="28"/>
      <c r="AH16" s="28"/>
      <c r="AI16" s="29"/>
      <c r="AJ16" s="29"/>
      <c r="AK16" s="29"/>
      <c r="AL16" s="29"/>
      <c r="AM16" s="29"/>
      <c r="AN16" s="29"/>
      <c r="AO16" s="29"/>
      <c r="AP16" s="29"/>
      <c r="AQ16" s="29"/>
      <c r="AR16" s="29"/>
      <c r="AS16" s="29"/>
      <c r="AT16" s="29"/>
      <c r="AU16" s="29"/>
      <c r="AV16" s="29"/>
      <c r="AW16" s="29"/>
      <c r="AX16" s="29"/>
      <c r="AY16" s="29"/>
      <c r="AZ16" s="29"/>
      <c r="BA16" s="29"/>
      <c r="BB16" s="29"/>
      <c r="BC16" s="29"/>
      <c r="BD16" s="23"/>
      <c r="BE16" s="23" t="s">
        <v>997</v>
      </c>
      <c r="BF16" s="23"/>
      <c r="BG16" s="29"/>
      <c r="BH16" s="29"/>
      <c r="BI16" s="29"/>
      <c r="BJ16" s="29"/>
      <c r="BK16" s="28"/>
      <c r="BL16" s="28"/>
      <c r="BM16" s="28"/>
      <c r="BN16" s="29"/>
      <c r="BO16" s="29"/>
      <c r="BP16" s="29"/>
      <c r="BQ16" s="29"/>
      <c r="BR16" s="29"/>
      <c r="BS16" s="29"/>
      <c r="BT16" s="28"/>
      <c r="BU16" s="29"/>
      <c r="BV16" s="29"/>
      <c r="BW16" s="29"/>
      <c r="BX16" s="29"/>
      <c r="BY16" s="29"/>
      <c r="BZ16" s="29"/>
      <c r="CA16" s="28"/>
      <c r="CB16" s="29"/>
      <c r="CC16" s="29"/>
      <c r="CD16" s="29"/>
      <c r="CE16" s="29"/>
    </row>
    <row r="17" spans="1:83" ht="12" customHeight="1">
      <c r="A17" s="29"/>
      <c r="B17" s="23" t="s">
        <v>39</v>
      </c>
      <c r="C17" s="23" t="s">
        <v>43</v>
      </c>
      <c r="D17" s="26"/>
      <c r="E17" s="23"/>
      <c r="F17" s="29"/>
      <c r="G17" s="29"/>
      <c r="H17" s="29"/>
      <c r="I17" s="29"/>
      <c r="J17" s="29"/>
      <c r="K17" s="29"/>
      <c r="L17" s="29"/>
      <c r="M17" s="29"/>
      <c r="N17" s="29"/>
      <c r="O17" s="29"/>
      <c r="P17" s="29"/>
      <c r="Q17" s="29"/>
      <c r="R17" s="29"/>
      <c r="S17" s="29"/>
      <c r="T17" s="29"/>
      <c r="U17" s="29"/>
      <c r="V17" s="29"/>
      <c r="W17" s="29"/>
      <c r="X17" s="29"/>
      <c r="Y17" s="29"/>
      <c r="Z17" s="28"/>
      <c r="AA17" s="28"/>
      <c r="AB17" s="28"/>
      <c r="AC17" s="28" t="s">
        <v>805</v>
      </c>
      <c r="AD17" s="28"/>
      <c r="AE17" s="28"/>
      <c r="AF17" s="28"/>
      <c r="AG17" s="28"/>
      <c r="AH17" s="28"/>
      <c r="AI17" s="29"/>
      <c r="AJ17" s="29"/>
      <c r="AK17" s="29"/>
      <c r="AL17" s="29"/>
      <c r="AM17" s="29"/>
      <c r="AN17" s="29"/>
      <c r="AO17" s="29"/>
      <c r="AP17" s="29"/>
      <c r="AQ17" s="29"/>
      <c r="AR17" s="29"/>
      <c r="AS17" s="29"/>
      <c r="AT17" s="29"/>
      <c r="AU17" s="29"/>
      <c r="AV17" s="29"/>
      <c r="AW17" s="29"/>
      <c r="AX17" s="29"/>
      <c r="AY17" s="29"/>
      <c r="AZ17" s="29"/>
      <c r="BA17" s="29"/>
      <c r="BB17" s="29"/>
      <c r="BC17" s="29"/>
      <c r="BD17" s="23"/>
      <c r="BE17" s="28" t="s">
        <v>998</v>
      </c>
      <c r="BF17" s="23"/>
      <c r="BG17" s="29"/>
      <c r="BH17" s="29"/>
      <c r="BI17" s="29"/>
      <c r="BJ17" s="29"/>
      <c r="BK17" s="28"/>
      <c r="BL17" s="28"/>
      <c r="BM17" s="28"/>
      <c r="BN17" s="29"/>
      <c r="BO17" s="29"/>
      <c r="BP17" s="29"/>
      <c r="BQ17" s="29"/>
      <c r="BR17" s="29"/>
      <c r="BS17" s="29"/>
      <c r="BT17" s="28"/>
      <c r="BU17" s="29"/>
      <c r="BV17" s="29"/>
      <c r="BW17" s="29"/>
      <c r="BX17" s="29"/>
      <c r="BY17" s="29"/>
      <c r="BZ17" s="29"/>
      <c r="CA17" s="28"/>
      <c r="CB17" s="29"/>
      <c r="CC17" s="29"/>
      <c r="CD17" s="29"/>
      <c r="CE17" s="29"/>
    </row>
    <row r="18" spans="1:83" ht="12" customHeight="1">
      <c r="A18" s="28"/>
      <c r="B18" s="23" t="s">
        <v>39</v>
      </c>
      <c r="C18" s="23" t="s">
        <v>1082</v>
      </c>
      <c r="D18" s="26"/>
      <c r="E18" s="23"/>
      <c r="F18" s="29"/>
      <c r="G18" s="28"/>
      <c r="H18" s="29"/>
      <c r="I18" s="29"/>
      <c r="J18" s="29"/>
      <c r="K18" s="29"/>
      <c r="L18" s="29"/>
      <c r="M18" s="29"/>
      <c r="N18" s="29"/>
      <c r="O18" s="29"/>
      <c r="P18" s="29"/>
      <c r="Q18" s="29"/>
      <c r="R18" s="29"/>
      <c r="S18" s="29"/>
      <c r="T18" s="29"/>
      <c r="U18" s="29"/>
      <c r="V18" s="29"/>
      <c r="W18" s="29"/>
      <c r="X18" s="29"/>
      <c r="Y18" s="29"/>
      <c r="Z18" s="28"/>
      <c r="AA18" s="23"/>
      <c r="AB18" s="23"/>
      <c r="AC18" s="28" t="s">
        <v>806</v>
      </c>
      <c r="AD18" s="28"/>
      <c r="AE18" s="28"/>
      <c r="AF18" s="28"/>
      <c r="AG18" s="28"/>
      <c r="AH18" s="28"/>
      <c r="AI18" s="29"/>
      <c r="AJ18" s="29"/>
      <c r="AK18" s="29"/>
      <c r="AL18" s="29"/>
      <c r="AM18" s="29"/>
      <c r="AN18" s="29"/>
      <c r="AO18" s="29"/>
      <c r="AP18" s="29"/>
      <c r="AQ18" s="29"/>
      <c r="AR18" s="29"/>
      <c r="AS18" s="29"/>
      <c r="AT18" s="29"/>
      <c r="AU18" s="29"/>
      <c r="AV18" s="29"/>
      <c r="AW18" s="29"/>
      <c r="AX18" s="29"/>
      <c r="AY18" s="29"/>
      <c r="AZ18" s="29"/>
      <c r="BA18" s="29"/>
      <c r="BB18" s="29"/>
      <c r="BC18" s="29"/>
      <c r="BD18" s="23" t="s">
        <v>999</v>
      </c>
      <c r="BE18" s="23"/>
      <c r="BF18" s="28"/>
      <c r="BG18" s="29"/>
      <c r="BH18" s="29"/>
      <c r="BI18" s="29"/>
      <c r="BJ18" s="29"/>
      <c r="BK18" s="28"/>
      <c r="BL18" s="28"/>
      <c r="BM18" s="28"/>
      <c r="BN18" s="29"/>
      <c r="BO18" s="29"/>
      <c r="BP18" s="29"/>
      <c r="BQ18" s="29"/>
      <c r="BR18" s="29"/>
      <c r="BS18" s="29"/>
      <c r="BT18" s="28"/>
      <c r="BU18" s="29"/>
      <c r="BV18" s="29"/>
      <c r="BW18" s="29"/>
      <c r="BX18" s="29"/>
      <c r="BY18" s="29"/>
      <c r="BZ18" s="29"/>
      <c r="CA18" s="28"/>
      <c r="CB18" s="29"/>
      <c r="CC18" s="29"/>
      <c r="CD18" s="29"/>
      <c r="CE18" s="29"/>
    </row>
    <row r="19" spans="1:83" ht="12" customHeight="1">
      <c r="A19" s="28"/>
      <c r="B19" s="23" t="s">
        <v>39</v>
      </c>
      <c r="C19" s="23" t="s">
        <v>1083</v>
      </c>
      <c r="D19" s="26"/>
      <c r="E19" s="23"/>
      <c r="F19" s="29"/>
      <c r="G19" s="28"/>
      <c r="H19" s="29"/>
      <c r="I19" s="29"/>
      <c r="J19" s="29"/>
      <c r="K19" s="29"/>
      <c r="L19" s="29"/>
      <c r="M19" s="29"/>
      <c r="N19" s="29"/>
      <c r="O19" s="29"/>
      <c r="P19" s="29"/>
      <c r="Q19" s="29"/>
      <c r="R19" s="29"/>
      <c r="S19" s="29"/>
      <c r="T19" s="29"/>
      <c r="U19" s="29"/>
      <c r="V19" s="29"/>
      <c r="W19" s="29"/>
      <c r="X19" s="29"/>
      <c r="Y19" s="29"/>
      <c r="Z19" s="28"/>
      <c r="AA19" s="23"/>
      <c r="AB19" s="23"/>
      <c r="AC19" s="28" t="s">
        <v>807</v>
      </c>
      <c r="AD19" s="28"/>
      <c r="AE19" s="29"/>
      <c r="AF19" s="29"/>
      <c r="AG19" s="29"/>
      <c r="AH19" s="28"/>
      <c r="AI19" s="28"/>
      <c r="AJ19" s="28"/>
      <c r="AK19" s="28"/>
      <c r="AL19" s="28"/>
      <c r="AM19" s="29"/>
      <c r="AN19" s="29"/>
      <c r="AO19" s="29"/>
      <c r="AP19" s="29"/>
      <c r="AQ19" s="29"/>
      <c r="AR19" s="29"/>
      <c r="AS19" s="29"/>
      <c r="AT19" s="29"/>
      <c r="AU19" s="29"/>
      <c r="AV19" s="29"/>
      <c r="AW19" s="29"/>
      <c r="AX19" s="29"/>
      <c r="AY19" s="29"/>
      <c r="AZ19" s="29"/>
      <c r="BA19" s="29"/>
      <c r="BB19" s="29"/>
      <c r="BC19" s="29"/>
      <c r="BE19" s="26"/>
      <c r="BF19" s="23"/>
      <c r="BG19" s="29"/>
      <c r="BH19" s="29"/>
      <c r="BI19" s="29"/>
      <c r="BJ19" s="29"/>
      <c r="BK19" s="28"/>
      <c r="BL19" s="28"/>
      <c r="BM19" s="28"/>
      <c r="BN19" s="29"/>
      <c r="BO19" s="29"/>
      <c r="BP19" s="29"/>
      <c r="BQ19" s="29"/>
      <c r="BR19" s="29"/>
      <c r="BS19" s="29"/>
      <c r="BT19" s="28"/>
      <c r="BU19" s="29"/>
      <c r="BV19" s="29"/>
      <c r="BW19" s="29"/>
      <c r="BX19" s="29"/>
      <c r="BY19" s="29"/>
      <c r="BZ19" s="29"/>
      <c r="CA19" s="28"/>
      <c r="CB19" s="29"/>
      <c r="CC19" s="29"/>
      <c r="CD19" s="29"/>
      <c r="CE19" s="29"/>
    </row>
    <row r="20" spans="1:83" ht="12" customHeight="1">
      <c r="A20" s="29"/>
      <c r="B20" s="28" t="s">
        <v>39</v>
      </c>
      <c r="C20" s="23" t="s">
        <v>1084</v>
      </c>
      <c r="D20" s="28"/>
      <c r="E20" s="28"/>
      <c r="F20" s="29"/>
      <c r="G20" s="29"/>
      <c r="H20" s="29"/>
      <c r="I20" s="29"/>
      <c r="J20" s="29"/>
      <c r="K20" s="29"/>
      <c r="L20" s="29"/>
      <c r="M20" s="29"/>
      <c r="N20" s="29"/>
      <c r="O20" s="29"/>
      <c r="P20" s="29"/>
      <c r="Q20" s="29"/>
      <c r="R20" s="29"/>
      <c r="S20" s="29"/>
      <c r="T20" s="29"/>
      <c r="U20" s="29"/>
      <c r="V20" s="29"/>
      <c r="W20" s="29"/>
      <c r="X20" s="29"/>
      <c r="Y20" s="29"/>
      <c r="Z20" s="28"/>
      <c r="AA20" s="23"/>
      <c r="AB20" s="23" t="s">
        <v>808</v>
      </c>
      <c r="AC20" s="28"/>
      <c r="AD20" s="28"/>
      <c r="AE20" s="29"/>
      <c r="AF20" s="29"/>
      <c r="AG20" s="29"/>
      <c r="AH20" s="28"/>
      <c r="AI20" s="28"/>
      <c r="AJ20" s="28"/>
      <c r="AK20" s="28"/>
      <c r="AL20" s="28"/>
      <c r="AM20" s="29"/>
      <c r="AN20" s="29"/>
      <c r="AO20" s="29"/>
      <c r="AP20" s="29"/>
      <c r="AQ20" s="29"/>
      <c r="AR20" s="29"/>
      <c r="AS20" s="29"/>
      <c r="AT20" s="29"/>
      <c r="AU20" s="29"/>
      <c r="AV20" s="29"/>
      <c r="AW20" s="29"/>
      <c r="AX20" s="29"/>
      <c r="AY20" s="29"/>
      <c r="AZ20" s="29"/>
      <c r="BA20" s="29"/>
      <c r="BB20" s="29"/>
      <c r="BC20" s="28" t="s">
        <v>1000</v>
      </c>
      <c r="BD20" s="28"/>
      <c r="BE20" s="28"/>
      <c r="BF20" s="28"/>
      <c r="BG20" s="29"/>
      <c r="BH20" s="29"/>
      <c r="BI20" s="29"/>
      <c r="BJ20" s="29"/>
      <c r="BK20" s="28"/>
      <c r="BL20" s="28"/>
      <c r="BM20" s="28"/>
      <c r="BN20" s="29"/>
      <c r="BO20" s="29"/>
      <c r="BP20" s="29"/>
      <c r="BQ20" s="29"/>
      <c r="BR20" s="29"/>
      <c r="BS20" s="29"/>
      <c r="BT20" s="28"/>
      <c r="BU20" s="29"/>
      <c r="BV20" s="29"/>
      <c r="BW20" s="29"/>
      <c r="BX20" s="29"/>
      <c r="BY20" s="29"/>
      <c r="BZ20" s="29"/>
      <c r="CA20" s="28"/>
      <c r="CB20" s="29"/>
      <c r="CC20" s="29"/>
      <c r="CD20" s="29"/>
      <c r="CE20" s="29"/>
    </row>
    <row r="21" spans="1:83" ht="12" customHeight="1">
      <c r="A21" s="29"/>
      <c r="B21" s="28"/>
      <c r="C21" s="23" t="s">
        <v>1085</v>
      </c>
      <c r="D21" s="23"/>
      <c r="E21" s="23"/>
      <c r="F21" s="28"/>
      <c r="G21" s="28"/>
      <c r="H21" s="28"/>
      <c r="I21" s="29"/>
      <c r="J21" s="29"/>
      <c r="K21" s="29"/>
      <c r="L21" s="29"/>
      <c r="M21" s="29"/>
      <c r="N21" s="29"/>
      <c r="O21" s="29"/>
      <c r="P21" s="29"/>
      <c r="Q21" s="29"/>
      <c r="R21" s="29"/>
      <c r="S21" s="29"/>
      <c r="T21" s="29"/>
      <c r="U21" s="29"/>
      <c r="V21" s="29"/>
      <c r="W21" s="29"/>
      <c r="X21" s="29"/>
      <c r="Y21" s="29"/>
      <c r="Z21" s="28"/>
      <c r="AA21" s="23"/>
      <c r="AB21" s="28"/>
      <c r="AC21" s="28" t="s">
        <v>809</v>
      </c>
      <c r="AD21" s="28"/>
      <c r="AE21" s="29"/>
      <c r="AF21" s="29"/>
      <c r="AG21" s="29"/>
      <c r="AH21" s="28"/>
      <c r="AI21" s="28"/>
      <c r="AJ21" s="28"/>
      <c r="AK21" s="28"/>
      <c r="AL21" s="28"/>
      <c r="AM21" s="29"/>
      <c r="AN21" s="29"/>
      <c r="AO21" s="29"/>
      <c r="AP21" s="29"/>
      <c r="AQ21" s="29"/>
      <c r="AR21" s="29"/>
      <c r="AS21" s="29"/>
      <c r="AT21" s="29"/>
      <c r="AU21" s="29"/>
      <c r="AV21" s="29"/>
      <c r="AW21" s="29"/>
      <c r="AX21" s="29"/>
      <c r="AY21" s="29"/>
      <c r="AZ21" s="29"/>
      <c r="BA21" s="29"/>
      <c r="BB21" s="29"/>
      <c r="BC21" s="28"/>
      <c r="BD21" s="28" t="s">
        <v>1001</v>
      </c>
      <c r="BE21" s="28"/>
      <c r="BF21" s="23"/>
      <c r="BG21" s="29"/>
      <c r="BH21" s="29"/>
      <c r="BI21" s="29"/>
      <c r="BJ21" s="29"/>
      <c r="BK21" s="28"/>
      <c r="BL21" s="28"/>
      <c r="BM21" s="28"/>
      <c r="BN21" s="29"/>
      <c r="BO21" s="29"/>
      <c r="BP21" s="29"/>
      <c r="BQ21" s="29"/>
      <c r="BR21" s="29"/>
      <c r="BS21" s="29"/>
      <c r="BT21" s="28"/>
      <c r="BU21" s="29"/>
      <c r="BV21" s="29"/>
      <c r="BW21" s="29"/>
      <c r="BX21" s="29"/>
      <c r="BY21" s="29"/>
      <c r="BZ21" s="29"/>
      <c r="CA21" s="28"/>
      <c r="CB21" s="29"/>
      <c r="CC21" s="29"/>
      <c r="CD21" s="29"/>
      <c r="CE21" s="29"/>
    </row>
    <row r="22" spans="1:83" ht="12" customHeight="1">
      <c r="A22" s="29"/>
      <c r="H22" s="28"/>
      <c r="I22" s="29"/>
      <c r="J22" s="29"/>
      <c r="K22" s="29"/>
      <c r="L22" s="29"/>
      <c r="M22" s="29"/>
      <c r="N22" s="29"/>
      <c r="O22" s="29"/>
      <c r="P22" s="29"/>
      <c r="Q22" s="29"/>
      <c r="R22" s="29"/>
      <c r="S22" s="29"/>
      <c r="T22" s="29"/>
      <c r="U22" s="29"/>
      <c r="V22" s="29"/>
      <c r="W22" s="29"/>
      <c r="X22" s="29"/>
      <c r="Y22" s="29"/>
      <c r="Z22" s="28"/>
      <c r="AA22" s="23"/>
      <c r="AB22" s="23"/>
      <c r="AC22" s="28" t="s">
        <v>810</v>
      </c>
      <c r="AD22" s="28"/>
      <c r="AE22" s="29"/>
      <c r="AF22" s="29"/>
      <c r="AG22" s="29"/>
      <c r="AH22" s="28"/>
      <c r="AI22" s="28"/>
      <c r="AJ22" s="28"/>
      <c r="AK22" s="28"/>
      <c r="AL22" s="28"/>
      <c r="AM22" s="29"/>
      <c r="AN22" s="29"/>
      <c r="AO22" s="29"/>
      <c r="AP22" s="29"/>
      <c r="AQ22" s="29"/>
      <c r="AR22" s="29"/>
      <c r="AS22" s="29"/>
      <c r="AT22" s="29"/>
      <c r="AU22" s="29"/>
      <c r="AV22" s="29"/>
      <c r="AW22" s="29"/>
      <c r="AX22" s="29"/>
      <c r="AY22" s="29"/>
      <c r="AZ22" s="29"/>
      <c r="BA22" s="29"/>
      <c r="BB22" s="29"/>
      <c r="BC22" s="28"/>
      <c r="BD22" s="28" t="s">
        <v>1002</v>
      </c>
      <c r="BE22" s="28"/>
      <c r="BF22" s="23"/>
      <c r="BG22" s="28"/>
      <c r="BH22" s="29"/>
      <c r="BI22" s="29"/>
      <c r="BJ22" s="29"/>
      <c r="BK22" s="28"/>
      <c r="BL22" s="28"/>
      <c r="BM22" s="28"/>
      <c r="BN22" s="29"/>
      <c r="BO22" s="29"/>
      <c r="BP22" s="29"/>
      <c r="BQ22" s="29"/>
      <c r="BR22" s="29"/>
      <c r="BS22" s="29"/>
      <c r="BT22" s="28"/>
      <c r="BU22" s="29"/>
      <c r="BV22" s="29"/>
      <c r="BW22" s="29"/>
      <c r="BX22" s="29"/>
      <c r="BY22" s="29"/>
      <c r="BZ22" s="29"/>
      <c r="CA22" s="28"/>
      <c r="CB22" s="29"/>
      <c r="CC22" s="29"/>
      <c r="CD22" s="29"/>
      <c r="CE22" s="29"/>
    </row>
    <row r="23" spans="1:83" ht="12" customHeight="1">
      <c r="A23" s="28"/>
      <c r="B23" s="28" t="s">
        <v>792</v>
      </c>
      <c r="C23" s="28"/>
      <c r="D23" s="28"/>
      <c r="E23" s="28"/>
      <c r="F23" s="29"/>
      <c r="G23" s="29"/>
      <c r="H23" s="28"/>
      <c r="I23" s="28"/>
      <c r="J23" s="29"/>
      <c r="K23" s="29"/>
      <c r="L23" s="29"/>
      <c r="M23" s="29"/>
      <c r="N23" s="29"/>
      <c r="O23" s="29"/>
      <c r="P23" s="29"/>
      <c r="Q23" s="29"/>
      <c r="R23" s="29"/>
      <c r="S23" s="29"/>
      <c r="T23" s="29"/>
      <c r="U23" s="29"/>
      <c r="V23" s="29"/>
      <c r="W23" s="29"/>
      <c r="X23" s="29"/>
      <c r="Y23" s="29"/>
      <c r="Z23" s="28"/>
      <c r="AA23" s="23"/>
      <c r="AB23" s="23"/>
      <c r="AC23" s="28" t="s">
        <v>811</v>
      </c>
      <c r="AD23" s="28"/>
      <c r="AE23" s="29"/>
      <c r="AF23" s="29"/>
      <c r="AG23" s="29"/>
      <c r="AH23" s="28"/>
      <c r="AI23" s="28"/>
      <c r="AJ23" s="28"/>
      <c r="AK23" s="28"/>
      <c r="AL23" s="28"/>
      <c r="AM23" s="29"/>
      <c r="AN23" s="29"/>
      <c r="AO23" s="29"/>
      <c r="AP23" s="29"/>
      <c r="AQ23" s="29"/>
      <c r="AR23" s="29"/>
      <c r="AS23" s="29"/>
      <c r="AT23" s="29"/>
      <c r="AU23" s="29"/>
      <c r="AV23" s="29"/>
      <c r="AW23" s="29"/>
      <c r="AX23" s="29"/>
      <c r="AY23" s="29"/>
      <c r="AZ23" s="29"/>
      <c r="BA23" s="29"/>
      <c r="BB23" s="29"/>
      <c r="BC23" s="28"/>
      <c r="BD23" s="28" t="s">
        <v>1003</v>
      </c>
      <c r="BE23" s="28"/>
      <c r="BF23" s="23"/>
      <c r="BG23" s="28"/>
      <c r="BH23" s="29"/>
      <c r="BI23" s="29"/>
      <c r="BJ23" s="29"/>
      <c r="BK23" s="28"/>
      <c r="BL23" s="28"/>
      <c r="BM23" s="28"/>
      <c r="BN23" s="29"/>
      <c r="BO23" s="29"/>
      <c r="BP23" s="29"/>
      <c r="BQ23" s="29"/>
      <c r="BR23" s="29"/>
      <c r="BS23" s="29"/>
      <c r="BT23" s="28"/>
      <c r="BU23" s="29"/>
      <c r="BV23" s="29"/>
      <c r="BW23" s="29"/>
      <c r="BX23" s="29"/>
      <c r="BY23" s="29"/>
      <c r="BZ23" s="29"/>
      <c r="CA23" s="28"/>
      <c r="CB23" s="29"/>
      <c r="CC23" s="29"/>
      <c r="CD23" s="29"/>
      <c r="CE23" s="29"/>
    </row>
    <row r="24" spans="1:83" ht="12" customHeight="1">
      <c r="A24" s="28"/>
      <c r="B24" s="28"/>
      <c r="C24" s="28" t="s">
        <v>793</v>
      </c>
      <c r="D24" s="28"/>
      <c r="E24" s="28"/>
      <c r="F24" s="28"/>
      <c r="G24" s="28"/>
      <c r="H24" s="28"/>
      <c r="I24" s="28"/>
      <c r="J24" s="29"/>
      <c r="K24" s="29"/>
      <c r="L24" s="29"/>
      <c r="M24" s="29"/>
      <c r="N24" s="29"/>
      <c r="O24" s="29"/>
      <c r="P24" s="29"/>
      <c r="Q24" s="29"/>
      <c r="R24" s="29"/>
      <c r="S24" s="29"/>
      <c r="T24" s="29"/>
      <c r="U24" s="29"/>
      <c r="V24" s="29"/>
      <c r="W24" s="29"/>
      <c r="X24" s="29"/>
      <c r="Y24" s="29"/>
      <c r="Z24" s="28"/>
      <c r="AA24" s="23"/>
      <c r="AB24" s="23" t="s">
        <v>812</v>
      </c>
      <c r="AC24" s="28"/>
      <c r="AD24" s="28"/>
      <c r="AE24" s="29"/>
      <c r="AF24" s="29"/>
      <c r="AG24" s="29"/>
      <c r="AH24" s="28"/>
      <c r="AI24" s="29"/>
      <c r="AJ24" s="29"/>
      <c r="AK24" s="29"/>
      <c r="AL24" s="29"/>
      <c r="AM24" s="29"/>
      <c r="AN24" s="29"/>
      <c r="AO24" s="29"/>
      <c r="AP24" s="29"/>
      <c r="AQ24" s="29"/>
      <c r="AR24" s="29"/>
      <c r="AS24" s="29"/>
      <c r="AT24" s="29"/>
      <c r="AU24" s="29"/>
      <c r="AV24" s="29"/>
      <c r="AW24" s="29"/>
      <c r="AX24" s="29"/>
      <c r="AY24" s="29"/>
      <c r="AZ24" s="29"/>
      <c r="BA24" s="29"/>
      <c r="BB24" s="29"/>
      <c r="BC24" s="28"/>
      <c r="BD24" s="28" t="s">
        <v>1004</v>
      </c>
      <c r="BE24" s="28"/>
      <c r="BF24" s="23"/>
      <c r="BG24" s="28"/>
      <c r="BH24" s="29"/>
      <c r="BI24" s="29"/>
      <c r="BJ24" s="29"/>
      <c r="BK24" s="28"/>
      <c r="BL24" s="28"/>
      <c r="BM24" s="28"/>
      <c r="BN24" s="29"/>
      <c r="BO24" s="29"/>
      <c r="BP24" s="29"/>
      <c r="BQ24" s="29"/>
      <c r="BR24" s="29"/>
      <c r="BS24" s="29"/>
      <c r="BT24" s="28"/>
      <c r="BU24" s="29"/>
      <c r="BV24" s="29"/>
      <c r="BW24" s="29"/>
      <c r="BX24" s="29"/>
      <c r="BY24" s="29"/>
      <c r="BZ24" s="29"/>
      <c r="CA24" s="28"/>
      <c r="CB24" s="29"/>
      <c r="CC24" s="29"/>
      <c r="CD24" s="29"/>
      <c r="CE24" s="29"/>
    </row>
    <row r="25" spans="1:83" ht="12" customHeight="1">
      <c r="A25" s="28"/>
      <c r="B25" s="23"/>
      <c r="C25" s="23" t="s">
        <v>794</v>
      </c>
      <c r="D25" s="28"/>
      <c r="E25" s="28"/>
      <c r="F25" s="28"/>
      <c r="G25" s="28"/>
      <c r="H25" s="28"/>
      <c r="I25" s="28"/>
      <c r="J25" s="29"/>
      <c r="K25" s="29"/>
      <c r="L25" s="29"/>
      <c r="M25" s="29"/>
      <c r="N25" s="29"/>
      <c r="O25" s="29"/>
      <c r="P25" s="29"/>
      <c r="Q25" s="29"/>
      <c r="R25" s="29"/>
      <c r="S25" s="29"/>
      <c r="T25" s="29"/>
      <c r="U25" s="29"/>
      <c r="V25" s="29"/>
      <c r="W25" s="29"/>
      <c r="X25" s="29"/>
      <c r="Y25" s="29"/>
      <c r="Z25" s="28"/>
      <c r="AA25" s="23"/>
      <c r="AB25" s="23"/>
      <c r="AC25" s="28" t="s">
        <v>813</v>
      </c>
      <c r="AD25" s="28"/>
      <c r="AE25" s="29"/>
      <c r="AF25" s="29"/>
      <c r="AG25" s="29"/>
      <c r="AH25" s="28"/>
      <c r="AI25" s="29"/>
      <c r="AJ25" s="29"/>
      <c r="AK25" s="29"/>
      <c r="AL25" s="29"/>
      <c r="AM25" s="29"/>
      <c r="AN25" s="29"/>
      <c r="AO25" s="29"/>
      <c r="AP25" s="29"/>
      <c r="AQ25" s="29"/>
      <c r="AR25" s="29"/>
      <c r="AS25" s="29"/>
      <c r="AT25" s="29"/>
      <c r="AU25" s="29"/>
      <c r="AV25" s="29"/>
      <c r="AW25" s="29"/>
      <c r="AX25" s="29"/>
      <c r="AY25" s="29"/>
      <c r="AZ25" s="29"/>
      <c r="BA25" s="29"/>
      <c r="BB25" s="29"/>
      <c r="BC25" s="28"/>
      <c r="BD25" s="28" t="s">
        <v>1005</v>
      </c>
      <c r="BE25" s="28"/>
      <c r="BF25" s="23"/>
      <c r="BG25" s="29"/>
      <c r="BH25" s="29"/>
      <c r="BI25" s="29"/>
      <c r="BJ25" s="29"/>
      <c r="BK25" s="28"/>
      <c r="BL25" s="28"/>
      <c r="BM25" s="28"/>
      <c r="BN25" s="29"/>
      <c r="BO25" s="29"/>
      <c r="BP25" s="29"/>
      <c r="BQ25" s="29"/>
      <c r="BR25" s="29"/>
      <c r="BS25" s="29"/>
      <c r="BT25" s="28"/>
      <c r="BU25" s="29"/>
      <c r="BV25" s="29"/>
      <c r="BW25" s="29"/>
      <c r="BX25" s="29"/>
      <c r="BY25" s="29"/>
      <c r="BZ25" s="29"/>
      <c r="CA25" s="28"/>
      <c r="CB25" s="29"/>
      <c r="CC25" s="29"/>
      <c r="CD25" s="29"/>
      <c r="CE25" s="29"/>
    </row>
    <row r="26" spans="1:83" ht="12" customHeight="1">
      <c r="A26" s="28"/>
      <c r="B26" s="28"/>
      <c r="C26" s="23"/>
      <c r="D26" s="28"/>
      <c r="E26" s="28"/>
      <c r="F26" s="28"/>
      <c r="G26" s="28"/>
      <c r="H26" s="28"/>
      <c r="I26" s="28"/>
      <c r="J26" s="29"/>
      <c r="K26" s="29"/>
      <c r="L26" s="28"/>
      <c r="M26" s="28"/>
      <c r="N26" s="29"/>
      <c r="O26" s="29"/>
      <c r="P26" s="29"/>
      <c r="Q26" s="29"/>
      <c r="R26" s="29"/>
      <c r="S26" s="29"/>
      <c r="T26" s="29"/>
      <c r="U26" s="29"/>
      <c r="V26" s="29"/>
      <c r="W26" s="29"/>
      <c r="X26" s="29"/>
      <c r="Y26" s="29"/>
      <c r="Z26" s="28"/>
      <c r="AA26" s="23"/>
      <c r="AB26" s="23"/>
      <c r="AC26" s="28" t="s">
        <v>814</v>
      </c>
      <c r="AD26" s="28"/>
      <c r="AE26" s="28"/>
      <c r="AF26" s="29"/>
      <c r="AG26" s="29"/>
      <c r="AH26" s="28"/>
      <c r="AI26" s="29"/>
      <c r="AJ26" s="29"/>
      <c r="AK26" s="29"/>
      <c r="AL26" s="29"/>
      <c r="AM26" s="29"/>
      <c r="AN26" s="29"/>
      <c r="AO26" s="29"/>
      <c r="AP26" s="29"/>
      <c r="AQ26" s="29"/>
      <c r="AR26" s="29"/>
      <c r="AS26" s="29"/>
      <c r="AT26" s="29"/>
      <c r="AU26" s="29"/>
      <c r="AV26" s="29"/>
      <c r="AW26" s="29"/>
      <c r="AX26" s="29"/>
      <c r="AY26" s="29"/>
      <c r="AZ26" s="29"/>
      <c r="BA26" s="29"/>
      <c r="BB26" s="29"/>
      <c r="BC26" s="28"/>
      <c r="BD26" s="28" t="s">
        <v>1006</v>
      </c>
      <c r="BE26" s="28"/>
      <c r="BF26" s="23"/>
      <c r="BG26" s="28"/>
      <c r="BH26" s="29"/>
      <c r="BI26" s="29"/>
      <c r="BJ26" s="29"/>
      <c r="BK26" s="28"/>
      <c r="BL26" s="28"/>
      <c r="BM26" s="28"/>
      <c r="BN26" s="29"/>
      <c r="BO26" s="29"/>
      <c r="BP26" s="29"/>
      <c r="BQ26" s="29"/>
      <c r="BR26" s="29"/>
      <c r="BS26" s="29"/>
      <c r="BT26" s="28"/>
      <c r="BU26" s="29"/>
      <c r="BV26" s="29"/>
      <c r="BW26" s="29"/>
      <c r="BX26" s="29"/>
      <c r="BY26" s="29"/>
      <c r="BZ26" s="29"/>
      <c r="CA26" s="28"/>
      <c r="CB26" s="29"/>
      <c r="CC26" s="29"/>
      <c r="CD26" s="29"/>
      <c r="CE26" s="29"/>
    </row>
    <row r="27" spans="1:83" ht="12" customHeight="1">
      <c r="A27" s="28"/>
      <c r="B27" s="28" t="s">
        <v>795</v>
      </c>
      <c r="C27" s="27"/>
      <c r="D27" s="28"/>
      <c r="E27" s="28"/>
      <c r="F27" s="28"/>
      <c r="G27" s="28"/>
      <c r="H27" s="28"/>
      <c r="I27" s="28"/>
      <c r="J27" s="28"/>
      <c r="K27" s="29"/>
      <c r="L27" s="28"/>
      <c r="M27" s="28"/>
      <c r="N27" s="29"/>
      <c r="O27" s="29"/>
      <c r="P27" s="29"/>
      <c r="Q27" s="29"/>
      <c r="R27" s="29"/>
      <c r="S27" s="29"/>
      <c r="T27" s="29"/>
      <c r="U27" s="29"/>
      <c r="V27" s="29"/>
      <c r="W27" s="29"/>
      <c r="X27" s="29"/>
      <c r="Y27" s="29"/>
      <c r="Z27" s="28"/>
      <c r="AA27" s="23"/>
      <c r="AB27" s="23"/>
      <c r="AC27" s="28" t="s">
        <v>815</v>
      </c>
      <c r="AD27" s="28"/>
      <c r="AE27" s="28"/>
      <c r="AF27" s="29"/>
      <c r="AG27" s="29"/>
      <c r="AH27" s="28"/>
      <c r="AI27" s="29"/>
      <c r="AJ27" s="29"/>
      <c r="AK27" s="29"/>
      <c r="AL27" s="29"/>
      <c r="AM27" s="29"/>
      <c r="AN27" s="29"/>
      <c r="AO27" s="29"/>
      <c r="AP27" s="29"/>
      <c r="AQ27" s="29"/>
      <c r="AR27" s="29"/>
      <c r="AS27" s="29"/>
      <c r="AT27" s="29"/>
      <c r="AU27" s="29"/>
      <c r="AV27" s="29"/>
      <c r="AW27" s="29"/>
      <c r="AX27" s="29"/>
      <c r="AY27" s="29"/>
      <c r="AZ27" s="29"/>
      <c r="BA27" s="29"/>
      <c r="BB27" s="29"/>
      <c r="BC27" s="28"/>
      <c r="BD27" s="28" t="s">
        <v>1007</v>
      </c>
      <c r="BE27" s="28"/>
      <c r="BF27" s="23"/>
      <c r="BG27" s="29"/>
      <c r="BH27" s="29"/>
      <c r="BI27" s="29"/>
      <c r="BJ27" s="29"/>
      <c r="BK27" s="28"/>
      <c r="BL27" s="28"/>
      <c r="BM27" s="28"/>
      <c r="BN27" s="29"/>
      <c r="BO27" s="29"/>
      <c r="BP27" s="29"/>
      <c r="BQ27" s="29"/>
      <c r="BR27" s="29"/>
      <c r="BS27" s="29"/>
      <c r="BT27" s="28"/>
      <c r="BU27" s="29"/>
      <c r="BV27" s="29"/>
      <c r="BW27" s="29"/>
      <c r="BX27" s="29"/>
      <c r="BY27" s="29"/>
      <c r="BZ27" s="29"/>
      <c r="CA27" s="28"/>
      <c r="CB27" s="29"/>
      <c r="CC27" s="29"/>
      <c r="CD27" s="29"/>
      <c r="CE27" s="29"/>
    </row>
    <row r="28" spans="1:83" ht="12" customHeight="1">
      <c r="A28" s="28"/>
      <c r="B28" s="23"/>
      <c r="C28" s="23" t="s">
        <v>796</v>
      </c>
      <c r="D28" s="23"/>
      <c r="E28" s="28"/>
      <c r="F28" s="28"/>
      <c r="G28" s="28"/>
      <c r="H28" s="28"/>
      <c r="I28" s="28"/>
      <c r="J28" s="28"/>
      <c r="K28" s="28"/>
      <c r="L28" s="28"/>
      <c r="M28" s="28"/>
      <c r="N28" s="29"/>
      <c r="O28" s="29"/>
      <c r="P28" s="29"/>
      <c r="Q28" s="29"/>
      <c r="R28" s="29"/>
      <c r="S28" s="29"/>
      <c r="T28" s="29"/>
      <c r="U28" s="29"/>
      <c r="V28" s="29"/>
      <c r="W28" s="29"/>
      <c r="X28" s="29"/>
      <c r="Y28" s="29"/>
      <c r="Z28" s="28"/>
      <c r="AA28" s="23"/>
      <c r="AB28" s="23"/>
      <c r="AC28" s="28" t="s">
        <v>816</v>
      </c>
      <c r="AD28" s="28"/>
      <c r="AE28" s="28"/>
      <c r="AF28" s="29"/>
      <c r="AG28" s="29"/>
      <c r="AH28" s="28"/>
      <c r="AI28" s="29"/>
      <c r="AJ28" s="29"/>
      <c r="AK28" s="29"/>
      <c r="AL28" s="29"/>
      <c r="AM28" s="29"/>
      <c r="AN28" s="29"/>
      <c r="AO28" s="29"/>
      <c r="AP28" s="29"/>
      <c r="AQ28" s="29"/>
      <c r="AR28" s="29"/>
      <c r="AS28" s="29"/>
      <c r="AT28" s="29"/>
      <c r="AU28" s="29"/>
      <c r="AV28" s="29"/>
      <c r="AW28" s="29"/>
      <c r="AX28" s="29"/>
      <c r="AY28" s="29"/>
      <c r="AZ28" s="29"/>
      <c r="BA28" s="29"/>
      <c r="BB28" s="29"/>
      <c r="BC28" s="28"/>
      <c r="BD28" s="28" t="s">
        <v>1008</v>
      </c>
      <c r="BE28" s="28"/>
      <c r="BF28" s="23"/>
      <c r="BG28" s="29"/>
      <c r="BH28" s="29"/>
      <c r="BI28" s="29"/>
      <c r="BJ28" s="29"/>
      <c r="BK28" s="28"/>
      <c r="BL28" s="28"/>
      <c r="BM28" s="28"/>
      <c r="BN28" s="29"/>
      <c r="BO28" s="29"/>
      <c r="BP28" s="29"/>
      <c r="BQ28" s="29"/>
      <c r="BR28" s="29"/>
      <c r="BS28" s="29"/>
      <c r="BT28" s="28"/>
      <c r="BU28" s="29"/>
      <c r="BV28" s="29"/>
      <c r="BW28" s="29"/>
      <c r="BX28" s="29"/>
      <c r="BY28" s="29"/>
      <c r="BZ28" s="29"/>
      <c r="CA28" s="28"/>
      <c r="CB28" s="29"/>
      <c r="CC28" s="29"/>
      <c r="CD28" s="29"/>
      <c r="CE28" s="29"/>
    </row>
    <row r="29" spans="1:83" ht="12" customHeight="1">
      <c r="A29" s="28"/>
      <c r="B29" s="23"/>
      <c r="C29" s="23" t="s">
        <v>797</v>
      </c>
      <c r="D29" s="23"/>
      <c r="E29" s="28"/>
      <c r="F29" s="28"/>
      <c r="G29" s="28"/>
      <c r="H29" s="28"/>
      <c r="I29" s="28"/>
      <c r="J29" s="28"/>
      <c r="K29" s="28"/>
      <c r="L29" s="29"/>
      <c r="M29" s="29"/>
      <c r="N29" s="29"/>
      <c r="O29" s="29"/>
      <c r="P29" s="29"/>
      <c r="Q29" s="29"/>
      <c r="R29" s="29"/>
      <c r="S29" s="29"/>
      <c r="T29" s="29"/>
      <c r="U29" s="29"/>
      <c r="V29" s="29"/>
      <c r="W29" s="29"/>
      <c r="X29" s="29"/>
      <c r="Y29" s="29"/>
      <c r="Z29" s="28"/>
      <c r="AA29" s="28"/>
      <c r="AB29" s="28"/>
      <c r="AC29" s="28" t="s">
        <v>817</v>
      </c>
      <c r="AD29" s="28"/>
      <c r="AE29" s="29"/>
      <c r="AF29" s="28"/>
      <c r="AG29" s="28"/>
      <c r="AH29" s="28"/>
      <c r="AI29" s="29"/>
      <c r="AJ29" s="29"/>
      <c r="AK29" s="29"/>
      <c r="AL29" s="29"/>
      <c r="AM29" s="29"/>
      <c r="AN29" s="29"/>
      <c r="AO29" s="29"/>
      <c r="AP29" s="29"/>
      <c r="AQ29" s="29"/>
      <c r="AR29" s="29"/>
      <c r="AS29" s="29"/>
      <c r="AT29" s="29"/>
      <c r="AU29" s="29"/>
      <c r="AV29" s="29"/>
      <c r="AW29" s="29"/>
      <c r="AX29" s="29"/>
      <c r="AY29" s="29"/>
      <c r="AZ29" s="29"/>
      <c r="BA29" s="29"/>
      <c r="BB29" s="29"/>
      <c r="BH29" s="29"/>
      <c r="BI29" s="29"/>
      <c r="BJ29" s="28"/>
      <c r="BK29" s="28"/>
      <c r="BL29" s="28"/>
      <c r="BM29" s="28"/>
      <c r="BN29" s="29"/>
      <c r="BO29" s="29"/>
      <c r="BP29" s="29"/>
      <c r="BQ29" s="29"/>
      <c r="BR29" s="29"/>
      <c r="BS29" s="29"/>
      <c r="BT29" s="28"/>
      <c r="BU29" s="29"/>
      <c r="BV29" s="29"/>
      <c r="BW29" s="29"/>
      <c r="BX29" s="29"/>
      <c r="BY29" s="29"/>
      <c r="BZ29" s="29"/>
      <c r="CA29" s="28"/>
      <c r="CB29" s="29"/>
      <c r="CC29" s="29"/>
      <c r="CD29" s="29"/>
      <c r="CE29" s="29"/>
    </row>
    <row r="30" spans="1:83" ht="12" customHeight="1">
      <c r="A30" s="28"/>
      <c r="B30" s="23"/>
      <c r="C30" s="28" t="s">
        <v>798</v>
      </c>
      <c r="D30" s="28"/>
      <c r="E30" s="23"/>
      <c r="F30" s="28"/>
      <c r="G30" s="28"/>
      <c r="H30" s="28"/>
      <c r="I30" s="28"/>
      <c r="J30" s="28"/>
      <c r="K30" s="28"/>
      <c r="L30" s="29"/>
      <c r="M30" s="29"/>
      <c r="N30" s="29"/>
      <c r="O30" s="29"/>
      <c r="P30" s="29"/>
      <c r="Q30" s="29"/>
      <c r="R30" s="29"/>
      <c r="S30" s="29"/>
      <c r="T30" s="29"/>
      <c r="U30" s="29"/>
      <c r="V30" s="29"/>
      <c r="W30" s="29"/>
      <c r="X30" s="29"/>
      <c r="Y30" s="29"/>
      <c r="Z30" s="28"/>
      <c r="AA30" s="28"/>
      <c r="AB30" s="28" t="s">
        <v>818</v>
      </c>
      <c r="AC30" s="28"/>
      <c r="AD30" s="28"/>
      <c r="AE30" s="29"/>
      <c r="AF30" s="28"/>
      <c r="AG30" s="28"/>
      <c r="AH30" s="28"/>
      <c r="AI30" s="29"/>
      <c r="AJ30" s="29"/>
      <c r="AK30" s="29"/>
      <c r="AL30" s="29"/>
      <c r="AM30" s="29"/>
      <c r="AN30" s="29"/>
      <c r="AO30" s="29"/>
      <c r="AP30" s="29"/>
      <c r="AQ30" s="29"/>
      <c r="AR30" s="29"/>
      <c r="AS30" s="29"/>
      <c r="AT30" s="29"/>
      <c r="AU30" s="29"/>
      <c r="AV30" s="29"/>
      <c r="AW30" s="29"/>
      <c r="AX30" s="29"/>
      <c r="AY30" s="29"/>
      <c r="AZ30" s="29"/>
      <c r="BA30" s="29"/>
      <c r="BB30" s="29"/>
      <c r="BC30" s="28" t="s">
        <v>1009</v>
      </c>
      <c r="BD30" s="28"/>
      <c r="BH30" s="29"/>
      <c r="BI30" s="29"/>
      <c r="BJ30" s="28"/>
      <c r="BK30" s="28"/>
      <c r="BL30" s="28"/>
      <c r="BM30" s="28"/>
      <c r="BN30" s="29"/>
      <c r="BO30" s="29"/>
      <c r="BP30" s="29"/>
      <c r="BQ30" s="29"/>
      <c r="BR30" s="29"/>
      <c r="BS30" s="29"/>
      <c r="BT30" s="28"/>
      <c r="BU30" s="29"/>
      <c r="BV30" s="29"/>
      <c r="BW30" s="29"/>
      <c r="BX30" s="29"/>
      <c r="BY30" s="29"/>
      <c r="BZ30" s="29"/>
      <c r="CA30" s="28"/>
      <c r="CB30" s="29"/>
      <c r="CC30" s="29"/>
      <c r="CD30" s="29"/>
      <c r="CE30" s="29"/>
    </row>
    <row r="31" spans="1:83" ht="12" customHeight="1">
      <c r="A31" s="28"/>
      <c r="B31" s="23"/>
      <c r="C31" s="401" t="s">
        <v>1053</v>
      </c>
      <c r="I31" s="28"/>
      <c r="J31" s="28"/>
      <c r="K31" s="29"/>
      <c r="L31" s="29"/>
      <c r="M31" s="29"/>
      <c r="N31" s="29"/>
      <c r="O31" s="29"/>
      <c r="P31" s="29"/>
      <c r="Q31" s="29"/>
      <c r="R31" s="29"/>
      <c r="S31" s="29"/>
      <c r="T31" s="29"/>
      <c r="U31" s="29"/>
      <c r="V31" s="29"/>
      <c r="W31" s="29"/>
      <c r="X31" s="29"/>
      <c r="Y31" s="29"/>
      <c r="Z31" s="28"/>
      <c r="AA31" s="28"/>
      <c r="AB31" s="28"/>
      <c r="AC31" s="28" t="s">
        <v>813</v>
      </c>
      <c r="AD31" s="28"/>
      <c r="AE31" s="29"/>
      <c r="AF31" s="28"/>
      <c r="AG31" s="28"/>
      <c r="AH31" s="28"/>
      <c r="AI31" s="29"/>
      <c r="AJ31" s="29"/>
      <c r="AK31" s="29"/>
      <c r="AL31" s="29"/>
      <c r="AM31" s="29"/>
      <c r="AN31" s="29"/>
      <c r="AO31" s="29"/>
      <c r="AP31" s="29"/>
      <c r="AQ31" s="29"/>
      <c r="AR31" s="29"/>
      <c r="AS31" s="29"/>
      <c r="AT31" s="29"/>
      <c r="AU31" s="29"/>
      <c r="AV31" s="29"/>
      <c r="AW31" s="29"/>
      <c r="AX31" s="29"/>
      <c r="AY31" s="29"/>
      <c r="AZ31" s="29"/>
      <c r="BA31" s="29"/>
      <c r="BB31" s="29"/>
      <c r="BC31" s="23"/>
      <c r="BD31" s="26" t="s">
        <v>1010</v>
      </c>
      <c r="BH31" s="29"/>
      <c r="BI31" s="29"/>
      <c r="BJ31" s="29"/>
      <c r="BK31" s="29"/>
      <c r="BL31" s="29"/>
      <c r="BM31" s="29"/>
      <c r="BN31" s="29"/>
      <c r="BO31" s="29"/>
      <c r="BP31" s="29"/>
      <c r="BQ31" s="29"/>
      <c r="BR31" s="29"/>
      <c r="BS31" s="29"/>
      <c r="BT31" s="29"/>
      <c r="BU31" s="29"/>
      <c r="BV31" s="29"/>
      <c r="BW31" s="29"/>
      <c r="BX31" s="29"/>
      <c r="BY31" s="29"/>
      <c r="BZ31" s="29"/>
      <c r="CA31" s="28"/>
      <c r="CB31" s="29"/>
      <c r="CC31" s="29"/>
      <c r="CD31" s="29"/>
      <c r="CE31" s="29"/>
    </row>
    <row r="32" spans="1:83" ht="12" customHeight="1">
      <c r="A32" s="28"/>
      <c r="B32" s="28"/>
      <c r="C32" s="23" t="s">
        <v>1054</v>
      </c>
      <c r="D32" s="28"/>
      <c r="E32" s="23"/>
      <c r="F32" s="28"/>
      <c r="G32" s="28"/>
      <c r="H32" s="28"/>
      <c r="I32" s="28"/>
      <c r="J32" s="28"/>
      <c r="K32" s="29"/>
      <c r="L32" s="29"/>
      <c r="M32" s="29"/>
      <c r="N32" s="29"/>
      <c r="O32" s="29"/>
      <c r="P32" s="29"/>
      <c r="Q32" s="29"/>
      <c r="R32" s="29"/>
      <c r="S32" s="29"/>
      <c r="T32" s="29"/>
      <c r="U32" s="29"/>
      <c r="V32" s="29"/>
      <c r="W32" s="29"/>
      <c r="X32" s="29"/>
      <c r="Y32" s="29"/>
      <c r="Z32" s="28"/>
      <c r="AA32" s="28"/>
      <c r="AB32" s="28"/>
      <c r="AC32" s="28" t="s">
        <v>814</v>
      </c>
      <c r="AD32" s="28"/>
      <c r="AE32" s="29"/>
      <c r="AF32" s="29"/>
      <c r="AG32" s="29"/>
      <c r="AH32" s="28"/>
      <c r="AI32" s="29"/>
      <c r="AJ32" s="29"/>
      <c r="AK32" s="29"/>
      <c r="AL32" s="29"/>
      <c r="AM32" s="29"/>
      <c r="AN32" s="29"/>
      <c r="AO32" s="29"/>
      <c r="AP32" s="29"/>
      <c r="AQ32" s="29"/>
      <c r="AR32" s="29"/>
      <c r="AS32" s="29"/>
      <c r="AT32" s="29"/>
      <c r="AU32" s="29"/>
      <c r="AV32" s="29"/>
      <c r="AW32" s="29"/>
      <c r="AX32" s="29"/>
      <c r="AY32" s="29"/>
      <c r="AZ32" s="29"/>
      <c r="BA32" s="29"/>
      <c r="BB32" s="29"/>
      <c r="BC32" s="23"/>
      <c r="BD32" s="23" t="s">
        <v>1011</v>
      </c>
      <c r="BH32" s="29"/>
      <c r="BI32" s="29"/>
      <c r="BJ32" s="29"/>
      <c r="BK32" s="29"/>
      <c r="BL32" s="29"/>
      <c r="BM32" s="29"/>
      <c r="BN32" s="29"/>
      <c r="BO32" s="29"/>
      <c r="BP32" s="29"/>
      <c r="BQ32" s="29"/>
      <c r="BR32" s="29"/>
      <c r="BS32" s="29"/>
      <c r="BT32" s="29"/>
      <c r="BU32" s="29"/>
      <c r="BV32" s="29"/>
      <c r="BW32" s="29"/>
      <c r="BX32" s="29"/>
      <c r="BY32" s="29"/>
      <c r="BZ32" s="29"/>
      <c r="CA32" s="28"/>
      <c r="CB32" s="29"/>
      <c r="CC32" s="29"/>
      <c r="CD32" s="29"/>
      <c r="CE32" s="29"/>
    </row>
    <row r="33" spans="1:83" ht="12" customHeight="1">
      <c r="A33" s="29"/>
      <c r="B33" s="28"/>
      <c r="C33" s="23" t="s">
        <v>1055</v>
      </c>
      <c r="D33" s="28"/>
      <c r="E33" s="28"/>
      <c r="F33" s="28"/>
      <c r="G33" s="28"/>
      <c r="H33" s="28"/>
      <c r="I33" s="28"/>
      <c r="J33" s="28"/>
      <c r="K33" s="29"/>
      <c r="L33" s="29"/>
      <c r="M33" s="29"/>
      <c r="N33" s="29"/>
      <c r="O33" s="29"/>
      <c r="P33" s="29"/>
      <c r="Q33" s="29"/>
      <c r="R33" s="29"/>
      <c r="S33" s="29"/>
      <c r="T33" s="29"/>
      <c r="U33" s="29"/>
      <c r="V33" s="29"/>
      <c r="W33" s="29"/>
      <c r="X33" s="29"/>
      <c r="Y33" s="29"/>
      <c r="Z33" s="28"/>
      <c r="AA33" s="28"/>
      <c r="AB33" s="28"/>
      <c r="AC33" s="28" t="s">
        <v>819</v>
      </c>
      <c r="AD33" s="28"/>
      <c r="AE33" s="29"/>
      <c r="AF33" s="29"/>
      <c r="AG33" s="29"/>
      <c r="AH33" s="28"/>
      <c r="AI33" s="29"/>
      <c r="AJ33" s="29"/>
      <c r="AK33" s="29"/>
      <c r="AL33" s="29"/>
      <c r="AM33" s="29"/>
      <c r="AN33" s="29"/>
      <c r="AO33" s="29"/>
      <c r="AP33" s="29"/>
      <c r="AQ33" s="29"/>
      <c r="AR33" s="29"/>
      <c r="AS33" s="29"/>
      <c r="AT33" s="29"/>
      <c r="AU33" s="29"/>
      <c r="AV33" s="29"/>
      <c r="AW33" s="29"/>
      <c r="AX33" s="29"/>
      <c r="AY33" s="29"/>
      <c r="AZ33" s="29"/>
      <c r="BA33" s="29"/>
      <c r="BB33" s="29"/>
      <c r="BH33" s="28"/>
      <c r="BI33" s="28"/>
      <c r="BJ33" s="29"/>
      <c r="BK33" s="29"/>
      <c r="BL33" s="29"/>
      <c r="BM33" s="29"/>
      <c r="BN33" s="29"/>
      <c r="BO33" s="29"/>
      <c r="BP33" s="29"/>
      <c r="BQ33" s="29"/>
      <c r="BR33" s="29"/>
      <c r="BS33" s="29"/>
      <c r="BT33" s="29"/>
      <c r="BU33" s="29"/>
      <c r="BV33" s="29"/>
      <c r="BW33" s="29"/>
      <c r="BX33" s="29"/>
      <c r="BY33" s="29"/>
      <c r="BZ33" s="29"/>
      <c r="CA33" s="28"/>
      <c r="CB33" s="29"/>
      <c r="CC33" s="29"/>
      <c r="CD33" s="29"/>
      <c r="CE33" s="29"/>
    </row>
    <row r="34" spans="1:83" ht="12" customHeight="1">
      <c r="A34" s="28"/>
      <c r="B34" s="28"/>
      <c r="C34" s="23" t="s">
        <v>1056</v>
      </c>
      <c r="D34" s="28"/>
      <c r="E34" s="28"/>
      <c r="F34" s="28"/>
      <c r="G34" s="28"/>
      <c r="H34" s="28"/>
      <c r="I34" s="28"/>
      <c r="J34" s="29"/>
      <c r="K34" s="29"/>
      <c r="L34" s="29"/>
      <c r="M34" s="29"/>
      <c r="N34" s="29"/>
      <c r="O34" s="29"/>
      <c r="P34" s="29"/>
      <c r="Q34" s="29"/>
      <c r="R34" s="29"/>
      <c r="S34" s="29"/>
      <c r="T34" s="29"/>
      <c r="U34" s="29"/>
      <c r="V34" s="29"/>
      <c r="W34" s="29"/>
      <c r="X34" s="29"/>
      <c r="Y34" s="29"/>
      <c r="Z34" s="28"/>
      <c r="AA34" s="28"/>
      <c r="AF34" s="29"/>
      <c r="AG34" s="29"/>
      <c r="AH34" s="28"/>
      <c r="AI34" s="29"/>
      <c r="AJ34" s="29"/>
      <c r="AK34" s="29"/>
      <c r="AL34" s="29"/>
      <c r="AM34" s="29"/>
      <c r="AN34" s="29"/>
      <c r="AO34" s="29"/>
      <c r="AP34" s="29"/>
      <c r="AQ34" s="29"/>
      <c r="AR34" s="29"/>
      <c r="AS34" s="29"/>
      <c r="AT34" s="29"/>
      <c r="AU34" s="29"/>
      <c r="AV34" s="29"/>
      <c r="AW34" s="29"/>
      <c r="AX34" s="29"/>
      <c r="AY34" s="29"/>
      <c r="AZ34" s="29"/>
      <c r="BA34" s="29"/>
      <c r="BB34" s="29"/>
      <c r="BC34" s="23" t="s">
        <v>1022</v>
      </c>
      <c r="BD34" s="23"/>
      <c r="BE34" s="23"/>
      <c r="BH34" s="28"/>
      <c r="BI34" s="28"/>
      <c r="BJ34" s="29"/>
      <c r="BK34" s="29"/>
      <c r="BL34" s="29"/>
      <c r="BM34" s="29"/>
      <c r="BN34" s="29"/>
      <c r="BO34" s="29"/>
      <c r="BP34" s="29"/>
      <c r="BQ34" s="29"/>
      <c r="BR34" s="29"/>
      <c r="BS34" s="29"/>
      <c r="BT34" s="29"/>
      <c r="BU34" s="29"/>
      <c r="BV34" s="29"/>
      <c r="BW34" s="29"/>
      <c r="BX34" s="29"/>
      <c r="BY34" s="29"/>
      <c r="BZ34" s="29"/>
      <c r="CA34" s="28"/>
      <c r="CB34" s="29"/>
      <c r="CC34" s="29"/>
      <c r="CD34" s="29"/>
      <c r="CE34" s="29"/>
    </row>
    <row r="35" spans="1:83" ht="12" customHeight="1">
      <c r="A35" s="28"/>
      <c r="B35" s="28"/>
      <c r="C35" s="23"/>
      <c r="D35" s="28" t="s">
        <v>1057</v>
      </c>
      <c r="E35" s="28"/>
      <c r="F35" s="29"/>
      <c r="G35" s="29"/>
      <c r="H35" s="29"/>
      <c r="I35" s="28"/>
      <c r="J35" s="28"/>
      <c r="K35" s="29"/>
      <c r="L35" s="29"/>
      <c r="M35" s="29"/>
      <c r="N35" s="29"/>
      <c r="O35" s="29"/>
      <c r="P35" s="29"/>
      <c r="Q35" s="29"/>
      <c r="R35" s="29"/>
      <c r="S35" s="29"/>
      <c r="T35" s="29"/>
      <c r="U35" s="29"/>
      <c r="V35" s="29"/>
      <c r="W35" s="29"/>
      <c r="X35" s="29"/>
      <c r="Y35" s="29"/>
      <c r="Z35" s="28"/>
      <c r="AA35" s="23" t="s">
        <v>986</v>
      </c>
      <c r="AB35" s="23"/>
      <c r="AC35" s="23"/>
      <c r="AD35" s="28"/>
      <c r="AF35" s="29"/>
      <c r="AG35" s="29"/>
      <c r="AH35" s="28"/>
      <c r="AI35" s="29"/>
      <c r="AJ35" s="29"/>
      <c r="AK35" s="29"/>
      <c r="AL35" s="29"/>
      <c r="AM35" s="29"/>
      <c r="AN35" s="29"/>
      <c r="AO35" s="29"/>
      <c r="AP35" s="29"/>
      <c r="AQ35" s="29"/>
      <c r="AR35" s="29"/>
      <c r="AS35" s="29"/>
      <c r="AT35" s="29"/>
      <c r="AU35" s="29"/>
      <c r="AV35" s="29"/>
      <c r="AW35" s="29"/>
      <c r="AX35" s="29"/>
      <c r="AY35" s="29"/>
      <c r="AZ35" s="29"/>
      <c r="BA35" s="29"/>
      <c r="BB35" s="29"/>
      <c r="BC35" s="23"/>
      <c r="BD35" s="23" t="s">
        <v>1023</v>
      </c>
      <c r="BE35" s="23"/>
      <c r="BH35" s="29"/>
      <c r="BI35" s="29"/>
      <c r="BJ35" s="29"/>
      <c r="BK35" s="29"/>
      <c r="BL35" s="29"/>
      <c r="BM35" s="29"/>
      <c r="BN35" s="29"/>
      <c r="BO35" s="29"/>
      <c r="BP35" s="29"/>
      <c r="BQ35" s="29"/>
      <c r="BR35" s="29"/>
      <c r="BS35" s="29"/>
      <c r="BT35" s="29"/>
      <c r="BU35" s="29"/>
      <c r="BV35" s="29"/>
      <c r="BW35" s="29"/>
      <c r="BX35" s="29"/>
      <c r="BY35" s="29"/>
      <c r="BZ35" s="29"/>
      <c r="CA35" s="28"/>
      <c r="CB35" s="29"/>
      <c r="CC35" s="29"/>
      <c r="CD35" s="29"/>
      <c r="CE35" s="29"/>
    </row>
    <row r="36" spans="1:83" ht="12" customHeight="1">
      <c r="A36" s="28"/>
      <c r="B36" s="28"/>
      <c r="C36" s="23"/>
      <c r="D36" s="23" t="s">
        <v>1058</v>
      </c>
      <c r="E36" s="28"/>
      <c r="F36" s="29"/>
      <c r="G36" s="28"/>
      <c r="H36" s="28"/>
      <c r="I36" s="28"/>
      <c r="J36" s="28"/>
      <c r="K36" s="29"/>
      <c r="L36" s="28"/>
      <c r="M36" s="28"/>
      <c r="N36" s="28"/>
      <c r="O36" s="28"/>
      <c r="P36" s="28"/>
      <c r="Q36" s="28"/>
      <c r="R36" s="29"/>
      <c r="S36" s="29"/>
      <c r="T36" s="29"/>
      <c r="U36" s="29"/>
      <c r="V36" s="29"/>
      <c r="W36" s="29"/>
      <c r="X36" s="29"/>
      <c r="Y36" s="29"/>
      <c r="Z36" s="28"/>
      <c r="AA36" s="23"/>
      <c r="AB36" s="23" t="s">
        <v>987</v>
      </c>
      <c r="AC36" s="23"/>
      <c r="AD36" s="28"/>
      <c r="AF36" s="29"/>
      <c r="AG36" s="29"/>
      <c r="AH36" s="28"/>
      <c r="AI36" s="29"/>
      <c r="AJ36" s="29"/>
      <c r="AK36" s="29"/>
      <c r="AL36" s="29"/>
      <c r="AM36" s="29"/>
      <c r="AN36" s="29"/>
      <c r="AO36" s="29"/>
      <c r="AP36" s="29"/>
      <c r="AQ36" s="29"/>
      <c r="AR36" s="29"/>
      <c r="AS36" s="29"/>
      <c r="AT36" s="29"/>
      <c r="AU36" s="29"/>
      <c r="AV36" s="29"/>
      <c r="AW36" s="29"/>
      <c r="AX36" s="29"/>
      <c r="AY36" s="29"/>
      <c r="AZ36" s="29"/>
      <c r="BA36" s="29"/>
      <c r="BB36" s="29"/>
      <c r="BC36" s="23"/>
      <c r="BD36" s="23" t="s">
        <v>1024</v>
      </c>
      <c r="BE36" s="23"/>
      <c r="BH36" s="28"/>
      <c r="BI36" s="29"/>
      <c r="BJ36" s="29"/>
      <c r="BK36" s="29"/>
      <c r="BL36" s="29"/>
      <c r="BM36" s="29"/>
      <c r="BN36" s="29"/>
      <c r="BO36" s="29"/>
      <c r="BP36" s="29"/>
      <c r="BQ36" s="29"/>
      <c r="BR36" s="29"/>
      <c r="BS36" s="29"/>
      <c r="BT36" s="29"/>
      <c r="BU36" s="29"/>
      <c r="BV36" s="29"/>
      <c r="BW36" s="29"/>
      <c r="BX36" s="29"/>
      <c r="BY36" s="29"/>
      <c r="BZ36" s="29"/>
      <c r="CA36" s="28"/>
      <c r="CB36" s="29"/>
      <c r="CC36" s="29"/>
      <c r="CD36" s="29"/>
      <c r="CE36" s="29"/>
    </row>
    <row r="37" spans="1:83" ht="12" customHeight="1">
      <c r="A37" s="29"/>
      <c r="B37" s="28"/>
      <c r="C37" s="28" t="s">
        <v>1059</v>
      </c>
      <c r="D37" s="23"/>
      <c r="E37" s="28"/>
      <c r="F37" s="28"/>
      <c r="G37" s="28"/>
      <c r="H37" s="28"/>
      <c r="I37" s="28"/>
      <c r="J37" s="28"/>
      <c r="K37" s="29"/>
      <c r="L37" s="29"/>
      <c r="M37" s="29"/>
      <c r="N37" s="29"/>
      <c r="O37" s="29"/>
      <c r="P37" s="29"/>
      <c r="Q37" s="29"/>
      <c r="R37" s="29"/>
      <c r="S37" s="29"/>
      <c r="T37" s="29"/>
      <c r="U37" s="29"/>
      <c r="V37" s="29"/>
      <c r="W37" s="29"/>
      <c r="X37" s="29"/>
      <c r="Y37" s="29"/>
      <c r="Z37" s="28"/>
      <c r="AA37" s="23"/>
      <c r="AB37" s="23"/>
      <c r="AC37" s="28" t="s">
        <v>988</v>
      </c>
      <c r="AD37" s="23"/>
      <c r="AF37" s="29"/>
      <c r="AG37" s="29"/>
      <c r="AH37" s="28"/>
      <c r="AI37" s="29"/>
      <c r="AJ37" s="29"/>
      <c r="AK37" s="29"/>
      <c r="AL37" s="29"/>
      <c r="AM37" s="29"/>
      <c r="AN37" s="29"/>
      <c r="AO37" s="29"/>
      <c r="AP37" s="29"/>
      <c r="AQ37" s="29"/>
      <c r="AR37" s="29"/>
      <c r="AS37" s="29"/>
      <c r="AT37" s="29"/>
      <c r="AU37" s="29"/>
      <c r="AV37" s="29"/>
      <c r="AW37" s="29"/>
      <c r="AX37" s="29"/>
      <c r="AY37" s="29"/>
      <c r="AZ37" s="29"/>
      <c r="BA37" s="29"/>
      <c r="BB37" s="29"/>
      <c r="BH37" s="29"/>
      <c r="BI37" s="29"/>
      <c r="BJ37" s="29"/>
      <c r="BK37" s="29"/>
      <c r="BL37" s="29"/>
      <c r="BM37" s="29"/>
      <c r="BN37" s="28"/>
      <c r="BO37" s="29"/>
      <c r="BP37" s="29"/>
      <c r="BQ37" s="29"/>
      <c r="BR37" s="29"/>
      <c r="BS37" s="29"/>
      <c r="BT37" s="29"/>
      <c r="BU37" s="29"/>
      <c r="BV37" s="29"/>
      <c r="BW37" s="29"/>
      <c r="BX37" s="29"/>
      <c r="BY37" s="29"/>
      <c r="BZ37" s="29"/>
      <c r="CA37" s="28"/>
      <c r="CB37" s="29"/>
      <c r="CC37" s="29"/>
      <c r="CD37" s="29"/>
      <c r="CE37" s="29"/>
    </row>
    <row r="38" spans="1:83" ht="12" customHeight="1">
      <c r="A38" s="28"/>
      <c r="B38" s="28"/>
      <c r="C38" s="28"/>
      <c r="D38" s="28"/>
      <c r="E38" s="29"/>
      <c r="F38" s="29"/>
      <c r="G38" s="29"/>
      <c r="H38" s="29"/>
      <c r="I38" s="29"/>
      <c r="J38" s="29"/>
      <c r="K38" s="29"/>
      <c r="L38" s="28"/>
      <c r="M38" s="28"/>
      <c r="N38" s="29"/>
      <c r="O38" s="29"/>
      <c r="P38" s="29"/>
      <c r="Q38" s="29"/>
      <c r="R38" s="28"/>
      <c r="S38" s="28"/>
      <c r="T38" s="28"/>
      <c r="U38" s="28"/>
      <c r="V38" s="28"/>
      <c r="W38" s="28"/>
      <c r="X38" s="29"/>
      <c r="Y38" s="29"/>
      <c r="Z38" s="28"/>
      <c r="AA38" s="23"/>
      <c r="AB38" s="23"/>
      <c r="AC38" s="23" t="s">
        <v>989</v>
      </c>
      <c r="AD38" s="23"/>
      <c r="AF38" s="29"/>
      <c r="AG38" s="29"/>
      <c r="AH38" s="28"/>
      <c r="AI38" s="29"/>
      <c r="AJ38" s="29"/>
      <c r="AK38" s="29"/>
      <c r="AL38" s="29"/>
      <c r="AM38" s="29"/>
      <c r="AN38" s="29"/>
      <c r="AO38" s="29"/>
      <c r="AP38" s="29"/>
      <c r="AQ38" s="29"/>
      <c r="AR38" s="29"/>
      <c r="AS38" s="29"/>
      <c r="AT38" s="29"/>
      <c r="AU38" s="29"/>
      <c r="AV38" s="29"/>
      <c r="AW38" s="29"/>
      <c r="AX38" s="29"/>
      <c r="AY38" s="29"/>
      <c r="AZ38" s="29"/>
      <c r="BA38" s="29"/>
      <c r="BB38" s="29"/>
      <c r="BH38" s="29"/>
      <c r="BI38" s="29"/>
      <c r="BJ38" s="28"/>
      <c r="BK38" s="28"/>
      <c r="BL38" s="28"/>
      <c r="BM38" s="28"/>
      <c r="BN38" s="28"/>
      <c r="BO38" s="28"/>
      <c r="BP38" s="28"/>
      <c r="BQ38" s="28"/>
      <c r="BR38" s="28"/>
      <c r="BS38" s="28"/>
      <c r="BT38" s="28"/>
      <c r="BU38" s="29"/>
      <c r="BV38" s="29"/>
      <c r="BW38" s="29"/>
      <c r="BX38" s="29"/>
      <c r="BY38" s="29"/>
      <c r="BZ38" s="29"/>
      <c r="CA38" s="28"/>
      <c r="CB38" s="29"/>
      <c r="CC38" s="29"/>
      <c r="CD38" s="29"/>
      <c r="CE38" s="29"/>
    </row>
    <row r="39" spans="1:83" ht="12" customHeight="1">
      <c r="A39" s="28"/>
      <c r="B39" s="28"/>
      <c r="C39" s="28"/>
      <c r="D39" s="28"/>
      <c r="E39" s="28"/>
      <c r="F39" s="29"/>
      <c r="G39" s="29"/>
      <c r="H39" s="29"/>
      <c r="I39" s="29"/>
      <c r="J39" s="29"/>
      <c r="K39" s="29"/>
      <c r="L39" s="28"/>
      <c r="M39" s="28"/>
      <c r="N39" s="29"/>
      <c r="O39" s="29"/>
      <c r="P39" s="29"/>
      <c r="Q39" s="29"/>
      <c r="R39" s="29"/>
      <c r="S39" s="29"/>
      <c r="T39" s="29"/>
      <c r="U39" s="29"/>
      <c r="V39" s="29"/>
      <c r="W39" s="29"/>
      <c r="X39" s="29"/>
      <c r="Y39" s="29"/>
      <c r="Z39" s="28"/>
      <c r="AA39" s="23"/>
      <c r="AB39" s="23" t="s">
        <v>990</v>
      </c>
      <c r="AC39" s="23"/>
      <c r="AD39" s="28"/>
      <c r="AF39" s="29"/>
      <c r="AG39" s="29"/>
      <c r="AH39" s="28"/>
      <c r="AI39" s="29"/>
      <c r="AJ39" s="29"/>
      <c r="AK39" s="29"/>
      <c r="AL39" s="29"/>
      <c r="AM39" s="29"/>
      <c r="AN39" s="29"/>
      <c r="AO39" s="29"/>
      <c r="AP39" s="29"/>
      <c r="AQ39" s="29"/>
      <c r="AR39" s="29"/>
      <c r="AS39" s="29"/>
      <c r="AT39" s="29"/>
      <c r="AU39" s="29"/>
      <c r="AV39" s="29"/>
      <c r="AW39" s="29"/>
      <c r="AX39" s="29"/>
      <c r="AY39" s="29"/>
      <c r="AZ39" s="29"/>
      <c r="BA39" s="29"/>
      <c r="BB39" s="29"/>
      <c r="BC39" s="29"/>
      <c r="BD39" s="29"/>
      <c r="BE39" s="28"/>
      <c r="BF39" s="28"/>
      <c r="BG39" s="28"/>
      <c r="BH39" s="28"/>
      <c r="BI39" s="28"/>
      <c r="BJ39" s="28"/>
      <c r="BK39" s="28"/>
      <c r="BL39" s="28"/>
      <c r="BM39" s="28"/>
      <c r="BN39" s="28"/>
      <c r="BO39" s="28"/>
      <c r="BP39" s="28"/>
      <c r="BQ39" s="28"/>
      <c r="BR39" s="28"/>
      <c r="BS39" s="28"/>
      <c r="BT39" s="28"/>
      <c r="BU39" s="29"/>
      <c r="BV39" s="29"/>
      <c r="BW39" s="29"/>
      <c r="BX39" s="29"/>
      <c r="BY39" s="29"/>
      <c r="BZ39" s="29"/>
      <c r="CA39" s="28"/>
      <c r="CB39" s="29"/>
      <c r="CC39" s="29"/>
      <c r="CD39" s="29"/>
      <c r="CE39" s="29"/>
    </row>
    <row r="40" spans="1:83" ht="12" customHeight="1">
      <c r="A40" s="29"/>
      <c r="B40" s="28"/>
      <c r="C40" s="28"/>
      <c r="D40" s="28"/>
      <c r="E40" s="28"/>
      <c r="F40" s="28"/>
      <c r="G40" s="29"/>
      <c r="H40" s="29"/>
      <c r="I40" s="29"/>
      <c r="J40" s="29"/>
      <c r="K40" s="28"/>
      <c r="L40" s="28"/>
      <c r="M40" s="28"/>
      <c r="N40" s="29"/>
      <c r="O40" s="29"/>
      <c r="P40" s="29"/>
      <c r="Q40" s="29"/>
      <c r="R40" s="29"/>
      <c r="S40" s="29"/>
      <c r="T40" s="29"/>
      <c r="U40" s="29"/>
      <c r="V40" s="29"/>
      <c r="W40" s="29"/>
      <c r="X40" s="29"/>
      <c r="Y40" s="29"/>
      <c r="Z40" s="28"/>
      <c r="AA40" s="23"/>
      <c r="AB40" s="23"/>
      <c r="AC40" s="23" t="s">
        <v>991</v>
      </c>
      <c r="AD40" s="28"/>
      <c r="AF40" s="29"/>
      <c r="AG40" s="29"/>
      <c r="AH40" s="28"/>
      <c r="AI40" s="29"/>
      <c r="AJ40" s="29"/>
      <c r="AK40" s="29"/>
      <c r="AL40" s="29"/>
      <c r="AM40" s="29"/>
      <c r="AN40" s="29"/>
      <c r="AO40" s="29"/>
      <c r="AP40" s="29"/>
      <c r="AQ40" s="29"/>
      <c r="AR40" s="29"/>
      <c r="AS40" s="29"/>
      <c r="AT40" s="29"/>
      <c r="AU40" s="29"/>
      <c r="AV40" s="29"/>
      <c r="AW40" s="29"/>
      <c r="AX40" s="29"/>
      <c r="AY40" s="29"/>
      <c r="AZ40" s="29"/>
      <c r="BA40" s="29"/>
      <c r="BB40" s="29"/>
      <c r="BG40" s="29"/>
      <c r="BH40" s="28"/>
      <c r="BI40" s="28"/>
      <c r="BJ40" s="28"/>
      <c r="BK40" s="28"/>
      <c r="BL40" s="28"/>
      <c r="BM40" s="28"/>
      <c r="BN40" s="28"/>
      <c r="BO40" s="28"/>
      <c r="BP40" s="28"/>
      <c r="BQ40" s="28"/>
      <c r="BR40" s="28"/>
      <c r="BS40" s="28"/>
      <c r="BT40" s="28"/>
      <c r="BU40" s="29"/>
      <c r="BV40" s="29"/>
      <c r="BW40" s="29"/>
      <c r="BX40" s="29"/>
      <c r="BY40" s="29"/>
      <c r="BZ40" s="29"/>
      <c r="CA40" s="28"/>
      <c r="CB40" s="29"/>
      <c r="CC40" s="29"/>
      <c r="CD40" s="29"/>
      <c r="CE40" s="29"/>
    </row>
    <row r="41" spans="1:83" ht="12" customHeight="1">
      <c r="A41" s="29"/>
      <c r="B41" s="28"/>
      <c r="C41" s="28"/>
      <c r="D41" s="28"/>
      <c r="E41" s="28"/>
      <c r="F41" s="28"/>
      <c r="G41" s="29"/>
      <c r="H41" s="29"/>
      <c r="I41" s="29"/>
      <c r="J41" s="29"/>
      <c r="K41" s="28"/>
      <c r="L41" s="28"/>
      <c r="M41" s="28"/>
      <c r="N41" s="29"/>
      <c r="O41" s="29"/>
      <c r="P41" s="29"/>
      <c r="Q41" s="29"/>
      <c r="R41" s="29"/>
      <c r="S41" s="29"/>
      <c r="T41" s="29"/>
      <c r="U41" s="29"/>
      <c r="V41" s="29"/>
      <c r="W41" s="29"/>
      <c r="X41" s="29"/>
      <c r="Y41" s="29"/>
      <c r="Z41" s="28"/>
      <c r="AA41" s="23"/>
      <c r="AB41" s="23"/>
      <c r="AC41" s="23" t="s">
        <v>992</v>
      </c>
      <c r="AD41" s="28"/>
      <c r="AF41" s="29"/>
      <c r="AG41" s="29"/>
      <c r="AH41" s="28"/>
      <c r="AI41" s="29"/>
      <c r="AJ41" s="29"/>
      <c r="AK41" s="29"/>
      <c r="AL41" s="29"/>
      <c r="AM41" s="29"/>
      <c r="AN41" s="29"/>
      <c r="AO41" s="29"/>
      <c r="AP41" s="29"/>
      <c r="AQ41" s="29"/>
      <c r="AR41" s="29"/>
      <c r="AS41" s="29"/>
      <c r="AT41" s="29"/>
      <c r="AU41" s="29"/>
      <c r="AV41" s="29"/>
      <c r="AW41" s="29"/>
      <c r="AX41" s="29"/>
      <c r="AY41" s="29"/>
      <c r="AZ41" s="29"/>
      <c r="BA41" s="29"/>
      <c r="BB41" s="29"/>
      <c r="BG41" s="29"/>
      <c r="BH41" s="28"/>
      <c r="BI41" s="28"/>
      <c r="BJ41" s="28"/>
      <c r="BK41" s="28"/>
      <c r="BL41" s="28"/>
      <c r="BM41" s="28"/>
      <c r="BN41" s="28"/>
      <c r="BO41" s="28"/>
      <c r="BP41" s="28"/>
      <c r="BQ41" s="28"/>
      <c r="BR41" s="28"/>
      <c r="BS41" s="28"/>
      <c r="BT41" s="28"/>
      <c r="BU41" s="29"/>
      <c r="BV41" s="29"/>
      <c r="BW41" s="29"/>
      <c r="BX41" s="29"/>
      <c r="BY41" s="29"/>
      <c r="BZ41" s="29"/>
      <c r="CA41" s="28"/>
      <c r="CB41" s="29"/>
      <c r="CC41" s="29"/>
      <c r="CD41" s="29"/>
      <c r="CE41" s="29"/>
    </row>
    <row r="42" spans="1:83" ht="12" customHeight="1">
      <c r="A42" s="29"/>
      <c r="B42" s="28"/>
      <c r="C42" s="28"/>
      <c r="D42" s="28"/>
      <c r="E42" s="28"/>
      <c r="F42" s="29"/>
      <c r="G42" s="29"/>
      <c r="H42" s="29"/>
      <c r="I42" s="29"/>
      <c r="J42" s="29"/>
      <c r="K42" s="29"/>
      <c r="L42" s="28"/>
      <c r="M42" s="28"/>
      <c r="N42" s="29"/>
      <c r="O42" s="29"/>
      <c r="P42" s="29"/>
      <c r="Q42" s="29"/>
      <c r="R42" s="29"/>
      <c r="S42" s="29"/>
      <c r="T42" s="29"/>
      <c r="U42" s="29"/>
      <c r="V42" s="29"/>
      <c r="W42" s="29"/>
      <c r="X42" s="29"/>
      <c r="Y42" s="29"/>
      <c r="Z42" s="28"/>
      <c r="AA42" s="28"/>
      <c r="AB42" s="28"/>
      <c r="AE42" s="29"/>
      <c r="AF42" s="29"/>
      <c r="AG42" s="29"/>
      <c r="AH42" s="28"/>
      <c r="AI42" s="29"/>
      <c r="AJ42" s="29"/>
      <c r="AK42" s="29"/>
      <c r="AL42" s="29"/>
      <c r="AM42" s="29"/>
      <c r="AN42" s="29"/>
      <c r="AO42" s="29"/>
      <c r="AP42" s="29"/>
      <c r="AQ42" s="29"/>
      <c r="AR42" s="29"/>
      <c r="AS42" s="29"/>
      <c r="AT42" s="29"/>
      <c r="AU42" s="29"/>
      <c r="AV42" s="29"/>
      <c r="AW42" s="29"/>
      <c r="AX42" s="29"/>
      <c r="AY42" s="29"/>
      <c r="AZ42" s="29"/>
      <c r="BA42" s="29"/>
      <c r="BB42" s="29"/>
      <c r="BG42" s="28"/>
      <c r="BH42" s="29"/>
      <c r="BI42" s="29"/>
      <c r="BJ42" s="28"/>
      <c r="BK42" s="28"/>
      <c r="BL42" s="28"/>
      <c r="BM42" s="28"/>
      <c r="BN42" s="28"/>
      <c r="BO42" s="28"/>
      <c r="BP42" s="28"/>
      <c r="BQ42" s="28"/>
      <c r="BR42" s="28"/>
      <c r="BS42" s="28"/>
      <c r="BT42" s="28"/>
      <c r="BU42" s="29"/>
      <c r="BV42" s="29"/>
      <c r="BW42" s="29"/>
      <c r="BX42" s="29"/>
      <c r="BY42" s="29"/>
      <c r="BZ42" s="29"/>
      <c r="CA42" s="28"/>
      <c r="CB42" s="29"/>
      <c r="CC42" s="29"/>
      <c r="CD42" s="29"/>
      <c r="CE42" s="29"/>
    </row>
    <row r="43" spans="1:83" ht="12" customHeight="1">
      <c r="A43" s="29"/>
      <c r="B43" s="28"/>
      <c r="C43" s="28"/>
      <c r="D43" s="28"/>
      <c r="E43" s="28"/>
      <c r="F43" s="28"/>
      <c r="G43" s="29"/>
      <c r="H43" s="29"/>
      <c r="I43" s="29"/>
      <c r="J43" s="29"/>
      <c r="K43" s="28"/>
      <c r="L43" s="28"/>
      <c r="M43" s="28"/>
      <c r="N43" s="29"/>
      <c r="O43" s="29"/>
      <c r="P43" s="29"/>
      <c r="Q43" s="29"/>
      <c r="R43" s="29"/>
      <c r="S43" s="29"/>
      <c r="T43" s="29"/>
      <c r="U43" s="29"/>
      <c r="V43" s="29"/>
      <c r="W43" s="29"/>
      <c r="X43" s="29"/>
      <c r="Y43" s="29"/>
      <c r="Z43" s="28"/>
      <c r="AA43" s="23"/>
      <c r="AB43" s="26"/>
      <c r="AE43" s="29"/>
      <c r="AF43" s="29"/>
      <c r="AG43" s="29"/>
      <c r="AH43" s="28"/>
      <c r="AI43" s="29"/>
      <c r="AJ43" s="29"/>
      <c r="AK43" s="29"/>
      <c r="AL43" s="29"/>
      <c r="AM43" s="29"/>
      <c r="AN43" s="29"/>
      <c r="AO43" s="29"/>
      <c r="AP43" s="29"/>
      <c r="AQ43" s="29"/>
      <c r="AR43" s="29"/>
      <c r="AS43" s="29"/>
      <c r="AT43" s="29"/>
      <c r="AU43" s="29"/>
      <c r="AV43" s="29"/>
      <c r="AW43" s="29"/>
      <c r="AX43" s="29"/>
      <c r="AY43" s="29"/>
      <c r="AZ43" s="29"/>
      <c r="BA43" s="29"/>
      <c r="BB43" s="29"/>
      <c r="BG43" s="29"/>
      <c r="BH43" s="28"/>
      <c r="BI43" s="28"/>
      <c r="BJ43" s="28"/>
      <c r="BK43" s="28"/>
      <c r="BL43" s="28"/>
      <c r="BM43" s="28"/>
      <c r="BN43" s="28"/>
      <c r="BO43" s="28"/>
      <c r="BP43" s="28"/>
      <c r="BQ43" s="28"/>
      <c r="BR43" s="28"/>
      <c r="BS43" s="28"/>
      <c r="BT43" s="28"/>
      <c r="BU43" s="29"/>
      <c r="BV43" s="29"/>
      <c r="BW43" s="29"/>
      <c r="BX43" s="29"/>
      <c r="BY43" s="29"/>
      <c r="BZ43" s="29"/>
      <c r="CA43" s="28"/>
      <c r="CB43" s="29"/>
      <c r="CC43" s="29"/>
      <c r="CD43" s="29"/>
      <c r="CE43" s="29"/>
    </row>
    <row r="44" spans="1:83" ht="12" customHeight="1">
      <c r="A44" s="29"/>
      <c r="B44" s="28"/>
      <c r="C44" s="28"/>
      <c r="D44" s="28"/>
      <c r="E44" s="28"/>
      <c r="F44" s="28"/>
      <c r="G44" s="29"/>
      <c r="H44" s="29"/>
      <c r="I44" s="29"/>
      <c r="J44" s="29"/>
      <c r="K44" s="28"/>
      <c r="L44" s="28"/>
      <c r="M44" s="28"/>
      <c r="N44" s="29"/>
      <c r="O44" s="29"/>
      <c r="P44" s="29"/>
      <c r="Q44" s="29"/>
      <c r="R44" s="29"/>
      <c r="S44" s="29"/>
      <c r="T44" s="29"/>
      <c r="U44" s="29"/>
      <c r="V44" s="29"/>
      <c r="W44" s="29"/>
      <c r="X44" s="29"/>
      <c r="Y44" s="29"/>
      <c r="Z44" s="28"/>
      <c r="AA44" s="23"/>
      <c r="AB44" s="23"/>
      <c r="AE44" s="28"/>
      <c r="AF44" s="29"/>
      <c r="AG44" s="29"/>
      <c r="AH44" s="28"/>
      <c r="AI44" s="29"/>
      <c r="AJ44" s="29"/>
      <c r="AK44" s="29"/>
      <c r="AL44" s="29"/>
      <c r="AM44" s="29"/>
      <c r="AN44" s="29"/>
      <c r="AO44" s="29"/>
      <c r="AP44" s="29"/>
      <c r="AQ44" s="29"/>
      <c r="AR44" s="29"/>
      <c r="AS44" s="29"/>
      <c r="AT44" s="29"/>
      <c r="AU44" s="29"/>
      <c r="AV44" s="29"/>
      <c r="AW44" s="29"/>
      <c r="AX44" s="29"/>
      <c r="AY44" s="29"/>
      <c r="AZ44" s="29"/>
      <c r="BA44" s="29"/>
      <c r="BB44" s="29"/>
      <c r="BH44" s="28"/>
      <c r="BI44" s="28"/>
      <c r="BJ44" s="28"/>
      <c r="BK44" s="28"/>
      <c r="BL44" s="28"/>
      <c r="BM44" s="28"/>
      <c r="BN44" s="28"/>
      <c r="BO44" s="28"/>
      <c r="BP44" s="28"/>
      <c r="BQ44" s="28"/>
      <c r="BR44" s="28"/>
      <c r="BS44" s="28"/>
      <c r="BT44" s="28"/>
      <c r="BU44" s="29"/>
      <c r="BV44" s="29"/>
      <c r="BW44" s="29"/>
      <c r="BX44" s="29"/>
      <c r="BY44" s="29"/>
      <c r="BZ44" s="29"/>
      <c r="CA44" s="28"/>
      <c r="CB44" s="29"/>
      <c r="CC44" s="29"/>
      <c r="CD44" s="29"/>
      <c r="CE44" s="29"/>
    </row>
    <row r="45" spans="1:83" ht="12" customHeight="1">
      <c r="A45" s="28"/>
      <c r="B45" s="28"/>
      <c r="C45" s="28"/>
      <c r="D45" s="28"/>
      <c r="E45" s="28"/>
      <c r="F45" s="28"/>
      <c r="G45" s="29"/>
      <c r="H45" s="29"/>
      <c r="I45" s="29"/>
      <c r="J45" s="29"/>
      <c r="K45" s="28"/>
      <c r="L45" s="28"/>
      <c r="M45" s="28"/>
      <c r="N45" s="29"/>
      <c r="O45" s="29"/>
      <c r="P45" s="29"/>
      <c r="Q45" s="29"/>
      <c r="R45" s="29"/>
      <c r="S45" s="29"/>
      <c r="T45" s="29"/>
      <c r="U45" s="29"/>
      <c r="V45" s="29"/>
      <c r="W45" s="29"/>
      <c r="X45" s="29"/>
      <c r="Y45" s="29"/>
      <c r="Z45" s="28"/>
      <c r="AE45" s="29"/>
      <c r="AF45" s="29"/>
      <c r="AG45" s="29"/>
      <c r="AH45" s="28"/>
      <c r="AI45" s="29"/>
      <c r="AJ45" s="29"/>
      <c r="AK45" s="29"/>
      <c r="AL45" s="29"/>
      <c r="AM45" s="29"/>
      <c r="AN45" s="29"/>
      <c r="AO45" s="29"/>
      <c r="AP45" s="29"/>
      <c r="AQ45" s="29"/>
      <c r="AR45" s="29"/>
      <c r="AS45" s="29"/>
      <c r="AT45" s="29"/>
      <c r="AU45" s="29"/>
      <c r="AV45" s="29"/>
      <c r="AW45" s="29"/>
      <c r="AX45" s="29"/>
      <c r="AY45" s="29"/>
      <c r="AZ45" s="29"/>
      <c r="BA45" s="29"/>
      <c r="BB45" s="29"/>
      <c r="BH45" s="28"/>
      <c r="BI45" s="28"/>
      <c r="BJ45" s="28"/>
      <c r="BK45" s="28"/>
      <c r="BL45" s="28"/>
      <c r="BM45" s="28"/>
      <c r="BN45" s="28"/>
      <c r="BO45" s="28"/>
      <c r="BP45" s="28"/>
      <c r="BQ45" s="28"/>
      <c r="BR45" s="28"/>
      <c r="BS45" s="28"/>
      <c r="BT45" s="28"/>
      <c r="BU45" s="29"/>
      <c r="BV45" s="29"/>
      <c r="BW45" s="29"/>
      <c r="BX45" s="29"/>
      <c r="BY45" s="29"/>
      <c r="BZ45" s="29"/>
      <c r="CA45" s="28"/>
      <c r="CB45" s="29"/>
      <c r="CC45" s="29"/>
      <c r="CD45" s="29"/>
      <c r="CE45" s="29"/>
    </row>
    <row r="46" spans="1:83" ht="12" customHeight="1">
      <c r="A46" s="28"/>
      <c r="B46" s="28"/>
      <c r="C46" s="28"/>
      <c r="D46" s="28"/>
      <c r="E46" s="28"/>
      <c r="F46" s="29"/>
      <c r="G46" s="28"/>
      <c r="H46" s="28"/>
      <c r="I46" s="29"/>
      <c r="J46" s="29"/>
      <c r="K46" s="28"/>
      <c r="L46" s="28"/>
      <c r="M46" s="28"/>
      <c r="N46" s="28"/>
      <c r="O46" s="28"/>
      <c r="P46" s="29"/>
      <c r="Q46" s="29"/>
      <c r="R46" s="29"/>
      <c r="S46" s="29"/>
      <c r="T46" s="29"/>
      <c r="U46" s="29"/>
      <c r="V46" s="29"/>
      <c r="W46" s="29"/>
      <c r="X46" s="29"/>
      <c r="Y46" s="29"/>
      <c r="Z46" s="28"/>
      <c r="AA46" s="23"/>
      <c r="AB46" s="23"/>
      <c r="AC46" s="23"/>
      <c r="AE46" s="29"/>
      <c r="AF46" s="28"/>
      <c r="AG46" s="29"/>
      <c r="AH46" s="28"/>
      <c r="AI46" s="29"/>
      <c r="AJ46" s="29"/>
      <c r="AK46" s="29"/>
      <c r="AL46" s="29"/>
      <c r="AM46" s="29"/>
      <c r="AN46" s="29"/>
      <c r="AO46" s="29"/>
      <c r="AP46" s="29"/>
      <c r="AQ46" s="29"/>
      <c r="AR46" s="29"/>
      <c r="AS46" s="29"/>
      <c r="AT46" s="29"/>
      <c r="AU46" s="29"/>
      <c r="AV46" s="29"/>
      <c r="AW46" s="29"/>
      <c r="AX46" s="29"/>
      <c r="AY46" s="29"/>
      <c r="AZ46" s="29"/>
      <c r="BA46" s="29"/>
      <c r="BB46" s="29"/>
      <c r="BH46" s="28"/>
      <c r="BI46" s="28"/>
      <c r="BJ46" s="28"/>
      <c r="BK46" s="28"/>
      <c r="BL46" s="28"/>
      <c r="BM46" s="28"/>
      <c r="BN46" s="28"/>
      <c r="BO46" s="28"/>
      <c r="BP46" s="28"/>
      <c r="BQ46" s="28"/>
      <c r="BR46" s="28"/>
      <c r="BS46" s="28"/>
      <c r="BT46" s="28"/>
      <c r="BU46" s="29"/>
      <c r="BV46" s="29"/>
      <c r="BW46" s="29"/>
      <c r="BX46" s="29"/>
      <c r="BY46" s="29"/>
      <c r="BZ46" s="29"/>
      <c r="CA46" s="28"/>
      <c r="CB46" s="29"/>
      <c r="CC46" s="29"/>
      <c r="CD46" s="29"/>
      <c r="CE46" s="29"/>
    </row>
    <row r="47" spans="1:83" ht="12" customHeight="1">
      <c r="A47" s="28"/>
      <c r="B47" s="28"/>
      <c r="C47" s="28"/>
      <c r="D47" s="28"/>
      <c r="E47" s="28"/>
      <c r="F47" s="28"/>
      <c r="G47" s="28"/>
      <c r="H47" s="28"/>
      <c r="I47" s="28"/>
      <c r="J47" s="29"/>
      <c r="K47" s="28"/>
      <c r="L47" s="28"/>
      <c r="M47" s="28"/>
      <c r="N47" s="29"/>
      <c r="O47" s="29"/>
      <c r="P47" s="29"/>
      <c r="Q47" s="29"/>
      <c r="R47" s="29"/>
      <c r="S47" s="29"/>
      <c r="T47" s="29"/>
      <c r="U47" s="29"/>
      <c r="V47" s="29"/>
      <c r="W47" s="29"/>
      <c r="X47" s="29"/>
      <c r="Y47" s="29"/>
      <c r="Z47" s="29"/>
      <c r="AE47" s="29"/>
      <c r="AF47" s="29"/>
      <c r="AG47" s="29"/>
      <c r="AH47" s="28"/>
      <c r="AI47" s="29"/>
      <c r="AJ47" s="29"/>
      <c r="AK47" s="29"/>
      <c r="AL47" s="29"/>
      <c r="AM47" s="29"/>
      <c r="AN47" s="29"/>
      <c r="AO47" s="29"/>
      <c r="AP47" s="29"/>
      <c r="AQ47" s="29"/>
      <c r="AR47" s="29"/>
      <c r="AS47" s="29"/>
      <c r="AT47" s="29"/>
      <c r="AU47" s="29"/>
      <c r="AV47" s="29"/>
      <c r="AW47" s="29"/>
      <c r="AX47" s="29"/>
      <c r="AY47" s="29"/>
      <c r="AZ47" s="29"/>
      <c r="BA47" s="29"/>
      <c r="BB47" s="29"/>
      <c r="BC47" s="29"/>
      <c r="BD47" s="29"/>
      <c r="BE47" s="28"/>
      <c r="BF47" s="28"/>
      <c r="BG47" s="28"/>
      <c r="BH47" s="28"/>
      <c r="BI47" s="28"/>
      <c r="BJ47" s="28"/>
      <c r="BK47" s="28"/>
      <c r="BL47" s="28"/>
      <c r="BM47" s="28"/>
      <c r="BN47" s="28"/>
      <c r="BO47" s="28"/>
      <c r="BP47" s="28"/>
      <c r="BQ47" s="28"/>
      <c r="BR47" s="28"/>
      <c r="BS47" s="28"/>
      <c r="BT47" s="28"/>
      <c r="BU47" s="29"/>
      <c r="BV47" s="29"/>
      <c r="BW47" s="29"/>
      <c r="BX47" s="29"/>
      <c r="BY47" s="29"/>
      <c r="BZ47" s="29"/>
      <c r="CA47" s="28"/>
      <c r="CB47" s="29"/>
      <c r="CC47" s="29"/>
      <c r="CD47" s="29"/>
      <c r="CE47" s="29"/>
    </row>
    <row r="48" spans="1:83" ht="12" customHeight="1">
      <c r="A48" s="29"/>
      <c r="B48" s="28"/>
      <c r="C48" s="28"/>
      <c r="D48" s="28"/>
      <c r="E48" s="28"/>
      <c r="F48" s="28"/>
      <c r="G48" s="28"/>
      <c r="H48" s="28"/>
      <c r="I48" s="28"/>
      <c r="J48" s="28"/>
      <c r="K48" s="28"/>
      <c r="L48" s="28"/>
      <c r="M48" s="28"/>
      <c r="N48" s="29"/>
      <c r="O48" s="29"/>
      <c r="P48" s="29"/>
      <c r="Q48" s="29"/>
      <c r="R48" s="29"/>
      <c r="S48" s="29"/>
      <c r="T48" s="29"/>
      <c r="U48" s="29"/>
      <c r="V48" s="29"/>
      <c r="W48" s="29"/>
      <c r="X48" s="29"/>
      <c r="Y48" s="29"/>
      <c r="Z48" s="29"/>
      <c r="AE48" s="29"/>
      <c r="AF48" s="29"/>
      <c r="AG48" s="29"/>
      <c r="AH48" s="28"/>
      <c r="AI48" s="29"/>
      <c r="AJ48" s="29"/>
      <c r="AK48" s="29"/>
      <c r="AL48" s="29"/>
      <c r="AM48" s="29"/>
      <c r="AN48" s="29"/>
      <c r="AO48" s="29"/>
      <c r="AP48" s="29"/>
      <c r="AQ48" s="29"/>
      <c r="AR48" s="29"/>
      <c r="AS48" s="29"/>
      <c r="AT48" s="29"/>
      <c r="AU48" s="29"/>
      <c r="AV48" s="29"/>
      <c r="AW48" s="29"/>
      <c r="AX48" s="29"/>
      <c r="AY48" s="29"/>
      <c r="AZ48" s="29"/>
      <c r="BA48" s="29"/>
      <c r="BB48" s="29"/>
      <c r="BC48" s="29"/>
      <c r="BD48" s="29"/>
      <c r="BE48" s="28"/>
      <c r="BF48" s="28"/>
      <c r="BG48" s="28"/>
      <c r="BH48" s="28"/>
      <c r="BI48" s="28"/>
      <c r="BJ48" s="28"/>
      <c r="BK48" s="28"/>
      <c r="BL48" s="28"/>
      <c r="BM48" s="28"/>
      <c r="BN48" s="28"/>
      <c r="BO48" s="28"/>
      <c r="BP48" s="28"/>
      <c r="BQ48" s="28"/>
      <c r="BR48" s="28"/>
      <c r="BS48" s="28"/>
      <c r="BT48" s="28"/>
      <c r="BU48" s="29"/>
      <c r="BV48" s="29"/>
      <c r="BW48" s="29"/>
      <c r="BX48" s="29"/>
      <c r="BY48" s="29"/>
      <c r="BZ48" s="29"/>
      <c r="CA48" s="28"/>
      <c r="CB48" s="29"/>
      <c r="CC48" s="29"/>
      <c r="CD48" s="29"/>
      <c r="CE48" s="29"/>
    </row>
    <row r="49" spans="1:83" ht="12" customHeight="1">
      <c r="A49" s="28"/>
      <c r="B49" s="28"/>
      <c r="C49" s="28"/>
      <c r="D49" s="28"/>
      <c r="E49" s="28"/>
      <c r="F49" s="28"/>
      <c r="G49" s="28"/>
      <c r="H49" s="28"/>
      <c r="I49" s="28"/>
      <c r="J49" s="28"/>
      <c r="K49" s="28"/>
      <c r="L49" s="28"/>
      <c r="M49" s="28"/>
      <c r="N49" s="29"/>
      <c r="O49" s="29"/>
      <c r="P49" s="29"/>
      <c r="Q49" s="29"/>
      <c r="R49" s="29"/>
      <c r="S49" s="29"/>
      <c r="T49" s="29"/>
      <c r="U49" s="29"/>
      <c r="V49" s="29"/>
      <c r="W49" s="29"/>
      <c r="X49" s="29"/>
      <c r="Y49" s="29"/>
      <c r="Z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8"/>
      <c r="BF49" s="28"/>
      <c r="BG49" s="28"/>
      <c r="BH49" s="28"/>
      <c r="BI49" s="28"/>
      <c r="BJ49" s="28"/>
      <c r="BK49" s="28"/>
      <c r="BL49" s="28"/>
      <c r="BM49" s="28"/>
      <c r="BN49" s="28"/>
      <c r="BO49" s="28"/>
      <c r="BP49" s="28"/>
      <c r="BQ49" s="28"/>
      <c r="BR49" s="28"/>
      <c r="BS49" s="28"/>
      <c r="BT49" s="28"/>
      <c r="BU49" s="29"/>
      <c r="BV49" s="29"/>
      <c r="BW49" s="29"/>
      <c r="BX49" s="29"/>
      <c r="BY49" s="29"/>
      <c r="BZ49" s="29"/>
      <c r="CA49" s="28"/>
      <c r="CB49" s="29"/>
      <c r="CC49" s="29"/>
      <c r="CD49" s="29"/>
      <c r="CE49" s="29"/>
    </row>
    <row r="50" spans="1:83" ht="12" customHeight="1">
      <c r="A50" s="29"/>
      <c r="B50" s="28"/>
      <c r="C50" s="27"/>
      <c r="D50" s="28"/>
      <c r="E50" s="28"/>
      <c r="F50" s="28"/>
      <c r="G50" s="28"/>
      <c r="H50" s="28"/>
      <c r="I50" s="28"/>
      <c r="J50" s="28"/>
      <c r="K50" s="28"/>
      <c r="L50" s="28"/>
      <c r="M50" s="28"/>
      <c r="N50" s="29"/>
      <c r="O50" s="29"/>
      <c r="P50" s="29"/>
      <c r="Q50" s="29"/>
      <c r="R50" s="29"/>
      <c r="S50" s="29"/>
      <c r="T50" s="29"/>
      <c r="U50" s="29"/>
      <c r="V50" s="29"/>
      <c r="W50" s="29"/>
      <c r="X50" s="29"/>
      <c r="Y50" s="29"/>
      <c r="Z50" s="29"/>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9"/>
      <c r="CB50" s="29"/>
      <c r="CC50" s="29"/>
      <c r="CD50" s="29"/>
      <c r="CE50" s="29"/>
    </row>
    <row r="51" spans="1:83" ht="12" customHeight="1">
      <c r="A51" s="29"/>
      <c r="B51" s="28"/>
      <c r="C51" s="27"/>
      <c r="D51" s="28"/>
      <c r="E51" s="28"/>
      <c r="F51" s="28"/>
      <c r="G51" s="28"/>
      <c r="H51" s="28"/>
      <c r="I51" s="28"/>
      <c r="J51" s="28"/>
      <c r="K51" s="28"/>
      <c r="L51" s="28"/>
      <c r="M51" s="28"/>
      <c r="N51" s="29"/>
      <c r="O51" s="29"/>
      <c r="P51" s="29"/>
      <c r="Q51" s="29"/>
      <c r="R51" s="29"/>
      <c r="S51" s="29"/>
      <c r="T51" s="29"/>
      <c r="U51" s="29"/>
      <c r="V51" s="29"/>
      <c r="W51" s="29"/>
      <c r="X51" s="29"/>
      <c r="Y51" s="29"/>
      <c r="Z51" s="29"/>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9"/>
      <c r="CB51" s="29"/>
      <c r="CC51" s="29"/>
      <c r="CD51" s="29"/>
      <c r="CE51" s="29"/>
    </row>
    <row r="52" spans="1:83" ht="12" customHeight="1">
      <c r="A52" s="29"/>
      <c r="B52" s="28"/>
      <c r="C52" s="27"/>
      <c r="D52" s="28"/>
      <c r="E52" s="28"/>
      <c r="F52" s="28"/>
      <c r="G52" s="28"/>
      <c r="H52" s="28"/>
      <c r="I52" s="28"/>
      <c r="J52" s="28"/>
      <c r="K52" s="28"/>
      <c r="L52" s="28"/>
      <c r="M52" s="28"/>
      <c r="N52" s="29"/>
      <c r="O52" s="29"/>
      <c r="P52" s="29"/>
      <c r="Q52" s="29"/>
      <c r="R52" s="29"/>
      <c r="S52" s="29"/>
      <c r="T52" s="29"/>
      <c r="U52" s="29"/>
      <c r="V52" s="29"/>
      <c r="W52" s="29"/>
      <c r="X52" s="29"/>
      <c r="Y52" s="29"/>
      <c r="Z52" s="29"/>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9"/>
      <c r="CB52" s="29"/>
      <c r="CC52" s="29"/>
      <c r="CD52" s="29"/>
      <c r="CE52" s="29"/>
    </row>
    <row r="53" spans="1:83" ht="12" customHeight="1">
      <c r="A53" s="55"/>
      <c r="B53" s="55"/>
      <c r="Q53" s="55"/>
      <c r="R53" s="55"/>
      <c r="S53" s="55"/>
      <c r="T53" s="55"/>
      <c r="U53" s="55"/>
      <c r="V53" s="55"/>
      <c r="W53" s="55"/>
      <c r="X53" s="55"/>
      <c r="Y53" s="55"/>
      <c r="Z53" s="55"/>
      <c r="AA53" s="55"/>
      <c r="AB53" s="55"/>
      <c r="AK53" s="299"/>
      <c r="AL53" s="299"/>
      <c r="AM53" s="299"/>
      <c r="AN53" s="299"/>
      <c r="AO53" s="299"/>
      <c r="AP53" s="299"/>
      <c r="AS53" s="55"/>
      <c r="AT53" s="55"/>
      <c r="AU53" s="55"/>
      <c r="AV53" s="55"/>
      <c r="AW53" s="55"/>
      <c r="AX53" s="55"/>
      <c r="AY53" s="55"/>
      <c r="AZ53" s="55"/>
      <c r="BA53" s="55"/>
      <c r="BB53" s="55"/>
      <c r="BC53" s="55"/>
      <c r="BK53" s="55"/>
      <c r="BT53" s="55"/>
      <c r="BU53" s="55"/>
      <c r="BV53" s="55"/>
      <c r="BW53" s="55"/>
      <c r="BX53" s="55"/>
      <c r="BY53" s="55"/>
      <c r="BZ53" s="55"/>
      <c r="CA53" s="55"/>
      <c r="CB53" s="55"/>
      <c r="CC53" s="55"/>
      <c r="CD53" s="55"/>
      <c r="CE53" s="55"/>
    </row>
    <row r="54" spans="1:83" ht="12" customHeight="1">
      <c r="A54" s="55"/>
      <c r="B54" s="55"/>
      <c r="K54" s="299"/>
      <c r="L54" s="299"/>
      <c r="M54" s="55"/>
      <c r="N54" s="55"/>
      <c r="O54" s="55"/>
      <c r="P54" s="55"/>
      <c r="Q54" s="55"/>
      <c r="R54" s="55"/>
      <c r="S54" s="55"/>
      <c r="T54" s="55"/>
      <c r="U54" s="55"/>
      <c r="V54" s="55"/>
      <c r="W54" s="55"/>
      <c r="X54" s="55"/>
      <c r="Y54" s="55"/>
      <c r="Z54" s="55"/>
      <c r="AA54" s="55"/>
      <c r="AK54" s="299"/>
      <c r="AL54" s="299"/>
      <c r="AM54" s="299"/>
      <c r="AN54" s="299"/>
      <c r="AO54" s="299"/>
      <c r="AP54" s="299"/>
      <c r="AS54" s="55"/>
      <c r="AT54" s="55"/>
      <c r="AU54" s="55"/>
      <c r="AV54" s="55"/>
      <c r="AW54" s="55"/>
      <c r="AX54" s="55"/>
      <c r="AY54" s="55"/>
      <c r="AZ54" s="55"/>
      <c r="BA54" s="55"/>
      <c r="BB54" s="55"/>
      <c r="BC54" s="55"/>
      <c r="BK54" s="55"/>
      <c r="BT54" s="55"/>
      <c r="BU54" s="55"/>
      <c r="BV54" s="55"/>
      <c r="BW54" s="55"/>
      <c r="BX54" s="55"/>
      <c r="BY54" s="55"/>
      <c r="BZ54" s="55"/>
      <c r="CA54" s="55"/>
      <c r="CB54" s="55"/>
      <c r="CC54" s="55"/>
      <c r="CD54" s="55"/>
      <c r="CE54" s="55"/>
    </row>
    <row r="55" spans="1:83" ht="12" customHeight="1">
      <c r="A55" s="55"/>
      <c r="B55" s="55"/>
      <c r="I55" s="299"/>
      <c r="J55" s="299"/>
      <c r="K55" s="299"/>
      <c r="L55" s="299"/>
      <c r="M55" s="55"/>
      <c r="N55" s="55"/>
      <c r="O55" s="55"/>
      <c r="P55" s="55"/>
      <c r="Q55" s="55"/>
      <c r="R55" s="55"/>
      <c r="S55" s="55"/>
      <c r="T55" s="55"/>
      <c r="U55" s="55"/>
      <c r="V55" s="55"/>
      <c r="W55" s="55"/>
      <c r="X55" s="55"/>
      <c r="Y55" s="55"/>
      <c r="Z55" s="55"/>
      <c r="AA55" s="55"/>
      <c r="AO55" s="299"/>
      <c r="AP55" s="299"/>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row>
    <row r="56" spans="1:83" ht="12" customHeight="1">
      <c r="A56" s="55"/>
      <c r="B56" s="55"/>
      <c r="I56" s="299"/>
      <c r="J56" s="299"/>
      <c r="K56" s="299"/>
      <c r="L56" s="299"/>
      <c r="M56" s="55"/>
      <c r="N56" s="55"/>
      <c r="O56" s="55"/>
      <c r="P56" s="55"/>
      <c r="Q56" s="55"/>
      <c r="R56" s="55"/>
      <c r="S56" s="55"/>
      <c r="T56" s="55"/>
      <c r="U56" s="55"/>
      <c r="V56" s="55"/>
      <c r="W56" s="55"/>
      <c r="X56" s="55"/>
      <c r="Y56" s="55"/>
      <c r="Z56" s="55"/>
      <c r="AA56" s="55"/>
      <c r="AB56" s="55"/>
      <c r="AO56" s="299"/>
      <c r="AP56" s="299"/>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row>
    <row r="57" spans="1:83" ht="12" customHeight="1">
      <c r="A57" s="55"/>
      <c r="B57" s="55"/>
      <c r="H57" s="299"/>
      <c r="I57" s="299"/>
      <c r="J57" s="299"/>
      <c r="K57" s="299"/>
      <c r="L57" s="299"/>
      <c r="M57" s="55"/>
      <c r="N57" s="55"/>
      <c r="O57" s="55"/>
      <c r="P57" s="55"/>
      <c r="Q57" s="55"/>
      <c r="R57" s="55"/>
      <c r="S57" s="55"/>
      <c r="T57" s="55"/>
      <c r="U57" s="55"/>
      <c r="V57" s="55"/>
      <c r="W57" s="55"/>
      <c r="X57" s="55"/>
      <c r="Y57" s="55"/>
      <c r="Z57" s="55"/>
      <c r="AA57" s="55"/>
      <c r="AB57" s="55"/>
      <c r="AK57" s="299"/>
      <c r="AL57" s="299"/>
      <c r="AO57" s="299"/>
      <c r="AP57" s="299"/>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row>
    <row r="58" spans="1:83" ht="12" customHeight="1">
      <c r="A58" s="55"/>
      <c r="B58" s="55"/>
      <c r="H58" s="299"/>
      <c r="I58" s="299"/>
      <c r="J58" s="299"/>
      <c r="K58" s="299"/>
      <c r="L58" s="299"/>
      <c r="M58" s="55"/>
      <c r="N58" s="55"/>
      <c r="O58" s="55"/>
      <c r="P58" s="55"/>
      <c r="Q58" s="55"/>
      <c r="R58" s="55"/>
      <c r="S58" s="55"/>
      <c r="T58" s="55"/>
      <c r="U58" s="55"/>
      <c r="V58" s="55"/>
      <c r="W58" s="55"/>
      <c r="X58" s="55"/>
      <c r="Y58" s="55"/>
      <c r="Z58" s="55"/>
      <c r="AA58" s="55"/>
      <c r="AB58" s="55"/>
      <c r="AK58" s="299"/>
      <c r="AL58" s="299"/>
      <c r="AM58" s="299"/>
      <c r="AN58" s="299"/>
      <c r="AO58" s="299"/>
      <c r="AP58" s="299"/>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row>
    <row r="59" spans="1:83" ht="12" customHeight="1">
      <c r="A59" s="55"/>
      <c r="B59" s="55"/>
      <c r="C59" s="55"/>
      <c r="H59" s="299"/>
      <c r="I59" s="299"/>
      <c r="J59" s="299"/>
      <c r="K59" s="299"/>
      <c r="L59" s="299"/>
      <c r="M59" s="55"/>
      <c r="N59" s="55"/>
      <c r="O59" s="55"/>
      <c r="P59" s="55"/>
      <c r="Q59" s="55"/>
      <c r="R59" s="55"/>
      <c r="S59" s="55"/>
      <c r="T59" s="55"/>
      <c r="U59" s="55"/>
      <c r="V59" s="55"/>
      <c r="W59" s="55"/>
      <c r="X59" s="55"/>
      <c r="Y59" s="55"/>
      <c r="Z59" s="55"/>
      <c r="AA59" s="55"/>
      <c r="AB59" s="55"/>
      <c r="AK59" s="299"/>
      <c r="AL59" s="299"/>
      <c r="AM59" s="299"/>
      <c r="AN59" s="299"/>
      <c r="AO59" s="299"/>
      <c r="AP59" s="299"/>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row>
    <row r="60" spans="1:83" ht="12" customHeight="1">
      <c r="B60" s="55"/>
      <c r="L60" s="299"/>
      <c r="M60" s="55"/>
      <c r="N60" s="55"/>
      <c r="O60" s="55"/>
      <c r="P60" s="55"/>
      <c r="Q60" s="55"/>
      <c r="R60" s="55"/>
      <c r="S60" s="55"/>
      <c r="T60" s="55"/>
      <c r="U60" s="55"/>
      <c r="V60" s="55"/>
      <c r="W60" s="55"/>
      <c r="X60" s="55"/>
      <c r="Y60" s="55"/>
      <c r="Z60" s="55"/>
      <c r="AA60" s="55"/>
      <c r="AB60" s="55"/>
      <c r="AK60" s="299"/>
      <c r="AL60" s="299"/>
      <c r="AM60" s="299"/>
      <c r="AN60" s="299"/>
      <c r="AO60" s="299"/>
      <c r="AP60" s="299"/>
      <c r="AS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c r="BZ60" s="55"/>
      <c r="CA60" s="55"/>
      <c r="CB60" s="55"/>
      <c r="CC60" s="55"/>
      <c r="CD60" s="55"/>
      <c r="CE60" s="55"/>
    </row>
    <row r="61" spans="1:83" ht="12" customHeight="1">
      <c r="J61" s="299"/>
      <c r="K61" s="299"/>
      <c r="L61" s="299"/>
      <c r="M61" s="55"/>
      <c r="N61" s="55"/>
      <c r="O61" s="55"/>
      <c r="P61" s="55"/>
      <c r="Q61" s="55"/>
      <c r="R61" s="55"/>
      <c r="S61" s="55"/>
      <c r="T61" s="55"/>
      <c r="U61" s="55"/>
      <c r="V61" s="55"/>
      <c r="W61" s="55"/>
      <c r="X61" s="55"/>
      <c r="Y61" s="55"/>
      <c r="Z61" s="55"/>
      <c r="AA61" s="55"/>
      <c r="AK61" s="299"/>
      <c r="AL61" s="299"/>
      <c r="AM61" s="299"/>
      <c r="AN61" s="299"/>
      <c r="AO61" s="55"/>
      <c r="AP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c r="BZ61" s="55"/>
      <c r="CA61" s="55"/>
      <c r="CB61" s="55"/>
      <c r="CC61" s="55"/>
      <c r="CD61" s="55"/>
      <c r="CE61" s="55"/>
    </row>
    <row r="62" spans="1:83" ht="12" customHeight="1">
      <c r="A62" s="55"/>
      <c r="B62" s="23"/>
      <c r="C62" s="23"/>
      <c r="D62" s="23"/>
      <c r="E62" s="299"/>
      <c r="F62" s="299"/>
      <c r="G62" s="299"/>
      <c r="H62" s="299"/>
      <c r="I62" s="299"/>
      <c r="J62" s="299"/>
      <c r="K62" s="299"/>
      <c r="L62" s="299"/>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c r="BG62" s="55"/>
      <c r="BH62" s="55"/>
      <c r="BI62" s="55"/>
      <c r="BJ62" s="55"/>
      <c r="BK62" s="55"/>
      <c r="BL62" s="55"/>
      <c r="BM62" s="55"/>
      <c r="BN62" s="55"/>
      <c r="BO62" s="55"/>
      <c r="BP62" s="55"/>
      <c r="BQ62" s="55"/>
      <c r="BR62" s="55"/>
      <c r="BS62" s="55"/>
      <c r="BT62" s="55"/>
      <c r="BU62" s="55"/>
      <c r="BV62" s="55"/>
      <c r="BW62" s="55"/>
      <c r="BX62" s="55"/>
      <c r="BY62" s="55"/>
      <c r="BZ62" s="55"/>
      <c r="CA62" s="55"/>
      <c r="CB62" s="55"/>
      <c r="CC62" s="55"/>
      <c r="CD62" s="55"/>
      <c r="CE62" s="55"/>
    </row>
    <row r="63" spans="1:83" ht="12" customHeight="1">
      <c r="A63" s="55"/>
      <c r="L63" s="299"/>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c r="BZ63" s="55"/>
      <c r="CA63" s="55"/>
      <c r="CB63" s="55"/>
      <c r="CC63" s="55"/>
      <c r="CD63" s="55"/>
      <c r="CE63" s="55"/>
    </row>
    <row r="64" spans="1:83" ht="12" customHeight="1">
      <c r="A64" s="55"/>
      <c r="L64" s="299"/>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row>
    <row r="65" spans="1:83" ht="12" customHeight="1">
      <c r="A65" s="55"/>
      <c r="L65" s="299"/>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row>
    <row r="66" spans="1:83" ht="12" customHeight="1">
      <c r="A66" s="55"/>
      <c r="L66" s="299"/>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row>
    <row r="67" spans="1:83" ht="12" customHeight="1">
      <c r="A67" s="55"/>
      <c r="L67" s="299"/>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c r="BZ67" s="55"/>
      <c r="CA67" s="55"/>
      <c r="CB67" s="55"/>
      <c r="CC67" s="55"/>
      <c r="CD67" s="55"/>
      <c r="CE67" s="55"/>
    </row>
    <row r="68" spans="1:83" ht="12" customHeight="1">
      <c r="A68" s="55"/>
      <c r="B68" s="55"/>
      <c r="C68" s="55"/>
      <c r="D68" s="534"/>
      <c r="E68" s="299"/>
      <c r="F68" s="299"/>
      <c r="G68" s="299"/>
      <c r="H68" s="299"/>
      <c r="I68" s="299"/>
      <c r="J68" s="299"/>
      <c r="K68" s="299"/>
      <c r="L68" s="299"/>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row>
    <row r="69" spans="1:83" ht="12" customHeight="1">
      <c r="A69" s="55"/>
      <c r="B69" s="23"/>
      <c r="C69" s="299"/>
      <c r="D69" s="23"/>
      <c r="E69" s="299"/>
      <c r="F69" s="299"/>
      <c r="G69" s="299"/>
      <c r="H69" s="299"/>
      <c r="I69" s="299"/>
      <c r="J69" s="299"/>
      <c r="K69" s="299"/>
      <c r="L69" s="299"/>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55"/>
      <c r="CB69" s="55"/>
      <c r="CC69" s="55"/>
      <c r="CD69" s="55"/>
      <c r="CE69" s="55"/>
    </row>
    <row r="70" spans="1:83" ht="12" customHeight="1">
      <c r="A70" s="55"/>
      <c r="B70" s="299"/>
      <c r="C70" s="299"/>
      <c r="D70" s="23"/>
      <c r="E70" s="299"/>
      <c r="F70" s="299"/>
      <c r="G70" s="299"/>
      <c r="H70" s="299"/>
      <c r="I70" s="299"/>
      <c r="J70" s="299"/>
      <c r="K70" s="299"/>
      <c r="L70" s="299"/>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row>
    <row r="71" spans="1:83" ht="12" customHeight="1">
      <c r="A71" s="55"/>
      <c r="B71" s="299"/>
      <c r="C71" s="535"/>
      <c r="D71" s="534"/>
      <c r="E71" s="299"/>
      <c r="F71" s="299"/>
      <c r="G71" s="299"/>
      <c r="H71" s="299"/>
      <c r="I71" s="299"/>
      <c r="J71" s="299"/>
      <c r="K71" s="299"/>
      <c r="L71" s="299"/>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row>
    <row r="72" spans="1:83" ht="12" customHeight="1">
      <c r="A72" s="55"/>
      <c r="B72" s="55"/>
      <c r="C72" s="25"/>
      <c r="D72" s="534"/>
      <c r="E72" s="299"/>
      <c r="F72" s="299"/>
      <c r="G72" s="299"/>
      <c r="H72" s="299"/>
      <c r="I72" s="299"/>
      <c r="J72" s="299"/>
      <c r="K72" s="299"/>
      <c r="L72" s="299"/>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row>
    <row r="73" spans="1:83" ht="12" customHeight="1">
      <c r="A73" s="55"/>
      <c r="B73" s="23"/>
      <c r="C73" s="299"/>
      <c r="D73" s="55"/>
      <c r="E73" s="299"/>
      <c r="F73" s="299"/>
      <c r="G73" s="299"/>
      <c r="H73" s="299"/>
      <c r="I73" s="299"/>
      <c r="J73" s="299"/>
      <c r="K73" s="299"/>
      <c r="L73" s="299"/>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row>
    <row r="74" spans="1:83" ht="12" customHeight="1">
      <c r="A74" s="55"/>
      <c r="B74" s="24"/>
      <c r="C74" s="23"/>
      <c r="D74" s="23"/>
      <c r="E74" s="299"/>
      <c r="F74" s="299"/>
      <c r="G74" s="299"/>
      <c r="H74" s="299"/>
      <c r="I74" s="299"/>
      <c r="J74" s="299"/>
      <c r="K74" s="299"/>
      <c r="L74" s="299"/>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row>
    <row r="75" spans="1:83" ht="12" customHeight="1">
      <c r="A75" s="55"/>
      <c r="B75" s="55"/>
      <c r="C75" s="55"/>
      <c r="D75" s="299"/>
      <c r="E75" s="299"/>
      <c r="F75" s="299"/>
      <c r="G75" s="299"/>
      <c r="H75" s="299"/>
      <c r="I75" s="299"/>
      <c r="J75" s="299"/>
      <c r="K75" s="299"/>
      <c r="L75" s="299"/>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row>
    <row r="76" spans="1:83" ht="12" customHeight="1">
      <c r="A76" s="55"/>
      <c r="B76" s="55"/>
      <c r="C76" s="23"/>
      <c r="D76" s="55"/>
      <c r="E76" s="299"/>
      <c r="F76" s="299"/>
      <c r="G76" s="299"/>
      <c r="H76" s="299"/>
      <c r="I76" s="299"/>
      <c r="J76" s="299"/>
      <c r="K76" s="299"/>
      <c r="L76" s="299"/>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row>
    <row r="77" spans="1:83" ht="12" customHeight="1">
      <c r="A77" s="55"/>
      <c r="B77" s="55"/>
      <c r="C77" s="55"/>
      <c r="D77" s="535"/>
      <c r="E77" s="299"/>
      <c r="F77" s="299"/>
      <c r="G77" s="299"/>
      <c r="H77" s="299"/>
      <c r="I77" s="299"/>
      <c r="J77" s="299"/>
      <c r="K77" s="299"/>
      <c r="L77" s="299"/>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row>
    <row r="78" spans="1:83" ht="12" customHeight="1">
      <c r="A78" s="55"/>
      <c r="B78" s="55"/>
      <c r="C78" s="23"/>
      <c r="D78" s="23"/>
      <c r="E78" s="299"/>
      <c r="F78" s="299"/>
      <c r="G78" s="299"/>
      <c r="H78" s="299"/>
      <c r="I78" s="299"/>
      <c r="J78" s="299"/>
      <c r="K78" s="299"/>
      <c r="L78" s="299"/>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row>
    <row r="79" spans="1:83" ht="12" customHeight="1">
      <c r="A79" s="55"/>
      <c r="B79" s="55"/>
      <c r="C79" s="55"/>
      <c r="D79" s="23"/>
      <c r="E79" s="535"/>
      <c r="F79" s="299"/>
      <c r="G79" s="299"/>
      <c r="H79" s="299"/>
      <c r="I79" s="299"/>
      <c r="J79" s="299"/>
      <c r="K79" s="299"/>
      <c r="L79" s="299"/>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row>
    <row r="80" spans="1:83" ht="12" customHeight="1">
      <c r="A80" s="55"/>
      <c r="B80" s="55"/>
      <c r="C80" s="55"/>
      <c r="D80" s="23"/>
      <c r="E80" s="535"/>
      <c r="F80" s="299"/>
      <c r="G80" s="299"/>
      <c r="H80" s="299"/>
      <c r="I80" s="299"/>
      <c r="J80" s="299"/>
      <c r="K80" s="299"/>
      <c r="L80" s="299"/>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row>
    <row r="81" spans="1:83" ht="12" customHeight="1">
      <c r="A81" s="55"/>
      <c r="B81" s="55"/>
      <c r="C81" s="23"/>
      <c r="D81" s="23"/>
      <c r="E81" s="299"/>
      <c r="F81" s="299"/>
      <c r="G81" s="299"/>
      <c r="H81" s="299"/>
      <c r="I81" s="299"/>
      <c r="J81" s="299"/>
      <c r="K81" s="299"/>
      <c r="L81" s="299"/>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c r="BZ81" s="55"/>
      <c r="CA81" s="55"/>
      <c r="CB81" s="55"/>
      <c r="CC81" s="55"/>
      <c r="CD81" s="55"/>
      <c r="CE81" s="55"/>
    </row>
    <row r="82" spans="1:83" ht="12" customHeight="1">
      <c r="A82" s="55"/>
      <c r="B82" s="55"/>
      <c r="C82" s="55"/>
      <c r="D82" s="23"/>
      <c r="E82" s="299"/>
      <c r="F82" s="299"/>
      <c r="G82" s="299"/>
      <c r="H82" s="299"/>
      <c r="I82" s="299"/>
      <c r="J82" s="299"/>
      <c r="K82" s="299"/>
      <c r="L82" s="299"/>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row>
    <row r="83" spans="1:83" ht="12" customHeight="1">
      <c r="A83" s="55"/>
      <c r="B83" s="55"/>
      <c r="C83" s="55"/>
      <c r="D83" s="23"/>
      <c r="E83" s="299"/>
      <c r="F83" s="299"/>
      <c r="G83" s="299"/>
      <c r="H83" s="299"/>
      <c r="I83" s="299"/>
      <c r="J83" s="299"/>
      <c r="K83" s="299"/>
      <c r="L83" s="299"/>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55"/>
      <c r="CD83" s="55"/>
      <c r="CE83" s="55"/>
    </row>
    <row r="84" spans="1:83" ht="12" customHeight="1">
      <c r="A84" s="55"/>
      <c r="B84" s="55"/>
      <c r="C84" s="23"/>
      <c r="D84" s="23"/>
      <c r="E84" s="299"/>
      <c r="F84" s="299"/>
      <c r="G84" s="299"/>
      <c r="H84" s="299"/>
      <c r="I84" s="299"/>
      <c r="J84" s="299"/>
      <c r="K84" s="299"/>
      <c r="L84" s="299"/>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c r="BZ84" s="55"/>
      <c r="CA84" s="55"/>
      <c r="CB84" s="55"/>
      <c r="CC84" s="55"/>
      <c r="CD84" s="55"/>
      <c r="CE84" s="55"/>
    </row>
    <row r="85" spans="1:83" ht="12" customHeight="1">
      <c r="A85" s="55"/>
      <c r="B85" s="55"/>
      <c r="C85" s="55"/>
      <c r="D85" s="23"/>
      <c r="E85" s="299"/>
      <c r="F85" s="299"/>
      <c r="G85" s="299"/>
      <c r="H85" s="299"/>
      <c r="I85" s="299"/>
      <c r="J85" s="299"/>
      <c r="K85" s="299"/>
      <c r="L85" s="299"/>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c r="BO85" s="55"/>
      <c r="BP85" s="55"/>
      <c r="BQ85" s="55"/>
      <c r="BR85" s="55"/>
      <c r="BS85" s="55"/>
      <c r="BT85" s="55"/>
      <c r="BU85" s="55"/>
      <c r="BV85" s="55"/>
      <c r="BW85" s="55"/>
      <c r="BX85" s="55"/>
      <c r="BY85" s="55"/>
      <c r="BZ85" s="55"/>
      <c r="CA85" s="55"/>
      <c r="CB85" s="55"/>
      <c r="CC85" s="55"/>
      <c r="CD85" s="55"/>
      <c r="CE85" s="55"/>
    </row>
    <row r="86" spans="1:83" ht="12" customHeight="1">
      <c r="A86" s="55"/>
      <c r="B86" s="299"/>
      <c r="C86" s="55"/>
      <c r="D86" s="535"/>
      <c r="E86" s="299"/>
      <c r="F86" s="299"/>
      <c r="G86" s="299"/>
      <c r="H86" s="299"/>
      <c r="I86" s="299"/>
      <c r="J86" s="299"/>
      <c r="K86" s="299"/>
      <c r="L86" s="299"/>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c r="BO86" s="55"/>
      <c r="BP86" s="55"/>
      <c r="BQ86" s="55"/>
      <c r="BR86" s="55"/>
      <c r="BS86" s="55"/>
      <c r="BT86" s="55"/>
      <c r="BU86" s="55"/>
      <c r="BV86" s="55"/>
      <c r="BW86" s="55"/>
      <c r="BX86" s="55"/>
      <c r="BY86" s="55"/>
      <c r="BZ86" s="55"/>
      <c r="CA86" s="55"/>
      <c r="CB86" s="55"/>
      <c r="CC86" s="55"/>
      <c r="CD86" s="55"/>
      <c r="CE86" s="55"/>
    </row>
    <row r="87" spans="1:83" ht="12" customHeight="1">
      <c r="A87" s="55"/>
      <c r="B87" s="55"/>
      <c r="C87" s="55"/>
      <c r="D87" s="535"/>
      <c r="E87" s="299"/>
      <c r="F87" s="299"/>
      <c r="G87" s="299"/>
      <c r="H87" s="299"/>
      <c r="I87" s="299"/>
      <c r="J87" s="299"/>
      <c r="K87" s="299"/>
      <c r="L87" s="299"/>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55"/>
      <c r="BN87" s="55"/>
      <c r="BO87" s="55"/>
      <c r="BP87" s="55"/>
      <c r="BQ87" s="55"/>
      <c r="BR87" s="55"/>
      <c r="BS87" s="55"/>
      <c r="BT87" s="55"/>
      <c r="BU87" s="55"/>
      <c r="BV87" s="55"/>
      <c r="BW87" s="55"/>
      <c r="BX87" s="55"/>
      <c r="BY87" s="55"/>
      <c r="BZ87" s="55"/>
      <c r="CA87" s="55"/>
      <c r="CB87" s="55"/>
      <c r="CC87" s="55"/>
      <c r="CD87" s="55"/>
      <c r="CE87" s="55"/>
    </row>
    <row r="88" spans="1:83" ht="12" customHeight="1">
      <c r="A88" s="55"/>
      <c r="B88" s="55"/>
      <c r="C88" s="55"/>
      <c r="D88" s="23"/>
      <c r="E88" s="23"/>
      <c r="F88" s="299"/>
      <c r="G88" s="299"/>
      <c r="H88" s="299"/>
      <c r="I88" s="299"/>
      <c r="J88" s="299"/>
      <c r="K88" s="299"/>
      <c r="L88" s="299"/>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c r="BZ88" s="55"/>
      <c r="CA88" s="55"/>
      <c r="CB88" s="55"/>
      <c r="CC88" s="55"/>
      <c r="CD88" s="55"/>
      <c r="CE88" s="55"/>
    </row>
    <row r="89" spans="1:83" ht="12" customHeight="1">
      <c r="A89" s="55"/>
      <c r="B89" s="55"/>
      <c r="C89" s="23"/>
      <c r="D89" s="299"/>
      <c r="E89" s="299"/>
      <c r="F89" s="299"/>
      <c r="G89" s="299"/>
      <c r="H89" s="299"/>
      <c r="I89" s="299"/>
      <c r="J89" s="299"/>
      <c r="K89" s="299"/>
      <c r="L89" s="299"/>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c r="BO89" s="55"/>
      <c r="BP89" s="55"/>
      <c r="BQ89" s="55"/>
      <c r="BR89" s="55"/>
      <c r="BS89" s="55"/>
      <c r="BT89" s="55"/>
      <c r="BU89" s="55"/>
      <c r="BV89" s="55"/>
      <c r="BW89" s="55"/>
      <c r="BX89" s="55"/>
      <c r="BY89" s="55"/>
      <c r="BZ89" s="55"/>
      <c r="CA89" s="55"/>
      <c r="CB89" s="55"/>
      <c r="CC89" s="55"/>
      <c r="CD89" s="55"/>
      <c r="CE89" s="55"/>
    </row>
    <row r="90" spans="1:83" ht="12" customHeight="1">
      <c r="A90" s="55"/>
      <c r="B90" s="55"/>
      <c r="C90" s="23"/>
      <c r="D90" s="299"/>
      <c r="E90" s="299"/>
      <c r="F90" s="299"/>
      <c r="G90" s="299"/>
      <c r="H90" s="299"/>
      <c r="I90" s="299"/>
      <c r="J90" s="299"/>
      <c r="K90" s="299"/>
      <c r="L90" s="299"/>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row>
    <row r="91" spans="1:83" ht="12" customHeight="1">
      <c r="A91" s="55"/>
      <c r="B91" s="55"/>
      <c r="C91" s="55"/>
      <c r="D91" s="535"/>
      <c r="E91" s="299"/>
      <c r="F91" s="299"/>
      <c r="G91" s="299"/>
      <c r="H91" s="299"/>
      <c r="I91" s="299"/>
      <c r="J91" s="299"/>
      <c r="K91" s="299"/>
      <c r="L91" s="299"/>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row>
    <row r="92" spans="1:83" ht="12" customHeight="1">
      <c r="A92" s="55"/>
      <c r="B92" s="55"/>
      <c r="C92" s="23"/>
      <c r="D92" s="299"/>
      <c r="E92" s="299"/>
      <c r="F92" s="299"/>
      <c r="G92" s="299"/>
      <c r="H92" s="299"/>
      <c r="I92" s="299"/>
      <c r="J92" s="299"/>
      <c r="K92" s="299"/>
      <c r="L92" s="299"/>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row>
    <row r="93" spans="1:83" ht="12" customHeight="1">
      <c r="A93" s="55"/>
      <c r="B93" s="55"/>
      <c r="C93" s="55"/>
      <c r="D93" s="299"/>
      <c r="E93" s="299"/>
      <c r="F93" s="299"/>
      <c r="G93" s="299"/>
      <c r="H93" s="299"/>
      <c r="I93" s="299"/>
      <c r="J93" s="299"/>
      <c r="K93" s="299"/>
      <c r="L93" s="299"/>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row>
    <row r="94" spans="1:83" ht="12" customHeight="1">
      <c r="A94" s="55"/>
      <c r="B94" s="23"/>
      <c r="C94" s="299"/>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row>
    <row r="95" spans="1:83" ht="12" customHeight="1">
      <c r="A95" s="55"/>
      <c r="B95" s="24"/>
      <c r="C95" s="23"/>
      <c r="D95" s="23"/>
      <c r="E95" s="23"/>
      <c r="F95" s="299"/>
      <c r="G95" s="299"/>
      <c r="H95" s="299"/>
      <c r="I95" s="299"/>
      <c r="J95" s="299"/>
      <c r="K95" s="299"/>
      <c r="L95" s="299"/>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row>
    <row r="96" spans="1:83" ht="12" customHeight="1">
      <c r="A96" s="55"/>
      <c r="B96" s="23"/>
      <c r="C96" s="299"/>
      <c r="D96" s="23"/>
      <c r="E96" s="23"/>
      <c r="F96" s="299"/>
      <c r="G96" s="299"/>
      <c r="H96" s="299"/>
      <c r="I96" s="299"/>
      <c r="J96" s="299"/>
      <c r="K96" s="299"/>
      <c r="L96" s="299"/>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row>
    <row r="97" spans="1:83" ht="12" customHeight="1">
      <c r="A97" s="55"/>
      <c r="B97" s="299"/>
      <c r="C97" s="299"/>
      <c r="D97" s="23"/>
      <c r="E97" s="23"/>
      <c r="F97" s="299"/>
      <c r="G97" s="299"/>
      <c r="H97" s="299"/>
      <c r="I97" s="299"/>
      <c r="J97" s="299"/>
      <c r="K97" s="299"/>
      <c r="L97" s="299"/>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row>
    <row r="98" spans="1:83" ht="12" customHeight="1">
      <c r="A98" s="55"/>
      <c r="B98" s="23"/>
      <c r="C98" s="299"/>
      <c r="D98" s="23"/>
      <c r="E98" s="23"/>
      <c r="F98" s="299"/>
      <c r="G98" s="299"/>
      <c r="H98" s="299"/>
      <c r="I98" s="299"/>
      <c r="J98" s="299"/>
      <c r="K98" s="299"/>
      <c r="L98" s="299"/>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row>
    <row r="99" spans="1:83" ht="12" customHeight="1">
      <c r="A99" s="55"/>
      <c r="B99" s="299"/>
      <c r="C99" s="299"/>
      <c r="D99" s="23"/>
      <c r="E99" s="23"/>
      <c r="F99" s="299"/>
      <c r="G99" s="299"/>
      <c r="H99" s="299"/>
      <c r="I99" s="299"/>
      <c r="J99" s="299"/>
      <c r="K99" s="299"/>
      <c r="L99" s="299"/>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row>
    <row r="100" spans="1:83" ht="12" customHeight="1">
      <c r="A100" s="55"/>
      <c r="B100" s="299"/>
      <c r="C100" s="535"/>
      <c r="D100" s="23"/>
      <c r="E100" s="23"/>
      <c r="F100" s="299"/>
      <c r="G100" s="299"/>
      <c r="H100" s="299"/>
      <c r="I100" s="299"/>
      <c r="J100" s="299"/>
      <c r="K100" s="299"/>
      <c r="L100" s="299"/>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row>
    <row r="101" spans="1:83" ht="12" customHeight="1">
      <c r="A101" s="55"/>
      <c r="B101" s="55"/>
      <c r="C101" s="25"/>
      <c r="D101" s="23"/>
      <c r="E101" s="299"/>
      <c r="F101" s="299"/>
      <c r="G101" s="299"/>
      <c r="H101" s="299"/>
      <c r="I101" s="299"/>
      <c r="J101" s="299"/>
      <c r="K101" s="299"/>
      <c r="L101" s="299"/>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row>
    <row r="102" spans="1:83" ht="12" customHeight="1">
      <c r="A102" s="55"/>
      <c r="B102" s="23"/>
      <c r="C102" s="23"/>
      <c r="D102" s="23"/>
      <c r="E102" s="299"/>
      <c r="F102" s="299"/>
      <c r="G102" s="299"/>
      <c r="H102" s="299"/>
      <c r="I102" s="299"/>
      <c r="J102" s="299"/>
      <c r="K102" s="299"/>
      <c r="L102" s="299"/>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E95"/>
  <sheetViews>
    <sheetView showGridLines="0" view="pageBreakPreview" zoomScale="85" zoomScaleNormal="100" zoomScaleSheetLayoutView="85" workbookViewId="0">
      <selection sqref="A1:CE1"/>
    </sheetView>
  </sheetViews>
  <sheetFormatPr defaultColWidth="1.625" defaultRowHeight="12" customHeight="1"/>
  <cols>
    <col min="1" max="1" width="1.625" style="400" customWidth="1"/>
    <col min="2" max="11" width="1.625" style="1"/>
    <col min="12" max="12" width="1.625" style="1" customWidth="1"/>
    <col min="13" max="16384" width="1.625" style="1"/>
  </cols>
  <sheetData>
    <row r="1" spans="1:83" ht="17.25" customHeight="1">
      <c r="A1" s="613" t="s">
        <v>16</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83" ht="4.5" customHeight="1"/>
    <row r="3" spans="1:83" ht="12" customHeight="1">
      <c r="A3" s="593" t="s">
        <v>8</v>
      </c>
      <c r="B3" s="593"/>
      <c r="C3" s="593"/>
      <c r="D3" s="593"/>
      <c r="E3" s="593"/>
      <c r="F3" s="593"/>
      <c r="G3" s="593"/>
      <c r="H3" s="593"/>
      <c r="I3" s="592"/>
      <c r="J3" s="592"/>
      <c r="K3" s="592"/>
      <c r="L3" s="592"/>
      <c r="M3" s="592"/>
      <c r="N3" s="592"/>
      <c r="O3" s="592"/>
      <c r="P3" s="592"/>
      <c r="Q3" s="592"/>
      <c r="R3" s="592"/>
      <c r="S3" s="592"/>
      <c r="T3" s="592"/>
      <c r="U3" s="592"/>
      <c r="V3" s="592"/>
      <c r="W3" s="592"/>
      <c r="X3" s="592"/>
      <c r="Y3" s="592"/>
      <c r="Z3" s="592"/>
      <c r="AA3" s="592"/>
      <c r="AB3" s="592"/>
      <c r="AC3" s="592"/>
      <c r="AD3" s="593" t="s">
        <v>1</v>
      </c>
      <c r="AE3" s="593"/>
      <c r="AF3" s="593"/>
      <c r="AG3" s="593"/>
      <c r="AH3" s="593"/>
      <c r="AI3" s="593"/>
      <c r="AJ3" s="593"/>
      <c r="AK3" s="593"/>
      <c r="AL3" s="593"/>
      <c r="AM3" s="594" t="s">
        <v>11</v>
      </c>
      <c r="AN3" s="615"/>
      <c r="AO3" s="615"/>
      <c r="AP3" s="615"/>
      <c r="AQ3" s="615"/>
      <c r="AR3" s="615"/>
      <c r="AS3" s="615"/>
      <c r="AT3" s="615"/>
      <c r="AU3" s="615"/>
      <c r="AV3" s="615"/>
      <c r="AW3" s="615"/>
      <c r="AX3" s="615"/>
      <c r="AY3" s="615"/>
      <c r="AZ3" s="615"/>
      <c r="BA3" s="615"/>
      <c r="BB3" s="615"/>
      <c r="BC3" s="615"/>
      <c r="BD3" s="615"/>
      <c r="BE3" s="615"/>
      <c r="BF3" s="615"/>
      <c r="BG3" s="615"/>
      <c r="BH3" s="615"/>
      <c r="BI3" s="615"/>
      <c r="BJ3" s="615"/>
      <c r="BK3" s="615"/>
      <c r="BL3" s="615"/>
      <c r="BM3" s="615"/>
      <c r="BN3" s="615"/>
      <c r="BO3" s="615"/>
      <c r="BP3" s="615"/>
      <c r="BQ3" s="596"/>
      <c r="BR3" s="600" t="s">
        <v>6</v>
      </c>
      <c r="BS3" s="600"/>
      <c r="BT3" s="601" t="s">
        <v>756</v>
      </c>
      <c r="BU3" s="593"/>
      <c r="BV3" s="593"/>
      <c r="BW3" s="593"/>
      <c r="BX3" s="593"/>
      <c r="BY3" s="600" t="s">
        <v>7</v>
      </c>
      <c r="BZ3" s="600"/>
      <c r="CA3" s="601" t="s">
        <v>757</v>
      </c>
      <c r="CB3" s="593"/>
      <c r="CC3" s="593"/>
      <c r="CD3" s="593"/>
      <c r="CE3" s="593"/>
    </row>
    <row r="4" spans="1:83" ht="12" customHeight="1">
      <c r="A4" s="593" t="s">
        <v>9</v>
      </c>
      <c r="B4" s="593"/>
      <c r="C4" s="593"/>
      <c r="D4" s="593"/>
      <c r="E4" s="593"/>
      <c r="F4" s="593"/>
      <c r="G4" s="593"/>
      <c r="H4" s="593"/>
      <c r="I4" s="591" t="s">
        <v>10</v>
      </c>
      <c r="J4" s="592"/>
      <c r="K4" s="592"/>
      <c r="L4" s="592"/>
      <c r="M4" s="592"/>
      <c r="N4" s="592"/>
      <c r="O4" s="592"/>
      <c r="P4" s="592"/>
      <c r="Q4" s="592"/>
      <c r="R4" s="592"/>
      <c r="S4" s="592"/>
      <c r="T4" s="592"/>
      <c r="U4" s="592"/>
      <c r="V4" s="592"/>
      <c r="W4" s="592"/>
      <c r="X4" s="592"/>
      <c r="Y4" s="592"/>
      <c r="Z4" s="592"/>
      <c r="AA4" s="592"/>
      <c r="AB4" s="592"/>
      <c r="AC4" s="592"/>
      <c r="AD4" s="593" t="s">
        <v>0</v>
      </c>
      <c r="AE4" s="593"/>
      <c r="AF4" s="593"/>
      <c r="AG4" s="593"/>
      <c r="AH4" s="593"/>
      <c r="AI4" s="593"/>
      <c r="AJ4" s="593"/>
      <c r="AK4" s="593"/>
      <c r="AL4" s="593"/>
      <c r="AM4" s="594" t="s">
        <v>17</v>
      </c>
      <c r="AN4" s="615"/>
      <c r="AO4" s="615"/>
      <c r="AP4" s="615"/>
      <c r="AQ4" s="615"/>
      <c r="AR4" s="615"/>
      <c r="AS4" s="615"/>
      <c r="AT4" s="615"/>
      <c r="AU4" s="615"/>
      <c r="AV4" s="615"/>
      <c r="AW4" s="615"/>
      <c r="AX4" s="615"/>
      <c r="AY4" s="615"/>
      <c r="AZ4" s="615"/>
      <c r="BA4" s="615"/>
      <c r="BB4" s="615"/>
      <c r="BC4" s="615"/>
      <c r="BD4" s="615"/>
      <c r="BE4" s="615"/>
      <c r="BF4" s="615"/>
      <c r="BG4" s="615"/>
      <c r="BH4" s="615"/>
      <c r="BI4" s="615"/>
      <c r="BJ4" s="615"/>
      <c r="BK4" s="615"/>
      <c r="BL4" s="615"/>
      <c r="BM4" s="615"/>
      <c r="BN4" s="615"/>
      <c r="BO4" s="615"/>
      <c r="BP4" s="615"/>
      <c r="BQ4" s="596"/>
      <c r="BR4" s="600"/>
      <c r="BS4" s="600"/>
      <c r="BT4" s="593"/>
      <c r="BU4" s="593"/>
      <c r="BV4" s="593"/>
      <c r="BW4" s="593"/>
      <c r="BX4" s="593"/>
      <c r="BY4" s="600"/>
      <c r="BZ4" s="600"/>
      <c r="CA4" s="593"/>
      <c r="CB4" s="593"/>
      <c r="CC4" s="593"/>
      <c r="CD4" s="593"/>
      <c r="CE4" s="593"/>
    </row>
    <row r="5" spans="1:83" ht="12" customHeight="1">
      <c r="A5" s="593"/>
      <c r="B5" s="593"/>
      <c r="C5" s="593"/>
      <c r="D5" s="593"/>
      <c r="E5" s="593"/>
      <c r="F5" s="593"/>
      <c r="G5" s="593"/>
      <c r="H5" s="593"/>
      <c r="I5" s="592"/>
      <c r="J5" s="592"/>
      <c r="K5" s="592"/>
      <c r="L5" s="592"/>
      <c r="M5" s="592"/>
      <c r="N5" s="592"/>
      <c r="O5" s="592"/>
      <c r="P5" s="592"/>
      <c r="Q5" s="592"/>
      <c r="R5" s="592"/>
      <c r="S5" s="592"/>
      <c r="T5" s="592"/>
      <c r="U5" s="592"/>
      <c r="V5" s="592"/>
      <c r="W5" s="592"/>
      <c r="X5" s="592"/>
      <c r="Y5" s="592"/>
      <c r="Z5" s="592"/>
      <c r="AA5" s="592"/>
      <c r="AB5" s="592"/>
      <c r="AC5" s="592"/>
      <c r="AD5" s="593" t="s">
        <v>2</v>
      </c>
      <c r="AE5" s="593"/>
      <c r="AF5" s="593"/>
      <c r="AG5" s="593"/>
      <c r="AH5" s="604">
        <v>43503</v>
      </c>
      <c r="AI5" s="604"/>
      <c r="AJ5" s="604"/>
      <c r="AK5" s="604"/>
      <c r="AL5" s="604"/>
      <c r="AM5" s="604"/>
      <c r="AN5" s="604"/>
      <c r="AO5" s="593" t="s">
        <v>3</v>
      </c>
      <c r="AP5" s="593"/>
      <c r="AQ5" s="593"/>
      <c r="AR5" s="593"/>
      <c r="AS5" s="597"/>
      <c r="AT5" s="597"/>
      <c r="AU5" s="597"/>
      <c r="AV5" s="597"/>
      <c r="AW5" s="597"/>
      <c r="AX5" s="597"/>
      <c r="AY5" s="597"/>
      <c r="AZ5" s="593" t="s">
        <v>4</v>
      </c>
      <c r="BA5" s="593"/>
      <c r="BB5" s="593"/>
      <c r="BC5" s="593"/>
      <c r="BD5" s="597"/>
      <c r="BE5" s="597"/>
      <c r="BF5" s="597"/>
      <c r="BG5" s="597"/>
      <c r="BH5" s="597"/>
      <c r="BI5" s="597"/>
      <c r="BJ5" s="597"/>
      <c r="BK5" s="593" t="s">
        <v>5</v>
      </c>
      <c r="BL5" s="593"/>
      <c r="BM5" s="593"/>
      <c r="BN5" s="602"/>
      <c r="BO5" s="602"/>
      <c r="BP5" s="602"/>
      <c r="BQ5" s="602"/>
      <c r="BR5" s="600"/>
      <c r="BS5" s="600"/>
      <c r="BT5" s="593"/>
      <c r="BU5" s="593"/>
      <c r="BV5" s="593"/>
      <c r="BW5" s="593"/>
      <c r="BX5" s="593"/>
      <c r="BY5" s="600"/>
      <c r="BZ5" s="600"/>
      <c r="CA5" s="593"/>
      <c r="CB5" s="593"/>
      <c r="CC5" s="593"/>
      <c r="CD5" s="593"/>
      <c r="CE5" s="593"/>
    </row>
    <row r="6" spans="1:83" ht="5.0999999999999996" customHeight="1"/>
    <row r="8" spans="1:83" ht="12" customHeight="1">
      <c r="A8" s="405"/>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row>
    <row r="9" spans="1:83" ht="12" customHeight="1">
      <c r="A9" s="55"/>
      <c r="B9" s="3" t="s">
        <v>18</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5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55"/>
      <c r="B11" s="3"/>
      <c r="C11" s="3" t="s">
        <v>35</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 customHeight="1">
      <c r="A12" s="5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75" customHeight="1">
      <c r="A13" s="55"/>
      <c r="B13" s="3"/>
      <c r="D13" s="3" t="s">
        <v>13</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5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5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55"/>
      <c r="B16" s="3"/>
      <c r="C16" s="3" t="s">
        <v>36</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5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55"/>
      <c r="B18" s="3"/>
      <c r="C18" s="3"/>
      <c r="D18" s="3" t="s">
        <v>12</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55"/>
      <c r="B19" s="3"/>
      <c r="C19" s="3"/>
      <c r="D19" s="391" t="s">
        <v>892</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5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5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55"/>
      <c r="B22" s="3"/>
      <c r="C22" s="3" t="s">
        <v>37</v>
      </c>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5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2"/>
      <c r="BS23" s="2"/>
      <c r="BT23" s="2"/>
      <c r="BU23" s="2"/>
      <c r="BV23" s="2"/>
      <c r="BW23" s="2"/>
      <c r="BX23" s="2"/>
      <c r="BY23" s="2"/>
      <c r="BZ23" s="2"/>
      <c r="CA23" s="2"/>
      <c r="CB23" s="2"/>
      <c r="CC23" s="2"/>
      <c r="CD23" s="2"/>
      <c r="CE23" s="2"/>
    </row>
    <row r="24" spans="1:83" ht="12" customHeight="1">
      <c r="A24" s="55"/>
      <c r="B24" s="3"/>
      <c r="C24" s="3"/>
      <c r="D24" s="3" t="s">
        <v>14</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2"/>
      <c r="BS24" s="2"/>
      <c r="BT24" s="2"/>
      <c r="BU24" s="2"/>
      <c r="BV24" s="2"/>
      <c r="BW24" s="2"/>
      <c r="BX24" s="2"/>
      <c r="BY24" s="2"/>
      <c r="BZ24" s="2"/>
      <c r="CA24" s="2"/>
      <c r="CB24" s="2"/>
      <c r="CC24" s="2"/>
      <c r="CD24" s="2"/>
      <c r="CE24" s="2"/>
    </row>
    <row r="25" spans="1:83" ht="12" customHeight="1">
      <c r="A25" s="55"/>
      <c r="B25" s="3"/>
      <c r="C25" s="3"/>
      <c r="D25" s="3" t="s">
        <v>15</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2"/>
      <c r="BS25" s="2"/>
      <c r="BT25" s="2"/>
      <c r="BU25" s="2"/>
      <c r="BV25" s="2"/>
      <c r="BW25" s="2"/>
      <c r="BX25" s="2"/>
      <c r="BY25" s="2"/>
      <c r="BZ25" s="2"/>
      <c r="CA25" s="2"/>
      <c r="CB25" s="2"/>
      <c r="CC25" s="2"/>
      <c r="CD25" s="2"/>
      <c r="CE25" s="2"/>
    </row>
    <row r="26" spans="1:83" ht="12" customHeight="1">
      <c r="A26" s="55"/>
      <c r="B26" s="391"/>
      <c r="C26" s="391"/>
      <c r="E26" s="391"/>
      <c r="F26" s="391"/>
      <c r="G26" s="391"/>
      <c r="H26" s="391"/>
      <c r="I26" s="391"/>
      <c r="J26" s="391"/>
      <c r="K26" s="391"/>
      <c r="L26" s="391"/>
      <c r="M26" s="391"/>
      <c r="N26" s="391"/>
      <c r="O26" s="391"/>
      <c r="P26" s="391"/>
      <c r="Q26" s="391"/>
      <c r="R26" s="391"/>
      <c r="S26" s="391"/>
      <c r="T26" s="391"/>
      <c r="U26" s="391"/>
      <c r="V26" s="391"/>
      <c r="W26" s="391"/>
      <c r="X26" s="391"/>
      <c r="Y26" s="391"/>
      <c r="Z26" s="391"/>
      <c r="AA26" s="391"/>
      <c r="AB26" s="391"/>
      <c r="AC26" s="391"/>
      <c r="AD26" s="391"/>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1"/>
      <c r="BI26" s="391"/>
      <c r="BJ26" s="391"/>
      <c r="BK26" s="391"/>
      <c r="BL26" s="391"/>
      <c r="BM26" s="391"/>
      <c r="BN26" s="391"/>
      <c r="BO26" s="391"/>
      <c r="BP26" s="391"/>
      <c r="BQ26" s="391"/>
      <c r="BR26" s="2"/>
      <c r="BS26" s="2"/>
      <c r="BT26" s="2"/>
      <c r="BU26" s="2"/>
      <c r="BV26" s="2"/>
      <c r="BW26" s="2"/>
      <c r="BX26" s="2"/>
      <c r="BY26" s="2"/>
      <c r="BZ26" s="2"/>
      <c r="CA26" s="2"/>
      <c r="CB26" s="2"/>
      <c r="CC26" s="2"/>
      <c r="CD26" s="2"/>
      <c r="CE26" s="2"/>
    </row>
    <row r="27" spans="1:83" ht="12" customHeight="1">
      <c r="A27" s="405"/>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row>
    <row r="29" spans="1:83" ht="12" customHeight="1">
      <c r="AJ29" s="4"/>
    </row>
    <row r="68" spans="1:83" ht="12" customHeight="1">
      <c r="A68" s="405"/>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row>
    <row r="70" spans="1:83" ht="12" customHeight="1">
      <c r="AJ70" s="4"/>
    </row>
    <row r="95" spans="5:5" ht="12" customHeight="1">
      <c r="E95" s="5"/>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20" max="8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DK212"/>
  <sheetViews>
    <sheetView showGridLines="0" view="pageBreakPreview" topLeftCell="A157" zoomScale="85" zoomScaleNormal="85" zoomScaleSheetLayoutView="85" workbookViewId="0">
      <selection activeCell="A165" sqref="A165"/>
    </sheetView>
  </sheetViews>
  <sheetFormatPr defaultColWidth="1.625" defaultRowHeight="12" customHeight="1"/>
  <cols>
    <col min="1" max="1" width="1.625" style="1" customWidth="1"/>
    <col min="2" max="48" width="1.625" style="1"/>
    <col min="49" max="49" width="1.5" style="1" customWidth="1"/>
    <col min="50" max="16384" width="1.625" style="1"/>
  </cols>
  <sheetData>
    <row r="1" spans="1:115" ht="17.25" customHeight="1">
      <c r="A1" s="613" t="s">
        <v>62</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115" ht="4.5" customHeight="1"/>
    <row r="3" spans="1:115" ht="12" customHeight="1">
      <c r="A3" s="593" t="s">
        <v>8</v>
      </c>
      <c r="B3" s="593"/>
      <c r="C3" s="593"/>
      <c r="D3" s="593"/>
      <c r="E3" s="593"/>
      <c r="F3" s="593"/>
      <c r="G3" s="593"/>
      <c r="H3" s="593"/>
      <c r="I3" s="592"/>
      <c r="J3" s="592"/>
      <c r="K3" s="592"/>
      <c r="L3" s="592"/>
      <c r="M3" s="592"/>
      <c r="N3" s="592"/>
      <c r="O3" s="592"/>
      <c r="P3" s="592"/>
      <c r="Q3" s="592"/>
      <c r="R3" s="592"/>
      <c r="S3" s="592"/>
      <c r="T3" s="592"/>
      <c r="U3" s="592"/>
      <c r="V3" s="592"/>
      <c r="W3" s="592"/>
      <c r="X3" s="592"/>
      <c r="Y3" s="592"/>
      <c r="Z3" s="592"/>
      <c r="AA3" s="592"/>
      <c r="AB3" s="592"/>
      <c r="AC3" s="592"/>
      <c r="AD3" s="593" t="s">
        <v>1</v>
      </c>
      <c r="AE3" s="593"/>
      <c r="AF3" s="593"/>
      <c r="AG3" s="593"/>
      <c r="AH3" s="593"/>
      <c r="AI3" s="593"/>
      <c r="AJ3" s="593"/>
      <c r="AK3" s="593"/>
      <c r="AL3" s="593"/>
      <c r="AM3" s="594" t="s">
        <v>11</v>
      </c>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6"/>
      <c r="BR3" s="600" t="s">
        <v>6</v>
      </c>
      <c r="BS3" s="600"/>
      <c r="BT3" s="601" t="s">
        <v>756</v>
      </c>
      <c r="BU3" s="593"/>
      <c r="BV3" s="593"/>
      <c r="BW3" s="593"/>
      <c r="BX3" s="593"/>
      <c r="BY3" s="600" t="s">
        <v>7</v>
      </c>
      <c r="BZ3" s="600"/>
      <c r="CA3" s="601" t="s">
        <v>757</v>
      </c>
      <c r="CB3" s="593"/>
      <c r="CC3" s="593"/>
      <c r="CD3" s="593"/>
      <c r="CE3" s="593"/>
    </row>
    <row r="4" spans="1:115" ht="12" customHeight="1">
      <c r="A4" s="593" t="s">
        <v>9</v>
      </c>
      <c r="B4" s="593"/>
      <c r="C4" s="593"/>
      <c r="D4" s="593"/>
      <c r="E4" s="593"/>
      <c r="F4" s="593"/>
      <c r="G4" s="593"/>
      <c r="H4" s="593"/>
      <c r="I4" s="591" t="s">
        <v>10</v>
      </c>
      <c r="J4" s="592"/>
      <c r="K4" s="592"/>
      <c r="L4" s="592"/>
      <c r="M4" s="592"/>
      <c r="N4" s="592"/>
      <c r="O4" s="592"/>
      <c r="P4" s="592"/>
      <c r="Q4" s="592"/>
      <c r="R4" s="592"/>
      <c r="S4" s="592"/>
      <c r="T4" s="592"/>
      <c r="U4" s="592"/>
      <c r="V4" s="592"/>
      <c r="W4" s="592"/>
      <c r="X4" s="592"/>
      <c r="Y4" s="592"/>
      <c r="Z4" s="592"/>
      <c r="AA4" s="592"/>
      <c r="AB4" s="592"/>
      <c r="AC4" s="592"/>
      <c r="AD4" s="593" t="s">
        <v>0</v>
      </c>
      <c r="AE4" s="593"/>
      <c r="AF4" s="593"/>
      <c r="AG4" s="593"/>
      <c r="AH4" s="593"/>
      <c r="AI4" s="593"/>
      <c r="AJ4" s="593"/>
      <c r="AK4" s="593"/>
      <c r="AL4" s="593"/>
      <c r="AM4" s="594" t="s">
        <v>17</v>
      </c>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6"/>
      <c r="BR4" s="600"/>
      <c r="BS4" s="600"/>
      <c r="BT4" s="593"/>
      <c r="BU4" s="593"/>
      <c r="BV4" s="593"/>
      <c r="BW4" s="593"/>
      <c r="BX4" s="593"/>
      <c r="BY4" s="600"/>
      <c r="BZ4" s="600"/>
      <c r="CA4" s="593"/>
      <c r="CB4" s="593"/>
      <c r="CC4" s="593"/>
      <c r="CD4" s="593"/>
      <c r="CE4" s="593"/>
    </row>
    <row r="5" spans="1:115" ht="12" customHeight="1">
      <c r="A5" s="593"/>
      <c r="B5" s="593"/>
      <c r="C5" s="593"/>
      <c r="D5" s="593"/>
      <c r="E5" s="593"/>
      <c r="F5" s="593"/>
      <c r="G5" s="593"/>
      <c r="H5" s="593"/>
      <c r="I5" s="592"/>
      <c r="J5" s="592"/>
      <c r="K5" s="592"/>
      <c r="L5" s="592"/>
      <c r="M5" s="592"/>
      <c r="N5" s="592"/>
      <c r="O5" s="592"/>
      <c r="P5" s="592"/>
      <c r="Q5" s="592"/>
      <c r="R5" s="592"/>
      <c r="S5" s="592"/>
      <c r="T5" s="592"/>
      <c r="U5" s="592"/>
      <c r="V5" s="592"/>
      <c r="W5" s="592"/>
      <c r="X5" s="592"/>
      <c r="Y5" s="592"/>
      <c r="Z5" s="592"/>
      <c r="AA5" s="592"/>
      <c r="AB5" s="592"/>
      <c r="AC5" s="592"/>
      <c r="AD5" s="593" t="s">
        <v>2</v>
      </c>
      <c r="AE5" s="593"/>
      <c r="AF5" s="593"/>
      <c r="AG5" s="593"/>
      <c r="AH5" s="604">
        <v>43503</v>
      </c>
      <c r="AI5" s="604"/>
      <c r="AJ5" s="604"/>
      <c r="AK5" s="604"/>
      <c r="AL5" s="604"/>
      <c r="AM5" s="604"/>
      <c r="AN5" s="604"/>
      <c r="AO5" s="593" t="s">
        <v>3</v>
      </c>
      <c r="AP5" s="593"/>
      <c r="AQ5" s="593"/>
      <c r="AR5" s="593"/>
      <c r="AS5" s="597"/>
      <c r="AT5" s="597"/>
      <c r="AU5" s="597"/>
      <c r="AV5" s="597"/>
      <c r="AW5" s="597"/>
      <c r="AX5" s="597"/>
      <c r="AY5" s="597"/>
      <c r="AZ5" s="593" t="s">
        <v>4</v>
      </c>
      <c r="BA5" s="593"/>
      <c r="BB5" s="593"/>
      <c r="BC5" s="593"/>
      <c r="BD5" s="597"/>
      <c r="BE5" s="597"/>
      <c r="BF5" s="597"/>
      <c r="BG5" s="597"/>
      <c r="BH5" s="597"/>
      <c r="BI5" s="597"/>
      <c r="BJ5" s="597"/>
      <c r="BK5" s="593" t="s">
        <v>5</v>
      </c>
      <c r="BL5" s="593"/>
      <c r="BM5" s="593"/>
      <c r="BN5" s="602"/>
      <c r="BO5" s="602"/>
      <c r="BP5" s="602"/>
      <c r="BQ5" s="602"/>
      <c r="BR5" s="600"/>
      <c r="BS5" s="600"/>
      <c r="BT5" s="593"/>
      <c r="BU5" s="593"/>
      <c r="BV5" s="593"/>
      <c r="BW5" s="593"/>
      <c r="BX5" s="593"/>
      <c r="BY5" s="600"/>
      <c r="BZ5" s="600"/>
      <c r="CA5" s="593"/>
      <c r="CB5" s="593"/>
      <c r="CC5" s="593"/>
      <c r="CD5" s="593"/>
      <c r="CE5" s="593"/>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3"/>
      <c r="B9" s="3" t="s">
        <v>61</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3"/>
      <c r="B11" s="3"/>
      <c r="C11" s="3" t="s">
        <v>60</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W12" s="2"/>
      <c r="CX12" s="2"/>
      <c r="CY12" s="2"/>
      <c r="CZ12" s="2"/>
      <c r="DA12" s="2"/>
      <c r="DB12" s="2"/>
      <c r="DC12" s="2"/>
      <c r="DD12" s="2"/>
      <c r="DE12" s="2"/>
      <c r="DF12" s="2"/>
    </row>
    <row r="13" spans="1:115" ht="12" customHeight="1">
      <c r="A13" s="55"/>
      <c r="B13" s="55"/>
      <c r="C13" s="55"/>
      <c r="D13" s="298"/>
      <c r="E13" s="55" t="s">
        <v>893</v>
      </c>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Y13" s="2"/>
      <c r="CZ13" s="2"/>
      <c r="DA13" s="2"/>
      <c r="DB13" s="2"/>
      <c r="DC13" s="2"/>
      <c r="DD13" s="2"/>
      <c r="DE13" s="2"/>
      <c r="DF13" s="2"/>
      <c r="DG13" s="2"/>
      <c r="DH13" s="2"/>
      <c r="DI13" s="2"/>
      <c r="DJ13" s="2"/>
      <c r="DK13" s="2"/>
    </row>
    <row r="14" spans="1:115" ht="12" customHeight="1">
      <c r="A14" s="55"/>
      <c r="B14" s="55"/>
      <c r="C14" s="55"/>
      <c r="D14" s="55"/>
      <c r="E14" s="55" t="s">
        <v>894</v>
      </c>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Y14" s="2"/>
      <c r="CZ14" s="2"/>
      <c r="DA14" s="2"/>
      <c r="DB14" s="2"/>
      <c r="DC14" s="2"/>
      <c r="DD14" s="2"/>
      <c r="DE14" s="2"/>
      <c r="DF14" s="2"/>
      <c r="DG14" s="2"/>
      <c r="DH14" s="2"/>
      <c r="DI14" s="2"/>
      <c r="DJ14" s="2"/>
      <c r="DK14" s="2"/>
    </row>
    <row r="15" spans="1:115" ht="12" customHeight="1">
      <c r="A15" s="55"/>
      <c r="B15" s="55"/>
      <c r="C15" s="55"/>
      <c r="D15" s="298"/>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Y15" s="2"/>
      <c r="CZ15" s="2"/>
      <c r="DA15" s="2"/>
      <c r="DB15" s="2"/>
      <c r="DC15" s="2"/>
      <c r="DD15" s="2"/>
      <c r="DE15" s="2"/>
      <c r="DF15" s="2"/>
      <c r="DG15" s="2"/>
      <c r="DH15" s="2"/>
      <c r="DI15" s="2"/>
      <c r="DJ15" s="2"/>
      <c r="DK15" s="2"/>
    </row>
    <row r="16" spans="1:115" ht="12" customHeight="1">
      <c r="A16" s="55"/>
      <c r="B16" s="55"/>
      <c r="C16" s="55"/>
      <c r="D16" s="298"/>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Y16" s="2"/>
      <c r="CZ16" s="2"/>
      <c r="DA16" s="2"/>
      <c r="DB16" s="2"/>
      <c r="DC16" s="2"/>
      <c r="DD16" s="2"/>
      <c r="DE16" s="2"/>
      <c r="DF16" s="2"/>
      <c r="DG16" s="2"/>
      <c r="DH16" s="2"/>
      <c r="DI16" s="2"/>
      <c r="DJ16" s="2"/>
      <c r="DK16" s="2"/>
    </row>
    <row r="17" spans="1:115" ht="12" customHeight="1">
      <c r="A17" s="55"/>
      <c r="B17" s="55"/>
      <c r="C17" s="55" t="s">
        <v>895</v>
      </c>
      <c r="D17" s="298"/>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Y17" s="2"/>
      <c r="CZ17" s="2"/>
      <c r="DA17" s="2"/>
      <c r="DB17" s="2"/>
      <c r="DC17" s="2"/>
      <c r="DD17" s="2"/>
      <c r="DE17" s="2"/>
      <c r="DF17" s="2"/>
      <c r="DG17" s="2"/>
      <c r="DH17" s="2"/>
      <c r="DI17" s="2"/>
      <c r="DJ17" s="2"/>
      <c r="DK17" s="2"/>
    </row>
    <row r="18" spans="1:115" ht="12" customHeight="1">
      <c r="A18" s="55"/>
      <c r="B18" s="55"/>
      <c r="C18" s="55"/>
      <c r="D18" s="298"/>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Y18" s="2"/>
      <c r="CZ18" s="2"/>
      <c r="DA18" s="2"/>
      <c r="DB18" s="2"/>
      <c r="DC18" s="2"/>
      <c r="DD18" s="2"/>
      <c r="DE18" s="2"/>
      <c r="DF18" s="2"/>
      <c r="DG18" s="2"/>
      <c r="DH18" s="2"/>
      <c r="DI18" s="2"/>
      <c r="DJ18" s="2"/>
      <c r="DK18" s="2"/>
    </row>
    <row r="19" spans="1:115" ht="12" customHeight="1">
      <c r="A19" s="55"/>
      <c r="B19" s="55"/>
      <c r="C19" s="55"/>
      <c r="D19" s="55" t="s">
        <v>896</v>
      </c>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Y19" s="2"/>
      <c r="CZ19" s="2"/>
      <c r="DA19" s="2"/>
      <c r="DB19" s="2"/>
      <c r="DC19" s="2"/>
      <c r="DD19" s="2"/>
      <c r="DE19" s="2"/>
      <c r="DF19" s="2"/>
      <c r="DG19" s="2"/>
      <c r="DH19" s="2"/>
      <c r="DI19" s="2"/>
      <c r="DJ19" s="2"/>
      <c r="DK19" s="2"/>
    </row>
    <row r="20" spans="1:115" ht="12"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Y20" s="2"/>
      <c r="CZ20" s="2"/>
      <c r="DA20" s="2"/>
      <c r="DB20" s="2"/>
      <c r="DC20" s="2"/>
      <c r="DD20" s="2"/>
      <c r="DE20" s="2"/>
      <c r="DF20" s="2"/>
      <c r="DG20" s="2"/>
      <c r="DH20" s="2"/>
      <c r="DI20" s="2"/>
      <c r="DJ20" s="2"/>
      <c r="DK20" s="2"/>
    </row>
    <row r="21" spans="1:115" ht="12" customHeight="1">
      <c r="A21" s="55"/>
      <c r="B21" s="55"/>
      <c r="C21" s="55"/>
      <c r="D21" s="55"/>
      <c r="E21" s="55" t="s">
        <v>897</v>
      </c>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Y21" s="2"/>
      <c r="CZ21" s="2"/>
      <c r="DA21" s="2"/>
      <c r="DB21" s="2"/>
      <c r="DC21" s="2"/>
      <c r="DD21" s="2"/>
      <c r="DE21" s="2"/>
      <c r="DF21" s="2"/>
      <c r="DG21" s="2"/>
      <c r="DH21" s="2"/>
      <c r="DI21" s="2"/>
      <c r="DJ21" s="2"/>
      <c r="DK21" s="2"/>
    </row>
    <row r="22" spans="1:115" ht="12" customHeight="1">
      <c r="A22" s="55"/>
      <c r="B22" s="55"/>
      <c r="C22" s="55"/>
      <c r="D22" s="55"/>
      <c r="E22" s="55" t="s">
        <v>898</v>
      </c>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Y22" s="2"/>
      <c r="CZ22" s="2"/>
      <c r="DA22" s="2"/>
      <c r="DB22" s="2"/>
      <c r="DC22" s="2"/>
      <c r="DD22" s="2"/>
      <c r="DE22" s="2"/>
      <c r="DF22" s="2"/>
      <c r="DG22" s="2"/>
      <c r="DH22" s="2"/>
      <c r="DI22" s="2"/>
      <c r="DJ22" s="2"/>
      <c r="DK22" s="2"/>
    </row>
    <row r="23" spans="1:115" ht="12" customHeight="1">
      <c r="A23" s="55"/>
      <c r="B23" s="55"/>
      <c r="C23" s="55"/>
      <c r="D23" s="55"/>
      <c r="E23" s="55" t="s">
        <v>899</v>
      </c>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Y23" s="2"/>
      <c r="CZ23" s="2"/>
      <c r="DA23" s="2"/>
      <c r="DB23" s="2"/>
      <c r="DC23" s="2"/>
      <c r="DD23" s="2"/>
      <c r="DE23" s="2"/>
      <c r="DF23" s="2"/>
      <c r="DG23" s="2"/>
      <c r="DH23" s="2"/>
      <c r="DI23" s="2"/>
      <c r="DJ23" s="2"/>
      <c r="DK23" s="2"/>
    </row>
    <row r="24" spans="1:115" ht="12" customHeight="1">
      <c r="A24" s="55"/>
      <c r="B24" s="55"/>
      <c r="C24" s="55"/>
      <c r="D24" s="298"/>
      <c r="E24" s="298" t="s">
        <v>900</v>
      </c>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row>
    <row r="25" spans="1:115" ht="12" customHeight="1">
      <c r="A25" s="55"/>
      <c r="B25" s="55"/>
      <c r="C25" s="55"/>
      <c r="D25" s="298"/>
      <c r="E25" s="298"/>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row>
    <row r="26" spans="1:115" ht="12" customHeight="1">
      <c r="A26" s="55"/>
      <c r="B26" s="55"/>
      <c r="C26" s="55"/>
      <c r="D26" s="55"/>
      <c r="E26" s="298"/>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row>
    <row r="27" spans="1:115" ht="12" customHeight="1">
      <c r="A27" s="55"/>
      <c r="B27" s="55"/>
      <c r="C27" s="55"/>
      <c r="D27" s="55" t="s">
        <v>901</v>
      </c>
      <c r="E27" s="298"/>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row>
    <row r="28" spans="1:115" ht="12" customHeight="1">
      <c r="A28" s="55"/>
      <c r="B28" s="55"/>
      <c r="C28" s="55"/>
      <c r="D28" s="55"/>
      <c r="E28" s="298"/>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row>
    <row r="29" spans="1:115" ht="12" customHeight="1">
      <c r="A29" s="55"/>
      <c r="B29" s="55"/>
      <c r="C29" s="55"/>
      <c r="D29" s="55"/>
      <c r="E29" s="298" t="s">
        <v>902</v>
      </c>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row>
    <row r="30" spans="1:115" ht="12" customHeight="1">
      <c r="A30" s="55"/>
      <c r="B30" s="55"/>
      <c r="C30" s="55"/>
      <c r="D30" s="55"/>
      <c r="E30" s="298" t="s">
        <v>903</v>
      </c>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row>
    <row r="31" spans="1:115" ht="12" customHeight="1">
      <c r="A31" s="55"/>
      <c r="B31" s="55"/>
      <c r="C31" s="55"/>
      <c r="D31" s="55"/>
      <c r="E31" s="298" t="s">
        <v>904</v>
      </c>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row>
    <row r="32" spans="1:115" ht="12" customHeight="1">
      <c r="A32" s="55"/>
      <c r="B32" s="55"/>
      <c r="C32" s="55"/>
      <c r="D32" s="55"/>
      <c r="E32" s="298"/>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row>
    <row r="33" spans="1:83" ht="12" customHeight="1">
      <c r="A33" s="55"/>
      <c r="B33" s="55"/>
      <c r="C33" s="55"/>
      <c r="D33" s="298"/>
      <c r="E33" s="298"/>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row>
    <row r="34" spans="1:83" ht="12" customHeight="1">
      <c r="A34" s="55"/>
      <c r="B34" s="55"/>
      <c r="C34" s="55"/>
      <c r="D34" s="55" t="s">
        <v>905</v>
      </c>
      <c r="E34" s="298"/>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row>
    <row r="35" spans="1:83" ht="12" customHeight="1">
      <c r="A35" s="55"/>
      <c r="B35" s="55"/>
      <c r="C35" s="55"/>
      <c r="D35" s="55"/>
      <c r="E35" s="298"/>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row>
    <row r="36" spans="1:83" ht="12" customHeight="1">
      <c r="A36" s="55"/>
      <c r="B36" s="55"/>
      <c r="C36" s="55"/>
      <c r="D36" s="55"/>
      <c r="E36" s="298" t="s">
        <v>906</v>
      </c>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row>
    <row r="37" spans="1:83" ht="12" customHeight="1">
      <c r="A37" s="55"/>
      <c r="B37" s="55"/>
      <c r="C37" s="55"/>
      <c r="D37" s="55"/>
      <c r="E37" s="298" t="s">
        <v>907</v>
      </c>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row>
    <row r="38" spans="1:83" ht="12" customHeight="1">
      <c r="A38" s="55"/>
      <c r="B38" s="55"/>
      <c r="C38" s="55"/>
      <c r="D38" s="55"/>
      <c r="E38" s="298" t="s">
        <v>908</v>
      </c>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row>
    <row r="39" spans="1:83" ht="12" customHeight="1">
      <c r="A39" s="55"/>
      <c r="B39" s="55"/>
      <c r="C39" s="55"/>
      <c r="D39" s="55"/>
      <c r="E39" s="298" t="s">
        <v>909</v>
      </c>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row>
    <row r="40" spans="1:83" ht="12" customHeight="1">
      <c r="A40" s="55"/>
      <c r="B40" s="55"/>
      <c r="C40" s="55"/>
      <c r="D40" s="55"/>
      <c r="E40" s="298" t="s">
        <v>910</v>
      </c>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row>
    <row r="41" spans="1:83" ht="12" customHeight="1">
      <c r="A41" s="55"/>
      <c r="B41" s="55"/>
      <c r="C41" s="55"/>
      <c r="D41" s="55"/>
      <c r="E41" s="55" t="s">
        <v>59</v>
      </c>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row>
    <row r="42" spans="1:83" ht="12"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row>
    <row r="43" spans="1:83" ht="12"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row>
    <row r="44" spans="1:83" ht="12" customHeight="1">
      <c r="A44" s="55"/>
      <c r="B44" s="55"/>
      <c r="C44" s="55" t="s">
        <v>1086</v>
      </c>
      <c r="D44" s="298"/>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row>
    <row r="45" spans="1:83" ht="12"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row>
    <row r="46" spans="1:83" ht="12" customHeight="1">
      <c r="A46" s="3"/>
      <c r="B46" s="3"/>
      <c r="C46" s="3"/>
      <c r="D46" s="3" t="s">
        <v>58</v>
      </c>
      <c r="E46" s="5"/>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3"/>
      <c r="B73" s="3"/>
      <c r="C73" s="3"/>
      <c r="D73" s="3"/>
      <c r="E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3"/>
      <c r="B74" s="3"/>
      <c r="C74" s="3"/>
      <c r="D74" s="3" t="s">
        <v>425</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55"/>
      <c r="B78" s="3"/>
      <c r="C78" s="391" t="s">
        <v>1087</v>
      </c>
      <c r="D78" s="5"/>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55"/>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55"/>
      <c r="B80" s="3"/>
      <c r="C80" s="3"/>
      <c r="D80" s="3" t="s">
        <v>57</v>
      </c>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C80" s="3"/>
      <c r="CD80" s="3"/>
      <c r="CE80" s="3"/>
    </row>
    <row r="81" spans="1:85" ht="12" customHeight="1">
      <c r="A81" s="55"/>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C81" s="3"/>
      <c r="CD81" s="3"/>
      <c r="CE81" s="3"/>
    </row>
    <row r="82" spans="1:85" ht="12" customHeight="1">
      <c r="A82" s="55"/>
      <c r="B82" s="3"/>
      <c r="C82" s="3"/>
      <c r="D82" s="40" t="s">
        <v>56</v>
      </c>
      <c r="E82" s="39"/>
      <c r="F82" s="39"/>
      <c r="G82" s="39"/>
      <c r="H82" s="39"/>
      <c r="I82" s="39"/>
      <c r="J82" s="38"/>
      <c r="K82" s="39" t="s">
        <v>55</v>
      </c>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40" t="s">
        <v>54</v>
      </c>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8"/>
      <c r="CC82" s="3"/>
      <c r="CD82" s="3"/>
      <c r="CE82" s="3"/>
      <c r="CF82" s="3"/>
      <c r="CG82" s="3"/>
    </row>
    <row r="83" spans="1:85" ht="12" customHeight="1">
      <c r="A83" s="55"/>
      <c r="B83" s="3"/>
      <c r="C83" s="3"/>
      <c r="D83" s="37" t="s">
        <v>53</v>
      </c>
      <c r="E83" s="36"/>
      <c r="F83" s="36"/>
      <c r="G83" s="36"/>
      <c r="H83" s="36"/>
      <c r="I83" s="36"/>
      <c r="J83" s="35"/>
      <c r="K83" s="36" t="s">
        <v>52</v>
      </c>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7" t="s">
        <v>789</v>
      </c>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5"/>
      <c r="CC83" s="3"/>
      <c r="CD83" s="3"/>
      <c r="CE83" s="3"/>
      <c r="CF83" s="3"/>
      <c r="CG83" s="3"/>
    </row>
    <row r="84" spans="1:85" ht="12" customHeight="1">
      <c r="A84" s="55"/>
      <c r="B84" s="3"/>
      <c r="C84" s="3"/>
      <c r="D84" s="34"/>
      <c r="E84" s="3"/>
      <c r="F84" s="3"/>
      <c r="G84" s="3"/>
      <c r="H84" s="3"/>
      <c r="I84" s="3"/>
      <c r="J84" s="33"/>
      <c r="K84" s="3" t="s">
        <v>51</v>
      </c>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4"/>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3"/>
      <c r="CC84" s="3"/>
      <c r="CD84" s="3"/>
      <c r="CE84" s="3"/>
      <c r="CF84" s="3"/>
      <c r="CG84" s="3"/>
    </row>
    <row r="85" spans="1:85" ht="12" customHeight="1">
      <c r="A85" s="55"/>
      <c r="B85" s="3"/>
      <c r="C85" s="3"/>
      <c r="D85" s="32"/>
      <c r="E85" s="31"/>
      <c r="F85" s="31"/>
      <c r="G85" s="31"/>
      <c r="H85" s="31"/>
      <c r="I85" s="31"/>
      <c r="J85" s="30"/>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2"/>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0"/>
      <c r="CC85" s="3"/>
      <c r="CD85" s="3"/>
      <c r="CE85" s="3"/>
      <c r="CF85" s="3"/>
      <c r="CG85" s="3"/>
    </row>
    <row r="86" spans="1:85" ht="12" customHeight="1">
      <c r="A86" s="55"/>
      <c r="B86" s="3"/>
      <c r="C86" s="3"/>
      <c r="D86" s="37" t="s">
        <v>50</v>
      </c>
      <c r="E86" s="36"/>
      <c r="F86" s="36"/>
      <c r="G86" s="36"/>
      <c r="H86" s="36"/>
      <c r="I86" s="36"/>
      <c r="J86" s="35"/>
      <c r="K86" s="36" t="s">
        <v>49</v>
      </c>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7" t="s">
        <v>790</v>
      </c>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5"/>
      <c r="CC86" s="3"/>
      <c r="CD86" s="3"/>
      <c r="CE86" s="3"/>
      <c r="CF86" s="3"/>
      <c r="CG86" s="3"/>
    </row>
    <row r="87" spans="1:85" ht="12" customHeight="1">
      <c r="A87" s="55"/>
      <c r="B87" s="3"/>
      <c r="C87" s="3"/>
      <c r="D87" s="34"/>
      <c r="E87" s="3"/>
      <c r="F87" s="3"/>
      <c r="G87" s="3"/>
      <c r="H87" s="3"/>
      <c r="I87" s="3"/>
      <c r="J87" s="3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4"/>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3"/>
      <c r="CC87" s="3"/>
      <c r="CD87" s="3"/>
      <c r="CE87" s="3"/>
      <c r="CF87" s="3"/>
      <c r="CG87" s="3"/>
    </row>
    <row r="88" spans="1:85" ht="12" customHeight="1">
      <c r="A88" s="55"/>
      <c r="B88" s="3"/>
      <c r="C88" s="3"/>
      <c r="D88" s="32"/>
      <c r="E88" s="31"/>
      <c r="F88" s="31"/>
      <c r="G88" s="31"/>
      <c r="H88" s="31"/>
      <c r="I88" s="31"/>
      <c r="J88" s="30"/>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2"/>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0"/>
      <c r="CC88" s="3"/>
      <c r="CD88" s="3"/>
      <c r="CE88" s="3"/>
      <c r="CF88" s="3"/>
      <c r="CG88" s="3"/>
    </row>
    <row r="89" spans="1:85" ht="12" customHeight="1">
      <c r="A89" s="55"/>
      <c r="B89" s="3"/>
      <c r="C89" s="3"/>
      <c r="D89" s="37" t="s">
        <v>48</v>
      </c>
      <c r="E89" s="36"/>
      <c r="F89" s="36"/>
      <c r="G89" s="36"/>
      <c r="H89" s="36"/>
      <c r="I89" s="36"/>
      <c r="J89" s="35"/>
      <c r="K89" s="36" t="s">
        <v>47</v>
      </c>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7" t="s">
        <v>442</v>
      </c>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5"/>
      <c r="CC89" s="3"/>
      <c r="CD89" s="3"/>
      <c r="CE89" s="3"/>
      <c r="CF89" s="3"/>
      <c r="CG89" s="3"/>
    </row>
    <row r="90" spans="1:85" ht="12" customHeight="1">
      <c r="A90" s="55"/>
      <c r="B90" s="3"/>
      <c r="C90" s="3"/>
      <c r="D90" s="34" t="s">
        <v>46</v>
      </c>
      <c r="E90" s="3"/>
      <c r="F90" s="3"/>
      <c r="G90" s="3"/>
      <c r="H90" s="3"/>
      <c r="I90" s="3"/>
      <c r="J90" s="3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4" t="s">
        <v>791</v>
      </c>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3"/>
      <c r="CC90" s="3"/>
      <c r="CD90" s="3"/>
      <c r="CE90" s="3"/>
      <c r="CF90" s="3"/>
      <c r="CG90" s="3"/>
    </row>
    <row r="91" spans="1:85" ht="12" customHeight="1">
      <c r="A91" s="55"/>
      <c r="B91" s="3"/>
      <c r="C91" s="3"/>
      <c r="D91" s="32"/>
      <c r="E91" s="31"/>
      <c r="F91" s="31"/>
      <c r="G91" s="31"/>
      <c r="H91" s="31"/>
      <c r="I91" s="31"/>
      <c r="J91" s="30"/>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2"/>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0"/>
      <c r="CC91" s="3"/>
      <c r="CD91" s="3"/>
      <c r="CE91" s="3"/>
      <c r="CF91" s="3"/>
      <c r="CG91" s="3"/>
    </row>
    <row r="92" spans="1:85" ht="12" customHeight="1">
      <c r="A92" s="55"/>
      <c r="B92" s="3"/>
      <c r="C92" s="3"/>
      <c r="D92" s="37" t="s">
        <v>237</v>
      </c>
      <c r="E92" s="36"/>
      <c r="F92" s="36"/>
      <c r="G92" s="36"/>
      <c r="H92" s="36"/>
      <c r="I92" s="36"/>
      <c r="J92" s="35"/>
      <c r="K92" s="36" t="s">
        <v>374</v>
      </c>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7" t="s">
        <v>210</v>
      </c>
      <c r="AY92" s="36"/>
      <c r="AZ92" s="36"/>
      <c r="BA92" s="36"/>
      <c r="BB92" s="36"/>
      <c r="BC92" s="36"/>
      <c r="BD92" s="36"/>
      <c r="BE92" s="36"/>
      <c r="BF92" s="36"/>
      <c r="BG92" s="36"/>
      <c r="BH92" s="36"/>
      <c r="BI92" s="36"/>
      <c r="BJ92" s="36"/>
      <c r="BK92" s="36"/>
      <c r="BL92" s="36"/>
      <c r="BM92" s="36"/>
      <c r="BN92" s="36"/>
      <c r="BO92" s="36"/>
      <c r="BP92" s="36"/>
      <c r="BQ92" s="36"/>
      <c r="BR92" s="36"/>
      <c r="BS92" s="36"/>
      <c r="BT92" s="36"/>
      <c r="BU92" s="36"/>
      <c r="BV92" s="36"/>
      <c r="BW92" s="36"/>
      <c r="BX92" s="36"/>
      <c r="BY92" s="36"/>
      <c r="BZ92" s="36"/>
      <c r="CA92" s="35"/>
      <c r="CC92" s="3"/>
      <c r="CD92" s="3"/>
      <c r="CE92" s="3"/>
    </row>
    <row r="93" spans="1:85" ht="12" customHeight="1">
      <c r="A93" s="3"/>
      <c r="B93" s="3"/>
      <c r="C93" s="3"/>
      <c r="D93" s="34"/>
      <c r="E93" s="3"/>
      <c r="F93" s="3"/>
      <c r="G93" s="3"/>
      <c r="H93" s="3"/>
      <c r="I93" s="3"/>
      <c r="J93" s="3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4"/>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3"/>
      <c r="CC93" s="3"/>
      <c r="CD93" s="3"/>
      <c r="CE93" s="3"/>
    </row>
    <row r="94" spans="1:85" ht="12" customHeight="1">
      <c r="A94" s="3"/>
      <c r="B94" s="3"/>
      <c r="C94" s="3"/>
      <c r="D94" s="32"/>
      <c r="E94" s="31"/>
      <c r="F94" s="31"/>
      <c r="G94" s="31"/>
      <c r="H94" s="31"/>
      <c r="I94" s="31"/>
      <c r="J94" s="30"/>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2"/>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0"/>
      <c r="CC94" s="3"/>
      <c r="CD94" s="3"/>
      <c r="CE94" s="3"/>
    </row>
    <row r="95" spans="1:85" ht="12"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5" ht="12"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55"/>
      <c r="B97" s="55"/>
      <c r="C97" s="55" t="s">
        <v>1088</v>
      </c>
      <c r="D97" s="55"/>
      <c r="E97" s="55"/>
      <c r="F97" s="55"/>
      <c r="G97" s="55"/>
      <c r="H97" s="55"/>
      <c r="I97" s="55"/>
      <c r="J97" s="55"/>
      <c r="K97" s="55"/>
      <c r="L97" s="55"/>
      <c r="M97" s="55"/>
      <c r="N97" s="55"/>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55"/>
      <c r="B98" s="55"/>
      <c r="C98" s="55"/>
      <c r="D98" s="55"/>
      <c r="E98" s="55"/>
      <c r="F98" s="55"/>
      <c r="G98" s="55"/>
      <c r="H98" s="55"/>
      <c r="I98" s="55"/>
      <c r="J98" s="55"/>
      <c r="K98" s="55"/>
      <c r="L98" s="55"/>
      <c r="M98" s="55"/>
      <c r="N98" s="55"/>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55"/>
      <c r="B99" s="55"/>
      <c r="C99" s="55"/>
      <c r="D99" s="55" t="s">
        <v>651</v>
      </c>
      <c r="E99" s="55"/>
      <c r="F99" s="55"/>
      <c r="G99" s="55"/>
      <c r="H99" s="55"/>
      <c r="I99" s="55"/>
      <c r="J99" s="55"/>
      <c r="K99" s="55"/>
      <c r="L99" s="55"/>
      <c r="M99" s="55"/>
      <c r="N99" s="55"/>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5"/>
      <c r="CE99" s="3"/>
    </row>
    <row r="100" spans="1:83" ht="12" customHeight="1">
      <c r="A100" s="55"/>
      <c r="B100" s="55"/>
      <c r="C100" s="55"/>
      <c r="D100" s="55" t="s">
        <v>1089</v>
      </c>
      <c r="E100" s="55"/>
      <c r="F100" s="55"/>
      <c r="G100" s="55"/>
      <c r="H100" s="55"/>
      <c r="I100" s="55"/>
      <c r="J100" s="55"/>
      <c r="K100" s="55"/>
      <c r="L100" s="55"/>
      <c r="M100" s="55"/>
      <c r="N100" s="55"/>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5"/>
      <c r="CE100" s="3"/>
    </row>
    <row r="101" spans="1:83" ht="12" customHeight="1">
      <c r="A101" s="55"/>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5"/>
      <c r="CE101" s="3"/>
    </row>
    <row r="102" spans="1:83" ht="12" customHeight="1">
      <c r="A102" s="298"/>
      <c r="B102" s="5"/>
      <c r="C102" s="5"/>
      <c r="D102" s="231"/>
      <c r="E102" s="231"/>
      <c r="F102" s="230"/>
      <c r="G102" s="230"/>
      <c r="H102" s="230"/>
      <c r="I102" s="230"/>
      <c r="J102" s="230"/>
      <c r="K102" s="230"/>
      <c r="L102" s="230"/>
      <c r="M102" s="230"/>
      <c r="N102" s="230"/>
      <c r="O102" s="230"/>
      <c r="P102" s="231"/>
      <c r="Q102" s="231"/>
      <c r="R102" s="231"/>
      <c r="S102" s="231"/>
      <c r="T102" s="231"/>
      <c r="U102" s="231"/>
      <c r="V102" s="231"/>
      <c r="W102" s="231"/>
      <c r="X102" s="231"/>
      <c r="Y102" s="231"/>
      <c r="Z102" s="230"/>
      <c r="AA102" s="230"/>
      <c r="AB102" s="230"/>
      <c r="AC102" s="23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c r="BF102" s="230"/>
      <c r="BG102" s="230"/>
      <c r="BH102" s="230"/>
      <c r="BI102" s="230"/>
      <c r="BJ102" s="230" t="s">
        <v>596</v>
      </c>
      <c r="BK102" s="230"/>
      <c r="BL102" s="230"/>
      <c r="BM102" s="230"/>
      <c r="BN102" s="230"/>
      <c r="BO102" s="230"/>
      <c r="BP102" s="230"/>
      <c r="BQ102" s="230"/>
      <c r="BR102" s="230"/>
      <c r="BS102" s="230"/>
      <c r="BT102" s="230"/>
      <c r="BU102" s="230"/>
      <c r="BV102" s="230"/>
      <c r="BW102" s="230"/>
      <c r="BX102" s="230"/>
      <c r="BY102" s="230"/>
      <c r="BZ102" s="230"/>
      <c r="CA102" s="230"/>
      <c r="CB102" s="231"/>
      <c r="CC102" s="231"/>
      <c r="CD102" s="5"/>
      <c r="CE102" s="5"/>
    </row>
    <row r="103" spans="1:83" ht="12" customHeight="1">
      <c r="A103" s="298"/>
      <c r="B103" s="5"/>
      <c r="C103" s="5"/>
      <c r="D103" s="183" t="s">
        <v>592</v>
      </c>
      <c r="E103" s="184"/>
      <c r="F103" s="184"/>
      <c r="G103" s="184"/>
      <c r="H103" s="184"/>
      <c r="I103" s="185"/>
      <c r="J103" s="183" t="s">
        <v>574</v>
      </c>
      <c r="K103" s="184"/>
      <c r="L103" s="184"/>
      <c r="M103" s="184"/>
      <c r="N103" s="184"/>
      <c r="O103" s="184"/>
      <c r="P103" s="184"/>
      <c r="Q103" s="185"/>
      <c r="R103" s="183" t="s">
        <v>481</v>
      </c>
      <c r="S103" s="184"/>
      <c r="T103" s="184"/>
      <c r="U103" s="184"/>
      <c r="V103" s="184"/>
      <c r="W103" s="184"/>
      <c r="X103" s="184"/>
      <c r="Y103" s="184"/>
      <c r="Z103" s="184"/>
      <c r="AA103" s="184"/>
      <c r="AB103" s="184"/>
      <c r="AC103" s="184"/>
      <c r="AD103" s="184"/>
      <c r="AE103" s="184"/>
      <c r="AF103" s="184"/>
      <c r="AG103" s="184"/>
      <c r="AH103" s="184"/>
      <c r="AI103" s="184"/>
      <c r="AJ103" s="184"/>
      <c r="AK103" s="185"/>
      <c r="AL103" s="616" t="s">
        <v>911</v>
      </c>
      <c r="AM103" s="617"/>
      <c r="AN103" s="617"/>
      <c r="AO103" s="617"/>
      <c r="AP103" s="618"/>
      <c r="AQ103" s="616" t="s">
        <v>912</v>
      </c>
      <c r="AR103" s="617"/>
      <c r="AS103" s="617"/>
      <c r="AT103" s="617"/>
      <c r="AU103" s="618"/>
      <c r="AV103" s="402" t="s">
        <v>64</v>
      </c>
      <c r="AW103" s="346"/>
      <c r="AX103" s="346"/>
      <c r="AY103" s="346"/>
      <c r="AZ103" s="346"/>
      <c r="BA103" s="346"/>
      <c r="BB103" s="346"/>
      <c r="BC103" s="346"/>
      <c r="BD103" s="346"/>
      <c r="BE103" s="346"/>
      <c r="BF103" s="346"/>
      <c r="BG103" s="346"/>
      <c r="BH103" s="346"/>
      <c r="BI103" s="346"/>
      <c r="BJ103" s="346"/>
      <c r="BK103" s="346"/>
      <c r="BL103" s="346"/>
      <c r="BM103" s="346"/>
      <c r="BN103" s="346"/>
      <c r="BO103" s="346"/>
      <c r="BP103" s="346"/>
      <c r="BQ103" s="346"/>
      <c r="BR103" s="346"/>
      <c r="BS103" s="346"/>
      <c r="BT103" s="346"/>
      <c r="BU103" s="346"/>
      <c r="BV103" s="346"/>
      <c r="BW103" s="346"/>
      <c r="BX103" s="346"/>
      <c r="BY103" s="346"/>
      <c r="BZ103" s="346"/>
      <c r="CA103" s="347"/>
    </row>
    <row r="104" spans="1:83" ht="12" customHeight="1">
      <c r="A104" s="298"/>
      <c r="B104" s="5"/>
      <c r="C104" s="5"/>
      <c r="D104" s="58"/>
      <c r="E104" s="57"/>
      <c r="F104" s="57"/>
      <c r="G104" s="57"/>
      <c r="H104" s="57"/>
      <c r="I104" s="56"/>
      <c r="J104" s="58"/>
      <c r="K104" s="57"/>
      <c r="L104" s="57"/>
      <c r="M104" s="57"/>
      <c r="N104" s="57"/>
      <c r="O104" s="57"/>
      <c r="P104" s="57"/>
      <c r="Q104" s="56"/>
      <c r="R104" s="58"/>
      <c r="S104" s="57"/>
      <c r="T104" s="57"/>
      <c r="U104" s="57"/>
      <c r="V104" s="57"/>
      <c r="W104" s="57"/>
      <c r="X104" s="57"/>
      <c r="Y104" s="57"/>
      <c r="Z104" s="57"/>
      <c r="AA104" s="57"/>
      <c r="AB104" s="57"/>
      <c r="AC104" s="57"/>
      <c r="AD104" s="57"/>
      <c r="AE104" s="57"/>
      <c r="AF104" s="57"/>
      <c r="AG104" s="57"/>
      <c r="AH104" s="57"/>
      <c r="AI104" s="57"/>
      <c r="AJ104" s="57"/>
      <c r="AK104" s="56"/>
      <c r="AL104" s="619"/>
      <c r="AM104" s="620"/>
      <c r="AN104" s="620"/>
      <c r="AO104" s="620"/>
      <c r="AP104" s="621"/>
      <c r="AQ104" s="619"/>
      <c r="AR104" s="620"/>
      <c r="AS104" s="620"/>
      <c r="AT104" s="620"/>
      <c r="AU104" s="621"/>
      <c r="AV104" s="348"/>
      <c r="AW104" s="349"/>
      <c r="AX104" s="349"/>
      <c r="AY104" s="349"/>
      <c r="AZ104" s="349"/>
      <c r="BA104" s="349"/>
      <c r="BB104" s="349"/>
      <c r="BC104" s="349"/>
      <c r="BD104" s="349"/>
      <c r="BE104" s="349"/>
      <c r="BF104" s="349"/>
      <c r="BG104" s="349"/>
      <c r="BH104" s="349"/>
      <c r="BI104" s="349"/>
      <c r="BJ104" s="349"/>
      <c r="BK104" s="349"/>
      <c r="BL104" s="349"/>
      <c r="BM104" s="349"/>
      <c r="BN104" s="349"/>
      <c r="BO104" s="349"/>
      <c r="BP104" s="349"/>
      <c r="BQ104" s="349"/>
      <c r="BR104" s="349"/>
      <c r="BS104" s="349"/>
      <c r="BT104" s="349"/>
      <c r="BU104" s="349"/>
      <c r="BV104" s="349"/>
      <c r="BW104" s="349"/>
      <c r="BX104" s="349"/>
      <c r="BY104" s="349"/>
      <c r="BZ104" s="349"/>
      <c r="CA104" s="350"/>
    </row>
    <row r="105" spans="1:83" ht="12" customHeight="1">
      <c r="A105" s="298"/>
      <c r="B105" s="5"/>
      <c r="C105" s="5"/>
      <c r="D105" s="162" t="s">
        <v>577</v>
      </c>
      <c r="E105" s="163"/>
      <c r="F105" s="163"/>
      <c r="G105" s="163"/>
      <c r="H105" s="163"/>
      <c r="I105" s="164"/>
      <c r="J105" s="162" t="s">
        <v>575</v>
      </c>
      <c r="K105" s="163"/>
      <c r="L105" s="163"/>
      <c r="M105" s="163"/>
      <c r="N105" s="163"/>
      <c r="O105" s="163"/>
      <c r="P105" s="163"/>
      <c r="Q105" s="163"/>
      <c r="R105" s="165" t="s">
        <v>579</v>
      </c>
      <c r="S105" s="166"/>
      <c r="T105" s="166"/>
      <c r="U105" s="166"/>
      <c r="V105" s="166"/>
      <c r="W105" s="166"/>
      <c r="X105" s="166"/>
      <c r="Y105" s="166"/>
      <c r="Z105" s="166"/>
      <c r="AA105" s="166"/>
      <c r="AB105" s="166"/>
      <c r="AC105" s="166"/>
      <c r="AD105" s="166"/>
      <c r="AE105" s="166"/>
      <c r="AF105" s="166"/>
      <c r="AG105" s="166"/>
      <c r="AH105" s="166"/>
      <c r="AI105" s="166"/>
      <c r="AJ105" s="166"/>
      <c r="AK105" s="167"/>
      <c r="AL105" s="232" t="s">
        <v>594</v>
      </c>
      <c r="AM105" s="232"/>
      <c r="AN105" s="232"/>
      <c r="AO105" s="232"/>
      <c r="AP105" s="344"/>
      <c r="AQ105" s="232" t="s">
        <v>594</v>
      </c>
      <c r="AR105" s="232"/>
      <c r="AS105" s="232"/>
      <c r="AT105" s="232"/>
      <c r="AU105" s="344"/>
      <c r="AV105" s="403" t="s">
        <v>913</v>
      </c>
      <c r="AW105" s="352"/>
      <c r="AX105" s="352"/>
      <c r="AY105" s="352"/>
      <c r="AZ105" s="352"/>
      <c r="BA105" s="352"/>
      <c r="BB105" s="352"/>
      <c r="BC105" s="352"/>
      <c r="BD105" s="352"/>
      <c r="BE105" s="352"/>
      <c r="BF105" s="352"/>
      <c r="BG105" s="352"/>
      <c r="BH105" s="352"/>
      <c r="BI105" s="352"/>
      <c r="BJ105" s="352"/>
      <c r="BK105" s="352"/>
      <c r="BL105" s="352"/>
      <c r="BM105" s="352"/>
      <c r="BN105" s="352"/>
      <c r="BO105" s="352"/>
      <c r="BP105" s="352"/>
      <c r="BQ105" s="352"/>
      <c r="BR105" s="352"/>
      <c r="BS105" s="352"/>
      <c r="BT105" s="352"/>
      <c r="BU105" s="352"/>
      <c r="BV105" s="352"/>
      <c r="BW105" s="352"/>
      <c r="BX105" s="352"/>
      <c r="BY105" s="352"/>
      <c r="BZ105" s="352"/>
      <c r="CA105" s="353"/>
    </row>
    <row r="106" spans="1:83" ht="12" customHeight="1">
      <c r="A106" s="298"/>
      <c r="B106" s="5"/>
      <c r="C106" s="5"/>
      <c r="D106" s="34"/>
      <c r="E106" s="3"/>
      <c r="F106" s="3"/>
      <c r="G106" s="3"/>
      <c r="H106" s="3"/>
      <c r="I106" s="33"/>
      <c r="J106" s="34"/>
      <c r="K106" s="3"/>
      <c r="L106" s="3"/>
      <c r="M106" s="3"/>
      <c r="N106" s="3"/>
      <c r="O106" s="3"/>
      <c r="P106" s="3"/>
      <c r="Q106" s="3"/>
      <c r="R106" s="165" t="s">
        <v>580</v>
      </c>
      <c r="S106" s="166"/>
      <c r="T106" s="166"/>
      <c r="U106" s="166"/>
      <c r="V106" s="166"/>
      <c r="W106" s="166"/>
      <c r="X106" s="166"/>
      <c r="Y106" s="166"/>
      <c r="Z106" s="166"/>
      <c r="AA106" s="166"/>
      <c r="AB106" s="166"/>
      <c r="AC106" s="166"/>
      <c r="AD106" s="166"/>
      <c r="AE106" s="166"/>
      <c r="AF106" s="166"/>
      <c r="AG106" s="166"/>
      <c r="AH106" s="166"/>
      <c r="AI106" s="166"/>
      <c r="AJ106" s="166"/>
      <c r="AK106" s="167"/>
      <c r="AL106" s="232" t="s">
        <v>594</v>
      </c>
      <c r="AM106" s="232"/>
      <c r="AN106" s="232"/>
      <c r="AO106" s="232"/>
      <c r="AP106" s="344"/>
      <c r="AQ106" s="232" t="s">
        <v>594</v>
      </c>
      <c r="AR106" s="232"/>
      <c r="AS106" s="232"/>
      <c r="AT106" s="232"/>
      <c r="AU106" s="344"/>
      <c r="AV106" s="403" t="s">
        <v>913</v>
      </c>
      <c r="AW106" s="352"/>
      <c r="AX106" s="352"/>
      <c r="AY106" s="352"/>
      <c r="AZ106" s="352"/>
      <c r="BA106" s="352"/>
      <c r="BB106" s="352"/>
      <c r="BC106" s="352"/>
      <c r="BD106" s="352"/>
      <c r="BE106" s="352"/>
      <c r="BF106" s="352"/>
      <c r="BG106" s="352"/>
      <c r="BH106" s="352"/>
      <c r="BI106" s="352"/>
      <c r="BJ106" s="352"/>
      <c r="BK106" s="352"/>
      <c r="BL106" s="352"/>
      <c r="BM106" s="352"/>
      <c r="BN106" s="352"/>
      <c r="BO106" s="352"/>
      <c r="BP106" s="352"/>
      <c r="BQ106" s="352"/>
      <c r="BR106" s="352"/>
      <c r="BS106" s="352"/>
      <c r="BT106" s="352"/>
      <c r="BU106" s="352"/>
      <c r="BV106" s="352"/>
      <c r="BW106" s="352"/>
      <c r="BX106" s="352"/>
      <c r="BY106" s="352"/>
      <c r="BZ106" s="352"/>
      <c r="CA106" s="353"/>
    </row>
    <row r="107" spans="1:83" ht="12" customHeight="1">
      <c r="A107" s="298"/>
      <c r="B107" s="5"/>
      <c r="C107" s="5"/>
      <c r="D107" s="34"/>
      <c r="E107" s="3"/>
      <c r="F107" s="3"/>
      <c r="G107" s="3"/>
      <c r="H107" s="3"/>
      <c r="I107" s="33"/>
      <c r="J107" s="34"/>
      <c r="K107" s="3"/>
      <c r="L107" s="3"/>
      <c r="M107" s="3"/>
      <c r="N107" s="3"/>
      <c r="O107" s="3"/>
      <c r="P107" s="3"/>
      <c r="Q107" s="3"/>
      <c r="R107" s="165" t="s">
        <v>74</v>
      </c>
      <c r="S107" s="166"/>
      <c r="T107" s="166"/>
      <c r="U107" s="166"/>
      <c r="V107" s="166"/>
      <c r="W107" s="166"/>
      <c r="X107" s="166"/>
      <c r="Y107" s="166"/>
      <c r="Z107" s="166"/>
      <c r="AA107" s="166"/>
      <c r="AB107" s="166"/>
      <c r="AC107" s="166"/>
      <c r="AD107" s="166"/>
      <c r="AE107" s="166"/>
      <c r="AF107" s="166"/>
      <c r="AG107" s="166"/>
      <c r="AH107" s="166"/>
      <c r="AI107" s="166"/>
      <c r="AJ107" s="166"/>
      <c r="AK107" s="167"/>
      <c r="AL107" s="232" t="s">
        <v>516</v>
      </c>
      <c r="AM107" s="232"/>
      <c r="AN107" s="232"/>
      <c r="AO107" s="232"/>
      <c r="AP107" s="344"/>
      <c r="AQ107" s="232" t="s">
        <v>516</v>
      </c>
      <c r="AR107" s="232"/>
      <c r="AS107" s="232"/>
      <c r="AT107" s="232"/>
      <c r="AU107" s="344"/>
      <c r="AV107" s="351"/>
      <c r="AW107" s="352"/>
      <c r="AX107" s="352"/>
      <c r="AY107" s="352"/>
      <c r="AZ107" s="352"/>
      <c r="BA107" s="352"/>
      <c r="BB107" s="352"/>
      <c r="BC107" s="352"/>
      <c r="BD107" s="352"/>
      <c r="BE107" s="352"/>
      <c r="BF107" s="352"/>
      <c r="BG107" s="352"/>
      <c r="BH107" s="352"/>
      <c r="BI107" s="352"/>
      <c r="BJ107" s="352"/>
      <c r="BK107" s="352"/>
      <c r="BL107" s="352"/>
      <c r="BM107" s="352"/>
      <c r="BN107" s="352"/>
      <c r="BO107" s="352"/>
      <c r="BP107" s="352"/>
      <c r="BQ107" s="352"/>
      <c r="BR107" s="352"/>
      <c r="BS107" s="352"/>
      <c r="BT107" s="352"/>
      <c r="BU107" s="352"/>
      <c r="BV107" s="352"/>
      <c r="BW107" s="352"/>
      <c r="BX107" s="352"/>
      <c r="BY107" s="352"/>
      <c r="BZ107" s="352"/>
      <c r="CA107" s="353"/>
    </row>
    <row r="108" spans="1:83" ht="12" customHeight="1">
      <c r="A108" s="298"/>
      <c r="B108" s="5"/>
      <c r="C108" s="5"/>
      <c r="D108" s="34"/>
      <c r="E108" s="3"/>
      <c r="F108" s="3"/>
      <c r="G108" s="3"/>
      <c r="H108" s="3"/>
      <c r="I108" s="33"/>
      <c r="J108" s="34"/>
      <c r="K108" s="3"/>
      <c r="L108" s="3"/>
      <c r="M108" s="3"/>
      <c r="N108" s="3"/>
      <c r="O108" s="3"/>
      <c r="P108" s="3"/>
      <c r="Q108" s="3"/>
      <c r="R108" s="165" t="s">
        <v>73</v>
      </c>
      <c r="S108" s="166"/>
      <c r="T108" s="166"/>
      <c r="U108" s="166"/>
      <c r="V108" s="166"/>
      <c r="W108" s="166"/>
      <c r="X108" s="166"/>
      <c r="Y108" s="166"/>
      <c r="Z108" s="166"/>
      <c r="AA108" s="166"/>
      <c r="AB108" s="166"/>
      <c r="AC108" s="166"/>
      <c r="AD108" s="166"/>
      <c r="AE108" s="166"/>
      <c r="AF108" s="166"/>
      <c r="AG108" s="166"/>
      <c r="AH108" s="166"/>
      <c r="AI108" s="166"/>
      <c r="AJ108" s="166"/>
      <c r="AK108" s="167"/>
      <c r="AL108" s="232" t="s">
        <v>516</v>
      </c>
      <c r="AM108" s="232"/>
      <c r="AN108" s="232"/>
      <c r="AO108" s="232"/>
      <c r="AP108" s="344"/>
      <c r="AQ108" s="232" t="s">
        <v>516</v>
      </c>
      <c r="AR108" s="232"/>
      <c r="AS108" s="232"/>
      <c r="AT108" s="232"/>
      <c r="AU108" s="344"/>
      <c r="AV108" s="351"/>
      <c r="AW108" s="352"/>
      <c r="AX108" s="352"/>
      <c r="AY108" s="352"/>
      <c r="AZ108" s="352"/>
      <c r="BA108" s="352"/>
      <c r="BB108" s="352"/>
      <c r="BC108" s="352"/>
      <c r="BD108" s="352"/>
      <c r="BE108" s="352"/>
      <c r="BF108" s="352"/>
      <c r="BG108" s="352"/>
      <c r="BH108" s="352"/>
      <c r="BI108" s="352"/>
      <c r="BJ108" s="352"/>
      <c r="BK108" s="352"/>
      <c r="BL108" s="352"/>
      <c r="BM108" s="352"/>
      <c r="BN108" s="352"/>
      <c r="BO108" s="352"/>
      <c r="BP108" s="352"/>
      <c r="BQ108" s="352"/>
      <c r="BR108" s="352"/>
      <c r="BS108" s="352"/>
      <c r="BT108" s="352"/>
      <c r="BU108" s="352"/>
      <c r="BV108" s="352"/>
      <c r="BW108" s="352"/>
      <c r="BX108" s="352"/>
      <c r="BY108" s="352"/>
      <c r="BZ108" s="352"/>
      <c r="CA108" s="353"/>
    </row>
    <row r="109" spans="1:83" ht="12" customHeight="1">
      <c r="A109" s="298"/>
      <c r="B109" s="5"/>
      <c r="C109" s="5"/>
      <c r="D109" s="34"/>
      <c r="E109" s="3"/>
      <c r="F109" s="3"/>
      <c r="G109" s="3"/>
      <c r="H109" s="3"/>
      <c r="I109" s="33"/>
      <c r="J109" s="32"/>
      <c r="K109" s="31"/>
      <c r="L109" s="31"/>
      <c r="M109" s="31"/>
      <c r="N109" s="31"/>
      <c r="O109" s="31"/>
      <c r="P109" s="31"/>
      <c r="Q109" s="31"/>
      <c r="R109" s="165" t="s">
        <v>69</v>
      </c>
      <c r="S109" s="166"/>
      <c r="T109" s="166"/>
      <c r="U109" s="166"/>
      <c r="V109" s="166"/>
      <c r="W109" s="166"/>
      <c r="X109" s="166"/>
      <c r="Y109" s="166"/>
      <c r="Z109" s="166"/>
      <c r="AA109" s="166"/>
      <c r="AB109" s="166"/>
      <c r="AC109" s="166"/>
      <c r="AD109" s="166"/>
      <c r="AE109" s="166"/>
      <c r="AF109" s="166"/>
      <c r="AG109" s="166"/>
      <c r="AH109" s="166"/>
      <c r="AI109" s="166"/>
      <c r="AJ109" s="166"/>
      <c r="AK109" s="167"/>
      <c r="AL109" s="232" t="s">
        <v>516</v>
      </c>
      <c r="AM109" s="232"/>
      <c r="AN109" s="232"/>
      <c r="AO109" s="232"/>
      <c r="AP109" s="344"/>
      <c r="AQ109" s="232" t="s">
        <v>516</v>
      </c>
      <c r="AR109" s="232"/>
      <c r="AS109" s="232"/>
      <c r="AT109" s="232"/>
      <c r="AU109" s="344"/>
      <c r="AV109" s="351"/>
      <c r="AW109" s="352"/>
      <c r="AX109" s="352"/>
      <c r="AY109" s="352"/>
      <c r="AZ109" s="352"/>
      <c r="BA109" s="352"/>
      <c r="BB109" s="352"/>
      <c r="BC109" s="352"/>
      <c r="BD109" s="352"/>
      <c r="BE109" s="352"/>
      <c r="BF109" s="352"/>
      <c r="BG109" s="352"/>
      <c r="BH109" s="352"/>
      <c r="BI109" s="352"/>
      <c r="BJ109" s="352"/>
      <c r="BK109" s="352"/>
      <c r="BL109" s="352"/>
      <c r="BM109" s="352"/>
      <c r="BN109" s="352"/>
      <c r="BO109" s="352"/>
      <c r="BP109" s="352"/>
      <c r="BQ109" s="352"/>
      <c r="BR109" s="352"/>
      <c r="BS109" s="352"/>
      <c r="BT109" s="352"/>
      <c r="BU109" s="352"/>
      <c r="BV109" s="352"/>
      <c r="BW109" s="352"/>
      <c r="BX109" s="352"/>
      <c r="BY109" s="352"/>
      <c r="BZ109" s="352"/>
      <c r="CA109" s="353"/>
    </row>
    <row r="110" spans="1:83" ht="12" customHeight="1">
      <c r="A110" s="298"/>
      <c r="B110" s="5"/>
      <c r="C110" s="5"/>
      <c r="D110" s="34"/>
      <c r="E110" s="3"/>
      <c r="F110" s="3"/>
      <c r="G110" s="3"/>
      <c r="H110" s="3"/>
      <c r="I110" s="33"/>
      <c r="J110" s="32" t="s">
        <v>600</v>
      </c>
      <c r="K110" s="31"/>
      <c r="L110" s="31"/>
      <c r="M110" s="31"/>
      <c r="N110" s="31"/>
      <c r="O110" s="31"/>
      <c r="P110" s="31"/>
      <c r="Q110" s="31"/>
      <c r="R110" s="165" t="s">
        <v>601</v>
      </c>
      <c r="S110" s="166"/>
      <c r="T110" s="166"/>
      <c r="U110" s="166"/>
      <c r="V110" s="166"/>
      <c r="W110" s="166"/>
      <c r="X110" s="166"/>
      <c r="Y110" s="166"/>
      <c r="Z110" s="166"/>
      <c r="AA110" s="166"/>
      <c r="AB110" s="166"/>
      <c r="AC110" s="166"/>
      <c r="AD110" s="166"/>
      <c r="AE110" s="166"/>
      <c r="AF110" s="166"/>
      <c r="AG110" s="166"/>
      <c r="AH110" s="166"/>
      <c r="AI110" s="166"/>
      <c r="AJ110" s="166"/>
      <c r="AK110" s="167"/>
      <c r="AL110" s="232" t="s">
        <v>516</v>
      </c>
      <c r="AM110" s="232"/>
      <c r="AN110" s="232"/>
      <c r="AO110" s="232"/>
      <c r="AP110" s="344"/>
      <c r="AQ110" s="232" t="s">
        <v>594</v>
      </c>
      <c r="AR110" s="232"/>
      <c r="AS110" s="232"/>
      <c r="AT110" s="232"/>
      <c r="AU110" s="344"/>
      <c r="AV110" s="403" t="s">
        <v>914</v>
      </c>
      <c r="AW110" s="166"/>
      <c r="AX110" s="166"/>
      <c r="AY110" s="166"/>
      <c r="AZ110" s="352"/>
      <c r="BA110" s="352"/>
      <c r="BB110" s="352"/>
      <c r="BC110" s="352"/>
      <c r="BD110" s="352"/>
      <c r="BE110" s="352"/>
      <c r="BF110" s="352"/>
      <c r="BG110" s="352"/>
      <c r="BH110" s="352"/>
      <c r="BI110" s="352"/>
      <c r="BJ110" s="352"/>
      <c r="BK110" s="352"/>
      <c r="BL110" s="352"/>
      <c r="BM110" s="352"/>
      <c r="BN110" s="352"/>
      <c r="BO110" s="352"/>
      <c r="BP110" s="352"/>
      <c r="BQ110" s="352"/>
      <c r="BR110" s="352"/>
      <c r="BS110" s="352"/>
      <c r="BT110" s="352"/>
      <c r="BU110" s="352"/>
      <c r="BV110" s="352"/>
      <c r="BW110" s="352"/>
      <c r="BX110" s="352"/>
      <c r="BY110" s="352"/>
      <c r="BZ110" s="352"/>
      <c r="CA110" s="353"/>
    </row>
    <row r="111" spans="1:83" ht="12" customHeight="1">
      <c r="A111" s="298"/>
      <c r="B111" s="5"/>
      <c r="C111" s="5"/>
      <c r="D111" s="34"/>
      <c r="E111" s="3"/>
      <c r="F111" s="3"/>
      <c r="G111" s="3"/>
      <c r="H111" s="3"/>
      <c r="I111" s="33"/>
      <c r="J111" s="165" t="s">
        <v>576</v>
      </c>
      <c r="K111" s="166"/>
      <c r="L111" s="166"/>
      <c r="M111" s="166"/>
      <c r="N111" s="166"/>
      <c r="O111" s="166"/>
      <c r="P111" s="166"/>
      <c r="Q111" s="166"/>
      <c r="R111" s="165" t="s">
        <v>578</v>
      </c>
      <c r="S111" s="166"/>
      <c r="T111" s="166"/>
      <c r="U111" s="166"/>
      <c r="V111" s="166"/>
      <c r="W111" s="166"/>
      <c r="X111" s="166"/>
      <c r="Y111" s="166"/>
      <c r="Z111" s="166"/>
      <c r="AA111" s="166"/>
      <c r="AB111" s="166"/>
      <c r="AC111" s="166"/>
      <c r="AD111" s="166"/>
      <c r="AE111" s="166"/>
      <c r="AF111" s="166"/>
      <c r="AG111" s="166"/>
      <c r="AH111" s="166"/>
      <c r="AI111" s="166"/>
      <c r="AJ111" s="166"/>
      <c r="AK111" s="167"/>
      <c r="AL111" s="232" t="s">
        <v>516</v>
      </c>
      <c r="AM111" s="232"/>
      <c r="AN111" s="232"/>
      <c r="AO111" s="232"/>
      <c r="AP111" s="344"/>
      <c r="AQ111" s="232" t="s">
        <v>516</v>
      </c>
      <c r="AR111" s="232"/>
      <c r="AS111" s="232"/>
      <c r="AT111" s="232"/>
      <c r="AU111" s="344"/>
      <c r="AV111" s="351"/>
      <c r="AW111" s="352"/>
      <c r="AX111" s="352"/>
      <c r="AY111" s="352"/>
      <c r="AZ111" s="352"/>
      <c r="BA111" s="352"/>
      <c r="BB111" s="352"/>
      <c r="BC111" s="352"/>
      <c r="BD111" s="352"/>
      <c r="BE111" s="352"/>
      <c r="BF111" s="352"/>
      <c r="BG111" s="352"/>
      <c r="BH111" s="352"/>
      <c r="BI111" s="352"/>
      <c r="BJ111" s="352"/>
      <c r="BK111" s="352"/>
      <c r="BL111" s="352"/>
      <c r="BM111" s="352"/>
      <c r="BN111" s="352"/>
      <c r="BO111" s="352"/>
      <c r="BP111" s="352"/>
      <c r="BQ111" s="352"/>
      <c r="BR111" s="352"/>
      <c r="BS111" s="352"/>
      <c r="BT111" s="352"/>
      <c r="BU111" s="352"/>
      <c r="BV111" s="352"/>
      <c r="BW111" s="352"/>
      <c r="BX111" s="352"/>
      <c r="BY111" s="352"/>
      <c r="BZ111" s="352"/>
      <c r="CA111" s="353"/>
    </row>
    <row r="112" spans="1:83" ht="12" customHeight="1">
      <c r="A112" s="298"/>
      <c r="B112" s="5"/>
      <c r="C112" s="5"/>
      <c r="D112" s="34"/>
      <c r="E112" s="3"/>
      <c r="F112" s="3"/>
      <c r="G112" s="3"/>
      <c r="H112" s="3"/>
      <c r="I112" s="33"/>
      <c r="J112" s="3" t="s">
        <v>591</v>
      </c>
      <c r="K112" s="3"/>
      <c r="L112" s="3"/>
      <c r="M112" s="3"/>
      <c r="N112" s="3"/>
      <c r="O112" s="3"/>
      <c r="P112" s="3"/>
      <c r="Q112" s="3"/>
      <c r="R112" s="165" t="s">
        <v>482</v>
      </c>
      <c r="S112" s="166"/>
      <c r="T112" s="166"/>
      <c r="U112" s="166"/>
      <c r="V112" s="166"/>
      <c r="W112" s="166"/>
      <c r="X112" s="166"/>
      <c r="Y112" s="166"/>
      <c r="Z112" s="166"/>
      <c r="AA112" s="166"/>
      <c r="AB112" s="166"/>
      <c r="AC112" s="166"/>
      <c r="AD112" s="166"/>
      <c r="AE112" s="166"/>
      <c r="AF112" s="166"/>
      <c r="AG112" s="166"/>
      <c r="AH112" s="166"/>
      <c r="AI112" s="166"/>
      <c r="AJ112" s="166"/>
      <c r="AK112" s="167"/>
      <c r="AL112" s="232" t="s">
        <v>516</v>
      </c>
      <c r="AM112" s="232"/>
      <c r="AN112" s="232"/>
      <c r="AO112" s="232"/>
      <c r="AP112" s="344"/>
      <c r="AQ112" s="232" t="s">
        <v>516</v>
      </c>
      <c r="AR112" s="232"/>
      <c r="AS112" s="232"/>
      <c r="AT112" s="232"/>
      <c r="AU112" s="344"/>
      <c r="AV112" s="351"/>
      <c r="AW112" s="352"/>
      <c r="AX112" s="352"/>
      <c r="AY112" s="352"/>
      <c r="AZ112" s="352"/>
      <c r="BA112" s="352"/>
      <c r="BB112" s="352"/>
      <c r="BC112" s="352"/>
      <c r="BD112" s="352"/>
      <c r="BE112" s="352"/>
      <c r="BF112" s="352"/>
      <c r="BG112" s="352"/>
      <c r="BH112" s="352"/>
      <c r="BI112" s="352"/>
      <c r="BJ112" s="352"/>
      <c r="BK112" s="352"/>
      <c r="BL112" s="352"/>
      <c r="BM112" s="352"/>
      <c r="BN112" s="352"/>
      <c r="BO112" s="352"/>
      <c r="BP112" s="352"/>
      <c r="BQ112" s="352"/>
      <c r="BR112" s="352"/>
      <c r="BS112" s="352"/>
      <c r="BT112" s="352"/>
      <c r="BU112" s="352"/>
      <c r="BV112" s="352"/>
      <c r="BW112" s="352"/>
      <c r="BX112" s="352"/>
      <c r="BY112" s="352"/>
      <c r="BZ112" s="352"/>
      <c r="CA112" s="353"/>
    </row>
    <row r="113" spans="1:79" ht="12" customHeight="1">
      <c r="A113" s="298"/>
      <c r="B113" s="5"/>
      <c r="C113" s="5"/>
      <c r="D113" s="34"/>
      <c r="E113" s="3"/>
      <c r="F113" s="3"/>
      <c r="G113" s="3"/>
      <c r="H113" s="3"/>
      <c r="I113" s="33"/>
      <c r="J113" s="31"/>
      <c r="K113" s="31"/>
      <c r="L113" s="31"/>
      <c r="M113" s="31"/>
      <c r="N113" s="31"/>
      <c r="O113" s="31"/>
      <c r="P113" s="31"/>
      <c r="Q113" s="31"/>
      <c r="R113" s="165" t="s">
        <v>593</v>
      </c>
      <c r="S113" s="166"/>
      <c r="T113" s="166"/>
      <c r="U113" s="166"/>
      <c r="V113" s="166"/>
      <c r="W113" s="166"/>
      <c r="X113" s="166"/>
      <c r="Y113" s="166"/>
      <c r="Z113" s="166"/>
      <c r="AA113" s="166"/>
      <c r="AB113" s="166"/>
      <c r="AC113" s="166"/>
      <c r="AD113" s="166"/>
      <c r="AE113" s="166"/>
      <c r="AF113" s="166"/>
      <c r="AG113" s="166"/>
      <c r="AH113" s="166"/>
      <c r="AI113" s="166"/>
      <c r="AJ113" s="166"/>
      <c r="AK113" s="167"/>
      <c r="AL113" s="232" t="s">
        <v>594</v>
      </c>
      <c r="AM113" s="232"/>
      <c r="AN113" s="232"/>
      <c r="AO113" s="232"/>
      <c r="AP113" s="344"/>
      <c r="AQ113" s="232" t="s">
        <v>594</v>
      </c>
      <c r="AR113" s="232"/>
      <c r="AS113" s="232"/>
      <c r="AT113" s="232"/>
      <c r="AU113" s="344"/>
      <c r="AV113" s="404" t="s">
        <v>915</v>
      </c>
      <c r="AW113" s="388"/>
      <c r="AX113" s="388"/>
      <c r="AY113" s="388"/>
      <c r="AZ113" s="388"/>
      <c r="BA113" s="388"/>
      <c r="BB113" s="388"/>
      <c r="BC113" s="388"/>
      <c r="BD113" s="388"/>
      <c r="BE113" s="388"/>
      <c r="BF113" s="388"/>
      <c r="BG113" s="388"/>
      <c r="BH113" s="388"/>
      <c r="BI113" s="388"/>
      <c r="BJ113" s="388"/>
      <c r="BK113" s="388"/>
      <c r="BL113" s="388"/>
      <c r="BM113" s="388"/>
      <c r="BN113" s="388"/>
      <c r="BO113" s="388"/>
      <c r="BP113" s="388"/>
      <c r="BQ113" s="388"/>
      <c r="BR113" s="388"/>
      <c r="BS113" s="388"/>
      <c r="BT113" s="388"/>
      <c r="BU113" s="388"/>
      <c r="BV113" s="388"/>
      <c r="BW113" s="388"/>
      <c r="BX113" s="388"/>
      <c r="BY113" s="388"/>
      <c r="BZ113" s="388"/>
      <c r="CA113" s="389"/>
    </row>
    <row r="114" spans="1:79" ht="12" customHeight="1">
      <c r="A114" s="298"/>
      <c r="B114" s="5"/>
      <c r="C114" s="5"/>
      <c r="D114" s="34"/>
      <c r="E114" s="3"/>
      <c r="F114" s="3"/>
      <c r="G114" s="3"/>
      <c r="H114" s="3"/>
      <c r="I114" s="33"/>
      <c r="J114" s="162" t="s">
        <v>595</v>
      </c>
      <c r="K114" s="163"/>
      <c r="L114" s="163"/>
      <c r="M114" s="163"/>
      <c r="N114" s="163"/>
      <c r="O114" s="163"/>
      <c r="P114" s="163"/>
      <c r="Q114" s="164"/>
      <c r="R114" s="165" t="s">
        <v>589</v>
      </c>
      <c r="S114" s="166"/>
      <c r="T114" s="166"/>
      <c r="U114" s="166"/>
      <c r="V114" s="166"/>
      <c r="W114" s="166"/>
      <c r="X114" s="166"/>
      <c r="Y114" s="166"/>
      <c r="Z114" s="166"/>
      <c r="AA114" s="166"/>
      <c r="AB114" s="166"/>
      <c r="AC114" s="166"/>
      <c r="AD114" s="166"/>
      <c r="AE114" s="166"/>
      <c r="AF114" s="166"/>
      <c r="AG114" s="166"/>
      <c r="AH114" s="166"/>
      <c r="AI114" s="166"/>
      <c r="AJ114" s="166"/>
      <c r="AK114" s="167"/>
      <c r="AL114" s="232" t="s">
        <v>594</v>
      </c>
      <c r="AM114" s="232"/>
      <c r="AN114" s="232"/>
      <c r="AO114" s="232"/>
      <c r="AP114" s="344"/>
      <c r="AQ114" s="232" t="s">
        <v>594</v>
      </c>
      <c r="AR114" s="232"/>
      <c r="AS114" s="232"/>
      <c r="AT114" s="232"/>
      <c r="AU114" s="344"/>
      <c r="AV114" s="354"/>
      <c r="AW114" s="391"/>
      <c r="AX114" s="391"/>
      <c r="AY114" s="391"/>
      <c r="AZ114" s="391"/>
      <c r="BA114" s="391"/>
      <c r="BB114" s="391"/>
      <c r="BC114" s="391"/>
      <c r="BD114" s="391"/>
      <c r="BE114" s="391"/>
      <c r="BF114" s="391"/>
      <c r="BG114" s="391"/>
      <c r="BH114" s="391"/>
      <c r="BI114" s="391"/>
      <c r="BJ114" s="391"/>
      <c r="BK114" s="391"/>
      <c r="BL114" s="391"/>
      <c r="BM114" s="391"/>
      <c r="BN114" s="391"/>
      <c r="BO114" s="391"/>
      <c r="BP114" s="391"/>
      <c r="BQ114" s="391"/>
      <c r="BR114" s="391"/>
      <c r="BS114" s="391"/>
      <c r="BT114" s="391"/>
      <c r="BU114" s="391"/>
      <c r="BV114" s="391"/>
      <c r="BW114" s="391"/>
      <c r="BX114" s="391"/>
      <c r="BY114" s="391"/>
      <c r="BZ114" s="391"/>
      <c r="CA114" s="392"/>
    </row>
    <row r="115" spans="1:79" ht="12" customHeight="1">
      <c r="A115" s="298"/>
      <c r="B115" s="5"/>
      <c r="C115" s="5"/>
      <c r="D115" s="32"/>
      <c r="E115" s="31"/>
      <c r="F115" s="31"/>
      <c r="G115" s="31"/>
      <c r="H115" s="31"/>
      <c r="I115" s="30"/>
      <c r="J115" s="32"/>
      <c r="K115" s="31"/>
      <c r="L115" s="31"/>
      <c r="M115" s="31"/>
      <c r="N115" s="31"/>
      <c r="O115" s="31"/>
      <c r="P115" s="31"/>
      <c r="Q115" s="30"/>
      <c r="R115" s="165" t="s">
        <v>590</v>
      </c>
      <c r="S115" s="166"/>
      <c r="T115" s="166"/>
      <c r="U115" s="166"/>
      <c r="V115" s="166"/>
      <c r="W115" s="166"/>
      <c r="X115" s="166"/>
      <c r="Y115" s="166"/>
      <c r="Z115" s="166"/>
      <c r="AA115" s="166"/>
      <c r="AB115" s="166"/>
      <c r="AC115" s="166"/>
      <c r="AD115" s="166"/>
      <c r="AE115" s="166"/>
      <c r="AF115" s="166"/>
      <c r="AG115" s="166"/>
      <c r="AH115" s="166"/>
      <c r="AI115" s="166"/>
      <c r="AJ115" s="166"/>
      <c r="AK115" s="167"/>
      <c r="AL115" s="232" t="s">
        <v>594</v>
      </c>
      <c r="AM115" s="232"/>
      <c r="AN115" s="232"/>
      <c r="AO115" s="232"/>
      <c r="AP115" s="344"/>
      <c r="AQ115" s="232" t="s">
        <v>594</v>
      </c>
      <c r="AR115" s="232"/>
      <c r="AS115" s="232"/>
      <c r="AT115" s="232"/>
      <c r="AU115" s="344"/>
      <c r="AV115" s="355"/>
      <c r="AW115" s="394"/>
      <c r="AX115" s="394"/>
      <c r="AY115" s="394"/>
      <c r="AZ115" s="394"/>
      <c r="BA115" s="394"/>
      <c r="BB115" s="394"/>
      <c r="BC115" s="394"/>
      <c r="BD115" s="394"/>
      <c r="BE115" s="394"/>
      <c r="BF115" s="394"/>
      <c r="BG115" s="394"/>
      <c r="BH115" s="394"/>
      <c r="BI115" s="394"/>
      <c r="BJ115" s="394"/>
      <c r="BK115" s="394"/>
      <c r="BL115" s="394"/>
      <c r="BM115" s="394"/>
      <c r="BN115" s="394"/>
      <c r="BO115" s="394"/>
      <c r="BP115" s="394"/>
      <c r="BQ115" s="394"/>
      <c r="BR115" s="394"/>
      <c r="BS115" s="394"/>
      <c r="BT115" s="394"/>
      <c r="BU115" s="394"/>
      <c r="BV115" s="394"/>
      <c r="BW115" s="394"/>
      <c r="BX115" s="394"/>
      <c r="BY115" s="394"/>
      <c r="BZ115" s="394"/>
      <c r="CA115" s="395"/>
    </row>
    <row r="116" spans="1:79" ht="12" customHeight="1">
      <c r="A116" s="298"/>
      <c r="B116" s="5"/>
      <c r="C116" s="5"/>
      <c r="D116" s="162" t="s">
        <v>461</v>
      </c>
      <c r="E116" s="163"/>
      <c r="F116" s="163"/>
      <c r="G116" s="163"/>
      <c r="H116" s="163"/>
      <c r="I116" s="164"/>
      <c r="J116" s="622" t="s">
        <v>673</v>
      </c>
      <c r="K116" s="623"/>
      <c r="L116" s="623"/>
      <c r="M116" s="623"/>
      <c r="N116" s="623"/>
      <c r="O116" s="623"/>
      <c r="P116" s="623"/>
      <c r="Q116" s="624"/>
      <c r="R116" s="166" t="s">
        <v>674</v>
      </c>
      <c r="S116" s="166"/>
      <c r="T116" s="166"/>
      <c r="U116" s="166"/>
      <c r="V116" s="166"/>
      <c r="W116" s="166"/>
      <c r="X116" s="166"/>
      <c r="Y116" s="166"/>
      <c r="Z116" s="166"/>
      <c r="AA116" s="166"/>
      <c r="AB116" s="166"/>
      <c r="AC116" s="166"/>
      <c r="AD116" s="166"/>
      <c r="AE116" s="166"/>
      <c r="AF116" s="166"/>
      <c r="AG116" s="166"/>
      <c r="AH116" s="166"/>
      <c r="AI116" s="166"/>
      <c r="AJ116" s="166"/>
      <c r="AK116" s="167"/>
      <c r="AL116" s="232" t="s">
        <v>594</v>
      </c>
      <c r="AM116" s="232"/>
      <c r="AN116" s="232"/>
      <c r="AO116" s="232"/>
      <c r="AP116" s="344"/>
      <c r="AQ116" s="232" t="s">
        <v>594</v>
      </c>
      <c r="AR116" s="232"/>
      <c r="AS116" s="232"/>
      <c r="AT116" s="232"/>
      <c r="AU116" s="344"/>
      <c r="AV116" s="404" t="s">
        <v>916</v>
      </c>
      <c r="AW116" s="388"/>
      <c r="AX116" s="388"/>
      <c r="AY116" s="388"/>
      <c r="AZ116" s="388"/>
      <c r="BA116" s="388"/>
      <c r="BB116" s="388"/>
      <c r="BC116" s="388"/>
      <c r="BD116" s="388"/>
      <c r="BE116" s="388"/>
      <c r="BF116" s="388"/>
      <c r="BG116" s="388"/>
      <c r="BH116" s="388"/>
      <c r="BI116" s="388"/>
      <c r="BJ116" s="388"/>
      <c r="BK116" s="388"/>
      <c r="BL116" s="388"/>
      <c r="BM116" s="388"/>
      <c r="BN116" s="388"/>
      <c r="BO116" s="388"/>
      <c r="BP116" s="388"/>
      <c r="BQ116" s="388"/>
      <c r="BR116" s="388"/>
      <c r="BS116" s="388"/>
      <c r="BT116" s="388"/>
      <c r="BU116" s="388"/>
      <c r="BV116" s="388"/>
      <c r="BW116" s="388"/>
      <c r="BX116" s="388"/>
      <c r="BY116" s="388"/>
      <c r="BZ116" s="388"/>
      <c r="CA116" s="389"/>
    </row>
    <row r="117" spans="1:79" ht="12" customHeight="1">
      <c r="A117" s="298"/>
      <c r="B117" s="5"/>
      <c r="C117" s="5"/>
      <c r="D117" s="34"/>
      <c r="E117" s="3"/>
      <c r="F117" s="3"/>
      <c r="G117" s="3"/>
      <c r="H117" s="3"/>
      <c r="I117" s="33"/>
      <c r="J117" s="625"/>
      <c r="K117" s="626"/>
      <c r="L117" s="626"/>
      <c r="M117" s="626"/>
      <c r="N117" s="626"/>
      <c r="O117" s="626"/>
      <c r="P117" s="626"/>
      <c r="Q117" s="627"/>
      <c r="R117" s="166" t="s">
        <v>675</v>
      </c>
      <c r="S117" s="166"/>
      <c r="T117" s="166"/>
      <c r="U117" s="166"/>
      <c r="V117" s="166"/>
      <c r="W117" s="166"/>
      <c r="X117" s="166"/>
      <c r="Y117" s="166"/>
      <c r="Z117" s="166"/>
      <c r="AA117" s="166"/>
      <c r="AB117" s="166"/>
      <c r="AC117" s="166"/>
      <c r="AD117" s="166"/>
      <c r="AE117" s="166"/>
      <c r="AF117" s="166"/>
      <c r="AG117" s="166"/>
      <c r="AH117" s="166"/>
      <c r="AI117" s="166"/>
      <c r="AJ117" s="166"/>
      <c r="AK117" s="167"/>
      <c r="AL117" s="232" t="s">
        <v>594</v>
      </c>
      <c r="AM117" s="232"/>
      <c r="AN117" s="232"/>
      <c r="AO117" s="232"/>
      <c r="AP117" s="344"/>
      <c r="AQ117" s="232" t="s">
        <v>594</v>
      </c>
      <c r="AR117" s="232"/>
      <c r="AS117" s="232"/>
      <c r="AT117" s="232"/>
      <c r="AU117" s="344"/>
      <c r="AV117" s="355"/>
      <c r="AW117" s="394"/>
      <c r="AX117" s="394"/>
      <c r="AY117" s="394"/>
      <c r="AZ117" s="394"/>
      <c r="BA117" s="394"/>
      <c r="BB117" s="394"/>
      <c r="BC117" s="394"/>
      <c r="BD117" s="394"/>
      <c r="BE117" s="394"/>
      <c r="BF117" s="394"/>
      <c r="BG117" s="394"/>
      <c r="BH117" s="394"/>
      <c r="BI117" s="394"/>
      <c r="BJ117" s="394"/>
      <c r="BK117" s="394"/>
      <c r="BL117" s="394"/>
      <c r="BM117" s="394"/>
      <c r="BN117" s="394"/>
      <c r="BO117" s="394"/>
      <c r="BP117" s="394"/>
      <c r="BQ117" s="394"/>
      <c r="BR117" s="394"/>
      <c r="BS117" s="394"/>
      <c r="BT117" s="394"/>
      <c r="BU117" s="394"/>
      <c r="BV117" s="394"/>
      <c r="BW117" s="394"/>
      <c r="BX117" s="394"/>
      <c r="BY117" s="394"/>
      <c r="BZ117" s="394"/>
      <c r="CA117" s="395"/>
    </row>
    <row r="118" spans="1:79" ht="12" customHeight="1">
      <c r="A118" s="298"/>
      <c r="B118" s="5"/>
      <c r="C118" s="5"/>
      <c r="D118" s="34"/>
      <c r="E118" s="3"/>
      <c r="F118" s="3"/>
      <c r="G118" s="3"/>
      <c r="H118" s="3"/>
      <c r="I118" s="33"/>
      <c r="J118" s="162" t="s">
        <v>575</v>
      </c>
      <c r="K118" s="163"/>
      <c r="L118" s="163"/>
      <c r="M118" s="163"/>
      <c r="N118" s="163"/>
      <c r="O118" s="163"/>
      <c r="P118" s="163"/>
      <c r="Q118" s="164"/>
      <c r="R118" s="165" t="s">
        <v>582</v>
      </c>
      <c r="S118" s="166"/>
      <c r="T118" s="166"/>
      <c r="U118" s="166"/>
      <c r="V118" s="166"/>
      <c r="W118" s="166"/>
      <c r="X118" s="166"/>
      <c r="Y118" s="166"/>
      <c r="Z118" s="166"/>
      <c r="AA118" s="166"/>
      <c r="AB118" s="166"/>
      <c r="AC118" s="166"/>
      <c r="AD118" s="166"/>
      <c r="AE118" s="166"/>
      <c r="AF118" s="166"/>
      <c r="AG118" s="166"/>
      <c r="AH118" s="166"/>
      <c r="AI118" s="166"/>
      <c r="AJ118" s="166"/>
      <c r="AK118" s="167"/>
      <c r="AL118" s="232" t="s">
        <v>516</v>
      </c>
      <c r="AM118" s="232"/>
      <c r="AN118" s="232"/>
      <c r="AO118" s="232"/>
      <c r="AP118" s="344"/>
      <c r="AQ118" s="232" t="s">
        <v>516</v>
      </c>
      <c r="AR118" s="232"/>
      <c r="AS118" s="232"/>
      <c r="AT118" s="232"/>
      <c r="AU118" s="344"/>
      <c r="AV118" s="351"/>
      <c r="AW118" s="352"/>
      <c r="AX118" s="352"/>
      <c r="AY118" s="352"/>
      <c r="AZ118" s="352"/>
      <c r="BA118" s="352"/>
      <c r="BB118" s="352"/>
      <c r="BC118" s="352"/>
      <c r="BD118" s="352"/>
      <c r="BE118" s="352"/>
      <c r="BF118" s="352"/>
      <c r="BG118" s="352"/>
      <c r="BH118" s="352"/>
      <c r="BI118" s="352"/>
      <c r="BJ118" s="352"/>
      <c r="BK118" s="352"/>
      <c r="BL118" s="352"/>
      <c r="BM118" s="352"/>
      <c r="BN118" s="352"/>
      <c r="BO118" s="352"/>
      <c r="BP118" s="352"/>
      <c r="BQ118" s="352"/>
      <c r="BR118" s="352"/>
      <c r="BS118" s="352"/>
      <c r="BT118" s="352"/>
      <c r="BU118" s="352"/>
      <c r="BV118" s="352"/>
      <c r="BW118" s="352"/>
      <c r="BX118" s="352"/>
      <c r="BY118" s="352"/>
      <c r="BZ118" s="352"/>
      <c r="CA118" s="353"/>
    </row>
    <row r="119" spans="1:79" ht="12" customHeight="1">
      <c r="A119" s="298"/>
      <c r="B119" s="5"/>
      <c r="C119" s="5"/>
      <c r="D119" s="34"/>
      <c r="E119" s="3"/>
      <c r="F119" s="3"/>
      <c r="G119" s="3"/>
      <c r="H119" s="3"/>
      <c r="I119" s="33"/>
      <c r="J119" s="34"/>
      <c r="K119" s="3"/>
      <c r="L119" s="3"/>
      <c r="M119" s="3"/>
      <c r="N119" s="3"/>
      <c r="O119" s="3"/>
      <c r="P119" s="3"/>
      <c r="Q119" s="33"/>
      <c r="R119" s="165" t="s">
        <v>583</v>
      </c>
      <c r="S119" s="166"/>
      <c r="T119" s="166"/>
      <c r="U119" s="166"/>
      <c r="V119" s="166"/>
      <c r="W119" s="166"/>
      <c r="X119" s="166"/>
      <c r="Y119" s="166"/>
      <c r="Z119" s="166"/>
      <c r="AA119" s="166"/>
      <c r="AB119" s="166"/>
      <c r="AC119" s="166"/>
      <c r="AD119" s="166"/>
      <c r="AE119" s="166"/>
      <c r="AF119" s="166"/>
      <c r="AG119" s="166"/>
      <c r="AH119" s="166"/>
      <c r="AI119" s="166"/>
      <c r="AJ119" s="166"/>
      <c r="AK119" s="167"/>
      <c r="AL119" s="232" t="s">
        <v>516</v>
      </c>
      <c r="AM119" s="232"/>
      <c r="AN119" s="232"/>
      <c r="AO119" s="232"/>
      <c r="AP119" s="344"/>
      <c r="AQ119" s="232" t="s">
        <v>516</v>
      </c>
      <c r="AR119" s="232"/>
      <c r="AS119" s="232"/>
      <c r="AT119" s="232"/>
      <c r="AU119" s="344"/>
      <c r="AV119" s="351"/>
      <c r="AW119" s="352"/>
      <c r="AX119" s="352"/>
      <c r="AY119" s="352"/>
      <c r="AZ119" s="352"/>
      <c r="BA119" s="352"/>
      <c r="BB119" s="352"/>
      <c r="BC119" s="352"/>
      <c r="BD119" s="352"/>
      <c r="BE119" s="352"/>
      <c r="BF119" s="352"/>
      <c r="BG119" s="352"/>
      <c r="BH119" s="352"/>
      <c r="BI119" s="352"/>
      <c r="BJ119" s="352"/>
      <c r="BK119" s="352"/>
      <c r="BL119" s="352"/>
      <c r="BM119" s="352"/>
      <c r="BN119" s="352"/>
      <c r="BO119" s="352"/>
      <c r="BP119" s="352"/>
      <c r="BQ119" s="352"/>
      <c r="BR119" s="352"/>
      <c r="BS119" s="352"/>
      <c r="BT119" s="352"/>
      <c r="BU119" s="352"/>
      <c r="BV119" s="352"/>
      <c r="BW119" s="352"/>
      <c r="BX119" s="352"/>
      <c r="BY119" s="352"/>
      <c r="BZ119" s="352"/>
      <c r="CA119" s="353"/>
    </row>
    <row r="120" spans="1:79" ht="12" customHeight="1">
      <c r="A120" s="298"/>
      <c r="B120" s="5"/>
      <c r="C120" s="5"/>
      <c r="D120" s="34"/>
      <c r="E120" s="3"/>
      <c r="F120" s="3"/>
      <c r="G120" s="3"/>
      <c r="H120" s="3"/>
      <c r="I120" s="33"/>
      <c r="J120" s="34"/>
      <c r="K120" s="3"/>
      <c r="L120" s="3"/>
      <c r="M120" s="3"/>
      <c r="N120" s="3"/>
      <c r="O120" s="3"/>
      <c r="P120" s="3"/>
      <c r="Q120" s="33"/>
      <c r="R120" s="165" t="s">
        <v>584</v>
      </c>
      <c r="S120" s="166"/>
      <c r="T120" s="166"/>
      <c r="U120" s="166"/>
      <c r="V120" s="166"/>
      <c r="W120" s="166"/>
      <c r="X120" s="166"/>
      <c r="Y120" s="166"/>
      <c r="Z120" s="166"/>
      <c r="AA120" s="166"/>
      <c r="AB120" s="166"/>
      <c r="AC120" s="166"/>
      <c r="AD120" s="166"/>
      <c r="AE120" s="166"/>
      <c r="AF120" s="166"/>
      <c r="AG120" s="166"/>
      <c r="AH120" s="166"/>
      <c r="AI120" s="166"/>
      <c r="AJ120" s="166"/>
      <c r="AK120" s="167"/>
      <c r="AL120" s="232" t="s">
        <v>516</v>
      </c>
      <c r="AM120" s="232"/>
      <c r="AN120" s="232"/>
      <c r="AO120" s="232"/>
      <c r="AP120" s="344"/>
      <c r="AQ120" s="232" t="s">
        <v>516</v>
      </c>
      <c r="AR120" s="232"/>
      <c r="AS120" s="232"/>
      <c r="AT120" s="232"/>
      <c r="AU120" s="344"/>
      <c r="AV120" s="351"/>
      <c r="AW120" s="352"/>
      <c r="AX120" s="352"/>
      <c r="AY120" s="352"/>
      <c r="AZ120" s="352"/>
      <c r="BA120" s="352"/>
      <c r="BB120" s="352"/>
      <c r="BC120" s="352"/>
      <c r="BD120" s="352"/>
      <c r="BE120" s="352"/>
      <c r="BF120" s="352"/>
      <c r="BG120" s="352"/>
      <c r="BH120" s="352"/>
      <c r="BI120" s="352"/>
      <c r="BJ120" s="352"/>
      <c r="BK120" s="352"/>
      <c r="BL120" s="352"/>
      <c r="BM120" s="352"/>
      <c r="BN120" s="352"/>
      <c r="BO120" s="352"/>
      <c r="BP120" s="352"/>
      <c r="BQ120" s="352"/>
      <c r="BR120" s="352"/>
      <c r="BS120" s="352"/>
      <c r="BT120" s="352"/>
      <c r="BU120" s="352"/>
      <c r="BV120" s="352"/>
      <c r="BW120" s="352"/>
      <c r="BX120" s="352"/>
      <c r="BY120" s="352"/>
      <c r="BZ120" s="352"/>
      <c r="CA120" s="353"/>
    </row>
    <row r="121" spans="1:79" ht="12" customHeight="1">
      <c r="A121" s="298"/>
      <c r="B121" s="5"/>
      <c r="C121" s="5"/>
      <c r="D121" s="34"/>
      <c r="E121" s="3"/>
      <c r="F121" s="3"/>
      <c r="G121" s="3"/>
      <c r="H121" s="3"/>
      <c r="I121" s="33"/>
      <c r="J121" s="34"/>
      <c r="K121" s="3"/>
      <c r="L121" s="3"/>
      <c r="M121" s="3"/>
      <c r="N121" s="3"/>
      <c r="O121" s="3"/>
      <c r="P121" s="3"/>
      <c r="Q121" s="33"/>
      <c r="R121" s="165" t="s">
        <v>74</v>
      </c>
      <c r="S121" s="166"/>
      <c r="T121" s="166"/>
      <c r="U121" s="166"/>
      <c r="V121" s="166"/>
      <c r="W121" s="166"/>
      <c r="X121" s="166"/>
      <c r="Y121" s="166"/>
      <c r="Z121" s="166"/>
      <c r="AA121" s="166"/>
      <c r="AB121" s="166"/>
      <c r="AC121" s="166"/>
      <c r="AD121" s="166"/>
      <c r="AE121" s="166"/>
      <c r="AF121" s="166"/>
      <c r="AG121" s="166"/>
      <c r="AH121" s="166"/>
      <c r="AI121" s="166"/>
      <c r="AJ121" s="166"/>
      <c r="AK121" s="167"/>
      <c r="AL121" s="232" t="s">
        <v>516</v>
      </c>
      <c r="AM121" s="232"/>
      <c r="AN121" s="232"/>
      <c r="AO121" s="232"/>
      <c r="AP121" s="344"/>
      <c r="AQ121" s="232" t="s">
        <v>516</v>
      </c>
      <c r="AR121" s="232"/>
      <c r="AS121" s="232"/>
      <c r="AT121" s="232"/>
      <c r="AU121" s="344"/>
      <c r="AV121" s="351"/>
      <c r="AW121" s="352"/>
      <c r="AX121" s="352"/>
      <c r="AY121" s="352"/>
      <c r="AZ121" s="352"/>
      <c r="BA121" s="352"/>
      <c r="BB121" s="352"/>
      <c r="BC121" s="352"/>
      <c r="BD121" s="352"/>
      <c r="BE121" s="352"/>
      <c r="BF121" s="352"/>
      <c r="BG121" s="352"/>
      <c r="BH121" s="352"/>
      <c r="BI121" s="352"/>
      <c r="BJ121" s="352"/>
      <c r="BK121" s="352"/>
      <c r="BL121" s="352"/>
      <c r="BM121" s="352"/>
      <c r="BN121" s="352"/>
      <c r="BO121" s="352"/>
      <c r="BP121" s="352"/>
      <c r="BQ121" s="352"/>
      <c r="BR121" s="352"/>
      <c r="BS121" s="352"/>
      <c r="BT121" s="352"/>
      <c r="BU121" s="352"/>
      <c r="BV121" s="352"/>
      <c r="BW121" s="352"/>
      <c r="BX121" s="352"/>
      <c r="BY121" s="352"/>
      <c r="BZ121" s="352"/>
      <c r="CA121" s="353"/>
    </row>
    <row r="122" spans="1:79" ht="12" customHeight="1">
      <c r="A122" s="298"/>
      <c r="B122" s="5"/>
      <c r="C122" s="5"/>
      <c r="D122" s="34"/>
      <c r="E122" s="3"/>
      <c r="F122" s="3"/>
      <c r="G122" s="3"/>
      <c r="H122" s="3"/>
      <c r="I122" s="33"/>
      <c r="J122" s="34"/>
      <c r="K122" s="3"/>
      <c r="L122" s="3"/>
      <c r="M122" s="3"/>
      <c r="N122" s="3"/>
      <c r="O122" s="3"/>
      <c r="P122" s="3"/>
      <c r="Q122" s="33"/>
      <c r="R122" s="165" t="s">
        <v>73</v>
      </c>
      <c r="S122" s="166"/>
      <c r="T122" s="166"/>
      <c r="U122" s="166"/>
      <c r="V122" s="166"/>
      <c r="W122" s="166"/>
      <c r="X122" s="166"/>
      <c r="Y122" s="166"/>
      <c r="Z122" s="166"/>
      <c r="AA122" s="166"/>
      <c r="AB122" s="166"/>
      <c r="AC122" s="166"/>
      <c r="AD122" s="166"/>
      <c r="AE122" s="166"/>
      <c r="AF122" s="166"/>
      <c r="AG122" s="166"/>
      <c r="AH122" s="166"/>
      <c r="AI122" s="166"/>
      <c r="AJ122" s="166"/>
      <c r="AK122" s="167"/>
      <c r="AL122" s="232" t="s">
        <v>516</v>
      </c>
      <c r="AM122" s="232"/>
      <c r="AN122" s="232"/>
      <c r="AO122" s="232"/>
      <c r="AP122" s="344"/>
      <c r="AQ122" s="232" t="s">
        <v>516</v>
      </c>
      <c r="AR122" s="232"/>
      <c r="AS122" s="232"/>
      <c r="AT122" s="232"/>
      <c r="AU122" s="344"/>
      <c r="AV122" s="351"/>
      <c r="AW122" s="352"/>
      <c r="AX122" s="352"/>
      <c r="AY122" s="352"/>
      <c r="AZ122" s="352"/>
      <c r="BA122" s="352"/>
      <c r="BB122" s="352"/>
      <c r="BC122" s="352"/>
      <c r="BD122" s="352"/>
      <c r="BE122" s="352"/>
      <c r="BF122" s="352"/>
      <c r="BG122" s="352"/>
      <c r="BH122" s="352"/>
      <c r="BI122" s="352"/>
      <c r="BJ122" s="352"/>
      <c r="BK122" s="352"/>
      <c r="BL122" s="352"/>
      <c r="BM122" s="352"/>
      <c r="BN122" s="352"/>
      <c r="BO122" s="352"/>
      <c r="BP122" s="352"/>
      <c r="BQ122" s="352"/>
      <c r="BR122" s="352"/>
      <c r="BS122" s="352"/>
      <c r="BT122" s="352"/>
      <c r="BU122" s="352"/>
      <c r="BV122" s="352"/>
      <c r="BW122" s="352"/>
      <c r="BX122" s="352"/>
      <c r="BY122" s="352"/>
      <c r="BZ122" s="352"/>
      <c r="CA122" s="353"/>
    </row>
    <row r="123" spans="1:79" ht="12" customHeight="1">
      <c r="A123" s="298"/>
      <c r="B123" s="5"/>
      <c r="C123" s="5"/>
      <c r="D123" s="34"/>
      <c r="E123" s="3"/>
      <c r="F123" s="3"/>
      <c r="G123" s="3"/>
      <c r="H123" s="3"/>
      <c r="I123" s="33"/>
      <c r="J123" s="34"/>
      <c r="K123" s="3"/>
      <c r="L123" s="3"/>
      <c r="M123" s="3"/>
      <c r="N123" s="3"/>
      <c r="O123" s="3"/>
      <c r="P123" s="3"/>
      <c r="Q123" s="33"/>
      <c r="R123" s="165" t="s">
        <v>69</v>
      </c>
      <c r="S123" s="166"/>
      <c r="T123" s="166"/>
      <c r="U123" s="166"/>
      <c r="V123" s="166"/>
      <c r="W123" s="166"/>
      <c r="X123" s="166"/>
      <c r="Y123" s="166"/>
      <c r="Z123" s="166"/>
      <c r="AA123" s="166"/>
      <c r="AB123" s="166"/>
      <c r="AC123" s="166"/>
      <c r="AD123" s="166"/>
      <c r="AE123" s="166"/>
      <c r="AF123" s="166"/>
      <c r="AG123" s="166"/>
      <c r="AH123" s="166"/>
      <c r="AI123" s="166"/>
      <c r="AJ123" s="166"/>
      <c r="AK123" s="167"/>
      <c r="AL123" s="232" t="s">
        <v>516</v>
      </c>
      <c r="AM123" s="232"/>
      <c r="AN123" s="232"/>
      <c r="AO123" s="232"/>
      <c r="AP123" s="344"/>
      <c r="AQ123" s="232" t="s">
        <v>516</v>
      </c>
      <c r="AR123" s="232"/>
      <c r="AS123" s="232"/>
      <c r="AT123" s="232"/>
      <c r="AU123" s="344"/>
      <c r="AV123" s="351"/>
      <c r="AW123" s="352"/>
      <c r="AX123" s="352"/>
      <c r="AY123" s="352"/>
      <c r="AZ123" s="352"/>
      <c r="BA123" s="352"/>
      <c r="BB123" s="352"/>
      <c r="BC123" s="352"/>
      <c r="BD123" s="352"/>
      <c r="BE123" s="352"/>
      <c r="BF123" s="352"/>
      <c r="BG123" s="352"/>
      <c r="BH123" s="352"/>
      <c r="BI123" s="352"/>
      <c r="BJ123" s="352"/>
      <c r="BK123" s="352"/>
      <c r="BL123" s="352"/>
      <c r="BM123" s="352"/>
      <c r="BN123" s="352"/>
      <c r="BO123" s="352"/>
      <c r="BP123" s="352"/>
      <c r="BQ123" s="352"/>
      <c r="BR123" s="352"/>
      <c r="BS123" s="352"/>
      <c r="BT123" s="352"/>
      <c r="BU123" s="352"/>
      <c r="BV123" s="352"/>
      <c r="BW123" s="352"/>
      <c r="BX123" s="352"/>
      <c r="BY123" s="352"/>
      <c r="BZ123" s="352"/>
      <c r="CA123" s="353"/>
    </row>
    <row r="124" spans="1:79" ht="12" customHeight="1">
      <c r="A124" s="298"/>
      <c r="B124" s="5"/>
      <c r="C124" s="5"/>
      <c r="D124" s="34"/>
      <c r="E124" s="3"/>
      <c r="F124" s="3"/>
      <c r="G124" s="3"/>
      <c r="H124" s="3"/>
      <c r="I124" s="33"/>
      <c r="J124" s="32"/>
      <c r="K124" s="31"/>
      <c r="L124" s="31"/>
      <c r="M124" s="31"/>
      <c r="N124" s="31"/>
      <c r="O124" s="31"/>
      <c r="P124" s="31"/>
      <c r="Q124" s="30"/>
      <c r="R124" s="165" t="s">
        <v>1074</v>
      </c>
      <c r="S124" s="166"/>
      <c r="T124" s="166"/>
      <c r="U124" s="166"/>
      <c r="V124" s="166"/>
      <c r="W124" s="166"/>
      <c r="X124" s="166"/>
      <c r="Y124" s="166"/>
      <c r="Z124" s="166"/>
      <c r="AA124" s="166"/>
      <c r="AB124" s="166"/>
      <c r="AC124" s="166"/>
      <c r="AD124" s="166"/>
      <c r="AE124" s="166"/>
      <c r="AF124" s="166"/>
      <c r="AG124" s="166"/>
      <c r="AH124" s="166"/>
      <c r="AI124" s="166"/>
      <c r="AJ124" s="166"/>
      <c r="AK124" s="167"/>
      <c r="AL124" s="232" t="s">
        <v>594</v>
      </c>
      <c r="AM124" s="232"/>
      <c r="AN124" s="232"/>
      <c r="AO124" s="232"/>
      <c r="AP124" s="344"/>
      <c r="AQ124" s="232" t="s">
        <v>594</v>
      </c>
      <c r="AR124" s="232"/>
      <c r="AS124" s="232"/>
      <c r="AT124" s="232"/>
      <c r="AU124" s="344"/>
      <c r="AV124" s="403" t="s">
        <v>917</v>
      </c>
      <c r="AW124" s="352"/>
      <c r="AX124" s="352"/>
      <c r="AY124" s="352"/>
      <c r="AZ124" s="352"/>
      <c r="BA124" s="352"/>
      <c r="BB124" s="352"/>
      <c r="BC124" s="352"/>
      <c r="BD124" s="352"/>
      <c r="BE124" s="352"/>
      <c r="BF124" s="352"/>
      <c r="BG124" s="352"/>
      <c r="BH124" s="352"/>
      <c r="BI124" s="352"/>
      <c r="BJ124" s="352"/>
      <c r="BK124" s="352"/>
      <c r="BL124" s="352"/>
      <c r="BM124" s="352"/>
      <c r="BN124" s="352"/>
      <c r="BO124" s="352"/>
      <c r="BP124" s="352"/>
      <c r="BQ124" s="352"/>
      <c r="BR124" s="352"/>
      <c r="BS124" s="352"/>
      <c r="BT124" s="352"/>
      <c r="BU124" s="352"/>
      <c r="BV124" s="352"/>
      <c r="BW124" s="352"/>
      <c r="BX124" s="352"/>
      <c r="BY124" s="352"/>
      <c r="BZ124" s="352"/>
      <c r="CA124" s="353"/>
    </row>
    <row r="125" spans="1:79" ht="12" customHeight="1">
      <c r="A125" s="298"/>
      <c r="B125" s="5"/>
      <c r="C125" s="5"/>
      <c r="D125" s="34"/>
      <c r="E125" s="3"/>
      <c r="F125" s="3"/>
      <c r="G125" s="3"/>
      <c r="H125" s="3"/>
      <c r="I125" s="33"/>
      <c r="J125" s="32" t="s">
        <v>600</v>
      </c>
      <c r="K125" s="31"/>
      <c r="L125" s="31"/>
      <c r="M125" s="31"/>
      <c r="N125" s="31"/>
      <c r="O125" s="31"/>
      <c r="P125" s="31"/>
      <c r="Q125" s="31"/>
      <c r="R125" s="165" t="s">
        <v>601</v>
      </c>
      <c r="S125" s="166"/>
      <c r="T125" s="166"/>
      <c r="U125" s="166"/>
      <c r="V125" s="166"/>
      <c r="W125" s="166"/>
      <c r="X125" s="166"/>
      <c r="Y125" s="166"/>
      <c r="Z125" s="166"/>
      <c r="AA125" s="166"/>
      <c r="AB125" s="166"/>
      <c r="AC125" s="166"/>
      <c r="AD125" s="166"/>
      <c r="AE125" s="166"/>
      <c r="AF125" s="166"/>
      <c r="AG125" s="166"/>
      <c r="AH125" s="166"/>
      <c r="AI125" s="166"/>
      <c r="AJ125" s="166"/>
      <c r="AK125" s="167"/>
      <c r="AL125" s="232" t="s">
        <v>516</v>
      </c>
      <c r="AM125" s="232"/>
      <c r="AN125" s="232"/>
      <c r="AO125" s="232"/>
      <c r="AP125" s="344"/>
      <c r="AQ125" s="232" t="s">
        <v>594</v>
      </c>
      <c r="AR125" s="232"/>
      <c r="AS125" s="232"/>
      <c r="AT125" s="232"/>
      <c r="AU125" s="344"/>
      <c r="AV125" s="403" t="s">
        <v>914</v>
      </c>
      <c r="AW125" s="166"/>
      <c r="AX125" s="166"/>
      <c r="AY125" s="166"/>
      <c r="AZ125" s="352"/>
      <c r="BA125" s="352"/>
      <c r="BB125" s="352"/>
      <c r="BC125" s="352"/>
      <c r="BD125" s="352"/>
      <c r="BE125" s="352"/>
      <c r="BF125" s="352"/>
      <c r="BG125" s="352"/>
      <c r="BH125" s="352"/>
      <c r="BI125" s="352"/>
      <c r="BJ125" s="352"/>
      <c r="BK125" s="352"/>
      <c r="BL125" s="352"/>
      <c r="BM125" s="352"/>
      <c r="BN125" s="352"/>
      <c r="BO125" s="352"/>
      <c r="BP125" s="352"/>
      <c r="BQ125" s="352"/>
      <c r="BR125" s="352"/>
      <c r="BS125" s="352"/>
      <c r="BT125" s="352"/>
      <c r="BU125" s="352"/>
      <c r="BV125" s="352"/>
      <c r="BW125" s="352"/>
      <c r="BX125" s="352"/>
      <c r="BY125" s="352"/>
      <c r="BZ125" s="352"/>
      <c r="CA125" s="353"/>
    </row>
    <row r="126" spans="1:79" ht="12" customHeight="1">
      <c r="A126" s="298"/>
      <c r="B126" s="5"/>
      <c r="C126" s="5"/>
      <c r="D126" s="34"/>
      <c r="E126" s="3"/>
      <c r="F126" s="3"/>
      <c r="G126" s="3"/>
      <c r="H126" s="3"/>
      <c r="I126" s="33"/>
      <c r="J126" s="165" t="s">
        <v>576</v>
      </c>
      <c r="K126" s="166"/>
      <c r="L126" s="166"/>
      <c r="M126" s="166"/>
      <c r="N126" s="166"/>
      <c r="O126" s="166"/>
      <c r="P126" s="166"/>
      <c r="Q126" s="167"/>
      <c r="R126" s="165" t="s">
        <v>581</v>
      </c>
      <c r="S126" s="166"/>
      <c r="T126" s="166"/>
      <c r="U126" s="166"/>
      <c r="V126" s="166"/>
      <c r="W126" s="166"/>
      <c r="X126" s="166"/>
      <c r="Y126" s="166"/>
      <c r="Z126" s="166"/>
      <c r="AA126" s="166"/>
      <c r="AB126" s="166"/>
      <c r="AC126" s="166"/>
      <c r="AD126" s="166"/>
      <c r="AE126" s="166"/>
      <c r="AF126" s="166"/>
      <c r="AG126" s="166"/>
      <c r="AH126" s="166"/>
      <c r="AI126" s="166"/>
      <c r="AJ126" s="166"/>
      <c r="AK126" s="167"/>
      <c r="AL126" s="232" t="s">
        <v>516</v>
      </c>
      <c r="AM126" s="232"/>
      <c r="AN126" s="232"/>
      <c r="AO126" s="232"/>
      <c r="AP126" s="344"/>
      <c r="AQ126" s="232" t="s">
        <v>516</v>
      </c>
      <c r="AR126" s="232"/>
      <c r="AS126" s="232"/>
      <c r="AT126" s="232"/>
      <c r="AU126" s="344"/>
      <c r="AV126" s="351"/>
      <c r="AW126" s="352"/>
      <c r="AX126" s="352"/>
      <c r="AY126" s="352"/>
      <c r="AZ126" s="352"/>
      <c r="BA126" s="352"/>
      <c r="BB126" s="352"/>
      <c r="BC126" s="352"/>
      <c r="BD126" s="352"/>
      <c r="BE126" s="352"/>
      <c r="BF126" s="352"/>
      <c r="BG126" s="352"/>
      <c r="BH126" s="352"/>
      <c r="BI126" s="352"/>
      <c r="BJ126" s="352"/>
      <c r="BK126" s="352"/>
      <c r="BL126" s="352"/>
      <c r="BM126" s="352"/>
      <c r="BN126" s="352"/>
      <c r="BO126" s="352"/>
      <c r="BP126" s="352"/>
      <c r="BQ126" s="352"/>
      <c r="BR126" s="352"/>
      <c r="BS126" s="352"/>
      <c r="BT126" s="352"/>
      <c r="BU126" s="352"/>
      <c r="BV126" s="352"/>
      <c r="BW126" s="352"/>
      <c r="BX126" s="352"/>
      <c r="BY126" s="352"/>
      <c r="BZ126" s="352"/>
      <c r="CA126" s="353"/>
    </row>
    <row r="127" spans="1:79" ht="12" customHeight="1">
      <c r="A127" s="298"/>
      <c r="B127" s="5"/>
      <c r="C127" s="5"/>
      <c r="D127" s="34"/>
      <c r="E127" s="3"/>
      <c r="F127" s="3"/>
      <c r="G127" s="3"/>
      <c r="H127" s="3"/>
      <c r="I127" s="33"/>
      <c r="J127" s="3" t="s">
        <v>591</v>
      </c>
      <c r="K127" s="3"/>
      <c r="L127" s="3"/>
      <c r="M127" s="3"/>
      <c r="N127" s="3"/>
      <c r="O127" s="3"/>
      <c r="P127" s="3"/>
      <c r="Q127" s="3"/>
      <c r="R127" s="165" t="s">
        <v>482</v>
      </c>
      <c r="S127" s="166"/>
      <c r="T127" s="166"/>
      <c r="U127" s="166"/>
      <c r="V127" s="166"/>
      <c r="W127" s="166"/>
      <c r="X127" s="166"/>
      <c r="Y127" s="166"/>
      <c r="Z127" s="166"/>
      <c r="AA127" s="166"/>
      <c r="AB127" s="166"/>
      <c r="AC127" s="166"/>
      <c r="AD127" s="166"/>
      <c r="AE127" s="166"/>
      <c r="AF127" s="166"/>
      <c r="AG127" s="166"/>
      <c r="AH127" s="166"/>
      <c r="AI127" s="166"/>
      <c r="AJ127" s="166"/>
      <c r="AK127" s="167"/>
      <c r="AL127" s="232" t="s">
        <v>516</v>
      </c>
      <c r="AM127" s="232"/>
      <c r="AN127" s="232"/>
      <c r="AO127" s="232"/>
      <c r="AP127" s="344"/>
      <c r="AQ127" s="232" t="s">
        <v>516</v>
      </c>
      <c r="AR127" s="232"/>
      <c r="AS127" s="232"/>
      <c r="AT127" s="232"/>
      <c r="AU127" s="344"/>
      <c r="AV127" s="351"/>
      <c r="AW127" s="352"/>
      <c r="AX127" s="352"/>
      <c r="AY127" s="352"/>
      <c r="AZ127" s="352"/>
      <c r="BA127" s="352"/>
      <c r="BB127" s="352"/>
      <c r="BC127" s="352"/>
      <c r="BD127" s="352"/>
      <c r="BE127" s="352"/>
      <c r="BF127" s="352"/>
      <c r="BG127" s="352"/>
      <c r="BH127" s="352"/>
      <c r="BI127" s="352"/>
      <c r="BJ127" s="352"/>
      <c r="BK127" s="352"/>
      <c r="BL127" s="352"/>
      <c r="BM127" s="352"/>
      <c r="BN127" s="352"/>
      <c r="BO127" s="352"/>
      <c r="BP127" s="352"/>
      <c r="BQ127" s="352"/>
      <c r="BR127" s="352"/>
      <c r="BS127" s="352"/>
      <c r="BT127" s="352"/>
      <c r="BU127" s="352"/>
      <c r="BV127" s="352"/>
      <c r="BW127" s="352"/>
      <c r="BX127" s="352"/>
      <c r="BY127" s="352"/>
      <c r="BZ127" s="352"/>
      <c r="CA127" s="353"/>
    </row>
    <row r="128" spans="1:79" ht="12" customHeight="1">
      <c r="A128" s="298"/>
      <c r="B128" s="5"/>
      <c r="C128" s="5"/>
      <c r="D128" s="34"/>
      <c r="E128" s="3"/>
      <c r="F128" s="3"/>
      <c r="G128" s="3"/>
      <c r="H128" s="3"/>
      <c r="I128" s="33"/>
      <c r="J128" s="31"/>
      <c r="K128" s="31"/>
      <c r="L128" s="31"/>
      <c r="M128" s="31"/>
      <c r="N128" s="31"/>
      <c r="O128" s="31"/>
      <c r="P128" s="31"/>
      <c r="Q128" s="31"/>
      <c r="R128" s="165" t="s">
        <v>593</v>
      </c>
      <c r="S128" s="166"/>
      <c r="T128" s="166"/>
      <c r="U128" s="166"/>
      <c r="V128" s="166"/>
      <c r="W128" s="166"/>
      <c r="X128" s="166"/>
      <c r="Y128" s="166"/>
      <c r="Z128" s="166"/>
      <c r="AA128" s="166"/>
      <c r="AB128" s="166"/>
      <c r="AC128" s="166"/>
      <c r="AD128" s="166"/>
      <c r="AE128" s="166"/>
      <c r="AF128" s="166"/>
      <c r="AG128" s="166"/>
      <c r="AH128" s="166"/>
      <c r="AI128" s="166"/>
      <c r="AJ128" s="166"/>
      <c r="AK128" s="167"/>
      <c r="AL128" s="232" t="s">
        <v>594</v>
      </c>
      <c r="AM128" s="232"/>
      <c r="AN128" s="232"/>
      <c r="AO128" s="232"/>
      <c r="AP128" s="344"/>
      <c r="AQ128" s="232" t="s">
        <v>594</v>
      </c>
      <c r="AR128" s="232"/>
      <c r="AS128" s="232"/>
      <c r="AT128" s="232"/>
      <c r="AU128" s="344"/>
      <c r="AV128" s="404" t="s">
        <v>915</v>
      </c>
      <c r="AW128" s="388"/>
      <c r="AX128" s="388"/>
      <c r="AY128" s="388"/>
      <c r="AZ128" s="388"/>
      <c r="BA128" s="388"/>
      <c r="BB128" s="388"/>
      <c r="BC128" s="388"/>
      <c r="BD128" s="388"/>
      <c r="BE128" s="388"/>
      <c r="BF128" s="388"/>
      <c r="BG128" s="388"/>
      <c r="BH128" s="388"/>
      <c r="BI128" s="388"/>
      <c r="BJ128" s="388"/>
      <c r="BK128" s="388"/>
      <c r="BL128" s="388"/>
      <c r="BM128" s="388"/>
      <c r="BN128" s="388"/>
      <c r="BO128" s="388"/>
      <c r="BP128" s="388"/>
      <c r="BQ128" s="388"/>
      <c r="BR128" s="388"/>
      <c r="BS128" s="388"/>
      <c r="BT128" s="388"/>
      <c r="BU128" s="388"/>
      <c r="BV128" s="388"/>
      <c r="BW128" s="388"/>
      <c r="BX128" s="388"/>
      <c r="BY128" s="388"/>
      <c r="BZ128" s="388"/>
      <c r="CA128" s="389"/>
    </row>
    <row r="129" spans="1:83" ht="12" customHeight="1">
      <c r="A129" s="298"/>
      <c r="B129" s="5"/>
      <c r="C129" s="5"/>
      <c r="D129" s="34"/>
      <c r="E129" s="3"/>
      <c r="F129" s="3"/>
      <c r="G129" s="3"/>
      <c r="H129" s="3"/>
      <c r="I129" s="33"/>
      <c r="J129" s="162" t="s">
        <v>595</v>
      </c>
      <c r="K129" s="163"/>
      <c r="L129" s="163"/>
      <c r="M129" s="163"/>
      <c r="N129" s="163"/>
      <c r="O129" s="163"/>
      <c r="P129" s="163"/>
      <c r="Q129" s="164"/>
      <c r="R129" s="32" t="s">
        <v>589</v>
      </c>
      <c r="S129" s="31"/>
      <c r="T129" s="31"/>
      <c r="U129" s="31"/>
      <c r="V129" s="31"/>
      <c r="W129" s="31"/>
      <c r="X129" s="31"/>
      <c r="Y129" s="31"/>
      <c r="Z129" s="31"/>
      <c r="AA129" s="31"/>
      <c r="AB129" s="31"/>
      <c r="AC129" s="31"/>
      <c r="AD129" s="31"/>
      <c r="AE129" s="31"/>
      <c r="AF129" s="31"/>
      <c r="AG129" s="31"/>
      <c r="AH129" s="31"/>
      <c r="AI129" s="31"/>
      <c r="AJ129" s="31"/>
      <c r="AK129" s="30"/>
      <c r="AL129" s="233" t="s">
        <v>594</v>
      </c>
      <c r="AM129" s="233"/>
      <c r="AN129" s="233"/>
      <c r="AO129" s="233"/>
      <c r="AP129" s="345"/>
      <c r="AQ129" s="233" t="s">
        <v>594</v>
      </c>
      <c r="AR129" s="233"/>
      <c r="AS129" s="233"/>
      <c r="AT129" s="233"/>
      <c r="AU129" s="345"/>
      <c r="AV129" s="354"/>
      <c r="AW129" s="391"/>
      <c r="AX129" s="391"/>
      <c r="AY129" s="391"/>
      <c r="AZ129" s="391"/>
      <c r="BA129" s="391"/>
      <c r="BB129" s="391"/>
      <c r="BC129" s="391"/>
      <c r="BD129" s="391"/>
      <c r="BE129" s="391"/>
      <c r="BF129" s="391"/>
      <c r="BG129" s="391"/>
      <c r="BH129" s="391"/>
      <c r="BI129" s="391"/>
      <c r="BJ129" s="391"/>
      <c r="BK129" s="391"/>
      <c r="BL129" s="391"/>
      <c r="BM129" s="391"/>
      <c r="BN129" s="391"/>
      <c r="BO129" s="391"/>
      <c r="BP129" s="391"/>
      <c r="BQ129" s="391"/>
      <c r="BR129" s="391"/>
      <c r="BS129" s="391"/>
      <c r="BT129" s="391"/>
      <c r="BU129" s="391"/>
      <c r="BV129" s="391"/>
      <c r="BW129" s="391"/>
      <c r="BX129" s="391"/>
      <c r="BY129" s="391"/>
      <c r="BZ129" s="391"/>
      <c r="CA129" s="392"/>
    </row>
    <row r="130" spans="1:83" ht="12" customHeight="1">
      <c r="A130" s="298"/>
      <c r="B130" s="5"/>
      <c r="C130" s="5"/>
      <c r="D130" s="32"/>
      <c r="E130" s="31"/>
      <c r="F130" s="31"/>
      <c r="G130" s="31"/>
      <c r="H130" s="31"/>
      <c r="I130" s="30"/>
      <c r="J130" s="31"/>
      <c r="K130" s="31"/>
      <c r="L130" s="31"/>
      <c r="M130" s="31"/>
      <c r="N130" s="31"/>
      <c r="O130" s="31"/>
      <c r="P130" s="31"/>
      <c r="Q130" s="30"/>
      <c r="R130" s="165" t="s">
        <v>590</v>
      </c>
      <c r="S130" s="166"/>
      <c r="T130" s="166"/>
      <c r="U130" s="166"/>
      <c r="V130" s="166"/>
      <c r="W130" s="166"/>
      <c r="X130" s="166"/>
      <c r="Y130" s="166"/>
      <c r="Z130" s="166"/>
      <c r="AA130" s="166"/>
      <c r="AB130" s="166"/>
      <c r="AC130" s="166"/>
      <c r="AD130" s="166"/>
      <c r="AE130" s="166"/>
      <c r="AF130" s="166"/>
      <c r="AG130" s="166"/>
      <c r="AH130" s="166"/>
      <c r="AI130" s="166"/>
      <c r="AJ130" s="166"/>
      <c r="AK130" s="167"/>
      <c r="AL130" s="232" t="s">
        <v>594</v>
      </c>
      <c r="AM130" s="232"/>
      <c r="AN130" s="232"/>
      <c r="AO130" s="232"/>
      <c r="AP130" s="344"/>
      <c r="AQ130" s="232" t="s">
        <v>594</v>
      </c>
      <c r="AR130" s="232"/>
      <c r="AS130" s="232"/>
      <c r="AT130" s="232"/>
      <c r="AU130" s="344"/>
      <c r="AV130" s="355"/>
      <c r="AW130" s="394"/>
      <c r="AX130" s="394"/>
      <c r="AY130" s="394"/>
      <c r="AZ130" s="394"/>
      <c r="BA130" s="394"/>
      <c r="BB130" s="394"/>
      <c r="BC130" s="394"/>
      <c r="BD130" s="394"/>
      <c r="BE130" s="394"/>
      <c r="BF130" s="394"/>
      <c r="BG130" s="394"/>
      <c r="BH130" s="394"/>
      <c r="BI130" s="394"/>
      <c r="BJ130" s="394"/>
      <c r="BK130" s="394"/>
      <c r="BL130" s="394"/>
      <c r="BM130" s="394"/>
      <c r="BN130" s="394"/>
      <c r="BO130" s="394"/>
      <c r="BP130" s="394"/>
      <c r="BQ130" s="394"/>
      <c r="BR130" s="394"/>
      <c r="BS130" s="394"/>
      <c r="BT130" s="394"/>
      <c r="BU130" s="394"/>
      <c r="BV130" s="394"/>
      <c r="BW130" s="394"/>
      <c r="BX130" s="394"/>
      <c r="BY130" s="394"/>
      <c r="BZ130" s="394"/>
      <c r="CA130" s="395"/>
    </row>
    <row r="131" spans="1:83" ht="12" customHeight="1">
      <c r="A131" s="5"/>
      <c r="B131" s="5"/>
      <c r="C131" s="5"/>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c r="AO131" s="113"/>
      <c r="AP131" s="113"/>
      <c r="AQ131" s="5"/>
    </row>
    <row r="132" spans="1:83" ht="12" customHeight="1">
      <c r="A132" s="5"/>
      <c r="B132" s="5"/>
      <c r="C132" s="5"/>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c r="AO132" s="113"/>
      <c r="AP132" s="11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43"/>
      <c r="BZ132" s="343"/>
      <c r="CA132" s="343"/>
      <c r="CB132" s="343"/>
      <c r="CC132" s="343"/>
      <c r="CD132" s="343"/>
      <c r="CE132" s="5"/>
    </row>
    <row r="133" spans="1:83" ht="12" customHeight="1">
      <c r="A133" s="5"/>
      <c r="B133" s="5"/>
      <c r="C133" s="5"/>
      <c r="D133" s="183" t="s">
        <v>592</v>
      </c>
      <c r="E133" s="184"/>
      <c r="F133" s="184"/>
      <c r="G133" s="184"/>
      <c r="H133" s="184"/>
      <c r="I133" s="185"/>
      <c r="J133" s="183" t="s">
        <v>574</v>
      </c>
      <c r="K133" s="184"/>
      <c r="L133" s="184"/>
      <c r="M133" s="184"/>
      <c r="N133" s="184"/>
      <c r="O133" s="184"/>
      <c r="P133" s="184"/>
      <c r="Q133" s="185"/>
      <c r="R133" s="183" t="s">
        <v>481</v>
      </c>
      <c r="S133" s="184"/>
      <c r="T133" s="184"/>
      <c r="U133" s="184"/>
      <c r="V133" s="184"/>
      <c r="W133" s="184"/>
      <c r="X133" s="184"/>
      <c r="Y133" s="184"/>
      <c r="Z133" s="184"/>
      <c r="AA133" s="184"/>
      <c r="AB133" s="184"/>
      <c r="AC133" s="184"/>
      <c r="AD133" s="184"/>
      <c r="AE133" s="184"/>
      <c r="AF133" s="184"/>
      <c r="AG133" s="184"/>
      <c r="AH133" s="184"/>
      <c r="AI133" s="184"/>
      <c r="AJ133" s="184"/>
      <c r="AK133" s="185"/>
      <c r="AL133" s="616" t="s">
        <v>911</v>
      </c>
      <c r="AM133" s="617"/>
      <c r="AN133" s="617"/>
      <c r="AO133" s="617"/>
      <c r="AP133" s="618"/>
      <c r="AQ133" s="616" t="s">
        <v>912</v>
      </c>
      <c r="AR133" s="617"/>
      <c r="AS133" s="617"/>
      <c r="AT133" s="617"/>
      <c r="AU133" s="618"/>
      <c r="AV133" s="402" t="s">
        <v>64</v>
      </c>
      <c r="AW133" s="346"/>
      <c r="AX133" s="346"/>
      <c r="AY133" s="346"/>
      <c r="AZ133" s="346"/>
      <c r="BA133" s="346"/>
      <c r="BB133" s="346"/>
      <c r="BC133" s="346"/>
      <c r="BD133" s="346"/>
      <c r="BE133" s="346"/>
      <c r="BF133" s="346"/>
      <c r="BG133" s="346"/>
      <c r="BH133" s="346"/>
      <c r="BI133" s="346"/>
      <c r="BJ133" s="346"/>
      <c r="BK133" s="346"/>
      <c r="BL133" s="346"/>
      <c r="BM133" s="346"/>
      <c r="BN133" s="346"/>
      <c r="BO133" s="346"/>
      <c r="BP133" s="346"/>
      <c r="BQ133" s="346"/>
      <c r="BR133" s="346"/>
      <c r="BS133" s="346"/>
      <c r="BT133" s="346"/>
      <c r="BU133" s="346"/>
      <c r="BV133" s="346"/>
      <c r="BW133" s="346"/>
      <c r="BX133" s="346"/>
      <c r="BY133" s="346"/>
      <c r="BZ133" s="346"/>
      <c r="CA133" s="347"/>
      <c r="CB133" s="343"/>
      <c r="CC133" s="5"/>
    </row>
    <row r="134" spans="1:83" ht="12" customHeight="1">
      <c r="A134" s="5"/>
      <c r="B134" s="5"/>
      <c r="C134" s="5"/>
      <c r="D134" s="58"/>
      <c r="E134" s="57"/>
      <c r="F134" s="57"/>
      <c r="G134" s="57"/>
      <c r="H134" s="57"/>
      <c r="I134" s="56"/>
      <c r="J134" s="58"/>
      <c r="K134" s="57"/>
      <c r="L134" s="57"/>
      <c r="M134" s="57"/>
      <c r="N134" s="57"/>
      <c r="O134" s="57"/>
      <c r="P134" s="57"/>
      <c r="Q134" s="56"/>
      <c r="R134" s="58"/>
      <c r="S134" s="57"/>
      <c r="T134" s="57"/>
      <c r="U134" s="57"/>
      <c r="V134" s="57"/>
      <c r="W134" s="57"/>
      <c r="X134" s="57"/>
      <c r="Y134" s="57"/>
      <c r="Z134" s="57"/>
      <c r="AA134" s="57"/>
      <c r="AB134" s="57"/>
      <c r="AC134" s="57"/>
      <c r="AD134" s="57"/>
      <c r="AE134" s="57"/>
      <c r="AF134" s="57"/>
      <c r="AG134" s="57"/>
      <c r="AH134" s="57"/>
      <c r="AI134" s="57"/>
      <c r="AJ134" s="57"/>
      <c r="AK134" s="56"/>
      <c r="AL134" s="619"/>
      <c r="AM134" s="620"/>
      <c r="AN134" s="620"/>
      <c r="AO134" s="620"/>
      <c r="AP134" s="621"/>
      <c r="AQ134" s="619"/>
      <c r="AR134" s="620"/>
      <c r="AS134" s="620"/>
      <c r="AT134" s="620"/>
      <c r="AU134" s="621"/>
      <c r="AV134" s="348"/>
      <c r="AW134" s="349"/>
      <c r="AX134" s="349"/>
      <c r="AY134" s="349"/>
      <c r="AZ134" s="349"/>
      <c r="BA134" s="349"/>
      <c r="BB134" s="349"/>
      <c r="BC134" s="349"/>
      <c r="BD134" s="349"/>
      <c r="BE134" s="349"/>
      <c r="BF134" s="349"/>
      <c r="BG134" s="349"/>
      <c r="BH134" s="349"/>
      <c r="BI134" s="349"/>
      <c r="BJ134" s="349"/>
      <c r="BK134" s="349"/>
      <c r="BL134" s="349"/>
      <c r="BM134" s="349"/>
      <c r="BN134" s="349"/>
      <c r="BO134" s="349"/>
      <c r="BP134" s="349"/>
      <c r="BQ134" s="349"/>
      <c r="BR134" s="349"/>
      <c r="BS134" s="349"/>
      <c r="BT134" s="349"/>
      <c r="BU134" s="349"/>
      <c r="BV134" s="349"/>
      <c r="BW134" s="349"/>
      <c r="BX134" s="349"/>
      <c r="BY134" s="349"/>
      <c r="BZ134" s="349"/>
      <c r="CA134" s="350"/>
      <c r="CB134" s="343"/>
      <c r="CC134" s="5"/>
    </row>
    <row r="135" spans="1:83" ht="12" customHeight="1">
      <c r="A135" s="5"/>
      <c r="B135" s="5"/>
      <c r="C135" s="5"/>
      <c r="D135" s="162" t="s">
        <v>297</v>
      </c>
      <c r="E135" s="163"/>
      <c r="F135" s="163"/>
      <c r="G135" s="163"/>
      <c r="H135" s="163"/>
      <c r="I135" s="164"/>
      <c r="J135" s="162" t="s">
        <v>575</v>
      </c>
      <c r="K135" s="163"/>
      <c r="L135" s="163"/>
      <c r="M135" s="163"/>
      <c r="N135" s="163"/>
      <c r="O135" s="163"/>
      <c r="P135" s="163"/>
      <c r="Q135" s="163"/>
      <c r="R135" s="165" t="s">
        <v>585</v>
      </c>
      <c r="S135" s="166"/>
      <c r="T135" s="166"/>
      <c r="U135" s="166"/>
      <c r="V135" s="166"/>
      <c r="W135" s="166"/>
      <c r="X135" s="166"/>
      <c r="Y135" s="166"/>
      <c r="Z135" s="166"/>
      <c r="AA135" s="166"/>
      <c r="AB135" s="166"/>
      <c r="AC135" s="166"/>
      <c r="AD135" s="166"/>
      <c r="AE135" s="166"/>
      <c r="AF135" s="166"/>
      <c r="AG135" s="166"/>
      <c r="AH135" s="166"/>
      <c r="AI135" s="166"/>
      <c r="AJ135" s="166"/>
      <c r="AK135" s="167"/>
      <c r="AL135" s="232" t="s">
        <v>516</v>
      </c>
      <c r="AM135" s="232"/>
      <c r="AN135" s="232"/>
      <c r="AO135" s="232"/>
      <c r="AP135" s="344"/>
      <c r="AQ135" s="232" t="s">
        <v>516</v>
      </c>
      <c r="AR135" s="232"/>
      <c r="AS135" s="232"/>
      <c r="AT135" s="232"/>
      <c r="AU135" s="344"/>
      <c r="AV135" s="403"/>
      <c r="AW135" s="352"/>
      <c r="AX135" s="352"/>
      <c r="AY135" s="352"/>
      <c r="AZ135" s="352"/>
      <c r="BA135" s="352"/>
      <c r="BB135" s="352"/>
      <c r="BC135" s="352"/>
      <c r="BD135" s="352"/>
      <c r="BE135" s="352"/>
      <c r="BF135" s="352"/>
      <c r="BG135" s="352"/>
      <c r="BH135" s="352"/>
      <c r="BI135" s="352"/>
      <c r="BJ135" s="352"/>
      <c r="BK135" s="352"/>
      <c r="BL135" s="352"/>
      <c r="BM135" s="352"/>
      <c r="BN135" s="352"/>
      <c r="BO135" s="352"/>
      <c r="BP135" s="352"/>
      <c r="BQ135" s="352"/>
      <c r="BR135" s="352"/>
      <c r="BS135" s="352"/>
      <c r="BT135" s="352"/>
      <c r="BU135" s="352"/>
      <c r="BV135" s="352"/>
      <c r="BW135" s="352"/>
      <c r="BX135" s="352"/>
      <c r="BY135" s="352"/>
      <c r="BZ135" s="352"/>
      <c r="CA135" s="353"/>
      <c r="CB135" s="343"/>
      <c r="CC135" s="5"/>
    </row>
    <row r="136" spans="1:83" ht="12" customHeight="1">
      <c r="A136" s="5"/>
      <c r="B136" s="5"/>
      <c r="C136" s="5"/>
      <c r="D136" s="34"/>
      <c r="E136" s="3"/>
      <c r="F136" s="3"/>
      <c r="G136" s="3"/>
      <c r="H136" s="3"/>
      <c r="I136" s="33"/>
      <c r="J136" s="34"/>
      <c r="K136" s="3"/>
      <c r="L136" s="3"/>
      <c r="M136" s="3"/>
      <c r="N136" s="3"/>
      <c r="O136" s="3"/>
      <c r="P136" s="3"/>
      <c r="Q136" s="3"/>
      <c r="R136" s="165" t="s">
        <v>583</v>
      </c>
      <c r="S136" s="166"/>
      <c r="T136" s="166"/>
      <c r="U136" s="166"/>
      <c r="V136" s="166"/>
      <c r="W136" s="166"/>
      <c r="X136" s="166"/>
      <c r="Y136" s="166"/>
      <c r="Z136" s="166"/>
      <c r="AA136" s="166"/>
      <c r="AB136" s="166"/>
      <c r="AC136" s="166"/>
      <c r="AD136" s="166"/>
      <c r="AE136" s="166"/>
      <c r="AF136" s="166"/>
      <c r="AG136" s="166"/>
      <c r="AH136" s="166"/>
      <c r="AI136" s="166"/>
      <c r="AJ136" s="166"/>
      <c r="AK136" s="167"/>
      <c r="AL136" s="232" t="s">
        <v>516</v>
      </c>
      <c r="AM136" s="232"/>
      <c r="AN136" s="232"/>
      <c r="AO136" s="232"/>
      <c r="AP136" s="344"/>
      <c r="AQ136" s="232" t="s">
        <v>516</v>
      </c>
      <c r="AR136" s="232"/>
      <c r="AS136" s="232"/>
      <c r="AT136" s="232"/>
      <c r="AU136" s="344"/>
      <c r="AV136" s="403"/>
      <c r="AW136" s="352"/>
      <c r="AX136" s="352"/>
      <c r="AY136" s="352"/>
      <c r="AZ136" s="352"/>
      <c r="BA136" s="352"/>
      <c r="BB136" s="352"/>
      <c r="BC136" s="352"/>
      <c r="BD136" s="352"/>
      <c r="BE136" s="352"/>
      <c r="BF136" s="352"/>
      <c r="BG136" s="352"/>
      <c r="BH136" s="352"/>
      <c r="BI136" s="352"/>
      <c r="BJ136" s="352"/>
      <c r="BK136" s="352"/>
      <c r="BL136" s="352"/>
      <c r="BM136" s="352"/>
      <c r="BN136" s="352"/>
      <c r="BO136" s="352"/>
      <c r="BP136" s="352"/>
      <c r="BQ136" s="352"/>
      <c r="BR136" s="352"/>
      <c r="BS136" s="352"/>
      <c r="BT136" s="352"/>
      <c r="BU136" s="352"/>
      <c r="BV136" s="352"/>
      <c r="BW136" s="352"/>
      <c r="BX136" s="352"/>
      <c r="BY136" s="352"/>
      <c r="BZ136" s="352"/>
      <c r="CA136" s="353"/>
      <c r="CB136" s="343"/>
      <c r="CC136" s="5"/>
    </row>
    <row r="137" spans="1:83" ht="12" customHeight="1">
      <c r="A137" s="5"/>
      <c r="B137" s="5"/>
      <c r="C137" s="5"/>
      <c r="D137" s="34"/>
      <c r="E137" s="3"/>
      <c r="F137" s="3"/>
      <c r="G137" s="3"/>
      <c r="H137" s="3"/>
      <c r="I137" s="33"/>
      <c r="J137" s="34"/>
      <c r="K137" s="3"/>
      <c r="L137" s="3"/>
      <c r="M137" s="3"/>
      <c r="N137" s="3"/>
      <c r="O137" s="3"/>
      <c r="P137" s="3"/>
      <c r="Q137" s="3"/>
      <c r="R137" s="165" t="s">
        <v>584</v>
      </c>
      <c r="S137" s="166"/>
      <c r="T137" s="166"/>
      <c r="U137" s="166"/>
      <c r="V137" s="166"/>
      <c r="W137" s="166"/>
      <c r="X137" s="166"/>
      <c r="Y137" s="166"/>
      <c r="Z137" s="166"/>
      <c r="AA137" s="166"/>
      <c r="AB137" s="166"/>
      <c r="AC137" s="166"/>
      <c r="AD137" s="166"/>
      <c r="AE137" s="166"/>
      <c r="AF137" s="166"/>
      <c r="AG137" s="166"/>
      <c r="AH137" s="166"/>
      <c r="AI137" s="166"/>
      <c r="AJ137" s="166"/>
      <c r="AK137" s="167"/>
      <c r="AL137" s="232" t="s">
        <v>516</v>
      </c>
      <c r="AM137" s="232"/>
      <c r="AN137" s="232"/>
      <c r="AO137" s="232"/>
      <c r="AP137" s="344"/>
      <c r="AQ137" s="232" t="s">
        <v>516</v>
      </c>
      <c r="AR137" s="232"/>
      <c r="AS137" s="232"/>
      <c r="AT137" s="232"/>
      <c r="AU137" s="344"/>
      <c r="AV137" s="403"/>
      <c r="AW137" s="352"/>
      <c r="AX137" s="352"/>
      <c r="AY137" s="352"/>
      <c r="AZ137" s="352"/>
      <c r="BA137" s="352"/>
      <c r="BB137" s="352"/>
      <c r="BC137" s="352"/>
      <c r="BD137" s="352"/>
      <c r="BE137" s="352"/>
      <c r="BF137" s="352"/>
      <c r="BG137" s="352"/>
      <c r="BH137" s="352"/>
      <c r="BI137" s="352"/>
      <c r="BJ137" s="352"/>
      <c r="BK137" s="352"/>
      <c r="BL137" s="352"/>
      <c r="BM137" s="352"/>
      <c r="BN137" s="352"/>
      <c r="BO137" s="352"/>
      <c r="BP137" s="352"/>
      <c r="BQ137" s="352"/>
      <c r="BR137" s="352"/>
      <c r="BS137" s="352"/>
      <c r="BT137" s="352"/>
      <c r="BU137" s="352"/>
      <c r="BV137" s="352"/>
      <c r="BW137" s="352"/>
      <c r="BX137" s="352"/>
      <c r="BY137" s="352"/>
      <c r="BZ137" s="352"/>
      <c r="CA137" s="353"/>
      <c r="CB137" s="343"/>
      <c r="CC137" s="5"/>
    </row>
    <row r="138" spans="1:83" ht="12" customHeight="1">
      <c r="A138" s="5"/>
      <c r="B138" s="5"/>
      <c r="C138" s="5"/>
      <c r="D138" s="34"/>
      <c r="E138" s="3"/>
      <c r="F138" s="3"/>
      <c r="G138" s="3"/>
      <c r="H138" s="3"/>
      <c r="I138" s="33"/>
      <c r="J138" s="34"/>
      <c r="K138" s="3"/>
      <c r="L138" s="3"/>
      <c r="M138" s="3"/>
      <c r="N138" s="3"/>
      <c r="O138" s="3"/>
      <c r="P138" s="3"/>
      <c r="Q138" s="3"/>
      <c r="R138" s="165" t="s">
        <v>602</v>
      </c>
      <c r="S138" s="166"/>
      <c r="T138" s="166"/>
      <c r="U138" s="166"/>
      <c r="V138" s="166"/>
      <c r="W138" s="166"/>
      <c r="X138" s="166"/>
      <c r="Y138" s="166"/>
      <c r="Z138" s="166"/>
      <c r="AA138" s="166"/>
      <c r="AB138" s="166"/>
      <c r="AC138" s="166"/>
      <c r="AD138" s="166"/>
      <c r="AE138" s="166"/>
      <c r="AF138" s="166"/>
      <c r="AG138" s="166"/>
      <c r="AH138" s="166"/>
      <c r="AI138" s="166"/>
      <c r="AJ138" s="166"/>
      <c r="AK138" s="167"/>
      <c r="AL138" s="232" t="s">
        <v>516</v>
      </c>
      <c r="AM138" s="232"/>
      <c r="AN138" s="232"/>
      <c r="AO138" s="232"/>
      <c r="AP138" s="344"/>
      <c r="AQ138" s="232" t="s">
        <v>516</v>
      </c>
      <c r="AR138" s="232"/>
      <c r="AS138" s="232"/>
      <c r="AT138" s="232"/>
      <c r="AU138" s="344"/>
      <c r="AV138" s="403"/>
      <c r="AW138" s="352"/>
      <c r="AX138" s="352"/>
      <c r="AY138" s="352"/>
      <c r="AZ138" s="352"/>
      <c r="BA138" s="352"/>
      <c r="BB138" s="352"/>
      <c r="BC138" s="352"/>
      <c r="BD138" s="352"/>
      <c r="BE138" s="352"/>
      <c r="BF138" s="352"/>
      <c r="BG138" s="352"/>
      <c r="BH138" s="352"/>
      <c r="BI138" s="352"/>
      <c r="BJ138" s="352"/>
      <c r="BK138" s="352"/>
      <c r="BL138" s="352"/>
      <c r="BM138" s="352"/>
      <c r="BN138" s="352"/>
      <c r="BO138" s="352"/>
      <c r="BP138" s="352"/>
      <c r="BQ138" s="352"/>
      <c r="BR138" s="352"/>
      <c r="BS138" s="352"/>
      <c r="BT138" s="352"/>
      <c r="BU138" s="352"/>
      <c r="BV138" s="352"/>
      <c r="BW138" s="352"/>
      <c r="BX138" s="352"/>
      <c r="BY138" s="352"/>
      <c r="BZ138" s="352"/>
      <c r="CA138" s="353"/>
      <c r="CB138" s="343"/>
      <c r="CC138" s="5"/>
    </row>
    <row r="139" spans="1:83" ht="12" customHeight="1">
      <c r="A139" s="5"/>
      <c r="B139" s="5"/>
      <c r="C139" s="5"/>
      <c r="D139" s="34"/>
      <c r="E139" s="3"/>
      <c r="F139" s="3"/>
      <c r="G139" s="3"/>
      <c r="H139" s="3"/>
      <c r="I139" s="33"/>
      <c r="J139" s="34"/>
      <c r="K139" s="3"/>
      <c r="L139" s="3"/>
      <c r="M139" s="3"/>
      <c r="N139" s="3"/>
      <c r="O139" s="3"/>
      <c r="P139" s="3"/>
      <c r="Q139" s="3"/>
      <c r="R139" s="165" t="s">
        <v>603</v>
      </c>
      <c r="S139" s="166"/>
      <c r="T139" s="166"/>
      <c r="U139" s="166"/>
      <c r="V139" s="166"/>
      <c r="W139" s="166"/>
      <c r="X139" s="166"/>
      <c r="Y139" s="166"/>
      <c r="Z139" s="166"/>
      <c r="AA139" s="166"/>
      <c r="AB139" s="166"/>
      <c r="AC139" s="166"/>
      <c r="AD139" s="166"/>
      <c r="AE139" s="166"/>
      <c r="AF139" s="166"/>
      <c r="AG139" s="166"/>
      <c r="AH139" s="166"/>
      <c r="AI139" s="166"/>
      <c r="AJ139" s="166"/>
      <c r="AK139" s="167"/>
      <c r="AL139" s="232" t="s">
        <v>516</v>
      </c>
      <c r="AM139" s="232"/>
      <c r="AN139" s="232"/>
      <c r="AO139" s="232"/>
      <c r="AP139" s="344"/>
      <c r="AQ139" s="232" t="s">
        <v>516</v>
      </c>
      <c r="AR139" s="232"/>
      <c r="AS139" s="232"/>
      <c r="AT139" s="232"/>
      <c r="AU139" s="344"/>
      <c r="AV139" s="403"/>
      <c r="AW139" s="352"/>
      <c r="AX139" s="352"/>
      <c r="AY139" s="352"/>
      <c r="AZ139" s="352"/>
      <c r="BA139" s="352"/>
      <c r="BB139" s="352"/>
      <c r="BC139" s="352"/>
      <c r="BD139" s="352"/>
      <c r="BE139" s="352"/>
      <c r="BF139" s="352"/>
      <c r="BG139" s="352"/>
      <c r="BH139" s="352"/>
      <c r="BI139" s="352"/>
      <c r="BJ139" s="352"/>
      <c r="BK139" s="352"/>
      <c r="BL139" s="352"/>
      <c r="BM139" s="352"/>
      <c r="BN139" s="352"/>
      <c r="BO139" s="352"/>
      <c r="BP139" s="352"/>
      <c r="BQ139" s="352"/>
      <c r="BR139" s="352"/>
      <c r="BS139" s="352"/>
      <c r="BT139" s="352"/>
      <c r="BU139" s="352"/>
      <c r="BV139" s="352"/>
      <c r="BW139" s="352"/>
      <c r="BX139" s="352"/>
      <c r="BY139" s="352"/>
      <c r="BZ139" s="352"/>
      <c r="CA139" s="353"/>
      <c r="CB139" s="343"/>
      <c r="CC139" s="5"/>
    </row>
    <row r="140" spans="1:83" ht="12" customHeight="1">
      <c r="A140" s="5"/>
      <c r="B140" s="5"/>
      <c r="C140" s="5"/>
      <c r="D140" s="34"/>
      <c r="E140" s="3"/>
      <c r="F140" s="3"/>
      <c r="G140" s="3"/>
      <c r="H140" s="3"/>
      <c r="I140" s="33"/>
      <c r="J140" s="34"/>
      <c r="K140" s="3"/>
      <c r="L140" s="3"/>
      <c r="M140" s="3"/>
      <c r="N140" s="3"/>
      <c r="O140" s="3"/>
      <c r="P140" s="3"/>
      <c r="Q140" s="3"/>
      <c r="R140" s="165" t="s">
        <v>74</v>
      </c>
      <c r="S140" s="166"/>
      <c r="T140" s="166"/>
      <c r="U140" s="166"/>
      <c r="V140" s="166"/>
      <c r="W140" s="166"/>
      <c r="X140" s="166"/>
      <c r="Y140" s="166"/>
      <c r="Z140" s="166"/>
      <c r="AA140" s="166"/>
      <c r="AB140" s="166"/>
      <c r="AC140" s="166"/>
      <c r="AD140" s="166"/>
      <c r="AE140" s="166"/>
      <c r="AF140" s="166"/>
      <c r="AG140" s="166"/>
      <c r="AH140" s="166"/>
      <c r="AI140" s="166"/>
      <c r="AJ140" s="166"/>
      <c r="AK140" s="167"/>
      <c r="AL140" s="232" t="s">
        <v>516</v>
      </c>
      <c r="AM140" s="232"/>
      <c r="AN140" s="232"/>
      <c r="AO140" s="232"/>
      <c r="AP140" s="344"/>
      <c r="AQ140" s="232" t="s">
        <v>516</v>
      </c>
      <c r="AR140" s="232"/>
      <c r="AS140" s="232"/>
      <c r="AT140" s="232"/>
      <c r="AU140" s="344"/>
      <c r="AV140" s="403"/>
      <c r="AW140" s="352"/>
      <c r="AX140" s="352"/>
      <c r="AY140" s="352"/>
      <c r="AZ140" s="352"/>
      <c r="BA140" s="352"/>
      <c r="BB140" s="352"/>
      <c r="BC140" s="352"/>
      <c r="BD140" s="352"/>
      <c r="BE140" s="352"/>
      <c r="BF140" s="352"/>
      <c r="BG140" s="352"/>
      <c r="BH140" s="352"/>
      <c r="BI140" s="352"/>
      <c r="BJ140" s="352"/>
      <c r="BK140" s="352"/>
      <c r="BL140" s="352"/>
      <c r="BM140" s="352"/>
      <c r="BN140" s="352"/>
      <c r="BO140" s="352"/>
      <c r="BP140" s="352"/>
      <c r="BQ140" s="352"/>
      <c r="BR140" s="352"/>
      <c r="BS140" s="352"/>
      <c r="BT140" s="352"/>
      <c r="BU140" s="352"/>
      <c r="BV140" s="352"/>
      <c r="BW140" s="352"/>
      <c r="BX140" s="352"/>
      <c r="BY140" s="352"/>
      <c r="BZ140" s="352"/>
      <c r="CA140" s="353"/>
      <c r="CB140" s="343"/>
      <c r="CC140" s="5"/>
    </row>
    <row r="141" spans="1:83" ht="12" customHeight="1">
      <c r="A141" s="5"/>
      <c r="B141" s="5"/>
      <c r="C141" s="5"/>
      <c r="D141" s="34"/>
      <c r="E141" s="3"/>
      <c r="F141" s="3"/>
      <c r="G141" s="3"/>
      <c r="H141" s="3"/>
      <c r="I141" s="33"/>
      <c r="J141" s="34"/>
      <c r="K141" s="3"/>
      <c r="L141" s="3"/>
      <c r="M141" s="3"/>
      <c r="N141" s="3"/>
      <c r="O141" s="3"/>
      <c r="P141" s="3"/>
      <c r="Q141" s="3"/>
      <c r="R141" s="165" t="s">
        <v>73</v>
      </c>
      <c r="S141" s="166"/>
      <c r="T141" s="166"/>
      <c r="U141" s="166"/>
      <c r="V141" s="166"/>
      <c r="W141" s="166"/>
      <c r="X141" s="166"/>
      <c r="Y141" s="166"/>
      <c r="Z141" s="166"/>
      <c r="AA141" s="166"/>
      <c r="AB141" s="166"/>
      <c r="AC141" s="166"/>
      <c r="AD141" s="166"/>
      <c r="AE141" s="166"/>
      <c r="AF141" s="166"/>
      <c r="AG141" s="166"/>
      <c r="AH141" s="166"/>
      <c r="AI141" s="166"/>
      <c r="AJ141" s="166"/>
      <c r="AK141" s="167"/>
      <c r="AL141" s="232" t="s">
        <v>516</v>
      </c>
      <c r="AM141" s="232"/>
      <c r="AN141" s="232"/>
      <c r="AO141" s="232"/>
      <c r="AP141" s="344"/>
      <c r="AQ141" s="232" t="s">
        <v>516</v>
      </c>
      <c r="AR141" s="232"/>
      <c r="AS141" s="232"/>
      <c r="AT141" s="232"/>
      <c r="AU141" s="344"/>
      <c r="AV141" s="403"/>
      <c r="AW141" s="352"/>
      <c r="AX141" s="352"/>
      <c r="AY141" s="352"/>
      <c r="AZ141" s="352"/>
      <c r="BA141" s="352"/>
      <c r="BB141" s="352"/>
      <c r="BC141" s="352"/>
      <c r="BD141" s="352"/>
      <c r="BE141" s="352"/>
      <c r="BF141" s="352"/>
      <c r="BG141" s="352"/>
      <c r="BH141" s="352"/>
      <c r="BI141" s="352"/>
      <c r="BJ141" s="352"/>
      <c r="BK141" s="352"/>
      <c r="BL141" s="352"/>
      <c r="BM141" s="352"/>
      <c r="BN141" s="352"/>
      <c r="BO141" s="352"/>
      <c r="BP141" s="352"/>
      <c r="BQ141" s="352"/>
      <c r="BR141" s="352"/>
      <c r="BS141" s="352"/>
      <c r="BT141" s="352"/>
      <c r="BU141" s="352"/>
      <c r="BV141" s="352"/>
      <c r="BW141" s="352"/>
      <c r="BX141" s="352"/>
      <c r="BY141" s="352"/>
      <c r="BZ141" s="352"/>
      <c r="CA141" s="353"/>
      <c r="CB141" s="343"/>
      <c r="CC141" s="5"/>
    </row>
    <row r="142" spans="1:83" ht="12" customHeight="1">
      <c r="A142" s="5"/>
      <c r="B142" s="5"/>
      <c r="C142" s="5"/>
      <c r="D142" s="34"/>
      <c r="E142" s="3"/>
      <c r="F142" s="3"/>
      <c r="G142" s="3"/>
      <c r="H142" s="3"/>
      <c r="I142" s="33"/>
      <c r="J142" s="34"/>
      <c r="K142" s="3"/>
      <c r="L142" s="3"/>
      <c r="M142" s="3"/>
      <c r="N142" s="3"/>
      <c r="O142" s="3"/>
      <c r="P142" s="3"/>
      <c r="Q142" s="3"/>
      <c r="R142" s="165" t="s">
        <v>1075</v>
      </c>
      <c r="S142" s="166"/>
      <c r="T142" s="166"/>
      <c r="U142" s="166"/>
      <c r="V142" s="166"/>
      <c r="W142" s="166"/>
      <c r="X142" s="166"/>
      <c r="Y142" s="166"/>
      <c r="Z142" s="166"/>
      <c r="AA142" s="166"/>
      <c r="AB142" s="166"/>
      <c r="AC142" s="166"/>
      <c r="AD142" s="166"/>
      <c r="AE142" s="166"/>
      <c r="AF142" s="166"/>
      <c r="AG142" s="166"/>
      <c r="AH142" s="166"/>
      <c r="AI142" s="166"/>
      <c r="AJ142" s="166"/>
      <c r="AK142" s="167"/>
      <c r="AL142" s="232" t="s">
        <v>516</v>
      </c>
      <c r="AM142" s="232"/>
      <c r="AN142" s="232"/>
      <c r="AO142" s="232"/>
      <c r="AP142" s="344"/>
      <c r="AQ142" s="232" t="s">
        <v>516</v>
      </c>
      <c r="AR142" s="232"/>
      <c r="AS142" s="232"/>
      <c r="AT142" s="232"/>
      <c r="AU142" s="344"/>
      <c r="AV142" s="403" t="s">
        <v>1076</v>
      </c>
      <c r="AW142" s="352"/>
      <c r="AX142" s="352"/>
      <c r="AY142" s="352"/>
      <c r="AZ142" s="352"/>
      <c r="BA142" s="352"/>
      <c r="BB142" s="352"/>
      <c r="BC142" s="352"/>
      <c r="BD142" s="352"/>
      <c r="BE142" s="352"/>
      <c r="BF142" s="352"/>
      <c r="BG142" s="352"/>
      <c r="BH142" s="352"/>
      <c r="BI142" s="352"/>
      <c r="BJ142" s="352"/>
      <c r="BK142" s="352"/>
      <c r="BL142" s="352"/>
      <c r="BM142" s="352"/>
      <c r="BN142" s="352"/>
      <c r="BO142" s="352"/>
      <c r="BP142" s="352"/>
      <c r="BQ142" s="352"/>
      <c r="BR142" s="352"/>
      <c r="BS142" s="352"/>
      <c r="BT142" s="352"/>
      <c r="BU142" s="352"/>
      <c r="BV142" s="352"/>
      <c r="BW142" s="352"/>
      <c r="BX142" s="352"/>
      <c r="BY142" s="352"/>
      <c r="BZ142" s="352"/>
      <c r="CA142" s="353"/>
      <c r="CB142" s="343"/>
      <c r="CC142" s="5"/>
    </row>
    <row r="143" spans="1:83" ht="12" customHeight="1">
      <c r="A143" s="5"/>
      <c r="B143" s="5"/>
      <c r="C143" s="5"/>
      <c r="D143" s="34"/>
      <c r="E143" s="3"/>
      <c r="F143" s="3"/>
      <c r="G143" s="3"/>
      <c r="H143" s="3"/>
      <c r="I143" s="33"/>
      <c r="J143" s="32"/>
      <c r="K143" s="31"/>
      <c r="L143" s="31"/>
      <c r="M143" s="31"/>
      <c r="N143" s="31"/>
      <c r="O143" s="31"/>
      <c r="P143" s="31"/>
      <c r="Q143" s="31"/>
      <c r="R143" s="165" t="s">
        <v>69</v>
      </c>
      <c r="S143" s="166"/>
      <c r="T143" s="166"/>
      <c r="U143" s="166"/>
      <c r="V143" s="166"/>
      <c r="W143" s="166"/>
      <c r="X143" s="166"/>
      <c r="Y143" s="166"/>
      <c r="Z143" s="166"/>
      <c r="AA143" s="166"/>
      <c r="AB143" s="166"/>
      <c r="AC143" s="166"/>
      <c r="AD143" s="166"/>
      <c r="AE143" s="166"/>
      <c r="AF143" s="166"/>
      <c r="AG143" s="166"/>
      <c r="AH143" s="166"/>
      <c r="AI143" s="166"/>
      <c r="AJ143" s="166"/>
      <c r="AK143" s="167"/>
      <c r="AL143" s="232" t="s">
        <v>516</v>
      </c>
      <c r="AM143" s="232"/>
      <c r="AN143" s="232"/>
      <c r="AO143" s="232"/>
      <c r="AP143" s="344"/>
      <c r="AQ143" s="232" t="s">
        <v>516</v>
      </c>
      <c r="AR143" s="232"/>
      <c r="AS143" s="232"/>
      <c r="AT143" s="232"/>
      <c r="AU143" s="344"/>
      <c r="AV143" s="403"/>
      <c r="AW143" s="352"/>
      <c r="AX143" s="352"/>
      <c r="AY143" s="352"/>
      <c r="AZ143" s="352"/>
      <c r="BA143" s="352"/>
      <c r="BB143" s="352"/>
      <c r="BC143" s="352"/>
      <c r="BD143" s="352"/>
      <c r="BE143" s="352"/>
      <c r="BF143" s="352"/>
      <c r="BG143" s="352"/>
      <c r="BH143" s="352"/>
      <c r="BI143" s="352"/>
      <c r="BJ143" s="352"/>
      <c r="BK143" s="352"/>
      <c r="BL143" s="352"/>
      <c r="BM143" s="352"/>
      <c r="BN143" s="352"/>
      <c r="BO143" s="352"/>
      <c r="BP143" s="352"/>
      <c r="BQ143" s="352"/>
      <c r="BR143" s="352"/>
      <c r="BS143" s="352"/>
      <c r="BT143" s="352"/>
      <c r="BU143" s="352"/>
      <c r="BV143" s="352"/>
      <c r="BW143" s="352"/>
      <c r="BX143" s="352"/>
      <c r="BY143" s="352"/>
      <c r="BZ143" s="352"/>
      <c r="CA143" s="353"/>
      <c r="CB143" s="343"/>
      <c r="CC143" s="5"/>
    </row>
    <row r="144" spans="1:83" ht="12" customHeight="1">
      <c r="A144" s="5"/>
      <c r="B144" s="5"/>
      <c r="C144" s="5"/>
      <c r="D144" s="34"/>
      <c r="E144" s="3"/>
      <c r="F144" s="3"/>
      <c r="G144" s="3"/>
      <c r="H144" s="3"/>
      <c r="I144" s="33"/>
      <c r="J144" s="32" t="s">
        <v>600</v>
      </c>
      <c r="K144" s="31"/>
      <c r="L144" s="31"/>
      <c r="M144" s="31"/>
      <c r="N144" s="31"/>
      <c r="O144" s="31"/>
      <c r="P144" s="31"/>
      <c r="Q144" s="31"/>
      <c r="R144" s="165" t="s">
        <v>601</v>
      </c>
      <c r="S144" s="166"/>
      <c r="T144" s="166"/>
      <c r="U144" s="166"/>
      <c r="V144" s="166"/>
      <c r="W144" s="166"/>
      <c r="X144" s="166"/>
      <c r="Y144" s="166"/>
      <c r="Z144" s="166"/>
      <c r="AA144" s="166"/>
      <c r="AB144" s="166"/>
      <c r="AC144" s="166"/>
      <c r="AD144" s="166"/>
      <c r="AE144" s="166"/>
      <c r="AF144" s="166"/>
      <c r="AG144" s="166"/>
      <c r="AH144" s="166"/>
      <c r="AI144" s="166"/>
      <c r="AJ144" s="166"/>
      <c r="AK144" s="167"/>
      <c r="AL144" s="232" t="s">
        <v>516</v>
      </c>
      <c r="AM144" s="232"/>
      <c r="AN144" s="232"/>
      <c r="AO144" s="232"/>
      <c r="AP144" s="344"/>
      <c r="AQ144" s="232" t="s">
        <v>594</v>
      </c>
      <c r="AR144" s="232"/>
      <c r="AS144" s="232"/>
      <c r="AT144" s="232"/>
      <c r="AU144" s="344"/>
      <c r="AV144" s="403" t="s">
        <v>914</v>
      </c>
      <c r="AW144" s="352"/>
      <c r="AX144" s="352"/>
      <c r="AY144" s="352"/>
      <c r="AZ144" s="352"/>
      <c r="BA144" s="352"/>
      <c r="BB144" s="352"/>
      <c r="BC144" s="352"/>
      <c r="BD144" s="352"/>
      <c r="BE144" s="352"/>
      <c r="BF144" s="352"/>
      <c r="BG144" s="352"/>
      <c r="BH144" s="352"/>
      <c r="BI144" s="352"/>
      <c r="BJ144" s="352"/>
      <c r="BK144" s="352"/>
      <c r="BL144" s="352"/>
      <c r="BM144" s="352"/>
      <c r="BN144" s="352"/>
      <c r="BO144" s="352"/>
      <c r="BP144" s="352"/>
      <c r="BQ144" s="352"/>
      <c r="BR144" s="352"/>
      <c r="BS144" s="352"/>
      <c r="BT144" s="352"/>
      <c r="BU144" s="352"/>
      <c r="BV144" s="352"/>
      <c r="BW144" s="352"/>
      <c r="BX144" s="352"/>
      <c r="BY144" s="352"/>
      <c r="BZ144" s="352"/>
      <c r="CA144" s="353"/>
      <c r="CB144" s="343"/>
      <c r="CC144" s="5"/>
    </row>
    <row r="145" spans="1:81" ht="12" customHeight="1">
      <c r="A145" s="5"/>
      <c r="B145" s="5"/>
      <c r="C145" s="5"/>
      <c r="D145" s="34"/>
      <c r="E145" s="3"/>
      <c r="F145" s="3"/>
      <c r="G145" s="3"/>
      <c r="H145" s="3"/>
      <c r="I145" s="33"/>
      <c r="J145" s="165" t="s">
        <v>576</v>
      </c>
      <c r="K145" s="166"/>
      <c r="L145" s="166"/>
      <c r="M145" s="166"/>
      <c r="N145" s="166"/>
      <c r="O145" s="166"/>
      <c r="P145" s="166"/>
      <c r="Q145" s="166"/>
      <c r="R145" s="165" t="s">
        <v>581</v>
      </c>
      <c r="S145" s="166"/>
      <c r="T145" s="166"/>
      <c r="U145" s="166"/>
      <c r="V145" s="166"/>
      <c r="W145" s="166"/>
      <c r="X145" s="166"/>
      <c r="Y145" s="166"/>
      <c r="Z145" s="166"/>
      <c r="AA145" s="166"/>
      <c r="AB145" s="166"/>
      <c r="AC145" s="166"/>
      <c r="AD145" s="166"/>
      <c r="AE145" s="166"/>
      <c r="AF145" s="166"/>
      <c r="AG145" s="166"/>
      <c r="AH145" s="166"/>
      <c r="AI145" s="166"/>
      <c r="AJ145" s="166"/>
      <c r="AK145" s="167"/>
      <c r="AL145" s="232" t="s">
        <v>516</v>
      </c>
      <c r="AM145" s="232"/>
      <c r="AN145" s="232"/>
      <c r="AO145" s="232"/>
      <c r="AP145" s="344"/>
      <c r="AQ145" s="232" t="s">
        <v>516</v>
      </c>
      <c r="AR145" s="232"/>
      <c r="AS145" s="232"/>
      <c r="AT145" s="232"/>
      <c r="AU145" s="344"/>
      <c r="AV145" s="403"/>
      <c r="AW145" s="352"/>
      <c r="AX145" s="352"/>
      <c r="AY145" s="352"/>
      <c r="AZ145" s="352"/>
      <c r="BA145" s="352"/>
      <c r="BB145" s="352"/>
      <c r="BC145" s="352"/>
      <c r="BD145" s="352"/>
      <c r="BE145" s="352"/>
      <c r="BF145" s="352"/>
      <c r="BG145" s="352"/>
      <c r="BH145" s="352"/>
      <c r="BI145" s="352"/>
      <c r="BJ145" s="352"/>
      <c r="BK145" s="352"/>
      <c r="BL145" s="352"/>
      <c r="BM145" s="352"/>
      <c r="BN145" s="352"/>
      <c r="BO145" s="352"/>
      <c r="BP145" s="352"/>
      <c r="BQ145" s="352"/>
      <c r="BR145" s="352"/>
      <c r="BS145" s="352"/>
      <c r="BT145" s="352"/>
      <c r="BU145" s="352"/>
      <c r="BV145" s="352"/>
      <c r="BW145" s="352"/>
      <c r="BX145" s="352"/>
      <c r="BY145" s="352"/>
      <c r="BZ145" s="352"/>
      <c r="CA145" s="353"/>
      <c r="CB145" s="343"/>
      <c r="CC145" s="5"/>
    </row>
    <row r="146" spans="1:81" ht="12" customHeight="1">
      <c r="A146" s="5"/>
      <c r="B146" s="5"/>
      <c r="C146" s="5"/>
      <c r="D146" s="34"/>
      <c r="E146" s="3"/>
      <c r="F146" s="3"/>
      <c r="G146" s="3"/>
      <c r="H146" s="3"/>
      <c r="I146" s="33"/>
      <c r="J146" s="3" t="s">
        <v>591</v>
      </c>
      <c r="K146" s="3"/>
      <c r="L146" s="3"/>
      <c r="M146" s="3"/>
      <c r="N146" s="3"/>
      <c r="O146" s="3"/>
      <c r="P146" s="3"/>
      <c r="Q146" s="3"/>
      <c r="R146" s="32" t="s">
        <v>482</v>
      </c>
      <c r="S146" s="31"/>
      <c r="T146" s="31"/>
      <c r="U146" s="31"/>
      <c r="V146" s="31"/>
      <c r="W146" s="31"/>
      <c r="X146" s="31"/>
      <c r="Y146" s="31"/>
      <c r="Z146" s="31"/>
      <c r="AA146" s="31"/>
      <c r="AB146" s="31"/>
      <c r="AC146" s="31"/>
      <c r="AD146" s="31"/>
      <c r="AE146" s="31"/>
      <c r="AF146" s="31"/>
      <c r="AG146" s="31"/>
      <c r="AH146" s="31"/>
      <c r="AI146" s="31"/>
      <c r="AJ146" s="31"/>
      <c r="AK146" s="30"/>
      <c r="AL146" s="233" t="s">
        <v>516</v>
      </c>
      <c r="AM146" s="233"/>
      <c r="AN146" s="233"/>
      <c r="AO146" s="233"/>
      <c r="AP146" s="345"/>
      <c r="AQ146" s="233" t="s">
        <v>516</v>
      </c>
      <c r="AR146" s="233"/>
      <c r="AS146" s="233"/>
      <c r="AT146" s="233"/>
      <c r="AU146" s="345"/>
      <c r="AV146" s="403"/>
      <c r="AW146" s="352"/>
      <c r="AX146" s="352"/>
      <c r="AY146" s="352"/>
      <c r="AZ146" s="352"/>
      <c r="BA146" s="352"/>
      <c r="BB146" s="352"/>
      <c r="BC146" s="352"/>
      <c r="BD146" s="352"/>
      <c r="BE146" s="352"/>
      <c r="BF146" s="352"/>
      <c r="BG146" s="352"/>
      <c r="BH146" s="352"/>
      <c r="BI146" s="352"/>
      <c r="BJ146" s="352"/>
      <c r="BK146" s="352"/>
      <c r="BL146" s="352"/>
      <c r="BM146" s="352"/>
      <c r="BN146" s="352"/>
      <c r="BO146" s="352"/>
      <c r="BP146" s="352"/>
      <c r="BQ146" s="352"/>
      <c r="BR146" s="352"/>
      <c r="BS146" s="352"/>
      <c r="BT146" s="352"/>
      <c r="BU146" s="352"/>
      <c r="BV146" s="352"/>
      <c r="BW146" s="352"/>
      <c r="BX146" s="352"/>
      <c r="BY146" s="352"/>
      <c r="BZ146" s="352"/>
      <c r="CA146" s="353"/>
      <c r="CB146" s="343"/>
      <c r="CC146" s="5"/>
    </row>
    <row r="147" spans="1:81" ht="12" customHeight="1">
      <c r="A147" s="5"/>
      <c r="B147" s="5"/>
      <c r="C147" s="5"/>
      <c r="D147" s="34"/>
      <c r="E147" s="3"/>
      <c r="F147" s="3"/>
      <c r="G147" s="3"/>
      <c r="H147" s="3"/>
      <c r="I147" s="33"/>
      <c r="J147" s="31"/>
      <c r="K147" s="31"/>
      <c r="L147" s="31"/>
      <c r="M147" s="31"/>
      <c r="N147" s="31"/>
      <c r="O147" s="31"/>
      <c r="P147" s="31"/>
      <c r="Q147" s="31"/>
      <c r="R147" s="165" t="s">
        <v>593</v>
      </c>
      <c r="S147" s="166"/>
      <c r="T147" s="166"/>
      <c r="U147" s="166"/>
      <c r="V147" s="166"/>
      <c r="W147" s="166"/>
      <c r="X147" s="166"/>
      <c r="Y147" s="166"/>
      <c r="Z147" s="166"/>
      <c r="AA147" s="166"/>
      <c r="AB147" s="166"/>
      <c r="AC147" s="166"/>
      <c r="AD147" s="166"/>
      <c r="AE147" s="166"/>
      <c r="AF147" s="166"/>
      <c r="AG147" s="166"/>
      <c r="AH147" s="166"/>
      <c r="AI147" s="166"/>
      <c r="AJ147" s="166"/>
      <c r="AK147" s="167"/>
      <c r="AL147" s="232" t="s">
        <v>594</v>
      </c>
      <c r="AM147" s="232"/>
      <c r="AN147" s="232"/>
      <c r="AO147" s="232"/>
      <c r="AP147" s="344"/>
      <c r="AQ147" s="232" t="s">
        <v>594</v>
      </c>
      <c r="AR147" s="232"/>
      <c r="AS147" s="232"/>
      <c r="AT147" s="232"/>
      <c r="AU147" s="344"/>
      <c r="AV147" s="404" t="s">
        <v>915</v>
      </c>
      <c r="AW147" s="388"/>
      <c r="AX147" s="388"/>
      <c r="AY147" s="388"/>
      <c r="AZ147" s="388"/>
      <c r="BA147" s="388"/>
      <c r="BB147" s="388"/>
      <c r="BC147" s="388"/>
      <c r="BD147" s="388"/>
      <c r="BE147" s="388"/>
      <c r="BF147" s="388"/>
      <c r="BG147" s="388"/>
      <c r="BH147" s="388"/>
      <c r="BI147" s="388"/>
      <c r="BJ147" s="388"/>
      <c r="BK147" s="388"/>
      <c r="BL147" s="388"/>
      <c r="BM147" s="388"/>
      <c r="BN147" s="388"/>
      <c r="BO147" s="388"/>
      <c r="BP147" s="388"/>
      <c r="BQ147" s="388"/>
      <c r="BR147" s="388"/>
      <c r="BS147" s="388"/>
      <c r="BT147" s="388"/>
      <c r="BU147" s="388"/>
      <c r="BV147" s="388"/>
      <c r="BW147" s="388"/>
      <c r="BX147" s="388"/>
      <c r="BY147" s="388"/>
      <c r="BZ147" s="388"/>
      <c r="CA147" s="389"/>
      <c r="CB147" s="343"/>
      <c r="CC147" s="5"/>
    </row>
    <row r="148" spans="1:81" ht="12" customHeight="1">
      <c r="A148" s="5"/>
      <c r="B148" s="5"/>
      <c r="C148" s="5"/>
      <c r="D148" s="34"/>
      <c r="E148" s="3"/>
      <c r="F148" s="3"/>
      <c r="G148" s="3"/>
      <c r="H148" s="3"/>
      <c r="I148" s="33"/>
      <c r="J148" s="162" t="s">
        <v>595</v>
      </c>
      <c r="K148" s="163"/>
      <c r="L148" s="163"/>
      <c r="M148" s="163"/>
      <c r="N148" s="163"/>
      <c r="O148" s="163"/>
      <c r="P148" s="163"/>
      <c r="Q148" s="164"/>
      <c r="R148" s="32" t="s">
        <v>589</v>
      </c>
      <c r="S148" s="31"/>
      <c r="T148" s="31"/>
      <c r="U148" s="31"/>
      <c r="V148" s="31"/>
      <c r="W148" s="31"/>
      <c r="X148" s="31"/>
      <c r="Y148" s="31"/>
      <c r="Z148" s="31"/>
      <c r="AA148" s="31"/>
      <c r="AB148" s="31"/>
      <c r="AC148" s="31"/>
      <c r="AD148" s="31"/>
      <c r="AE148" s="31"/>
      <c r="AF148" s="31"/>
      <c r="AG148" s="31"/>
      <c r="AH148" s="31"/>
      <c r="AI148" s="31"/>
      <c r="AJ148" s="31"/>
      <c r="AK148" s="30"/>
      <c r="AL148" s="233" t="s">
        <v>594</v>
      </c>
      <c r="AM148" s="233"/>
      <c r="AN148" s="233"/>
      <c r="AO148" s="233"/>
      <c r="AP148" s="345"/>
      <c r="AQ148" s="233" t="s">
        <v>594</v>
      </c>
      <c r="AR148" s="233"/>
      <c r="AS148" s="233"/>
      <c r="AT148" s="233"/>
      <c r="AU148" s="345"/>
      <c r="AV148" s="354"/>
      <c r="AW148" s="391"/>
      <c r="AX148" s="391"/>
      <c r="AY148" s="391"/>
      <c r="AZ148" s="391"/>
      <c r="BA148" s="391"/>
      <c r="BB148" s="391"/>
      <c r="BC148" s="391"/>
      <c r="BD148" s="391"/>
      <c r="BE148" s="391"/>
      <c r="BF148" s="391"/>
      <c r="BG148" s="391"/>
      <c r="BH148" s="391"/>
      <c r="BI148" s="391"/>
      <c r="BJ148" s="391"/>
      <c r="BK148" s="391"/>
      <c r="BL148" s="391"/>
      <c r="BM148" s="391"/>
      <c r="BN148" s="391"/>
      <c r="BO148" s="391"/>
      <c r="BP148" s="391"/>
      <c r="BQ148" s="391"/>
      <c r="BR148" s="391"/>
      <c r="BS148" s="391"/>
      <c r="BT148" s="391"/>
      <c r="BU148" s="391"/>
      <c r="BV148" s="391"/>
      <c r="BW148" s="391"/>
      <c r="BX148" s="391"/>
      <c r="BY148" s="391"/>
      <c r="BZ148" s="391"/>
      <c r="CA148" s="392"/>
      <c r="CB148" s="343"/>
      <c r="CC148" s="5"/>
    </row>
    <row r="149" spans="1:81" ht="12" customHeight="1">
      <c r="A149" s="5"/>
      <c r="B149" s="5"/>
      <c r="C149" s="5"/>
      <c r="D149" s="32"/>
      <c r="E149" s="31"/>
      <c r="F149" s="31"/>
      <c r="G149" s="31"/>
      <c r="H149" s="31"/>
      <c r="I149" s="30"/>
      <c r="J149" s="3"/>
      <c r="K149" s="3"/>
      <c r="L149" s="3"/>
      <c r="M149" s="3"/>
      <c r="N149" s="3"/>
      <c r="O149" s="3"/>
      <c r="P149" s="3"/>
      <c r="Q149" s="33"/>
      <c r="R149" s="165" t="s">
        <v>590</v>
      </c>
      <c r="S149" s="166"/>
      <c r="T149" s="166"/>
      <c r="U149" s="166"/>
      <c r="V149" s="166"/>
      <c r="W149" s="166"/>
      <c r="X149" s="166"/>
      <c r="Y149" s="166"/>
      <c r="Z149" s="166"/>
      <c r="AA149" s="166"/>
      <c r="AB149" s="166"/>
      <c r="AC149" s="166"/>
      <c r="AD149" s="166"/>
      <c r="AE149" s="166"/>
      <c r="AF149" s="166"/>
      <c r="AG149" s="166"/>
      <c r="AH149" s="166"/>
      <c r="AI149" s="166"/>
      <c r="AJ149" s="166"/>
      <c r="AK149" s="167"/>
      <c r="AL149" s="232" t="s">
        <v>594</v>
      </c>
      <c r="AM149" s="232"/>
      <c r="AN149" s="232"/>
      <c r="AO149" s="232"/>
      <c r="AP149" s="344"/>
      <c r="AQ149" s="232" t="s">
        <v>594</v>
      </c>
      <c r="AR149" s="232"/>
      <c r="AS149" s="232"/>
      <c r="AT149" s="232"/>
      <c r="AU149" s="344"/>
      <c r="AV149" s="355"/>
      <c r="AW149" s="394"/>
      <c r="AX149" s="394"/>
      <c r="AY149" s="394"/>
      <c r="AZ149" s="394"/>
      <c r="BA149" s="394"/>
      <c r="BB149" s="394"/>
      <c r="BC149" s="394"/>
      <c r="BD149" s="394"/>
      <c r="BE149" s="394"/>
      <c r="BF149" s="394"/>
      <c r="BG149" s="394"/>
      <c r="BH149" s="394"/>
      <c r="BI149" s="394"/>
      <c r="BJ149" s="394"/>
      <c r="BK149" s="394"/>
      <c r="BL149" s="394"/>
      <c r="BM149" s="394"/>
      <c r="BN149" s="394"/>
      <c r="BO149" s="394"/>
      <c r="BP149" s="394"/>
      <c r="BQ149" s="394"/>
      <c r="BR149" s="394"/>
      <c r="BS149" s="394"/>
      <c r="BT149" s="394"/>
      <c r="BU149" s="394"/>
      <c r="BV149" s="394"/>
      <c r="BW149" s="394"/>
      <c r="BX149" s="394"/>
      <c r="BY149" s="394"/>
      <c r="BZ149" s="394"/>
      <c r="CA149" s="395"/>
      <c r="CB149" s="343"/>
      <c r="CC149" s="5"/>
    </row>
    <row r="150" spans="1:81" ht="12" customHeight="1">
      <c r="A150" s="5"/>
      <c r="B150" s="5"/>
      <c r="C150" s="5"/>
      <c r="D150" s="162" t="s">
        <v>237</v>
      </c>
      <c r="E150" s="163"/>
      <c r="F150" s="163"/>
      <c r="G150" s="163"/>
      <c r="H150" s="163"/>
      <c r="I150" s="164"/>
      <c r="J150" s="162" t="s">
        <v>575</v>
      </c>
      <c r="K150" s="163"/>
      <c r="L150" s="163"/>
      <c r="M150" s="163"/>
      <c r="N150" s="163"/>
      <c r="O150" s="163"/>
      <c r="P150" s="163"/>
      <c r="Q150" s="163"/>
      <c r="R150" s="165" t="s">
        <v>583</v>
      </c>
      <c r="S150" s="166"/>
      <c r="T150" s="166"/>
      <c r="U150" s="166"/>
      <c r="V150" s="166"/>
      <c r="W150" s="166"/>
      <c r="X150" s="166"/>
      <c r="Y150" s="166"/>
      <c r="Z150" s="166"/>
      <c r="AA150" s="166"/>
      <c r="AB150" s="166"/>
      <c r="AC150" s="166"/>
      <c r="AD150" s="166"/>
      <c r="AE150" s="166"/>
      <c r="AF150" s="166"/>
      <c r="AG150" s="166"/>
      <c r="AH150" s="166"/>
      <c r="AI150" s="166"/>
      <c r="AJ150" s="166"/>
      <c r="AK150" s="167"/>
      <c r="AL150" s="232" t="s">
        <v>516</v>
      </c>
      <c r="AM150" s="232"/>
      <c r="AN150" s="232"/>
      <c r="AO150" s="232"/>
      <c r="AP150" s="344"/>
      <c r="AQ150" s="232" t="s">
        <v>516</v>
      </c>
      <c r="AR150" s="232"/>
      <c r="AS150" s="232"/>
      <c r="AT150" s="232"/>
      <c r="AU150" s="344"/>
      <c r="AV150" s="403"/>
      <c r="AW150" s="352"/>
      <c r="AX150" s="352"/>
      <c r="AY150" s="352"/>
      <c r="AZ150" s="352"/>
      <c r="BA150" s="352"/>
      <c r="BB150" s="352"/>
      <c r="BC150" s="352"/>
      <c r="BD150" s="352"/>
      <c r="BE150" s="352"/>
      <c r="BF150" s="352"/>
      <c r="BG150" s="352"/>
      <c r="BH150" s="352"/>
      <c r="BI150" s="352"/>
      <c r="BJ150" s="352"/>
      <c r="BK150" s="352"/>
      <c r="BL150" s="352"/>
      <c r="BM150" s="352"/>
      <c r="BN150" s="352"/>
      <c r="BO150" s="352"/>
      <c r="BP150" s="352"/>
      <c r="BQ150" s="352"/>
      <c r="BR150" s="352"/>
      <c r="BS150" s="352"/>
      <c r="BT150" s="352"/>
      <c r="BU150" s="352"/>
      <c r="BV150" s="352"/>
      <c r="BW150" s="352"/>
      <c r="BX150" s="352"/>
      <c r="BY150" s="352"/>
      <c r="BZ150" s="352"/>
      <c r="CA150" s="353"/>
      <c r="CB150" s="343"/>
      <c r="CC150" s="5"/>
    </row>
    <row r="151" spans="1:81" ht="12" customHeight="1">
      <c r="A151" s="5"/>
      <c r="B151" s="5"/>
      <c r="C151" s="5"/>
      <c r="D151" s="34"/>
      <c r="E151" s="3"/>
      <c r="F151" s="3"/>
      <c r="G151" s="3"/>
      <c r="H151" s="3"/>
      <c r="I151" s="33"/>
      <c r="J151" s="34"/>
      <c r="K151" s="3"/>
      <c r="L151" s="3"/>
      <c r="M151" s="3"/>
      <c r="N151" s="3"/>
      <c r="O151" s="3"/>
      <c r="P151" s="3"/>
      <c r="Q151" s="3"/>
      <c r="R151" s="165" t="s">
        <v>74</v>
      </c>
      <c r="S151" s="166"/>
      <c r="T151" s="166"/>
      <c r="U151" s="166"/>
      <c r="V151" s="166"/>
      <c r="W151" s="166"/>
      <c r="X151" s="166"/>
      <c r="Y151" s="166"/>
      <c r="Z151" s="166"/>
      <c r="AA151" s="166"/>
      <c r="AB151" s="166"/>
      <c r="AC151" s="166"/>
      <c r="AD151" s="166"/>
      <c r="AE151" s="166"/>
      <c r="AF151" s="166"/>
      <c r="AG151" s="166"/>
      <c r="AH151" s="166"/>
      <c r="AI151" s="166"/>
      <c r="AJ151" s="166"/>
      <c r="AK151" s="167"/>
      <c r="AL151" s="232" t="s">
        <v>516</v>
      </c>
      <c r="AM151" s="232"/>
      <c r="AN151" s="232"/>
      <c r="AO151" s="232"/>
      <c r="AP151" s="344"/>
      <c r="AQ151" s="232" t="s">
        <v>516</v>
      </c>
      <c r="AR151" s="232"/>
      <c r="AS151" s="232"/>
      <c r="AT151" s="232"/>
      <c r="AU151" s="344"/>
      <c r="AV151" s="403"/>
      <c r="AW151" s="352"/>
      <c r="AX151" s="352"/>
      <c r="AY151" s="352"/>
      <c r="AZ151" s="352"/>
      <c r="BA151" s="352"/>
      <c r="BB151" s="352"/>
      <c r="BC151" s="352"/>
      <c r="BD151" s="352"/>
      <c r="BE151" s="352"/>
      <c r="BF151" s="352"/>
      <c r="BG151" s="352"/>
      <c r="BH151" s="352"/>
      <c r="BI151" s="352"/>
      <c r="BJ151" s="352"/>
      <c r="BK151" s="352"/>
      <c r="BL151" s="352"/>
      <c r="BM151" s="352"/>
      <c r="BN151" s="352"/>
      <c r="BO151" s="352"/>
      <c r="BP151" s="352"/>
      <c r="BQ151" s="352"/>
      <c r="BR151" s="352"/>
      <c r="BS151" s="352"/>
      <c r="BT151" s="352"/>
      <c r="BU151" s="352"/>
      <c r="BV151" s="352"/>
      <c r="BW151" s="352"/>
      <c r="BX151" s="352"/>
      <c r="BY151" s="352"/>
      <c r="BZ151" s="352"/>
      <c r="CA151" s="353"/>
      <c r="CB151" s="343"/>
      <c r="CC151" s="5"/>
    </row>
    <row r="152" spans="1:81" ht="12" customHeight="1">
      <c r="A152" s="5"/>
      <c r="B152" s="5"/>
      <c r="C152" s="5"/>
      <c r="D152" s="34"/>
      <c r="E152" s="3"/>
      <c r="F152" s="3"/>
      <c r="G152" s="3"/>
      <c r="H152" s="3"/>
      <c r="I152" s="33"/>
      <c r="J152" s="34"/>
      <c r="K152" s="3"/>
      <c r="L152" s="3"/>
      <c r="M152" s="3"/>
      <c r="N152" s="3"/>
      <c r="O152" s="3"/>
      <c r="P152" s="3"/>
      <c r="Q152" s="3"/>
      <c r="R152" s="165" t="s">
        <v>587</v>
      </c>
      <c r="S152" s="166"/>
      <c r="T152" s="166"/>
      <c r="U152" s="166"/>
      <c r="V152" s="166"/>
      <c r="W152" s="166"/>
      <c r="X152" s="166"/>
      <c r="Y152" s="166"/>
      <c r="Z152" s="166"/>
      <c r="AA152" s="166"/>
      <c r="AB152" s="166"/>
      <c r="AC152" s="166"/>
      <c r="AD152" s="166"/>
      <c r="AE152" s="166"/>
      <c r="AF152" s="166"/>
      <c r="AG152" s="166"/>
      <c r="AH152" s="166"/>
      <c r="AI152" s="166"/>
      <c r="AJ152" s="166"/>
      <c r="AK152" s="167"/>
      <c r="AL152" s="232" t="s">
        <v>516</v>
      </c>
      <c r="AM152" s="232"/>
      <c r="AN152" s="232"/>
      <c r="AO152" s="232"/>
      <c r="AP152" s="344"/>
      <c r="AQ152" s="232" t="s">
        <v>516</v>
      </c>
      <c r="AR152" s="232"/>
      <c r="AS152" s="232"/>
      <c r="AT152" s="232"/>
      <c r="AU152" s="344"/>
      <c r="AV152" s="403"/>
      <c r="AW152" s="352"/>
      <c r="AX152" s="352"/>
      <c r="AY152" s="352"/>
      <c r="AZ152" s="352"/>
      <c r="BA152" s="352"/>
      <c r="BB152" s="352"/>
      <c r="BC152" s="352"/>
      <c r="BD152" s="352"/>
      <c r="BE152" s="352"/>
      <c r="BF152" s="352"/>
      <c r="BG152" s="352"/>
      <c r="BH152" s="352"/>
      <c r="BI152" s="352"/>
      <c r="BJ152" s="352"/>
      <c r="BK152" s="352"/>
      <c r="BL152" s="352"/>
      <c r="BM152" s="352"/>
      <c r="BN152" s="352"/>
      <c r="BO152" s="352"/>
      <c r="BP152" s="352"/>
      <c r="BQ152" s="352"/>
      <c r="BR152" s="352"/>
      <c r="BS152" s="352"/>
      <c r="BT152" s="352"/>
      <c r="BU152" s="352"/>
      <c r="BV152" s="352"/>
      <c r="BW152" s="352"/>
      <c r="BX152" s="352"/>
      <c r="BY152" s="352"/>
      <c r="BZ152" s="352"/>
      <c r="CA152" s="353"/>
      <c r="CB152" s="343"/>
      <c r="CC152" s="5"/>
    </row>
    <row r="153" spans="1:81" ht="12" customHeight="1">
      <c r="A153" s="5"/>
      <c r="B153" s="5"/>
      <c r="C153" s="5"/>
      <c r="D153" s="34"/>
      <c r="E153" s="3"/>
      <c r="F153" s="3"/>
      <c r="G153" s="3"/>
      <c r="H153" s="3"/>
      <c r="I153" s="33"/>
      <c r="J153" s="34"/>
      <c r="K153" s="3"/>
      <c r="L153" s="3"/>
      <c r="M153" s="3"/>
      <c r="N153" s="3"/>
      <c r="O153" s="3"/>
      <c r="P153" s="3"/>
      <c r="Q153" s="3"/>
      <c r="R153" s="165" t="s">
        <v>381</v>
      </c>
      <c r="S153" s="166"/>
      <c r="T153" s="166"/>
      <c r="U153" s="166"/>
      <c r="V153" s="166"/>
      <c r="W153" s="166"/>
      <c r="X153" s="166"/>
      <c r="Y153" s="166"/>
      <c r="Z153" s="166"/>
      <c r="AA153" s="166"/>
      <c r="AB153" s="166"/>
      <c r="AC153" s="166"/>
      <c r="AD153" s="166"/>
      <c r="AE153" s="166"/>
      <c r="AF153" s="166"/>
      <c r="AG153" s="166"/>
      <c r="AH153" s="166"/>
      <c r="AI153" s="166"/>
      <c r="AJ153" s="166"/>
      <c r="AK153" s="167"/>
      <c r="AL153" s="232" t="s">
        <v>516</v>
      </c>
      <c r="AM153" s="232"/>
      <c r="AN153" s="232"/>
      <c r="AO153" s="232"/>
      <c r="AP153" s="344"/>
      <c r="AQ153" s="232" t="s">
        <v>516</v>
      </c>
      <c r="AR153" s="232"/>
      <c r="AS153" s="232"/>
      <c r="AT153" s="232"/>
      <c r="AU153" s="344"/>
      <c r="AV153" s="403"/>
      <c r="AW153" s="352"/>
      <c r="AX153" s="352"/>
      <c r="AY153" s="352"/>
      <c r="AZ153" s="352"/>
      <c r="BA153" s="352"/>
      <c r="BB153" s="352"/>
      <c r="BC153" s="352"/>
      <c r="BD153" s="352"/>
      <c r="BE153" s="352"/>
      <c r="BF153" s="352"/>
      <c r="BG153" s="352"/>
      <c r="BH153" s="352"/>
      <c r="BI153" s="352"/>
      <c r="BJ153" s="352"/>
      <c r="BK153" s="352"/>
      <c r="BL153" s="352"/>
      <c r="BM153" s="352"/>
      <c r="BN153" s="352"/>
      <c r="BO153" s="352"/>
      <c r="BP153" s="352"/>
      <c r="BQ153" s="352"/>
      <c r="BR153" s="352"/>
      <c r="BS153" s="352"/>
      <c r="BT153" s="352"/>
      <c r="BU153" s="352"/>
      <c r="BV153" s="352"/>
      <c r="BW153" s="352"/>
      <c r="BX153" s="352"/>
      <c r="BY153" s="352"/>
      <c r="BZ153" s="352"/>
      <c r="CA153" s="353"/>
      <c r="CB153" s="343"/>
      <c r="CC153" s="5"/>
    </row>
    <row r="154" spans="1:81" ht="12" customHeight="1">
      <c r="A154" s="5"/>
      <c r="B154" s="5"/>
      <c r="C154" s="5"/>
      <c r="D154" s="34"/>
      <c r="E154" s="3"/>
      <c r="F154" s="3"/>
      <c r="G154" s="3"/>
      <c r="H154" s="3"/>
      <c r="I154" s="33"/>
      <c r="J154" s="34"/>
      <c r="K154" s="3"/>
      <c r="L154" s="3"/>
      <c r="M154" s="3"/>
      <c r="N154" s="3"/>
      <c r="O154" s="3"/>
      <c r="P154" s="3"/>
      <c r="Q154" s="3"/>
      <c r="R154" s="165" t="s">
        <v>382</v>
      </c>
      <c r="S154" s="166"/>
      <c r="T154" s="166"/>
      <c r="U154" s="166"/>
      <c r="V154" s="166"/>
      <c r="W154" s="166"/>
      <c r="X154" s="166"/>
      <c r="Y154" s="166"/>
      <c r="Z154" s="166"/>
      <c r="AA154" s="166"/>
      <c r="AB154" s="166"/>
      <c r="AC154" s="166"/>
      <c r="AD154" s="166"/>
      <c r="AE154" s="166"/>
      <c r="AF154" s="166"/>
      <c r="AG154" s="166"/>
      <c r="AH154" s="166"/>
      <c r="AI154" s="166"/>
      <c r="AJ154" s="166"/>
      <c r="AK154" s="167"/>
      <c r="AL154" s="232" t="s">
        <v>516</v>
      </c>
      <c r="AM154" s="232"/>
      <c r="AN154" s="232"/>
      <c r="AO154" s="232"/>
      <c r="AP154" s="344"/>
      <c r="AQ154" s="232" t="s">
        <v>516</v>
      </c>
      <c r="AR154" s="232"/>
      <c r="AS154" s="232"/>
      <c r="AT154" s="232"/>
      <c r="AU154" s="344"/>
      <c r="AV154" s="403"/>
      <c r="AW154" s="352"/>
      <c r="AX154" s="352"/>
      <c r="AY154" s="352"/>
      <c r="AZ154" s="352"/>
      <c r="BA154" s="352"/>
      <c r="BB154" s="352"/>
      <c r="BC154" s="352"/>
      <c r="BD154" s="352"/>
      <c r="BE154" s="352"/>
      <c r="BF154" s="352"/>
      <c r="BG154" s="352"/>
      <c r="BH154" s="352"/>
      <c r="BI154" s="352"/>
      <c r="BJ154" s="352"/>
      <c r="BK154" s="352"/>
      <c r="BL154" s="352"/>
      <c r="BM154" s="352"/>
      <c r="BN154" s="352"/>
      <c r="BO154" s="352"/>
      <c r="BP154" s="352"/>
      <c r="BQ154" s="352"/>
      <c r="BR154" s="352"/>
      <c r="BS154" s="352"/>
      <c r="BT154" s="352"/>
      <c r="BU154" s="352"/>
      <c r="BV154" s="352"/>
      <c r="BW154" s="352"/>
      <c r="BX154" s="352"/>
      <c r="BY154" s="352"/>
      <c r="BZ154" s="352"/>
      <c r="CA154" s="353"/>
      <c r="CB154" s="343"/>
      <c r="CC154" s="5"/>
    </row>
    <row r="155" spans="1:81" ht="12" customHeight="1">
      <c r="A155" s="5"/>
      <c r="B155" s="5"/>
      <c r="C155" s="5"/>
      <c r="D155" s="34"/>
      <c r="E155" s="3"/>
      <c r="F155" s="3"/>
      <c r="G155" s="3"/>
      <c r="H155" s="3"/>
      <c r="I155" s="33"/>
      <c r="J155" s="34"/>
      <c r="K155" s="3"/>
      <c r="L155" s="3"/>
      <c r="M155" s="3"/>
      <c r="N155" s="3"/>
      <c r="O155" s="3"/>
      <c r="P155" s="3"/>
      <c r="Q155" s="3"/>
      <c r="R155" s="165" t="s">
        <v>69</v>
      </c>
      <c r="S155" s="166"/>
      <c r="T155" s="166"/>
      <c r="U155" s="166"/>
      <c r="V155" s="166"/>
      <c r="W155" s="166"/>
      <c r="X155" s="166"/>
      <c r="Y155" s="166"/>
      <c r="Z155" s="166"/>
      <c r="AA155" s="166"/>
      <c r="AB155" s="166"/>
      <c r="AC155" s="166"/>
      <c r="AD155" s="166"/>
      <c r="AE155" s="166"/>
      <c r="AF155" s="166"/>
      <c r="AG155" s="166"/>
      <c r="AH155" s="166"/>
      <c r="AI155" s="166"/>
      <c r="AJ155" s="166"/>
      <c r="AK155" s="167"/>
      <c r="AL155" s="232" t="s">
        <v>516</v>
      </c>
      <c r="AM155" s="232"/>
      <c r="AN155" s="232"/>
      <c r="AO155" s="232"/>
      <c r="AP155" s="344"/>
      <c r="AQ155" s="232" t="s">
        <v>516</v>
      </c>
      <c r="AR155" s="232"/>
      <c r="AS155" s="232"/>
      <c r="AT155" s="232"/>
      <c r="AU155" s="344"/>
      <c r="AV155" s="403"/>
      <c r="AW155" s="352"/>
      <c r="AX155" s="352"/>
      <c r="AY155" s="352"/>
      <c r="AZ155" s="352"/>
      <c r="BA155" s="352"/>
      <c r="BB155" s="352"/>
      <c r="BC155" s="352"/>
      <c r="BD155" s="352"/>
      <c r="BE155" s="352"/>
      <c r="BF155" s="352"/>
      <c r="BG155" s="352"/>
      <c r="BH155" s="352"/>
      <c r="BI155" s="352"/>
      <c r="BJ155" s="352"/>
      <c r="BK155" s="352"/>
      <c r="BL155" s="352"/>
      <c r="BM155" s="352"/>
      <c r="BN155" s="352"/>
      <c r="BO155" s="352"/>
      <c r="BP155" s="352"/>
      <c r="BQ155" s="352"/>
      <c r="BR155" s="352"/>
      <c r="BS155" s="352"/>
      <c r="BT155" s="352"/>
      <c r="BU155" s="352"/>
      <c r="BV155" s="352"/>
      <c r="BW155" s="352"/>
      <c r="BX155" s="352"/>
      <c r="BY155" s="352"/>
      <c r="BZ155" s="352"/>
      <c r="CA155" s="353"/>
      <c r="CB155" s="343"/>
      <c r="CC155" s="5"/>
    </row>
    <row r="156" spans="1:81" ht="12" customHeight="1">
      <c r="A156" s="5"/>
      <c r="B156" s="5"/>
      <c r="C156" s="5"/>
      <c r="D156" s="34"/>
      <c r="E156" s="3"/>
      <c r="F156" s="3"/>
      <c r="G156" s="3"/>
      <c r="H156" s="3"/>
      <c r="I156" s="33"/>
      <c r="J156" s="32"/>
      <c r="K156" s="31"/>
      <c r="L156" s="31"/>
      <c r="M156" s="31"/>
      <c r="N156" s="31"/>
      <c r="O156" s="31"/>
      <c r="P156" s="31"/>
      <c r="Q156" s="31"/>
      <c r="R156" s="165" t="s">
        <v>588</v>
      </c>
      <c r="S156" s="166"/>
      <c r="T156" s="166"/>
      <c r="U156" s="166"/>
      <c r="V156" s="166"/>
      <c r="W156" s="166"/>
      <c r="X156" s="166"/>
      <c r="Y156" s="166"/>
      <c r="Z156" s="166"/>
      <c r="AA156" s="166"/>
      <c r="AB156" s="166"/>
      <c r="AC156" s="166"/>
      <c r="AD156" s="166"/>
      <c r="AE156" s="166"/>
      <c r="AF156" s="166"/>
      <c r="AG156" s="166"/>
      <c r="AH156" s="166"/>
      <c r="AI156" s="166"/>
      <c r="AJ156" s="166"/>
      <c r="AK156" s="167"/>
      <c r="AL156" s="232" t="s">
        <v>594</v>
      </c>
      <c r="AM156" s="232"/>
      <c r="AN156" s="232"/>
      <c r="AO156" s="232"/>
      <c r="AP156" s="344"/>
      <c r="AQ156" s="232" t="s">
        <v>594</v>
      </c>
      <c r="AR156" s="232"/>
      <c r="AS156" s="232"/>
      <c r="AT156" s="232"/>
      <c r="AU156" s="344"/>
      <c r="AV156" s="403" t="s">
        <v>918</v>
      </c>
      <c r="AW156" s="352"/>
      <c r="AX156" s="352"/>
      <c r="AY156" s="352"/>
      <c r="AZ156" s="352"/>
      <c r="BA156" s="352"/>
      <c r="BB156" s="352"/>
      <c r="BC156" s="352"/>
      <c r="BD156" s="352"/>
      <c r="BE156" s="352"/>
      <c r="BF156" s="352"/>
      <c r="BG156" s="352"/>
      <c r="BH156" s="352"/>
      <c r="BI156" s="352"/>
      <c r="BJ156" s="352"/>
      <c r="BK156" s="352"/>
      <c r="BL156" s="352"/>
      <c r="BM156" s="352"/>
      <c r="BN156" s="352"/>
      <c r="BO156" s="352"/>
      <c r="BP156" s="352"/>
      <c r="BQ156" s="352"/>
      <c r="BR156" s="352"/>
      <c r="BS156" s="352"/>
      <c r="BT156" s="352"/>
      <c r="BU156" s="352"/>
      <c r="BV156" s="352"/>
      <c r="BW156" s="352"/>
      <c r="BX156" s="352"/>
      <c r="BY156" s="352"/>
      <c r="BZ156" s="352"/>
      <c r="CA156" s="353"/>
      <c r="CB156" s="343"/>
      <c r="CC156" s="5"/>
    </row>
    <row r="157" spans="1:81" ht="12" customHeight="1">
      <c r="A157" s="5"/>
      <c r="B157" s="5"/>
      <c r="C157" s="5"/>
      <c r="D157" s="34"/>
      <c r="E157" s="3"/>
      <c r="F157" s="3"/>
      <c r="G157" s="3"/>
      <c r="H157" s="3"/>
      <c r="I157" s="33"/>
      <c r="J157" s="32" t="s">
        <v>600</v>
      </c>
      <c r="K157" s="31"/>
      <c r="L157" s="31"/>
      <c r="M157" s="31"/>
      <c r="N157" s="31"/>
      <c r="O157" s="31"/>
      <c r="P157" s="31"/>
      <c r="Q157" s="31"/>
      <c r="R157" s="32" t="s">
        <v>601</v>
      </c>
      <c r="S157" s="31"/>
      <c r="T157" s="31"/>
      <c r="U157" s="31"/>
      <c r="V157" s="31"/>
      <c r="W157" s="31"/>
      <c r="X157" s="31"/>
      <c r="Y157" s="31"/>
      <c r="Z157" s="31"/>
      <c r="AA157" s="31"/>
      <c r="AB157" s="31"/>
      <c r="AC157" s="31"/>
      <c r="AD157" s="31"/>
      <c r="AE157" s="31"/>
      <c r="AF157" s="31"/>
      <c r="AG157" s="31"/>
      <c r="AH157" s="31"/>
      <c r="AI157" s="31"/>
      <c r="AJ157" s="31"/>
      <c r="AK157" s="30"/>
      <c r="AL157" s="232" t="s">
        <v>516</v>
      </c>
      <c r="AM157" s="232"/>
      <c r="AN157" s="232"/>
      <c r="AO157" s="232"/>
      <c r="AP157" s="344"/>
      <c r="AQ157" s="232" t="s">
        <v>594</v>
      </c>
      <c r="AR157" s="232"/>
      <c r="AS157" s="232"/>
      <c r="AT157" s="232"/>
      <c r="AU157" s="344"/>
      <c r="AV157" s="403" t="s">
        <v>914</v>
      </c>
      <c r="AW157" s="352"/>
      <c r="AX157" s="352"/>
      <c r="AY157" s="352"/>
      <c r="AZ157" s="352"/>
      <c r="BA157" s="352"/>
      <c r="BB157" s="352"/>
      <c r="BC157" s="352"/>
      <c r="BD157" s="352"/>
      <c r="BE157" s="352"/>
      <c r="BF157" s="352"/>
      <c r="BG157" s="352"/>
      <c r="BH157" s="352"/>
      <c r="BI157" s="352"/>
      <c r="BJ157" s="352"/>
      <c r="BK157" s="352"/>
      <c r="BL157" s="352"/>
      <c r="BM157" s="352"/>
      <c r="BN157" s="352"/>
      <c r="BO157" s="352"/>
      <c r="BP157" s="352"/>
      <c r="BQ157" s="352"/>
      <c r="BR157" s="352"/>
      <c r="BS157" s="352"/>
      <c r="BT157" s="352"/>
      <c r="BU157" s="352"/>
      <c r="BV157" s="352"/>
      <c r="BW157" s="352"/>
      <c r="BX157" s="352"/>
      <c r="BY157" s="352"/>
      <c r="BZ157" s="352"/>
      <c r="CA157" s="353"/>
      <c r="CB157" s="343"/>
      <c r="CC157" s="5"/>
    </row>
    <row r="158" spans="1:81" ht="12" customHeight="1">
      <c r="A158" s="5"/>
      <c r="B158" s="5"/>
      <c r="C158" s="5"/>
      <c r="D158" s="34"/>
      <c r="E158" s="3"/>
      <c r="F158" s="3"/>
      <c r="G158" s="3"/>
      <c r="H158" s="3"/>
      <c r="I158" s="33"/>
      <c r="J158" s="165" t="s">
        <v>576</v>
      </c>
      <c r="K158" s="166"/>
      <c r="L158" s="166"/>
      <c r="M158" s="166"/>
      <c r="N158" s="166"/>
      <c r="O158" s="166"/>
      <c r="P158" s="166"/>
      <c r="Q158" s="166"/>
      <c r="R158" s="165" t="s">
        <v>586</v>
      </c>
      <c r="S158" s="166"/>
      <c r="T158" s="166"/>
      <c r="U158" s="166"/>
      <c r="V158" s="166"/>
      <c r="W158" s="166"/>
      <c r="X158" s="166"/>
      <c r="Y158" s="166"/>
      <c r="Z158" s="166"/>
      <c r="AA158" s="166"/>
      <c r="AB158" s="166"/>
      <c r="AC158" s="166"/>
      <c r="AD158" s="166"/>
      <c r="AE158" s="166"/>
      <c r="AF158" s="166"/>
      <c r="AG158" s="166"/>
      <c r="AH158" s="166"/>
      <c r="AI158" s="166"/>
      <c r="AJ158" s="166"/>
      <c r="AK158" s="167"/>
      <c r="AL158" s="232" t="s">
        <v>516</v>
      </c>
      <c r="AM158" s="232"/>
      <c r="AN158" s="232"/>
      <c r="AO158" s="232"/>
      <c r="AP158" s="344"/>
      <c r="AQ158" s="232" t="s">
        <v>516</v>
      </c>
      <c r="AR158" s="232"/>
      <c r="AS158" s="232"/>
      <c r="AT158" s="232"/>
      <c r="AU158" s="344"/>
      <c r="AV158" s="403"/>
      <c r="AW158" s="352"/>
      <c r="AX158" s="352"/>
      <c r="AY158" s="352"/>
      <c r="AZ158" s="352"/>
      <c r="BA158" s="352"/>
      <c r="BB158" s="352"/>
      <c r="BC158" s="352"/>
      <c r="BD158" s="352"/>
      <c r="BE158" s="352"/>
      <c r="BF158" s="352"/>
      <c r="BG158" s="352"/>
      <c r="BH158" s="352"/>
      <c r="BI158" s="352"/>
      <c r="BJ158" s="352"/>
      <c r="BK158" s="352"/>
      <c r="BL158" s="352"/>
      <c r="BM158" s="352"/>
      <c r="BN158" s="352"/>
      <c r="BO158" s="352"/>
      <c r="BP158" s="352"/>
      <c r="BQ158" s="352"/>
      <c r="BR158" s="352"/>
      <c r="BS158" s="352"/>
      <c r="BT158" s="352"/>
      <c r="BU158" s="352"/>
      <c r="BV158" s="352"/>
      <c r="BW158" s="352"/>
      <c r="BX158" s="352"/>
      <c r="BY158" s="352"/>
      <c r="BZ158" s="352"/>
      <c r="CA158" s="353"/>
      <c r="CB158" s="343"/>
      <c r="CC158" s="5"/>
    </row>
    <row r="159" spans="1:81" ht="12" customHeight="1">
      <c r="A159" s="5"/>
      <c r="B159" s="5"/>
      <c r="C159" s="5"/>
      <c r="D159" s="34"/>
      <c r="E159" s="3"/>
      <c r="F159" s="3"/>
      <c r="G159" s="3"/>
      <c r="H159" s="3"/>
      <c r="I159" s="33"/>
      <c r="J159" s="162" t="s">
        <v>591</v>
      </c>
      <c r="K159" s="163"/>
      <c r="L159" s="163"/>
      <c r="M159" s="163"/>
      <c r="N159" s="163"/>
      <c r="O159" s="163"/>
      <c r="P159" s="163"/>
      <c r="Q159" s="163"/>
      <c r="R159" s="165" t="s">
        <v>482</v>
      </c>
      <c r="S159" s="166"/>
      <c r="T159" s="166"/>
      <c r="U159" s="166"/>
      <c r="V159" s="166"/>
      <c r="W159" s="166"/>
      <c r="X159" s="166"/>
      <c r="Y159" s="166"/>
      <c r="Z159" s="166"/>
      <c r="AA159" s="166"/>
      <c r="AB159" s="166"/>
      <c r="AC159" s="166"/>
      <c r="AD159" s="166"/>
      <c r="AE159" s="166"/>
      <c r="AF159" s="166"/>
      <c r="AG159" s="166"/>
      <c r="AH159" s="166"/>
      <c r="AI159" s="166"/>
      <c r="AJ159" s="166"/>
      <c r="AK159" s="167"/>
      <c r="AL159" s="232" t="s">
        <v>516</v>
      </c>
      <c r="AM159" s="232"/>
      <c r="AN159" s="232"/>
      <c r="AO159" s="232"/>
      <c r="AP159" s="344"/>
      <c r="AQ159" s="232" t="s">
        <v>516</v>
      </c>
      <c r="AR159" s="232"/>
      <c r="AS159" s="232"/>
      <c r="AT159" s="232"/>
      <c r="AU159" s="344"/>
      <c r="AV159" s="403"/>
      <c r="AW159" s="352"/>
      <c r="AX159" s="352"/>
      <c r="AY159" s="352"/>
      <c r="AZ159" s="352"/>
      <c r="BA159" s="352"/>
      <c r="BB159" s="352"/>
      <c r="BC159" s="352"/>
      <c r="BD159" s="352"/>
      <c r="BE159" s="352"/>
      <c r="BF159" s="352"/>
      <c r="BG159" s="352"/>
      <c r="BH159" s="352"/>
      <c r="BI159" s="352"/>
      <c r="BJ159" s="352"/>
      <c r="BK159" s="352"/>
      <c r="BL159" s="352"/>
      <c r="BM159" s="352"/>
      <c r="BN159" s="352"/>
      <c r="BO159" s="352"/>
      <c r="BP159" s="352"/>
      <c r="BQ159" s="352"/>
      <c r="BR159" s="352"/>
      <c r="BS159" s="352"/>
      <c r="BT159" s="352"/>
      <c r="BU159" s="352"/>
      <c r="BV159" s="352"/>
      <c r="BW159" s="352"/>
      <c r="BX159" s="352"/>
      <c r="BY159" s="352"/>
      <c r="BZ159" s="352"/>
      <c r="CA159" s="353"/>
      <c r="CB159" s="343"/>
      <c r="CC159" s="5"/>
    </row>
    <row r="160" spans="1:81" ht="12" customHeight="1">
      <c r="A160" s="5"/>
      <c r="B160" s="5"/>
      <c r="C160" s="5"/>
      <c r="D160" s="34"/>
      <c r="E160" s="3"/>
      <c r="F160" s="3"/>
      <c r="G160" s="3"/>
      <c r="H160" s="3"/>
      <c r="I160" s="33"/>
      <c r="J160" s="32"/>
      <c r="K160" s="31"/>
      <c r="L160" s="31"/>
      <c r="M160" s="31"/>
      <c r="N160" s="31"/>
      <c r="O160" s="31"/>
      <c r="P160" s="31"/>
      <c r="Q160" s="31"/>
      <c r="R160" s="165" t="s">
        <v>593</v>
      </c>
      <c r="S160" s="166"/>
      <c r="T160" s="166"/>
      <c r="U160" s="166"/>
      <c r="V160" s="166"/>
      <c r="W160" s="166"/>
      <c r="X160" s="166"/>
      <c r="Y160" s="166"/>
      <c r="Z160" s="166"/>
      <c r="AA160" s="166"/>
      <c r="AB160" s="166"/>
      <c r="AC160" s="166"/>
      <c r="AD160" s="166"/>
      <c r="AE160" s="166"/>
      <c r="AF160" s="166"/>
      <c r="AG160" s="166"/>
      <c r="AH160" s="166"/>
      <c r="AI160" s="166"/>
      <c r="AJ160" s="166"/>
      <c r="AK160" s="167"/>
      <c r="AL160" s="232" t="s">
        <v>594</v>
      </c>
      <c r="AM160" s="232"/>
      <c r="AN160" s="232"/>
      <c r="AO160" s="232"/>
      <c r="AP160" s="344"/>
      <c r="AQ160" s="232" t="s">
        <v>594</v>
      </c>
      <c r="AR160" s="232"/>
      <c r="AS160" s="232"/>
      <c r="AT160" s="232"/>
      <c r="AU160" s="344"/>
      <c r="AV160" s="404" t="s">
        <v>915</v>
      </c>
      <c r="AW160" s="388"/>
      <c r="AX160" s="388"/>
      <c r="AY160" s="388"/>
      <c r="AZ160" s="388"/>
      <c r="BA160" s="388"/>
      <c r="BB160" s="388"/>
      <c r="BC160" s="388"/>
      <c r="BD160" s="388"/>
      <c r="BE160" s="388"/>
      <c r="BF160" s="388"/>
      <c r="BG160" s="388"/>
      <c r="BH160" s="388"/>
      <c r="BI160" s="388"/>
      <c r="BJ160" s="388"/>
      <c r="BK160" s="388"/>
      <c r="BL160" s="388"/>
      <c r="BM160" s="388"/>
      <c r="BN160" s="388"/>
      <c r="BO160" s="388"/>
      <c r="BP160" s="388"/>
      <c r="BQ160" s="388"/>
      <c r="BR160" s="388"/>
      <c r="BS160" s="388"/>
      <c r="BT160" s="388"/>
      <c r="BU160" s="388"/>
      <c r="BV160" s="388"/>
      <c r="BW160" s="388"/>
      <c r="BX160" s="388"/>
      <c r="BY160" s="388"/>
      <c r="BZ160" s="388"/>
      <c r="CA160" s="389"/>
      <c r="CB160" s="343"/>
      <c r="CC160" s="5"/>
    </row>
    <row r="161" spans="1:83" ht="12" customHeight="1">
      <c r="A161" s="298"/>
      <c r="B161" s="5"/>
      <c r="C161" s="5"/>
      <c r="D161" s="34"/>
      <c r="E161" s="3"/>
      <c r="F161" s="3"/>
      <c r="G161" s="3"/>
      <c r="H161" s="3"/>
      <c r="I161" s="33"/>
      <c r="J161" s="162" t="s">
        <v>595</v>
      </c>
      <c r="K161" s="163"/>
      <c r="L161" s="163"/>
      <c r="M161" s="163"/>
      <c r="N161" s="163"/>
      <c r="O161" s="163"/>
      <c r="P161" s="163"/>
      <c r="Q161" s="164"/>
      <c r="R161" s="32" t="s">
        <v>589</v>
      </c>
      <c r="S161" s="31"/>
      <c r="T161" s="31"/>
      <c r="U161" s="31"/>
      <c r="V161" s="31"/>
      <c r="W161" s="31"/>
      <c r="X161" s="31"/>
      <c r="Y161" s="31"/>
      <c r="Z161" s="31"/>
      <c r="AA161" s="31"/>
      <c r="AB161" s="31"/>
      <c r="AC161" s="31"/>
      <c r="AD161" s="31"/>
      <c r="AE161" s="31"/>
      <c r="AF161" s="31"/>
      <c r="AG161" s="31"/>
      <c r="AH161" s="31"/>
      <c r="AI161" s="31"/>
      <c r="AJ161" s="31"/>
      <c r="AK161" s="30"/>
      <c r="AL161" s="233" t="s">
        <v>594</v>
      </c>
      <c r="AM161" s="233"/>
      <c r="AN161" s="233"/>
      <c r="AO161" s="233"/>
      <c r="AP161" s="345"/>
      <c r="AQ161" s="233" t="s">
        <v>594</v>
      </c>
      <c r="AR161" s="233"/>
      <c r="AS161" s="233"/>
      <c r="AT161" s="233"/>
      <c r="AU161" s="345"/>
      <c r="AV161" s="354"/>
      <c r="AW161" s="391"/>
      <c r="AX161" s="391"/>
      <c r="AY161" s="391"/>
      <c r="AZ161" s="391"/>
      <c r="BA161" s="391"/>
      <c r="BB161" s="391"/>
      <c r="BC161" s="391"/>
      <c r="BD161" s="391"/>
      <c r="BE161" s="391"/>
      <c r="BF161" s="391"/>
      <c r="BG161" s="391"/>
      <c r="BH161" s="391"/>
      <c r="BI161" s="391"/>
      <c r="BJ161" s="391"/>
      <c r="BK161" s="391"/>
      <c r="BL161" s="391"/>
      <c r="BM161" s="391"/>
      <c r="BN161" s="391"/>
      <c r="BO161" s="391"/>
      <c r="BP161" s="391"/>
      <c r="BQ161" s="391"/>
      <c r="BR161" s="391"/>
      <c r="BS161" s="391"/>
      <c r="BT161" s="391"/>
      <c r="BU161" s="391"/>
      <c r="BV161" s="391"/>
      <c r="BW161" s="391"/>
      <c r="BX161" s="391"/>
      <c r="BY161" s="391"/>
      <c r="BZ161" s="391"/>
      <c r="CA161" s="392"/>
      <c r="CB161" s="5"/>
      <c r="CC161" s="5"/>
    </row>
    <row r="162" spans="1:83" ht="12" customHeight="1">
      <c r="A162" s="298"/>
      <c r="B162" s="5"/>
      <c r="C162" s="5"/>
      <c r="D162" s="32"/>
      <c r="E162" s="31"/>
      <c r="F162" s="31"/>
      <c r="G162" s="31"/>
      <c r="H162" s="31"/>
      <c r="I162" s="30"/>
      <c r="J162" s="31"/>
      <c r="K162" s="31"/>
      <c r="L162" s="31"/>
      <c r="M162" s="31"/>
      <c r="N162" s="31"/>
      <c r="O162" s="31"/>
      <c r="P162" s="31"/>
      <c r="Q162" s="30"/>
      <c r="R162" s="165" t="s">
        <v>590</v>
      </c>
      <c r="S162" s="166"/>
      <c r="T162" s="166"/>
      <c r="U162" s="166"/>
      <c r="V162" s="166"/>
      <c r="W162" s="166"/>
      <c r="X162" s="166"/>
      <c r="Y162" s="166"/>
      <c r="Z162" s="166"/>
      <c r="AA162" s="166"/>
      <c r="AB162" s="166"/>
      <c r="AC162" s="166"/>
      <c r="AD162" s="166"/>
      <c r="AE162" s="166"/>
      <c r="AF162" s="166"/>
      <c r="AG162" s="166"/>
      <c r="AH162" s="166"/>
      <c r="AI162" s="166"/>
      <c r="AJ162" s="166"/>
      <c r="AK162" s="167"/>
      <c r="AL162" s="232" t="s">
        <v>594</v>
      </c>
      <c r="AM162" s="232"/>
      <c r="AN162" s="232"/>
      <c r="AO162" s="232"/>
      <c r="AP162" s="344"/>
      <c r="AQ162" s="232" t="s">
        <v>594</v>
      </c>
      <c r="AR162" s="232"/>
      <c r="AS162" s="232"/>
      <c r="AT162" s="232"/>
      <c r="AU162" s="344"/>
      <c r="AV162" s="355"/>
      <c r="AW162" s="394"/>
      <c r="AX162" s="394"/>
      <c r="AY162" s="394"/>
      <c r="AZ162" s="394"/>
      <c r="BA162" s="394"/>
      <c r="BB162" s="394"/>
      <c r="BC162" s="394"/>
      <c r="BD162" s="394"/>
      <c r="BE162" s="394"/>
      <c r="BF162" s="394"/>
      <c r="BG162" s="394"/>
      <c r="BH162" s="394"/>
      <c r="BI162" s="394"/>
      <c r="BJ162" s="394"/>
      <c r="BK162" s="394"/>
      <c r="BL162" s="394"/>
      <c r="BM162" s="394"/>
      <c r="BN162" s="394"/>
      <c r="BO162" s="394"/>
      <c r="BP162" s="394"/>
      <c r="BQ162" s="394"/>
      <c r="BR162" s="394"/>
      <c r="BS162" s="394"/>
      <c r="BT162" s="394"/>
      <c r="BU162" s="394"/>
      <c r="BV162" s="394"/>
      <c r="BW162" s="394"/>
      <c r="BX162" s="394"/>
      <c r="BY162" s="394"/>
      <c r="BZ162" s="394"/>
      <c r="CA162" s="395"/>
      <c r="CB162" s="5"/>
      <c r="CC162" s="5"/>
    </row>
    <row r="163" spans="1:83" ht="12"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row>
    <row r="164" spans="1:83" ht="12"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row>
    <row r="165" spans="1:83" ht="12" customHeight="1">
      <c r="A165" s="298"/>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row>
    <row r="166" spans="1:83" ht="12" customHeight="1">
      <c r="A166" s="298"/>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row>
    <row r="167" spans="1:83" ht="12" customHeight="1">
      <c r="A167" s="298"/>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row>
    <row r="168" spans="1:83" ht="12" customHeight="1">
      <c r="A168" s="29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row>
    <row r="169" spans="1:83" ht="12" customHeight="1">
      <c r="A169" s="298"/>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row>
    <row r="170" spans="1:83" ht="12" customHeight="1">
      <c r="A170" s="298"/>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row>
    <row r="171" spans="1:83" ht="12" customHeight="1">
      <c r="A171" s="298"/>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row>
    <row r="172" spans="1:83" ht="12" customHeight="1">
      <c r="A172" s="298"/>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row>
    <row r="173" spans="1:83" ht="12" customHeight="1">
      <c r="A173" s="298"/>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row>
    <row r="174" spans="1:83" ht="12" customHeight="1">
      <c r="A174" s="298"/>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row>
    <row r="175" spans="1:83" ht="12" customHeight="1">
      <c r="A175" s="298"/>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row>
    <row r="176" spans="1:83" ht="12" customHeight="1">
      <c r="A176" s="298"/>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row>
    <row r="177" spans="1:83" ht="12" customHeight="1">
      <c r="A177" s="298"/>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row>
    <row r="178" spans="1:83" ht="12" customHeight="1">
      <c r="A178" s="29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row>
    <row r="179" spans="1:83" ht="12" customHeight="1">
      <c r="A179" s="298"/>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row>
    <row r="180" spans="1:83" ht="12" customHeight="1">
      <c r="A180" s="298"/>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row>
    <row r="181" spans="1:83" ht="12" customHeight="1">
      <c r="A181" s="298"/>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row>
    <row r="182" spans="1:83" ht="12" customHeight="1">
      <c r="A182" s="298"/>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row>
    <row r="183" spans="1:83" ht="12" customHeight="1">
      <c r="A183" s="298"/>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row>
    <row r="184" spans="1:83" ht="12" customHeight="1">
      <c r="A184" s="298"/>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row>
    <row r="185" spans="1:83" ht="12" customHeight="1">
      <c r="A185" s="298"/>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row>
    <row r="186" spans="1:83" ht="12" customHeight="1">
      <c r="A186" s="298"/>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row>
    <row r="187" spans="1:83" ht="12" customHeight="1">
      <c r="A187" s="298"/>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row>
    <row r="188" spans="1:83" ht="12" customHeight="1">
      <c r="A188" s="29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row>
    <row r="189" spans="1:83" ht="12" customHeight="1">
      <c r="A189" s="298"/>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row>
    <row r="190" spans="1:83" ht="12" customHeight="1">
      <c r="A190" s="298"/>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row>
    <row r="191" spans="1:83" ht="12" customHeight="1">
      <c r="A191" s="298"/>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row>
    <row r="192" spans="1:83" ht="12" customHeight="1">
      <c r="A192" s="298"/>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row>
    <row r="193" spans="1:83" ht="12" customHeight="1">
      <c r="A193" s="298"/>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row>
    <row r="194" spans="1:83" ht="12" customHeight="1">
      <c r="A194" s="298"/>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row>
    <row r="195" spans="1:83" ht="12" customHeight="1">
      <c r="A195" s="298"/>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row>
    <row r="196" spans="1:83" ht="12" customHeight="1">
      <c r="A196" s="298"/>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row>
    <row r="197" spans="1:83" ht="12" customHeight="1">
      <c r="A197" s="298"/>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row>
    <row r="198" spans="1:83" ht="12" customHeight="1">
      <c r="A198" s="2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row>
    <row r="199" spans="1:83" ht="12" customHeight="1">
      <c r="A199" s="298"/>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row>
    <row r="200" spans="1:83" ht="12" customHeight="1">
      <c r="A200" s="298"/>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row>
    <row r="201" spans="1:83" ht="12" customHeight="1">
      <c r="A201" s="298"/>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row>
    <row r="202" spans="1:83" ht="12" customHeight="1">
      <c r="A202" s="298"/>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row>
    <row r="203" spans="1:83" ht="12" customHeight="1">
      <c r="A203" s="298"/>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row>
    <row r="204" spans="1:83" ht="12" customHeight="1">
      <c r="A204" s="298"/>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row>
    <row r="205" spans="1:83" ht="12" customHeight="1">
      <c r="A205" s="298"/>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row>
    <row r="206" spans="1:83" ht="12" customHeight="1">
      <c r="A206" s="298"/>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row>
    <row r="207" spans="1:83" ht="12" customHeight="1">
      <c r="A207" s="298"/>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row>
    <row r="208" spans="1:83" ht="12" customHeight="1">
      <c r="A208" s="29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row>
    <row r="209" spans="1:83" ht="12" customHeight="1">
      <c r="A209" s="298"/>
      <c r="B209" s="298"/>
      <c r="C209" s="298"/>
      <c r="D209" s="298"/>
      <c r="E209" s="298"/>
      <c r="F209" s="298"/>
      <c r="G209" s="298"/>
      <c r="H209" s="298"/>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row>
    <row r="210" spans="1:83" ht="12" customHeight="1">
      <c r="A210" s="55"/>
      <c r="B210" s="55"/>
      <c r="C210" s="298" t="s">
        <v>1196</v>
      </c>
      <c r="D210" s="400"/>
      <c r="E210" s="298"/>
      <c r="F210" s="298"/>
      <c r="G210" s="298"/>
      <c r="H210" s="298"/>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row>
    <row r="211" spans="1:83" ht="12" customHeight="1">
      <c r="A211" s="55"/>
      <c r="B211" s="55"/>
      <c r="C211" s="298" t="s">
        <v>919</v>
      </c>
      <c r="D211" s="298"/>
      <c r="E211" s="298"/>
      <c r="F211" s="298"/>
      <c r="G211" s="298"/>
      <c r="H211" s="298"/>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row>
    <row r="212" spans="1:83" ht="12" customHeight="1">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row>
  </sheetData>
  <mergeCells count="26">
    <mergeCell ref="J116:Q117"/>
    <mergeCell ref="A1:CE1"/>
    <mergeCell ref="A3:H3"/>
    <mergeCell ref="I3:AC3"/>
    <mergeCell ref="AD3:AL3"/>
    <mergeCell ref="AM3:BQ3"/>
    <mergeCell ref="BR3:BS5"/>
    <mergeCell ref="BT3:BX5"/>
    <mergeCell ref="BY3:BZ5"/>
    <mergeCell ref="CA3:CE5"/>
    <mergeCell ref="A4:H5"/>
    <mergeCell ref="BK5:BM5"/>
    <mergeCell ref="BN5:BQ5"/>
    <mergeCell ref="I4:AC5"/>
    <mergeCell ref="AD4:AL4"/>
    <mergeCell ref="AD5:AG5"/>
    <mergeCell ref="AL133:AP134"/>
    <mergeCell ref="AQ133:AU134"/>
    <mergeCell ref="AM4:BQ4"/>
    <mergeCell ref="BD5:BJ5"/>
    <mergeCell ref="AH5:AN5"/>
    <mergeCell ref="AO5:AR5"/>
    <mergeCell ref="AS5:AY5"/>
    <mergeCell ref="AZ5:BC5"/>
    <mergeCell ref="AL103:AP104"/>
    <mergeCell ref="AQ103:AU104"/>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5" manualBreakCount="5">
    <brk id="42" max="16383" man="1"/>
    <brk id="76" max="82" man="1"/>
    <brk id="95" max="82" man="1"/>
    <brk id="131" max="82" man="1"/>
    <brk id="164" max="16383" man="1"/>
  </rowBreaks>
  <colBreaks count="3" manualBreakCount="3">
    <brk id="1" max="211" man="1"/>
    <brk id="2" max="211" man="1"/>
    <brk id="3" max="211"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W276"/>
  <sheetViews>
    <sheetView showGridLines="0" view="pageBreakPreview" zoomScale="85" zoomScaleNormal="85" zoomScaleSheetLayoutView="85" workbookViewId="0">
      <selection sqref="A1:CE1"/>
    </sheetView>
  </sheetViews>
  <sheetFormatPr defaultColWidth="1.625" defaultRowHeight="12" customHeight="1"/>
  <cols>
    <col min="1" max="1" width="1.625" style="400" customWidth="1"/>
    <col min="2" max="48" width="1.625" style="1"/>
    <col min="49" max="49" width="1.5" style="1" customWidth="1"/>
    <col min="50" max="106" width="1.625" style="1"/>
    <col min="107" max="108" width="1.5" style="1" customWidth="1"/>
    <col min="109" max="16384" width="1.625" style="1"/>
  </cols>
  <sheetData>
    <row r="1" spans="1:83" ht="17.25" customHeight="1">
      <c r="A1" s="613" t="s">
        <v>108</v>
      </c>
      <c r="B1" s="613"/>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83" ht="4.5" customHeight="1"/>
    <row r="3" spans="1:83" ht="12" customHeight="1">
      <c r="A3" s="592" t="s">
        <v>8</v>
      </c>
      <c r="B3" s="592"/>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t="s">
        <v>1</v>
      </c>
      <c r="AE3" s="592"/>
      <c r="AF3" s="592"/>
      <c r="AG3" s="592"/>
      <c r="AH3" s="592"/>
      <c r="AI3" s="592"/>
      <c r="AJ3" s="592"/>
      <c r="AK3" s="592"/>
      <c r="AL3" s="592"/>
      <c r="AM3" s="594" t="s">
        <v>67</v>
      </c>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6"/>
      <c r="BR3" s="693" t="s">
        <v>6</v>
      </c>
      <c r="BS3" s="693"/>
      <c r="BT3" s="601" t="s">
        <v>756</v>
      </c>
      <c r="BU3" s="593"/>
      <c r="BV3" s="593"/>
      <c r="BW3" s="593"/>
      <c r="BX3" s="593"/>
      <c r="BY3" s="693" t="s">
        <v>7</v>
      </c>
      <c r="BZ3" s="693"/>
      <c r="CA3" s="601" t="s">
        <v>757</v>
      </c>
      <c r="CB3" s="593"/>
      <c r="CC3" s="593"/>
      <c r="CD3" s="593"/>
      <c r="CE3" s="593"/>
    </row>
    <row r="4" spans="1:83" ht="12" customHeight="1">
      <c r="A4" s="592" t="s">
        <v>9</v>
      </c>
      <c r="B4" s="592"/>
      <c r="C4" s="592"/>
      <c r="D4" s="592"/>
      <c r="E4" s="592"/>
      <c r="F4" s="592"/>
      <c r="G4" s="592"/>
      <c r="H4" s="592"/>
      <c r="I4" s="591" t="s">
        <v>66</v>
      </c>
      <c r="J4" s="592"/>
      <c r="K4" s="592"/>
      <c r="L4" s="592"/>
      <c r="M4" s="592"/>
      <c r="N4" s="592"/>
      <c r="O4" s="592"/>
      <c r="P4" s="592"/>
      <c r="Q4" s="592"/>
      <c r="R4" s="592"/>
      <c r="S4" s="592"/>
      <c r="T4" s="592"/>
      <c r="U4" s="592"/>
      <c r="V4" s="592"/>
      <c r="W4" s="592"/>
      <c r="X4" s="592"/>
      <c r="Y4" s="592"/>
      <c r="Z4" s="592"/>
      <c r="AA4" s="592"/>
      <c r="AB4" s="592"/>
      <c r="AC4" s="592"/>
      <c r="AD4" s="592" t="s">
        <v>0</v>
      </c>
      <c r="AE4" s="592"/>
      <c r="AF4" s="592"/>
      <c r="AG4" s="592"/>
      <c r="AH4" s="592"/>
      <c r="AI4" s="592"/>
      <c r="AJ4" s="592"/>
      <c r="AK4" s="592"/>
      <c r="AL4" s="592"/>
      <c r="AM4" s="594" t="s">
        <v>65</v>
      </c>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6"/>
      <c r="BR4" s="693"/>
      <c r="BS4" s="693"/>
      <c r="BT4" s="593"/>
      <c r="BU4" s="593"/>
      <c r="BV4" s="593"/>
      <c r="BW4" s="593"/>
      <c r="BX4" s="593"/>
      <c r="BY4" s="693"/>
      <c r="BZ4" s="693"/>
      <c r="CA4" s="593"/>
      <c r="CB4" s="593"/>
      <c r="CC4" s="593"/>
      <c r="CD4" s="593"/>
      <c r="CE4" s="593"/>
    </row>
    <row r="5" spans="1:83" ht="12" customHeight="1">
      <c r="A5" s="592"/>
      <c r="B5" s="592"/>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t="s">
        <v>2</v>
      </c>
      <c r="AE5" s="592"/>
      <c r="AF5" s="592"/>
      <c r="AG5" s="592"/>
      <c r="AH5" s="604">
        <v>43503</v>
      </c>
      <c r="AI5" s="604"/>
      <c r="AJ5" s="604"/>
      <c r="AK5" s="604"/>
      <c r="AL5" s="604"/>
      <c r="AM5" s="604"/>
      <c r="AN5" s="604"/>
      <c r="AO5" s="592" t="s">
        <v>3</v>
      </c>
      <c r="AP5" s="592"/>
      <c r="AQ5" s="592"/>
      <c r="AR5" s="592"/>
      <c r="AS5" s="692"/>
      <c r="AT5" s="692"/>
      <c r="AU5" s="692"/>
      <c r="AV5" s="692"/>
      <c r="AW5" s="692"/>
      <c r="AX5" s="692"/>
      <c r="AY5" s="692"/>
      <c r="AZ5" s="592" t="s">
        <v>4</v>
      </c>
      <c r="BA5" s="592"/>
      <c r="BB5" s="592"/>
      <c r="BC5" s="592"/>
      <c r="BD5" s="692"/>
      <c r="BE5" s="692"/>
      <c r="BF5" s="692"/>
      <c r="BG5" s="692"/>
      <c r="BH5" s="692"/>
      <c r="BI5" s="692"/>
      <c r="BJ5" s="692"/>
      <c r="BK5" s="592" t="s">
        <v>5</v>
      </c>
      <c r="BL5" s="592"/>
      <c r="BM5" s="592"/>
      <c r="BN5" s="691"/>
      <c r="BO5" s="691"/>
      <c r="BP5" s="691"/>
      <c r="BQ5" s="691"/>
      <c r="BR5" s="693"/>
      <c r="BS5" s="693"/>
      <c r="BT5" s="593"/>
      <c r="BU5" s="593"/>
      <c r="BV5" s="593"/>
      <c r="BW5" s="593"/>
      <c r="BX5" s="593"/>
      <c r="BY5" s="693"/>
      <c r="BZ5" s="693"/>
      <c r="CA5" s="593"/>
      <c r="CB5" s="593"/>
      <c r="CC5" s="593"/>
      <c r="CD5" s="593"/>
      <c r="CE5" s="593"/>
    </row>
    <row r="6" spans="1:83" ht="5.0999999999999996" customHeight="1"/>
    <row r="7" spans="1:83" ht="12" customHeight="1">
      <c r="A7" s="298"/>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55"/>
      <c r="B8" s="391"/>
      <c r="C8" s="391"/>
      <c r="D8" s="391"/>
      <c r="E8" s="391"/>
      <c r="F8" s="391"/>
      <c r="G8" s="391"/>
      <c r="H8" s="391"/>
      <c r="I8" s="391"/>
      <c r="J8" s="391"/>
      <c r="K8" s="391"/>
      <c r="L8" s="391"/>
      <c r="M8" s="391"/>
      <c r="N8" s="391"/>
      <c r="O8" s="391"/>
      <c r="P8" s="391"/>
      <c r="Q8" s="391"/>
      <c r="R8" s="391"/>
      <c r="S8" s="391"/>
      <c r="T8" s="391"/>
      <c r="U8" s="391"/>
      <c r="V8" s="391"/>
      <c r="W8" s="391"/>
      <c r="X8" s="391"/>
      <c r="Y8" s="391"/>
      <c r="Z8" s="391"/>
      <c r="AA8" s="391"/>
      <c r="AB8" s="391"/>
      <c r="AC8" s="391"/>
      <c r="AD8" s="391"/>
      <c r="AE8" s="391"/>
      <c r="AF8" s="391"/>
      <c r="AG8" s="391"/>
      <c r="AH8" s="391"/>
      <c r="AI8" s="391"/>
      <c r="AJ8" s="391"/>
      <c r="AK8" s="391"/>
      <c r="AL8" s="391"/>
      <c r="AM8" s="391"/>
      <c r="AN8" s="391"/>
      <c r="AO8" s="391"/>
      <c r="AP8" s="391"/>
      <c r="AQ8" s="391"/>
      <c r="AR8" s="391"/>
      <c r="AS8" s="391"/>
      <c r="AT8" s="391"/>
      <c r="AU8" s="391"/>
      <c r="AV8" s="391"/>
      <c r="AW8" s="391"/>
      <c r="AX8" s="391"/>
      <c r="AY8" s="391"/>
      <c r="AZ8" s="391"/>
      <c r="BA8" s="391"/>
      <c r="BB8" s="391"/>
      <c r="BC8" s="391"/>
      <c r="BD8" s="391"/>
      <c r="BE8" s="391"/>
      <c r="BF8" s="391"/>
      <c r="BG8" s="391"/>
      <c r="BH8" s="391"/>
      <c r="BI8" s="391"/>
      <c r="BJ8" s="391"/>
      <c r="BK8" s="391"/>
      <c r="BL8" s="391"/>
      <c r="BM8" s="391"/>
      <c r="BN8" s="391"/>
      <c r="BO8" s="391"/>
      <c r="BP8" s="391"/>
      <c r="BQ8" s="391"/>
      <c r="BR8" s="391"/>
      <c r="BS8" s="391"/>
      <c r="BT8" s="391"/>
      <c r="BU8" s="391"/>
      <c r="BV8" s="391"/>
      <c r="BW8" s="391"/>
      <c r="BX8" s="391"/>
      <c r="BY8" s="391"/>
      <c r="BZ8" s="391"/>
      <c r="CA8" s="391"/>
      <c r="CB8" s="391"/>
      <c r="CC8" s="391"/>
      <c r="CD8" s="391"/>
      <c r="CE8" s="3"/>
    </row>
    <row r="9" spans="1:83" ht="12" customHeight="1">
      <c r="A9" s="55"/>
      <c r="B9" s="391" t="s">
        <v>1090</v>
      </c>
      <c r="C9" s="391"/>
      <c r="D9" s="391"/>
      <c r="E9" s="391"/>
      <c r="F9" s="391"/>
      <c r="G9" s="391"/>
      <c r="H9" s="391"/>
      <c r="I9" s="391"/>
      <c r="J9" s="391"/>
      <c r="K9" s="391"/>
      <c r="L9" s="391"/>
      <c r="M9" s="391"/>
      <c r="N9" s="391"/>
      <c r="O9" s="391"/>
      <c r="P9" s="391"/>
      <c r="Q9" s="391"/>
      <c r="R9" s="391"/>
      <c r="S9" s="391"/>
      <c r="T9" s="391"/>
      <c r="U9" s="391"/>
      <c r="V9" s="391"/>
      <c r="W9" s="391"/>
      <c r="X9" s="391"/>
      <c r="Y9" s="391"/>
      <c r="Z9" s="391"/>
      <c r="AA9" s="391"/>
      <c r="AB9" s="391"/>
      <c r="AC9" s="391"/>
      <c r="AD9" s="391"/>
      <c r="AE9" s="391"/>
      <c r="AF9" s="391"/>
      <c r="AG9" s="391"/>
      <c r="AH9" s="391"/>
      <c r="AI9" s="391"/>
      <c r="AJ9" s="391"/>
      <c r="AK9" s="391"/>
      <c r="AL9" s="391"/>
      <c r="AM9" s="391"/>
      <c r="AN9" s="391"/>
      <c r="AO9" s="391"/>
      <c r="AP9" s="391"/>
      <c r="AQ9" s="391"/>
      <c r="AR9" s="391"/>
      <c r="AS9" s="391"/>
      <c r="AT9" s="391"/>
      <c r="AU9" s="391"/>
      <c r="AV9" s="391"/>
      <c r="AW9" s="391"/>
      <c r="AX9" s="391"/>
      <c r="AY9" s="391"/>
      <c r="AZ9" s="391"/>
      <c r="BA9" s="391"/>
      <c r="BB9" s="391"/>
      <c r="BC9" s="391"/>
      <c r="BD9" s="391"/>
      <c r="BE9" s="391"/>
      <c r="BF9" s="391"/>
      <c r="BG9" s="391"/>
      <c r="BH9" s="391"/>
      <c r="BI9" s="391"/>
      <c r="BJ9" s="391"/>
      <c r="BK9" s="391"/>
      <c r="BL9" s="391"/>
      <c r="BM9" s="391"/>
      <c r="BN9" s="391"/>
      <c r="BO9" s="391"/>
      <c r="BP9" s="391"/>
      <c r="BQ9" s="391"/>
      <c r="BR9" s="391"/>
      <c r="BS9" s="391"/>
      <c r="BT9" s="391"/>
      <c r="BU9" s="391"/>
      <c r="BV9" s="391"/>
      <c r="BW9" s="391"/>
      <c r="BX9" s="391"/>
      <c r="BY9" s="391"/>
      <c r="BZ9" s="391"/>
      <c r="CA9" s="391"/>
      <c r="CB9" s="391"/>
      <c r="CC9" s="391"/>
      <c r="CD9" s="391"/>
    </row>
    <row r="10" spans="1:83" ht="12" customHeight="1">
      <c r="A10" s="55"/>
      <c r="B10" s="391"/>
      <c r="C10" s="391"/>
      <c r="D10" s="391"/>
      <c r="E10" s="391"/>
      <c r="F10" s="391"/>
      <c r="G10" s="391"/>
      <c r="H10" s="391"/>
      <c r="I10" s="391"/>
      <c r="J10" s="391"/>
      <c r="K10" s="391"/>
      <c r="L10" s="391"/>
      <c r="M10" s="391"/>
      <c r="N10" s="391"/>
      <c r="O10" s="391"/>
      <c r="P10" s="391"/>
      <c r="Q10" s="391"/>
      <c r="R10" s="391"/>
      <c r="S10" s="391"/>
      <c r="T10" s="391"/>
      <c r="U10" s="391"/>
      <c r="V10" s="391"/>
      <c r="W10" s="391"/>
      <c r="X10" s="391"/>
      <c r="Y10" s="391"/>
      <c r="Z10" s="391"/>
      <c r="AA10" s="391"/>
      <c r="AB10" s="391"/>
      <c r="AC10" s="391"/>
      <c r="AD10" s="391"/>
      <c r="AE10" s="391"/>
      <c r="AF10" s="391"/>
      <c r="AG10" s="391"/>
      <c r="AH10" s="391"/>
      <c r="AI10" s="391"/>
      <c r="AJ10" s="391"/>
      <c r="AK10" s="391"/>
      <c r="AL10" s="391"/>
      <c r="AM10" s="391"/>
      <c r="AN10" s="391"/>
      <c r="AO10" s="391"/>
      <c r="AP10" s="391"/>
      <c r="AQ10" s="391"/>
      <c r="AR10" s="391"/>
      <c r="AS10" s="391"/>
      <c r="AT10" s="391"/>
      <c r="AU10" s="391"/>
      <c r="AV10" s="391"/>
      <c r="AW10" s="391"/>
      <c r="AX10" s="391"/>
      <c r="AY10" s="391"/>
      <c r="AZ10" s="391"/>
      <c r="BA10" s="391"/>
      <c r="BB10" s="391"/>
      <c r="BC10" s="391"/>
      <c r="BD10" s="391"/>
      <c r="BE10" s="391"/>
      <c r="BF10" s="391"/>
      <c r="BG10" s="391"/>
      <c r="BH10" s="391"/>
      <c r="BI10" s="391"/>
      <c r="BJ10" s="391"/>
      <c r="BK10" s="391"/>
      <c r="BL10" s="391"/>
      <c r="BM10" s="391"/>
      <c r="BN10" s="391"/>
      <c r="BO10" s="391"/>
      <c r="BP10" s="391"/>
      <c r="BQ10" s="391"/>
      <c r="BR10" s="391"/>
      <c r="BS10" s="391"/>
      <c r="BT10" s="391"/>
      <c r="BU10" s="391"/>
      <c r="BV10" s="391"/>
      <c r="BW10" s="391"/>
      <c r="BX10" s="391"/>
      <c r="BY10" s="391"/>
      <c r="BZ10" s="391"/>
      <c r="CA10" s="391"/>
      <c r="CB10" s="391"/>
      <c r="CC10" s="391"/>
      <c r="CD10" s="391"/>
    </row>
    <row r="11" spans="1:83" ht="12" customHeight="1">
      <c r="A11" s="55"/>
      <c r="B11" s="5"/>
      <c r="C11" s="391" t="s">
        <v>1091</v>
      </c>
      <c r="D11" s="391"/>
      <c r="E11" s="391"/>
      <c r="F11" s="391"/>
      <c r="G11" s="391"/>
      <c r="H11" s="391"/>
      <c r="I11" s="391"/>
      <c r="J11" s="391"/>
      <c r="K11" s="391"/>
      <c r="L11" s="391"/>
      <c r="M11" s="391"/>
      <c r="N11" s="391"/>
      <c r="O11" s="391"/>
      <c r="P11" s="391"/>
      <c r="Q11" s="391"/>
      <c r="R11" s="391"/>
      <c r="S11" s="391"/>
      <c r="T11" s="391"/>
      <c r="U11" s="391"/>
      <c r="V11" s="391"/>
      <c r="W11" s="391"/>
      <c r="X11" s="391"/>
      <c r="Y11" s="391"/>
      <c r="Z11" s="391"/>
      <c r="AA11" s="391"/>
      <c r="AB11" s="391"/>
      <c r="AC11" s="391"/>
      <c r="AD11" s="391"/>
      <c r="AE11" s="391"/>
      <c r="AF11" s="391"/>
      <c r="AG11" s="391"/>
      <c r="AH11" s="391"/>
      <c r="AI11" s="391"/>
      <c r="AJ11" s="391"/>
      <c r="AK11" s="391"/>
      <c r="AL11" s="391"/>
      <c r="AM11" s="391"/>
      <c r="AN11" s="391"/>
      <c r="AO11" s="391"/>
      <c r="AP11" s="391"/>
      <c r="AQ11" s="391"/>
      <c r="AR11" s="391"/>
      <c r="AS11" s="391"/>
      <c r="AT11" s="391"/>
      <c r="AU11" s="391"/>
      <c r="AV11" s="391"/>
      <c r="AW11" s="391"/>
      <c r="AX11" s="391"/>
      <c r="AY11" s="391"/>
      <c r="AZ11" s="391"/>
      <c r="BA11" s="391"/>
      <c r="BB11" s="391"/>
      <c r="BC11" s="391"/>
      <c r="BD11" s="391"/>
      <c r="BE11" s="391"/>
      <c r="BF11" s="391"/>
      <c r="BG11" s="391"/>
      <c r="BH11" s="391"/>
      <c r="BI11" s="391"/>
      <c r="BJ11" s="391"/>
      <c r="BK11" s="391"/>
      <c r="BL11" s="391"/>
      <c r="BM11" s="391"/>
      <c r="BN11" s="391"/>
      <c r="BO11" s="391"/>
      <c r="BP11" s="391"/>
      <c r="BQ11" s="391"/>
      <c r="BR11" s="391"/>
      <c r="BS11" s="391"/>
      <c r="BT11" s="391"/>
      <c r="BU11" s="391"/>
      <c r="BV11" s="391"/>
      <c r="BW11" s="391"/>
      <c r="BX11" s="391"/>
      <c r="BY11" s="391"/>
      <c r="BZ11" s="391"/>
      <c r="CA11" s="391"/>
      <c r="CB11" s="391"/>
      <c r="CC11" s="391"/>
      <c r="CD11" s="391"/>
    </row>
    <row r="12" spans="1:83" ht="12" customHeight="1">
      <c r="A12" s="55"/>
      <c r="B12" s="391"/>
      <c r="C12" s="391"/>
      <c r="D12" s="391"/>
      <c r="E12" s="391"/>
      <c r="F12" s="391"/>
      <c r="G12" s="391"/>
      <c r="H12" s="391"/>
      <c r="I12" s="391"/>
      <c r="J12" s="391"/>
      <c r="K12" s="391"/>
      <c r="L12" s="391"/>
      <c r="M12" s="391"/>
      <c r="N12" s="391"/>
      <c r="O12" s="391"/>
      <c r="P12" s="391"/>
      <c r="Q12" s="391"/>
      <c r="R12" s="391"/>
      <c r="S12" s="391"/>
      <c r="T12" s="391"/>
      <c r="U12" s="391"/>
      <c r="V12" s="391"/>
      <c r="W12" s="391"/>
      <c r="X12" s="391"/>
      <c r="Y12" s="391"/>
      <c r="Z12" s="391"/>
      <c r="AA12" s="391"/>
      <c r="AB12" s="391"/>
      <c r="AC12" s="391"/>
      <c r="AD12" s="391"/>
      <c r="AE12" s="391"/>
      <c r="AF12" s="391"/>
      <c r="AG12" s="391"/>
      <c r="AH12" s="391"/>
      <c r="AI12" s="391"/>
      <c r="AJ12" s="391"/>
      <c r="AK12" s="391"/>
      <c r="AL12" s="391"/>
      <c r="AM12" s="391"/>
      <c r="AN12" s="391"/>
      <c r="AO12" s="391"/>
      <c r="AP12" s="391"/>
      <c r="AQ12" s="391"/>
      <c r="AR12" s="391"/>
      <c r="AS12" s="391"/>
      <c r="AT12" s="391"/>
      <c r="AU12" s="391"/>
      <c r="AV12" s="391"/>
      <c r="AW12" s="391"/>
      <c r="AX12" s="391"/>
      <c r="AY12" s="391"/>
      <c r="AZ12" s="391"/>
      <c r="BA12" s="391"/>
      <c r="BB12" s="391"/>
      <c r="BC12" s="391"/>
      <c r="BD12" s="391"/>
      <c r="BE12" s="391"/>
      <c r="BF12" s="391"/>
      <c r="BG12" s="391"/>
      <c r="BH12" s="391"/>
      <c r="BI12" s="391"/>
      <c r="BJ12" s="391"/>
      <c r="BK12" s="391"/>
      <c r="BL12" s="391"/>
      <c r="BM12" s="391"/>
      <c r="BN12" s="391"/>
      <c r="BO12" s="391"/>
      <c r="BP12" s="391"/>
      <c r="BQ12" s="391"/>
      <c r="BR12" s="391"/>
      <c r="BS12" s="391"/>
      <c r="BT12" s="391"/>
      <c r="BU12" s="391"/>
      <c r="BV12" s="391"/>
      <c r="BW12" s="391"/>
      <c r="BX12" s="391"/>
      <c r="BY12" s="391"/>
      <c r="BZ12" s="391"/>
      <c r="CA12" s="391"/>
      <c r="CB12" s="391"/>
      <c r="CC12" s="391"/>
      <c r="CD12" s="391"/>
    </row>
    <row r="13" spans="1:83" ht="12" customHeight="1">
      <c r="A13" s="55"/>
      <c r="B13" s="391"/>
      <c r="C13" s="391"/>
      <c r="D13" s="391" t="s">
        <v>468</v>
      </c>
      <c r="E13" s="391"/>
      <c r="F13" s="391"/>
      <c r="G13" s="391"/>
      <c r="H13" s="391"/>
      <c r="I13" s="391"/>
      <c r="J13" s="391"/>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1"/>
      <c r="AP13" s="391"/>
      <c r="AQ13" s="391"/>
      <c r="AR13" s="391"/>
      <c r="AS13" s="391"/>
      <c r="AT13" s="391"/>
      <c r="AU13" s="391"/>
      <c r="AV13" s="391"/>
      <c r="AW13" s="391"/>
      <c r="AX13" s="391"/>
      <c r="AY13" s="391"/>
      <c r="AZ13" s="391"/>
      <c r="BA13" s="391"/>
      <c r="BB13" s="391"/>
      <c r="BC13" s="391"/>
      <c r="BD13" s="391"/>
      <c r="BE13" s="391"/>
      <c r="BF13" s="391"/>
      <c r="BG13" s="391"/>
      <c r="BH13" s="391"/>
      <c r="BI13" s="391"/>
      <c r="BJ13" s="391"/>
      <c r="BK13" s="391"/>
      <c r="BL13" s="391"/>
      <c r="BM13" s="391"/>
      <c r="BN13" s="391"/>
      <c r="BO13" s="391"/>
      <c r="BP13" s="391"/>
      <c r="BQ13" s="391"/>
      <c r="BR13" s="391"/>
      <c r="BS13" s="391"/>
      <c r="BT13" s="391"/>
      <c r="BU13" s="391"/>
      <c r="BV13" s="391"/>
      <c r="BW13" s="391"/>
      <c r="BX13" s="391"/>
      <c r="BY13" s="391"/>
      <c r="BZ13" s="391"/>
      <c r="CA13" s="391"/>
      <c r="CB13" s="391"/>
      <c r="CC13" s="391"/>
      <c r="CD13" s="391"/>
    </row>
    <row r="14" spans="1:83" ht="12" customHeight="1">
      <c r="A14" s="55"/>
      <c r="B14" s="391"/>
      <c r="C14" s="391"/>
      <c r="D14" s="391"/>
      <c r="E14" s="391"/>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1"/>
      <c r="BK14" s="391"/>
      <c r="BL14" s="391"/>
      <c r="BM14" s="391"/>
      <c r="BN14" s="391"/>
      <c r="BO14" s="391"/>
      <c r="BP14" s="391"/>
      <c r="BQ14" s="391"/>
      <c r="BR14" s="391"/>
      <c r="BS14" s="391"/>
      <c r="BT14" s="391"/>
      <c r="BU14" s="391"/>
      <c r="BV14" s="391"/>
      <c r="BW14" s="391"/>
      <c r="BX14" s="391"/>
      <c r="BY14" s="391"/>
      <c r="BZ14" s="391"/>
      <c r="CA14" s="391"/>
      <c r="CB14" s="391"/>
      <c r="CC14" s="391"/>
      <c r="CD14" s="391"/>
    </row>
    <row r="15" spans="1:83" ht="12" customHeight="1">
      <c r="A15" s="55"/>
      <c r="B15" s="391"/>
      <c r="C15" s="391"/>
      <c r="D15" s="391"/>
      <c r="E15" s="391" t="s">
        <v>107</v>
      </c>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1"/>
      <c r="BK15" s="391"/>
      <c r="BL15" s="391"/>
      <c r="BM15" s="391"/>
      <c r="BN15" s="391"/>
      <c r="BO15" s="391"/>
      <c r="BP15" s="391"/>
      <c r="BQ15" s="391"/>
      <c r="BR15" s="391"/>
      <c r="BS15" s="391"/>
      <c r="BT15" s="391"/>
      <c r="BU15" s="391"/>
      <c r="BV15" s="391"/>
      <c r="BW15" s="391"/>
      <c r="BX15" s="391"/>
      <c r="BY15" s="391"/>
      <c r="BZ15" s="391"/>
      <c r="CA15" s="391"/>
      <c r="CB15" s="391"/>
      <c r="CC15" s="391"/>
      <c r="CD15" s="391"/>
    </row>
    <row r="16" spans="1:83" ht="12" customHeight="1">
      <c r="A16" s="55"/>
      <c r="B16" s="391"/>
      <c r="C16" s="391"/>
      <c r="D16" s="391"/>
      <c r="E16" s="391"/>
      <c r="F16" s="391"/>
      <c r="G16" s="391"/>
      <c r="H16" s="391"/>
      <c r="I16" s="391"/>
      <c r="J16" s="391"/>
      <c r="K16" s="391"/>
      <c r="L16" s="391"/>
      <c r="M16" s="391"/>
      <c r="N16" s="391"/>
      <c r="O16" s="391"/>
      <c r="P16" s="391"/>
      <c r="Q16" s="391"/>
      <c r="R16" s="391"/>
      <c r="S16" s="391"/>
      <c r="T16" s="391"/>
      <c r="U16" s="391"/>
      <c r="V16" s="391"/>
      <c r="W16" s="391"/>
      <c r="X16" s="391"/>
      <c r="Y16" s="391"/>
      <c r="Z16" s="391"/>
      <c r="AA16" s="391"/>
      <c r="AB16" s="391"/>
      <c r="AC16" s="391"/>
      <c r="AD16" s="391"/>
      <c r="AE16" s="391"/>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391"/>
      <c r="BC16" s="391"/>
      <c r="BD16" s="391"/>
      <c r="BE16" s="391"/>
      <c r="BF16" s="391"/>
      <c r="BG16" s="391"/>
      <c r="BH16" s="391"/>
      <c r="BI16" s="391"/>
      <c r="BJ16" s="391"/>
      <c r="BK16" s="391"/>
      <c r="BL16" s="391"/>
      <c r="BM16" s="391"/>
      <c r="BN16" s="391"/>
      <c r="BO16" s="391"/>
      <c r="BP16" s="391"/>
      <c r="BQ16" s="391"/>
      <c r="BR16" s="391"/>
      <c r="BS16" s="391"/>
      <c r="BT16" s="391"/>
      <c r="BU16" s="391"/>
      <c r="BV16" s="391"/>
      <c r="BW16" s="391"/>
      <c r="BX16" s="391"/>
      <c r="BY16" s="391"/>
      <c r="BZ16" s="391"/>
      <c r="CA16" s="391"/>
      <c r="CB16" s="391"/>
      <c r="CC16" s="391"/>
      <c r="CD16" s="391"/>
    </row>
    <row r="17" spans="1:101" ht="12" customHeight="1">
      <c r="A17" s="55"/>
      <c r="B17" s="391"/>
      <c r="C17" s="391"/>
      <c r="D17" s="391" t="s">
        <v>469</v>
      </c>
      <c r="E17" s="391"/>
      <c r="F17" s="391"/>
      <c r="G17" s="391"/>
      <c r="H17" s="391"/>
      <c r="I17" s="391"/>
      <c r="J17" s="391"/>
      <c r="K17" s="391"/>
      <c r="L17" s="391"/>
      <c r="M17" s="391"/>
      <c r="N17" s="391"/>
      <c r="O17" s="391"/>
      <c r="P17" s="391"/>
      <c r="Q17" s="391"/>
      <c r="R17" s="391"/>
      <c r="S17" s="391"/>
      <c r="T17" s="391"/>
      <c r="U17" s="391"/>
      <c r="V17" s="391"/>
      <c r="W17" s="391"/>
      <c r="X17" s="391"/>
      <c r="Y17" s="391"/>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91"/>
      <c r="BC17" s="391"/>
      <c r="BD17" s="391"/>
      <c r="BE17" s="391"/>
      <c r="BF17" s="391"/>
      <c r="BG17" s="391"/>
      <c r="BH17" s="391"/>
      <c r="BI17" s="391"/>
      <c r="BJ17" s="391"/>
      <c r="BK17" s="391"/>
      <c r="BL17" s="391"/>
      <c r="BM17" s="391"/>
      <c r="BN17" s="391"/>
      <c r="BO17" s="391"/>
      <c r="BP17" s="391"/>
      <c r="BQ17" s="391"/>
      <c r="BR17" s="391"/>
      <c r="BS17" s="391"/>
      <c r="BT17" s="391"/>
      <c r="BU17" s="391"/>
      <c r="BV17" s="391"/>
      <c r="BW17" s="391"/>
      <c r="BX17" s="391"/>
      <c r="BY17" s="391"/>
      <c r="BZ17" s="391"/>
      <c r="CA17" s="391"/>
      <c r="CB17" s="391"/>
      <c r="CC17" s="391"/>
      <c r="CD17" s="391"/>
    </row>
    <row r="18" spans="1:101" ht="12" customHeight="1">
      <c r="A18" s="55"/>
      <c r="B18" s="391"/>
      <c r="C18" s="391"/>
      <c r="D18" s="391"/>
      <c r="E18" s="391"/>
      <c r="F18" s="391"/>
      <c r="G18" s="391"/>
      <c r="H18" s="391"/>
      <c r="I18" s="391"/>
      <c r="J18" s="391"/>
      <c r="K18" s="391"/>
      <c r="L18" s="391"/>
      <c r="M18" s="391"/>
      <c r="N18" s="391"/>
      <c r="O18" s="391"/>
      <c r="P18" s="391"/>
      <c r="Q18" s="391"/>
      <c r="R18" s="391"/>
      <c r="S18" s="391"/>
      <c r="T18" s="391"/>
      <c r="U18" s="391"/>
      <c r="V18" s="391"/>
      <c r="W18" s="391"/>
      <c r="X18" s="391"/>
      <c r="Y18" s="391"/>
      <c r="Z18" s="391"/>
      <c r="AA18" s="391"/>
      <c r="AB18" s="391"/>
      <c r="AC18" s="391"/>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1"/>
      <c r="BK18" s="391"/>
      <c r="BL18" s="391"/>
      <c r="BM18" s="391"/>
      <c r="BN18" s="391"/>
      <c r="BO18" s="391"/>
      <c r="BP18" s="391"/>
      <c r="BQ18" s="391"/>
      <c r="BR18" s="391"/>
      <c r="BS18" s="391"/>
      <c r="BT18" s="391"/>
      <c r="BU18" s="391"/>
      <c r="BV18" s="391"/>
      <c r="BW18" s="391"/>
      <c r="BX18" s="391"/>
      <c r="BY18" s="391"/>
      <c r="BZ18" s="391"/>
      <c r="CA18" s="391"/>
      <c r="CB18" s="391"/>
      <c r="CC18" s="391"/>
      <c r="CD18" s="391"/>
    </row>
    <row r="19" spans="1:101" ht="12" customHeight="1">
      <c r="A19" s="55"/>
      <c r="B19" s="391"/>
      <c r="C19" s="391"/>
      <c r="D19" s="5"/>
      <c r="E19" s="391" t="s">
        <v>106</v>
      </c>
      <c r="F19" s="391"/>
      <c r="G19" s="391"/>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391"/>
      <c r="CD19" s="391"/>
      <c r="CF19" s="2"/>
      <c r="CG19" s="2"/>
      <c r="CH19" s="2"/>
      <c r="CI19" s="2"/>
      <c r="CJ19" s="2"/>
      <c r="CK19" s="2"/>
      <c r="CL19" s="2"/>
      <c r="CM19" s="2"/>
      <c r="CN19" s="2"/>
      <c r="CO19" s="2"/>
      <c r="CP19" s="2"/>
      <c r="CQ19" s="2"/>
      <c r="CR19" s="2"/>
      <c r="CS19" s="2"/>
      <c r="CT19" s="2"/>
      <c r="CU19" s="2"/>
      <c r="CV19" s="2"/>
      <c r="CW19" s="2"/>
    </row>
    <row r="20" spans="1:101" ht="12" customHeight="1">
      <c r="A20" s="55"/>
      <c r="B20" s="391"/>
      <c r="C20" s="391"/>
      <c r="D20" s="5"/>
      <c r="E20" s="391" t="s">
        <v>653</v>
      </c>
      <c r="F20" s="391"/>
      <c r="G20" s="391"/>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391"/>
      <c r="CD20" s="391"/>
      <c r="CF20" s="2"/>
      <c r="CG20" s="2"/>
      <c r="CH20" s="2"/>
      <c r="CI20" s="2"/>
      <c r="CJ20" s="2"/>
      <c r="CK20" s="2"/>
      <c r="CL20" s="2"/>
      <c r="CM20" s="2"/>
      <c r="CN20" s="2"/>
      <c r="CO20" s="2"/>
      <c r="CP20" s="2"/>
      <c r="CQ20" s="2"/>
      <c r="CR20" s="2"/>
      <c r="CS20" s="2"/>
      <c r="CT20" s="2"/>
      <c r="CU20" s="2"/>
      <c r="CV20" s="2"/>
      <c r="CW20" s="2"/>
    </row>
    <row r="21" spans="1:101" ht="12" customHeight="1">
      <c r="A21" s="55"/>
      <c r="B21" s="391"/>
      <c r="C21" s="391"/>
      <c r="D21" s="55"/>
      <c r="E21" s="55" t="s">
        <v>654</v>
      </c>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391"/>
      <c r="CD21" s="391"/>
      <c r="CF21" s="2"/>
      <c r="CG21" s="2"/>
      <c r="CH21" s="2"/>
      <c r="CI21" s="2"/>
      <c r="CJ21" s="2"/>
      <c r="CK21" s="2"/>
      <c r="CL21" s="2"/>
      <c r="CM21" s="2"/>
      <c r="CN21" s="2"/>
      <c r="CO21" s="2"/>
      <c r="CP21" s="2"/>
      <c r="CQ21" s="2"/>
      <c r="CR21" s="2"/>
      <c r="CS21" s="2"/>
      <c r="CT21" s="2"/>
      <c r="CU21" s="2"/>
      <c r="CV21" s="2"/>
      <c r="CW21" s="2"/>
    </row>
    <row r="22" spans="1:101" ht="12" customHeight="1">
      <c r="A22" s="55"/>
      <c r="B22" s="391"/>
      <c r="C22" s="391"/>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391"/>
      <c r="CD22" s="391"/>
      <c r="CF22" s="2"/>
      <c r="CG22" s="2"/>
      <c r="CH22" s="2"/>
      <c r="CI22" s="2"/>
      <c r="CJ22" s="2"/>
      <c r="CK22" s="2"/>
      <c r="CL22" s="2"/>
      <c r="CM22" s="2"/>
      <c r="CN22" s="2"/>
      <c r="CO22" s="2"/>
      <c r="CP22" s="2"/>
      <c r="CQ22" s="2"/>
      <c r="CR22" s="2"/>
      <c r="CS22" s="2"/>
      <c r="CT22" s="2"/>
      <c r="CU22" s="2"/>
      <c r="CV22" s="2"/>
      <c r="CW22" s="2"/>
    </row>
    <row r="23" spans="1:101" ht="12" customHeight="1">
      <c r="A23" s="55"/>
      <c r="B23" s="391"/>
      <c r="C23" s="391"/>
      <c r="E23" s="180" t="s">
        <v>152</v>
      </c>
      <c r="F23" s="234"/>
      <c r="G23" s="181"/>
      <c r="H23" s="234"/>
      <c r="I23" s="234"/>
      <c r="J23" s="182"/>
      <c r="K23" s="234" t="s">
        <v>439</v>
      </c>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180" t="s">
        <v>445</v>
      </c>
      <c r="AK23" s="234"/>
      <c r="AL23" s="234"/>
      <c r="AM23" s="182"/>
      <c r="AN23" s="180" t="s">
        <v>456</v>
      </c>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4"/>
      <c r="BK23" s="181"/>
      <c r="BL23" s="234"/>
      <c r="BM23" s="234"/>
      <c r="BN23" s="234"/>
      <c r="BO23" s="234"/>
      <c r="BP23" s="234"/>
      <c r="BQ23" s="234"/>
      <c r="BR23" s="234"/>
      <c r="BS23" s="234"/>
      <c r="BT23" s="234"/>
      <c r="BU23" s="234"/>
      <c r="BV23" s="234"/>
      <c r="BW23" s="234"/>
      <c r="BX23" s="234"/>
      <c r="BY23" s="234"/>
      <c r="BZ23" s="234"/>
      <c r="CA23" s="234"/>
      <c r="CB23" s="234"/>
      <c r="CC23" s="234"/>
      <c r="CD23" s="182"/>
    </row>
    <row r="24" spans="1:101" ht="12" customHeight="1">
      <c r="A24" s="55"/>
      <c r="B24" s="391"/>
      <c r="C24" s="391"/>
      <c r="E24" s="235"/>
      <c r="F24" s="236"/>
      <c r="G24" s="236"/>
      <c r="H24" s="236"/>
      <c r="I24" s="236"/>
      <c r="J24" s="237"/>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109" t="s">
        <v>446</v>
      </c>
      <c r="AK24" s="106"/>
      <c r="AL24" s="106"/>
      <c r="AM24" s="105"/>
      <c r="AN24" s="109"/>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5"/>
    </row>
    <row r="25" spans="1:101" ht="12" customHeight="1">
      <c r="A25" s="55"/>
      <c r="B25" s="391"/>
      <c r="C25" s="391"/>
      <c r="E25" s="194" t="s">
        <v>449</v>
      </c>
      <c r="F25" s="225"/>
      <c r="G25" s="195"/>
      <c r="H25" s="225"/>
      <c r="I25" s="225"/>
      <c r="J25" s="196"/>
      <c r="K25" s="225" t="s">
        <v>52</v>
      </c>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196"/>
      <c r="AJ25" s="194" t="s">
        <v>457</v>
      </c>
      <c r="AK25" s="225"/>
      <c r="AL25" s="225"/>
      <c r="AM25" s="196"/>
      <c r="AN25" s="195" t="s">
        <v>920</v>
      </c>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195"/>
      <c r="BL25" s="225"/>
      <c r="BM25" s="225"/>
      <c r="BN25" s="225"/>
      <c r="BO25" s="225"/>
      <c r="BP25" s="225"/>
      <c r="BQ25" s="225"/>
      <c r="BR25" s="225"/>
      <c r="BS25" s="225"/>
      <c r="BT25" s="225"/>
      <c r="BU25" s="225"/>
      <c r="BV25" s="225"/>
      <c r="BW25" s="225"/>
      <c r="BX25" s="225"/>
      <c r="BY25" s="225"/>
      <c r="BZ25" s="225"/>
      <c r="CA25" s="225"/>
      <c r="CB25" s="225"/>
      <c r="CC25" s="225"/>
      <c r="CD25" s="389"/>
    </row>
    <row r="26" spans="1:101" ht="12" customHeight="1">
      <c r="A26" s="55"/>
      <c r="B26" s="391"/>
      <c r="C26" s="391"/>
      <c r="E26" s="93"/>
      <c r="F26" s="55"/>
      <c r="G26" s="55"/>
      <c r="H26" s="55"/>
      <c r="I26" s="55"/>
      <c r="J26" s="90"/>
      <c r="K26" s="55" t="s">
        <v>440</v>
      </c>
      <c r="L26" s="55"/>
      <c r="M26" s="55"/>
      <c r="N26" s="55"/>
      <c r="O26" s="55"/>
      <c r="P26" s="55"/>
      <c r="Q26" s="55"/>
      <c r="R26" s="55"/>
      <c r="S26" s="55"/>
      <c r="T26" s="55"/>
      <c r="U26" s="55"/>
      <c r="V26" s="55"/>
      <c r="W26" s="55"/>
      <c r="X26" s="55"/>
      <c r="Y26" s="55"/>
      <c r="Z26" s="55"/>
      <c r="AA26" s="55"/>
      <c r="AB26" s="55"/>
      <c r="AC26" s="55"/>
      <c r="AD26" s="55"/>
      <c r="AE26" s="55"/>
      <c r="AF26" s="55"/>
      <c r="AG26" s="55"/>
      <c r="AH26" s="55"/>
      <c r="AI26" s="90"/>
      <c r="AJ26" s="93"/>
      <c r="AK26" s="55"/>
      <c r="AL26" s="55"/>
      <c r="AM26" s="90"/>
      <c r="AN26" s="93"/>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392"/>
    </row>
    <row r="27" spans="1:101" ht="12" customHeight="1">
      <c r="A27" s="55"/>
      <c r="B27" s="391"/>
      <c r="C27" s="391"/>
      <c r="E27" s="194" t="s">
        <v>450</v>
      </c>
      <c r="F27" s="225"/>
      <c r="G27" s="195"/>
      <c r="H27" s="225"/>
      <c r="I27" s="225"/>
      <c r="J27" s="196"/>
      <c r="K27" s="694" t="s">
        <v>49</v>
      </c>
      <c r="L27" s="695"/>
      <c r="M27" s="695"/>
      <c r="N27" s="695"/>
      <c r="O27" s="695"/>
      <c r="P27" s="695"/>
      <c r="Q27" s="695"/>
      <c r="R27" s="695"/>
      <c r="S27" s="695"/>
      <c r="T27" s="695"/>
      <c r="U27" s="695"/>
      <c r="V27" s="695"/>
      <c r="W27" s="695"/>
      <c r="X27" s="695"/>
      <c r="Y27" s="695"/>
      <c r="Z27" s="695"/>
      <c r="AA27" s="695"/>
      <c r="AB27" s="695"/>
      <c r="AC27" s="695"/>
      <c r="AD27" s="695"/>
      <c r="AE27" s="695"/>
      <c r="AF27" s="695"/>
      <c r="AG27" s="695"/>
      <c r="AH27" s="695"/>
      <c r="AI27" s="696"/>
      <c r="AJ27" s="93"/>
      <c r="AK27" s="55"/>
      <c r="AL27" s="55"/>
      <c r="AM27" s="90"/>
      <c r="AN27" s="238" t="s">
        <v>455</v>
      </c>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39"/>
      <c r="BK27" s="399"/>
      <c r="BL27" s="239"/>
      <c r="BM27" s="239"/>
      <c r="BN27" s="239"/>
      <c r="BO27" s="239"/>
      <c r="BP27" s="239"/>
      <c r="BQ27" s="239"/>
      <c r="BR27" s="239"/>
      <c r="BS27" s="239"/>
      <c r="BT27" s="239"/>
      <c r="BU27" s="239"/>
      <c r="BV27" s="239"/>
      <c r="BW27" s="239"/>
      <c r="BX27" s="239"/>
      <c r="BY27" s="239"/>
      <c r="BZ27" s="239"/>
      <c r="CA27" s="239"/>
      <c r="CB27" s="239"/>
      <c r="CC27" s="239"/>
      <c r="CD27" s="240"/>
    </row>
    <row r="28" spans="1:101" ht="12" customHeight="1">
      <c r="A28" s="55"/>
      <c r="B28" s="391"/>
      <c r="C28" s="391"/>
      <c r="E28" s="93"/>
      <c r="F28" s="55"/>
      <c r="G28" s="55"/>
      <c r="H28" s="55"/>
      <c r="I28" s="55"/>
      <c r="J28" s="90"/>
      <c r="K28" s="700"/>
      <c r="L28" s="701"/>
      <c r="M28" s="701"/>
      <c r="N28" s="701"/>
      <c r="O28" s="701"/>
      <c r="P28" s="701"/>
      <c r="Q28" s="701"/>
      <c r="R28" s="701"/>
      <c r="S28" s="701"/>
      <c r="T28" s="701"/>
      <c r="U28" s="701"/>
      <c r="V28" s="701"/>
      <c r="W28" s="701"/>
      <c r="X28" s="701"/>
      <c r="Y28" s="701"/>
      <c r="Z28" s="701"/>
      <c r="AA28" s="701"/>
      <c r="AB28" s="701"/>
      <c r="AC28" s="701"/>
      <c r="AD28" s="701"/>
      <c r="AE28" s="701"/>
      <c r="AF28" s="701"/>
      <c r="AG28" s="701"/>
      <c r="AH28" s="701"/>
      <c r="AI28" s="702"/>
      <c r="AJ28" s="93"/>
      <c r="AK28" s="55"/>
      <c r="AL28" s="55"/>
      <c r="AM28" s="90"/>
      <c r="AN28" s="241"/>
      <c r="AO28" s="242"/>
      <c r="AP28" s="242"/>
      <c r="AQ28" s="242"/>
      <c r="AR28" s="242"/>
      <c r="AS28" s="242"/>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3"/>
    </row>
    <row r="29" spans="1:101" ht="12" customHeight="1">
      <c r="A29" s="55"/>
      <c r="B29" s="391"/>
      <c r="C29" s="391"/>
      <c r="E29" s="194" t="s">
        <v>884</v>
      </c>
      <c r="F29" s="225"/>
      <c r="G29" s="195"/>
      <c r="H29" s="225"/>
      <c r="I29" s="225"/>
      <c r="J29" s="196"/>
      <c r="K29" s="694" t="s">
        <v>441</v>
      </c>
      <c r="L29" s="695"/>
      <c r="M29" s="695"/>
      <c r="N29" s="695"/>
      <c r="O29" s="695"/>
      <c r="P29" s="695"/>
      <c r="Q29" s="695"/>
      <c r="R29" s="695"/>
      <c r="S29" s="695"/>
      <c r="T29" s="695"/>
      <c r="U29" s="695"/>
      <c r="V29" s="695"/>
      <c r="W29" s="695"/>
      <c r="X29" s="695"/>
      <c r="Y29" s="695"/>
      <c r="Z29" s="695"/>
      <c r="AA29" s="695"/>
      <c r="AB29" s="695"/>
      <c r="AC29" s="695"/>
      <c r="AD29" s="695"/>
      <c r="AE29" s="695"/>
      <c r="AF29" s="695"/>
      <c r="AG29" s="695"/>
      <c r="AH29" s="695"/>
      <c r="AI29" s="696"/>
      <c r="AJ29" s="93"/>
      <c r="AK29" s="55"/>
      <c r="AL29" s="55"/>
      <c r="AM29" s="90"/>
      <c r="AN29" s="238" t="s">
        <v>455</v>
      </c>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39"/>
      <c r="BK29" s="399"/>
      <c r="BL29" s="239"/>
      <c r="BM29" s="239"/>
      <c r="BN29" s="239"/>
      <c r="BO29" s="239"/>
      <c r="BP29" s="239"/>
      <c r="BQ29" s="239"/>
      <c r="BR29" s="239"/>
      <c r="BS29" s="239"/>
      <c r="BT29" s="239"/>
      <c r="BU29" s="239"/>
      <c r="BV29" s="239"/>
      <c r="BW29" s="239"/>
      <c r="BX29" s="239"/>
      <c r="BY29" s="239"/>
      <c r="BZ29" s="239"/>
      <c r="CA29" s="239"/>
      <c r="CB29" s="239"/>
      <c r="CC29" s="239"/>
      <c r="CD29" s="240"/>
    </row>
    <row r="30" spans="1:101" ht="12" customHeight="1">
      <c r="A30" s="55"/>
      <c r="B30" s="391"/>
      <c r="C30" s="391"/>
      <c r="E30" s="93"/>
      <c r="F30" s="55"/>
      <c r="G30" s="55"/>
      <c r="H30" s="55"/>
      <c r="I30" s="55"/>
      <c r="J30" s="90"/>
      <c r="K30" s="700"/>
      <c r="L30" s="701"/>
      <c r="M30" s="701"/>
      <c r="N30" s="701"/>
      <c r="O30" s="701"/>
      <c r="P30" s="701"/>
      <c r="Q30" s="701"/>
      <c r="R30" s="701"/>
      <c r="S30" s="701"/>
      <c r="T30" s="701"/>
      <c r="U30" s="701"/>
      <c r="V30" s="701"/>
      <c r="W30" s="701"/>
      <c r="X30" s="701"/>
      <c r="Y30" s="701"/>
      <c r="Z30" s="701"/>
      <c r="AA30" s="701"/>
      <c r="AB30" s="701"/>
      <c r="AC30" s="701"/>
      <c r="AD30" s="701"/>
      <c r="AE30" s="701"/>
      <c r="AF30" s="701"/>
      <c r="AG30" s="701"/>
      <c r="AH30" s="701"/>
      <c r="AI30" s="702"/>
      <c r="AJ30" s="93"/>
      <c r="AK30" s="55"/>
      <c r="AL30" s="55"/>
      <c r="AM30" s="90"/>
      <c r="AN30" s="241"/>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2"/>
      <c r="BK30" s="242"/>
      <c r="BL30" s="242"/>
      <c r="BM30" s="242"/>
      <c r="BN30" s="242"/>
      <c r="BO30" s="242"/>
      <c r="BP30" s="242"/>
      <c r="BQ30" s="242"/>
      <c r="BR30" s="242"/>
      <c r="BS30" s="242"/>
      <c r="BT30" s="242"/>
      <c r="BU30" s="242"/>
      <c r="BV30" s="242"/>
      <c r="BW30" s="242"/>
      <c r="BX30" s="242"/>
      <c r="BY30" s="242"/>
      <c r="BZ30" s="242"/>
      <c r="CA30" s="242"/>
      <c r="CB30" s="242"/>
      <c r="CC30" s="242"/>
      <c r="CD30" s="243"/>
    </row>
    <row r="31" spans="1:101" ht="12" customHeight="1">
      <c r="A31" s="55"/>
      <c r="B31" s="391"/>
      <c r="C31" s="391"/>
      <c r="E31" s="194" t="s">
        <v>237</v>
      </c>
      <c r="F31" s="225"/>
      <c r="G31" s="195"/>
      <c r="H31" s="225"/>
      <c r="I31" s="225"/>
      <c r="J31" s="196"/>
      <c r="K31" s="694" t="s">
        <v>374</v>
      </c>
      <c r="L31" s="695"/>
      <c r="M31" s="695"/>
      <c r="N31" s="695"/>
      <c r="O31" s="695"/>
      <c r="P31" s="695"/>
      <c r="Q31" s="695"/>
      <c r="R31" s="695"/>
      <c r="S31" s="695"/>
      <c r="T31" s="695"/>
      <c r="U31" s="695"/>
      <c r="V31" s="695"/>
      <c r="W31" s="695"/>
      <c r="X31" s="695"/>
      <c r="Y31" s="695"/>
      <c r="Z31" s="695"/>
      <c r="AA31" s="695"/>
      <c r="AB31" s="695"/>
      <c r="AC31" s="695"/>
      <c r="AD31" s="695"/>
      <c r="AE31" s="695"/>
      <c r="AF31" s="695"/>
      <c r="AG31" s="695"/>
      <c r="AH31" s="695"/>
      <c r="AI31" s="696"/>
      <c r="AJ31" s="93"/>
      <c r="AK31" s="55"/>
      <c r="AL31" s="55"/>
      <c r="AM31" s="90"/>
      <c r="AN31" s="238" t="s">
        <v>455</v>
      </c>
      <c r="AO31" s="239"/>
      <c r="AP31" s="239"/>
      <c r="AQ31" s="239"/>
      <c r="AR31" s="239"/>
      <c r="AS31" s="239"/>
      <c r="AT31" s="239"/>
      <c r="AU31" s="239"/>
      <c r="AV31" s="239"/>
      <c r="AW31" s="239"/>
      <c r="AX31" s="239"/>
      <c r="AY31" s="239"/>
      <c r="AZ31" s="239"/>
      <c r="BA31" s="239"/>
      <c r="BB31" s="239"/>
      <c r="BC31" s="239"/>
      <c r="BD31" s="239"/>
      <c r="BE31" s="239"/>
      <c r="BF31" s="239"/>
      <c r="BG31" s="239"/>
      <c r="BH31" s="239"/>
      <c r="BI31" s="239"/>
      <c r="BJ31" s="239"/>
      <c r="BK31" s="399"/>
      <c r="BL31" s="239"/>
      <c r="BM31" s="239"/>
      <c r="BN31" s="239"/>
      <c r="BO31" s="239"/>
      <c r="BP31" s="239"/>
      <c r="BQ31" s="239"/>
      <c r="BR31" s="239"/>
      <c r="BS31" s="239"/>
      <c r="BT31" s="239"/>
      <c r="BU31" s="239"/>
      <c r="BV31" s="239"/>
      <c r="BW31" s="239"/>
      <c r="BX31" s="239"/>
      <c r="BY31" s="239"/>
      <c r="BZ31" s="239"/>
      <c r="CA31" s="239"/>
      <c r="CB31" s="239"/>
      <c r="CC31" s="239"/>
      <c r="CD31" s="240"/>
    </row>
    <row r="32" spans="1:101" ht="12" customHeight="1">
      <c r="A32" s="55"/>
      <c r="B32" s="391"/>
      <c r="C32" s="391"/>
      <c r="E32" s="61"/>
      <c r="F32" s="60"/>
      <c r="G32" s="60"/>
      <c r="H32" s="60"/>
      <c r="I32" s="60"/>
      <c r="J32" s="59"/>
      <c r="K32" s="697"/>
      <c r="L32" s="698"/>
      <c r="M32" s="698"/>
      <c r="N32" s="698"/>
      <c r="O32" s="698"/>
      <c r="P32" s="698"/>
      <c r="Q32" s="698"/>
      <c r="R32" s="698"/>
      <c r="S32" s="698"/>
      <c r="T32" s="698"/>
      <c r="U32" s="698"/>
      <c r="V32" s="698"/>
      <c r="W32" s="698"/>
      <c r="X32" s="698"/>
      <c r="Y32" s="698"/>
      <c r="Z32" s="698"/>
      <c r="AA32" s="698"/>
      <c r="AB32" s="698"/>
      <c r="AC32" s="698"/>
      <c r="AD32" s="698"/>
      <c r="AE32" s="698"/>
      <c r="AF32" s="698"/>
      <c r="AG32" s="698"/>
      <c r="AH32" s="698"/>
      <c r="AI32" s="699"/>
      <c r="AJ32" s="61"/>
      <c r="AK32" s="60"/>
      <c r="AL32" s="60"/>
      <c r="AM32" s="59"/>
      <c r="AN32" s="244"/>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6"/>
    </row>
    <row r="33" spans="1:101" ht="12" customHeight="1">
      <c r="A33" s="55"/>
      <c r="B33" s="3"/>
      <c r="C33" s="3"/>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3"/>
      <c r="CD33" s="3"/>
      <c r="CF33" s="2"/>
      <c r="CG33" s="2"/>
      <c r="CH33" s="2"/>
      <c r="CI33" s="2"/>
      <c r="CJ33" s="2"/>
      <c r="CK33" s="2"/>
      <c r="CL33" s="2"/>
      <c r="CM33" s="2"/>
      <c r="CN33" s="2"/>
      <c r="CO33" s="2"/>
      <c r="CP33" s="2"/>
      <c r="CQ33" s="2"/>
      <c r="CR33" s="2"/>
      <c r="CS33" s="2"/>
      <c r="CT33" s="2"/>
      <c r="CU33" s="2"/>
      <c r="CV33" s="2"/>
      <c r="CW33" s="2"/>
    </row>
    <row r="34" spans="1:101" ht="12" customHeight="1">
      <c r="A34" s="55"/>
      <c r="B34" s="3"/>
      <c r="C34" s="3"/>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3"/>
      <c r="CD34" s="3"/>
      <c r="CF34" s="2"/>
      <c r="CG34" s="2"/>
      <c r="CH34" s="2"/>
      <c r="CI34" s="2"/>
      <c r="CJ34" s="2"/>
      <c r="CK34" s="2"/>
      <c r="CL34" s="2"/>
      <c r="CM34" s="2"/>
      <c r="CN34" s="2"/>
      <c r="CO34" s="2"/>
      <c r="CP34" s="2"/>
      <c r="CQ34" s="2"/>
      <c r="CR34" s="2"/>
      <c r="CS34" s="2"/>
      <c r="CT34" s="2"/>
      <c r="CU34" s="2"/>
      <c r="CV34" s="2"/>
      <c r="CW34" s="2"/>
    </row>
    <row r="35" spans="1:101" ht="12" customHeight="1">
      <c r="A35" s="55"/>
      <c r="B35" s="3"/>
      <c r="C35" s="3"/>
      <c r="D35" s="55"/>
      <c r="E35" s="22" t="s">
        <v>453</v>
      </c>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3"/>
      <c r="CD35" s="3"/>
      <c r="CF35" s="2"/>
      <c r="CG35" s="2"/>
      <c r="CH35" s="2"/>
      <c r="CI35" s="2"/>
      <c r="CJ35" s="2"/>
      <c r="CK35" s="2"/>
      <c r="CL35" s="2"/>
      <c r="CM35" s="2"/>
      <c r="CN35" s="2"/>
      <c r="CO35" s="2"/>
      <c r="CP35" s="2"/>
      <c r="CQ35" s="2"/>
      <c r="CR35" s="2"/>
      <c r="CS35" s="2"/>
      <c r="CT35" s="2"/>
      <c r="CU35" s="2"/>
      <c r="CV35" s="2"/>
      <c r="CW35" s="2"/>
    </row>
    <row r="36" spans="1:101" ht="12" customHeight="1">
      <c r="A36" s="405"/>
      <c r="B36" s="405"/>
      <c r="C36" s="22"/>
      <c r="D36" s="22"/>
      <c r="E36" s="208" t="s">
        <v>921</v>
      </c>
      <c r="F36" s="209"/>
      <c r="G36" s="209"/>
      <c r="H36" s="209"/>
      <c r="I36" s="323" t="s">
        <v>443</v>
      </c>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5"/>
      <c r="AG36" s="323" t="s">
        <v>820</v>
      </c>
      <c r="AH36" s="324"/>
      <c r="AI36" s="324"/>
      <c r="AJ36" s="324"/>
      <c r="AK36" s="324"/>
      <c r="AL36" s="324"/>
      <c r="AM36" s="325"/>
      <c r="AN36" s="171" t="s">
        <v>821</v>
      </c>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3"/>
    </row>
    <row r="37" spans="1:101" ht="12" customHeight="1">
      <c r="A37" s="405"/>
      <c r="B37" s="405"/>
      <c r="C37" s="22"/>
      <c r="D37" s="22"/>
      <c r="E37" s="703" t="s">
        <v>822</v>
      </c>
      <c r="F37" s="704"/>
      <c r="G37" s="704"/>
      <c r="H37" s="704"/>
      <c r="I37" s="396" t="s">
        <v>922</v>
      </c>
      <c r="J37" s="397"/>
      <c r="K37" s="397"/>
      <c r="L37" s="397"/>
      <c r="M37" s="397"/>
      <c r="N37" s="397"/>
      <c r="O37" s="397"/>
      <c r="P37" s="357" t="s">
        <v>923</v>
      </c>
      <c r="Q37" s="397"/>
      <c r="R37" s="397"/>
      <c r="S37" s="397"/>
      <c r="T37" s="397"/>
      <c r="U37" s="397"/>
      <c r="V37" s="397"/>
      <c r="W37" s="397"/>
      <c r="X37" s="397"/>
      <c r="Y37" s="397"/>
      <c r="Z37" s="397"/>
      <c r="AA37" s="397"/>
      <c r="AB37" s="397"/>
      <c r="AC37" s="397"/>
      <c r="AD37" s="397"/>
      <c r="AE37" s="397"/>
      <c r="AF37" s="398"/>
      <c r="AG37" s="679">
        <v>4</v>
      </c>
      <c r="AH37" s="680"/>
      <c r="AI37" s="680"/>
      <c r="AJ37" s="680"/>
      <c r="AK37" s="680"/>
      <c r="AL37" s="680"/>
      <c r="AM37" s="681"/>
      <c r="AN37" s="162" t="s">
        <v>823</v>
      </c>
      <c r="AO37" s="388"/>
      <c r="AP37" s="388"/>
      <c r="AQ37" s="388"/>
      <c r="AR37" s="388"/>
      <c r="AS37" s="388"/>
      <c r="AT37" s="388"/>
      <c r="AU37" s="388"/>
      <c r="AV37" s="388"/>
      <c r="AW37" s="388"/>
      <c r="AX37" s="388"/>
      <c r="AY37" s="388"/>
      <c r="AZ37" s="388"/>
      <c r="BA37" s="388"/>
      <c r="BB37" s="388"/>
      <c r="BC37" s="388"/>
      <c r="BD37" s="388"/>
      <c r="BE37" s="388"/>
      <c r="BF37" s="388"/>
      <c r="BG37" s="388"/>
      <c r="BH37" s="388"/>
      <c r="BI37" s="388"/>
      <c r="BJ37" s="388"/>
      <c r="BK37" s="388"/>
      <c r="BL37" s="388"/>
      <c r="BM37" s="388"/>
      <c r="BN37" s="388"/>
      <c r="BO37" s="388"/>
      <c r="BP37" s="388"/>
      <c r="BQ37" s="388"/>
      <c r="BR37" s="388"/>
      <c r="BS37" s="388"/>
      <c r="BT37" s="388"/>
      <c r="BU37" s="388"/>
      <c r="BV37" s="388"/>
      <c r="BW37" s="388"/>
      <c r="BX37" s="388"/>
      <c r="BY37" s="388"/>
      <c r="BZ37" s="388"/>
      <c r="CA37" s="388"/>
      <c r="CB37" s="388"/>
      <c r="CC37" s="388"/>
      <c r="CD37" s="389"/>
    </row>
    <row r="38" spans="1:101" ht="12" customHeight="1">
      <c r="A38" s="405"/>
      <c r="B38" s="405"/>
      <c r="C38" s="22"/>
      <c r="D38" s="22"/>
      <c r="E38" s="705"/>
      <c r="F38" s="706"/>
      <c r="G38" s="706"/>
      <c r="H38" s="706"/>
      <c r="I38" s="45"/>
      <c r="J38" s="22"/>
      <c r="K38" s="22"/>
      <c r="L38" s="22"/>
      <c r="M38" s="22"/>
      <c r="N38" s="22"/>
      <c r="O38" s="22"/>
      <c r="P38" s="342"/>
      <c r="Q38" s="22"/>
      <c r="R38" s="22"/>
      <c r="S38" s="22"/>
      <c r="T38" s="22"/>
      <c r="U38" s="22"/>
      <c r="V38" s="22"/>
      <c r="W38" s="22"/>
      <c r="X38" s="22"/>
      <c r="Y38" s="22"/>
      <c r="Z38" s="22"/>
      <c r="AA38" s="22"/>
      <c r="AB38" s="22"/>
      <c r="AC38" s="22"/>
      <c r="AD38" s="22"/>
      <c r="AE38" s="22"/>
      <c r="AF38" s="44"/>
      <c r="AG38" s="326"/>
      <c r="AH38" s="327"/>
      <c r="AI38" s="327"/>
      <c r="AJ38" s="327"/>
      <c r="AK38" s="327"/>
      <c r="AL38" s="327"/>
      <c r="AM38" s="328"/>
      <c r="AN38" s="390" t="s">
        <v>824</v>
      </c>
      <c r="AO38" s="391"/>
      <c r="AP38" s="391"/>
      <c r="AQ38" s="391"/>
      <c r="AR38" s="391"/>
      <c r="AS38" s="391"/>
      <c r="AT38" s="391"/>
      <c r="AU38" s="391"/>
      <c r="AV38" s="391"/>
      <c r="AW38" s="391"/>
      <c r="AX38" s="391"/>
      <c r="AY38" s="391"/>
      <c r="AZ38" s="391"/>
      <c r="BA38" s="391"/>
      <c r="BB38" s="391"/>
      <c r="BC38" s="391"/>
      <c r="BD38" s="391"/>
      <c r="BE38" s="391"/>
      <c r="BF38" s="391"/>
      <c r="BG38" s="391"/>
      <c r="BH38" s="391"/>
      <c r="BI38" s="391"/>
      <c r="BJ38" s="391"/>
      <c r="BK38" s="391"/>
      <c r="BL38" s="391"/>
      <c r="BM38" s="391"/>
      <c r="BN38" s="391"/>
      <c r="BO38" s="391"/>
      <c r="BP38" s="391"/>
      <c r="BQ38" s="391"/>
      <c r="BR38" s="391"/>
      <c r="BS38" s="391"/>
      <c r="BT38" s="391"/>
      <c r="BU38" s="391"/>
      <c r="BV38" s="391"/>
      <c r="BW38" s="391"/>
      <c r="BX38" s="391"/>
      <c r="BY38" s="391"/>
      <c r="BZ38" s="391"/>
      <c r="CA38" s="391"/>
      <c r="CB38" s="391"/>
      <c r="CC38" s="391"/>
      <c r="CD38" s="392"/>
    </row>
    <row r="39" spans="1:101" ht="12" customHeight="1">
      <c r="A39" s="405"/>
      <c r="B39" s="405"/>
      <c r="C39" s="22"/>
      <c r="D39" s="22"/>
      <c r="E39" s="45"/>
      <c r="F39" s="22"/>
      <c r="G39" s="22"/>
      <c r="H39" s="22"/>
      <c r="I39" s="45"/>
      <c r="J39" s="22"/>
      <c r="K39" s="22"/>
      <c r="L39" s="22"/>
      <c r="M39" s="22"/>
      <c r="N39" s="22"/>
      <c r="O39" s="22"/>
      <c r="P39" s="342"/>
      <c r="Q39" s="22"/>
      <c r="R39" s="22"/>
      <c r="S39" s="22"/>
      <c r="T39" s="22"/>
      <c r="U39" s="22"/>
      <c r="V39" s="22"/>
      <c r="W39" s="22"/>
      <c r="X39" s="22"/>
      <c r="Y39" s="22"/>
      <c r="Z39" s="22"/>
      <c r="AA39" s="22"/>
      <c r="AB39" s="22"/>
      <c r="AC39" s="22"/>
      <c r="AD39" s="22"/>
      <c r="AE39" s="22"/>
      <c r="AF39" s="44"/>
      <c r="AG39" s="326"/>
      <c r="AH39" s="327"/>
      <c r="AI39" s="327"/>
      <c r="AJ39" s="327"/>
      <c r="AK39" s="327"/>
      <c r="AL39" s="327"/>
      <c r="AM39" s="328"/>
      <c r="AN39" s="390" t="s">
        <v>825</v>
      </c>
      <c r="AO39" s="391"/>
      <c r="AP39" s="391"/>
      <c r="AQ39" s="391"/>
      <c r="AR39" s="391"/>
      <c r="AS39" s="391"/>
      <c r="AT39" s="391"/>
      <c r="AU39" s="391"/>
      <c r="AV39" s="391"/>
      <c r="AW39" s="391"/>
      <c r="AX39" s="391"/>
      <c r="AY39" s="391"/>
      <c r="AZ39" s="391"/>
      <c r="BA39" s="391"/>
      <c r="BB39" s="391"/>
      <c r="BC39" s="391"/>
      <c r="BD39" s="391"/>
      <c r="BE39" s="391"/>
      <c r="BF39" s="391"/>
      <c r="BG39" s="391"/>
      <c r="BH39" s="391"/>
      <c r="BI39" s="391"/>
      <c r="BJ39" s="391"/>
      <c r="BK39" s="391"/>
      <c r="BL39" s="391"/>
      <c r="BM39" s="391"/>
      <c r="BN39" s="391"/>
      <c r="BO39" s="391"/>
      <c r="BP39" s="391"/>
      <c r="BQ39" s="391"/>
      <c r="BR39" s="391"/>
      <c r="BS39" s="391"/>
      <c r="BT39" s="391"/>
      <c r="BU39" s="391"/>
      <c r="BV39" s="391"/>
      <c r="BW39" s="391"/>
      <c r="BX39" s="391"/>
      <c r="BY39" s="391"/>
      <c r="BZ39" s="391"/>
      <c r="CA39" s="391"/>
      <c r="CB39" s="391"/>
      <c r="CC39" s="391"/>
      <c r="CD39" s="392"/>
    </row>
    <row r="40" spans="1:101" ht="12" customHeight="1">
      <c r="A40" s="405"/>
      <c r="B40" s="405"/>
      <c r="C40" s="22"/>
      <c r="D40" s="22"/>
      <c r="E40" s="45"/>
      <c r="F40" s="22"/>
      <c r="G40" s="22"/>
      <c r="H40" s="22"/>
      <c r="I40" s="45"/>
      <c r="J40" s="22"/>
      <c r="K40" s="22"/>
      <c r="L40" s="22"/>
      <c r="M40" s="22"/>
      <c r="N40" s="22"/>
      <c r="O40" s="22"/>
      <c r="P40" s="342"/>
      <c r="Q40" s="22"/>
      <c r="R40" s="22"/>
      <c r="S40" s="22"/>
      <c r="T40" s="22"/>
      <c r="U40" s="22"/>
      <c r="V40" s="22"/>
      <c r="W40" s="22"/>
      <c r="X40" s="22"/>
      <c r="Y40" s="22"/>
      <c r="Z40" s="22"/>
      <c r="AA40" s="22"/>
      <c r="AB40" s="22"/>
      <c r="AC40" s="22"/>
      <c r="AD40" s="22"/>
      <c r="AE40" s="22"/>
      <c r="AF40" s="44"/>
      <c r="AG40" s="326"/>
      <c r="AH40" s="327"/>
      <c r="AI40" s="327"/>
      <c r="AJ40" s="327"/>
      <c r="AK40" s="327"/>
      <c r="AL40" s="327"/>
      <c r="AM40" s="328"/>
      <c r="AN40" s="390" t="s">
        <v>826</v>
      </c>
      <c r="AO40" s="391"/>
      <c r="AP40" s="391"/>
      <c r="AQ40" s="391"/>
      <c r="AR40" s="391"/>
      <c r="AS40" s="391"/>
      <c r="AT40" s="391"/>
      <c r="AU40" s="391"/>
      <c r="AV40" s="391"/>
      <c r="AW40" s="391"/>
      <c r="AX40" s="391"/>
      <c r="AY40" s="391"/>
      <c r="AZ40" s="391"/>
      <c r="BA40" s="391"/>
      <c r="BB40" s="391"/>
      <c r="BC40" s="391"/>
      <c r="BD40" s="391"/>
      <c r="BE40" s="391"/>
      <c r="BF40" s="391"/>
      <c r="BG40" s="391"/>
      <c r="BH40" s="391"/>
      <c r="BI40" s="391"/>
      <c r="BJ40" s="391"/>
      <c r="BK40" s="391"/>
      <c r="BL40" s="391"/>
      <c r="BM40" s="391"/>
      <c r="BN40" s="391"/>
      <c r="BO40" s="391"/>
      <c r="BP40" s="391"/>
      <c r="BQ40" s="391"/>
      <c r="BR40" s="391"/>
      <c r="BS40" s="391"/>
      <c r="BT40" s="391"/>
      <c r="BU40" s="391"/>
      <c r="BV40" s="391"/>
      <c r="BW40" s="391"/>
      <c r="BX40" s="391"/>
      <c r="BY40" s="391"/>
      <c r="BZ40" s="391"/>
      <c r="CA40" s="391"/>
      <c r="CB40" s="391"/>
      <c r="CC40" s="391"/>
      <c r="CD40" s="392"/>
    </row>
    <row r="41" spans="1:101" ht="12" customHeight="1">
      <c r="A41" s="405"/>
      <c r="B41" s="405"/>
      <c r="C41" s="22"/>
      <c r="D41" s="22"/>
      <c r="E41" s="45"/>
      <c r="F41" s="22"/>
      <c r="G41" s="22"/>
      <c r="H41" s="22"/>
      <c r="I41" s="45"/>
      <c r="J41" s="22"/>
      <c r="K41" s="22"/>
      <c r="L41" s="22"/>
      <c r="M41" s="22"/>
      <c r="N41" s="22"/>
      <c r="O41" s="22"/>
      <c r="P41" s="342"/>
      <c r="Q41" s="22"/>
      <c r="R41" s="22"/>
      <c r="S41" s="22"/>
      <c r="T41" s="22"/>
      <c r="U41" s="22"/>
      <c r="V41" s="22"/>
      <c r="W41" s="22"/>
      <c r="X41" s="22"/>
      <c r="Y41" s="22"/>
      <c r="Z41" s="22"/>
      <c r="AA41" s="22"/>
      <c r="AB41" s="22"/>
      <c r="AC41" s="22"/>
      <c r="AD41" s="22"/>
      <c r="AE41" s="22"/>
      <c r="AF41" s="44"/>
      <c r="AG41" s="326"/>
      <c r="AH41" s="327"/>
      <c r="AI41" s="327"/>
      <c r="AJ41" s="327"/>
      <c r="AK41" s="327"/>
      <c r="AL41" s="327"/>
      <c r="AM41" s="328"/>
      <c r="AN41" s="390" t="s">
        <v>827</v>
      </c>
      <c r="AO41" s="391"/>
      <c r="AP41" s="391"/>
      <c r="AQ41" s="391"/>
      <c r="AR41" s="391"/>
      <c r="AS41" s="391"/>
      <c r="AT41" s="391"/>
      <c r="AU41" s="391"/>
      <c r="AV41" s="391"/>
      <c r="AW41" s="391"/>
      <c r="AX41" s="391"/>
      <c r="AY41" s="391"/>
      <c r="AZ41" s="391"/>
      <c r="BA41" s="391"/>
      <c r="BB41" s="391"/>
      <c r="BC41" s="391"/>
      <c r="BD41" s="391"/>
      <c r="BE41" s="391"/>
      <c r="BF41" s="391"/>
      <c r="BG41" s="391"/>
      <c r="BH41" s="391"/>
      <c r="BI41" s="391"/>
      <c r="BJ41" s="391"/>
      <c r="BK41" s="391"/>
      <c r="BL41" s="391"/>
      <c r="BM41" s="391"/>
      <c r="BN41" s="391"/>
      <c r="BO41" s="391"/>
      <c r="BP41" s="391"/>
      <c r="BQ41" s="391"/>
      <c r="BR41" s="391"/>
      <c r="BS41" s="391"/>
      <c r="BT41" s="391"/>
      <c r="BU41" s="391"/>
      <c r="BV41" s="391"/>
      <c r="BW41" s="391"/>
      <c r="BX41" s="391"/>
      <c r="BY41" s="391"/>
      <c r="BZ41" s="391"/>
      <c r="CA41" s="391"/>
      <c r="CB41" s="391"/>
      <c r="CC41" s="391"/>
      <c r="CD41" s="392"/>
    </row>
    <row r="42" spans="1:101" ht="12" customHeight="1">
      <c r="A42" s="405"/>
      <c r="B42" s="405"/>
      <c r="C42" s="22"/>
      <c r="D42" s="22"/>
      <c r="E42" s="45"/>
      <c r="F42" s="22"/>
      <c r="G42" s="22"/>
      <c r="H42" s="22"/>
      <c r="I42" s="45"/>
      <c r="J42" s="22"/>
      <c r="K42" s="22"/>
      <c r="L42" s="22"/>
      <c r="M42" s="22"/>
      <c r="N42" s="22"/>
      <c r="O42" s="22"/>
      <c r="P42" s="341"/>
      <c r="Q42" s="249"/>
      <c r="R42" s="249"/>
      <c r="S42" s="249"/>
      <c r="T42" s="249"/>
      <c r="U42" s="249"/>
      <c r="V42" s="249"/>
      <c r="W42" s="249"/>
      <c r="X42" s="249"/>
      <c r="Y42" s="249"/>
      <c r="Z42" s="249"/>
      <c r="AA42" s="249"/>
      <c r="AB42" s="249"/>
      <c r="AC42" s="249"/>
      <c r="AD42" s="249"/>
      <c r="AE42" s="249"/>
      <c r="AF42" s="329"/>
      <c r="AG42" s="330"/>
      <c r="AH42" s="331"/>
      <c r="AI42" s="331"/>
      <c r="AJ42" s="331"/>
      <c r="AK42" s="331"/>
      <c r="AL42" s="331"/>
      <c r="AM42" s="332"/>
      <c r="AN42" s="255"/>
      <c r="AO42" s="256"/>
      <c r="AP42" s="256"/>
      <c r="AQ42" s="256"/>
      <c r="AR42" s="256"/>
      <c r="AS42" s="256"/>
      <c r="AT42" s="256"/>
      <c r="AU42" s="256"/>
      <c r="AV42" s="256"/>
      <c r="AW42" s="256"/>
      <c r="AX42" s="256"/>
      <c r="AY42" s="256"/>
      <c r="AZ42" s="256"/>
      <c r="BA42" s="256"/>
      <c r="BB42" s="256"/>
      <c r="BC42" s="256"/>
      <c r="BD42" s="256"/>
      <c r="BE42" s="256"/>
      <c r="BF42" s="256"/>
      <c r="BG42" s="256"/>
      <c r="BH42" s="256"/>
      <c r="BI42" s="256"/>
      <c r="BJ42" s="256"/>
      <c r="BK42" s="256"/>
      <c r="BL42" s="256"/>
      <c r="BM42" s="256"/>
      <c r="BN42" s="256"/>
      <c r="BO42" s="256"/>
      <c r="BP42" s="256"/>
      <c r="BQ42" s="256"/>
      <c r="BR42" s="256"/>
      <c r="BS42" s="256"/>
      <c r="BT42" s="256"/>
      <c r="BU42" s="256"/>
      <c r="BV42" s="256"/>
      <c r="BW42" s="256"/>
      <c r="BX42" s="256"/>
      <c r="BY42" s="256"/>
      <c r="BZ42" s="256"/>
      <c r="CA42" s="256"/>
      <c r="CB42" s="256"/>
      <c r="CC42" s="256"/>
      <c r="CD42" s="257"/>
    </row>
    <row r="43" spans="1:101" ht="12" customHeight="1">
      <c r="A43" s="405"/>
      <c r="B43" s="405"/>
      <c r="C43" s="22"/>
      <c r="D43" s="22"/>
      <c r="E43" s="45"/>
      <c r="F43" s="22"/>
      <c r="G43" s="22"/>
      <c r="H43" s="22"/>
      <c r="I43" s="45"/>
      <c r="J43" s="22"/>
      <c r="K43" s="22"/>
      <c r="L43" s="22"/>
      <c r="M43" s="22"/>
      <c r="N43" s="22"/>
      <c r="O43" s="22"/>
      <c r="P43" s="340" t="s">
        <v>924</v>
      </c>
      <c r="Q43" s="160"/>
      <c r="R43" s="160"/>
      <c r="S43" s="160"/>
      <c r="T43" s="160"/>
      <c r="U43" s="160"/>
      <c r="V43" s="160"/>
      <c r="W43" s="160"/>
      <c r="X43" s="356" t="s">
        <v>828</v>
      </c>
      <c r="Y43" s="43"/>
      <c r="Z43" s="43"/>
      <c r="AA43" s="43"/>
      <c r="AB43" s="43"/>
      <c r="AC43" s="43"/>
      <c r="AD43" s="43"/>
      <c r="AE43" s="43"/>
      <c r="AF43" s="333"/>
      <c r="AG43" s="682">
        <v>2200</v>
      </c>
      <c r="AH43" s="683"/>
      <c r="AI43" s="683"/>
      <c r="AJ43" s="683"/>
      <c r="AK43" s="683"/>
      <c r="AL43" s="683"/>
      <c r="AM43" s="684"/>
      <c r="AN43" s="261" t="s">
        <v>1061</v>
      </c>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262"/>
      <c r="BO43" s="262"/>
      <c r="BP43" s="262"/>
      <c r="BQ43" s="262"/>
      <c r="BR43" s="262"/>
      <c r="BS43" s="262"/>
      <c r="BT43" s="262"/>
      <c r="BU43" s="262"/>
      <c r="BV43" s="262"/>
      <c r="BW43" s="262"/>
      <c r="BX43" s="262"/>
      <c r="BY43" s="262"/>
      <c r="BZ43" s="262"/>
      <c r="CA43" s="262"/>
      <c r="CB43" s="262"/>
      <c r="CC43" s="262"/>
      <c r="CD43" s="263"/>
    </row>
    <row r="44" spans="1:101" ht="12" customHeight="1">
      <c r="A44" s="405"/>
      <c r="B44" s="405"/>
      <c r="C44" s="22"/>
      <c r="D44" s="22"/>
      <c r="E44" s="45"/>
      <c r="F44" s="22"/>
      <c r="G44" s="22"/>
      <c r="H44" s="22"/>
      <c r="I44" s="45"/>
      <c r="J44" s="22"/>
      <c r="K44" s="22"/>
      <c r="L44" s="22"/>
      <c r="M44" s="22"/>
      <c r="N44" s="22"/>
      <c r="O44" s="22"/>
      <c r="P44" s="341"/>
      <c r="Q44" s="249"/>
      <c r="R44" s="249"/>
      <c r="S44" s="249"/>
      <c r="T44" s="249"/>
      <c r="U44" s="249"/>
      <c r="V44" s="249"/>
      <c r="W44" s="249"/>
      <c r="X44" s="356" t="s">
        <v>105</v>
      </c>
      <c r="Y44" s="43"/>
      <c r="Z44" s="43"/>
      <c r="AA44" s="43"/>
      <c r="AB44" s="43"/>
      <c r="AC44" s="43"/>
      <c r="AD44" s="43"/>
      <c r="AE44" s="43"/>
      <c r="AF44" s="333"/>
      <c r="AG44" s="682">
        <f>AG37*AG43</f>
        <v>8800</v>
      </c>
      <c r="AH44" s="683"/>
      <c r="AI44" s="683"/>
      <c r="AJ44" s="683"/>
      <c r="AK44" s="683"/>
      <c r="AL44" s="683"/>
      <c r="AM44" s="684"/>
      <c r="AN44" s="390"/>
      <c r="AO44" s="391"/>
      <c r="AP44" s="391"/>
      <c r="AQ44" s="391"/>
      <c r="AR44" s="391"/>
      <c r="AS44" s="391"/>
      <c r="AT44" s="391"/>
      <c r="AU44" s="391"/>
      <c r="AV44" s="391"/>
      <c r="AW44" s="391"/>
      <c r="AX44" s="391"/>
      <c r="AY44" s="391"/>
      <c r="AZ44" s="391"/>
      <c r="BA44" s="391"/>
      <c r="BB44" s="391"/>
      <c r="BC44" s="391"/>
      <c r="BD44" s="391"/>
      <c r="BE44" s="391"/>
      <c r="BF44" s="391"/>
      <c r="BG44" s="391"/>
      <c r="BH44" s="391"/>
      <c r="BI44" s="391"/>
      <c r="BJ44" s="391"/>
      <c r="BK44" s="391"/>
      <c r="BL44" s="391"/>
      <c r="BM44" s="391"/>
      <c r="BN44" s="391"/>
      <c r="BO44" s="391"/>
      <c r="BP44" s="391"/>
      <c r="BQ44" s="391"/>
      <c r="BR44" s="391"/>
      <c r="BS44" s="391"/>
      <c r="BT44" s="391"/>
      <c r="BU44" s="391"/>
      <c r="BV44" s="391"/>
      <c r="BW44" s="391"/>
      <c r="BX44" s="391"/>
      <c r="BY44" s="391"/>
      <c r="BZ44" s="391"/>
      <c r="CA44" s="391"/>
      <c r="CB44" s="391"/>
      <c r="CC44" s="391"/>
      <c r="CD44" s="392"/>
    </row>
    <row r="45" spans="1:101" ht="12" customHeight="1">
      <c r="A45" s="405"/>
      <c r="B45" s="405"/>
      <c r="C45" s="22"/>
      <c r="D45" s="22"/>
      <c r="E45" s="45"/>
      <c r="F45" s="22"/>
      <c r="G45" s="22"/>
      <c r="H45" s="22"/>
      <c r="I45" s="248"/>
      <c r="J45" s="249"/>
      <c r="K45" s="249"/>
      <c r="L45" s="249"/>
      <c r="M45" s="249"/>
      <c r="N45" s="249"/>
      <c r="O45" s="249"/>
      <c r="P45" s="356" t="s">
        <v>926</v>
      </c>
      <c r="Q45" s="43"/>
      <c r="R45" s="43"/>
      <c r="S45" s="43"/>
      <c r="T45" s="43"/>
      <c r="U45" s="43"/>
      <c r="V45" s="43"/>
      <c r="W45" s="43"/>
      <c r="X45" s="43"/>
      <c r="Y45" s="43"/>
      <c r="Z45" s="43"/>
      <c r="AA45" s="43"/>
      <c r="AB45" s="43"/>
      <c r="AC45" s="43"/>
      <c r="AD45" s="43"/>
      <c r="AE45" s="43"/>
      <c r="AF45" s="333"/>
      <c r="AG45" s="682">
        <v>9500</v>
      </c>
      <c r="AH45" s="683"/>
      <c r="AI45" s="683"/>
      <c r="AJ45" s="683"/>
      <c r="AK45" s="683"/>
      <c r="AL45" s="683"/>
      <c r="AM45" s="684"/>
      <c r="AN45" s="406" t="s">
        <v>1060</v>
      </c>
      <c r="AO45" s="407"/>
      <c r="AP45" s="407"/>
      <c r="AQ45" s="407"/>
      <c r="AR45" s="407"/>
      <c r="AS45" s="407"/>
      <c r="AT45" s="407"/>
      <c r="AU45" s="407"/>
      <c r="AV45" s="407"/>
      <c r="AW45" s="407"/>
      <c r="AX45" s="407"/>
      <c r="AY45" s="407"/>
      <c r="AZ45" s="407"/>
      <c r="BA45" s="407"/>
      <c r="BB45" s="407"/>
      <c r="BC45" s="407"/>
      <c r="BD45" s="407"/>
      <c r="BE45" s="407"/>
      <c r="BF45" s="407"/>
      <c r="BG45" s="407"/>
      <c r="BH45" s="407"/>
      <c r="BI45" s="407"/>
      <c r="BJ45" s="407"/>
      <c r="BK45" s="407"/>
      <c r="BL45" s="407"/>
      <c r="BM45" s="407"/>
      <c r="BN45" s="407"/>
      <c r="BO45" s="407"/>
      <c r="BP45" s="407"/>
      <c r="BQ45" s="407"/>
      <c r="BR45" s="407"/>
      <c r="BS45" s="407"/>
      <c r="BT45" s="407"/>
      <c r="BU45" s="407"/>
      <c r="BV45" s="407"/>
      <c r="BW45" s="407"/>
      <c r="BX45" s="407"/>
      <c r="BY45" s="407"/>
      <c r="BZ45" s="407"/>
      <c r="CA45" s="407"/>
      <c r="CB45" s="407"/>
      <c r="CC45" s="407"/>
      <c r="CD45" s="408"/>
    </row>
    <row r="46" spans="1:101" ht="12" customHeight="1">
      <c r="A46" s="405"/>
      <c r="B46" s="405"/>
      <c r="C46" s="22"/>
      <c r="D46" s="22"/>
      <c r="E46" s="45"/>
      <c r="F46" s="22"/>
      <c r="G46" s="22"/>
      <c r="H46" s="22"/>
      <c r="I46" s="161" t="s">
        <v>930</v>
      </c>
      <c r="J46" s="160"/>
      <c r="K46" s="160"/>
      <c r="L46" s="160"/>
      <c r="M46" s="160"/>
      <c r="N46" s="160"/>
      <c r="O46" s="247"/>
      <c r="P46" s="160" t="s">
        <v>931</v>
      </c>
      <c r="Q46" s="160"/>
      <c r="R46" s="160"/>
      <c r="S46" s="160"/>
      <c r="T46" s="160"/>
      <c r="U46" s="160"/>
      <c r="V46" s="160"/>
      <c r="W46" s="160"/>
      <c r="X46" s="160"/>
      <c r="Y46" s="160"/>
      <c r="Z46" s="160"/>
      <c r="AA46" s="160"/>
      <c r="AB46" s="160"/>
      <c r="AC46" s="160"/>
      <c r="AD46" s="160"/>
      <c r="AE46" s="160"/>
      <c r="AF46" s="159"/>
      <c r="AG46" s="685" t="s">
        <v>933</v>
      </c>
      <c r="AH46" s="686"/>
      <c r="AI46" s="686"/>
      <c r="AJ46" s="686"/>
      <c r="AK46" s="686"/>
      <c r="AL46" s="686"/>
      <c r="AM46" s="687"/>
      <c r="AN46" s="261" t="s">
        <v>830</v>
      </c>
      <c r="AO46" s="262"/>
      <c r="AP46" s="262"/>
      <c r="AQ46" s="262"/>
      <c r="AR46" s="262"/>
      <c r="AS46" s="262"/>
      <c r="AT46" s="262"/>
      <c r="AU46" s="262"/>
      <c r="AV46" s="262"/>
      <c r="AW46" s="262"/>
      <c r="AX46" s="262"/>
      <c r="AY46" s="262"/>
      <c r="AZ46" s="262"/>
      <c r="BA46" s="262"/>
      <c r="BB46" s="262"/>
      <c r="BC46" s="262"/>
      <c r="BD46" s="262"/>
      <c r="BE46" s="262"/>
      <c r="BF46" s="262"/>
      <c r="BG46" s="262"/>
      <c r="BH46" s="262"/>
      <c r="BI46" s="262"/>
      <c r="BJ46" s="262"/>
      <c r="BK46" s="262"/>
      <c r="BL46" s="262"/>
      <c r="BM46" s="262"/>
      <c r="BN46" s="262"/>
      <c r="BO46" s="262"/>
      <c r="BP46" s="262"/>
      <c r="BQ46" s="262"/>
      <c r="BR46" s="262"/>
      <c r="BS46" s="262"/>
      <c r="BT46" s="262"/>
      <c r="BU46" s="262"/>
      <c r="BV46" s="262"/>
      <c r="BW46" s="262"/>
      <c r="BX46" s="262"/>
      <c r="BY46" s="262"/>
      <c r="BZ46" s="262"/>
      <c r="CA46" s="262"/>
      <c r="CB46" s="262"/>
      <c r="CC46" s="262"/>
      <c r="CD46" s="263"/>
    </row>
    <row r="47" spans="1:101" ht="12" customHeight="1">
      <c r="A47" s="405"/>
      <c r="B47" s="405"/>
      <c r="C47" s="22"/>
      <c r="D47" s="22"/>
      <c r="E47" s="45"/>
      <c r="F47" s="22"/>
      <c r="G47" s="22"/>
      <c r="H47" s="22"/>
      <c r="I47" s="45"/>
      <c r="J47" s="22"/>
      <c r="K47" s="22"/>
      <c r="L47" s="22"/>
      <c r="M47" s="22"/>
      <c r="N47" s="22"/>
      <c r="O47" s="359"/>
      <c r="P47" s="22"/>
      <c r="Q47" s="22"/>
      <c r="R47" s="22"/>
      <c r="S47" s="22"/>
      <c r="T47" s="22"/>
      <c r="U47" s="22"/>
      <c r="V47" s="22"/>
      <c r="W47" s="22"/>
      <c r="X47" s="22"/>
      <c r="Y47" s="22"/>
      <c r="Z47" s="22"/>
      <c r="AA47" s="22"/>
      <c r="AB47" s="22"/>
      <c r="AC47" s="22"/>
      <c r="AD47" s="22"/>
      <c r="AE47" s="22"/>
      <c r="AF47" s="44"/>
      <c r="AG47" s="334"/>
      <c r="AH47" s="335"/>
      <c r="AI47" s="335"/>
      <c r="AJ47" s="335"/>
      <c r="AK47" s="335"/>
      <c r="AL47" s="335"/>
      <c r="AM47" s="336"/>
      <c r="AN47" s="390" t="s">
        <v>831</v>
      </c>
      <c r="AO47" s="391"/>
      <c r="AP47" s="391"/>
      <c r="AQ47" s="391"/>
      <c r="AR47" s="391"/>
      <c r="AS47" s="391"/>
      <c r="AT47" s="391"/>
      <c r="AU47" s="391"/>
      <c r="AV47" s="391"/>
      <c r="AW47" s="391"/>
      <c r="AX47" s="391"/>
      <c r="AY47" s="391"/>
      <c r="AZ47" s="391"/>
      <c r="BA47" s="391"/>
      <c r="BB47" s="391"/>
      <c r="BC47" s="391"/>
      <c r="BD47" s="391"/>
      <c r="BE47" s="391"/>
      <c r="BF47" s="391"/>
      <c r="BG47" s="391"/>
      <c r="BH47" s="391"/>
      <c r="BI47" s="391"/>
      <c r="BJ47" s="391"/>
      <c r="BK47" s="391"/>
      <c r="BL47" s="391"/>
      <c r="BM47" s="391"/>
      <c r="BN47" s="391"/>
      <c r="BO47" s="391"/>
      <c r="BP47" s="391"/>
      <c r="BQ47" s="391"/>
      <c r="BR47" s="391"/>
      <c r="BS47" s="391"/>
      <c r="BT47" s="391"/>
      <c r="BU47" s="391"/>
      <c r="BV47" s="391"/>
      <c r="BW47" s="391"/>
      <c r="BX47" s="391"/>
      <c r="BY47" s="391"/>
      <c r="BZ47" s="391"/>
      <c r="CA47" s="391"/>
      <c r="CB47" s="391"/>
      <c r="CC47" s="391"/>
      <c r="CD47" s="392"/>
    </row>
    <row r="48" spans="1:101" ht="12" customHeight="1">
      <c r="A48" s="405"/>
      <c r="B48" s="405"/>
      <c r="C48" s="22"/>
      <c r="D48" s="22"/>
      <c r="E48" s="45"/>
      <c r="F48" s="22"/>
      <c r="G48" s="22"/>
      <c r="H48" s="22"/>
      <c r="I48" s="45"/>
      <c r="J48" s="22"/>
      <c r="K48" s="22"/>
      <c r="L48" s="22"/>
      <c r="M48" s="22"/>
      <c r="N48" s="22"/>
      <c r="O48" s="359"/>
      <c r="P48" s="342"/>
      <c r="Q48" s="22"/>
      <c r="R48" s="22"/>
      <c r="S48" s="22"/>
      <c r="T48" s="22"/>
      <c r="U48" s="22"/>
      <c r="V48" s="22"/>
      <c r="W48" s="22"/>
      <c r="X48" s="22"/>
      <c r="Y48" s="22"/>
      <c r="Z48" s="22"/>
      <c r="AA48" s="22"/>
      <c r="AB48" s="22"/>
      <c r="AC48" s="22"/>
      <c r="AD48" s="22"/>
      <c r="AE48" s="22"/>
      <c r="AF48" s="44"/>
      <c r="AG48" s="334"/>
      <c r="AH48" s="335"/>
      <c r="AI48" s="335"/>
      <c r="AJ48" s="335"/>
      <c r="AK48" s="335"/>
      <c r="AL48" s="335"/>
      <c r="AM48" s="336"/>
      <c r="AN48" s="390"/>
      <c r="AO48" s="391"/>
      <c r="AP48" s="391"/>
      <c r="AQ48" s="391"/>
      <c r="AR48" s="391"/>
      <c r="AS48" s="391"/>
      <c r="AT48" s="391"/>
      <c r="AU48" s="391"/>
      <c r="AV48" s="391"/>
      <c r="AW48" s="391"/>
      <c r="AX48" s="391"/>
      <c r="AY48" s="391"/>
      <c r="AZ48" s="391"/>
      <c r="BA48" s="391"/>
      <c r="BB48" s="391"/>
      <c r="BC48" s="391"/>
      <c r="BD48" s="391"/>
      <c r="BE48" s="391"/>
      <c r="BF48" s="391"/>
      <c r="BG48" s="391"/>
      <c r="BH48" s="391"/>
      <c r="BI48" s="391"/>
      <c r="BJ48" s="391"/>
      <c r="BK48" s="391"/>
      <c r="BL48" s="391"/>
      <c r="BM48" s="391"/>
      <c r="BN48" s="391"/>
      <c r="BO48" s="391"/>
      <c r="BP48" s="391"/>
      <c r="BQ48" s="391"/>
      <c r="BR48" s="391"/>
      <c r="BS48" s="391"/>
      <c r="BT48" s="391"/>
      <c r="BU48" s="391"/>
      <c r="BV48" s="391"/>
      <c r="BW48" s="391"/>
      <c r="BX48" s="391"/>
      <c r="BY48" s="391"/>
      <c r="BZ48" s="391"/>
      <c r="CA48" s="391"/>
      <c r="CB48" s="391"/>
      <c r="CC48" s="391"/>
      <c r="CD48" s="392"/>
    </row>
    <row r="49" spans="1:82" ht="12" customHeight="1">
      <c r="A49" s="405"/>
      <c r="B49" s="405"/>
      <c r="C49" s="22"/>
      <c r="D49" s="22"/>
      <c r="E49" s="45"/>
      <c r="F49" s="22"/>
      <c r="G49" s="22"/>
      <c r="H49" s="22"/>
      <c r="I49" s="45"/>
      <c r="J49" s="22"/>
      <c r="K49" s="22"/>
      <c r="L49" s="22"/>
      <c r="M49" s="22"/>
      <c r="N49" s="22"/>
      <c r="O49" s="359"/>
      <c r="P49" s="342"/>
      <c r="Q49" s="22"/>
      <c r="R49" s="22"/>
      <c r="S49" s="22"/>
      <c r="T49" s="22"/>
      <c r="U49" s="22"/>
      <c r="V49" s="22"/>
      <c r="W49" s="22"/>
      <c r="X49" s="22"/>
      <c r="Y49" s="22"/>
      <c r="Z49" s="22"/>
      <c r="AA49" s="22"/>
      <c r="AB49" s="22"/>
      <c r="AC49" s="22"/>
      <c r="AD49" s="22"/>
      <c r="AE49" s="22"/>
      <c r="AF49" s="44"/>
      <c r="AG49" s="334"/>
      <c r="AH49" s="335"/>
      <c r="AI49" s="335"/>
      <c r="AJ49" s="335"/>
      <c r="AK49" s="335"/>
      <c r="AL49" s="335"/>
      <c r="AM49" s="336"/>
      <c r="AN49" s="390" t="s">
        <v>832</v>
      </c>
      <c r="AO49" s="391"/>
      <c r="AP49" s="391"/>
      <c r="AQ49" s="391"/>
      <c r="AR49" s="391"/>
      <c r="AS49" s="391"/>
      <c r="AT49" s="391"/>
      <c r="AU49" s="391"/>
      <c r="AV49" s="391"/>
      <c r="AW49" s="391"/>
      <c r="AX49" s="391"/>
      <c r="AY49" s="391"/>
      <c r="AZ49" s="391"/>
      <c r="BA49" s="391"/>
      <c r="BB49" s="391"/>
      <c r="BC49" s="391"/>
      <c r="BD49" s="391"/>
      <c r="BE49" s="391"/>
      <c r="BF49" s="391"/>
      <c r="BG49" s="391"/>
      <c r="BH49" s="391"/>
      <c r="BI49" s="391"/>
      <c r="BJ49" s="391"/>
      <c r="BK49" s="391"/>
      <c r="BL49" s="391"/>
      <c r="BM49" s="391"/>
      <c r="BN49" s="391"/>
      <c r="BO49" s="391"/>
      <c r="BP49" s="391"/>
      <c r="BQ49" s="391"/>
      <c r="BR49" s="391"/>
      <c r="BS49" s="391"/>
      <c r="BT49" s="391"/>
      <c r="BU49" s="391"/>
      <c r="BV49" s="391"/>
      <c r="BW49" s="391"/>
      <c r="BX49" s="391"/>
      <c r="BY49" s="391"/>
      <c r="BZ49" s="391"/>
      <c r="CA49" s="391"/>
      <c r="CB49" s="391"/>
      <c r="CC49" s="391"/>
      <c r="CD49" s="392"/>
    </row>
    <row r="50" spans="1:82" ht="12" customHeight="1">
      <c r="A50" s="405"/>
      <c r="B50" s="405"/>
      <c r="C50" s="22"/>
      <c r="D50" s="22"/>
      <c r="E50" s="45"/>
      <c r="F50" s="22"/>
      <c r="G50" s="22"/>
      <c r="H50" s="22"/>
      <c r="I50" s="45"/>
      <c r="J50" s="22"/>
      <c r="K50" s="22"/>
      <c r="L50" s="22"/>
      <c r="M50" s="22"/>
      <c r="N50" s="22"/>
      <c r="O50" s="359"/>
      <c r="P50" s="22"/>
      <c r="Q50" s="22"/>
      <c r="R50" s="22"/>
      <c r="S50" s="22"/>
      <c r="T50" s="22"/>
      <c r="U50" s="22"/>
      <c r="V50" s="22"/>
      <c r="W50" s="22"/>
      <c r="X50" s="22"/>
      <c r="Y50" s="22"/>
      <c r="Z50" s="22"/>
      <c r="AA50" s="22"/>
      <c r="AB50" s="22"/>
      <c r="AC50" s="22"/>
      <c r="AD50" s="22"/>
      <c r="AE50" s="22"/>
      <c r="AF50" s="44"/>
      <c r="AG50" s="334"/>
      <c r="AH50" s="335"/>
      <c r="AI50" s="335"/>
      <c r="AJ50" s="335"/>
      <c r="AK50" s="335"/>
      <c r="AL50" s="335"/>
      <c r="AM50" s="336"/>
      <c r="AN50" s="390" t="s">
        <v>833</v>
      </c>
      <c r="AO50" s="391"/>
      <c r="AP50" s="391"/>
      <c r="AQ50" s="391"/>
      <c r="AR50" s="391"/>
      <c r="AS50" s="391"/>
      <c r="AT50" s="391"/>
      <c r="AU50" s="391"/>
      <c r="AV50" s="391"/>
      <c r="AW50" s="391"/>
      <c r="AX50" s="391"/>
      <c r="AY50" s="391"/>
      <c r="AZ50" s="391"/>
      <c r="BA50" s="391"/>
      <c r="BB50" s="391"/>
      <c r="BC50" s="391"/>
      <c r="BD50" s="391"/>
      <c r="BE50" s="391"/>
      <c r="BF50" s="391"/>
      <c r="BG50" s="391"/>
      <c r="BH50" s="391"/>
      <c r="BI50" s="391"/>
      <c r="BJ50" s="391"/>
      <c r="BK50" s="391"/>
      <c r="BL50" s="391"/>
      <c r="BM50" s="391"/>
      <c r="BN50" s="391"/>
      <c r="BO50" s="391"/>
      <c r="BP50" s="391"/>
      <c r="BQ50" s="391"/>
      <c r="BR50" s="391"/>
      <c r="BS50" s="391"/>
      <c r="BT50" s="391"/>
      <c r="BU50" s="391"/>
      <c r="BV50" s="391"/>
      <c r="BW50" s="391"/>
      <c r="BX50" s="391"/>
      <c r="BY50" s="391"/>
      <c r="BZ50" s="391"/>
      <c r="CA50" s="391"/>
      <c r="CB50" s="391"/>
      <c r="CC50" s="391"/>
      <c r="CD50" s="392"/>
    </row>
    <row r="51" spans="1:82" ht="12" customHeight="1">
      <c r="A51" s="405"/>
      <c r="B51" s="405"/>
      <c r="C51" s="22"/>
      <c r="D51" s="22"/>
      <c r="E51" s="45"/>
      <c r="F51" s="22"/>
      <c r="G51" s="22"/>
      <c r="H51" s="22"/>
      <c r="I51" s="45"/>
      <c r="J51" s="22"/>
      <c r="K51" s="22"/>
      <c r="L51" s="22"/>
      <c r="M51" s="22"/>
      <c r="N51" s="22"/>
      <c r="O51" s="359"/>
      <c r="P51" s="22"/>
      <c r="Q51" s="22"/>
      <c r="R51" s="22"/>
      <c r="S51" s="22"/>
      <c r="T51" s="22"/>
      <c r="U51" s="22"/>
      <c r="V51" s="22"/>
      <c r="W51" s="22"/>
      <c r="X51" s="22"/>
      <c r="Y51" s="22"/>
      <c r="Z51" s="22"/>
      <c r="AA51" s="22"/>
      <c r="AB51" s="22"/>
      <c r="AC51" s="22"/>
      <c r="AD51" s="22"/>
      <c r="AE51" s="22"/>
      <c r="AF51" s="44"/>
      <c r="AG51" s="334"/>
      <c r="AH51" s="335"/>
      <c r="AI51" s="335"/>
      <c r="AJ51" s="335"/>
      <c r="AK51" s="335"/>
      <c r="AL51" s="335"/>
      <c r="AM51" s="336"/>
      <c r="AN51" s="390" t="s">
        <v>834</v>
      </c>
      <c r="AO51" s="391"/>
      <c r="AP51" s="391"/>
      <c r="AQ51" s="391"/>
      <c r="AR51" s="391"/>
      <c r="AS51" s="391"/>
      <c r="AT51" s="391"/>
      <c r="AU51" s="391"/>
      <c r="AV51" s="391"/>
      <c r="AW51" s="391"/>
      <c r="AX51" s="391"/>
      <c r="AY51" s="391"/>
      <c r="AZ51" s="391"/>
      <c r="BA51" s="391"/>
      <c r="BB51" s="391"/>
      <c r="BC51" s="391"/>
      <c r="BD51" s="391"/>
      <c r="BE51" s="391"/>
      <c r="BF51" s="391"/>
      <c r="BG51" s="391"/>
      <c r="BH51" s="391"/>
      <c r="BI51" s="391"/>
      <c r="BJ51" s="391"/>
      <c r="BK51" s="391"/>
      <c r="BL51" s="391"/>
      <c r="BM51" s="391"/>
      <c r="BN51" s="391"/>
      <c r="BO51" s="391"/>
      <c r="BP51" s="391"/>
      <c r="BQ51" s="391"/>
      <c r="BR51" s="391"/>
      <c r="BS51" s="391"/>
      <c r="BT51" s="391"/>
      <c r="BU51" s="391"/>
      <c r="BV51" s="391"/>
      <c r="BW51" s="391"/>
      <c r="BX51" s="391"/>
      <c r="BY51" s="391"/>
      <c r="BZ51" s="391"/>
      <c r="CA51" s="391"/>
      <c r="CB51" s="391"/>
      <c r="CC51" s="391"/>
      <c r="CD51" s="392"/>
    </row>
    <row r="52" spans="1:82" ht="12" customHeight="1">
      <c r="A52" s="405"/>
      <c r="B52" s="405"/>
      <c r="C52" s="22"/>
      <c r="D52" s="22"/>
      <c r="E52" s="45"/>
      <c r="F52" s="22"/>
      <c r="G52" s="22"/>
      <c r="H52" s="22"/>
      <c r="I52" s="45"/>
      <c r="J52" s="22"/>
      <c r="K52" s="22"/>
      <c r="L52" s="22"/>
      <c r="M52" s="22"/>
      <c r="N52" s="22"/>
      <c r="O52" s="359"/>
      <c r="P52" s="22"/>
      <c r="Q52" s="22"/>
      <c r="R52" s="22"/>
      <c r="S52" s="22"/>
      <c r="T52" s="22"/>
      <c r="U52" s="22"/>
      <c r="V52" s="22"/>
      <c r="W52" s="22"/>
      <c r="X52" s="22"/>
      <c r="Y52" s="22"/>
      <c r="Z52" s="22"/>
      <c r="AA52" s="22"/>
      <c r="AB52" s="22"/>
      <c r="AC52" s="22"/>
      <c r="AD52" s="22"/>
      <c r="AE52" s="22"/>
      <c r="AF52" s="44"/>
      <c r="AG52" s="334"/>
      <c r="AH52" s="335"/>
      <c r="AI52" s="335"/>
      <c r="AJ52" s="335"/>
      <c r="AK52" s="335"/>
      <c r="AL52" s="335"/>
      <c r="AM52" s="336"/>
      <c r="AN52" s="390"/>
      <c r="AO52" s="391"/>
      <c r="AP52" s="391"/>
      <c r="AQ52" s="391"/>
      <c r="AR52" s="391"/>
      <c r="AS52" s="391"/>
      <c r="AT52" s="391"/>
      <c r="AU52" s="391"/>
      <c r="AV52" s="391"/>
      <c r="AW52" s="391"/>
      <c r="AX52" s="391"/>
      <c r="AY52" s="391"/>
      <c r="AZ52" s="391"/>
      <c r="BA52" s="391"/>
      <c r="BB52" s="391"/>
      <c r="BC52" s="391"/>
      <c r="BD52" s="391"/>
      <c r="BE52" s="391"/>
      <c r="BF52" s="391"/>
      <c r="BG52" s="391"/>
      <c r="BH52" s="391"/>
      <c r="BI52" s="391"/>
      <c r="BJ52" s="391"/>
      <c r="BK52" s="391"/>
      <c r="BL52" s="391"/>
      <c r="BM52" s="391"/>
      <c r="BN52" s="391"/>
      <c r="BO52" s="391"/>
      <c r="BP52" s="391"/>
      <c r="BQ52" s="391"/>
      <c r="BR52" s="391"/>
      <c r="BS52" s="391"/>
      <c r="BT52" s="391"/>
      <c r="BU52" s="391"/>
      <c r="BV52" s="391"/>
      <c r="BW52" s="391"/>
      <c r="BX52" s="391"/>
      <c r="BY52" s="391"/>
      <c r="BZ52" s="391"/>
      <c r="CA52" s="391"/>
      <c r="CB52" s="391"/>
      <c r="CC52" s="391"/>
      <c r="CD52" s="392"/>
    </row>
    <row r="53" spans="1:82" ht="12" customHeight="1">
      <c r="A53" s="405"/>
      <c r="B53" s="405"/>
      <c r="C53" s="22"/>
      <c r="D53" s="22"/>
      <c r="E53" s="45"/>
      <c r="F53" s="22"/>
      <c r="G53" s="22"/>
      <c r="H53" s="22"/>
      <c r="I53" s="248"/>
      <c r="J53" s="249"/>
      <c r="K53" s="249"/>
      <c r="L53" s="249"/>
      <c r="M53" s="249"/>
      <c r="N53" s="249"/>
      <c r="O53" s="250"/>
      <c r="P53" s="160" t="s">
        <v>925</v>
      </c>
      <c r="Q53" s="160"/>
      <c r="R53" s="160"/>
      <c r="S53" s="160"/>
      <c r="T53" s="160"/>
      <c r="U53" s="160"/>
      <c r="V53" s="160"/>
      <c r="W53" s="160"/>
      <c r="X53" s="160"/>
      <c r="Y53" s="160"/>
      <c r="Z53" s="160"/>
      <c r="AA53" s="160"/>
      <c r="AB53" s="160"/>
      <c r="AC53" s="160"/>
      <c r="AD53" s="160"/>
      <c r="AE53" s="160"/>
      <c r="AF53" s="159"/>
      <c r="AG53" s="685" t="s">
        <v>569</v>
      </c>
      <c r="AH53" s="686"/>
      <c r="AI53" s="686"/>
      <c r="AJ53" s="686"/>
      <c r="AK53" s="686"/>
      <c r="AL53" s="686"/>
      <c r="AM53" s="687"/>
      <c r="AN53" s="406" t="s">
        <v>1077</v>
      </c>
      <c r="AO53" s="407"/>
      <c r="AP53" s="407"/>
      <c r="AQ53" s="407"/>
      <c r="AR53" s="407"/>
      <c r="AS53" s="407"/>
      <c r="AT53" s="407"/>
      <c r="AU53" s="407"/>
      <c r="AV53" s="407"/>
      <c r="AW53" s="407"/>
      <c r="AX53" s="407"/>
      <c r="AY53" s="407"/>
      <c r="AZ53" s="407"/>
      <c r="BA53" s="407"/>
      <c r="BB53" s="407"/>
      <c r="BC53" s="407"/>
      <c r="BD53" s="407"/>
      <c r="BE53" s="407"/>
      <c r="BF53" s="407"/>
      <c r="BG53" s="407"/>
      <c r="BH53" s="407"/>
      <c r="BI53" s="407"/>
      <c r="BJ53" s="407"/>
      <c r="BK53" s="407"/>
      <c r="BL53" s="407"/>
      <c r="BM53" s="407"/>
      <c r="BN53" s="407"/>
      <c r="BO53" s="407"/>
      <c r="BP53" s="407"/>
      <c r="BQ53" s="407"/>
      <c r="BR53" s="407"/>
      <c r="BS53" s="407"/>
      <c r="BT53" s="407"/>
      <c r="BU53" s="407"/>
      <c r="BV53" s="407"/>
      <c r="BW53" s="407"/>
      <c r="BX53" s="407"/>
      <c r="BY53" s="407"/>
      <c r="BZ53" s="407"/>
      <c r="CA53" s="407"/>
      <c r="CB53" s="407"/>
      <c r="CC53" s="407"/>
      <c r="CD53" s="408"/>
    </row>
    <row r="54" spans="1:82" ht="12" customHeight="1">
      <c r="A54" s="405"/>
      <c r="B54" s="405"/>
      <c r="C54" s="22"/>
      <c r="D54" s="22"/>
      <c r="E54" s="45"/>
      <c r="F54" s="22"/>
      <c r="G54" s="22"/>
      <c r="H54" s="22"/>
      <c r="I54" s="161" t="s">
        <v>932</v>
      </c>
      <c r="J54" s="160"/>
      <c r="K54" s="160"/>
      <c r="L54" s="160"/>
      <c r="M54" s="160"/>
      <c r="N54" s="160"/>
      <c r="O54" s="247"/>
      <c r="P54" s="340" t="s">
        <v>447</v>
      </c>
      <c r="Q54" s="160"/>
      <c r="R54" s="160"/>
      <c r="S54" s="160"/>
      <c r="T54" s="160"/>
      <c r="U54" s="160"/>
      <c r="V54" s="160"/>
      <c r="W54" s="160"/>
      <c r="X54" s="160"/>
      <c r="Y54" s="160"/>
      <c r="Z54" s="160"/>
      <c r="AA54" s="160"/>
      <c r="AB54" s="160"/>
      <c r="AC54" s="160"/>
      <c r="AD54" s="160"/>
      <c r="AE54" s="160"/>
      <c r="AF54" s="159"/>
      <c r="AG54" s="685" t="s">
        <v>934</v>
      </c>
      <c r="AH54" s="686"/>
      <c r="AI54" s="686"/>
      <c r="AJ54" s="686"/>
      <c r="AK54" s="686"/>
      <c r="AL54" s="686"/>
      <c r="AM54" s="687"/>
      <c r="AN54" s="261" t="s">
        <v>835</v>
      </c>
      <c r="AO54" s="262"/>
      <c r="AP54" s="262"/>
      <c r="AQ54" s="262"/>
      <c r="AR54" s="262"/>
      <c r="AS54" s="262"/>
      <c r="AT54" s="262"/>
      <c r="AU54" s="262"/>
      <c r="AV54" s="262"/>
      <c r="AW54" s="262"/>
      <c r="AX54" s="262"/>
      <c r="AY54" s="262"/>
      <c r="AZ54" s="262"/>
      <c r="BA54" s="262"/>
      <c r="BB54" s="262"/>
      <c r="BC54" s="262"/>
      <c r="BD54" s="262"/>
      <c r="BE54" s="262"/>
      <c r="BF54" s="262"/>
      <c r="BG54" s="262"/>
      <c r="BH54" s="262"/>
      <c r="BI54" s="262"/>
      <c r="BJ54" s="262"/>
      <c r="BK54" s="262"/>
      <c r="BL54" s="262"/>
      <c r="BM54" s="262"/>
      <c r="BN54" s="262"/>
      <c r="BO54" s="262"/>
      <c r="BP54" s="262"/>
      <c r="BQ54" s="262"/>
      <c r="BR54" s="262"/>
      <c r="BS54" s="262"/>
      <c r="BT54" s="262"/>
      <c r="BU54" s="262"/>
      <c r="BV54" s="262"/>
      <c r="BW54" s="262"/>
      <c r="BX54" s="262"/>
      <c r="BY54" s="262"/>
      <c r="BZ54" s="262"/>
      <c r="CA54" s="262"/>
      <c r="CB54" s="262"/>
      <c r="CC54" s="262"/>
      <c r="CD54" s="263"/>
    </row>
    <row r="55" spans="1:82" ht="12" customHeight="1">
      <c r="A55" s="405"/>
      <c r="B55" s="405"/>
      <c r="C55" s="22"/>
      <c r="D55" s="22"/>
      <c r="E55" s="45"/>
      <c r="F55" s="22"/>
      <c r="G55" s="22"/>
      <c r="H55" s="22"/>
      <c r="I55" s="45"/>
      <c r="J55" s="22"/>
      <c r="K55" s="22"/>
      <c r="L55" s="22"/>
      <c r="M55" s="22"/>
      <c r="N55" s="22"/>
      <c r="O55" s="359"/>
      <c r="P55" s="342"/>
      <c r="Q55" s="22"/>
      <c r="R55" s="22"/>
      <c r="S55" s="22"/>
      <c r="T55" s="22"/>
      <c r="U55" s="22"/>
      <c r="V55" s="22"/>
      <c r="W55" s="22"/>
      <c r="X55" s="22"/>
      <c r="Y55" s="22"/>
      <c r="Z55" s="22"/>
      <c r="AA55" s="22"/>
      <c r="AB55" s="22"/>
      <c r="AC55" s="22"/>
      <c r="AD55" s="22"/>
      <c r="AE55" s="22"/>
      <c r="AF55" s="44"/>
      <c r="AG55" s="334"/>
      <c r="AH55" s="335"/>
      <c r="AI55" s="335"/>
      <c r="AJ55" s="335"/>
      <c r="AK55" s="335"/>
      <c r="AL55" s="335"/>
      <c r="AM55" s="336"/>
      <c r="AN55" s="390" t="s">
        <v>836</v>
      </c>
      <c r="AO55" s="391"/>
      <c r="AP55" s="391"/>
      <c r="AQ55" s="391"/>
      <c r="AR55" s="391"/>
      <c r="AS55" s="391"/>
      <c r="AT55" s="391"/>
      <c r="AU55" s="391"/>
      <c r="AV55" s="391"/>
      <c r="AW55" s="391"/>
      <c r="AX55" s="391"/>
      <c r="AY55" s="391"/>
      <c r="AZ55" s="391"/>
      <c r="BA55" s="391"/>
      <c r="BB55" s="391"/>
      <c r="BC55" s="391"/>
      <c r="BD55" s="391"/>
      <c r="BE55" s="391"/>
      <c r="BF55" s="391"/>
      <c r="BG55" s="391"/>
      <c r="BH55" s="391"/>
      <c r="BI55" s="391"/>
      <c r="BJ55" s="391"/>
      <c r="BK55" s="391"/>
      <c r="BL55" s="391"/>
      <c r="BM55" s="391"/>
      <c r="BN55" s="391"/>
      <c r="BO55" s="391"/>
      <c r="BP55" s="391"/>
      <c r="BQ55" s="391"/>
      <c r="BR55" s="391"/>
      <c r="BS55" s="391"/>
      <c r="BT55" s="391"/>
      <c r="BU55" s="391"/>
      <c r="BV55" s="391"/>
      <c r="BW55" s="391"/>
      <c r="BX55" s="391"/>
      <c r="BY55" s="391"/>
      <c r="BZ55" s="391"/>
      <c r="CA55" s="391"/>
      <c r="CB55" s="391"/>
      <c r="CC55" s="391"/>
      <c r="CD55" s="392"/>
    </row>
    <row r="56" spans="1:82" ht="12" customHeight="1">
      <c r="A56" s="405"/>
      <c r="B56" s="405"/>
      <c r="C56" s="22"/>
      <c r="D56" s="22"/>
      <c r="E56" s="45"/>
      <c r="F56" s="22"/>
      <c r="G56" s="22"/>
      <c r="H56" s="22"/>
      <c r="I56" s="45"/>
      <c r="J56" s="22"/>
      <c r="K56" s="22"/>
      <c r="L56" s="22"/>
      <c r="M56" s="22"/>
      <c r="N56" s="22"/>
      <c r="O56" s="359"/>
      <c r="P56" s="342"/>
      <c r="Q56" s="22"/>
      <c r="R56" s="22"/>
      <c r="S56" s="22"/>
      <c r="T56" s="22"/>
      <c r="U56" s="22"/>
      <c r="V56" s="22"/>
      <c r="W56" s="22"/>
      <c r="X56" s="22"/>
      <c r="Y56" s="22"/>
      <c r="Z56" s="22"/>
      <c r="AA56" s="22"/>
      <c r="AB56" s="22"/>
      <c r="AC56" s="22"/>
      <c r="AD56" s="22"/>
      <c r="AE56" s="22"/>
      <c r="AF56" s="44"/>
      <c r="AG56" s="334"/>
      <c r="AH56" s="335"/>
      <c r="AI56" s="335"/>
      <c r="AJ56" s="335"/>
      <c r="AK56" s="335"/>
      <c r="AL56" s="335"/>
      <c r="AM56" s="336"/>
      <c r="AN56" s="390" t="s">
        <v>837</v>
      </c>
      <c r="AO56" s="391"/>
      <c r="AP56" s="391"/>
      <c r="AQ56" s="391"/>
      <c r="AR56" s="391"/>
      <c r="AS56" s="391"/>
      <c r="AT56" s="391"/>
      <c r="AU56" s="391"/>
      <c r="AV56" s="391"/>
      <c r="AW56" s="391"/>
      <c r="AX56" s="391"/>
      <c r="AY56" s="391"/>
      <c r="AZ56" s="391"/>
      <c r="BA56" s="391"/>
      <c r="BB56" s="391"/>
      <c r="BC56" s="391"/>
      <c r="BD56" s="391"/>
      <c r="BE56" s="391"/>
      <c r="BF56" s="391"/>
      <c r="BG56" s="391"/>
      <c r="BH56" s="391"/>
      <c r="BI56" s="391"/>
      <c r="BJ56" s="391"/>
      <c r="BK56" s="391"/>
      <c r="BL56" s="391"/>
      <c r="BM56" s="391"/>
      <c r="BN56" s="391"/>
      <c r="BO56" s="391"/>
      <c r="BP56" s="391"/>
      <c r="BQ56" s="391"/>
      <c r="BR56" s="391"/>
      <c r="BS56" s="391"/>
      <c r="BT56" s="391"/>
      <c r="BU56" s="391"/>
      <c r="BV56" s="391"/>
      <c r="BW56" s="391"/>
      <c r="BX56" s="391"/>
      <c r="BY56" s="391"/>
      <c r="BZ56" s="391"/>
      <c r="CA56" s="391"/>
      <c r="CB56" s="391"/>
      <c r="CC56" s="391"/>
      <c r="CD56" s="392"/>
    </row>
    <row r="57" spans="1:82" ht="12" customHeight="1">
      <c r="A57" s="405"/>
      <c r="B57" s="405"/>
      <c r="C57" s="22"/>
      <c r="D57" s="22"/>
      <c r="E57" s="45"/>
      <c r="F57" s="22"/>
      <c r="G57" s="22"/>
      <c r="H57" s="22"/>
      <c r="I57" s="45"/>
      <c r="J57" s="22"/>
      <c r="K57" s="22"/>
      <c r="L57" s="22"/>
      <c r="M57" s="22"/>
      <c r="N57" s="22"/>
      <c r="O57" s="359"/>
      <c r="P57" s="342"/>
      <c r="Q57" s="22"/>
      <c r="R57" s="22"/>
      <c r="S57" s="22"/>
      <c r="T57" s="22"/>
      <c r="U57" s="22"/>
      <c r="V57" s="22"/>
      <c r="W57" s="22"/>
      <c r="X57" s="22"/>
      <c r="Y57" s="22"/>
      <c r="Z57" s="22"/>
      <c r="AA57" s="22"/>
      <c r="AB57" s="22"/>
      <c r="AC57" s="22"/>
      <c r="AD57" s="22"/>
      <c r="AE57" s="22"/>
      <c r="AF57" s="44"/>
      <c r="AG57" s="334"/>
      <c r="AH57" s="335"/>
      <c r="AI57" s="335"/>
      <c r="AJ57" s="335"/>
      <c r="AK57" s="335"/>
      <c r="AL57" s="335"/>
      <c r="AM57" s="336"/>
      <c r="AN57" s="390" t="s">
        <v>838</v>
      </c>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c r="BQ57" s="391"/>
      <c r="BR57" s="391"/>
      <c r="BS57" s="391"/>
      <c r="BT57" s="391"/>
      <c r="BU57" s="391"/>
      <c r="BV57" s="391"/>
      <c r="BW57" s="391"/>
      <c r="BX57" s="391"/>
      <c r="BY57" s="391"/>
      <c r="BZ57" s="391"/>
      <c r="CA57" s="391"/>
      <c r="CB57" s="391"/>
      <c r="CC57" s="391"/>
      <c r="CD57" s="392"/>
    </row>
    <row r="58" spans="1:82" ht="12" customHeight="1">
      <c r="A58" s="405"/>
      <c r="B58" s="405"/>
      <c r="C58" s="22"/>
      <c r="D58" s="22"/>
      <c r="E58" s="45"/>
      <c r="F58" s="22"/>
      <c r="G58" s="22"/>
      <c r="H58" s="22"/>
      <c r="I58" s="248"/>
      <c r="J58" s="249"/>
      <c r="K58" s="249"/>
      <c r="L58" s="249"/>
      <c r="M58" s="249"/>
      <c r="N58" s="249"/>
      <c r="O58" s="250"/>
      <c r="P58" s="341"/>
      <c r="Q58" s="249"/>
      <c r="R58" s="249"/>
      <c r="S58" s="249"/>
      <c r="T58" s="249"/>
      <c r="U58" s="249"/>
      <c r="V58" s="249"/>
      <c r="W58" s="249"/>
      <c r="X58" s="249"/>
      <c r="Y58" s="249"/>
      <c r="Z58" s="249"/>
      <c r="AA58" s="249"/>
      <c r="AB58" s="249"/>
      <c r="AC58" s="249"/>
      <c r="AD58" s="249"/>
      <c r="AE58" s="249"/>
      <c r="AF58" s="329"/>
      <c r="AG58" s="337"/>
      <c r="AH58" s="338"/>
      <c r="AI58" s="338"/>
      <c r="AJ58" s="338"/>
      <c r="AK58" s="338"/>
      <c r="AL58" s="338"/>
      <c r="AM58" s="339"/>
      <c r="AN58" s="255"/>
      <c r="AO58" s="256"/>
      <c r="AP58" s="256"/>
      <c r="AQ58" s="256"/>
      <c r="AR58" s="256"/>
      <c r="AS58" s="256"/>
      <c r="AT58" s="256"/>
      <c r="AU58" s="256"/>
      <c r="AV58" s="256"/>
      <c r="AW58" s="256"/>
      <c r="AX58" s="256"/>
      <c r="AY58" s="256"/>
      <c r="AZ58" s="256"/>
      <c r="BA58" s="256"/>
      <c r="BB58" s="256"/>
      <c r="BC58" s="256"/>
      <c r="BD58" s="256"/>
      <c r="BE58" s="256"/>
      <c r="BF58" s="256"/>
      <c r="BG58" s="256"/>
      <c r="BH58" s="256"/>
      <c r="BI58" s="256"/>
      <c r="BJ58" s="256"/>
      <c r="BK58" s="256"/>
      <c r="BL58" s="256"/>
      <c r="BM58" s="256"/>
      <c r="BN58" s="256"/>
      <c r="BO58" s="256"/>
      <c r="BP58" s="256"/>
      <c r="BQ58" s="256"/>
      <c r="BR58" s="256"/>
      <c r="BS58" s="256"/>
      <c r="BT58" s="256"/>
      <c r="BU58" s="256"/>
      <c r="BV58" s="256"/>
      <c r="BW58" s="256"/>
      <c r="BX58" s="256"/>
      <c r="BY58" s="256"/>
      <c r="BZ58" s="256"/>
      <c r="CA58" s="256"/>
      <c r="CB58" s="256"/>
      <c r="CC58" s="256"/>
      <c r="CD58" s="257"/>
    </row>
    <row r="59" spans="1:82" ht="12" customHeight="1">
      <c r="A59" s="405"/>
      <c r="B59" s="405"/>
      <c r="C59" s="22"/>
      <c r="D59" s="22"/>
      <c r="E59" s="45"/>
      <c r="F59" s="22"/>
      <c r="G59" s="22"/>
      <c r="H59" s="22"/>
      <c r="I59" s="161" t="s">
        <v>444</v>
      </c>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59"/>
      <c r="AG59" s="688" t="s">
        <v>1062</v>
      </c>
      <c r="AH59" s="689"/>
      <c r="AI59" s="689"/>
      <c r="AJ59" s="689"/>
      <c r="AK59" s="689"/>
      <c r="AL59" s="689"/>
      <c r="AM59" s="690"/>
      <c r="AN59" s="406" t="s">
        <v>1065</v>
      </c>
      <c r="AO59" s="407"/>
      <c r="AP59" s="407"/>
      <c r="AQ59" s="407"/>
      <c r="AR59" s="407"/>
      <c r="AS59" s="407"/>
      <c r="AT59" s="407"/>
      <c r="AU59" s="407"/>
      <c r="AV59" s="407"/>
      <c r="AW59" s="407"/>
      <c r="AX59" s="407"/>
      <c r="AY59" s="407"/>
      <c r="AZ59" s="407"/>
      <c r="BA59" s="407"/>
      <c r="BB59" s="407"/>
      <c r="BC59" s="407"/>
      <c r="BD59" s="407"/>
      <c r="BE59" s="407"/>
      <c r="BF59" s="407"/>
      <c r="BG59" s="407"/>
      <c r="BH59" s="407"/>
      <c r="BI59" s="407"/>
      <c r="BJ59" s="407"/>
      <c r="BK59" s="407"/>
      <c r="BL59" s="407"/>
      <c r="BM59" s="407"/>
      <c r="BN59" s="407"/>
      <c r="BO59" s="407"/>
      <c r="BP59" s="407"/>
      <c r="BQ59" s="407"/>
      <c r="BR59" s="407"/>
      <c r="BS59" s="407"/>
      <c r="BT59" s="407"/>
      <c r="BU59" s="407"/>
      <c r="BV59" s="407"/>
      <c r="BW59" s="407"/>
      <c r="BX59" s="407"/>
      <c r="BY59" s="407"/>
      <c r="BZ59" s="407"/>
      <c r="CA59" s="407"/>
      <c r="CB59" s="407"/>
      <c r="CC59" s="407"/>
      <c r="CD59" s="408"/>
    </row>
    <row r="60" spans="1:82" ht="12" customHeight="1">
      <c r="A60" s="55"/>
      <c r="B60" s="55"/>
      <c r="C60" s="3"/>
      <c r="D60" s="3"/>
      <c r="E60" s="390"/>
      <c r="F60" s="391"/>
      <c r="G60" s="391"/>
      <c r="H60" s="391"/>
      <c r="I60" s="376" t="s">
        <v>839</v>
      </c>
      <c r="J60" s="377"/>
      <c r="K60" s="377"/>
      <c r="L60" s="377"/>
      <c r="M60" s="377"/>
      <c r="N60" s="377"/>
      <c r="O60" s="377"/>
      <c r="P60" s="377"/>
      <c r="Q60" s="377"/>
      <c r="R60" s="377"/>
      <c r="S60" s="377"/>
      <c r="T60" s="377"/>
      <c r="U60" s="377"/>
      <c r="V60" s="377"/>
      <c r="W60" s="377"/>
      <c r="X60" s="377"/>
      <c r="Y60" s="377"/>
      <c r="Z60" s="377"/>
      <c r="AA60" s="377"/>
      <c r="AB60" s="377"/>
      <c r="AC60" s="377"/>
      <c r="AD60" s="377"/>
      <c r="AE60" s="377"/>
      <c r="AF60" s="378"/>
      <c r="AG60" s="673">
        <v>10</v>
      </c>
      <c r="AH60" s="674"/>
      <c r="AI60" s="674"/>
      <c r="AJ60" s="674"/>
      <c r="AK60" s="674"/>
      <c r="AL60" s="674"/>
      <c r="AM60" s="675"/>
      <c r="AN60" s="406" t="s">
        <v>1066</v>
      </c>
      <c r="AO60" s="407"/>
      <c r="AP60" s="407"/>
      <c r="AQ60" s="407"/>
      <c r="AR60" s="407"/>
      <c r="AS60" s="407"/>
      <c r="AT60" s="407"/>
      <c r="AU60" s="407"/>
      <c r="AV60" s="407"/>
      <c r="AW60" s="407"/>
      <c r="AX60" s="407"/>
      <c r="AY60" s="407"/>
      <c r="AZ60" s="407"/>
      <c r="BA60" s="407"/>
      <c r="BB60" s="407"/>
      <c r="BC60" s="407"/>
      <c r="BD60" s="407"/>
      <c r="BE60" s="407"/>
      <c r="BF60" s="407"/>
      <c r="BG60" s="407"/>
      <c r="BH60" s="407"/>
      <c r="BI60" s="407"/>
      <c r="BJ60" s="407"/>
      <c r="BK60" s="407"/>
      <c r="BL60" s="407"/>
      <c r="BM60" s="407"/>
      <c r="BN60" s="407"/>
      <c r="BO60" s="407"/>
      <c r="BP60" s="407"/>
      <c r="BQ60" s="407"/>
      <c r="BR60" s="407"/>
      <c r="BS60" s="407"/>
      <c r="BT60" s="407"/>
      <c r="BU60" s="407"/>
      <c r="BV60" s="407"/>
      <c r="BW60" s="407"/>
      <c r="BX60" s="407"/>
      <c r="BY60" s="407"/>
      <c r="BZ60" s="407"/>
      <c r="CA60" s="407"/>
      <c r="CB60" s="407"/>
      <c r="CC60" s="407"/>
      <c r="CD60" s="408"/>
    </row>
    <row r="61" spans="1:82" ht="12" customHeight="1">
      <c r="A61" s="55"/>
      <c r="B61" s="55"/>
      <c r="C61" s="3"/>
      <c r="D61" s="3"/>
      <c r="E61" s="393"/>
      <c r="F61" s="394"/>
      <c r="G61" s="394"/>
      <c r="H61" s="394"/>
      <c r="I61" s="375" t="s">
        <v>454</v>
      </c>
      <c r="J61" s="81"/>
      <c r="K61" s="81"/>
      <c r="L61" s="81"/>
      <c r="M61" s="81"/>
      <c r="N61" s="81"/>
      <c r="O61" s="81"/>
      <c r="P61" s="81"/>
      <c r="Q61" s="81"/>
      <c r="R61" s="81"/>
      <c r="S61" s="81"/>
      <c r="T61" s="81"/>
      <c r="U61" s="81"/>
      <c r="V61" s="81"/>
      <c r="W61" s="81"/>
      <c r="X61" s="81"/>
      <c r="Y61" s="81"/>
      <c r="Z61" s="81"/>
      <c r="AA61" s="81"/>
      <c r="AB61" s="81"/>
      <c r="AC61" s="81"/>
      <c r="AD61" s="81"/>
      <c r="AE61" s="81"/>
      <c r="AF61" s="80"/>
      <c r="AG61" s="676">
        <v>1</v>
      </c>
      <c r="AH61" s="677"/>
      <c r="AI61" s="677"/>
      <c r="AJ61" s="677"/>
      <c r="AK61" s="677"/>
      <c r="AL61" s="677"/>
      <c r="AM61" s="678"/>
      <c r="AN61" s="409" t="s">
        <v>1067</v>
      </c>
      <c r="AO61" s="410"/>
      <c r="AP61" s="410"/>
      <c r="AQ61" s="410"/>
      <c r="AR61" s="410"/>
      <c r="AS61" s="410"/>
      <c r="AT61" s="410"/>
      <c r="AU61" s="410"/>
      <c r="AV61" s="410"/>
      <c r="AW61" s="410"/>
      <c r="AX61" s="410"/>
      <c r="AY61" s="410"/>
      <c r="AZ61" s="410"/>
      <c r="BA61" s="410"/>
      <c r="BB61" s="410"/>
      <c r="BC61" s="410"/>
      <c r="BD61" s="410"/>
      <c r="BE61" s="410"/>
      <c r="BF61" s="410"/>
      <c r="BG61" s="410"/>
      <c r="BH61" s="410"/>
      <c r="BI61" s="410"/>
      <c r="BJ61" s="410"/>
      <c r="BK61" s="410"/>
      <c r="BL61" s="410"/>
      <c r="BM61" s="410"/>
      <c r="BN61" s="410"/>
      <c r="BO61" s="410"/>
      <c r="BP61" s="410"/>
      <c r="BQ61" s="410"/>
      <c r="BR61" s="410"/>
      <c r="BS61" s="410"/>
      <c r="BT61" s="410"/>
      <c r="BU61" s="410"/>
      <c r="BV61" s="410"/>
      <c r="BW61" s="410"/>
      <c r="BX61" s="410"/>
      <c r="BY61" s="410"/>
      <c r="BZ61" s="410"/>
      <c r="CA61" s="410"/>
      <c r="CB61" s="410"/>
      <c r="CC61" s="410"/>
      <c r="CD61" s="411"/>
    </row>
    <row r="62" spans="1:82" ht="12" customHeight="1">
      <c r="A62" s="55"/>
      <c r="B62" s="3"/>
      <c r="C62" s="3"/>
      <c r="D62" s="3"/>
      <c r="E62" s="3"/>
      <c r="F62" s="3"/>
      <c r="G62" s="3"/>
      <c r="H62" s="55"/>
      <c r="I62" s="55"/>
      <c r="J62" s="55"/>
      <c r="K62" s="55"/>
      <c r="L62" s="55"/>
      <c r="M62" s="55"/>
      <c r="N62" s="55"/>
      <c r="O62" s="55"/>
      <c r="P62" s="55"/>
      <c r="Q62" s="55"/>
      <c r="R62" s="55"/>
      <c r="S62" s="55"/>
      <c r="T62" s="55"/>
      <c r="U62" s="55"/>
      <c r="V62" s="55"/>
      <c r="W62" s="55"/>
      <c r="X62" s="55"/>
      <c r="Y62" s="55"/>
      <c r="Z62" s="55"/>
      <c r="AA62" s="55"/>
      <c r="AB62" s="55"/>
      <c r="AC62" s="55"/>
      <c r="AD62" s="55"/>
      <c r="AE62" s="322"/>
      <c r="AF62" s="322"/>
      <c r="AG62" s="322"/>
      <c r="AH62" s="322"/>
      <c r="AI62" s="322"/>
      <c r="AJ62" s="322"/>
      <c r="AK62" s="322"/>
      <c r="AL62" s="322"/>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row>
    <row r="63" spans="1:82" ht="12" customHeight="1">
      <c r="A63" s="55"/>
      <c r="B63" s="3"/>
      <c r="C63" s="3"/>
      <c r="D63" s="3"/>
      <c r="E63" s="3"/>
      <c r="F63" s="3"/>
      <c r="G63" s="3"/>
      <c r="H63" s="55"/>
      <c r="I63" s="55"/>
      <c r="J63" s="55"/>
      <c r="K63" s="55"/>
      <c r="L63" s="55"/>
      <c r="M63" s="55"/>
      <c r="N63" s="55"/>
      <c r="O63" s="55"/>
      <c r="P63" s="55"/>
      <c r="Q63" s="55"/>
      <c r="R63" s="55"/>
      <c r="S63" s="55"/>
      <c r="T63" s="55"/>
      <c r="U63" s="55"/>
      <c r="V63" s="55"/>
      <c r="W63" s="55"/>
      <c r="X63" s="55"/>
      <c r="Y63" s="55"/>
      <c r="Z63" s="55"/>
      <c r="AA63" s="55"/>
      <c r="AB63" s="55"/>
      <c r="AC63" s="55"/>
      <c r="AD63" s="55"/>
      <c r="AE63" s="322"/>
      <c r="AF63" s="322"/>
      <c r="AG63" s="322"/>
      <c r="AH63" s="322"/>
      <c r="AI63" s="322"/>
      <c r="AJ63" s="322"/>
      <c r="AK63" s="322"/>
      <c r="AL63" s="322"/>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row>
    <row r="64" spans="1:82" ht="12" customHeight="1">
      <c r="A64" s="55"/>
      <c r="B64" s="3"/>
      <c r="C64" s="3"/>
      <c r="D64" s="3"/>
      <c r="E64" s="3"/>
      <c r="F64" s="3"/>
      <c r="G64" s="3"/>
      <c r="H64" s="55"/>
      <c r="I64" s="55"/>
      <c r="J64" s="55"/>
      <c r="K64" s="55"/>
      <c r="L64" s="55"/>
      <c r="M64" s="55"/>
      <c r="N64" s="55"/>
      <c r="O64" s="55"/>
      <c r="P64" s="55"/>
      <c r="Q64" s="55"/>
      <c r="R64" s="55"/>
      <c r="S64" s="55"/>
      <c r="T64" s="55"/>
      <c r="U64" s="55"/>
      <c r="V64" s="55"/>
      <c r="W64" s="55"/>
      <c r="X64" s="55"/>
      <c r="Y64" s="55"/>
      <c r="Z64" s="55"/>
      <c r="AA64" s="55"/>
      <c r="AB64" s="55"/>
      <c r="AC64" s="55"/>
      <c r="AD64" s="55"/>
      <c r="AE64" s="322"/>
      <c r="AF64" s="322"/>
      <c r="AG64" s="322"/>
      <c r="AH64" s="322"/>
      <c r="AI64" s="322"/>
      <c r="AJ64" s="322"/>
      <c r="AK64" s="322"/>
      <c r="AL64" s="322"/>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row>
    <row r="65" spans="1:81" ht="12" customHeight="1">
      <c r="A65" s="55"/>
      <c r="B65" s="3"/>
      <c r="C65" s="3"/>
      <c r="D65" s="3"/>
      <c r="E65" s="3"/>
      <c r="F65" s="3"/>
      <c r="G65" s="3"/>
      <c r="H65" s="55"/>
      <c r="I65" s="55"/>
      <c r="J65" s="55"/>
      <c r="K65" s="55"/>
      <c r="L65" s="55"/>
      <c r="M65" s="55"/>
      <c r="N65" s="55"/>
      <c r="O65" s="55"/>
      <c r="P65" s="55"/>
      <c r="Q65" s="55"/>
      <c r="R65" s="55"/>
      <c r="S65" s="55"/>
      <c r="T65" s="55"/>
      <c r="U65" s="55"/>
      <c r="V65" s="55"/>
      <c r="W65" s="55"/>
      <c r="X65" s="55"/>
      <c r="Y65" s="55"/>
      <c r="Z65" s="55"/>
      <c r="AA65" s="55"/>
      <c r="AB65" s="55"/>
      <c r="AC65" s="55"/>
      <c r="AD65" s="55"/>
      <c r="AE65" s="322"/>
      <c r="AF65" s="322"/>
      <c r="AG65" s="322"/>
      <c r="AH65" s="322"/>
      <c r="AI65" s="322"/>
      <c r="AJ65" s="322"/>
      <c r="AK65" s="322"/>
      <c r="AL65" s="322"/>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row>
    <row r="66" spans="1:81" ht="12" customHeight="1">
      <c r="A66" s="55"/>
      <c r="B66" s="3"/>
      <c r="C66" s="3"/>
      <c r="D66" s="3"/>
      <c r="E66" s="3"/>
      <c r="F66" s="3"/>
      <c r="G66" s="3"/>
      <c r="H66" s="55"/>
      <c r="I66" s="55"/>
      <c r="J66" s="55"/>
      <c r="K66" s="55"/>
      <c r="L66" s="55"/>
      <c r="M66" s="55"/>
      <c r="N66" s="55"/>
      <c r="O66" s="55"/>
      <c r="P66" s="55"/>
      <c r="Q66" s="55"/>
      <c r="R66" s="55"/>
      <c r="S66" s="55"/>
      <c r="T66" s="55"/>
      <c r="U66" s="55"/>
      <c r="V66" s="55"/>
      <c r="W66" s="55"/>
      <c r="X66" s="55"/>
      <c r="Y66" s="55"/>
      <c r="Z66" s="55"/>
      <c r="AA66" s="55"/>
      <c r="AB66" s="55"/>
      <c r="AC66" s="55"/>
      <c r="AD66" s="55"/>
      <c r="AE66" s="322"/>
      <c r="AF66" s="322"/>
      <c r="AG66" s="322"/>
      <c r="AH66" s="322"/>
      <c r="AI66" s="322"/>
      <c r="AJ66" s="322"/>
      <c r="AK66" s="322"/>
      <c r="AL66" s="322"/>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row>
    <row r="67" spans="1:81" ht="12" customHeight="1">
      <c r="A67" s="55"/>
      <c r="B67" s="3"/>
      <c r="C67" s="3"/>
      <c r="D67" s="3"/>
      <c r="E67" s="3"/>
      <c r="F67" s="3"/>
      <c r="G67" s="3"/>
      <c r="H67" s="55"/>
      <c r="I67" s="55"/>
      <c r="J67" s="55"/>
      <c r="K67" s="55"/>
      <c r="L67" s="55"/>
      <c r="M67" s="55"/>
      <c r="N67" s="55"/>
      <c r="O67" s="55"/>
      <c r="P67" s="55"/>
      <c r="Q67" s="55"/>
      <c r="R67" s="55"/>
      <c r="S67" s="55"/>
      <c r="T67" s="55"/>
      <c r="U67" s="55"/>
      <c r="V67" s="55"/>
      <c r="W67" s="55"/>
      <c r="X67" s="55"/>
      <c r="Y67" s="55"/>
      <c r="Z67" s="55"/>
      <c r="AA67" s="55"/>
      <c r="AB67" s="55"/>
      <c r="AC67" s="55"/>
      <c r="AD67" s="55"/>
      <c r="AE67" s="322"/>
      <c r="AF67" s="322"/>
      <c r="AG67" s="322"/>
      <c r="AH67" s="322"/>
      <c r="AI67" s="322"/>
      <c r="AJ67" s="322"/>
      <c r="AK67" s="322"/>
      <c r="AL67" s="322"/>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row>
    <row r="68" spans="1:81" ht="12" customHeight="1">
      <c r="A68" s="55"/>
      <c r="B68" s="3"/>
      <c r="C68" s="3"/>
      <c r="D68" s="3"/>
      <c r="E68" s="3"/>
      <c r="F68" s="3"/>
      <c r="G68" s="3"/>
      <c r="H68" s="55"/>
      <c r="I68" s="55"/>
      <c r="J68" s="55"/>
      <c r="K68" s="55"/>
      <c r="L68" s="55"/>
      <c r="M68" s="55"/>
      <c r="N68" s="55"/>
      <c r="O68" s="55"/>
      <c r="P68" s="55"/>
      <c r="Q68" s="55"/>
      <c r="R68" s="55"/>
      <c r="S68" s="55"/>
      <c r="T68" s="55"/>
      <c r="U68" s="55"/>
      <c r="V68" s="55"/>
      <c r="W68" s="55"/>
      <c r="X68" s="55"/>
      <c r="Y68" s="55"/>
      <c r="Z68" s="55"/>
      <c r="AA68" s="55"/>
      <c r="AB68" s="55"/>
      <c r="AC68" s="55"/>
      <c r="AD68" s="55"/>
      <c r="AE68" s="322"/>
      <c r="AF68" s="322"/>
      <c r="AG68" s="322"/>
      <c r="AH68" s="322"/>
      <c r="AI68" s="322"/>
      <c r="AJ68" s="322"/>
      <c r="AK68" s="322"/>
      <c r="AL68" s="322"/>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row>
    <row r="69" spans="1:81" ht="12" customHeight="1">
      <c r="A69" s="55"/>
      <c r="B69" s="3"/>
      <c r="C69" s="3"/>
      <c r="D69" s="3"/>
      <c r="E69" s="3"/>
      <c r="F69" s="3"/>
      <c r="G69" s="3"/>
      <c r="H69" s="55"/>
      <c r="I69" s="55"/>
      <c r="J69" s="55"/>
      <c r="K69" s="55"/>
      <c r="L69" s="55"/>
      <c r="M69" s="55"/>
      <c r="N69" s="55"/>
      <c r="O69" s="55"/>
      <c r="P69" s="55"/>
      <c r="Q69" s="55"/>
      <c r="R69" s="55"/>
      <c r="S69" s="55"/>
      <c r="T69" s="55"/>
      <c r="U69" s="55"/>
      <c r="V69" s="55"/>
      <c r="W69" s="55"/>
      <c r="X69" s="55"/>
      <c r="Y69" s="55"/>
      <c r="Z69" s="55"/>
      <c r="AA69" s="55"/>
      <c r="AB69" s="55"/>
      <c r="AC69" s="55"/>
      <c r="AD69" s="55"/>
      <c r="AE69" s="322"/>
      <c r="AF69" s="322"/>
      <c r="AG69" s="322"/>
      <c r="AH69" s="322"/>
      <c r="AI69" s="322"/>
      <c r="AJ69" s="322"/>
      <c r="AK69" s="322"/>
      <c r="AL69" s="322"/>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row>
    <row r="70" spans="1:81" ht="12" customHeight="1">
      <c r="A70" s="55"/>
      <c r="B70" s="3"/>
      <c r="C70" s="3"/>
      <c r="D70" s="3"/>
      <c r="E70" s="3"/>
      <c r="F70" s="3"/>
      <c r="G70" s="3"/>
      <c r="H70" s="55"/>
      <c r="I70" s="55"/>
      <c r="J70" s="55"/>
      <c r="K70" s="55"/>
      <c r="L70" s="55"/>
      <c r="M70" s="55"/>
      <c r="N70" s="55"/>
      <c r="O70" s="55"/>
      <c r="P70" s="55"/>
      <c r="Q70" s="55"/>
      <c r="R70" s="55"/>
      <c r="S70" s="55"/>
      <c r="T70" s="55"/>
      <c r="U70" s="55"/>
      <c r="V70" s="55"/>
      <c r="W70" s="55"/>
      <c r="X70" s="55"/>
      <c r="Y70" s="55"/>
      <c r="Z70" s="55"/>
      <c r="AA70" s="55"/>
      <c r="AB70" s="55"/>
      <c r="AC70" s="55"/>
      <c r="AD70" s="55"/>
      <c r="AE70" s="322"/>
      <c r="AF70" s="322"/>
      <c r="AG70" s="322"/>
      <c r="AH70" s="322"/>
      <c r="AI70" s="322"/>
      <c r="AJ70" s="322"/>
      <c r="AK70" s="322"/>
      <c r="AL70" s="322"/>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row>
    <row r="71" spans="1:81" ht="12" customHeight="1">
      <c r="A71" s="55"/>
      <c r="B71" s="3"/>
      <c r="C71" s="3"/>
      <c r="D71" s="3"/>
      <c r="E71" s="3"/>
      <c r="F71" s="3"/>
      <c r="G71" s="3"/>
      <c r="H71" s="55"/>
      <c r="I71" s="55"/>
      <c r="J71" s="55"/>
      <c r="K71" s="55"/>
      <c r="L71" s="55"/>
      <c r="M71" s="55"/>
      <c r="N71" s="55"/>
      <c r="O71" s="55"/>
      <c r="P71" s="55"/>
      <c r="Q71" s="55"/>
      <c r="R71" s="55"/>
      <c r="S71" s="55"/>
      <c r="T71" s="55"/>
      <c r="U71" s="55"/>
      <c r="V71" s="55"/>
      <c r="W71" s="55"/>
      <c r="X71" s="55"/>
      <c r="Y71" s="55"/>
      <c r="Z71" s="55"/>
      <c r="AA71" s="55"/>
      <c r="AB71" s="55"/>
      <c r="AC71" s="55"/>
      <c r="AD71" s="55"/>
      <c r="AE71" s="322"/>
      <c r="AF71" s="322"/>
      <c r="AG71" s="322"/>
      <c r="AH71" s="322"/>
      <c r="AI71" s="322"/>
      <c r="AJ71" s="322"/>
      <c r="AK71" s="322"/>
      <c r="AL71" s="322"/>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row>
    <row r="72" spans="1:81" ht="12" customHeight="1">
      <c r="A72" s="55"/>
      <c r="B72" s="3"/>
      <c r="C72" s="3"/>
      <c r="D72" s="3"/>
      <c r="E72" s="3"/>
      <c r="F72" s="3"/>
      <c r="G72" s="3"/>
      <c r="H72" s="55"/>
      <c r="I72" s="55"/>
      <c r="J72" s="55"/>
      <c r="K72" s="55"/>
      <c r="L72" s="55"/>
      <c r="M72" s="55"/>
      <c r="N72" s="55"/>
      <c r="O72" s="55"/>
      <c r="P72" s="55"/>
      <c r="Q72" s="55"/>
      <c r="R72" s="55"/>
      <c r="S72" s="55"/>
      <c r="T72" s="55"/>
      <c r="U72" s="55"/>
      <c r="V72" s="55"/>
      <c r="W72" s="55"/>
      <c r="X72" s="55"/>
      <c r="Y72" s="55"/>
      <c r="Z72" s="55"/>
      <c r="AA72" s="55"/>
      <c r="AB72" s="55"/>
      <c r="AC72" s="55"/>
      <c r="AD72" s="55"/>
      <c r="AE72" s="322"/>
      <c r="AF72" s="322"/>
      <c r="AG72" s="322"/>
      <c r="AH72" s="322"/>
      <c r="AI72" s="322"/>
      <c r="AJ72" s="322"/>
      <c r="AK72" s="322"/>
      <c r="AL72" s="322"/>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row>
    <row r="73" spans="1:81" ht="12" customHeight="1">
      <c r="A73" s="55"/>
      <c r="B73" s="3"/>
      <c r="C73" s="3"/>
      <c r="D73" s="3"/>
      <c r="E73" s="3"/>
      <c r="F73" s="3"/>
      <c r="G73" s="3"/>
      <c r="H73" s="55"/>
      <c r="I73" s="55"/>
      <c r="J73" s="55"/>
      <c r="K73" s="55"/>
      <c r="L73" s="55"/>
      <c r="M73" s="55"/>
      <c r="N73" s="55"/>
      <c r="O73" s="55"/>
      <c r="P73" s="55"/>
      <c r="Q73" s="55"/>
      <c r="R73" s="55"/>
      <c r="S73" s="55"/>
      <c r="T73" s="55"/>
      <c r="U73" s="55"/>
      <c r="V73" s="55"/>
      <c r="W73" s="55"/>
      <c r="X73" s="55"/>
      <c r="Y73" s="55"/>
      <c r="Z73" s="55"/>
      <c r="AA73" s="55"/>
      <c r="AB73" s="55"/>
      <c r="AC73" s="55"/>
      <c r="AD73" s="55"/>
      <c r="AE73" s="322"/>
      <c r="AF73" s="322"/>
      <c r="AG73" s="322"/>
      <c r="AH73" s="322"/>
      <c r="AI73" s="322"/>
      <c r="AJ73" s="322"/>
      <c r="AK73" s="322"/>
      <c r="AL73" s="322"/>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row>
    <row r="74" spans="1:81" ht="12" customHeight="1">
      <c r="A74" s="55"/>
      <c r="B74" s="3"/>
      <c r="C74" s="3"/>
      <c r="D74" s="3"/>
      <c r="E74" s="3"/>
      <c r="F74" s="3"/>
      <c r="G74" s="3"/>
      <c r="H74" s="55"/>
      <c r="I74" s="55"/>
      <c r="J74" s="55"/>
      <c r="K74" s="55"/>
      <c r="L74" s="55"/>
      <c r="M74" s="55"/>
      <c r="N74" s="55"/>
      <c r="O74" s="55"/>
      <c r="P74" s="55"/>
      <c r="Q74" s="55"/>
      <c r="R74" s="55"/>
      <c r="S74" s="55"/>
      <c r="T74" s="55"/>
      <c r="U74" s="55"/>
      <c r="V74" s="55"/>
      <c r="W74" s="55"/>
      <c r="X74" s="55"/>
      <c r="Y74" s="55"/>
      <c r="Z74" s="55"/>
      <c r="AA74" s="55"/>
      <c r="AB74" s="55"/>
      <c r="AC74" s="55"/>
      <c r="AD74" s="55"/>
      <c r="AE74" s="322"/>
      <c r="AF74" s="322"/>
      <c r="AG74" s="322"/>
      <c r="AH74" s="322"/>
      <c r="AI74" s="322"/>
      <c r="AJ74" s="322"/>
      <c r="AK74" s="322"/>
      <c r="AL74" s="322"/>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row>
    <row r="75" spans="1:81" ht="12" customHeight="1">
      <c r="A75" s="55"/>
      <c r="B75" s="3"/>
      <c r="C75" s="3"/>
      <c r="D75" s="3"/>
      <c r="E75" s="3"/>
      <c r="F75" s="3"/>
      <c r="G75" s="3"/>
      <c r="H75" s="55"/>
      <c r="I75" s="55"/>
      <c r="J75" s="55"/>
      <c r="K75" s="55"/>
      <c r="L75" s="55"/>
      <c r="M75" s="55"/>
      <c r="N75" s="55"/>
      <c r="O75" s="55"/>
      <c r="P75" s="55"/>
      <c r="Q75" s="55"/>
      <c r="R75" s="55"/>
      <c r="S75" s="55"/>
      <c r="T75" s="55"/>
      <c r="U75" s="55"/>
      <c r="V75" s="55"/>
      <c r="W75" s="55"/>
      <c r="X75" s="55"/>
      <c r="Y75" s="55"/>
      <c r="Z75" s="55"/>
      <c r="AA75" s="55"/>
      <c r="AB75" s="55"/>
      <c r="AC75" s="55"/>
      <c r="AD75" s="55"/>
      <c r="AE75" s="322"/>
      <c r="AF75" s="322"/>
      <c r="AG75" s="322"/>
      <c r="AH75" s="322"/>
      <c r="AI75" s="322"/>
      <c r="AJ75" s="322"/>
      <c r="AK75" s="322"/>
      <c r="AL75" s="322"/>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row>
    <row r="76" spans="1:81" ht="12" customHeight="1">
      <c r="A76" s="55"/>
      <c r="B76" s="3"/>
      <c r="C76" s="3"/>
      <c r="D76" s="3"/>
      <c r="E76" s="3"/>
      <c r="F76" s="3"/>
      <c r="G76" s="3"/>
      <c r="H76" s="55"/>
      <c r="I76" s="55"/>
      <c r="J76" s="55"/>
      <c r="K76" s="55"/>
      <c r="L76" s="55"/>
      <c r="M76" s="55"/>
      <c r="N76" s="55"/>
      <c r="O76" s="55"/>
      <c r="P76" s="55"/>
      <c r="Q76" s="55"/>
      <c r="R76" s="55"/>
      <c r="S76" s="55"/>
      <c r="T76" s="55"/>
      <c r="U76" s="55"/>
      <c r="V76" s="55"/>
      <c r="W76" s="55"/>
      <c r="X76" s="55"/>
      <c r="Y76" s="55"/>
      <c r="Z76" s="55"/>
      <c r="AA76" s="55"/>
      <c r="AB76" s="55"/>
      <c r="AC76" s="55"/>
      <c r="AD76" s="55"/>
      <c r="AE76" s="322"/>
      <c r="AF76" s="322"/>
      <c r="AG76" s="322"/>
      <c r="AH76" s="322"/>
      <c r="AI76" s="322"/>
      <c r="AJ76" s="322"/>
      <c r="AK76" s="322"/>
      <c r="AL76" s="322"/>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row>
    <row r="77" spans="1:81" ht="12" customHeight="1">
      <c r="A77" s="55"/>
      <c r="B77" s="3"/>
      <c r="C77" s="3"/>
      <c r="D77" s="3"/>
      <c r="E77" s="3"/>
      <c r="F77" s="3"/>
      <c r="G77" s="3"/>
      <c r="H77" s="55"/>
      <c r="I77" s="55"/>
      <c r="J77" s="55"/>
      <c r="K77" s="55"/>
      <c r="L77" s="55"/>
      <c r="M77" s="55"/>
      <c r="N77" s="55"/>
      <c r="O77" s="55"/>
      <c r="P77" s="55"/>
      <c r="Q77" s="55"/>
      <c r="R77" s="55"/>
      <c r="S77" s="55"/>
      <c r="T77" s="55"/>
      <c r="U77" s="55"/>
      <c r="V77" s="55"/>
      <c r="W77" s="55"/>
      <c r="X77" s="55"/>
      <c r="Y77" s="55"/>
      <c r="Z77" s="55"/>
      <c r="AA77" s="55"/>
      <c r="AB77" s="55"/>
      <c r="AC77" s="55"/>
      <c r="AD77" s="55"/>
      <c r="AE77" s="322"/>
      <c r="AF77" s="322"/>
      <c r="AG77" s="322"/>
      <c r="AH77" s="322"/>
      <c r="AI77" s="322"/>
      <c r="AJ77" s="322"/>
      <c r="AK77" s="322"/>
      <c r="AL77" s="322"/>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row>
    <row r="78" spans="1:81" ht="12" customHeight="1">
      <c r="A78" s="55"/>
      <c r="B78" s="3"/>
      <c r="C78" s="3"/>
      <c r="D78" s="3"/>
      <c r="E78" s="3"/>
      <c r="F78" s="3"/>
      <c r="G78" s="3"/>
      <c r="H78" s="55"/>
      <c r="I78" s="55"/>
      <c r="J78" s="55"/>
      <c r="K78" s="55"/>
      <c r="L78" s="55"/>
      <c r="M78" s="55"/>
      <c r="N78" s="55"/>
      <c r="O78" s="55"/>
      <c r="P78" s="55"/>
      <c r="Q78" s="55"/>
      <c r="R78" s="55"/>
      <c r="S78" s="55"/>
      <c r="T78" s="55"/>
      <c r="U78" s="55"/>
      <c r="V78" s="55"/>
      <c r="W78" s="55"/>
      <c r="X78" s="55"/>
      <c r="Y78" s="55"/>
      <c r="Z78" s="55"/>
      <c r="AA78" s="55"/>
      <c r="AB78" s="55"/>
      <c r="AC78" s="55"/>
      <c r="AD78" s="55"/>
      <c r="AE78" s="322"/>
      <c r="AF78" s="322"/>
      <c r="AG78" s="322"/>
      <c r="AH78" s="322"/>
      <c r="AI78" s="322"/>
      <c r="AJ78" s="322"/>
      <c r="AK78" s="322"/>
      <c r="AL78" s="322"/>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row>
    <row r="79" spans="1:81" ht="12" customHeight="1">
      <c r="A79" s="55"/>
      <c r="B79" s="3"/>
      <c r="C79" s="3"/>
      <c r="D79" s="3"/>
      <c r="E79" s="3"/>
      <c r="F79" s="3"/>
      <c r="G79" s="3"/>
      <c r="H79" s="55"/>
      <c r="I79" s="55"/>
      <c r="J79" s="55"/>
      <c r="K79" s="55"/>
      <c r="L79" s="55"/>
      <c r="M79" s="55"/>
      <c r="N79" s="55"/>
      <c r="O79" s="55"/>
      <c r="P79" s="55"/>
      <c r="Q79" s="55"/>
      <c r="R79" s="55"/>
      <c r="S79" s="55"/>
      <c r="T79" s="55"/>
      <c r="U79" s="55"/>
      <c r="V79" s="55"/>
      <c r="W79" s="55"/>
      <c r="X79" s="55"/>
      <c r="Y79" s="55"/>
      <c r="Z79" s="55"/>
      <c r="AA79" s="55"/>
      <c r="AB79" s="55"/>
      <c r="AC79" s="55"/>
      <c r="AD79" s="55"/>
      <c r="AE79" s="322"/>
      <c r="AF79" s="322"/>
      <c r="AG79" s="322"/>
      <c r="AH79" s="322"/>
      <c r="AI79" s="322"/>
      <c r="AJ79" s="322"/>
      <c r="AK79" s="322"/>
      <c r="AL79" s="322"/>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row>
    <row r="80" spans="1:81" ht="12" customHeight="1">
      <c r="A80" s="55"/>
      <c r="B80" s="3"/>
      <c r="C80" s="3"/>
      <c r="D80" s="3"/>
      <c r="E80" s="3"/>
      <c r="F80" s="3"/>
      <c r="G80" s="3"/>
      <c r="H80" s="55"/>
      <c r="I80" s="55"/>
      <c r="J80" s="55"/>
      <c r="K80" s="55"/>
      <c r="L80" s="55"/>
      <c r="M80" s="55"/>
      <c r="N80" s="55"/>
      <c r="O80" s="55"/>
      <c r="P80" s="55"/>
      <c r="Q80" s="55"/>
      <c r="R80" s="55"/>
      <c r="S80" s="55"/>
      <c r="T80" s="55"/>
      <c r="U80" s="55"/>
      <c r="V80" s="55"/>
      <c r="W80" s="55"/>
      <c r="X80" s="55"/>
      <c r="Y80" s="55"/>
      <c r="Z80" s="55"/>
      <c r="AA80" s="55"/>
      <c r="AB80" s="55"/>
      <c r="AC80" s="55"/>
      <c r="AD80" s="55"/>
      <c r="AE80" s="322"/>
      <c r="AF80" s="322"/>
      <c r="AG80" s="322"/>
      <c r="AH80" s="322"/>
      <c r="AI80" s="322"/>
      <c r="AJ80" s="322"/>
      <c r="AK80" s="322"/>
      <c r="AL80" s="322"/>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row>
    <row r="81" spans="1:101" ht="12" customHeight="1">
      <c r="A81" s="55"/>
      <c r="B81" s="3"/>
      <c r="C81" s="3"/>
      <c r="D81" s="3"/>
      <c r="E81" s="3"/>
      <c r="F81" s="3"/>
      <c r="G81" s="3"/>
      <c r="H81" s="55"/>
      <c r="I81" s="55"/>
      <c r="J81" s="55"/>
      <c r="K81" s="55"/>
      <c r="L81" s="55"/>
      <c r="M81" s="55"/>
      <c r="N81" s="55"/>
      <c r="O81" s="55"/>
      <c r="P81" s="55"/>
      <c r="Q81" s="55"/>
      <c r="R81" s="55"/>
      <c r="S81" s="55"/>
      <c r="T81" s="55"/>
      <c r="U81" s="55"/>
      <c r="V81" s="55"/>
      <c r="W81" s="55"/>
      <c r="X81" s="55"/>
      <c r="Y81" s="55"/>
      <c r="Z81" s="55"/>
      <c r="AA81" s="55"/>
      <c r="AB81" s="55"/>
      <c r="AC81" s="55"/>
      <c r="AD81" s="55"/>
      <c r="AE81" s="322"/>
      <c r="AF81" s="322"/>
      <c r="AG81" s="322"/>
      <c r="AH81" s="322"/>
      <c r="AI81" s="322"/>
      <c r="AJ81" s="322"/>
      <c r="AK81" s="322"/>
      <c r="AL81" s="322"/>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row>
    <row r="82" spans="1:101" ht="12" customHeight="1">
      <c r="A82" s="55"/>
      <c r="B82" s="3"/>
      <c r="C82" s="3"/>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3"/>
      <c r="CD82" s="3"/>
      <c r="CF82" s="2"/>
      <c r="CG82" s="2"/>
      <c r="CH82" s="2"/>
      <c r="CI82" s="2"/>
      <c r="CJ82" s="2"/>
      <c r="CK82" s="2"/>
      <c r="CL82" s="2"/>
      <c r="CM82" s="2"/>
      <c r="CN82" s="2"/>
      <c r="CO82" s="2"/>
      <c r="CP82" s="2"/>
      <c r="CQ82" s="2"/>
      <c r="CR82" s="2"/>
      <c r="CS82" s="2"/>
      <c r="CT82" s="2"/>
      <c r="CU82" s="2"/>
      <c r="CV82" s="2"/>
      <c r="CW82" s="2"/>
    </row>
    <row r="83" spans="1:101" ht="12" customHeight="1">
      <c r="A83" s="55"/>
      <c r="B83" s="3"/>
      <c r="C83" s="3"/>
      <c r="D83" s="55"/>
      <c r="E83" s="22" t="s">
        <v>840</v>
      </c>
      <c r="F83" s="55"/>
      <c r="G83" s="55"/>
      <c r="H83" s="55"/>
      <c r="I83" s="55"/>
      <c r="J83" s="55"/>
      <c r="K83" s="55"/>
      <c r="L83" s="55"/>
      <c r="M83" s="55"/>
      <c r="N83" s="55"/>
      <c r="O83" s="55"/>
      <c r="P83" s="55"/>
      <c r="Q83" s="55"/>
      <c r="R83" s="55"/>
      <c r="S83" s="55"/>
      <c r="T83" s="55"/>
      <c r="U83" s="55"/>
      <c r="V83" s="55"/>
      <c r="W83" s="55"/>
      <c r="X83" s="55"/>
      <c r="Y83" s="55"/>
      <c r="Z83" s="55"/>
      <c r="AA83" s="313"/>
      <c r="AB83" s="313"/>
      <c r="AC83" s="313"/>
      <c r="AD83" s="313"/>
      <c r="AE83" s="313"/>
      <c r="AF83" s="313"/>
      <c r="AG83" s="313"/>
      <c r="AH83" s="313"/>
      <c r="AI83" s="313"/>
      <c r="AJ83" s="313"/>
      <c r="AK83" s="313"/>
      <c r="AL83" s="313"/>
      <c r="AM83" s="313"/>
      <c r="AN83" s="313"/>
      <c r="AO83" s="313"/>
      <c r="AP83" s="313"/>
      <c r="AQ83" s="313"/>
      <c r="AR83" s="313"/>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3"/>
      <c r="CD83" s="3"/>
      <c r="CF83" s="2"/>
      <c r="CG83" s="2"/>
      <c r="CH83" s="2"/>
      <c r="CI83" s="2"/>
      <c r="CJ83" s="2"/>
      <c r="CK83" s="2"/>
      <c r="CL83" s="2"/>
      <c r="CM83" s="2"/>
      <c r="CN83" s="2"/>
      <c r="CO83" s="2"/>
      <c r="CP83" s="2"/>
      <c r="CQ83" s="2"/>
      <c r="CR83" s="2"/>
      <c r="CS83" s="2"/>
      <c r="CT83" s="2"/>
      <c r="CU83" s="2"/>
      <c r="CV83" s="2"/>
      <c r="CW83" s="2"/>
    </row>
    <row r="84" spans="1:101" ht="12" customHeight="1">
      <c r="A84" s="405"/>
      <c r="B84" s="2"/>
      <c r="C84" s="22"/>
      <c r="D84" s="22"/>
      <c r="E84" s="208" t="s">
        <v>921</v>
      </c>
      <c r="F84" s="209"/>
      <c r="G84" s="209"/>
      <c r="H84" s="209"/>
      <c r="I84" s="323" t="s">
        <v>443</v>
      </c>
      <c r="J84" s="324"/>
      <c r="K84" s="324"/>
      <c r="L84" s="324"/>
      <c r="M84" s="324"/>
      <c r="N84" s="324"/>
      <c r="O84" s="324"/>
      <c r="P84" s="324"/>
      <c r="Q84" s="324"/>
      <c r="R84" s="324"/>
      <c r="S84" s="324"/>
      <c r="T84" s="324"/>
      <c r="U84" s="324"/>
      <c r="V84" s="324"/>
      <c r="W84" s="324"/>
      <c r="X84" s="324"/>
      <c r="Y84" s="324"/>
      <c r="Z84" s="324"/>
      <c r="AA84" s="324"/>
      <c r="AB84" s="324"/>
      <c r="AC84" s="324"/>
      <c r="AD84" s="324"/>
      <c r="AE84" s="324"/>
      <c r="AF84" s="325"/>
      <c r="AG84" s="323" t="s">
        <v>841</v>
      </c>
      <c r="AH84" s="324"/>
      <c r="AI84" s="324"/>
      <c r="AJ84" s="324"/>
      <c r="AK84" s="324"/>
      <c r="AL84" s="324"/>
      <c r="AM84" s="325"/>
      <c r="AN84" s="171" t="s">
        <v>842</v>
      </c>
      <c r="AO84" s="172"/>
      <c r="AP84" s="172"/>
      <c r="AQ84" s="172"/>
      <c r="AR84" s="172"/>
      <c r="AS84" s="172"/>
      <c r="AT84" s="172"/>
      <c r="AU84" s="172"/>
      <c r="AV84" s="172"/>
      <c r="AW84" s="172"/>
      <c r="AX84" s="172"/>
      <c r="AY84" s="172"/>
      <c r="AZ84" s="172"/>
      <c r="BA84" s="172"/>
      <c r="BB84" s="172"/>
      <c r="BC84" s="172"/>
      <c r="BD84" s="172"/>
      <c r="BE84" s="172"/>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3"/>
    </row>
    <row r="85" spans="1:101" ht="12" customHeight="1">
      <c r="A85" s="405"/>
      <c r="B85" s="2"/>
      <c r="C85" s="22"/>
      <c r="D85" s="22"/>
      <c r="E85" s="396" t="s">
        <v>843</v>
      </c>
      <c r="F85" s="397"/>
      <c r="G85" s="397"/>
      <c r="H85" s="397"/>
      <c r="I85" s="396" t="s">
        <v>927</v>
      </c>
      <c r="J85" s="397"/>
      <c r="K85" s="397"/>
      <c r="L85" s="397"/>
      <c r="M85" s="397"/>
      <c r="N85" s="397"/>
      <c r="O85" s="358"/>
      <c r="P85" s="397" t="s">
        <v>923</v>
      </c>
      <c r="Q85" s="397"/>
      <c r="R85" s="397"/>
      <c r="S85" s="397"/>
      <c r="T85" s="397"/>
      <c r="U85" s="397"/>
      <c r="V85" s="397"/>
      <c r="W85" s="397"/>
      <c r="X85" s="397"/>
      <c r="Y85" s="397"/>
      <c r="Z85" s="397"/>
      <c r="AA85" s="397"/>
      <c r="AB85" s="397"/>
      <c r="AC85" s="397"/>
      <c r="AD85" s="397"/>
      <c r="AE85" s="397"/>
      <c r="AF85" s="398"/>
      <c r="AG85" s="679">
        <v>4</v>
      </c>
      <c r="AH85" s="680"/>
      <c r="AI85" s="680"/>
      <c r="AJ85" s="680"/>
      <c r="AK85" s="680"/>
      <c r="AL85" s="680"/>
      <c r="AM85" s="681"/>
      <c r="AN85" s="162" t="s">
        <v>844</v>
      </c>
      <c r="AO85" s="388"/>
      <c r="AP85" s="388"/>
      <c r="AQ85" s="388"/>
      <c r="AR85" s="388"/>
      <c r="AS85" s="388"/>
      <c r="AT85" s="388"/>
      <c r="AU85" s="388"/>
      <c r="AV85" s="388"/>
      <c r="AW85" s="388"/>
      <c r="AX85" s="388"/>
      <c r="AY85" s="388"/>
      <c r="AZ85" s="388"/>
      <c r="BA85" s="388"/>
      <c r="BB85" s="388"/>
      <c r="BC85" s="388"/>
      <c r="BD85" s="388"/>
      <c r="BE85" s="388"/>
      <c r="BF85" s="388"/>
      <c r="BG85" s="388"/>
      <c r="BH85" s="388"/>
      <c r="BI85" s="388"/>
      <c r="BJ85" s="388"/>
      <c r="BK85" s="388"/>
      <c r="BL85" s="388"/>
      <c r="BM85" s="388"/>
      <c r="BN85" s="388"/>
      <c r="BO85" s="388"/>
      <c r="BP85" s="388"/>
      <c r="BQ85" s="388"/>
      <c r="BR85" s="388"/>
      <c r="BS85" s="388"/>
      <c r="BT85" s="388"/>
      <c r="BU85" s="388"/>
      <c r="BV85" s="388"/>
      <c r="BW85" s="388"/>
      <c r="BX85" s="388"/>
      <c r="BY85" s="388"/>
      <c r="BZ85" s="388"/>
      <c r="CA85" s="388"/>
      <c r="CB85" s="388"/>
      <c r="CC85" s="388"/>
      <c r="CD85" s="389"/>
    </row>
    <row r="86" spans="1:101" ht="12" customHeight="1">
      <c r="A86" s="405"/>
      <c r="B86" s="2"/>
      <c r="C86" s="22"/>
      <c r="D86" s="22"/>
      <c r="E86" s="45"/>
      <c r="F86" s="22"/>
      <c r="G86" s="22"/>
      <c r="H86" s="22"/>
      <c r="I86" s="45"/>
      <c r="J86" s="22"/>
      <c r="K86" s="22"/>
      <c r="L86" s="22"/>
      <c r="M86" s="22"/>
      <c r="N86" s="22"/>
      <c r="O86" s="359"/>
      <c r="P86" s="22"/>
      <c r="Q86" s="22"/>
      <c r="R86" s="22"/>
      <c r="S86" s="22"/>
      <c r="T86" s="22"/>
      <c r="U86" s="22"/>
      <c r="V86" s="22"/>
      <c r="W86" s="22"/>
      <c r="X86" s="22"/>
      <c r="Y86" s="22"/>
      <c r="Z86" s="22"/>
      <c r="AA86" s="22"/>
      <c r="AB86" s="22"/>
      <c r="AC86" s="22"/>
      <c r="AD86" s="22"/>
      <c r="AE86" s="22"/>
      <c r="AF86" s="44"/>
      <c r="AG86" s="326"/>
      <c r="AH86" s="327"/>
      <c r="AI86" s="327"/>
      <c r="AJ86" s="327"/>
      <c r="AK86" s="327"/>
      <c r="AL86" s="327"/>
      <c r="AM86" s="328"/>
      <c r="AN86" s="390" t="s">
        <v>845</v>
      </c>
      <c r="AO86" s="391"/>
      <c r="AP86" s="391"/>
      <c r="AQ86" s="391"/>
      <c r="AR86" s="391"/>
      <c r="AS86" s="391"/>
      <c r="AT86" s="391"/>
      <c r="AU86" s="391"/>
      <c r="AV86" s="391"/>
      <c r="AW86" s="391"/>
      <c r="AX86" s="391"/>
      <c r="AY86" s="391"/>
      <c r="AZ86" s="391"/>
      <c r="BA86" s="391"/>
      <c r="BB86" s="391"/>
      <c r="BC86" s="391"/>
      <c r="BD86" s="391"/>
      <c r="BE86" s="391"/>
      <c r="BF86" s="391"/>
      <c r="BG86" s="391"/>
      <c r="BH86" s="391"/>
      <c r="BI86" s="391"/>
      <c r="BJ86" s="391"/>
      <c r="BK86" s="391"/>
      <c r="BL86" s="391"/>
      <c r="BM86" s="391"/>
      <c r="BN86" s="391"/>
      <c r="BO86" s="391"/>
      <c r="BP86" s="391"/>
      <c r="BQ86" s="391"/>
      <c r="BR86" s="391"/>
      <c r="BS86" s="391"/>
      <c r="BT86" s="391"/>
      <c r="BU86" s="391"/>
      <c r="BV86" s="391"/>
      <c r="BW86" s="391"/>
      <c r="BX86" s="391"/>
      <c r="BY86" s="391"/>
      <c r="BZ86" s="391"/>
      <c r="CA86" s="391"/>
      <c r="CB86" s="391"/>
      <c r="CC86" s="391"/>
      <c r="CD86" s="392"/>
    </row>
    <row r="87" spans="1:101" ht="12" customHeight="1">
      <c r="A87" s="405"/>
      <c r="B87" s="2"/>
      <c r="C87" s="22"/>
      <c r="D87" s="22"/>
      <c r="E87" s="45"/>
      <c r="F87" s="22"/>
      <c r="G87" s="22"/>
      <c r="H87" s="22"/>
      <c r="I87" s="45"/>
      <c r="J87" s="22"/>
      <c r="K87" s="22"/>
      <c r="L87" s="22"/>
      <c r="M87" s="22"/>
      <c r="N87" s="22"/>
      <c r="O87" s="359"/>
      <c r="P87" s="22"/>
      <c r="Q87" s="22"/>
      <c r="R87" s="22"/>
      <c r="S87" s="22"/>
      <c r="T87" s="22"/>
      <c r="U87" s="22"/>
      <c r="V87" s="22"/>
      <c r="W87" s="22"/>
      <c r="X87" s="22"/>
      <c r="Y87" s="22"/>
      <c r="Z87" s="22"/>
      <c r="AA87" s="22"/>
      <c r="AB87" s="22"/>
      <c r="AC87" s="22"/>
      <c r="AD87" s="22"/>
      <c r="AE87" s="22"/>
      <c r="AF87" s="44"/>
      <c r="AG87" s="326"/>
      <c r="AH87" s="327"/>
      <c r="AI87" s="327"/>
      <c r="AJ87" s="327"/>
      <c r="AK87" s="327"/>
      <c r="AL87" s="327"/>
      <c r="AM87" s="328"/>
      <c r="AN87" s="390" t="s">
        <v>846</v>
      </c>
      <c r="AO87" s="391"/>
      <c r="AP87" s="391"/>
      <c r="AQ87" s="391"/>
      <c r="AR87" s="391"/>
      <c r="AS87" s="391"/>
      <c r="AT87" s="391"/>
      <c r="AU87" s="391"/>
      <c r="AV87" s="391"/>
      <c r="AW87" s="391"/>
      <c r="AX87" s="391"/>
      <c r="AY87" s="391"/>
      <c r="AZ87" s="391"/>
      <c r="BA87" s="391"/>
      <c r="BB87" s="391"/>
      <c r="BC87" s="391"/>
      <c r="BD87" s="391"/>
      <c r="BE87" s="391"/>
      <c r="BF87" s="391"/>
      <c r="BG87" s="391"/>
      <c r="BH87" s="391"/>
      <c r="BI87" s="391"/>
      <c r="BJ87" s="391"/>
      <c r="BK87" s="391"/>
      <c r="BL87" s="391"/>
      <c r="BM87" s="391"/>
      <c r="BN87" s="391"/>
      <c r="BO87" s="391"/>
      <c r="BP87" s="391"/>
      <c r="BQ87" s="391"/>
      <c r="BR87" s="391"/>
      <c r="BS87" s="391"/>
      <c r="BT87" s="391"/>
      <c r="BU87" s="391"/>
      <c r="BV87" s="391"/>
      <c r="BW87" s="391"/>
      <c r="BX87" s="391"/>
      <c r="BY87" s="391"/>
      <c r="BZ87" s="391"/>
      <c r="CA87" s="391"/>
      <c r="CB87" s="391"/>
      <c r="CC87" s="391"/>
      <c r="CD87" s="392"/>
    </row>
    <row r="88" spans="1:101" ht="12" customHeight="1">
      <c r="A88" s="405"/>
      <c r="B88" s="2"/>
      <c r="C88" s="22"/>
      <c r="D88" s="22"/>
      <c r="E88" s="45"/>
      <c r="F88" s="22"/>
      <c r="G88" s="22"/>
      <c r="H88" s="22"/>
      <c r="I88" s="45"/>
      <c r="J88" s="22"/>
      <c r="K88" s="22"/>
      <c r="L88" s="22"/>
      <c r="M88" s="22"/>
      <c r="N88" s="22"/>
      <c r="O88" s="359"/>
      <c r="P88" s="22"/>
      <c r="Q88" s="22"/>
      <c r="R88" s="22"/>
      <c r="S88" s="22"/>
      <c r="T88" s="22"/>
      <c r="U88" s="22"/>
      <c r="V88" s="22"/>
      <c r="W88" s="22"/>
      <c r="X88" s="22"/>
      <c r="Y88" s="22"/>
      <c r="Z88" s="22"/>
      <c r="AA88" s="22"/>
      <c r="AB88" s="22"/>
      <c r="AC88" s="22"/>
      <c r="AD88" s="22"/>
      <c r="AE88" s="22"/>
      <c r="AF88" s="44"/>
      <c r="AG88" s="330"/>
      <c r="AH88" s="331"/>
      <c r="AI88" s="331"/>
      <c r="AJ88" s="331"/>
      <c r="AK88" s="331"/>
      <c r="AL88" s="331"/>
      <c r="AM88" s="332"/>
      <c r="AN88" s="255"/>
      <c r="AO88" s="256"/>
      <c r="AP88" s="256"/>
      <c r="AQ88" s="256"/>
      <c r="AR88" s="256"/>
      <c r="AS88" s="256"/>
      <c r="AT88" s="256"/>
      <c r="AU88" s="256"/>
      <c r="AV88" s="256"/>
      <c r="AW88" s="256"/>
      <c r="AX88" s="256"/>
      <c r="AY88" s="256"/>
      <c r="AZ88" s="256"/>
      <c r="BA88" s="256"/>
      <c r="BB88" s="256"/>
      <c r="BC88" s="256"/>
      <c r="BD88" s="256"/>
      <c r="BE88" s="256"/>
      <c r="BF88" s="256"/>
      <c r="BG88" s="256"/>
      <c r="BH88" s="256"/>
      <c r="BI88" s="256"/>
      <c r="BJ88" s="256"/>
      <c r="BK88" s="256"/>
      <c r="BL88" s="256"/>
      <c r="BM88" s="256"/>
      <c r="BN88" s="256"/>
      <c r="BO88" s="256"/>
      <c r="BP88" s="256"/>
      <c r="BQ88" s="256"/>
      <c r="BR88" s="256"/>
      <c r="BS88" s="256"/>
      <c r="BT88" s="256"/>
      <c r="BU88" s="256"/>
      <c r="BV88" s="256"/>
      <c r="BW88" s="256"/>
      <c r="BX88" s="256"/>
      <c r="BY88" s="256"/>
      <c r="BZ88" s="256"/>
      <c r="CA88" s="256"/>
      <c r="CB88" s="256"/>
      <c r="CC88" s="256"/>
      <c r="CD88" s="257"/>
    </row>
    <row r="89" spans="1:101" ht="12" customHeight="1">
      <c r="A89" s="405"/>
      <c r="B89" s="2"/>
      <c r="C89" s="22"/>
      <c r="D89" s="22"/>
      <c r="E89" s="45"/>
      <c r="F89" s="22"/>
      <c r="G89" s="22"/>
      <c r="H89" s="22"/>
      <c r="I89" s="45"/>
      <c r="J89" s="22"/>
      <c r="K89" s="22"/>
      <c r="L89" s="22"/>
      <c r="M89" s="22"/>
      <c r="N89" s="22"/>
      <c r="O89" s="359"/>
      <c r="P89" s="160" t="s">
        <v>924</v>
      </c>
      <c r="Q89" s="160"/>
      <c r="R89" s="160"/>
      <c r="S89" s="160"/>
      <c r="T89" s="160"/>
      <c r="U89" s="160"/>
      <c r="V89" s="160"/>
      <c r="W89" s="160"/>
      <c r="X89" s="356" t="s">
        <v>828</v>
      </c>
      <c r="Y89" s="43"/>
      <c r="Z89" s="43"/>
      <c r="AA89" s="43"/>
      <c r="AB89" s="43"/>
      <c r="AC89" s="43"/>
      <c r="AD89" s="43"/>
      <c r="AE89" s="43"/>
      <c r="AF89" s="333"/>
      <c r="AG89" s="682">
        <v>2200</v>
      </c>
      <c r="AH89" s="683"/>
      <c r="AI89" s="683"/>
      <c r="AJ89" s="683"/>
      <c r="AK89" s="683"/>
      <c r="AL89" s="683"/>
      <c r="AM89" s="684"/>
      <c r="AN89" s="261" t="s">
        <v>1061</v>
      </c>
      <c r="AO89" s="262"/>
      <c r="AP89" s="262"/>
      <c r="AQ89" s="262"/>
      <c r="AR89" s="262"/>
      <c r="AS89" s="262"/>
      <c r="AT89" s="262"/>
      <c r="AU89" s="262"/>
      <c r="AV89" s="262"/>
      <c r="AW89" s="262"/>
      <c r="AX89" s="262"/>
      <c r="AY89" s="262"/>
      <c r="AZ89" s="262"/>
      <c r="BA89" s="262"/>
      <c r="BB89" s="262"/>
      <c r="BC89" s="262"/>
      <c r="BD89" s="262"/>
      <c r="BE89" s="262"/>
      <c r="BF89" s="262"/>
      <c r="BG89" s="262"/>
      <c r="BH89" s="262"/>
      <c r="BI89" s="262"/>
      <c r="BJ89" s="262"/>
      <c r="BK89" s="262"/>
      <c r="BL89" s="262"/>
      <c r="BM89" s="262"/>
      <c r="BN89" s="262"/>
      <c r="BO89" s="262"/>
      <c r="BP89" s="262"/>
      <c r="BQ89" s="262"/>
      <c r="BR89" s="262"/>
      <c r="BS89" s="262"/>
      <c r="BT89" s="262"/>
      <c r="BU89" s="262"/>
      <c r="BV89" s="262"/>
      <c r="BW89" s="262"/>
      <c r="BX89" s="262"/>
      <c r="BY89" s="262"/>
      <c r="BZ89" s="262"/>
      <c r="CA89" s="262"/>
      <c r="CB89" s="262"/>
      <c r="CC89" s="262"/>
      <c r="CD89" s="263"/>
    </row>
    <row r="90" spans="1:101" ht="12" customHeight="1">
      <c r="A90" s="405"/>
      <c r="B90" s="2"/>
      <c r="C90" s="22"/>
      <c r="D90" s="22"/>
      <c r="E90" s="45"/>
      <c r="F90" s="22"/>
      <c r="G90" s="22"/>
      <c r="H90" s="22"/>
      <c r="I90" s="45"/>
      <c r="J90" s="22"/>
      <c r="K90" s="22"/>
      <c r="L90" s="22"/>
      <c r="M90" s="22"/>
      <c r="N90" s="22"/>
      <c r="O90" s="359"/>
      <c r="P90" s="249"/>
      <c r="Q90" s="249"/>
      <c r="R90" s="249"/>
      <c r="S90" s="249"/>
      <c r="T90" s="249"/>
      <c r="U90" s="249"/>
      <c r="V90" s="249"/>
      <c r="W90" s="249"/>
      <c r="X90" s="356" t="s">
        <v>105</v>
      </c>
      <c r="Y90" s="43"/>
      <c r="Z90" s="43"/>
      <c r="AA90" s="43"/>
      <c r="AB90" s="43"/>
      <c r="AC90" s="43"/>
      <c r="AD90" s="43"/>
      <c r="AE90" s="43"/>
      <c r="AF90" s="333"/>
      <c r="AG90" s="682">
        <f>AG85*AG89</f>
        <v>8800</v>
      </c>
      <c r="AH90" s="683"/>
      <c r="AI90" s="683"/>
      <c r="AJ90" s="683"/>
      <c r="AK90" s="683"/>
      <c r="AL90" s="683"/>
      <c r="AM90" s="684"/>
      <c r="AN90" s="390"/>
      <c r="AO90" s="391"/>
      <c r="AP90" s="391"/>
      <c r="AQ90" s="391"/>
      <c r="AR90" s="391"/>
      <c r="AS90" s="391"/>
      <c r="AT90" s="391"/>
      <c r="AU90" s="391"/>
      <c r="AV90" s="391"/>
      <c r="AW90" s="391"/>
      <c r="AX90" s="391"/>
      <c r="AY90" s="391"/>
      <c r="AZ90" s="391"/>
      <c r="BA90" s="391"/>
      <c r="BB90" s="391"/>
      <c r="BC90" s="391"/>
      <c r="BD90" s="391"/>
      <c r="BE90" s="391"/>
      <c r="BF90" s="391"/>
      <c r="BG90" s="391"/>
      <c r="BH90" s="391"/>
      <c r="BI90" s="391"/>
      <c r="BJ90" s="391"/>
      <c r="BK90" s="391"/>
      <c r="BL90" s="391"/>
      <c r="BM90" s="391"/>
      <c r="BN90" s="391"/>
      <c r="BO90" s="391"/>
      <c r="BP90" s="391"/>
      <c r="BQ90" s="391"/>
      <c r="BR90" s="391"/>
      <c r="BS90" s="391"/>
      <c r="BT90" s="391"/>
      <c r="BU90" s="391"/>
      <c r="BV90" s="391"/>
      <c r="BW90" s="391"/>
      <c r="BX90" s="391"/>
      <c r="BY90" s="391"/>
      <c r="BZ90" s="391"/>
      <c r="CA90" s="391"/>
      <c r="CB90" s="391"/>
      <c r="CC90" s="391"/>
      <c r="CD90" s="392"/>
    </row>
    <row r="91" spans="1:101" ht="12" customHeight="1">
      <c r="A91" s="405"/>
      <c r="B91" s="2"/>
      <c r="C91" s="22"/>
      <c r="D91" s="22"/>
      <c r="E91" s="45"/>
      <c r="F91" s="22"/>
      <c r="G91" s="22"/>
      <c r="H91" s="22"/>
      <c r="I91" s="248"/>
      <c r="J91" s="249"/>
      <c r="K91" s="249"/>
      <c r="L91" s="249"/>
      <c r="M91" s="249"/>
      <c r="N91" s="249"/>
      <c r="O91" s="250"/>
      <c r="P91" s="43" t="s">
        <v>926</v>
      </c>
      <c r="Q91" s="43"/>
      <c r="R91" s="43"/>
      <c r="S91" s="43"/>
      <c r="T91" s="43"/>
      <c r="U91" s="43"/>
      <c r="V91" s="43"/>
      <c r="W91" s="43"/>
      <c r="X91" s="43"/>
      <c r="Y91" s="43"/>
      <c r="Z91" s="43"/>
      <c r="AA91" s="43"/>
      <c r="AB91" s="43"/>
      <c r="AC91" s="43"/>
      <c r="AD91" s="43"/>
      <c r="AE91" s="43"/>
      <c r="AF91" s="333"/>
      <c r="AG91" s="682">
        <v>8800</v>
      </c>
      <c r="AH91" s="683"/>
      <c r="AI91" s="683"/>
      <c r="AJ91" s="683"/>
      <c r="AK91" s="683"/>
      <c r="AL91" s="683"/>
      <c r="AM91" s="684"/>
      <c r="AN91" s="255"/>
      <c r="AO91" s="256"/>
      <c r="AP91" s="256"/>
      <c r="AQ91" s="256"/>
      <c r="AR91" s="256"/>
      <c r="AS91" s="256"/>
      <c r="AT91" s="256"/>
      <c r="AU91" s="256"/>
      <c r="AV91" s="256"/>
      <c r="AW91" s="256"/>
      <c r="AX91" s="256"/>
      <c r="AY91" s="256"/>
      <c r="AZ91" s="256"/>
      <c r="BA91" s="256"/>
      <c r="BB91" s="256"/>
      <c r="BC91" s="256"/>
      <c r="BD91" s="256"/>
      <c r="BE91" s="256"/>
      <c r="BF91" s="256"/>
      <c r="BG91" s="256"/>
      <c r="BH91" s="256"/>
      <c r="BI91" s="256"/>
      <c r="BJ91" s="256"/>
      <c r="BK91" s="256"/>
      <c r="BL91" s="256"/>
      <c r="BM91" s="256"/>
      <c r="BN91" s="256"/>
      <c r="BO91" s="256"/>
      <c r="BP91" s="256"/>
      <c r="BQ91" s="256"/>
      <c r="BR91" s="256"/>
      <c r="BS91" s="256"/>
      <c r="BT91" s="256"/>
      <c r="BU91" s="256"/>
      <c r="BV91" s="256"/>
      <c r="BW91" s="256"/>
      <c r="BX91" s="256"/>
      <c r="BY91" s="256"/>
      <c r="BZ91" s="256"/>
      <c r="CA91" s="256"/>
      <c r="CB91" s="256"/>
      <c r="CC91" s="256"/>
      <c r="CD91" s="257"/>
    </row>
    <row r="92" spans="1:101" ht="12" customHeight="1">
      <c r="A92" s="405"/>
      <c r="B92" s="2"/>
      <c r="C92" s="22"/>
      <c r="D92" s="22"/>
      <c r="E92" s="45"/>
      <c r="F92" s="22"/>
      <c r="G92" s="22"/>
      <c r="H92" s="22"/>
      <c r="I92" s="161" t="s">
        <v>930</v>
      </c>
      <c r="J92" s="160"/>
      <c r="K92" s="160"/>
      <c r="L92" s="160"/>
      <c r="M92" s="160"/>
      <c r="N92" s="160"/>
      <c r="O92" s="247"/>
      <c r="P92" s="340" t="s">
        <v>931</v>
      </c>
      <c r="Q92" s="160"/>
      <c r="R92" s="160"/>
      <c r="S92" s="160"/>
      <c r="T92" s="160"/>
      <c r="U92" s="160"/>
      <c r="V92" s="160"/>
      <c r="W92" s="160"/>
      <c r="X92" s="160"/>
      <c r="Y92" s="160"/>
      <c r="Z92" s="160"/>
      <c r="AA92" s="160"/>
      <c r="AB92" s="160"/>
      <c r="AC92" s="160"/>
      <c r="AD92" s="160"/>
      <c r="AE92" s="160"/>
      <c r="AF92" s="159"/>
      <c r="AG92" s="685" t="s">
        <v>847</v>
      </c>
      <c r="AH92" s="686"/>
      <c r="AI92" s="686"/>
      <c r="AJ92" s="686"/>
      <c r="AK92" s="686"/>
      <c r="AL92" s="686"/>
      <c r="AM92" s="687"/>
      <c r="AN92" s="261" t="s">
        <v>848</v>
      </c>
      <c r="AO92" s="262"/>
      <c r="AP92" s="262"/>
      <c r="AQ92" s="262"/>
      <c r="AR92" s="262"/>
      <c r="AS92" s="262"/>
      <c r="AT92" s="262"/>
      <c r="AU92" s="262"/>
      <c r="AV92" s="262"/>
      <c r="AW92" s="262"/>
      <c r="AX92" s="262"/>
      <c r="AY92" s="262"/>
      <c r="AZ92" s="262"/>
      <c r="BA92" s="262"/>
      <c r="BB92" s="262"/>
      <c r="BC92" s="262"/>
      <c r="BD92" s="262"/>
      <c r="BE92" s="262"/>
      <c r="BF92" s="262"/>
      <c r="BG92" s="262"/>
      <c r="BH92" s="262"/>
      <c r="BI92" s="262"/>
      <c r="BJ92" s="262"/>
      <c r="BK92" s="262"/>
      <c r="BL92" s="262"/>
      <c r="BM92" s="262"/>
      <c r="BN92" s="262"/>
      <c r="BO92" s="262"/>
      <c r="BP92" s="262"/>
      <c r="BQ92" s="262"/>
      <c r="BR92" s="262"/>
      <c r="BS92" s="262"/>
      <c r="BT92" s="262"/>
      <c r="BU92" s="262"/>
      <c r="BV92" s="262"/>
      <c r="BW92" s="262"/>
      <c r="BX92" s="262"/>
      <c r="BY92" s="262"/>
      <c r="BZ92" s="262"/>
      <c r="CA92" s="262"/>
      <c r="CB92" s="262"/>
      <c r="CC92" s="262"/>
      <c r="CD92" s="263"/>
    </row>
    <row r="93" spans="1:101" ht="12" customHeight="1">
      <c r="A93" s="405"/>
      <c r="B93" s="2"/>
      <c r="C93" s="22"/>
      <c r="D93" s="22"/>
      <c r="E93" s="45"/>
      <c r="F93" s="22"/>
      <c r="G93" s="22"/>
      <c r="H93" s="22"/>
      <c r="I93" s="45"/>
      <c r="J93" s="22"/>
      <c r="K93" s="22"/>
      <c r="L93" s="22"/>
      <c r="M93" s="22"/>
      <c r="N93" s="22"/>
      <c r="O93" s="359"/>
      <c r="P93" s="342"/>
      <c r="Q93" s="22"/>
      <c r="R93" s="22"/>
      <c r="S93" s="22"/>
      <c r="T93" s="22"/>
      <c r="U93" s="22"/>
      <c r="V93" s="22"/>
      <c r="W93" s="22"/>
      <c r="X93" s="22"/>
      <c r="Y93" s="22"/>
      <c r="Z93" s="22"/>
      <c r="AA93" s="22"/>
      <c r="AB93" s="22"/>
      <c r="AC93" s="22"/>
      <c r="AD93" s="22"/>
      <c r="AE93" s="22"/>
      <c r="AF93" s="44"/>
      <c r="AG93" s="334"/>
      <c r="AH93" s="335"/>
      <c r="AI93" s="335"/>
      <c r="AJ93" s="335"/>
      <c r="AK93" s="335"/>
      <c r="AL93" s="335"/>
      <c r="AM93" s="336"/>
      <c r="AN93" s="390" t="s">
        <v>849</v>
      </c>
      <c r="AO93" s="391"/>
      <c r="AP93" s="391"/>
      <c r="AQ93" s="391"/>
      <c r="AR93" s="391"/>
      <c r="AS93" s="391"/>
      <c r="AT93" s="391"/>
      <c r="AU93" s="391"/>
      <c r="AV93" s="391"/>
      <c r="AW93" s="391"/>
      <c r="AX93" s="391"/>
      <c r="AY93" s="391"/>
      <c r="AZ93" s="391"/>
      <c r="BA93" s="391"/>
      <c r="BB93" s="391"/>
      <c r="BC93" s="391"/>
      <c r="BD93" s="391"/>
      <c r="BE93" s="391"/>
      <c r="BF93" s="391"/>
      <c r="BG93" s="391"/>
      <c r="BH93" s="391"/>
      <c r="BI93" s="391"/>
      <c r="BJ93" s="391"/>
      <c r="BK93" s="391"/>
      <c r="BL93" s="391"/>
      <c r="BM93" s="391"/>
      <c r="BN93" s="391"/>
      <c r="BO93" s="391"/>
      <c r="BP93" s="391"/>
      <c r="BQ93" s="391"/>
      <c r="BR93" s="391"/>
      <c r="BS93" s="391"/>
      <c r="BT93" s="391"/>
      <c r="BU93" s="391"/>
      <c r="BV93" s="391"/>
      <c r="BW93" s="391"/>
      <c r="BX93" s="391"/>
      <c r="BY93" s="391"/>
      <c r="BZ93" s="391"/>
      <c r="CA93" s="391"/>
      <c r="CB93" s="391"/>
      <c r="CC93" s="391"/>
      <c r="CD93" s="392"/>
    </row>
    <row r="94" spans="1:101" ht="12" customHeight="1">
      <c r="A94" s="405"/>
      <c r="B94" s="2"/>
      <c r="C94" s="22"/>
      <c r="D94" s="22"/>
      <c r="E94" s="45"/>
      <c r="F94" s="22"/>
      <c r="G94" s="22"/>
      <c r="H94" s="22"/>
      <c r="I94" s="45"/>
      <c r="J94" s="22"/>
      <c r="K94" s="22"/>
      <c r="L94" s="22"/>
      <c r="M94" s="22"/>
      <c r="N94" s="22"/>
      <c r="O94" s="359"/>
      <c r="P94" s="342"/>
      <c r="Q94" s="22"/>
      <c r="R94" s="22"/>
      <c r="S94" s="22"/>
      <c r="T94" s="22"/>
      <c r="U94" s="22"/>
      <c r="V94" s="22"/>
      <c r="W94" s="22"/>
      <c r="X94" s="22"/>
      <c r="Y94" s="22"/>
      <c r="Z94" s="22"/>
      <c r="AA94" s="22"/>
      <c r="AB94" s="22"/>
      <c r="AC94" s="22"/>
      <c r="AD94" s="22"/>
      <c r="AE94" s="22"/>
      <c r="AF94" s="44"/>
      <c r="AG94" s="334"/>
      <c r="AH94" s="335"/>
      <c r="AI94" s="335"/>
      <c r="AJ94" s="335"/>
      <c r="AK94" s="335"/>
      <c r="AL94" s="335"/>
      <c r="AM94" s="336"/>
      <c r="AN94" s="390"/>
      <c r="AO94" s="391"/>
      <c r="AP94" s="391"/>
      <c r="AQ94" s="391"/>
      <c r="AR94" s="391"/>
      <c r="AS94" s="391"/>
      <c r="AT94" s="391"/>
      <c r="AU94" s="391"/>
      <c r="AV94" s="391"/>
      <c r="AW94" s="391"/>
      <c r="AX94" s="391"/>
      <c r="AY94" s="391"/>
      <c r="AZ94" s="391"/>
      <c r="BA94" s="391"/>
      <c r="BB94" s="391"/>
      <c r="BC94" s="391"/>
      <c r="BD94" s="391"/>
      <c r="BE94" s="391"/>
      <c r="BF94" s="391"/>
      <c r="BG94" s="391"/>
      <c r="BH94" s="391"/>
      <c r="BI94" s="391"/>
      <c r="BJ94" s="391"/>
      <c r="BK94" s="391"/>
      <c r="BL94" s="391"/>
      <c r="BM94" s="391"/>
      <c r="BN94" s="391"/>
      <c r="BO94" s="391"/>
      <c r="BP94" s="391"/>
      <c r="BQ94" s="391"/>
      <c r="BR94" s="391"/>
      <c r="BS94" s="391"/>
      <c r="BT94" s="391"/>
      <c r="BU94" s="391"/>
      <c r="BV94" s="391"/>
      <c r="BW94" s="391"/>
      <c r="BX94" s="391"/>
      <c r="BY94" s="391"/>
      <c r="BZ94" s="391"/>
      <c r="CA94" s="391"/>
      <c r="CB94" s="391"/>
      <c r="CC94" s="391"/>
      <c r="CD94" s="392"/>
    </row>
    <row r="95" spans="1:101" ht="12" customHeight="1">
      <c r="A95" s="405"/>
      <c r="B95" s="2"/>
      <c r="C95" s="22"/>
      <c r="D95" s="22"/>
      <c r="E95" s="45"/>
      <c r="F95" s="22"/>
      <c r="G95" s="22"/>
      <c r="H95" s="22"/>
      <c r="I95" s="45"/>
      <c r="J95" s="22"/>
      <c r="K95" s="22"/>
      <c r="L95" s="22"/>
      <c r="M95" s="22"/>
      <c r="N95" s="22"/>
      <c r="O95" s="359"/>
      <c r="P95" s="342"/>
      <c r="Q95" s="22"/>
      <c r="R95" s="22"/>
      <c r="S95" s="22"/>
      <c r="T95" s="22"/>
      <c r="U95" s="22"/>
      <c r="V95" s="22"/>
      <c r="W95" s="22"/>
      <c r="X95" s="22"/>
      <c r="Y95" s="22"/>
      <c r="Z95" s="22"/>
      <c r="AA95" s="22"/>
      <c r="AB95" s="22"/>
      <c r="AC95" s="22"/>
      <c r="AD95" s="22"/>
      <c r="AE95" s="22"/>
      <c r="AF95" s="44"/>
      <c r="AG95" s="334"/>
      <c r="AH95" s="335"/>
      <c r="AI95" s="335"/>
      <c r="AJ95" s="335"/>
      <c r="AK95" s="335"/>
      <c r="AL95" s="335"/>
      <c r="AM95" s="336"/>
      <c r="AN95" s="390" t="s">
        <v>850</v>
      </c>
      <c r="AO95" s="391"/>
      <c r="AP95" s="391"/>
      <c r="AQ95" s="391"/>
      <c r="AR95" s="391"/>
      <c r="AS95" s="391"/>
      <c r="AT95" s="391"/>
      <c r="AU95" s="391"/>
      <c r="AV95" s="391"/>
      <c r="AW95" s="391"/>
      <c r="AX95" s="391"/>
      <c r="AY95" s="391"/>
      <c r="AZ95" s="391"/>
      <c r="BA95" s="391"/>
      <c r="BB95" s="391"/>
      <c r="BC95" s="391"/>
      <c r="BD95" s="391"/>
      <c r="BE95" s="391"/>
      <c r="BF95" s="391"/>
      <c r="BG95" s="391"/>
      <c r="BH95" s="391"/>
      <c r="BI95" s="391"/>
      <c r="BJ95" s="391"/>
      <c r="BK95" s="391"/>
      <c r="BL95" s="391"/>
      <c r="BM95" s="391"/>
      <c r="BN95" s="391"/>
      <c r="BO95" s="391"/>
      <c r="BP95" s="391"/>
      <c r="BQ95" s="391"/>
      <c r="BR95" s="391"/>
      <c r="BS95" s="391"/>
      <c r="BT95" s="391"/>
      <c r="BU95" s="391"/>
      <c r="BV95" s="391"/>
      <c r="BW95" s="391"/>
      <c r="BX95" s="391"/>
      <c r="BY95" s="391"/>
      <c r="BZ95" s="391"/>
      <c r="CA95" s="391"/>
      <c r="CB95" s="391"/>
      <c r="CC95" s="391"/>
      <c r="CD95" s="392"/>
    </row>
    <row r="96" spans="1:101" ht="12" customHeight="1">
      <c r="A96" s="405"/>
      <c r="B96" s="2"/>
      <c r="C96" s="22"/>
      <c r="D96" s="22"/>
      <c r="E96" s="45"/>
      <c r="F96" s="22"/>
      <c r="G96" s="22"/>
      <c r="H96" s="22"/>
      <c r="I96" s="45"/>
      <c r="J96" s="22"/>
      <c r="K96" s="22"/>
      <c r="L96" s="22"/>
      <c r="M96" s="22"/>
      <c r="N96" s="22"/>
      <c r="O96" s="359"/>
      <c r="P96" s="342"/>
      <c r="Q96" s="22"/>
      <c r="R96" s="22"/>
      <c r="S96" s="22"/>
      <c r="T96" s="22"/>
      <c r="U96" s="22"/>
      <c r="V96" s="22"/>
      <c r="W96" s="22"/>
      <c r="X96" s="22"/>
      <c r="Y96" s="22"/>
      <c r="Z96" s="22"/>
      <c r="AA96" s="22"/>
      <c r="AB96" s="22"/>
      <c r="AC96" s="22"/>
      <c r="AD96" s="22"/>
      <c r="AE96" s="22"/>
      <c r="AF96" s="44"/>
      <c r="AG96" s="334"/>
      <c r="AH96" s="335"/>
      <c r="AI96" s="335"/>
      <c r="AJ96" s="335"/>
      <c r="AK96" s="335"/>
      <c r="AL96" s="335"/>
      <c r="AM96" s="336"/>
      <c r="AN96" s="390" t="s">
        <v>851</v>
      </c>
      <c r="AO96" s="391"/>
      <c r="AP96" s="391"/>
      <c r="AQ96" s="391"/>
      <c r="AR96" s="391"/>
      <c r="AS96" s="391"/>
      <c r="AT96" s="391"/>
      <c r="AU96" s="391"/>
      <c r="AV96" s="391"/>
      <c r="AW96" s="391"/>
      <c r="AX96" s="391"/>
      <c r="AY96" s="391"/>
      <c r="AZ96" s="391"/>
      <c r="BA96" s="391"/>
      <c r="BB96" s="391"/>
      <c r="BC96" s="391"/>
      <c r="BD96" s="391"/>
      <c r="BE96" s="391"/>
      <c r="BF96" s="391"/>
      <c r="BG96" s="391"/>
      <c r="BH96" s="391"/>
      <c r="BI96" s="391"/>
      <c r="BJ96" s="391"/>
      <c r="BK96" s="391"/>
      <c r="BL96" s="391"/>
      <c r="BM96" s="391"/>
      <c r="BN96" s="391"/>
      <c r="BO96" s="391"/>
      <c r="BP96" s="391"/>
      <c r="BQ96" s="391"/>
      <c r="BR96" s="391"/>
      <c r="BS96" s="391"/>
      <c r="BT96" s="391"/>
      <c r="BU96" s="391"/>
      <c r="BV96" s="391"/>
      <c r="BW96" s="391"/>
      <c r="BX96" s="391"/>
      <c r="BY96" s="391"/>
      <c r="BZ96" s="391"/>
      <c r="CA96" s="391"/>
      <c r="CB96" s="391"/>
      <c r="CC96" s="391"/>
      <c r="CD96" s="392"/>
    </row>
    <row r="97" spans="1:82" ht="12" customHeight="1">
      <c r="A97" s="405"/>
      <c r="B97" s="2"/>
      <c r="C97" s="22"/>
      <c r="D97" s="22"/>
      <c r="E97" s="45"/>
      <c r="F97" s="22"/>
      <c r="G97" s="22"/>
      <c r="H97" s="22"/>
      <c r="I97" s="45"/>
      <c r="J97" s="22"/>
      <c r="K97" s="22"/>
      <c r="L97" s="22"/>
      <c r="M97" s="22"/>
      <c r="N97" s="22"/>
      <c r="O97" s="359"/>
      <c r="P97" s="342"/>
      <c r="Q97" s="22"/>
      <c r="R97" s="22"/>
      <c r="S97" s="22"/>
      <c r="T97" s="22"/>
      <c r="U97" s="22"/>
      <c r="V97" s="22"/>
      <c r="W97" s="22"/>
      <c r="X97" s="22"/>
      <c r="Y97" s="22"/>
      <c r="Z97" s="22"/>
      <c r="AA97" s="22"/>
      <c r="AB97" s="22"/>
      <c r="AC97" s="22"/>
      <c r="AD97" s="22"/>
      <c r="AE97" s="22"/>
      <c r="AF97" s="44"/>
      <c r="AG97" s="334"/>
      <c r="AH97" s="335"/>
      <c r="AI97" s="335"/>
      <c r="AJ97" s="335"/>
      <c r="AK97" s="335"/>
      <c r="AL97" s="335"/>
      <c r="AM97" s="336"/>
      <c r="AN97" s="390" t="s">
        <v>852</v>
      </c>
      <c r="AO97" s="391"/>
      <c r="AP97" s="391"/>
      <c r="AQ97" s="391"/>
      <c r="AR97" s="391"/>
      <c r="AS97" s="391"/>
      <c r="AT97" s="391"/>
      <c r="AU97" s="391"/>
      <c r="AV97" s="391"/>
      <c r="AW97" s="391"/>
      <c r="AX97" s="391"/>
      <c r="AY97" s="391"/>
      <c r="AZ97" s="391"/>
      <c r="BA97" s="391"/>
      <c r="BB97" s="391"/>
      <c r="BC97" s="391"/>
      <c r="BD97" s="391"/>
      <c r="BE97" s="391"/>
      <c r="BF97" s="391"/>
      <c r="BG97" s="391"/>
      <c r="BH97" s="391"/>
      <c r="BI97" s="391"/>
      <c r="BJ97" s="391"/>
      <c r="BK97" s="391"/>
      <c r="BL97" s="391"/>
      <c r="BM97" s="391"/>
      <c r="BN97" s="391"/>
      <c r="BO97" s="391"/>
      <c r="BP97" s="391"/>
      <c r="BQ97" s="391"/>
      <c r="BR97" s="391"/>
      <c r="BS97" s="391"/>
      <c r="BT97" s="391"/>
      <c r="BU97" s="391"/>
      <c r="BV97" s="391"/>
      <c r="BW97" s="391"/>
      <c r="BX97" s="391"/>
      <c r="BY97" s="391"/>
      <c r="BZ97" s="391"/>
      <c r="CA97" s="391"/>
      <c r="CB97" s="391"/>
      <c r="CC97" s="391"/>
      <c r="CD97" s="392"/>
    </row>
    <row r="98" spans="1:82" ht="12" customHeight="1">
      <c r="A98" s="405"/>
      <c r="B98" s="2"/>
      <c r="C98" s="22"/>
      <c r="D98" s="22"/>
      <c r="E98" s="45"/>
      <c r="F98" s="22"/>
      <c r="G98" s="22"/>
      <c r="H98" s="22"/>
      <c r="I98" s="45"/>
      <c r="J98" s="22"/>
      <c r="K98" s="22"/>
      <c r="L98" s="22"/>
      <c r="M98" s="22"/>
      <c r="N98" s="22"/>
      <c r="O98" s="22"/>
      <c r="P98" s="342"/>
      <c r="Q98" s="22"/>
      <c r="R98" s="22"/>
      <c r="S98" s="22"/>
      <c r="T98" s="22"/>
      <c r="U98" s="22"/>
      <c r="V98" s="22"/>
      <c r="W98" s="22"/>
      <c r="X98" s="22"/>
      <c r="Y98" s="22"/>
      <c r="Z98" s="22"/>
      <c r="AA98" s="22"/>
      <c r="AB98" s="22"/>
      <c r="AC98" s="22"/>
      <c r="AD98" s="22"/>
      <c r="AE98" s="22"/>
      <c r="AF98" s="44"/>
      <c r="AG98" s="334"/>
      <c r="AH98" s="335"/>
      <c r="AI98" s="335"/>
      <c r="AJ98" s="335"/>
      <c r="AK98" s="335"/>
      <c r="AL98" s="335"/>
      <c r="AM98" s="336"/>
      <c r="AN98" s="390"/>
      <c r="AO98" s="391"/>
      <c r="AP98" s="391"/>
      <c r="AQ98" s="391"/>
      <c r="AR98" s="391"/>
      <c r="AS98" s="391"/>
      <c r="AT98" s="391"/>
      <c r="AU98" s="391"/>
      <c r="AV98" s="391"/>
      <c r="AW98" s="391"/>
      <c r="AX98" s="391"/>
      <c r="AY98" s="391"/>
      <c r="AZ98" s="391"/>
      <c r="BA98" s="391"/>
      <c r="BB98" s="391"/>
      <c r="BC98" s="391"/>
      <c r="BD98" s="391"/>
      <c r="BE98" s="391"/>
      <c r="BF98" s="391"/>
      <c r="BG98" s="391"/>
      <c r="BH98" s="391"/>
      <c r="BI98" s="391"/>
      <c r="BJ98" s="391"/>
      <c r="BK98" s="391"/>
      <c r="BL98" s="391"/>
      <c r="BM98" s="391"/>
      <c r="BN98" s="391"/>
      <c r="BO98" s="391"/>
      <c r="BP98" s="391"/>
      <c r="BQ98" s="391"/>
      <c r="BR98" s="391"/>
      <c r="BS98" s="391"/>
      <c r="BT98" s="391"/>
      <c r="BU98" s="391"/>
      <c r="BV98" s="391"/>
      <c r="BW98" s="391"/>
      <c r="BX98" s="391"/>
      <c r="BY98" s="391"/>
      <c r="BZ98" s="391"/>
      <c r="CA98" s="391"/>
      <c r="CB98" s="391"/>
      <c r="CC98" s="391"/>
      <c r="CD98" s="392"/>
    </row>
    <row r="99" spans="1:82" ht="12" customHeight="1">
      <c r="A99" s="405"/>
      <c r="B99" s="2"/>
      <c r="C99" s="22"/>
      <c r="D99" s="22"/>
      <c r="E99" s="45"/>
      <c r="F99" s="22"/>
      <c r="G99" s="22"/>
      <c r="H99" s="22"/>
      <c r="I99" s="45"/>
      <c r="J99" s="22"/>
      <c r="K99" s="22"/>
      <c r="L99" s="22"/>
      <c r="M99" s="22"/>
      <c r="N99" s="22"/>
      <c r="O99" s="22"/>
      <c r="P99" s="342"/>
      <c r="Q99" s="22"/>
      <c r="R99" s="22"/>
      <c r="S99" s="22"/>
      <c r="T99" s="22"/>
      <c r="U99" s="22"/>
      <c r="V99" s="22"/>
      <c r="W99" s="22"/>
      <c r="X99" s="22"/>
      <c r="Y99" s="22"/>
      <c r="Z99" s="22"/>
      <c r="AA99" s="22"/>
      <c r="AB99" s="22"/>
      <c r="AC99" s="22"/>
      <c r="AD99" s="22"/>
      <c r="AE99" s="22"/>
      <c r="AF99" s="44"/>
      <c r="AG99" s="334"/>
      <c r="AH99" s="335"/>
      <c r="AI99" s="335"/>
      <c r="AJ99" s="335"/>
      <c r="AK99" s="335"/>
      <c r="AL99" s="335"/>
      <c r="AM99" s="336"/>
      <c r="AN99" s="390" t="s">
        <v>854</v>
      </c>
      <c r="AO99" s="391"/>
      <c r="AP99" s="391"/>
      <c r="AQ99" s="391"/>
      <c r="AR99" s="391"/>
      <c r="AS99" s="391"/>
      <c r="AT99" s="391"/>
      <c r="AU99" s="391"/>
      <c r="AV99" s="391"/>
      <c r="AW99" s="391"/>
      <c r="AX99" s="391"/>
      <c r="AY99" s="391"/>
      <c r="AZ99" s="391"/>
      <c r="BA99" s="391"/>
      <c r="BB99" s="391"/>
      <c r="BC99" s="391"/>
      <c r="BD99" s="391"/>
      <c r="BE99" s="391"/>
      <c r="BF99" s="391"/>
      <c r="BG99" s="391"/>
      <c r="BH99" s="391"/>
      <c r="BI99" s="391"/>
      <c r="BJ99" s="391"/>
      <c r="BK99" s="391"/>
      <c r="BL99" s="391"/>
      <c r="BM99" s="391"/>
      <c r="BN99" s="391"/>
      <c r="BO99" s="391"/>
      <c r="BP99" s="391"/>
      <c r="BQ99" s="391"/>
      <c r="BR99" s="391"/>
      <c r="BS99" s="391"/>
      <c r="BT99" s="391"/>
      <c r="BU99" s="391"/>
      <c r="BV99" s="391"/>
      <c r="BW99" s="391"/>
      <c r="BX99" s="391"/>
      <c r="BY99" s="391"/>
      <c r="BZ99" s="391"/>
      <c r="CA99" s="391"/>
      <c r="CB99" s="391"/>
      <c r="CC99" s="391"/>
      <c r="CD99" s="392"/>
    </row>
    <row r="100" spans="1:82" ht="12" customHeight="1">
      <c r="A100" s="405"/>
      <c r="B100" s="2"/>
      <c r="C100" s="22"/>
      <c r="D100" s="22"/>
      <c r="E100" s="45"/>
      <c r="F100" s="22"/>
      <c r="G100" s="22"/>
      <c r="H100" s="22"/>
      <c r="I100" s="45"/>
      <c r="J100" s="22"/>
      <c r="K100" s="22"/>
      <c r="L100" s="22"/>
      <c r="M100" s="22"/>
      <c r="N100" s="22"/>
      <c r="O100" s="22"/>
      <c r="P100" s="342"/>
      <c r="Q100" s="22"/>
      <c r="R100" s="22"/>
      <c r="S100" s="22"/>
      <c r="T100" s="22"/>
      <c r="U100" s="22"/>
      <c r="V100" s="22"/>
      <c r="W100" s="22"/>
      <c r="X100" s="22"/>
      <c r="Y100" s="22"/>
      <c r="Z100" s="22"/>
      <c r="AA100" s="22"/>
      <c r="AB100" s="22"/>
      <c r="AC100" s="22"/>
      <c r="AD100" s="22"/>
      <c r="AE100" s="22"/>
      <c r="AF100" s="44"/>
      <c r="AG100" s="334"/>
      <c r="AH100" s="335"/>
      <c r="AI100" s="335"/>
      <c r="AJ100" s="335"/>
      <c r="AK100" s="335"/>
      <c r="AL100" s="335"/>
      <c r="AM100" s="336"/>
      <c r="AN100" s="390" t="s">
        <v>855</v>
      </c>
      <c r="AO100" s="391"/>
      <c r="AP100" s="391"/>
      <c r="AQ100" s="391"/>
      <c r="AR100" s="391"/>
      <c r="AS100" s="391"/>
      <c r="AT100" s="391"/>
      <c r="AU100" s="391"/>
      <c r="AV100" s="391"/>
      <c r="AW100" s="391"/>
      <c r="AX100" s="391"/>
      <c r="AY100" s="391"/>
      <c r="AZ100" s="391"/>
      <c r="BA100" s="391"/>
      <c r="BB100" s="391"/>
      <c r="BC100" s="391"/>
      <c r="BD100" s="391"/>
      <c r="BE100" s="391"/>
      <c r="BF100" s="391"/>
      <c r="BG100" s="391"/>
      <c r="BH100" s="391"/>
      <c r="BI100" s="391"/>
      <c r="BJ100" s="391"/>
      <c r="BK100" s="391"/>
      <c r="BL100" s="391"/>
      <c r="BM100" s="391"/>
      <c r="BN100" s="391"/>
      <c r="BO100" s="391"/>
      <c r="BP100" s="391"/>
      <c r="BQ100" s="391"/>
      <c r="BR100" s="391"/>
      <c r="BS100" s="391"/>
      <c r="BT100" s="391"/>
      <c r="BU100" s="391"/>
      <c r="BV100" s="391"/>
      <c r="BW100" s="391"/>
      <c r="BX100" s="391"/>
      <c r="BY100" s="391"/>
      <c r="BZ100" s="391"/>
      <c r="CA100" s="391"/>
      <c r="CB100" s="391"/>
      <c r="CC100" s="391"/>
      <c r="CD100" s="392"/>
    </row>
    <row r="101" spans="1:82" ht="12" customHeight="1">
      <c r="A101" s="405"/>
      <c r="B101" s="2"/>
      <c r="C101" s="22"/>
      <c r="D101" s="22"/>
      <c r="E101" s="45"/>
      <c r="F101" s="22"/>
      <c r="G101" s="22"/>
      <c r="H101" s="22"/>
      <c r="I101" s="45"/>
      <c r="J101" s="22"/>
      <c r="K101" s="22"/>
      <c r="L101" s="22"/>
      <c r="M101" s="22"/>
      <c r="N101" s="22"/>
      <c r="O101" s="22"/>
      <c r="P101" s="342"/>
      <c r="Q101" s="22"/>
      <c r="R101" s="22"/>
      <c r="S101" s="22"/>
      <c r="T101" s="22"/>
      <c r="U101" s="22"/>
      <c r="V101" s="22"/>
      <c r="W101" s="22"/>
      <c r="X101" s="22"/>
      <c r="Y101" s="22"/>
      <c r="Z101" s="22"/>
      <c r="AA101" s="22"/>
      <c r="AB101" s="22"/>
      <c r="AC101" s="22"/>
      <c r="AD101" s="22"/>
      <c r="AE101" s="22"/>
      <c r="AF101" s="44"/>
      <c r="AG101" s="334"/>
      <c r="AH101" s="335"/>
      <c r="AI101" s="335"/>
      <c r="AJ101" s="335"/>
      <c r="AK101" s="335"/>
      <c r="AL101" s="335"/>
      <c r="AM101" s="336"/>
      <c r="AN101" s="390" t="s">
        <v>856</v>
      </c>
      <c r="AO101" s="391"/>
      <c r="AP101" s="391"/>
      <c r="AQ101" s="391"/>
      <c r="AR101" s="391"/>
      <c r="AS101" s="391"/>
      <c r="AT101" s="391"/>
      <c r="AU101" s="391"/>
      <c r="AV101" s="391"/>
      <c r="AW101" s="391"/>
      <c r="AX101" s="391"/>
      <c r="AY101" s="391"/>
      <c r="AZ101" s="391"/>
      <c r="BA101" s="391"/>
      <c r="BB101" s="391"/>
      <c r="BC101" s="391"/>
      <c r="BD101" s="391"/>
      <c r="BE101" s="391"/>
      <c r="BF101" s="391"/>
      <c r="BG101" s="391"/>
      <c r="BH101" s="391"/>
      <c r="BI101" s="391"/>
      <c r="BJ101" s="391"/>
      <c r="BK101" s="391"/>
      <c r="BL101" s="391"/>
      <c r="BM101" s="391"/>
      <c r="BN101" s="391"/>
      <c r="BO101" s="391"/>
      <c r="BP101" s="391"/>
      <c r="BQ101" s="391"/>
      <c r="BR101" s="391"/>
      <c r="BS101" s="391"/>
      <c r="BT101" s="391"/>
      <c r="BU101" s="391"/>
      <c r="BV101" s="391"/>
      <c r="BW101" s="391"/>
      <c r="BX101" s="391"/>
      <c r="BY101" s="391"/>
      <c r="BZ101" s="391"/>
      <c r="CA101" s="391"/>
      <c r="CB101" s="391"/>
      <c r="CC101" s="391"/>
      <c r="CD101" s="392"/>
    </row>
    <row r="102" spans="1:82" ht="12" customHeight="1">
      <c r="A102" s="405"/>
      <c r="B102" s="2"/>
      <c r="C102" s="22"/>
      <c r="D102" s="22"/>
      <c r="E102" s="45"/>
      <c r="F102" s="22"/>
      <c r="G102" s="22"/>
      <c r="H102" s="22"/>
      <c r="I102" s="45"/>
      <c r="J102" s="22"/>
      <c r="K102" s="22"/>
      <c r="L102" s="22"/>
      <c r="M102" s="22"/>
      <c r="N102" s="22"/>
      <c r="O102" s="22"/>
      <c r="P102" s="342"/>
      <c r="Q102" s="22"/>
      <c r="R102" s="22"/>
      <c r="S102" s="22"/>
      <c r="T102" s="22"/>
      <c r="U102" s="22"/>
      <c r="V102" s="22"/>
      <c r="W102" s="22"/>
      <c r="X102" s="22"/>
      <c r="Y102" s="22"/>
      <c r="Z102" s="22"/>
      <c r="AA102" s="22"/>
      <c r="AB102" s="22"/>
      <c r="AC102" s="22"/>
      <c r="AD102" s="22"/>
      <c r="AE102" s="22"/>
      <c r="AF102" s="44"/>
      <c r="AG102" s="334"/>
      <c r="AH102" s="335"/>
      <c r="AI102" s="335"/>
      <c r="AJ102" s="335"/>
      <c r="AK102" s="335"/>
      <c r="AL102" s="335"/>
      <c r="AM102" s="336"/>
      <c r="AN102" s="390"/>
      <c r="AO102" s="391"/>
      <c r="AP102" s="391"/>
      <c r="AQ102" s="391"/>
      <c r="AR102" s="391"/>
      <c r="AS102" s="391"/>
      <c r="AT102" s="391"/>
      <c r="AU102" s="391"/>
      <c r="AV102" s="391"/>
      <c r="AW102" s="391"/>
      <c r="AX102" s="391"/>
      <c r="AY102" s="391"/>
      <c r="AZ102" s="391"/>
      <c r="BA102" s="391"/>
      <c r="BB102" s="391"/>
      <c r="BC102" s="391"/>
      <c r="BD102" s="391"/>
      <c r="BE102" s="391"/>
      <c r="BF102" s="391"/>
      <c r="BG102" s="391"/>
      <c r="BH102" s="391"/>
      <c r="BI102" s="391"/>
      <c r="BJ102" s="391"/>
      <c r="BK102" s="391"/>
      <c r="BL102" s="391"/>
      <c r="BM102" s="391"/>
      <c r="BN102" s="391"/>
      <c r="BO102" s="391"/>
      <c r="BP102" s="391"/>
      <c r="BQ102" s="391"/>
      <c r="BR102" s="391"/>
      <c r="BS102" s="391"/>
      <c r="BT102" s="391"/>
      <c r="BU102" s="391"/>
      <c r="BV102" s="391"/>
      <c r="BW102" s="391"/>
      <c r="BX102" s="391"/>
      <c r="BY102" s="391"/>
      <c r="BZ102" s="391"/>
      <c r="CA102" s="391"/>
      <c r="CB102" s="391"/>
      <c r="CC102" s="391"/>
      <c r="CD102" s="392"/>
    </row>
    <row r="103" spans="1:82" ht="12" customHeight="1">
      <c r="A103" s="405"/>
      <c r="B103" s="2"/>
      <c r="C103" s="22"/>
      <c r="D103" s="22"/>
      <c r="E103" s="45"/>
      <c r="F103" s="22"/>
      <c r="G103" s="22"/>
      <c r="H103" s="22"/>
      <c r="I103" s="248"/>
      <c r="J103" s="249"/>
      <c r="K103" s="249"/>
      <c r="L103" s="249"/>
      <c r="M103" s="249"/>
      <c r="N103" s="249"/>
      <c r="O103" s="249"/>
      <c r="P103" s="340" t="s">
        <v>925</v>
      </c>
      <c r="Q103" s="160"/>
      <c r="R103" s="160"/>
      <c r="S103" s="160"/>
      <c r="T103" s="160"/>
      <c r="U103" s="160"/>
      <c r="V103" s="160"/>
      <c r="W103" s="160"/>
      <c r="X103" s="160"/>
      <c r="Y103" s="160"/>
      <c r="Z103" s="160"/>
      <c r="AA103" s="160"/>
      <c r="AB103" s="160"/>
      <c r="AC103" s="160"/>
      <c r="AD103" s="160"/>
      <c r="AE103" s="160"/>
      <c r="AF103" s="159"/>
      <c r="AG103" s="685" t="s">
        <v>853</v>
      </c>
      <c r="AH103" s="686"/>
      <c r="AI103" s="686"/>
      <c r="AJ103" s="686"/>
      <c r="AK103" s="686"/>
      <c r="AL103" s="686"/>
      <c r="AM103" s="687"/>
      <c r="AN103" s="406" t="s">
        <v>1073</v>
      </c>
      <c r="AO103" s="407"/>
      <c r="AP103" s="407"/>
      <c r="AQ103" s="407"/>
      <c r="AR103" s="407"/>
      <c r="AS103" s="407"/>
      <c r="AT103" s="407"/>
      <c r="AU103" s="407"/>
      <c r="AV103" s="407"/>
      <c r="AW103" s="407"/>
      <c r="AX103" s="407"/>
      <c r="AY103" s="407"/>
      <c r="AZ103" s="407"/>
      <c r="BA103" s="407"/>
      <c r="BB103" s="407"/>
      <c r="BC103" s="407"/>
      <c r="BD103" s="407"/>
      <c r="BE103" s="407"/>
      <c r="BF103" s="407"/>
      <c r="BG103" s="407"/>
      <c r="BH103" s="407"/>
      <c r="BI103" s="407"/>
      <c r="BJ103" s="407"/>
      <c r="BK103" s="407"/>
      <c r="BL103" s="407"/>
      <c r="BM103" s="407"/>
      <c r="BN103" s="407"/>
      <c r="BO103" s="407"/>
      <c r="BP103" s="407"/>
      <c r="BQ103" s="407"/>
      <c r="BR103" s="407"/>
      <c r="BS103" s="407"/>
      <c r="BT103" s="407"/>
      <c r="BU103" s="407"/>
      <c r="BV103" s="407"/>
      <c r="BW103" s="407"/>
      <c r="BX103" s="407"/>
      <c r="BY103" s="407"/>
      <c r="BZ103" s="407"/>
      <c r="CA103" s="407"/>
      <c r="CB103" s="407"/>
      <c r="CC103" s="407"/>
      <c r="CD103" s="408"/>
    </row>
    <row r="104" spans="1:82" ht="12" customHeight="1">
      <c r="A104" s="405"/>
      <c r="B104" s="2"/>
      <c r="C104" s="22"/>
      <c r="D104" s="22"/>
      <c r="E104" s="45"/>
      <c r="F104" s="22"/>
      <c r="G104" s="22"/>
      <c r="H104" s="22"/>
      <c r="I104" s="161" t="s">
        <v>935</v>
      </c>
      <c r="J104" s="160"/>
      <c r="K104" s="160"/>
      <c r="L104" s="160"/>
      <c r="M104" s="160"/>
      <c r="N104" s="160"/>
      <c r="O104" s="160"/>
      <c r="P104" s="340" t="s">
        <v>447</v>
      </c>
      <c r="Q104" s="160"/>
      <c r="R104" s="160"/>
      <c r="S104" s="160"/>
      <c r="T104" s="160"/>
      <c r="U104" s="160"/>
      <c r="V104" s="160"/>
      <c r="W104" s="160"/>
      <c r="X104" s="160"/>
      <c r="Y104" s="160"/>
      <c r="Z104" s="160"/>
      <c r="AA104" s="160"/>
      <c r="AB104" s="160"/>
      <c r="AC104" s="160"/>
      <c r="AD104" s="160"/>
      <c r="AE104" s="160"/>
      <c r="AF104" s="159"/>
      <c r="AG104" s="685" t="s">
        <v>857</v>
      </c>
      <c r="AH104" s="686"/>
      <c r="AI104" s="686"/>
      <c r="AJ104" s="686"/>
      <c r="AK104" s="686"/>
      <c r="AL104" s="686"/>
      <c r="AM104" s="687"/>
      <c r="AN104" s="261" t="s">
        <v>858</v>
      </c>
      <c r="AO104" s="262"/>
      <c r="AP104" s="262"/>
      <c r="AQ104" s="262"/>
      <c r="AR104" s="262"/>
      <c r="AS104" s="262"/>
      <c r="AT104" s="262"/>
      <c r="AU104" s="262"/>
      <c r="AV104" s="262"/>
      <c r="AW104" s="262"/>
      <c r="AX104" s="262"/>
      <c r="AY104" s="262"/>
      <c r="AZ104" s="262"/>
      <c r="BA104" s="262"/>
      <c r="BB104" s="262"/>
      <c r="BC104" s="262"/>
      <c r="BD104" s="262"/>
      <c r="BE104" s="262"/>
      <c r="BF104" s="262"/>
      <c r="BG104" s="262"/>
      <c r="BH104" s="262"/>
      <c r="BI104" s="262"/>
      <c r="BJ104" s="262"/>
      <c r="BK104" s="262"/>
      <c r="BL104" s="262"/>
      <c r="BM104" s="262"/>
      <c r="BN104" s="262"/>
      <c r="BO104" s="262"/>
      <c r="BP104" s="262"/>
      <c r="BQ104" s="262"/>
      <c r="BR104" s="262"/>
      <c r="BS104" s="262"/>
      <c r="BT104" s="262"/>
      <c r="BU104" s="262"/>
      <c r="BV104" s="262"/>
      <c r="BW104" s="262"/>
      <c r="BX104" s="262"/>
      <c r="BY104" s="262"/>
      <c r="BZ104" s="262"/>
      <c r="CA104" s="262"/>
      <c r="CB104" s="262"/>
      <c r="CC104" s="262"/>
      <c r="CD104" s="263"/>
    </row>
    <row r="105" spans="1:82" ht="12" customHeight="1">
      <c r="A105" s="405"/>
      <c r="B105" s="2"/>
      <c r="C105" s="22"/>
      <c r="D105" s="22"/>
      <c r="E105" s="45"/>
      <c r="F105" s="22"/>
      <c r="G105" s="22"/>
      <c r="H105" s="22"/>
      <c r="I105" s="45"/>
      <c r="J105" s="22"/>
      <c r="K105" s="22"/>
      <c r="L105" s="22"/>
      <c r="M105" s="22"/>
      <c r="N105" s="22"/>
      <c r="O105" s="22"/>
      <c r="P105" s="342"/>
      <c r="Q105" s="22"/>
      <c r="R105" s="22"/>
      <c r="S105" s="22"/>
      <c r="T105" s="22"/>
      <c r="U105" s="22"/>
      <c r="V105" s="22"/>
      <c r="W105" s="22"/>
      <c r="X105" s="22"/>
      <c r="Y105" s="22"/>
      <c r="Z105" s="22"/>
      <c r="AA105" s="22"/>
      <c r="AB105" s="22"/>
      <c r="AC105" s="22"/>
      <c r="AD105" s="22"/>
      <c r="AE105" s="22"/>
      <c r="AF105" s="44"/>
      <c r="AG105" s="334"/>
      <c r="AH105" s="335"/>
      <c r="AI105" s="335"/>
      <c r="AJ105" s="335"/>
      <c r="AK105" s="335"/>
      <c r="AL105" s="335"/>
      <c r="AM105" s="336"/>
      <c r="AN105" s="390" t="s">
        <v>859</v>
      </c>
      <c r="AO105" s="391"/>
      <c r="AP105" s="391"/>
      <c r="AQ105" s="391"/>
      <c r="AR105" s="391"/>
      <c r="AS105" s="391"/>
      <c r="AT105" s="391"/>
      <c r="AU105" s="391"/>
      <c r="AV105" s="391"/>
      <c r="AW105" s="391"/>
      <c r="AX105" s="391"/>
      <c r="AY105" s="391"/>
      <c r="AZ105" s="391"/>
      <c r="BA105" s="391"/>
      <c r="BB105" s="391"/>
      <c r="BC105" s="391"/>
      <c r="BD105" s="391"/>
      <c r="BE105" s="391"/>
      <c r="BF105" s="391"/>
      <c r="BG105" s="391"/>
      <c r="BH105" s="391"/>
      <c r="BI105" s="391"/>
      <c r="BJ105" s="391"/>
      <c r="BK105" s="391"/>
      <c r="BL105" s="391"/>
      <c r="BM105" s="391"/>
      <c r="BN105" s="391"/>
      <c r="BO105" s="391"/>
      <c r="BP105" s="391"/>
      <c r="BQ105" s="391"/>
      <c r="BR105" s="391"/>
      <c r="BS105" s="391"/>
      <c r="BT105" s="391"/>
      <c r="BU105" s="391"/>
      <c r="BV105" s="391"/>
      <c r="BW105" s="391"/>
      <c r="BX105" s="391"/>
      <c r="BY105" s="391"/>
      <c r="BZ105" s="391"/>
      <c r="CA105" s="391"/>
      <c r="CB105" s="391"/>
      <c r="CC105" s="391"/>
      <c r="CD105" s="392"/>
    </row>
    <row r="106" spans="1:82" ht="12" customHeight="1">
      <c r="A106" s="405"/>
      <c r="B106" s="2"/>
      <c r="C106" s="22"/>
      <c r="D106" s="22"/>
      <c r="E106" s="45"/>
      <c r="F106" s="22"/>
      <c r="G106" s="22"/>
      <c r="H106" s="22"/>
      <c r="I106" s="45"/>
      <c r="J106" s="22"/>
      <c r="K106" s="22"/>
      <c r="L106" s="22"/>
      <c r="M106" s="22"/>
      <c r="N106" s="22"/>
      <c r="O106" s="22"/>
      <c r="P106" s="342"/>
      <c r="Q106" s="22"/>
      <c r="R106" s="22"/>
      <c r="S106" s="22"/>
      <c r="T106" s="22"/>
      <c r="U106" s="22"/>
      <c r="V106" s="22"/>
      <c r="W106" s="22"/>
      <c r="X106" s="22"/>
      <c r="Y106" s="22"/>
      <c r="Z106" s="22"/>
      <c r="AA106" s="22"/>
      <c r="AB106" s="22"/>
      <c r="AC106" s="22"/>
      <c r="AD106" s="22"/>
      <c r="AE106" s="22"/>
      <c r="AF106" s="44"/>
      <c r="AG106" s="334"/>
      <c r="AH106" s="335"/>
      <c r="AI106" s="335"/>
      <c r="AJ106" s="335"/>
      <c r="AK106" s="335"/>
      <c r="AL106" s="335"/>
      <c r="AM106" s="336"/>
      <c r="AN106" s="390" t="s">
        <v>860</v>
      </c>
      <c r="AO106" s="391"/>
      <c r="AP106" s="391"/>
      <c r="AQ106" s="391"/>
      <c r="AR106" s="391"/>
      <c r="AS106" s="391"/>
      <c r="AT106" s="391"/>
      <c r="AU106" s="391"/>
      <c r="AV106" s="391"/>
      <c r="AW106" s="391"/>
      <c r="AX106" s="391"/>
      <c r="AY106" s="391"/>
      <c r="AZ106" s="391"/>
      <c r="BA106" s="391"/>
      <c r="BB106" s="391"/>
      <c r="BC106" s="391"/>
      <c r="BD106" s="391"/>
      <c r="BE106" s="391"/>
      <c r="BF106" s="391"/>
      <c r="BG106" s="391"/>
      <c r="BH106" s="391"/>
      <c r="BI106" s="391"/>
      <c r="BJ106" s="391"/>
      <c r="BK106" s="391"/>
      <c r="BL106" s="391"/>
      <c r="BM106" s="391"/>
      <c r="BN106" s="391"/>
      <c r="BO106" s="391"/>
      <c r="BP106" s="391"/>
      <c r="BQ106" s="391"/>
      <c r="BR106" s="391"/>
      <c r="BS106" s="391"/>
      <c r="BT106" s="391"/>
      <c r="BU106" s="391"/>
      <c r="BV106" s="391"/>
      <c r="BW106" s="391"/>
      <c r="BX106" s="391"/>
      <c r="BY106" s="391"/>
      <c r="BZ106" s="391"/>
      <c r="CA106" s="391"/>
      <c r="CB106" s="391"/>
      <c r="CC106" s="391"/>
      <c r="CD106" s="392"/>
    </row>
    <row r="107" spans="1:82" ht="12" customHeight="1">
      <c r="A107" s="405"/>
      <c r="B107" s="2"/>
      <c r="C107" s="22"/>
      <c r="D107" s="22"/>
      <c r="E107" s="45"/>
      <c r="F107" s="22"/>
      <c r="G107" s="22"/>
      <c r="H107" s="22"/>
      <c r="I107" s="45"/>
      <c r="J107" s="22"/>
      <c r="K107" s="22"/>
      <c r="L107" s="22"/>
      <c r="M107" s="22"/>
      <c r="N107" s="22"/>
      <c r="O107" s="22"/>
      <c r="P107" s="342"/>
      <c r="Q107" s="22"/>
      <c r="R107" s="22"/>
      <c r="S107" s="22"/>
      <c r="T107" s="22"/>
      <c r="U107" s="22"/>
      <c r="V107" s="22"/>
      <c r="W107" s="22"/>
      <c r="X107" s="22"/>
      <c r="Y107" s="22"/>
      <c r="Z107" s="22"/>
      <c r="AA107" s="22"/>
      <c r="AB107" s="22"/>
      <c r="AC107" s="22"/>
      <c r="AD107" s="22"/>
      <c r="AE107" s="22"/>
      <c r="AF107" s="44"/>
      <c r="AG107" s="334"/>
      <c r="AH107" s="335"/>
      <c r="AI107" s="335"/>
      <c r="AJ107" s="335"/>
      <c r="AK107" s="335"/>
      <c r="AL107" s="335"/>
      <c r="AM107" s="336"/>
      <c r="AN107" s="390" t="s">
        <v>861</v>
      </c>
      <c r="AO107" s="391"/>
      <c r="AP107" s="391"/>
      <c r="AQ107" s="391"/>
      <c r="AR107" s="391"/>
      <c r="AS107" s="391"/>
      <c r="AT107" s="391"/>
      <c r="AU107" s="391"/>
      <c r="AV107" s="391"/>
      <c r="AW107" s="391"/>
      <c r="AX107" s="391"/>
      <c r="AY107" s="391"/>
      <c r="AZ107" s="391"/>
      <c r="BA107" s="391"/>
      <c r="BB107" s="391"/>
      <c r="BC107" s="391"/>
      <c r="BD107" s="391"/>
      <c r="BE107" s="391"/>
      <c r="BF107" s="391"/>
      <c r="BG107" s="391"/>
      <c r="BH107" s="391"/>
      <c r="BI107" s="391"/>
      <c r="BJ107" s="391"/>
      <c r="BK107" s="391"/>
      <c r="BL107" s="391"/>
      <c r="BM107" s="391"/>
      <c r="BN107" s="391"/>
      <c r="BO107" s="391"/>
      <c r="BP107" s="391"/>
      <c r="BQ107" s="391"/>
      <c r="BR107" s="391"/>
      <c r="BS107" s="391"/>
      <c r="BT107" s="391"/>
      <c r="BU107" s="391"/>
      <c r="BV107" s="391"/>
      <c r="BW107" s="391"/>
      <c r="BX107" s="391"/>
      <c r="BY107" s="391"/>
      <c r="BZ107" s="391"/>
      <c r="CA107" s="391"/>
      <c r="CB107" s="391"/>
      <c r="CC107" s="391"/>
      <c r="CD107" s="392"/>
    </row>
    <row r="108" spans="1:82" ht="12" customHeight="1">
      <c r="A108" s="405"/>
      <c r="B108" s="2"/>
      <c r="C108" s="22"/>
      <c r="D108" s="22"/>
      <c r="E108" s="45"/>
      <c r="F108" s="22"/>
      <c r="G108" s="22"/>
      <c r="H108" s="22"/>
      <c r="I108" s="45"/>
      <c r="J108" s="22"/>
      <c r="K108" s="22"/>
      <c r="L108" s="22"/>
      <c r="M108" s="22"/>
      <c r="N108" s="22"/>
      <c r="O108" s="22"/>
      <c r="P108" s="342"/>
      <c r="Q108" s="22"/>
      <c r="R108" s="22"/>
      <c r="S108" s="22"/>
      <c r="T108" s="22"/>
      <c r="U108" s="22"/>
      <c r="V108" s="22"/>
      <c r="W108" s="22"/>
      <c r="X108" s="22"/>
      <c r="Y108" s="22"/>
      <c r="Z108" s="22"/>
      <c r="AA108" s="22"/>
      <c r="AB108" s="22"/>
      <c r="AC108" s="22"/>
      <c r="AD108" s="22"/>
      <c r="AE108" s="22"/>
      <c r="AF108" s="44"/>
      <c r="AG108" s="334"/>
      <c r="AH108" s="335"/>
      <c r="AI108" s="335"/>
      <c r="AJ108" s="335"/>
      <c r="AK108" s="335"/>
      <c r="AL108" s="335"/>
      <c r="AM108" s="336"/>
      <c r="AN108" s="390" t="s">
        <v>862</v>
      </c>
      <c r="AO108" s="391"/>
      <c r="AP108" s="391"/>
      <c r="AQ108" s="391"/>
      <c r="AR108" s="391"/>
      <c r="AS108" s="391"/>
      <c r="AT108" s="391"/>
      <c r="AU108" s="391"/>
      <c r="AV108" s="391"/>
      <c r="AW108" s="391"/>
      <c r="AX108" s="391"/>
      <c r="AY108" s="391"/>
      <c r="AZ108" s="391"/>
      <c r="BA108" s="391"/>
      <c r="BB108" s="391"/>
      <c r="BC108" s="391"/>
      <c r="BD108" s="391"/>
      <c r="BE108" s="391"/>
      <c r="BF108" s="391"/>
      <c r="BG108" s="391"/>
      <c r="BH108" s="391"/>
      <c r="BI108" s="391"/>
      <c r="BJ108" s="391"/>
      <c r="BK108" s="391"/>
      <c r="BL108" s="391"/>
      <c r="BM108" s="391"/>
      <c r="BN108" s="391"/>
      <c r="BO108" s="391"/>
      <c r="BP108" s="391"/>
      <c r="BQ108" s="391"/>
      <c r="BR108" s="391"/>
      <c r="BS108" s="391"/>
      <c r="BT108" s="391"/>
      <c r="BU108" s="391"/>
      <c r="BV108" s="391"/>
      <c r="BW108" s="391"/>
      <c r="BX108" s="391"/>
      <c r="BY108" s="391"/>
      <c r="BZ108" s="391"/>
      <c r="CA108" s="391"/>
      <c r="CB108" s="391"/>
      <c r="CC108" s="391"/>
      <c r="CD108" s="392"/>
    </row>
    <row r="109" spans="1:82" ht="12" customHeight="1">
      <c r="A109" s="405"/>
      <c r="B109" s="2"/>
      <c r="C109" s="22"/>
      <c r="D109" s="22"/>
      <c r="E109" s="45"/>
      <c r="F109" s="22"/>
      <c r="G109" s="22"/>
      <c r="H109" s="22"/>
      <c r="I109" s="45"/>
      <c r="J109" s="22"/>
      <c r="K109" s="22"/>
      <c r="L109" s="22"/>
      <c r="M109" s="22"/>
      <c r="N109" s="22"/>
      <c r="O109" s="22"/>
      <c r="P109" s="342"/>
      <c r="Q109" s="22"/>
      <c r="R109" s="22"/>
      <c r="S109" s="22"/>
      <c r="T109" s="22"/>
      <c r="U109" s="22"/>
      <c r="V109" s="22"/>
      <c r="W109" s="22"/>
      <c r="X109" s="22"/>
      <c r="Y109" s="22"/>
      <c r="Z109" s="22"/>
      <c r="AA109" s="22"/>
      <c r="AB109" s="22"/>
      <c r="AC109" s="22"/>
      <c r="AD109" s="22"/>
      <c r="AE109" s="22"/>
      <c r="AF109" s="44"/>
      <c r="AG109" s="334"/>
      <c r="AH109" s="335"/>
      <c r="AI109" s="335"/>
      <c r="AJ109" s="335"/>
      <c r="AK109" s="335"/>
      <c r="AL109" s="335"/>
      <c r="AM109" s="336"/>
      <c r="AN109" s="390" t="s">
        <v>863</v>
      </c>
      <c r="AO109" s="391"/>
      <c r="AP109" s="391"/>
      <c r="AQ109" s="391"/>
      <c r="AR109" s="391"/>
      <c r="AS109" s="391"/>
      <c r="AT109" s="391"/>
      <c r="AU109" s="391"/>
      <c r="AV109" s="391"/>
      <c r="AW109" s="391"/>
      <c r="AX109" s="391"/>
      <c r="AY109" s="391"/>
      <c r="AZ109" s="391"/>
      <c r="BA109" s="391"/>
      <c r="BB109" s="391"/>
      <c r="BC109" s="391"/>
      <c r="BD109" s="391"/>
      <c r="BE109" s="391"/>
      <c r="BF109" s="391"/>
      <c r="BG109" s="391"/>
      <c r="BH109" s="391"/>
      <c r="BI109" s="391"/>
      <c r="BJ109" s="391"/>
      <c r="BK109" s="391"/>
      <c r="BL109" s="391"/>
      <c r="BM109" s="391"/>
      <c r="BN109" s="391"/>
      <c r="BO109" s="391"/>
      <c r="BP109" s="391"/>
      <c r="BQ109" s="391"/>
      <c r="BR109" s="391"/>
      <c r="BS109" s="391"/>
      <c r="BT109" s="391"/>
      <c r="BU109" s="391"/>
      <c r="BV109" s="391"/>
      <c r="BW109" s="391"/>
      <c r="BX109" s="391"/>
      <c r="BY109" s="391"/>
      <c r="BZ109" s="391"/>
      <c r="CA109" s="391"/>
      <c r="CB109" s="391"/>
      <c r="CC109" s="391"/>
      <c r="CD109" s="392"/>
    </row>
    <row r="110" spans="1:82" ht="12" customHeight="1">
      <c r="A110" s="405"/>
      <c r="B110" s="2"/>
      <c r="C110" s="22"/>
      <c r="D110" s="22"/>
      <c r="E110" s="45"/>
      <c r="F110" s="22"/>
      <c r="G110" s="22"/>
      <c r="H110" s="22"/>
      <c r="I110" s="45"/>
      <c r="J110" s="22"/>
      <c r="K110" s="22"/>
      <c r="L110" s="22"/>
      <c r="M110" s="22"/>
      <c r="N110" s="22"/>
      <c r="O110" s="22"/>
      <c r="P110" s="342"/>
      <c r="Q110" s="22"/>
      <c r="R110" s="22"/>
      <c r="S110" s="22"/>
      <c r="T110" s="22"/>
      <c r="U110" s="22"/>
      <c r="V110" s="22"/>
      <c r="W110" s="22"/>
      <c r="X110" s="22"/>
      <c r="Y110" s="22"/>
      <c r="Z110" s="22"/>
      <c r="AA110" s="22"/>
      <c r="AB110" s="22"/>
      <c r="AC110" s="22"/>
      <c r="AD110" s="22"/>
      <c r="AE110" s="22"/>
      <c r="AF110" s="44"/>
      <c r="AG110" s="334"/>
      <c r="AH110" s="335"/>
      <c r="AI110" s="335"/>
      <c r="AJ110" s="335"/>
      <c r="AK110" s="335"/>
      <c r="AL110" s="335"/>
      <c r="AM110" s="336"/>
      <c r="AN110" s="390" t="s">
        <v>864</v>
      </c>
      <c r="AO110" s="391"/>
      <c r="AP110" s="391"/>
      <c r="AQ110" s="391"/>
      <c r="AR110" s="391"/>
      <c r="AS110" s="391"/>
      <c r="AT110" s="391"/>
      <c r="AU110" s="391"/>
      <c r="AV110" s="391"/>
      <c r="AW110" s="391"/>
      <c r="AX110" s="391"/>
      <c r="AY110" s="391"/>
      <c r="AZ110" s="391"/>
      <c r="BA110" s="391"/>
      <c r="BB110" s="391"/>
      <c r="BC110" s="391"/>
      <c r="BD110" s="391"/>
      <c r="BE110" s="391"/>
      <c r="BF110" s="391"/>
      <c r="BG110" s="391"/>
      <c r="BH110" s="391"/>
      <c r="BI110" s="391"/>
      <c r="BJ110" s="391"/>
      <c r="BK110" s="391"/>
      <c r="BL110" s="391"/>
      <c r="BM110" s="391"/>
      <c r="BN110" s="391"/>
      <c r="BO110" s="391"/>
      <c r="BP110" s="391"/>
      <c r="BQ110" s="391"/>
      <c r="BR110" s="391"/>
      <c r="BS110" s="391"/>
      <c r="BT110" s="391"/>
      <c r="BU110" s="391"/>
      <c r="BV110" s="391"/>
      <c r="BW110" s="391"/>
      <c r="BX110" s="391"/>
      <c r="BY110" s="391"/>
      <c r="BZ110" s="391"/>
      <c r="CA110" s="391"/>
      <c r="CB110" s="391"/>
      <c r="CC110" s="391"/>
      <c r="CD110" s="392"/>
    </row>
    <row r="111" spans="1:82" ht="12" customHeight="1">
      <c r="A111" s="405"/>
      <c r="B111" s="2"/>
      <c r="C111" s="22"/>
      <c r="D111" s="22"/>
      <c r="E111" s="45"/>
      <c r="F111" s="22"/>
      <c r="G111" s="22"/>
      <c r="H111" s="22"/>
      <c r="I111" s="248"/>
      <c r="J111" s="249"/>
      <c r="K111" s="249"/>
      <c r="L111" s="249"/>
      <c r="M111" s="249"/>
      <c r="N111" s="249"/>
      <c r="O111" s="249"/>
      <c r="P111" s="341"/>
      <c r="Q111" s="249"/>
      <c r="R111" s="249"/>
      <c r="S111" s="249"/>
      <c r="T111" s="249"/>
      <c r="U111" s="249"/>
      <c r="V111" s="249"/>
      <c r="W111" s="249"/>
      <c r="X111" s="249"/>
      <c r="Y111" s="249"/>
      <c r="Z111" s="249"/>
      <c r="AA111" s="249"/>
      <c r="AB111" s="249"/>
      <c r="AC111" s="249"/>
      <c r="AD111" s="249"/>
      <c r="AE111" s="249"/>
      <c r="AF111" s="329"/>
      <c r="AG111" s="337"/>
      <c r="AH111" s="338"/>
      <c r="AI111" s="338"/>
      <c r="AJ111" s="338"/>
      <c r="AK111" s="338"/>
      <c r="AL111" s="338"/>
      <c r="AM111" s="339"/>
      <c r="AN111" s="255"/>
      <c r="AO111" s="256"/>
      <c r="AP111" s="256"/>
      <c r="AQ111" s="256"/>
      <c r="AR111" s="256"/>
      <c r="AS111" s="256"/>
      <c r="AT111" s="256"/>
      <c r="AU111" s="256"/>
      <c r="AV111" s="256"/>
      <c r="AW111" s="256"/>
      <c r="AX111" s="256"/>
      <c r="AY111" s="256"/>
      <c r="AZ111" s="256"/>
      <c r="BA111" s="256"/>
      <c r="BB111" s="256"/>
      <c r="BC111" s="256"/>
      <c r="BD111" s="256"/>
      <c r="BE111" s="256"/>
      <c r="BF111" s="256"/>
      <c r="BG111" s="256"/>
      <c r="BH111" s="256"/>
      <c r="BI111" s="256"/>
      <c r="BJ111" s="256"/>
      <c r="BK111" s="256"/>
      <c r="BL111" s="256"/>
      <c r="BM111" s="256"/>
      <c r="BN111" s="256"/>
      <c r="BO111" s="256"/>
      <c r="BP111" s="256"/>
      <c r="BQ111" s="256"/>
      <c r="BR111" s="256"/>
      <c r="BS111" s="256"/>
      <c r="BT111" s="256"/>
      <c r="BU111" s="256"/>
      <c r="BV111" s="256"/>
      <c r="BW111" s="256"/>
      <c r="BX111" s="256"/>
      <c r="BY111" s="256"/>
      <c r="BZ111" s="256"/>
      <c r="CA111" s="256"/>
      <c r="CB111" s="256"/>
      <c r="CC111" s="256"/>
      <c r="CD111" s="257"/>
    </row>
    <row r="112" spans="1:82" ht="12" customHeight="1">
      <c r="A112" s="405"/>
      <c r="B112" s="2"/>
      <c r="C112" s="22"/>
      <c r="D112" s="22"/>
      <c r="E112" s="45"/>
      <c r="F112" s="22"/>
      <c r="G112" s="22"/>
      <c r="H112" s="22"/>
      <c r="I112" s="161" t="s">
        <v>444</v>
      </c>
      <c r="J112" s="160"/>
      <c r="K112" s="160"/>
      <c r="L112" s="160"/>
      <c r="M112" s="160"/>
      <c r="N112" s="160"/>
      <c r="O112" s="160"/>
      <c r="P112" s="160"/>
      <c r="Q112" s="160"/>
      <c r="R112" s="160"/>
      <c r="S112" s="160"/>
      <c r="T112" s="160"/>
      <c r="U112" s="160"/>
      <c r="V112" s="160"/>
      <c r="W112" s="160"/>
      <c r="X112" s="160"/>
      <c r="Y112" s="160"/>
      <c r="Z112" s="160"/>
      <c r="AA112" s="160"/>
      <c r="AB112" s="160"/>
      <c r="AC112" s="160"/>
      <c r="AD112" s="160"/>
      <c r="AE112" s="160"/>
      <c r="AF112" s="159"/>
      <c r="AG112" s="688" t="s">
        <v>1062</v>
      </c>
      <c r="AH112" s="689"/>
      <c r="AI112" s="689"/>
      <c r="AJ112" s="689"/>
      <c r="AK112" s="689"/>
      <c r="AL112" s="689"/>
      <c r="AM112" s="690"/>
      <c r="AN112" s="406" t="s">
        <v>1064</v>
      </c>
      <c r="AO112" s="407"/>
      <c r="AP112" s="407"/>
      <c r="AQ112" s="407"/>
      <c r="AR112" s="407"/>
      <c r="AS112" s="407"/>
      <c r="AT112" s="407"/>
      <c r="AU112" s="407"/>
      <c r="AV112" s="407"/>
      <c r="AW112" s="407"/>
      <c r="AX112" s="407"/>
      <c r="AY112" s="407"/>
      <c r="AZ112" s="407"/>
      <c r="BA112" s="407"/>
      <c r="BB112" s="407"/>
      <c r="BC112" s="407"/>
      <c r="BD112" s="407"/>
      <c r="BE112" s="407"/>
      <c r="BF112" s="407"/>
      <c r="BG112" s="407"/>
      <c r="BH112" s="407"/>
      <c r="BI112" s="407"/>
      <c r="BJ112" s="407"/>
      <c r="BK112" s="407"/>
      <c r="BL112" s="407"/>
      <c r="BM112" s="407"/>
      <c r="BN112" s="407"/>
      <c r="BO112" s="407"/>
      <c r="BP112" s="407"/>
      <c r="BQ112" s="407"/>
      <c r="BR112" s="407"/>
      <c r="BS112" s="407"/>
      <c r="BT112" s="407"/>
      <c r="BU112" s="407"/>
      <c r="BV112" s="407"/>
      <c r="BW112" s="407"/>
      <c r="BX112" s="407"/>
      <c r="BY112" s="407"/>
      <c r="BZ112" s="407"/>
      <c r="CA112" s="407"/>
      <c r="CB112" s="407"/>
      <c r="CC112" s="407"/>
      <c r="CD112" s="408"/>
    </row>
    <row r="113" spans="1:82" ht="12" customHeight="1">
      <c r="A113" s="55"/>
      <c r="B113" s="3"/>
      <c r="C113" s="3"/>
      <c r="D113" s="3"/>
      <c r="E113" s="390"/>
      <c r="F113" s="391"/>
      <c r="G113" s="391"/>
      <c r="H113" s="391"/>
      <c r="I113" s="103" t="s">
        <v>865</v>
      </c>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99"/>
      <c r="AG113" s="685">
        <v>10</v>
      </c>
      <c r="AH113" s="686"/>
      <c r="AI113" s="686"/>
      <c r="AJ113" s="686"/>
      <c r="AK113" s="686"/>
      <c r="AL113" s="686"/>
      <c r="AM113" s="687"/>
      <c r="AN113" s="406" t="s">
        <v>1068</v>
      </c>
      <c r="AO113" s="407"/>
      <c r="AP113" s="407"/>
      <c r="AQ113" s="407"/>
      <c r="AR113" s="407"/>
      <c r="AS113" s="407"/>
      <c r="AT113" s="407"/>
      <c r="AU113" s="407"/>
      <c r="AV113" s="407"/>
      <c r="AW113" s="407"/>
      <c r="AX113" s="407"/>
      <c r="AY113" s="407"/>
      <c r="AZ113" s="407"/>
      <c r="BA113" s="407"/>
      <c r="BB113" s="407"/>
      <c r="BC113" s="407"/>
      <c r="BD113" s="407"/>
      <c r="BE113" s="407"/>
      <c r="BF113" s="407"/>
      <c r="BG113" s="407"/>
      <c r="BH113" s="407"/>
      <c r="BI113" s="407"/>
      <c r="BJ113" s="407"/>
      <c r="BK113" s="407"/>
      <c r="BL113" s="407"/>
      <c r="BM113" s="407"/>
      <c r="BN113" s="407"/>
      <c r="BO113" s="407"/>
      <c r="BP113" s="407"/>
      <c r="BQ113" s="407"/>
      <c r="BR113" s="407"/>
      <c r="BS113" s="407"/>
      <c r="BT113" s="407"/>
      <c r="BU113" s="407"/>
      <c r="BV113" s="407"/>
      <c r="BW113" s="407"/>
      <c r="BX113" s="407"/>
      <c r="BY113" s="407"/>
      <c r="BZ113" s="407"/>
      <c r="CA113" s="407"/>
      <c r="CB113" s="407"/>
      <c r="CC113" s="407"/>
      <c r="CD113" s="408"/>
    </row>
    <row r="114" spans="1:82" ht="12" customHeight="1">
      <c r="A114" s="55"/>
      <c r="B114" s="3"/>
      <c r="C114" s="3"/>
      <c r="D114" s="3"/>
      <c r="E114" s="393"/>
      <c r="F114" s="394"/>
      <c r="G114" s="394"/>
      <c r="H114" s="394"/>
      <c r="I114" s="375" t="s">
        <v>454</v>
      </c>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0"/>
      <c r="AG114" s="676">
        <v>1</v>
      </c>
      <c r="AH114" s="677"/>
      <c r="AI114" s="677"/>
      <c r="AJ114" s="677"/>
      <c r="AK114" s="677"/>
      <c r="AL114" s="677"/>
      <c r="AM114" s="678"/>
      <c r="AN114" s="409" t="s">
        <v>1069</v>
      </c>
      <c r="AO114" s="410"/>
      <c r="AP114" s="410"/>
      <c r="AQ114" s="410"/>
      <c r="AR114" s="410"/>
      <c r="AS114" s="410"/>
      <c r="AT114" s="410"/>
      <c r="AU114" s="410"/>
      <c r="AV114" s="410"/>
      <c r="AW114" s="410"/>
      <c r="AX114" s="410"/>
      <c r="AY114" s="410"/>
      <c r="AZ114" s="410"/>
      <c r="BA114" s="410"/>
      <c r="BB114" s="410"/>
      <c r="BC114" s="410"/>
      <c r="BD114" s="410"/>
      <c r="BE114" s="410"/>
      <c r="BF114" s="410"/>
      <c r="BG114" s="410"/>
      <c r="BH114" s="410"/>
      <c r="BI114" s="410"/>
      <c r="BJ114" s="410"/>
      <c r="BK114" s="410"/>
      <c r="BL114" s="410"/>
      <c r="BM114" s="410"/>
      <c r="BN114" s="410"/>
      <c r="BO114" s="410"/>
      <c r="BP114" s="410"/>
      <c r="BQ114" s="410"/>
      <c r="BR114" s="410"/>
      <c r="BS114" s="410"/>
      <c r="BT114" s="410"/>
      <c r="BU114" s="410"/>
      <c r="BV114" s="410"/>
      <c r="BW114" s="410"/>
      <c r="BX114" s="410"/>
      <c r="BY114" s="410"/>
      <c r="BZ114" s="410"/>
      <c r="CA114" s="410"/>
      <c r="CB114" s="410"/>
      <c r="CC114" s="410"/>
      <c r="CD114" s="411"/>
    </row>
    <row r="115" spans="1:82" ht="12" customHeight="1">
      <c r="A115" s="55"/>
      <c r="B115" s="3"/>
      <c r="C115" s="3"/>
      <c r="D115" s="3"/>
      <c r="E115" s="3"/>
      <c r="F115" s="3"/>
      <c r="G115" s="3"/>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322"/>
      <c r="AF115" s="322"/>
      <c r="AG115" s="322"/>
      <c r="AH115" s="322"/>
      <c r="AI115" s="322"/>
      <c r="AJ115" s="322"/>
      <c r="AK115" s="322"/>
      <c r="AL115" s="322"/>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c r="BX115" s="41"/>
      <c r="BY115" s="41"/>
      <c r="BZ115" s="41"/>
      <c r="CA115" s="41"/>
      <c r="CB115" s="41"/>
      <c r="CC115" s="41"/>
    </row>
    <row r="116" spans="1:82" ht="12" customHeight="1">
      <c r="A116" s="55"/>
      <c r="B116" s="3"/>
      <c r="C116" s="3"/>
      <c r="D116" s="3"/>
      <c r="E116" s="3"/>
      <c r="F116" s="3"/>
      <c r="G116" s="3"/>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322"/>
      <c r="AF116" s="322"/>
      <c r="AG116" s="322"/>
      <c r="AH116" s="322"/>
      <c r="AI116" s="322"/>
      <c r="AJ116" s="322"/>
      <c r="AK116" s="322"/>
      <c r="AL116" s="322"/>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c r="BX116" s="41"/>
      <c r="BY116" s="41"/>
      <c r="BZ116" s="41"/>
      <c r="CA116" s="41"/>
      <c r="CB116" s="41"/>
      <c r="CC116" s="41"/>
    </row>
    <row r="117" spans="1:82" ht="12" customHeight="1">
      <c r="A117" s="55"/>
      <c r="B117" s="3"/>
      <c r="C117" s="3"/>
      <c r="D117" s="3"/>
      <c r="E117" s="3"/>
      <c r="F117" s="3"/>
      <c r="G117" s="3"/>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322"/>
      <c r="AF117" s="322"/>
      <c r="AG117" s="322"/>
      <c r="AH117" s="322"/>
      <c r="AI117" s="322"/>
      <c r="AJ117" s="322"/>
      <c r="AK117" s="322"/>
      <c r="AL117" s="322"/>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row>
    <row r="118" spans="1:82" ht="12" customHeight="1">
      <c r="A118" s="55"/>
      <c r="B118" s="3"/>
      <c r="C118" s="3"/>
      <c r="D118" s="3"/>
      <c r="E118" s="3"/>
      <c r="F118" s="3"/>
      <c r="G118" s="3"/>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322"/>
      <c r="AF118" s="322"/>
      <c r="AG118" s="322"/>
      <c r="AH118" s="322"/>
      <c r="AI118" s="322"/>
      <c r="AJ118" s="322"/>
      <c r="AK118" s="322"/>
      <c r="AL118" s="322"/>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c r="BX118" s="41"/>
      <c r="BY118" s="41"/>
      <c r="BZ118" s="41"/>
      <c r="CA118" s="41"/>
      <c r="CB118" s="41"/>
      <c r="CC118" s="41"/>
    </row>
    <row r="119" spans="1:82" ht="12" customHeight="1">
      <c r="A119" s="55"/>
      <c r="B119" s="3"/>
      <c r="C119" s="3"/>
      <c r="D119" s="3"/>
      <c r="E119" s="3"/>
      <c r="F119" s="3"/>
      <c r="G119" s="3"/>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322"/>
      <c r="AF119" s="322"/>
      <c r="AG119" s="322"/>
      <c r="AH119" s="322"/>
      <c r="AI119" s="322"/>
      <c r="AJ119" s="322"/>
      <c r="AK119" s="322"/>
      <c r="AL119" s="322"/>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row>
    <row r="120" spans="1:82" ht="12" customHeight="1">
      <c r="A120" s="55"/>
      <c r="B120" s="3"/>
      <c r="C120" s="3"/>
      <c r="D120" s="3"/>
      <c r="E120" s="3"/>
      <c r="F120" s="3"/>
      <c r="G120" s="3"/>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322"/>
      <c r="AF120" s="322"/>
      <c r="AG120" s="322"/>
      <c r="AH120" s="322"/>
      <c r="AI120" s="322"/>
      <c r="AJ120" s="322"/>
      <c r="AK120" s="322"/>
      <c r="AL120" s="322"/>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c r="BX120" s="41"/>
      <c r="BY120" s="41"/>
      <c r="BZ120" s="41"/>
      <c r="CA120" s="41"/>
      <c r="CB120" s="41"/>
      <c r="CC120" s="41"/>
    </row>
    <row r="121" spans="1:82" ht="12" customHeight="1">
      <c r="A121" s="55"/>
      <c r="B121" s="3"/>
      <c r="C121" s="3"/>
      <c r="D121" s="3"/>
      <c r="E121" s="3"/>
      <c r="F121" s="3"/>
      <c r="G121" s="3"/>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322"/>
      <c r="AF121" s="322"/>
      <c r="AG121" s="322"/>
      <c r="AH121" s="322"/>
      <c r="AI121" s="322"/>
      <c r="AJ121" s="322"/>
      <c r="AK121" s="322"/>
      <c r="AL121" s="322"/>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41"/>
      <c r="BV121" s="41"/>
      <c r="BW121" s="41"/>
      <c r="BX121" s="41"/>
      <c r="BY121" s="41"/>
      <c r="BZ121" s="41"/>
      <c r="CA121" s="41"/>
      <c r="CB121" s="41"/>
      <c r="CC121" s="41"/>
    </row>
    <row r="122" spans="1:82" ht="12" customHeight="1">
      <c r="A122" s="55"/>
      <c r="B122" s="3"/>
      <c r="C122" s="3"/>
      <c r="D122" s="3"/>
      <c r="E122" s="3"/>
      <c r="F122" s="3"/>
      <c r="G122" s="3"/>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322"/>
      <c r="AF122" s="322"/>
      <c r="AG122" s="322"/>
      <c r="AH122" s="322"/>
      <c r="AI122" s="322"/>
      <c r="AJ122" s="322"/>
      <c r="AK122" s="322"/>
      <c r="AL122" s="322"/>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41"/>
    </row>
    <row r="123" spans="1:82" ht="12" customHeight="1">
      <c r="A123" s="55"/>
      <c r="B123" s="3"/>
      <c r="C123" s="3"/>
      <c r="D123" s="3"/>
      <c r="E123" s="3"/>
      <c r="F123" s="3"/>
      <c r="G123" s="3"/>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322"/>
      <c r="AF123" s="322"/>
      <c r="AG123" s="322"/>
      <c r="AH123" s="322"/>
      <c r="AI123" s="322"/>
      <c r="AJ123" s="322"/>
      <c r="AK123" s="322"/>
      <c r="AL123" s="322"/>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41"/>
      <c r="BV123" s="41"/>
      <c r="BW123" s="41"/>
      <c r="BX123" s="41"/>
      <c r="BY123" s="41"/>
      <c r="BZ123" s="41"/>
      <c r="CA123" s="41"/>
      <c r="CB123" s="41"/>
      <c r="CC123" s="41"/>
    </row>
    <row r="124" spans="1:82" ht="12" customHeight="1">
      <c r="A124" s="55"/>
      <c r="B124" s="3"/>
      <c r="C124" s="3"/>
      <c r="D124" s="3"/>
      <c r="E124" s="3"/>
      <c r="F124" s="3"/>
      <c r="G124" s="3"/>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322"/>
      <c r="AF124" s="322"/>
      <c r="AG124" s="322"/>
      <c r="AH124" s="322"/>
      <c r="AI124" s="322"/>
      <c r="AJ124" s="322"/>
      <c r="AK124" s="322"/>
      <c r="AL124" s="322"/>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row>
    <row r="125" spans="1:82" ht="12" customHeight="1">
      <c r="A125" s="55"/>
      <c r="B125" s="362"/>
      <c r="C125" s="362"/>
      <c r="D125" s="362"/>
      <c r="E125" s="362"/>
      <c r="F125" s="362"/>
      <c r="G125" s="362"/>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322"/>
      <c r="AF125" s="322"/>
      <c r="AG125" s="322"/>
      <c r="AH125" s="322"/>
      <c r="AI125" s="322"/>
      <c r="AJ125" s="322"/>
      <c r="AK125" s="322"/>
      <c r="AL125" s="322"/>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41"/>
    </row>
    <row r="126" spans="1:82" ht="12" customHeight="1">
      <c r="A126" s="55"/>
      <c r="B126" s="362"/>
      <c r="C126" s="362"/>
      <c r="D126" s="362"/>
      <c r="E126" s="362"/>
      <c r="F126" s="362"/>
      <c r="G126" s="362"/>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322"/>
      <c r="AF126" s="322"/>
      <c r="AG126" s="322"/>
      <c r="AH126" s="322"/>
      <c r="AI126" s="322"/>
      <c r="AJ126" s="322"/>
      <c r="AK126" s="322"/>
      <c r="AL126" s="322"/>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c r="BX126" s="41"/>
      <c r="BY126" s="41"/>
      <c r="BZ126" s="41"/>
      <c r="CA126" s="41"/>
      <c r="CB126" s="41"/>
      <c r="CC126" s="41"/>
    </row>
    <row r="127" spans="1:82" ht="12" customHeight="1">
      <c r="A127" s="55"/>
      <c r="B127" s="3"/>
      <c r="C127" s="3"/>
      <c r="D127" s="3"/>
      <c r="E127" s="3"/>
      <c r="F127" s="3"/>
      <c r="G127" s="3"/>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322"/>
      <c r="AF127" s="322"/>
      <c r="AG127" s="322"/>
      <c r="AH127" s="322"/>
      <c r="AI127" s="322"/>
      <c r="AJ127" s="322"/>
      <c r="AK127" s="322"/>
      <c r="AL127" s="322"/>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41"/>
      <c r="BV127" s="41"/>
      <c r="BW127" s="41"/>
      <c r="BX127" s="41"/>
      <c r="BY127" s="41"/>
      <c r="BZ127" s="41"/>
      <c r="CA127" s="41"/>
      <c r="CB127" s="41"/>
      <c r="CC127" s="41"/>
    </row>
    <row r="128" spans="1:82" ht="12" customHeight="1">
      <c r="A128" s="55"/>
      <c r="B128" s="3"/>
      <c r="C128" s="3"/>
      <c r="D128" s="3"/>
      <c r="E128" s="3"/>
      <c r="F128" s="3"/>
      <c r="G128" s="3"/>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322"/>
      <c r="AF128" s="322"/>
      <c r="AG128" s="322"/>
      <c r="AH128" s="322"/>
      <c r="AI128" s="322"/>
      <c r="AJ128" s="322"/>
      <c r="AK128" s="322"/>
      <c r="AL128" s="322"/>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c r="CB128" s="41"/>
      <c r="CC128" s="41"/>
    </row>
    <row r="129" spans="1:101" ht="12" customHeight="1">
      <c r="A129" s="55"/>
      <c r="B129" s="3"/>
      <c r="C129" s="3"/>
      <c r="D129" s="3"/>
      <c r="E129" s="3"/>
      <c r="F129" s="3"/>
      <c r="G129" s="3"/>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322"/>
      <c r="AF129" s="322"/>
      <c r="AG129" s="322"/>
      <c r="AH129" s="322"/>
      <c r="AI129" s="322"/>
      <c r="AJ129" s="322"/>
      <c r="AK129" s="322"/>
      <c r="AL129" s="322"/>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row>
    <row r="130" spans="1:101" ht="12" customHeight="1">
      <c r="A130" s="55"/>
      <c r="B130" s="3"/>
      <c r="C130" s="3"/>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c r="BM130" s="55"/>
      <c r="BN130" s="55"/>
      <c r="BO130" s="55"/>
      <c r="BP130" s="55"/>
      <c r="BQ130" s="55"/>
      <c r="BR130" s="55"/>
      <c r="BS130" s="55"/>
      <c r="BT130" s="55"/>
      <c r="BU130" s="55"/>
      <c r="BV130" s="55"/>
      <c r="BW130" s="55"/>
      <c r="BX130" s="55"/>
      <c r="BY130" s="55"/>
      <c r="BZ130" s="55"/>
      <c r="CA130" s="55"/>
      <c r="CB130" s="55"/>
      <c r="CC130" s="3"/>
      <c r="CD130" s="3"/>
      <c r="CF130" s="2"/>
      <c r="CG130" s="2"/>
      <c r="CH130" s="2"/>
      <c r="CI130" s="2"/>
      <c r="CJ130" s="2"/>
      <c r="CK130" s="2"/>
      <c r="CL130" s="2"/>
      <c r="CM130" s="2"/>
      <c r="CN130" s="2"/>
      <c r="CO130" s="2"/>
      <c r="CP130" s="2"/>
      <c r="CQ130" s="2"/>
      <c r="CR130" s="2"/>
      <c r="CS130" s="2"/>
      <c r="CT130" s="2"/>
      <c r="CU130" s="2"/>
      <c r="CV130" s="2"/>
      <c r="CW130" s="2"/>
    </row>
    <row r="131" spans="1:101" ht="12" customHeight="1">
      <c r="A131" s="55"/>
      <c r="B131" s="3"/>
      <c r="C131" s="3"/>
      <c r="D131" s="55"/>
      <c r="E131" s="22" t="s">
        <v>840</v>
      </c>
      <c r="F131" s="55"/>
      <c r="G131" s="55"/>
      <c r="H131" s="55"/>
      <c r="I131" s="55"/>
      <c r="J131" s="55"/>
      <c r="K131" s="55"/>
      <c r="L131" s="55"/>
      <c r="M131" s="55"/>
      <c r="N131" s="55"/>
      <c r="O131" s="55"/>
      <c r="P131" s="55"/>
      <c r="Q131" s="55"/>
      <c r="R131" s="55"/>
      <c r="S131" s="55"/>
      <c r="T131" s="55"/>
      <c r="U131" s="55"/>
      <c r="V131" s="55"/>
      <c r="W131" s="55"/>
      <c r="X131" s="55"/>
      <c r="Y131" s="55"/>
      <c r="Z131" s="55"/>
      <c r="AA131" s="313"/>
      <c r="AB131" s="313"/>
      <c r="AC131" s="313"/>
      <c r="AD131" s="313"/>
      <c r="AE131" s="313"/>
      <c r="AF131" s="313"/>
      <c r="AG131" s="313"/>
      <c r="AH131" s="313"/>
      <c r="AI131" s="313"/>
      <c r="AJ131" s="313"/>
      <c r="AK131" s="313"/>
      <c r="AL131" s="313"/>
      <c r="AM131" s="313"/>
      <c r="AN131" s="313"/>
      <c r="AO131" s="313"/>
      <c r="AP131" s="313"/>
      <c r="AQ131" s="313"/>
      <c r="AR131" s="313"/>
      <c r="AS131" s="55"/>
      <c r="AT131" s="55"/>
      <c r="AU131" s="55"/>
      <c r="AV131" s="55"/>
      <c r="AW131" s="55"/>
      <c r="AX131" s="55"/>
      <c r="AY131" s="55"/>
      <c r="AZ131" s="55"/>
      <c r="BA131" s="55"/>
      <c r="BB131" s="55"/>
      <c r="BC131" s="55"/>
      <c r="BD131" s="55"/>
      <c r="BE131" s="55"/>
      <c r="BF131" s="55"/>
      <c r="BG131" s="55"/>
      <c r="BH131" s="55"/>
      <c r="BI131" s="55"/>
      <c r="BJ131" s="55"/>
      <c r="BK131" s="55"/>
      <c r="BL131" s="55"/>
      <c r="BM131" s="55"/>
      <c r="BN131" s="55"/>
      <c r="BO131" s="55"/>
      <c r="BP131" s="55"/>
      <c r="BQ131" s="55"/>
      <c r="BR131" s="55"/>
      <c r="BS131" s="55"/>
      <c r="BT131" s="55"/>
      <c r="BU131" s="55"/>
      <c r="BV131" s="55"/>
      <c r="BW131" s="55"/>
      <c r="BX131" s="55"/>
      <c r="BY131" s="55"/>
      <c r="BZ131" s="55"/>
      <c r="CA131" s="55"/>
      <c r="CB131" s="55"/>
      <c r="CC131" s="3"/>
      <c r="CD131" s="3"/>
      <c r="CF131" s="2"/>
      <c r="CG131" s="2"/>
      <c r="CH131" s="2"/>
      <c r="CI131" s="2"/>
      <c r="CJ131" s="2"/>
      <c r="CK131" s="2"/>
      <c r="CL131" s="2"/>
      <c r="CM131" s="2"/>
      <c r="CN131" s="2"/>
      <c r="CO131" s="2"/>
      <c r="CP131" s="2"/>
      <c r="CQ131" s="2"/>
      <c r="CR131" s="2"/>
      <c r="CS131" s="2"/>
      <c r="CT131" s="2"/>
      <c r="CU131" s="2"/>
      <c r="CV131" s="2"/>
      <c r="CW131" s="2"/>
    </row>
    <row r="132" spans="1:101" ht="12" customHeight="1">
      <c r="A132" s="405"/>
      <c r="B132" s="2"/>
      <c r="C132" s="22"/>
      <c r="D132" s="22"/>
      <c r="E132" s="208" t="s">
        <v>921</v>
      </c>
      <c r="F132" s="209"/>
      <c r="G132" s="209"/>
      <c r="H132" s="209"/>
      <c r="I132" s="323" t="s">
        <v>443</v>
      </c>
      <c r="J132" s="324"/>
      <c r="K132" s="324"/>
      <c r="L132" s="324"/>
      <c r="M132" s="324"/>
      <c r="N132" s="324"/>
      <c r="O132" s="324"/>
      <c r="P132" s="324"/>
      <c r="Q132" s="324"/>
      <c r="R132" s="324"/>
      <c r="S132" s="324"/>
      <c r="T132" s="324"/>
      <c r="U132" s="324"/>
      <c r="V132" s="324"/>
      <c r="W132" s="324"/>
      <c r="X132" s="324"/>
      <c r="Y132" s="324"/>
      <c r="Z132" s="324"/>
      <c r="AA132" s="324"/>
      <c r="AB132" s="324"/>
      <c r="AC132" s="324"/>
      <c r="AD132" s="324"/>
      <c r="AE132" s="324"/>
      <c r="AF132" s="325"/>
      <c r="AG132" s="323" t="s">
        <v>866</v>
      </c>
      <c r="AH132" s="324"/>
      <c r="AI132" s="324"/>
      <c r="AJ132" s="324"/>
      <c r="AK132" s="324"/>
      <c r="AL132" s="324"/>
      <c r="AM132" s="325"/>
      <c r="AN132" s="171" t="s">
        <v>867</v>
      </c>
      <c r="AO132" s="172"/>
      <c r="AP132" s="172"/>
      <c r="AQ132" s="172"/>
      <c r="AR132" s="172"/>
      <c r="AS132" s="172"/>
      <c r="AT132" s="172"/>
      <c r="AU132" s="172"/>
      <c r="AV132" s="172"/>
      <c r="AW132" s="172"/>
      <c r="AX132" s="172"/>
      <c r="AY132" s="172"/>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3"/>
    </row>
    <row r="133" spans="1:101" ht="12" customHeight="1">
      <c r="A133" s="405"/>
      <c r="B133" s="2"/>
      <c r="C133" s="22"/>
      <c r="D133" s="22"/>
      <c r="E133" s="396" t="s">
        <v>320</v>
      </c>
      <c r="F133" s="397"/>
      <c r="G133" s="397"/>
      <c r="H133" s="397"/>
      <c r="I133" s="396" t="s">
        <v>927</v>
      </c>
      <c r="J133" s="397"/>
      <c r="K133" s="397"/>
      <c r="L133" s="397"/>
      <c r="M133" s="397"/>
      <c r="N133" s="397"/>
      <c r="O133" s="358"/>
      <c r="P133" s="397" t="s">
        <v>923</v>
      </c>
      <c r="Q133" s="397"/>
      <c r="R133" s="397"/>
      <c r="S133" s="397"/>
      <c r="T133" s="397"/>
      <c r="U133" s="397"/>
      <c r="V133" s="397"/>
      <c r="W133" s="397"/>
      <c r="X133" s="397"/>
      <c r="Y133" s="397"/>
      <c r="Z133" s="397"/>
      <c r="AA133" s="397"/>
      <c r="AB133" s="397"/>
      <c r="AC133" s="397"/>
      <c r="AD133" s="397"/>
      <c r="AE133" s="397"/>
      <c r="AF133" s="398"/>
      <c r="AG133" s="679">
        <v>4</v>
      </c>
      <c r="AH133" s="680"/>
      <c r="AI133" s="680"/>
      <c r="AJ133" s="680"/>
      <c r="AK133" s="680"/>
      <c r="AL133" s="680"/>
      <c r="AM133" s="681"/>
      <c r="AN133" s="162" t="s">
        <v>868</v>
      </c>
      <c r="AO133" s="388"/>
      <c r="AP133" s="388"/>
      <c r="AQ133" s="388"/>
      <c r="AR133" s="388"/>
      <c r="AS133" s="388"/>
      <c r="AT133" s="388"/>
      <c r="AU133" s="388"/>
      <c r="AV133" s="388"/>
      <c r="AW133" s="388"/>
      <c r="AX133" s="388"/>
      <c r="AY133" s="388"/>
      <c r="AZ133" s="388"/>
      <c r="BA133" s="388"/>
      <c r="BB133" s="388"/>
      <c r="BC133" s="388"/>
      <c r="BD133" s="388"/>
      <c r="BE133" s="388"/>
      <c r="BF133" s="388"/>
      <c r="BG133" s="388"/>
      <c r="BH133" s="388"/>
      <c r="BI133" s="388"/>
      <c r="BJ133" s="388"/>
      <c r="BK133" s="388"/>
      <c r="BL133" s="388"/>
      <c r="BM133" s="388"/>
      <c r="BN133" s="388"/>
      <c r="BO133" s="388"/>
      <c r="BP133" s="388"/>
      <c r="BQ133" s="388"/>
      <c r="BR133" s="388"/>
      <c r="BS133" s="388"/>
      <c r="BT133" s="388"/>
      <c r="BU133" s="388"/>
      <c r="BV133" s="388"/>
      <c r="BW133" s="388"/>
      <c r="BX133" s="388"/>
      <c r="BY133" s="388"/>
      <c r="BZ133" s="388"/>
      <c r="CA133" s="388"/>
      <c r="CB133" s="388"/>
      <c r="CC133" s="388"/>
      <c r="CD133" s="389"/>
    </row>
    <row r="134" spans="1:101" ht="12" customHeight="1">
      <c r="A134" s="405"/>
      <c r="B134" s="2"/>
      <c r="C134" s="22"/>
      <c r="D134" s="22"/>
      <c r="E134" s="45"/>
      <c r="F134" s="22"/>
      <c r="G134" s="22"/>
      <c r="H134" s="22"/>
      <c r="I134" s="45"/>
      <c r="J134" s="22"/>
      <c r="K134" s="22"/>
      <c r="L134" s="22"/>
      <c r="M134" s="22"/>
      <c r="N134" s="22"/>
      <c r="O134" s="359"/>
      <c r="P134" s="22"/>
      <c r="Q134" s="22"/>
      <c r="R134" s="22"/>
      <c r="S134" s="22"/>
      <c r="T134" s="22"/>
      <c r="U134" s="22"/>
      <c r="V134" s="22"/>
      <c r="W134" s="22"/>
      <c r="X134" s="22"/>
      <c r="Y134" s="22"/>
      <c r="Z134" s="22"/>
      <c r="AA134" s="22"/>
      <c r="AB134" s="22"/>
      <c r="AC134" s="22"/>
      <c r="AD134" s="22"/>
      <c r="AE134" s="22"/>
      <c r="AF134" s="44"/>
      <c r="AG134" s="326"/>
      <c r="AH134" s="327"/>
      <c r="AI134" s="327"/>
      <c r="AJ134" s="327"/>
      <c r="AK134" s="327"/>
      <c r="AL134" s="327"/>
      <c r="AM134" s="328"/>
      <c r="AN134" s="390" t="s">
        <v>869</v>
      </c>
      <c r="AO134" s="391"/>
      <c r="AP134" s="391"/>
      <c r="AQ134" s="391"/>
      <c r="AR134" s="391"/>
      <c r="AS134" s="391"/>
      <c r="AT134" s="391"/>
      <c r="AU134" s="391"/>
      <c r="AV134" s="391"/>
      <c r="AW134" s="391"/>
      <c r="AX134" s="391"/>
      <c r="AY134" s="391"/>
      <c r="AZ134" s="391"/>
      <c r="BA134" s="391"/>
      <c r="BB134" s="391"/>
      <c r="BC134" s="391"/>
      <c r="BD134" s="391"/>
      <c r="BE134" s="391"/>
      <c r="BF134" s="391"/>
      <c r="BG134" s="391"/>
      <c r="BH134" s="391"/>
      <c r="BI134" s="391"/>
      <c r="BJ134" s="391"/>
      <c r="BK134" s="391"/>
      <c r="BL134" s="391"/>
      <c r="BM134" s="391"/>
      <c r="BN134" s="391"/>
      <c r="BO134" s="391"/>
      <c r="BP134" s="391"/>
      <c r="BQ134" s="391"/>
      <c r="BR134" s="391"/>
      <c r="BS134" s="391"/>
      <c r="BT134" s="391"/>
      <c r="BU134" s="391"/>
      <c r="BV134" s="391"/>
      <c r="BW134" s="391"/>
      <c r="BX134" s="391"/>
      <c r="BY134" s="391"/>
      <c r="BZ134" s="391"/>
      <c r="CA134" s="391"/>
      <c r="CB134" s="391"/>
      <c r="CC134" s="391"/>
      <c r="CD134" s="392"/>
    </row>
    <row r="135" spans="1:101" ht="12" customHeight="1">
      <c r="A135" s="405"/>
      <c r="B135" s="2"/>
      <c r="C135" s="22"/>
      <c r="D135" s="22"/>
      <c r="E135" s="45"/>
      <c r="F135" s="22"/>
      <c r="G135" s="22"/>
      <c r="H135" s="22"/>
      <c r="I135" s="45"/>
      <c r="J135" s="22"/>
      <c r="K135" s="22"/>
      <c r="L135" s="22"/>
      <c r="M135" s="22"/>
      <c r="N135" s="22"/>
      <c r="O135" s="359"/>
      <c r="P135" s="22"/>
      <c r="Q135" s="22"/>
      <c r="R135" s="22"/>
      <c r="S135" s="22"/>
      <c r="T135" s="22"/>
      <c r="U135" s="22"/>
      <c r="V135" s="22"/>
      <c r="W135" s="22"/>
      <c r="X135" s="22"/>
      <c r="Y135" s="22"/>
      <c r="Z135" s="22"/>
      <c r="AA135" s="22"/>
      <c r="AB135" s="22"/>
      <c r="AC135" s="22"/>
      <c r="AD135" s="22"/>
      <c r="AE135" s="22"/>
      <c r="AF135" s="44"/>
      <c r="AG135" s="326"/>
      <c r="AH135" s="327"/>
      <c r="AI135" s="327"/>
      <c r="AJ135" s="327"/>
      <c r="AK135" s="327"/>
      <c r="AL135" s="327"/>
      <c r="AM135" s="328"/>
      <c r="AN135" s="390" t="s">
        <v>870</v>
      </c>
      <c r="AO135" s="391"/>
      <c r="AP135" s="391"/>
      <c r="AQ135" s="391"/>
      <c r="AR135" s="391"/>
      <c r="AS135" s="391"/>
      <c r="AT135" s="391"/>
      <c r="AU135" s="391"/>
      <c r="AV135" s="391"/>
      <c r="AW135" s="391"/>
      <c r="AX135" s="391"/>
      <c r="AY135" s="391"/>
      <c r="AZ135" s="391"/>
      <c r="BA135" s="391"/>
      <c r="BB135" s="391"/>
      <c r="BC135" s="391"/>
      <c r="BD135" s="391"/>
      <c r="BE135" s="391"/>
      <c r="BF135" s="391"/>
      <c r="BG135" s="391"/>
      <c r="BH135" s="391"/>
      <c r="BI135" s="391"/>
      <c r="BJ135" s="391"/>
      <c r="BK135" s="391"/>
      <c r="BL135" s="391"/>
      <c r="BM135" s="391"/>
      <c r="BN135" s="391"/>
      <c r="BO135" s="391"/>
      <c r="BP135" s="391"/>
      <c r="BQ135" s="391"/>
      <c r="BR135" s="391"/>
      <c r="BS135" s="391"/>
      <c r="BT135" s="391"/>
      <c r="BU135" s="391"/>
      <c r="BV135" s="391"/>
      <c r="BW135" s="391"/>
      <c r="BX135" s="391"/>
      <c r="BY135" s="391"/>
      <c r="BZ135" s="391"/>
      <c r="CA135" s="391"/>
      <c r="CB135" s="391"/>
      <c r="CC135" s="391"/>
      <c r="CD135" s="392"/>
    </row>
    <row r="136" spans="1:101" ht="12" customHeight="1">
      <c r="A136" s="405"/>
      <c r="B136" s="2"/>
      <c r="C136" s="22"/>
      <c r="D136" s="22"/>
      <c r="E136" s="45"/>
      <c r="F136" s="22"/>
      <c r="G136" s="22"/>
      <c r="H136" s="22"/>
      <c r="I136" s="45"/>
      <c r="J136" s="22"/>
      <c r="K136" s="22"/>
      <c r="L136" s="22"/>
      <c r="M136" s="22"/>
      <c r="N136" s="22"/>
      <c r="O136" s="359"/>
      <c r="P136" s="22"/>
      <c r="Q136" s="22"/>
      <c r="R136" s="22"/>
      <c r="S136" s="22"/>
      <c r="T136" s="22"/>
      <c r="U136" s="22"/>
      <c r="V136" s="22"/>
      <c r="W136" s="22"/>
      <c r="X136" s="22"/>
      <c r="Y136" s="22"/>
      <c r="Z136" s="22"/>
      <c r="AA136" s="22"/>
      <c r="AB136" s="22"/>
      <c r="AC136" s="22"/>
      <c r="AD136" s="22"/>
      <c r="AE136" s="22"/>
      <c r="AF136" s="44"/>
      <c r="AG136" s="326"/>
      <c r="AH136" s="327"/>
      <c r="AI136" s="327"/>
      <c r="AJ136" s="327"/>
      <c r="AK136" s="327"/>
      <c r="AL136" s="327"/>
      <c r="AM136" s="328"/>
      <c r="AN136" s="390" t="s">
        <v>871</v>
      </c>
      <c r="AO136" s="391"/>
      <c r="AP136" s="391"/>
      <c r="AQ136" s="391"/>
      <c r="AR136" s="391"/>
      <c r="AS136" s="391"/>
      <c r="AT136" s="391"/>
      <c r="AU136" s="391"/>
      <c r="AV136" s="391"/>
      <c r="AW136" s="391"/>
      <c r="AX136" s="391"/>
      <c r="AY136" s="391"/>
      <c r="AZ136" s="391"/>
      <c r="BA136" s="391"/>
      <c r="BB136" s="391"/>
      <c r="BC136" s="391"/>
      <c r="BD136" s="391"/>
      <c r="BE136" s="391"/>
      <c r="BF136" s="391"/>
      <c r="BG136" s="391"/>
      <c r="BH136" s="391"/>
      <c r="BI136" s="391"/>
      <c r="BJ136" s="391"/>
      <c r="BK136" s="391"/>
      <c r="BL136" s="391"/>
      <c r="BM136" s="391"/>
      <c r="BN136" s="391"/>
      <c r="BO136" s="391"/>
      <c r="BP136" s="391"/>
      <c r="BQ136" s="391"/>
      <c r="BR136" s="391"/>
      <c r="BS136" s="391"/>
      <c r="BT136" s="391"/>
      <c r="BU136" s="391"/>
      <c r="BV136" s="391"/>
      <c r="BW136" s="391"/>
      <c r="BX136" s="391"/>
      <c r="BY136" s="391"/>
      <c r="BZ136" s="391"/>
      <c r="CA136" s="391"/>
      <c r="CB136" s="391"/>
      <c r="CC136" s="391"/>
      <c r="CD136" s="392"/>
    </row>
    <row r="137" spans="1:101" ht="12" customHeight="1">
      <c r="A137" s="405"/>
      <c r="B137" s="2"/>
      <c r="C137" s="22"/>
      <c r="D137" s="22"/>
      <c r="E137" s="45"/>
      <c r="F137" s="22"/>
      <c r="G137" s="22"/>
      <c r="H137" s="22"/>
      <c r="I137" s="45"/>
      <c r="J137" s="22"/>
      <c r="K137" s="22"/>
      <c r="L137" s="22"/>
      <c r="M137" s="22"/>
      <c r="N137" s="22"/>
      <c r="O137" s="359"/>
      <c r="P137" s="342"/>
      <c r="Q137" s="22"/>
      <c r="R137" s="22"/>
      <c r="S137" s="22"/>
      <c r="T137" s="22"/>
      <c r="U137" s="22"/>
      <c r="V137" s="22"/>
      <c r="W137" s="22"/>
      <c r="X137" s="22"/>
      <c r="Y137" s="22"/>
      <c r="Z137" s="22"/>
      <c r="AA137" s="22"/>
      <c r="AB137" s="22"/>
      <c r="AC137" s="22"/>
      <c r="AD137" s="22"/>
      <c r="AE137" s="22"/>
      <c r="AF137" s="44"/>
      <c r="AG137" s="326"/>
      <c r="AH137" s="327"/>
      <c r="AI137" s="327"/>
      <c r="AJ137" s="327"/>
      <c r="AK137" s="327"/>
      <c r="AL137" s="327"/>
      <c r="AM137" s="328"/>
      <c r="AN137" s="390" t="s">
        <v>872</v>
      </c>
      <c r="AO137" s="391"/>
      <c r="AP137" s="391"/>
      <c r="AQ137" s="391"/>
      <c r="AR137" s="391"/>
      <c r="AS137" s="391"/>
      <c r="AT137" s="391"/>
      <c r="AU137" s="391"/>
      <c r="AV137" s="391"/>
      <c r="AW137" s="391"/>
      <c r="AX137" s="391"/>
      <c r="AY137" s="391"/>
      <c r="AZ137" s="391"/>
      <c r="BA137" s="391"/>
      <c r="BB137" s="391"/>
      <c r="BC137" s="391"/>
      <c r="BD137" s="391"/>
      <c r="BE137" s="391"/>
      <c r="BF137" s="391"/>
      <c r="BG137" s="391"/>
      <c r="BH137" s="391"/>
      <c r="BI137" s="391"/>
      <c r="BJ137" s="391"/>
      <c r="BK137" s="391"/>
      <c r="BL137" s="391"/>
      <c r="BM137" s="391"/>
      <c r="BN137" s="391"/>
      <c r="BO137" s="391"/>
      <c r="BP137" s="391"/>
      <c r="BQ137" s="391"/>
      <c r="BR137" s="391"/>
      <c r="BS137" s="391"/>
      <c r="BT137" s="391"/>
      <c r="BU137" s="391"/>
      <c r="BV137" s="391"/>
      <c r="BW137" s="391"/>
      <c r="BX137" s="391"/>
      <c r="BY137" s="391"/>
      <c r="BZ137" s="391"/>
      <c r="CA137" s="391"/>
      <c r="CB137" s="391"/>
      <c r="CC137" s="391"/>
      <c r="CD137" s="392"/>
    </row>
    <row r="138" spans="1:101" ht="12" customHeight="1">
      <c r="A138" s="405"/>
      <c r="B138" s="2"/>
      <c r="C138" s="22"/>
      <c r="D138" s="22"/>
      <c r="E138" s="45"/>
      <c r="F138" s="22"/>
      <c r="G138" s="22"/>
      <c r="H138" s="22"/>
      <c r="I138" s="45"/>
      <c r="J138" s="22"/>
      <c r="K138" s="22"/>
      <c r="L138" s="22"/>
      <c r="M138" s="22"/>
      <c r="N138" s="22"/>
      <c r="O138" s="359"/>
      <c r="P138" s="342"/>
      <c r="Q138" s="22"/>
      <c r="R138" s="22"/>
      <c r="S138" s="22"/>
      <c r="T138" s="22"/>
      <c r="U138" s="22"/>
      <c r="V138" s="22"/>
      <c r="W138" s="22"/>
      <c r="X138" s="22"/>
      <c r="Y138" s="22"/>
      <c r="Z138" s="22"/>
      <c r="AA138" s="22"/>
      <c r="AB138" s="22"/>
      <c r="AC138" s="22"/>
      <c r="AD138" s="22"/>
      <c r="AE138" s="22"/>
      <c r="AF138" s="44"/>
      <c r="AG138" s="326"/>
      <c r="AH138" s="327"/>
      <c r="AI138" s="327"/>
      <c r="AJ138" s="327"/>
      <c r="AK138" s="327"/>
      <c r="AL138" s="327"/>
      <c r="AM138" s="328"/>
      <c r="AN138" s="390" t="s">
        <v>873</v>
      </c>
      <c r="AO138" s="391"/>
      <c r="AP138" s="391"/>
      <c r="AQ138" s="391"/>
      <c r="AR138" s="391"/>
      <c r="AS138" s="391"/>
      <c r="AT138" s="391"/>
      <c r="AU138" s="391"/>
      <c r="AV138" s="391"/>
      <c r="AW138" s="391"/>
      <c r="AX138" s="391"/>
      <c r="AY138" s="391"/>
      <c r="AZ138" s="391"/>
      <c r="BA138" s="391"/>
      <c r="BB138" s="391"/>
      <c r="BC138" s="391"/>
      <c r="BD138" s="391"/>
      <c r="BE138" s="391"/>
      <c r="BF138" s="391"/>
      <c r="BG138" s="391"/>
      <c r="BH138" s="391"/>
      <c r="BI138" s="391"/>
      <c r="BJ138" s="391"/>
      <c r="BK138" s="391"/>
      <c r="BL138" s="391"/>
      <c r="BM138" s="391"/>
      <c r="BN138" s="391"/>
      <c r="BO138" s="391"/>
      <c r="BP138" s="391"/>
      <c r="BQ138" s="391"/>
      <c r="BR138" s="391"/>
      <c r="BS138" s="391"/>
      <c r="BT138" s="391"/>
      <c r="BU138" s="391"/>
      <c r="BV138" s="391"/>
      <c r="BW138" s="391"/>
      <c r="BX138" s="391"/>
      <c r="BY138" s="391"/>
      <c r="BZ138" s="391"/>
      <c r="CA138" s="391"/>
      <c r="CB138" s="391"/>
      <c r="CC138" s="391"/>
      <c r="CD138" s="392"/>
    </row>
    <row r="139" spans="1:101" ht="12" customHeight="1">
      <c r="A139" s="405"/>
      <c r="B139" s="2"/>
      <c r="C139" s="22"/>
      <c r="D139" s="22"/>
      <c r="E139" s="45"/>
      <c r="F139" s="22"/>
      <c r="G139" s="22"/>
      <c r="H139" s="22"/>
      <c r="I139" s="45"/>
      <c r="J139" s="22"/>
      <c r="K139" s="22"/>
      <c r="L139" s="22"/>
      <c r="M139" s="22"/>
      <c r="N139" s="22"/>
      <c r="O139" s="359"/>
      <c r="P139" s="341"/>
      <c r="Q139" s="249"/>
      <c r="R139" s="249"/>
      <c r="S139" s="249"/>
      <c r="T139" s="249"/>
      <c r="U139" s="249"/>
      <c r="V139" s="249"/>
      <c r="W139" s="249"/>
      <c r="X139" s="249"/>
      <c r="Y139" s="249"/>
      <c r="Z139" s="249"/>
      <c r="AA139" s="249"/>
      <c r="AB139" s="249"/>
      <c r="AC139" s="249"/>
      <c r="AD139" s="249"/>
      <c r="AE139" s="249"/>
      <c r="AF139" s="329"/>
      <c r="AG139" s="330"/>
      <c r="AH139" s="331"/>
      <c r="AI139" s="331"/>
      <c r="AJ139" s="331"/>
      <c r="AK139" s="331"/>
      <c r="AL139" s="331"/>
      <c r="AM139" s="332"/>
      <c r="AN139" s="255"/>
      <c r="AO139" s="256"/>
      <c r="AP139" s="256"/>
      <c r="AQ139" s="256"/>
      <c r="AR139" s="256"/>
      <c r="AS139" s="256"/>
      <c r="AT139" s="256"/>
      <c r="AU139" s="256"/>
      <c r="AV139" s="256"/>
      <c r="AW139" s="256"/>
      <c r="AX139" s="256"/>
      <c r="AY139" s="256"/>
      <c r="AZ139" s="256"/>
      <c r="BA139" s="256"/>
      <c r="BB139" s="256"/>
      <c r="BC139" s="256"/>
      <c r="BD139" s="256"/>
      <c r="BE139" s="256"/>
      <c r="BF139" s="256"/>
      <c r="BG139" s="256"/>
      <c r="BH139" s="256"/>
      <c r="BI139" s="256"/>
      <c r="BJ139" s="256"/>
      <c r="BK139" s="256"/>
      <c r="BL139" s="256"/>
      <c r="BM139" s="256"/>
      <c r="BN139" s="256"/>
      <c r="BO139" s="256"/>
      <c r="BP139" s="256"/>
      <c r="BQ139" s="256"/>
      <c r="BR139" s="256"/>
      <c r="BS139" s="256"/>
      <c r="BT139" s="256"/>
      <c r="BU139" s="256"/>
      <c r="BV139" s="256"/>
      <c r="BW139" s="256"/>
      <c r="BX139" s="256"/>
      <c r="BY139" s="256"/>
      <c r="BZ139" s="256"/>
      <c r="CA139" s="256"/>
      <c r="CB139" s="256"/>
      <c r="CC139" s="256"/>
      <c r="CD139" s="257"/>
    </row>
    <row r="140" spans="1:101" ht="12" customHeight="1">
      <c r="A140" s="405"/>
      <c r="B140" s="2"/>
      <c r="C140" s="22"/>
      <c r="D140" s="22"/>
      <c r="E140" s="45"/>
      <c r="F140" s="22"/>
      <c r="G140" s="22"/>
      <c r="H140" s="22"/>
      <c r="I140" s="45"/>
      <c r="J140" s="22"/>
      <c r="K140" s="22"/>
      <c r="L140" s="22"/>
      <c r="M140" s="22"/>
      <c r="N140" s="22"/>
      <c r="O140" s="359"/>
      <c r="P140" s="160" t="s">
        <v>924</v>
      </c>
      <c r="Q140" s="160"/>
      <c r="R140" s="160"/>
      <c r="S140" s="160"/>
      <c r="T140" s="160"/>
      <c r="U140" s="160"/>
      <c r="V140" s="160"/>
      <c r="W140" s="160"/>
      <c r="X140" s="356" t="s">
        <v>828</v>
      </c>
      <c r="Y140" s="43"/>
      <c r="Z140" s="43"/>
      <c r="AA140" s="43"/>
      <c r="AB140" s="43"/>
      <c r="AC140" s="43"/>
      <c r="AD140" s="43"/>
      <c r="AE140" s="43"/>
      <c r="AF140" s="333"/>
      <c r="AG140" s="682">
        <v>2200</v>
      </c>
      <c r="AH140" s="683"/>
      <c r="AI140" s="683"/>
      <c r="AJ140" s="683"/>
      <c r="AK140" s="683"/>
      <c r="AL140" s="683"/>
      <c r="AM140" s="684"/>
      <c r="AN140" s="261" t="s">
        <v>1061</v>
      </c>
      <c r="AO140" s="262"/>
      <c r="AP140" s="262"/>
      <c r="AQ140" s="262"/>
      <c r="AR140" s="262"/>
      <c r="AS140" s="262"/>
      <c r="AT140" s="262"/>
      <c r="AU140" s="262"/>
      <c r="AV140" s="262"/>
      <c r="AW140" s="262"/>
      <c r="AX140" s="262"/>
      <c r="AY140" s="262"/>
      <c r="AZ140" s="262"/>
      <c r="BA140" s="262"/>
      <c r="BB140" s="262"/>
      <c r="BC140" s="262"/>
      <c r="BD140" s="262"/>
      <c r="BE140" s="262"/>
      <c r="BF140" s="262"/>
      <c r="BG140" s="262"/>
      <c r="BH140" s="262"/>
      <c r="BI140" s="262"/>
      <c r="BJ140" s="262"/>
      <c r="BK140" s="262"/>
      <c r="BL140" s="262"/>
      <c r="BM140" s="262"/>
      <c r="BN140" s="262"/>
      <c r="BO140" s="262"/>
      <c r="BP140" s="262"/>
      <c r="BQ140" s="262"/>
      <c r="BR140" s="262"/>
      <c r="BS140" s="262"/>
      <c r="BT140" s="262"/>
      <c r="BU140" s="262"/>
      <c r="BV140" s="262"/>
      <c r="BW140" s="262"/>
      <c r="BX140" s="262"/>
      <c r="BY140" s="262"/>
      <c r="BZ140" s="262"/>
      <c r="CA140" s="262"/>
      <c r="CB140" s="262"/>
      <c r="CC140" s="262"/>
      <c r="CD140" s="263"/>
    </row>
    <row r="141" spans="1:101" ht="12" customHeight="1">
      <c r="A141" s="405"/>
      <c r="B141" s="2"/>
      <c r="C141" s="22"/>
      <c r="D141" s="22"/>
      <c r="E141" s="45"/>
      <c r="F141" s="22"/>
      <c r="G141" s="22"/>
      <c r="H141" s="22"/>
      <c r="I141" s="45"/>
      <c r="J141" s="22"/>
      <c r="K141" s="22"/>
      <c r="L141" s="22"/>
      <c r="M141" s="22"/>
      <c r="N141" s="22"/>
      <c r="O141" s="359"/>
      <c r="P141" s="249"/>
      <c r="Q141" s="249"/>
      <c r="R141" s="249"/>
      <c r="S141" s="249"/>
      <c r="T141" s="249"/>
      <c r="U141" s="249"/>
      <c r="V141" s="249"/>
      <c r="W141" s="249"/>
      <c r="X141" s="356" t="s">
        <v>105</v>
      </c>
      <c r="Y141" s="43"/>
      <c r="Z141" s="43"/>
      <c r="AA141" s="43"/>
      <c r="AB141" s="43"/>
      <c r="AC141" s="43"/>
      <c r="AD141" s="43"/>
      <c r="AE141" s="43"/>
      <c r="AF141" s="333"/>
      <c r="AG141" s="682">
        <f>AG133*AG140</f>
        <v>8800</v>
      </c>
      <c r="AH141" s="683"/>
      <c r="AI141" s="683"/>
      <c r="AJ141" s="683"/>
      <c r="AK141" s="683"/>
      <c r="AL141" s="683"/>
      <c r="AM141" s="684"/>
      <c r="AN141" s="390"/>
      <c r="AO141" s="391"/>
      <c r="AP141" s="391"/>
      <c r="AQ141" s="391"/>
      <c r="AR141" s="391"/>
      <c r="AS141" s="391"/>
      <c r="AT141" s="391"/>
      <c r="AU141" s="391"/>
      <c r="AV141" s="391"/>
      <c r="AW141" s="391"/>
      <c r="AX141" s="391"/>
      <c r="AY141" s="391"/>
      <c r="AZ141" s="391"/>
      <c r="BA141" s="391"/>
      <c r="BB141" s="391"/>
      <c r="BC141" s="391"/>
      <c r="BD141" s="391"/>
      <c r="BE141" s="391"/>
      <c r="BF141" s="391"/>
      <c r="BG141" s="391"/>
      <c r="BH141" s="391"/>
      <c r="BI141" s="391"/>
      <c r="BJ141" s="391"/>
      <c r="BK141" s="391"/>
      <c r="BL141" s="391"/>
      <c r="BM141" s="391"/>
      <c r="BN141" s="391"/>
      <c r="BO141" s="391"/>
      <c r="BP141" s="391"/>
      <c r="BQ141" s="391"/>
      <c r="BR141" s="391"/>
      <c r="BS141" s="391"/>
      <c r="BT141" s="391"/>
      <c r="BU141" s="391"/>
      <c r="BV141" s="391"/>
      <c r="BW141" s="391"/>
      <c r="BX141" s="391"/>
      <c r="BY141" s="391"/>
      <c r="BZ141" s="391"/>
      <c r="CA141" s="391"/>
      <c r="CB141" s="391"/>
      <c r="CC141" s="391"/>
      <c r="CD141" s="392"/>
    </row>
    <row r="142" spans="1:101" ht="12" customHeight="1">
      <c r="A142" s="405"/>
      <c r="B142" s="2"/>
      <c r="C142" s="22"/>
      <c r="D142" s="22"/>
      <c r="E142" s="45"/>
      <c r="F142" s="22"/>
      <c r="G142" s="22"/>
      <c r="H142" s="22"/>
      <c r="I142" s="248"/>
      <c r="J142" s="249"/>
      <c r="K142" s="249"/>
      <c r="L142" s="249"/>
      <c r="M142" s="249"/>
      <c r="N142" s="249"/>
      <c r="O142" s="250"/>
      <c r="P142" s="43" t="s">
        <v>926</v>
      </c>
      <c r="Q142" s="43"/>
      <c r="R142" s="43"/>
      <c r="S142" s="43"/>
      <c r="T142" s="43"/>
      <c r="U142" s="43"/>
      <c r="V142" s="43"/>
      <c r="W142" s="43"/>
      <c r="X142" s="43"/>
      <c r="Y142" s="43"/>
      <c r="Z142" s="43"/>
      <c r="AA142" s="43"/>
      <c r="AB142" s="43"/>
      <c r="AC142" s="43"/>
      <c r="AD142" s="43"/>
      <c r="AE142" s="43"/>
      <c r="AF142" s="333"/>
      <c r="AG142" s="682">
        <v>8800</v>
      </c>
      <c r="AH142" s="683"/>
      <c r="AI142" s="683"/>
      <c r="AJ142" s="683"/>
      <c r="AK142" s="683"/>
      <c r="AL142" s="683"/>
      <c r="AM142" s="684"/>
      <c r="AN142" s="255"/>
      <c r="AO142" s="256"/>
      <c r="AP142" s="256"/>
      <c r="AQ142" s="256"/>
      <c r="AR142" s="256"/>
      <c r="AS142" s="256"/>
      <c r="AT142" s="256"/>
      <c r="AU142" s="256"/>
      <c r="AV142" s="256"/>
      <c r="AW142" s="256"/>
      <c r="AX142" s="256"/>
      <c r="AY142" s="256"/>
      <c r="AZ142" s="256"/>
      <c r="BA142" s="256"/>
      <c r="BB142" s="256"/>
      <c r="BC142" s="256"/>
      <c r="BD142" s="256"/>
      <c r="BE142" s="256"/>
      <c r="BF142" s="256"/>
      <c r="BG142" s="256"/>
      <c r="BH142" s="256"/>
      <c r="BI142" s="256"/>
      <c r="BJ142" s="256"/>
      <c r="BK142" s="256"/>
      <c r="BL142" s="256"/>
      <c r="BM142" s="256"/>
      <c r="BN142" s="256"/>
      <c r="BO142" s="256"/>
      <c r="BP142" s="256"/>
      <c r="BQ142" s="256"/>
      <c r="BR142" s="256"/>
      <c r="BS142" s="256"/>
      <c r="BT142" s="256"/>
      <c r="BU142" s="256"/>
      <c r="BV142" s="256"/>
      <c r="BW142" s="256"/>
      <c r="BX142" s="256"/>
      <c r="BY142" s="256"/>
      <c r="BZ142" s="256"/>
      <c r="CA142" s="256"/>
      <c r="CB142" s="256"/>
      <c r="CC142" s="256"/>
      <c r="CD142" s="257"/>
    </row>
    <row r="143" spans="1:101" ht="12" customHeight="1">
      <c r="A143" s="405"/>
      <c r="B143" s="2"/>
      <c r="C143" s="22"/>
      <c r="D143" s="22"/>
      <c r="E143" s="45"/>
      <c r="F143" s="22"/>
      <c r="G143" s="22"/>
      <c r="H143" s="22"/>
      <c r="I143" s="161" t="s">
        <v>930</v>
      </c>
      <c r="J143" s="160"/>
      <c r="K143" s="160"/>
      <c r="L143" s="160"/>
      <c r="M143" s="160"/>
      <c r="N143" s="160"/>
      <c r="O143" s="247"/>
      <c r="P143" s="160" t="s">
        <v>931</v>
      </c>
      <c r="Q143" s="160"/>
      <c r="R143" s="160"/>
      <c r="S143" s="160"/>
      <c r="T143" s="160"/>
      <c r="U143" s="160"/>
      <c r="V143" s="160"/>
      <c r="W143" s="160"/>
      <c r="X143" s="160"/>
      <c r="Y143" s="160"/>
      <c r="Z143" s="160"/>
      <c r="AA143" s="160"/>
      <c r="AB143" s="160"/>
      <c r="AC143" s="160"/>
      <c r="AD143" s="160"/>
      <c r="AE143" s="160"/>
      <c r="AF143" s="159"/>
      <c r="AG143" s="685" t="s">
        <v>452</v>
      </c>
      <c r="AH143" s="686"/>
      <c r="AI143" s="686"/>
      <c r="AJ143" s="686"/>
      <c r="AK143" s="686"/>
      <c r="AL143" s="686"/>
      <c r="AM143" s="687"/>
      <c r="AN143" s="261" t="s">
        <v>848</v>
      </c>
      <c r="AO143" s="262"/>
      <c r="AP143" s="262"/>
      <c r="AQ143" s="262"/>
      <c r="AR143" s="262"/>
      <c r="AS143" s="262"/>
      <c r="AT143" s="262"/>
      <c r="AU143" s="262"/>
      <c r="AV143" s="262"/>
      <c r="AW143" s="262"/>
      <c r="AX143" s="262"/>
      <c r="AY143" s="262"/>
      <c r="AZ143" s="262"/>
      <c r="BA143" s="262"/>
      <c r="BB143" s="262"/>
      <c r="BC143" s="262"/>
      <c r="BD143" s="262"/>
      <c r="BE143" s="262"/>
      <c r="BF143" s="262"/>
      <c r="BG143" s="262"/>
      <c r="BH143" s="262"/>
      <c r="BI143" s="262"/>
      <c r="BJ143" s="262"/>
      <c r="BK143" s="262"/>
      <c r="BL143" s="262"/>
      <c r="BM143" s="262"/>
      <c r="BN143" s="262"/>
      <c r="BO143" s="262"/>
      <c r="BP143" s="262"/>
      <c r="BQ143" s="262"/>
      <c r="BR143" s="262"/>
      <c r="BS143" s="262"/>
      <c r="BT143" s="262"/>
      <c r="BU143" s="262"/>
      <c r="BV143" s="262"/>
      <c r="BW143" s="262"/>
      <c r="BX143" s="262"/>
      <c r="BY143" s="262"/>
      <c r="BZ143" s="262"/>
      <c r="CA143" s="262"/>
      <c r="CB143" s="262"/>
      <c r="CC143" s="262"/>
      <c r="CD143" s="263"/>
    </row>
    <row r="144" spans="1:101" ht="12" customHeight="1">
      <c r="A144" s="405"/>
      <c r="B144" s="2"/>
      <c r="C144" s="22"/>
      <c r="D144" s="22"/>
      <c r="E144" s="45"/>
      <c r="F144" s="22"/>
      <c r="G144" s="22"/>
      <c r="H144" s="22"/>
      <c r="I144" s="45"/>
      <c r="J144" s="22"/>
      <c r="K144" s="22"/>
      <c r="L144" s="22"/>
      <c r="M144" s="22"/>
      <c r="N144" s="22"/>
      <c r="O144" s="359"/>
      <c r="P144" s="22"/>
      <c r="Q144" s="22"/>
      <c r="R144" s="22"/>
      <c r="S144" s="22"/>
      <c r="T144" s="22"/>
      <c r="U144" s="22"/>
      <c r="V144" s="22"/>
      <c r="W144" s="22"/>
      <c r="X144" s="22"/>
      <c r="Y144" s="22"/>
      <c r="Z144" s="22"/>
      <c r="AA144" s="22"/>
      <c r="AB144" s="22"/>
      <c r="AC144" s="22"/>
      <c r="AD144" s="22"/>
      <c r="AE144" s="22"/>
      <c r="AF144" s="44"/>
      <c r="AG144" s="334"/>
      <c r="AH144" s="335"/>
      <c r="AI144" s="335"/>
      <c r="AJ144" s="335"/>
      <c r="AK144" s="335"/>
      <c r="AL144" s="335"/>
      <c r="AM144" s="336"/>
      <c r="AN144" s="390" t="s">
        <v>849</v>
      </c>
      <c r="AO144" s="391"/>
      <c r="AP144" s="391"/>
      <c r="AQ144" s="391"/>
      <c r="AR144" s="391"/>
      <c r="AS144" s="391"/>
      <c r="AT144" s="391"/>
      <c r="AU144" s="391"/>
      <c r="AV144" s="391"/>
      <c r="AW144" s="391"/>
      <c r="AX144" s="391"/>
      <c r="AY144" s="391"/>
      <c r="AZ144" s="391"/>
      <c r="BA144" s="391"/>
      <c r="BB144" s="391"/>
      <c r="BC144" s="391"/>
      <c r="BD144" s="391"/>
      <c r="BE144" s="391"/>
      <c r="BF144" s="391"/>
      <c r="BG144" s="391"/>
      <c r="BH144" s="391"/>
      <c r="BI144" s="391"/>
      <c r="BJ144" s="391"/>
      <c r="BK144" s="391"/>
      <c r="BL144" s="391"/>
      <c r="BM144" s="391"/>
      <c r="BN144" s="391"/>
      <c r="BO144" s="391"/>
      <c r="BP144" s="391"/>
      <c r="BQ144" s="391"/>
      <c r="BR144" s="391"/>
      <c r="BS144" s="391"/>
      <c r="BT144" s="391"/>
      <c r="BU144" s="391"/>
      <c r="BV144" s="391"/>
      <c r="BW144" s="391"/>
      <c r="BX144" s="391"/>
      <c r="BY144" s="391"/>
      <c r="BZ144" s="391"/>
      <c r="CA144" s="391"/>
      <c r="CB144" s="391"/>
      <c r="CC144" s="391"/>
      <c r="CD144" s="392"/>
    </row>
    <row r="145" spans="1:82" ht="12" customHeight="1">
      <c r="A145" s="405"/>
      <c r="B145" s="2"/>
      <c r="C145" s="22"/>
      <c r="D145" s="22"/>
      <c r="E145" s="45"/>
      <c r="F145" s="22"/>
      <c r="G145" s="22"/>
      <c r="H145" s="22"/>
      <c r="I145" s="45"/>
      <c r="J145" s="22"/>
      <c r="K145" s="22"/>
      <c r="L145" s="22"/>
      <c r="M145" s="22"/>
      <c r="N145" s="22"/>
      <c r="O145" s="359"/>
      <c r="P145" s="22"/>
      <c r="Q145" s="22"/>
      <c r="R145" s="22"/>
      <c r="S145" s="22"/>
      <c r="T145" s="22"/>
      <c r="U145" s="22"/>
      <c r="V145" s="22"/>
      <c r="W145" s="22"/>
      <c r="X145" s="22"/>
      <c r="Y145" s="22"/>
      <c r="Z145" s="22"/>
      <c r="AA145" s="22"/>
      <c r="AB145" s="22"/>
      <c r="AC145" s="22"/>
      <c r="AD145" s="22"/>
      <c r="AE145" s="22"/>
      <c r="AF145" s="44"/>
      <c r="AG145" s="334"/>
      <c r="AH145" s="335"/>
      <c r="AI145" s="335"/>
      <c r="AJ145" s="335"/>
      <c r="AK145" s="335"/>
      <c r="AL145" s="335"/>
      <c r="AM145" s="336"/>
      <c r="AN145" s="390"/>
      <c r="AO145" s="391"/>
      <c r="AP145" s="391"/>
      <c r="AQ145" s="391"/>
      <c r="AR145" s="391"/>
      <c r="AS145" s="391"/>
      <c r="AT145" s="391"/>
      <c r="AU145" s="391"/>
      <c r="AV145" s="391"/>
      <c r="AW145" s="391"/>
      <c r="AX145" s="391"/>
      <c r="AY145" s="391"/>
      <c r="AZ145" s="391"/>
      <c r="BA145" s="391"/>
      <c r="BB145" s="391"/>
      <c r="BC145" s="391"/>
      <c r="BD145" s="391"/>
      <c r="BE145" s="391"/>
      <c r="BF145" s="391"/>
      <c r="BG145" s="391"/>
      <c r="BH145" s="391"/>
      <c r="BI145" s="391"/>
      <c r="BJ145" s="391"/>
      <c r="BK145" s="391"/>
      <c r="BL145" s="391"/>
      <c r="BM145" s="391"/>
      <c r="BN145" s="391"/>
      <c r="BO145" s="391"/>
      <c r="BP145" s="391"/>
      <c r="BQ145" s="391"/>
      <c r="BR145" s="391"/>
      <c r="BS145" s="391"/>
      <c r="BT145" s="391"/>
      <c r="BU145" s="391"/>
      <c r="BV145" s="391"/>
      <c r="BW145" s="391"/>
      <c r="BX145" s="391"/>
      <c r="BY145" s="391"/>
      <c r="BZ145" s="391"/>
      <c r="CA145" s="391"/>
      <c r="CB145" s="391"/>
      <c r="CC145" s="391"/>
      <c r="CD145" s="392"/>
    </row>
    <row r="146" spans="1:82" ht="12" customHeight="1">
      <c r="A146" s="405"/>
      <c r="B146" s="2"/>
      <c r="C146" s="22"/>
      <c r="D146" s="22"/>
      <c r="E146" s="45"/>
      <c r="F146" s="22"/>
      <c r="G146" s="22"/>
      <c r="H146" s="22"/>
      <c r="I146" s="45"/>
      <c r="J146" s="22"/>
      <c r="K146" s="22"/>
      <c r="L146" s="22"/>
      <c r="M146" s="22"/>
      <c r="N146" s="22"/>
      <c r="O146" s="359"/>
      <c r="P146" s="22"/>
      <c r="Q146" s="22"/>
      <c r="R146" s="22"/>
      <c r="S146" s="22"/>
      <c r="T146" s="22"/>
      <c r="U146" s="22"/>
      <c r="V146" s="22"/>
      <c r="W146" s="22"/>
      <c r="X146" s="22"/>
      <c r="Y146" s="22"/>
      <c r="Z146" s="22"/>
      <c r="AA146" s="22"/>
      <c r="AB146" s="22"/>
      <c r="AC146" s="22"/>
      <c r="AD146" s="22"/>
      <c r="AE146" s="22"/>
      <c r="AF146" s="44"/>
      <c r="AG146" s="334"/>
      <c r="AH146" s="335"/>
      <c r="AI146" s="335"/>
      <c r="AJ146" s="335"/>
      <c r="AK146" s="335"/>
      <c r="AL146" s="335"/>
      <c r="AM146" s="336"/>
      <c r="AN146" s="390" t="s">
        <v>874</v>
      </c>
      <c r="AO146" s="391"/>
      <c r="AP146" s="391"/>
      <c r="AQ146" s="391"/>
      <c r="AR146" s="391"/>
      <c r="AS146" s="391"/>
      <c r="AT146" s="391"/>
      <c r="AU146" s="391"/>
      <c r="AV146" s="391"/>
      <c r="AW146" s="391"/>
      <c r="AX146" s="391"/>
      <c r="AY146" s="391"/>
      <c r="AZ146" s="391"/>
      <c r="BA146" s="391"/>
      <c r="BB146" s="391"/>
      <c r="BC146" s="391"/>
      <c r="BD146" s="391"/>
      <c r="BE146" s="391"/>
      <c r="BF146" s="391"/>
      <c r="BG146" s="391"/>
      <c r="BH146" s="391"/>
      <c r="BI146" s="391"/>
      <c r="BJ146" s="391"/>
      <c r="BK146" s="391"/>
      <c r="BL146" s="391"/>
      <c r="BM146" s="391"/>
      <c r="BN146" s="391"/>
      <c r="BO146" s="391"/>
      <c r="BP146" s="391"/>
      <c r="BQ146" s="391"/>
      <c r="BR146" s="391"/>
      <c r="BS146" s="391"/>
      <c r="BT146" s="391"/>
      <c r="BU146" s="391"/>
      <c r="BV146" s="391"/>
      <c r="BW146" s="391"/>
      <c r="BX146" s="391"/>
      <c r="BY146" s="391"/>
      <c r="BZ146" s="391"/>
      <c r="CA146" s="391"/>
      <c r="CB146" s="391"/>
      <c r="CC146" s="391"/>
      <c r="CD146" s="392"/>
    </row>
    <row r="147" spans="1:82" ht="12" customHeight="1">
      <c r="A147" s="405"/>
      <c r="B147" s="2"/>
      <c r="C147" s="22"/>
      <c r="D147" s="22"/>
      <c r="E147" s="45"/>
      <c r="F147" s="22"/>
      <c r="G147" s="22"/>
      <c r="H147" s="22"/>
      <c r="I147" s="45"/>
      <c r="J147" s="22"/>
      <c r="K147" s="22"/>
      <c r="L147" s="22"/>
      <c r="M147" s="22"/>
      <c r="N147" s="22"/>
      <c r="O147" s="359"/>
      <c r="P147" s="22"/>
      <c r="Q147" s="22"/>
      <c r="R147" s="22"/>
      <c r="S147" s="22"/>
      <c r="T147" s="22"/>
      <c r="U147" s="22"/>
      <c r="V147" s="22"/>
      <c r="W147" s="22"/>
      <c r="X147" s="22"/>
      <c r="Y147" s="22"/>
      <c r="Z147" s="22"/>
      <c r="AA147" s="22"/>
      <c r="AB147" s="22"/>
      <c r="AC147" s="22"/>
      <c r="AD147" s="22"/>
      <c r="AE147" s="22"/>
      <c r="AF147" s="44"/>
      <c r="AG147" s="334"/>
      <c r="AH147" s="335"/>
      <c r="AI147" s="335"/>
      <c r="AJ147" s="335"/>
      <c r="AK147" s="335"/>
      <c r="AL147" s="335"/>
      <c r="AM147" s="336"/>
      <c r="AN147" s="51" t="s">
        <v>875</v>
      </c>
      <c r="AO147" s="391"/>
      <c r="AP147" s="391"/>
      <c r="AQ147" s="391"/>
      <c r="AR147" s="391"/>
      <c r="AS147" s="391"/>
      <c r="AT147" s="391"/>
      <c r="AU147" s="391"/>
      <c r="AV147" s="391"/>
      <c r="AW147" s="391"/>
      <c r="AX147" s="391"/>
      <c r="AY147" s="391"/>
      <c r="AZ147" s="391"/>
      <c r="BA147" s="391"/>
      <c r="BB147" s="391"/>
      <c r="BC147" s="391"/>
      <c r="BD147" s="391"/>
      <c r="BE147" s="391"/>
      <c r="BF147" s="391"/>
      <c r="BG147" s="391"/>
      <c r="BH147" s="391"/>
      <c r="BI147" s="391"/>
      <c r="BJ147" s="391"/>
      <c r="BK147" s="391"/>
      <c r="BL147" s="391"/>
      <c r="BM147" s="391"/>
      <c r="BN147" s="391"/>
      <c r="BO147" s="391"/>
      <c r="BP147" s="391"/>
      <c r="BQ147" s="391"/>
      <c r="BR147" s="391"/>
      <c r="BS147" s="391"/>
      <c r="BT147" s="391"/>
      <c r="BU147" s="391"/>
      <c r="BV147" s="391"/>
      <c r="BW147" s="391"/>
      <c r="BX147" s="391"/>
      <c r="BY147" s="391"/>
      <c r="BZ147" s="391"/>
      <c r="CA147" s="391"/>
      <c r="CB147" s="391"/>
      <c r="CC147" s="391"/>
      <c r="CD147" s="392"/>
    </row>
    <row r="148" spans="1:82" ht="12" customHeight="1">
      <c r="A148" s="405"/>
      <c r="B148" s="2"/>
      <c r="C148" s="22"/>
      <c r="D148" s="22"/>
      <c r="E148" s="45"/>
      <c r="F148" s="22"/>
      <c r="G148" s="22"/>
      <c r="H148" s="22"/>
      <c r="I148" s="45"/>
      <c r="J148" s="22"/>
      <c r="K148" s="22"/>
      <c r="L148" s="22"/>
      <c r="M148" s="22"/>
      <c r="N148" s="22"/>
      <c r="O148" s="359"/>
      <c r="P148" s="342"/>
      <c r="Q148" s="22"/>
      <c r="R148" s="22"/>
      <c r="S148" s="22"/>
      <c r="T148" s="22"/>
      <c r="U148" s="22"/>
      <c r="V148" s="22"/>
      <c r="W148" s="22"/>
      <c r="X148" s="22"/>
      <c r="Y148" s="22"/>
      <c r="Z148" s="22"/>
      <c r="AA148" s="22"/>
      <c r="AB148" s="22"/>
      <c r="AC148" s="22"/>
      <c r="AD148" s="22"/>
      <c r="AE148" s="22"/>
      <c r="AF148" s="44"/>
      <c r="AG148" s="334"/>
      <c r="AH148" s="335"/>
      <c r="AI148" s="335"/>
      <c r="AJ148" s="335"/>
      <c r="AK148" s="335"/>
      <c r="AL148" s="335"/>
      <c r="AM148" s="336"/>
      <c r="AN148" s="390"/>
      <c r="AO148" s="391"/>
      <c r="AP148" s="391"/>
      <c r="AQ148" s="391"/>
      <c r="AR148" s="391"/>
      <c r="AS148" s="391"/>
      <c r="AT148" s="391"/>
      <c r="AU148" s="391"/>
      <c r="AV148" s="391"/>
      <c r="AW148" s="391"/>
      <c r="AX148" s="391"/>
      <c r="AY148" s="391"/>
      <c r="AZ148" s="391"/>
      <c r="BA148" s="391"/>
      <c r="BB148" s="391"/>
      <c r="BC148" s="391"/>
      <c r="BD148" s="391"/>
      <c r="BE148" s="391"/>
      <c r="BF148" s="391"/>
      <c r="BG148" s="391"/>
      <c r="BH148" s="391"/>
      <c r="BI148" s="391"/>
      <c r="BJ148" s="391"/>
      <c r="BK148" s="391"/>
      <c r="BL148" s="391"/>
      <c r="BM148" s="391"/>
      <c r="BN148" s="391"/>
      <c r="BO148" s="391"/>
      <c r="BP148" s="391"/>
      <c r="BQ148" s="391"/>
      <c r="BR148" s="391"/>
      <c r="BS148" s="391"/>
      <c r="BT148" s="391"/>
      <c r="BU148" s="391"/>
      <c r="BV148" s="391"/>
      <c r="BW148" s="391"/>
      <c r="BX148" s="391"/>
      <c r="BY148" s="391"/>
      <c r="BZ148" s="391"/>
      <c r="CA148" s="391"/>
      <c r="CB148" s="391"/>
      <c r="CC148" s="391"/>
      <c r="CD148" s="392"/>
    </row>
    <row r="149" spans="1:82" ht="12" customHeight="1">
      <c r="A149" s="405"/>
      <c r="B149" s="2"/>
      <c r="C149" s="22"/>
      <c r="D149" s="22"/>
      <c r="E149" s="45"/>
      <c r="F149" s="22"/>
      <c r="G149" s="22"/>
      <c r="H149" s="22"/>
      <c r="I149" s="45"/>
      <c r="J149" s="22"/>
      <c r="K149" s="22"/>
      <c r="L149" s="22"/>
      <c r="M149" s="22"/>
      <c r="N149" s="22"/>
      <c r="O149" s="359"/>
      <c r="P149" s="342"/>
      <c r="Q149" s="22"/>
      <c r="R149" s="22"/>
      <c r="S149" s="22"/>
      <c r="T149" s="22"/>
      <c r="U149" s="22"/>
      <c r="V149" s="22"/>
      <c r="W149" s="22"/>
      <c r="X149" s="22"/>
      <c r="Y149" s="22"/>
      <c r="Z149" s="22"/>
      <c r="AA149" s="22"/>
      <c r="AB149" s="22"/>
      <c r="AC149" s="22"/>
      <c r="AD149" s="22"/>
      <c r="AE149" s="22"/>
      <c r="AF149" s="44"/>
      <c r="AG149" s="334"/>
      <c r="AH149" s="335"/>
      <c r="AI149" s="335"/>
      <c r="AJ149" s="335"/>
      <c r="AK149" s="335"/>
      <c r="AL149" s="335"/>
      <c r="AM149" s="336"/>
      <c r="AN149" s="390" t="s">
        <v>876</v>
      </c>
      <c r="AO149" s="391"/>
      <c r="AP149" s="391"/>
      <c r="AQ149" s="391"/>
      <c r="AR149" s="391"/>
      <c r="AS149" s="391"/>
      <c r="AT149" s="391"/>
      <c r="AU149" s="391"/>
      <c r="AV149" s="391"/>
      <c r="AW149" s="391"/>
      <c r="AX149" s="391"/>
      <c r="AY149" s="391"/>
      <c r="AZ149" s="391"/>
      <c r="BA149" s="391"/>
      <c r="BB149" s="391"/>
      <c r="BC149" s="391"/>
      <c r="BD149" s="391"/>
      <c r="BE149" s="391"/>
      <c r="BF149" s="391"/>
      <c r="BG149" s="391"/>
      <c r="BH149" s="391"/>
      <c r="BI149" s="391"/>
      <c r="BJ149" s="391"/>
      <c r="BK149" s="391"/>
      <c r="BL149" s="391"/>
      <c r="BM149" s="391"/>
      <c r="BN149" s="391"/>
      <c r="BO149" s="391"/>
      <c r="BP149" s="391"/>
      <c r="BQ149" s="391"/>
      <c r="BR149" s="391"/>
      <c r="BS149" s="391"/>
      <c r="BT149" s="391"/>
      <c r="BU149" s="391"/>
      <c r="BV149" s="391"/>
      <c r="BW149" s="391"/>
      <c r="BX149" s="391"/>
      <c r="BY149" s="391"/>
      <c r="BZ149" s="391"/>
      <c r="CA149" s="391"/>
      <c r="CB149" s="391"/>
      <c r="CC149" s="391"/>
      <c r="CD149" s="392"/>
    </row>
    <row r="150" spans="1:82" ht="12" customHeight="1">
      <c r="A150" s="405"/>
      <c r="B150" s="2"/>
      <c r="C150" s="22"/>
      <c r="D150" s="22"/>
      <c r="E150" s="45"/>
      <c r="F150" s="22"/>
      <c r="G150" s="22"/>
      <c r="H150" s="22"/>
      <c r="I150" s="45"/>
      <c r="J150" s="22"/>
      <c r="K150" s="22"/>
      <c r="L150" s="22"/>
      <c r="M150" s="22"/>
      <c r="N150" s="22"/>
      <c r="O150" s="359"/>
      <c r="P150" s="22"/>
      <c r="Q150" s="22"/>
      <c r="R150" s="22"/>
      <c r="S150" s="22"/>
      <c r="T150" s="22"/>
      <c r="U150" s="22"/>
      <c r="V150" s="22"/>
      <c r="W150" s="22"/>
      <c r="X150" s="22"/>
      <c r="Y150" s="22"/>
      <c r="Z150" s="22"/>
      <c r="AA150" s="22"/>
      <c r="AB150" s="22"/>
      <c r="AC150" s="22"/>
      <c r="AD150" s="22"/>
      <c r="AE150" s="22"/>
      <c r="AF150" s="44"/>
      <c r="AG150" s="334"/>
      <c r="AH150" s="335"/>
      <c r="AI150" s="335"/>
      <c r="AJ150" s="335"/>
      <c r="AK150" s="335"/>
      <c r="AL150" s="335"/>
      <c r="AM150" s="336"/>
      <c r="AN150" s="390" t="s">
        <v>877</v>
      </c>
      <c r="AO150" s="391"/>
      <c r="AP150" s="391"/>
      <c r="AQ150" s="391"/>
      <c r="AR150" s="391"/>
      <c r="AS150" s="391"/>
      <c r="AT150" s="391"/>
      <c r="AU150" s="391"/>
      <c r="AV150" s="391"/>
      <c r="AW150" s="391"/>
      <c r="AX150" s="391"/>
      <c r="AY150" s="391"/>
      <c r="AZ150" s="391"/>
      <c r="BA150" s="391"/>
      <c r="BB150" s="391"/>
      <c r="BC150" s="391"/>
      <c r="BD150" s="391"/>
      <c r="BE150" s="391"/>
      <c r="BF150" s="391"/>
      <c r="BG150" s="391"/>
      <c r="BH150" s="391"/>
      <c r="BI150" s="391"/>
      <c r="BJ150" s="391"/>
      <c r="BK150" s="391"/>
      <c r="BL150" s="391"/>
      <c r="BM150" s="391"/>
      <c r="BN150" s="391"/>
      <c r="BO150" s="391"/>
      <c r="BP150" s="391"/>
      <c r="BQ150" s="391"/>
      <c r="BR150" s="391"/>
      <c r="BS150" s="391"/>
      <c r="BT150" s="391"/>
      <c r="BU150" s="391"/>
      <c r="BV150" s="391"/>
      <c r="BW150" s="391"/>
      <c r="BX150" s="391"/>
      <c r="BY150" s="391"/>
      <c r="BZ150" s="391"/>
      <c r="CA150" s="391"/>
      <c r="CB150" s="391"/>
      <c r="CC150" s="391"/>
      <c r="CD150" s="392"/>
    </row>
    <row r="151" spans="1:82" ht="12" customHeight="1">
      <c r="A151" s="405"/>
      <c r="B151" s="2"/>
      <c r="C151" s="22"/>
      <c r="D151" s="22"/>
      <c r="E151" s="45"/>
      <c r="F151" s="22"/>
      <c r="G151" s="22"/>
      <c r="H151" s="22"/>
      <c r="I151" s="45"/>
      <c r="J151" s="22"/>
      <c r="K151" s="22"/>
      <c r="L151" s="22"/>
      <c r="M151" s="22"/>
      <c r="N151" s="22"/>
      <c r="O151" s="359"/>
      <c r="P151" s="22"/>
      <c r="Q151" s="22"/>
      <c r="R151" s="22"/>
      <c r="S151" s="22"/>
      <c r="T151" s="22"/>
      <c r="U151" s="22"/>
      <c r="V151" s="22"/>
      <c r="W151" s="22"/>
      <c r="X151" s="22"/>
      <c r="Y151" s="22"/>
      <c r="Z151" s="22"/>
      <c r="AA151" s="22"/>
      <c r="AB151" s="22"/>
      <c r="AC151" s="22"/>
      <c r="AD151" s="22"/>
      <c r="AE151" s="22"/>
      <c r="AF151" s="44"/>
      <c r="AG151" s="334"/>
      <c r="AH151" s="335"/>
      <c r="AI151" s="335"/>
      <c r="AJ151" s="335"/>
      <c r="AK151" s="335"/>
      <c r="AL151" s="335"/>
      <c r="AM151" s="336"/>
      <c r="AN151" s="390" t="s">
        <v>878</v>
      </c>
      <c r="AO151" s="391"/>
      <c r="AP151" s="391"/>
      <c r="AQ151" s="391"/>
      <c r="AR151" s="391"/>
      <c r="AS151" s="391"/>
      <c r="AT151" s="391"/>
      <c r="AU151" s="391"/>
      <c r="AV151" s="391"/>
      <c r="AW151" s="391"/>
      <c r="AX151" s="391"/>
      <c r="AY151" s="391"/>
      <c r="AZ151" s="391"/>
      <c r="BA151" s="391"/>
      <c r="BB151" s="391"/>
      <c r="BC151" s="391"/>
      <c r="BD151" s="391"/>
      <c r="BE151" s="391"/>
      <c r="BF151" s="391"/>
      <c r="BG151" s="391"/>
      <c r="BH151" s="391"/>
      <c r="BI151" s="391"/>
      <c r="BJ151" s="391"/>
      <c r="BK151" s="391"/>
      <c r="BL151" s="391"/>
      <c r="BM151" s="391"/>
      <c r="BN151" s="391"/>
      <c r="BO151" s="391"/>
      <c r="BP151" s="391"/>
      <c r="BQ151" s="391"/>
      <c r="BR151" s="391"/>
      <c r="BS151" s="391"/>
      <c r="BT151" s="391"/>
      <c r="BU151" s="391"/>
      <c r="BV151" s="391"/>
      <c r="BW151" s="391"/>
      <c r="BX151" s="391"/>
      <c r="BY151" s="391"/>
      <c r="BZ151" s="391"/>
      <c r="CA151" s="391"/>
      <c r="CB151" s="391"/>
      <c r="CC151" s="391"/>
      <c r="CD151" s="392"/>
    </row>
    <row r="152" spans="1:82" ht="12" customHeight="1">
      <c r="A152" s="405"/>
      <c r="B152" s="2"/>
      <c r="C152" s="22"/>
      <c r="D152" s="22"/>
      <c r="E152" s="45"/>
      <c r="F152" s="22"/>
      <c r="G152" s="22"/>
      <c r="H152" s="22"/>
      <c r="I152" s="45"/>
      <c r="J152" s="22"/>
      <c r="K152" s="22"/>
      <c r="L152" s="22"/>
      <c r="M152" s="22"/>
      <c r="N152" s="22"/>
      <c r="O152" s="359"/>
      <c r="P152" s="22"/>
      <c r="Q152" s="22"/>
      <c r="R152" s="22"/>
      <c r="S152" s="22"/>
      <c r="T152" s="22"/>
      <c r="U152" s="22"/>
      <c r="V152" s="22"/>
      <c r="W152" s="22"/>
      <c r="X152" s="22"/>
      <c r="Y152" s="22"/>
      <c r="Z152" s="22"/>
      <c r="AA152" s="22"/>
      <c r="AB152" s="22"/>
      <c r="AC152" s="22"/>
      <c r="AD152" s="22"/>
      <c r="AE152" s="22"/>
      <c r="AF152" s="44"/>
      <c r="AG152" s="334"/>
      <c r="AH152" s="335"/>
      <c r="AI152" s="335"/>
      <c r="AJ152" s="335"/>
      <c r="AK152" s="335"/>
      <c r="AL152" s="335"/>
      <c r="AM152" s="336"/>
      <c r="AN152" s="390" t="s">
        <v>879</v>
      </c>
      <c r="AO152" s="391"/>
      <c r="AP152" s="391"/>
      <c r="AQ152" s="391"/>
      <c r="AR152" s="391"/>
      <c r="AS152" s="391"/>
      <c r="AT152" s="391"/>
      <c r="AU152" s="391"/>
      <c r="AV152" s="391"/>
      <c r="AW152" s="391"/>
      <c r="AX152" s="391"/>
      <c r="AY152" s="391"/>
      <c r="AZ152" s="391"/>
      <c r="BA152" s="391"/>
      <c r="BB152" s="391"/>
      <c r="BC152" s="391"/>
      <c r="BD152" s="391"/>
      <c r="BE152" s="391"/>
      <c r="BF152" s="391"/>
      <c r="BG152" s="391"/>
      <c r="BH152" s="391"/>
      <c r="BI152" s="391"/>
      <c r="BJ152" s="391"/>
      <c r="BK152" s="391"/>
      <c r="BL152" s="391"/>
      <c r="BM152" s="391"/>
      <c r="BN152" s="391"/>
      <c r="BO152" s="391"/>
      <c r="BP152" s="391"/>
      <c r="BQ152" s="391"/>
      <c r="BR152" s="391"/>
      <c r="BS152" s="391"/>
      <c r="BT152" s="391"/>
      <c r="BU152" s="391"/>
      <c r="BV152" s="391"/>
      <c r="BW152" s="391"/>
      <c r="BX152" s="391"/>
      <c r="BY152" s="391"/>
      <c r="BZ152" s="391"/>
      <c r="CA152" s="391"/>
      <c r="CB152" s="391"/>
      <c r="CC152" s="391"/>
      <c r="CD152" s="392"/>
    </row>
    <row r="153" spans="1:82" ht="12" customHeight="1">
      <c r="A153" s="405"/>
      <c r="B153" s="2"/>
      <c r="C153" s="22"/>
      <c r="D153" s="22"/>
      <c r="E153" s="45"/>
      <c r="F153" s="22"/>
      <c r="G153" s="22"/>
      <c r="H153" s="22"/>
      <c r="I153" s="45"/>
      <c r="J153" s="22"/>
      <c r="K153" s="22"/>
      <c r="L153" s="22"/>
      <c r="M153" s="22"/>
      <c r="N153" s="22"/>
      <c r="O153" s="359"/>
      <c r="P153" s="22"/>
      <c r="Q153" s="22"/>
      <c r="R153" s="22"/>
      <c r="S153" s="22"/>
      <c r="T153" s="22"/>
      <c r="U153" s="22"/>
      <c r="V153" s="22"/>
      <c r="W153" s="22"/>
      <c r="X153" s="22"/>
      <c r="Y153" s="22"/>
      <c r="Z153" s="22"/>
      <c r="AA153" s="22"/>
      <c r="AB153" s="22"/>
      <c r="AC153" s="22"/>
      <c r="AD153" s="22"/>
      <c r="AE153" s="22"/>
      <c r="AF153" s="44"/>
      <c r="AG153" s="334"/>
      <c r="AH153" s="335"/>
      <c r="AI153" s="335"/>
      <c r="AJ153" s="335"/>
      <c r="AK153" s="335"/>
      <c r="AL153" s="335"/>
      <c r="AM153" s="336"/>
      <c r="AN153" s="390"/>
      <c r="AO153" s="391"/>
      <c r="AP153" s="391"/>
      <c r="AQ153" s="391"/>
      <c r="AR153" s="391"/>
      <c r="AS153" s="391"/>
      <c r="AT153" s="391"/>
      <c r="AU153" s="391"/>
      <c r="AV153" s="391"/>
      <c r="AW153" s="391"/>
      <c r="AX153" s="391"/>
      <c r="AY153" s="391"/>
      <c r="AZ153" s="391"/>
      <c r="BA153" s="391"/>
      <c r="BB153" s="391"/>
      <c r="BC153" s="391"/>
      <c r="BD153" s="391"/>
      <c r="BE153" s="391"/>
      <c r="BF153" s="391"/>
      <c r="BG153" s="391"/>
      <c r="BH153" s="391"/>
      <c r="BI153" s="391"/>
      <c r="BJ153" s="391"/>
      <c r="BK153" s="391"/>
      <c r="BL153" s="391"/>
      <c r="BM153" s="391"/>
      <c r="BN153" s="391"/>
      <c r="BO153" s="391"/>
      <c r="BP153" s="391"/>
      <c r="BQ153" s="391"/>
      <c r="BR153" s="391"/>
      <c r="BS153" s="391"/>
      <c r="BT153" s="391"/>
      <c r="BU153" s="391"/>
      <c r="BV153" s="391"/>
      <c r="BW153" s="391"/>
      <c r="BX153" s="391"/>
      <c r="BY153" s="391"/>
      <c r="BZ153" s="391"/>
      <c r="CA153" s="391"/>
      <c r="CB153" s="391"/>
      <c r="CC153" s="391"/>
      <c r="CD153" s="392"/>
    </row>
    <row r="154" spans="1:82" ht="12" customHeight="1">
      <c r="A154" s="405"/>
      <c r="B154" s="2"/>
      <c r="C154" s="22"/>
      <c r="D154" s="22"/>
      <c r="E154" s="45"/>
      <c r="F154" s="22"/>
      <c r="G154" s="22"/>
      <c r="H154" s="22"/>
      <c r="I154" s="248"/>
      <c r="J154" s="249"/>
      <c r="K154" s="249"/>
      <c r="L154" s="249"/>
      <c r="M154" s="249"/>
      <c r="N154" s="249"/>
      <c r="O154" s="250"/>
      <c r="P154" s="356" t="s">
        <v>925</v>
      </c>
      <c r="Q154" s="43"/>
      <c r="R154" s="43"/>
      <c r="S154" s="43"/>
      <c r="T154" s="43"/>
      <c r="U154" s="43"/>
      <c r="V154" s="43"/>
      <c r="W154" s="43"/>
      <c r="X154" s="43"/>
      <c r="Y154" s="43"/>
      <c r="Z154" s="43"/>
      <c r="AA154" s="43"/>
      <c r="AB154" s="43"/>
      <c r="AC154" s="43"/>
      <c r="AD154" s="43"/>
      <c r="AE154" s="43"/>
      <c r="AF154" s="333"/>
      <c r="AG154" s="673" t="s">
        <v>936</v>
      </c>
      <c r="AH154" s="674"/>
      <c r="AI154" s="674"/>
      <c r="AJ154" s="674"/>
      <c r="AK154" s="674"/>
      <c r="AL154" s="674"/>
      <c r="AM154" s="675"/>
      <c r="AN154" s="390" t="s">
        <v>1073</v>
      </c>
      <c r="AO154" s="407"/>
      <c r="AP154" s="407"/>
      <c r="AQ154" s="407"/>
      <c r="AR154" s="407"/>
      <c r="AS154" s="407"/>
      <c r="AT154" s="407"/>
      <c r="AU154" s="407"/>
      <c r="AV154" s="407"/>
      <c r="AW154" s="407"/>
      <c r="AX154" s="407"/>
      <c r="AY154" s="407"/>
      <c r="AZ154" s="407"/>
      <c r="BA154" s="407"/>
      <c r="BB154" s="407"/>
      <c r="BC154" s="407"/>
      <c r="BD154" s="407"/>
      <c r="BE154" s="407"/>
      <c r="BF154" s="407"/>
      <c r="BG154" s="407"/>
      <c r="BH154" s="407"/>
      <c r="BI154" s="407"/>
      <c r="BJ154" s="407"/>
      <c r="BK154" s="407"/>
      <c r="BL154" s="407"/>
      <c r="BM154" s="407"/>
      <c r="BN154" s="407"/>
      <c r="BO154" s="407"/>
      <c r="BP154" s="407"/>
      <c r="BQ154" s="407"/>
      <c r="BR154" s="407"/>
      <c r="BS154" s="407"/>
      <c r="BT154" s="407"/>
      <c r="BU154" s="407"/>
      <c r="BV154" s="407"/>
      <c r="BW154" s="407"/>
      <c r="BX154" s="407"/>
      <c r="BY154" s="407"/>
      <c r="BZ154" s="407"/>
      <c r="CA154" s="407"/>
      <c r="CB154" s="407"/>
      <c r="CC154" s="407"/>
      <c r="CD154" s="408"/>
    </row>
    <row r="155" spans="1:82" ht="12" customHeight="1">
      <c r="A155" s="405"/>
      <c r="B155" s="2"/>
      <c r="C155" s="22"/>
      <c r="D155" s="22"/>
      <c r="E155" s="45"/>
      <c r="F155" s="22"/>
      <c r="G155" s="22"/>
      <c r="H155" s="22"/>
      <c r="I155" s="161" t="s">
        <v>932</v>
      </c>
      <c r="J155" s="160"/>
      <c r="K155" s="160"/>
      <c r="L155" s="160"/>
      <c r="M155" s="160"/>
      <c r="N155" s="160"/>
      <c r="O155" s="160"/>
      <c r="P155" s="340" t="s">
        <v>447</v>
      </c>
      <c r="Q155" s="160"/>
      <c r="R155" s="160"/>
      <c r="S155" s="160"/>
      <c r="T155" s="160"/>
      <c r="U155" s="160"/>
      <c r="V155" s="160"/>
      <c r="W155" s="160"/>
      <c r="X155" s="160"/>
      <c r="Y155" s="160"/>
      <c r="Z155" s="160"/>
      <c r="AA155" s="160"/>
      <c r="AB155" s="160"/>
      <c r="AC155" s="160"/>
      <c r="AD155" s="160"/>
      <c r="AE155" s="160"/>
      <c r="AF155" s="159"/>
      <c r="AG155" s="685" t="s">
        <v>937</v>
      </c>
      <c r="AH155" s="686"/>
      <c r="AI155" s="686"/>
      <c r="AJ155" s="686"/>
      <c r="AK155" s="686"/>
      <c r="AL155" s="686"/>
      <c r="AM155" s="687"/>
      <c r="AN155" s="261" t="s">
        <v>858</v>
      </c>
      <c r="AO155" s="262"/>
      <c r="AP155" s="262"/>
      <c r="AQ155" s="262"/>
      <c r="AR155" s="262"/>
      <c r="AS155" s="262"/>
      <c r="AT155" s="262"/>
      <c r="AU155" s="262"/>
      <c r="AV155" s="262"/>
      <c r="AW155" s="262"/>
      <c r="AX155" s="262"/>
      <c r="AY155" s="262"/>
      <c r="AZ155" s="262"/>
      <c r="BA155" s="262"/>
      <c r="BB155" s="262"/>
      <c r="BC155" s="262"/>
      <c r="BD155" s="262"/>
      <c r="BE155" s="262"/>
      <c r="BF155" s="262"/>
      <c r="BG155" s="262"/>
      <c r="BH155" s="262"/>
      <c r="BI155" s="262"/>
      <c r="BJ155" s="262"/>
      <c r="BK155" s="262"/>
      <c r="BL155" s="262"/>
      <c r="BM155" s="262"/>
      <c r="BN155" s="262"/>
      <c r="BO155" s="262"/>
      <c r="BP155" s="262"/>
      <c r="BQ155" s="262"/>
      <c r="BR155" s="262"/>
      <c r="BS155" s="262"/>
      <c r="BT155" s="262"/>
      <c r="BU155" s="262"/>
      <c r="BV155" s="262"/>
      <c r="BW155" s="262"/>
      <c r="BX155" s="262"/>
      <c r="BY155" s="262"/>
      <c r="BZ155" s="262"/>
      <c r="CA155" s="262"/>
      <c r="CB155" s="262"/>
      <c r="CC155" s="262"/>
      <c r="CD155" s="263"/>
    </row>
    <row r="156" spans="1:82" ht="12" customHeight="1">
      <c r="A156" s="405"/>
      <c r="B156" s="2"/>
      <c r="C156" s="22"/>
      <c r="D156" s="22"/>
      <c r="E156" s="45"/>
      <c r="F156" s="22"/>
      <c r="G156" s="22"/>
      <c r="H156" s="22"/>
      <c r="I156" s="45"/>
      <c r="J156" s="22"/>
      <c r="K156" s="22"/>
      <c r="L156" s="22"/>
      <c r="M156" s="22"/>
      <c r="N156" s="22"/>
      <c r="O156" s="22"/>
      <c r="P156" s="342"/>
      <c r="Q156" s="22"/>
      <c r="R156" s="22"/>
      <c r="S156" s="22"/>
      <c r="T156" s="22"/>
      <c r="U156" s="22"/>
      <c r="V156" s="22"/>
      <c r="W156" s="22"/>
      <c r="X156" s="22"/>
      <c r="Y156" s="22"/>
      <c r="Z156" s="22"/>
      <c r="AA156" s="22"/>
      <c r="AB156" s="22"/>
      <c r="AC156" s="22"/>
      <c r="AD156" s="22"/>
      <c r="AE156" s="22"/>
      <c r="AF156" s="44"/>
      <c r="AG156" s="334"/>
      <c r="AH156" s="335"/>
      <c r="AI156" s="335"/>
      <c r="AJ156" s="335"/>
      <c r="AK156" s="335"/>
      <c r="AL156" s="335"/>
      <c r="AM156" s="336"/>
      <c r="AN156" s="390" t="s">
        <v>859</v>
      </c>
      <c r="AO156" s="391"/>
      <c r="AP156" s="391"/>
      <c r="AQ156" s="391"/>
      <c r="AR156" s="391"/>
      <c r="AS156" s="391"/>
      <c r="AT156" s="391"/>
      <c r="AU156" s="391"/>
      <c r="AV156" s="391"/>
      <c r="AW156" s="391"/>
      <c r="AX156" s="391"/>
      <c r="AY156" s="391"/>
      <c r="AZ156" s="391"/>
      <c r="BA156" s="391"/>
      <c r="BB156" s="391"/>
      <c r="BC156" s="391"/>
      <c r="BD156" s="391"/>
      <c r="BE156" s="391"/>
      <c r="BF156" s="391"/>
      <c r="BG156" s="391"/>
      <c r="BH156" s="391"/>
      <c r="BI156" s="391"/>
      <c r="BJ156" s="391"/>
      <c r="BK156" s="391"/>
      <c r="BL156" s="391"/>
      <c r="BM156" s="391"/>
      <c r="BN156" s="391"/>
      <c r="BO156" s="391"/>
      <c r="BP156" s="391"/>
      <c r="BQ156" s="391"/>
      <c r="BR156" s="391"/>
      <c r="BS156" s="391"/>
      <c r="BT156" s="391"/>
      <c r="BU156" s="391"/>
      <c r="BV156" s="391"/>
      <c r="BW156" s="391"/>
      <c r="BX156" s="391"/>
      <c r="BY156" s="391"/>
      <c r="BZ156" s="391"/>
      <c r="CA156" s="391"/>
      <c r="CB156" s="391"/>
      <c r="CC156" s="391"/>
      <c r="CD156" s="392"/>
    </row>
    <row r="157" spans="1:82" ht="12" customHeight="1">
      <c r="A157" s="405"/>
      <c r="B157" s="2"/>
      <c r="C157" s="22"/>
      <c r="D157" s="22"/>
      <c r="E157" s="45"/>
      <c r="F157" s="22"/>
      <c r="G157" s="22"/>
      <c r="H157" s="22"/>
      <c r="I157" s="45"/>
      <c r="J157" s="22"/>
      <c r="K157" s="22"/>
      <c r="L157" s="22"/>
      <c r="M157" s="22"/>
      <c r="N157" s="22"/>
      <c r="O157" s="22"/>
      <c r="P157" s="342"/>
      <c r="Q157" s="22"/>
      <c r="R157" s="22"/>
      <c r="S157" s="22"/>
      <c r="T157" s="22"/>
      <c r="U157" s="22"/>
      <c r="V157" s="22"/>
      <c r="W157" s="22"/>
      <c r="X157" s="22"/>
      <c r="Y157" s="22"/>
      <c r="Z157" s="22"/>
      <c r="AA157" s="22"/>
      <c r="AB157" s="22"/>
      <c r="AC157" s="22"/>
      <c r="AD157" s="22"/>
      <c r="AE157" s="22"/>
      <c r="AF157" s="44"/>
      <c r="AG157" s="334"/>
      <c r="AH157" s="335"/>
      <c r="AI157" s="335"/>
      <c r="AJ157" s="335"/>
      <c r="AK157" s="335"/>
      <c r="AL157" s="335"/>
      <c r="AM157" s="336"/>
      <c r="AN157" s="390" t="s">
        <v>860</v>
      </c>
      <c r="AO157" s="391"/>
      <c r="AP157" s="391"/>
      <c r="AQ157" s="391"/>
      <c r="AR157" s="391"/>
      <c r="AS157" s="391"/>
      <c r="AT157" s="391"/>
      <c r="AU157" s="391"/>
      <c r="AV157" s="391"/>
      <c r="AW157" s="391"/>
      <c r="AX157" s="391"/>
      <c r="AY157" s="391"/>
      <c r="AZ157" s="391"/>
      <c r="BA157" s="391"/>
      <c r="BB157" s="391"/>
      <c r="BC157" s="391"/>
      <c r="BD157" s="391"/>
      <c r="BE157" s="391"/>
      <c r="BF157" s="391"/>
      <c r="BG157" s="391"/>
      <c r="BH157" s="391"/>
      <c r="BI157" s="391"/>
      <c r="BJ157" s="391"/>
      <c r="BK157" s="391"/>
      <c r="BL157" s="391"/>
      <c r="BM157" s="391"/>
      <c r="BN157" s="391"/>
      <c r="BO157" s="391"/>
      <c r="BP157" s="391"/>
      <c r="BQ157" s="391"/>
      <c r="BR157" s="391"/>
      <c r="BS157" s="391"/>
      <c r="BT157" s="391"/>
      <c r="BU157" s="391"/>
      <c r="BV157" s="391"/>
      <c r="BW157" s="391"/>
      <c r="BX157" s="391"/>
      <c r="BY157" s="391"/>
      <c r="BZ157" s="391"/>
      <c r="CA157" s="391"/>
      <c r="CB157" s="391"/>
      <c r="CC157" s="391"/>
      <c r="CD157" s="392"/>
    </row>
    <row r="158" spans="1:82" ht="12" customHeight="1">
      <c r="A158" s="405"/>
      <c r="B158" s="2"/>
      <c r="C158" s="22"/>
      <c r="D158" s="22"/>
      <c r="E158" s="45"/>
      <c r="F158" s="22"/>
      <c r="G158" s="22"/>
      <c r="H158" s="22"/>
      <c r="I158" s="45"/>
      <c r="J158" s="22"/>
      <c r="K158" s="22"/>
      <c r="L158" s="22"/>
      <c r="M158" s="22"/>
      <c r="N158" s="22"/>
      <c r="O158" s="22"/>
      <c r="P158" s="342"/>
      <c r="Q158" s="22"/>
      <c r="R158" s="22"/>
      <c r="S158" s="22"/>
      <c r="T158" s="22"/>
      <c r="U158" s="22"/>
      <c r="V158" s="22"/>
      <c r="W158" s="22"/>
      <c r="X158" s="22"/>
      <c r="Y158" s="22"/>
      <c r="Z158" s="22"/>
      <c r="AA158" s="22"/>
      <c r="AB158" s="22"/>
      <c r="AC158" s="22"/>
      <c r="AD158" s="22"/>
      <c r="AE158" s="22"/>
      <c r="AF158" s="44"/>
      <c r="AG158" s="334"/>
      <c r="AH158" s="335"/>
      <c r="AI158" s="335"/>
      <c r="AJ158" s="335"/>
      <c r="AK158" s="335"/>
      <c r="AL158" s="335"/>
      <c r="AM158" s="336"/>
      <c r="AN158" s="390" t="s">
        <v>861</v>
      </c>
      <c r="AO158" s="391"/>
      <c r="AP158" s="391"/>
      <c r="AQ158" s="391"/>
      <c r="AR158" s="391"/>
      <c r="AS158" s="391"/>
      <c r="AT158" s="391"/>
      <c r="AU158" s="391"/>
      <c r="AV158" s="391"/>
      <c r="AW158" s="391"/>
      <c r="AX158" s="391"/>
      <c r="AY158" s="391"/>
      <c r="AZ158" s="391"/>
      <c r="BA158" s="391"/>
      <c r="BB158" s="391"/>
      <c r="BC158" s="391"/>
      <c r="BD158" s="391"/>
      <c r="BE158" s="391"/>
      <c r="BF158" s="391"/>
      <c r="BG158" s="391"/>
      <c r="BH158" s="391"/>
      <c r="BI158" s="391"/>
      <c r="BJ158" s="391"/>
      <c r="BK158" s="391"/>
      <c r="BL158" s="391"/>
      <c r="BM158" s="391"/>
      <c r="BN158" s="391"/>
      <c r="BO158" s="391"/>
      <c r="BP158" s="391"/>
      <c r="BQ158" s="391"/>
      <c r="BR158" s="391"/>
      <c r="BS158" s="391"/>
      <c r="BT158" s="391"/>
      <c r="BU158" s="391"/>
      <c r="BV158" s="391"/>
      <c r="BW158" s="391"/>
      <c r="BX158" s="391"/>
      <c r="BY158" s="391"/>
      <c r="BZ158" s="391"/>
      <c r="CA158" s="391"/>
      <c r="CB158" s="391"/>
      <c r="CC158" s="391"/>
      <c r="CD158" s="392"/>
    </row>
    <row r="159" spans="1:82" ht="12" customHeight="1">
      <c r="A159" s="405"/>
      <c r="B159" s="2"/>
      <c r="C159" s="22"/>
      <c r="D159" s="22"/>
      <c r="E159" s="45"/>
      <c r="F159" s="22"/>
      <c r="G159" s="22"/>
      <c r="H159" s="22"/>
      <c r="I159" s="45"/>
      <c r="J159" s="22"/>
      <c r="K159" s="22"/>
      <c r="L159" s="22"/>
      <c r="M159" s="22"/>
      <c r="N159" s="22"/>
      <c r="O159" s="22"/>
      <c r="P159" s="342"/>
      <c r="Q159" s="22"/>
      <c r="R159" s="22"/>
      <c r="S159" s="22"/>
      <c r="T159" s="22"/>
      <c r="U159" s="22"/>
      <c r="V159" s="22"/>
      <c r="W159" s="22"/>
      <c r="X159" s="22"/>
      <c r="Y159" s="22"/>
      <c r="Z159" s="22"/>
      <c r="AA159" s="22"/>
      <c r="AB159" s="22"/>
      <c r="AC159" s="22"/>
      <c r="AD159" s="22"/>
      <c r="AE159" s="22"/>
      <c r="AF159" s="44"/>
      <c r="AG159" s="334"/>
      <c r="AH159" s="335"/>
      <c r="AI159" s="335"/>
      <c r="AJ159" s="335"/>
      <c r="AK159" s="335"/>
      <c r="AL159" s="335"/>
      <c r="AM159" s="336"/>
      <c r="AN159" s="390" t="s">
        <v>862</v>
      </c>
      <c r="AO159" s="391"/>
      <c r="AP159" s="391"/>
      <c r="AQ159" s="391"/>
      <c r="AR159" s="391"/>
      <c r="AS159" s="391"/>
      <c r="AT159" s="391"/>
      <c r="AU159" s="391"/>
      <c r="AV159" s="391"/>
      <c r="AW159" s="391"/>
      <c r="AX159" s="391"/>
      <c r="AY159" s="391"/>
      <c r="AZ159" s="391"/>
      <c r="BA159" s="391"/>
      <c r="BB159" s="391"/>
      <c r="BC159" s="391"/>
      <c r="BD159" s="391"/>
      <c r="BE159" s="391"/>
      <c r="BF159" s="391"/>
      <c r="BG159" s="391"/>
      <c r="BH159" s="391"/>
      <c r="BI159" s="391"/>
      <c r="BJ159" s="391"/>
      <c r="BK159" s="391"/>
      <c r="BL159" s="391"/>
      <c r="BM159" s="391"/>
      <c r="BN159" s="391"/>
      <c r="BO159" s="391"/>
      <c r="BP159" s="391"/>
      <c r="BQ159" s="391"/>
      <c r="BR159" s="391"/>
      <c r="BS159" s="391"/>
      <c r="BT159" s="391"/>
      <c r="BU159" s="391"/>
      <c r="BV159" s="391"/>
      <c r="BW159" s="391"/>
      <c r="BX159" s="391"/>
      <c r="BY159" s="391"/>
      <c r="BZ159" s="391"/>
      <c r="CA159" s="391"/>
      <c r="CB159" s="391"/>
      <c r="CC159" s="391"/>
      <c r="CD159" s="392"/>
    </row>
    <row r="160" spans="1:82" ht="12" customHeight="1">
      <c r="A160" s="405"/>
      <c r="B160" s="2"/>
      <c r="C160" s="22"/>
      <c r="D160" s="22"/>
      <c r="E160" s="45"/>
      <c r="F160" s="22"/>
      <c r="G160" s="22"/>
      <c r="H160" s="22"/>
      <c r="I160" s="45"/>
      <c r="J160" s="22"/>
      <c r="K160" s="22"/>
      <c r="L160" s="22"/>
      <c r="M160" s="22"/>
      <c r="N160" s="22"/>
      <c r="O160" s="22"/>
      <c r="P160" s="342"/>
      <c r="Q160" s="22"/>
      <c r="R160" s="22"/>
      <c r="S160" s="22"/>
      <c r="T160" s="22"/>
      <c r="U160" s="22"/>
      <c r="V160" s="22"/>
      <c r="W160" s="22"/>
      <c r="X160" s="22"/>
      <c r="Y160" s="22"/>
      <c r="Z160" s="22"/>
      <c r="AA160" s="22"/>
      <c r="AB160" s="22"/>
      <c r="AC160" s="22"/>
      <c r="AD160" s="22"/>
      <c r="AE160" s="22"/>
      <c r="AF160" s="44"/>
      <c r="AG160" s="334"/>
      <c r="AH160" s="335"/>
      <c r="AI160" s="335"/>
      <c r="AJ160" s="335"/>
      <c r="AK160" s="335"/>
      <c r="AL160" s="335"/>
      <c r="AM160" s="336"/>
      <c r="AN160" s="390" t="s">
        <v>863</v>
      </c>
      <c r="AO160" s="391"/>
      <c r="AP160" s="391"/>
      <c r="AQ160" s="391"/>
      <c r="AR160" s="391"/>
      <c r="AS160" s="391"/>
      <c r="AT160" s="391"/>
      <c r="AU160" s="391"/>
      <c r="AV160" s="391"/>
      <c r="AW160" s="391"/>
      <c r="AX160" s="391"/>
      <c r="AY160" s="391"/>
      <c r="AZ160" s="391"/>
      <c r="BA160" s="391"/>
      <c r="BB160" s="391"/>
      <c r="BC160" s="391"/>
      <c r="BD160" s="391"/>
      <c r="BE160" s="391"/>
      <c r="BF160" s="391"/>
      <c r="BG160" s="391"/>
      <c r="BH160" s="391"/>
      <c r="BI160" s="391"/>
      <c r="BJ160" s="391"/>
      <c r="BK160" s="391"/>
      <c r="BL160" s="391"/>
      <c r="BM160" s="391"/>
      <c r="BN160" s="391"/>
      <c r="BO160" s="391"/>
      <c r="BP160" s="391"/>
      <c r="BQ160" s="391"/>
      <c r="BR160" s="391"/>
      <c r="BS160" s="391"/>
      <c r="BT160" s="391"/>
      <c r="BU160" s="391"/>
      <c r="BV160" s="391"/>
      <c r="BW160" s="391"/>
      <c r="BX160" s="391"/>
      <c r="BY160" s="391"/>
      <c r="BZ160" s="391"/>
      <c r="CA160" s="391"/>
      <c r="CB160" s="391"/>
      <c r="CC160" s="391"/>
      <c r="CD160" s="392"/>
    </row>
    <row r="161" spans="1:82" ht="12" customHeight="1">
      <c r="A161" s="405"/>
      <c r="B161" s="2"/>
      <c r="C161" s="22"/>
      <c r="D161" s="22"/>
      <c r="E161" s="45"/>
      <c r="F161" s="22"/>
      <c r="G161" s="22"/>
      <c r="H161" s="22"/>
      <c r="I161" s="45"/>
      <c r="J161" s="22"/>
      <c r="K161" s="22"/>
      <c r="L161" s="22"/>
      <c r="M161" s="22"/>
      <c r="N161" s="22"/>
      <c r="O161" s="22"/>
      <c r="P161" s="342"/>
      <c r="Q161" s="22"/>
      <c r="R161" s="22"/>
      <c r="S161" s="22"/>
      <c r="T161" s="22"/>
      <c r="U161" s="22"/>
      <c r="V161" s="22"/>
      <c r="W161" s="22"/>
      <c r="X161" s="22"/>
      <c r="Y161" s="22"/>
      <c r="Z161" s="22"/>
      <c r="AA161" s="22"/>
      <c r="AB161" s="22"/>
      <c r="AC161" s="22"/>
      <c r="AD161" s="22"/>
      <c r="AE161" s="22"/>
      <c r="AF161" s="44"/>
      <c r="AG161" s="334"/>
      <c r="AH161" s="335"/>
      <c r="AI161" s="335"/>
      <c r="AJ161" s="335"/>
      <c r="AK161" s="335"/>
      <c r="AL161" s="335"/>
      <c r="AM161" s="336"/>
      <c r="AN161" s="390" t="s">
        <v>880</v>
      </c>
      <c r="AO161" s="391"/>
      <c r="AP161" s="391"/>
      <c r="AQ161" s="391"/>
      <c r="AR161" s="391"/>
      <c r="AS161" s="391"/>
      <c r="AT161" s="391"/>
      <c r="AU161" s="391"/>
      <c r="AV161" s="391"/>
      <c r="AW161" s="391"/>
      <c r="AX161" s="391"/>
      <c r="AY161" s="391"/>
      <c r="AZ161" s="391"/>
      <c r="BA161" s="391"/>
      <c r="BB161" s="391"/>
      <c r="BC161" s="391"/>
      <c r="BD161" s="391"/>
      <c r="BE161" s="391"/>
      <c r="BF161" s="391"/>
      <c r="BG161" s="391"/>
      <c r="BH161" s="391"/>
      <c r="BI161" s="391"/>
      <c r="BJ161" s="391"/>
      <c r="BK161" s="391"/>
      <c r="BL161" s="391"/>
      <c r="BM161" s="391"/>
      <c r="BN161" s="391"/>
      <c r="BO161" s="391"/>
      <c r="BP161" s="391"/>
      <c r="BQ161" s="391"/>
      <c r="BR161" s="391"/>
      <c r="BS161" s="391"/>
      <c r="BT161" s="391"/>
      <c r="BU161" s="391"/>
      <c r="BV161" s="391"/>
      <c r="BW161" s="391"/>
      <c r="BX161" s="391"/>
      <c r="BY161" s="391"/>
      <c r="BZ161" s="391"/>
      <c r="CA161" s="391"/>
      <c r="CB161" s="391"/>
      <c r="CC161" s="391"/>
      <c r="CD161" s="392"/>
    </row>
    <row r="162" spans="1:82" ht="12" customHeight="1">
      <c r="A162" s="405"/>
      <c r="B162" s="2"/>
      <c r="C162" s="22"/>
      <c r="D162" s="22"/>
      <c r="E162" s="45"/>
      <c r="F162" s="22"/>
      <c r="G162" s="22"/>
      <c r="H162" s="22"/>
      <c r="I162" s="45"/>
      <c r="J162" s="22"/>
      <c r="K162" s="22"/>
      <c r="L162" s="22"/>
      <c r="M162" s="22"/>
      <c r="N162" s="22"/>
      <c r="O162" s="22"/>
      <c r="P162" s="341"/>
      <c r="Q162" s="249"/>
      <c r="R162" s="249"/>
      <c r="S162" s="249"/>
      <c r="T162" s="249"/>
      <c r="U162" s="249"/>
      <c r="V162" s="249"/>
      <c r="W162" s="249"/>
      <c r="X162" s="249"/>
      <c r="Y162" s="249"/>
      <c r="Z162" s="249"/>
      <c r="AA162" s="249"/>
      <c r="AB162" s="249"/>
      <c r="AC162" s="249"/>
      <c r="AD162" s="249"/>
      <c r="AE162" s="249"/>
      <c r="AF162" s="329"/>
      <c r="AG162" s="337"/>
      <c r="AH162" s="338"/>
      <c r="AI162" s="338"/>
      <c r="AJ162" s="338"/>
      <c r="AK162" s="338"/>
      <c r="AL162" s="338"/>
      <c r="AM162" s="339"/>
      <c r="AN162" s="255"/>
      <c r="AO162" s="256"/>
      <c r="AP162" s="256"/>
      <c r="AQ162" s="256"/>
      <c r="AR162" s="256"/>
      <c r="AS162" s="256"/>
      <c r="AT162" s="256"/>
      <c r="AU162" s="256"/>
      <c r="AV162" s="256"/>
      <c r="AW162" s="256"/>
      <c r="AX162" s="256"/>
      <c r="AY162" s="256"/>
      <c r="AZ162" s="256"/>
      <c r="BA162" s="256"/>
      <c r="BB162" s="256"/>
      <c r="BC162" s="256"/>
      <c r="BD162" s="256"/>
      <c r="BE162" s="256"/>
      <c r="BF162" s="256"/>
      <c r="BG162" s="256"/>
      <c r="BH162" s="256"/>
      <c r="BI162" s="256"/>
      <c r="BJ162" s="256"/>
      <c r="BK162" s="256"/>
      <c r="BL162" s="256"/>
      <c r="BM162" s="256"/>
      <c r="BN162" s="256"/>
      <c r="BO162" s="256"/>
      <c r="BP162" s="256"/>
      <c r="BQ162" s="256"/>
      <c r="BR162" s="256"/>
      <c r="BS162" s="256"/>
      <c r="BT162" s="256"/>
      <c r="BU162" s="256"/>
      <c r="BV162" s="256"/>
      <c r="BW162" s="256"/>
      <c r="BX162" s="256"/>
      <c r="BY162" s="256"/>
      <c r="BZ162" s="256"/>
      <c r="CA162" s="256"/>
      <c r="CB162" s="256"/>
      <c r="CC162" s="256"/>
      <c r="CD162" s="257"/>
    </row>
    <row r="163" spans="1:82" ht="12" customHeight="1">
      <c r="A163" s="405"/>
      <c r="B163" s="2"/>
      <c r="C163" s="22"/>
      <c r="D163" s="22"/>
      <c r="E163" s="45"/>
      <c r="F163" s="22"/>
      <c r="G163" s="22"/>
      <c r="H163" s="22"/>
      <c r="I163" s="45"/>
      <c r="J163" s="22"/>
      <c r="K163" s="22"/>
      <c r="L163" s="22"/>
      <c r="M163" s="22"/>
      <c r="N163" s="22"/>
      <c r="O163" s="22"/>
      <c r="P163" s="340" t="s">
        <v>448</v>
      </c>
      <c r="Q163" s="160"/>
      <c r="R163" s="160"/>
      <c r="S163" s="160"/>
      <c r="T163" s="160"/>
      <c r="U163" s="160"/>
      <c r="V163" s="160"/>
      <c r="W163" s="160"/>
      <c r="X163" s="160"/>
      <c r="Y163" s="160"/>
      <c r="Z163" s="160"/>
      <c r="AA163" s="160"/>
      <c r="AB163" s="160"/>
      <c r="AC163" s="160"/>
      <c r="AD163" s="160"/>
      <c r="AE163" s="160"/>
      <c r="AF163" s="159"/>
      <c r="AG163" s="685" t="s">
        <v>938</v>
      </c>
      <c r="AH163" s="686"/>
      <c r="AI163" s="686"/>
      <c r="AJ163" s="686"/>
      <c r="AK163" s="686"/>
      <c r="AL163" s="686"/>
      <c r="AM163" s="687"/>
      <c r="AN163" s="261" t="s">
        <v>881</v>
      </c>
      <c r="AO163" s="262"/>
      <c r="AP163" s="262"/>
      <c r="AQ163" s="262"/>
      <c r="AR163" s="262"/>
      <c r="AS163" s="262"/>
      <c r="AT163" s="262"/>
      <c r="AU163" s="262"/>
      <c r="AV163" s="262"/>
      <c r="AW163" s="262"/>
      <c r="AX163" s="262"/>
      <c r="AY163" s="262"/>
      <c r="AZ163" s="262"/>
      <c r="BA163" s="262"/>
      <c r="BB163" s="262"/>
      <c r="BC163" s="262"/>
      <c r="BD163" s="262"/>
      <c r="BE163" s="262"/>
      <c r="BF163" s="262"/>
      <c r="BG163" s="262"/>
      <c r="BH163" s="262"/>
      <c r="BI163" s="262"/>
      <c r="BJ163" s="262"/>
      <c r="BK163" s="262"/>
      <c r="BL163" s="262"/>
      <c r="BM163" s="262"/>
      <c r="BN163" s="262"/>
      <c r="BO163" s="262"/>
      <c r="BP163" s="262"/>
      <c r="BQ163" s="262"/>
      <c r="BR163" s="262"/>
      <c r="BS163" s="262"/>
      <c r="BT163" s="262"/>
      <c r="BU163" s="262"/>
      <c r="BV163" s="262"/>
      <c r="BW163" s="262"/>
      <c r="BX163" s="262"/>
      <c r="BY163" s="262"/>
      <c r="BZ163" s="262"/>
      <c r="CA163" s="262"/>
      <c r="CB163" s="262"/>
      <c r="CC163" s="262"/>
      <c r="CD163" s="263"/>
    </row>
    <row r="164" spans="1:82" ht="12" customHeight="1">
      <c r="A164" s="405"/>
      <c r="B164" s="2"/>
      <c r="C164" s="22"/>
      <c r="D164" s="22"/>
      <c r="E164" s="45"/>
      <c r="F164" s="22"/>
      <c r="G164" s="22"/>
      <c r="H164" s="22"/>
      <c r="I164" s="45"/>
      <c r="J164" s="22"/>
      <c r="K164" s="22"/>
      <c r="L164" s="22"/>
      <c r="M164" s="22"/>
      <c r="N164" s="22"/>
      <c r="O164" s="22"/>
      <c r="P164" s="342"/>
      <c r="Q164" s="22"/>
      <c r="R164" s="22"/>
      <c r="S164" s="22"/>
      <c r="T164" s="22"/>
      <c r="U164" s="22"/>
      <c r="V164" s="22"/>
      <c r="W164" s="22"/>
      <c r="X164" s="22"/>
      <c r="Y164" s="22"/>
      <c r="Z164" s="22"/>
      <c r="AA164" s="22"/>
      <c r="AB164" s="22"/>
      <c r="AC164" s="22"/>
      <c r="AD164" s="22"/>
      <c r="AE164" s="22"/>
      <c r="AF164" s="44"/>
      <c r="AG164" s="334"/>
      <c r="AH164" s="335"/>
      <c r="AI164" s="335"/>
      <c r="AJ164" s="335"/>
      <c r="AK164" s="335"/>
      <c r="AL164" s="335"/>
      <c r="AM164" s="336"/>
      <c r="AN164" s="390" t="s">
        <v>864</v>
      </c>
      <c r="AO164" s="391"/>
      <c r="AP164" s="391"/>
      <c r="AQ164" s="391"/>
      <c r="AR164" s="391"/>
      <c r="AS164" s="391"/>
      <c r="AT164" s="391"/>
      <c r="AU164" s="391"/>
      <c r="AV164" s="391"/>
      <c r="AW164" s="391"/>
      <c r="AX164" s="391"/>
      <c r="AY164" s="391"/>
      <c r="AZ164" s="391"/>
      <c r="BA164" s="391"/>
      <c r="BB164" s="391"/>
      <c r="BC164" s="391"/>
      <c r="BD164" s="391"/>
      <c r="BE164" s="391"/>
      <c r="BF164" s="391"/>
      <c r="BG164" s="391"/>
      <c r="BH164" s="391"/>
      <c r="BI164" s="391"/>
      <c r="BJ164" s="391"/>
      <c r="BK164" s="391"/>
      <c r="BL164" s="391"/>
      <c r="BM164" s="391"/>
      <c r="BN164" s="391"/>
      <c r="BO164" s="391"/>
      <c r="BP164" s="391"/>
      <c r="BQ164" s="391"/>
      <c r="BR164" s="391"/>
      <c r="BS164" s="391"/>
      <c r="BT164" s="391"/>
      <c r="BU164" s="391"/>
      <c r="BV164" s="391"/>
      <c r="BW164" s="391"/>
      <c r="BX164" s="391"/>
      <c r="BY164" s="391"/>
      <c r="BZ164" s="391"/>
      <c r="CA164" s="391"/>
      <c r="CB164" s="391"/>
      <c r="CC164" s="391"/>
      <c r="CD164" s="392"/>
    </row>
    <row r="165" spans="1:82" ht="12" customHeight="1">
      <c r="A165" s="405"/>
      <c r="B165" s="2"/>
      <c r="C165" s="22"/>
      <c r="D165" s="22"/>
      <c r="E165" s="45"/>
      <c r="F165" s="22"/>
      <c r="G165" s="22"/>
      <c r="H165" s="22"/>
      <c r="I165" s="248"/>
      <c r="J165" s="249"/>
      <c r="K165" s="249"/>
      <c r="L165" s="249"/>
      <c r="M165" s="249"/>
      <c r="N165" s="249"/>
      <c r="O165" s="249"/>
      <c r="P165" s="341"/>
      <c r="Q165" s="249"/>
      <c r="R165" s="249"/>
      <c r="S165" s="249"/>
      <c r="T165" s="249"/>
      <c r="U165" s="249"/>
      <c r="V165" s="249"/>
      <c r="W165" s="249"/>
      <c r="X165" s="249"/>
      <c r="Y165" s="249"/>
      <c r="Z165" s="249"/>
      <c r="AA165" s="249"/>
      <c r="AB165" s="249"/>
      <c r="AC165" s="249"/>
      <c r="AD165" s="249"/>
      <c r="AE165" s="249"/>
      <c r="AF165" s="329"/>
      <c r="AG165" s="337"/>
      <c r="AH165" s="338"/>
      <c r="AI165" s="338"/>
      <c r="AJ165" s="338"/>
      <c r="AK165" s="338"/>
      <c r="AL165" s="338"/>
      <c r="AM165" s="339"/>
      <c r="AN165" s="255"/>
      <c r="AO165" s="256"/>
      <c r="AP165" s="256"/>
      <c r="AQ165" s="256"/>
      <c r="AR165" s="256"/>
      <c r="AS165" s="256"/>
      <c r="AT165" s="256"/>
      <c r="AU165" s="256"/>
      <c r="AV165" s="256"/>
      <c r="AW165" s="256"/>
      <c r="AX165" s="256"/>
      <c r="AY165" s="256"/>
      <c r="AZ165" s="256"/>
      <c r="BA165" s="256"/>
      <c r="BB165" s="256"/>
      <c r="BC165" s="256"/>
      <c r="BD165" s="256"/>
      <c r="BE165" s="256"/>
      <c r="BF165" s="256"/>
      <c r="BG165" s="256"/>
      <c r="BH165" s="256"/>
      <c r="BI165" s="256"/>
      <c r="BJ165" s="256"/>
      <c r="BK165" s="256"/>
      <c r="BL165" s="256"/>
      <c r="BM165" s="256"/>
      <c r="BN165" s="256"/>
      <c r="BO165" s="256"/>
      <c r="BP165" s="256"/>
      <c r="BQ165" s="256"/>
      <c r="BR165" s="256"/>
      <c r="BS165" s="256"/>
      <c r="BT165" s="256"/>
      <c r="BU165" s="256"/>
      <c r="BV165" s="256"/>
      <c r="BW165" s="256"/>
      <c r="BX165" s="256"/>
      <c r="BY165" s="256"/>
      <c r="BZ165" s="256"/>
      <c r="CA165" s="256"/>
      <c r="CB165" s="256"/>
      <c r="CC165" s="256"/>
      <c r="CD165" s="257"/>
    </row>
    <row r="166" spans="1:82" ht="12" customHeight="1">
      <c r="A166" s="405"/>
      <c r="B166" s="2"/>
      <c r="C166" s="22"/>
      <c r="D166" s="22"/>
      <c r="E166" s="45"/>
      <c r="F166" s="22"/>
      <c r="G166" s="22"/>
      <c r="H166" s="22"/>
      <c r="I166" s="161" t="s">
        <v>444</v>
      </c>
      <c r="J166" s="160"/>
      <c r="K166" s="160"/>
      <c r="L166" s="160"/>
      <c r="M166" s="160"/>
      <c r="N166" s="160"/>
      <c r="O166" s="160"/>
      <c r="P166" s="22"/>
      <c r="Q166" s="22"/>
      <c r="R166" s="22"/>
      <c r="S166" s="22"/>
      <c r="T166" s="22"/>
      <c r="U166" s="22"/>
      <c r="V166" s="22"/>
      <c r="W166" s="22"/>
      <c r="X166" s="22"/>
      <c r="Y166" s="22"/>
      <c r="Z166" s="22"/>
      <c r="AA166" s="22"/>
      <c r="AB166" s="22"/>
      <c r="AC166" s="22"/>
      <c r="AD166" s="22"/>
      <c r="AE166" s="22"/>
      <c r="AF166" s="44"/>
      <c r="AG166" s="710" t="s">
        <v>1062</v>
      </c>
      <c r="AH166" s="711"/>
      <c r="AI166" s="711"/>
      <c r="AJ166" s="711"/>
      <c r="AK166" s="711"/>
      <c r="AL166" s="711"/>
      <c r="AM166" s="712"/>
      <c r="AN166" s="255" t="s">
        <v>1064</v>
      </c>
      <c r="AO166" s="256"/>
      <c r="AP166" s="256"/>
      <c r="AQ166" s="256"/>
      <c r="AR166" s="256"/>
      <c r="AS166" s="256"/>
      <c r="AT166" s="256"/>
      <c r="AU166" s="256"/>
      <c r="AV166" s="256"/>
      <c r="AW166" s="256"/>
      <c r="AX166" s="256"/>
      <c r="AY166" s="256"/>
      <c r="AZ166" s="256"/>
      <c r="BA166" s="256"/>
      <c r="BB166" s="256"/>
      <c r="BC166" s="256"/>
      <c r="BD166" s="256"/>
      <c r="BE166" s="256"/>
      <c r="BF166" s="256"/>
      <c r="BG166" s="256"/>
      <c r="BH166" s="256"/>
      <c r="BI166" s="256"/>
      <c r="BJ166" s="256"/>
      <c r="BK166" s="256"/>
      <c r="BL166" s="256"/>
      <c r="BM166" s="256"/>
      <c r="BN166" s="256"/>
      <c r="BO166" s="256"/>
      <c r="BP166" s="256"/>
      <c r="BQ166" s="256"/>
      <c r="BR166" s="256"/>
      <c r="BS166" s="256"/>
      <c r="BT166" s="256"/>
      <c r="BU166" s="256"/>
      <c r="BV166" s="256"/>
      <c r="BW166" s="256"/>
      <c r="BX166" s="256"/>
      <c r="BY166" s="256"/>
      <c r="BZ166" s="256"/>
      <c r="CA166" s="256"/>
      <c r="CB166" s="256"/>
      <c r="CC166" s="256"/>
      <c r="CD166" s="257"/>
    </row>
    <row r="167" spans="1:82" ht="12" customHeight="1">
      <c r="A167" s="55"/>
      <c r="B167" s="3"/>
      <c r="C167" s="3"/>
      <c r="D167" s="3"/>
      <c r="E167" s="390"/>
      <c r="F167" s="391"/>
      <c r="G167" s="391"/>
      <c r="H167" s="391"/>
      <c r="I167" s="103" t="s">
        <v>882</v>
      </c>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99"/>
      <c r="AG167" s="685">
        <v>10</v>
      </c>
      <c r="AH167" s="686"/>
      <c r="AI167" s="686"/>
      <c r="AJ167" s="686"/>
      <c r="AK167" s="686"/>
      <c r="AL167" s="686"/>
      <c r="AM167" s="687"/>
      <c r="AN167" s="406" t="s">
        <v>883</v>
      </c>
      <c r="AO167" s="407"/>
      <c r="AP167" s="407"/>
      <c r="AQ167" s="407"/>
      <c r="AR167" s="407"/>
      <c r="AS167" s="407"/>
      <c r="AT167" s="407"/>
      <c r="AU167" s="407"/>
      <c r="AV167" s="407"/>
      <c r="AW167" s="407"/>
      <c r="AX167" s="407"/>
      <c r="AY167" s="407"/>
      <c r="AZ167" s="407"/>
      <c r="BA167" s="407"/>
      <c r="BB167" s="407"/>
      <c r="BC167" s="407"/>
      <c r="BD167" s="407"/>
      <c r="BE167" s="407"/>
      <c r="BF167" s="407"/>
      <c r="BG167" s="407"/>
      <c r="BH167" s="407"/>
      <c r="BI167" s="407"/>
      <c r="BJ167" s="407"/>
      <c r="BK167" s="407"/>
      <c r="BL167" s="407"/>
      <c r="BM167" s="407"/>
      <c r="BN167" s="407"/>
      <c r="BO167" s="407"/>
      <c r="BP167" s="407"/>
      <c r="BQ167" s="407"/>
      <c r="BR167" s="407"/>
      <c r="BS167" s="407"/>
      <c r="BT167" s="407"/>
      <c r="BU167" s="407"/>
      <c r="BV167" s="407"/>
      <c r="BW167" s="407"/>
      <c r="BX167" s="407"/>
      <c r="BY167" s="407"/>
      <c r="BZ167" s="407"/>
      <c r="CA167" s="407"/>
      <c r="CB167" s="407"/>
      <c r="CC167" s="407"/>
      <c r="CD167" s="408"/>
    </row>
    <row r="168" spans="1:82" ht="12" customHeight="1">
      <c r="A168" s="55"/>
      <c r="B168" s="3"/>
      <c r="C168" s="3"/>
      <c r="D168" s="3"/>
      <c r="E168" s="393"/>
      <c r="F168" s="394"/>
      <c r="G168" s="394"/>
      <c r="H168" s="394"/>
      <c r="I168" s="375" t="s">
        <v>454</v>
      </c>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0"/>
      <c r="AG168" s="676">
        <v>2</v>
      </c>
      <c r="AH168" s="677"/>
      <c r="AI168" s="677"/>
      <c r="AJ168" s="677"/>
      <c r="AK168" s="677"/>
      <c r="AL168" s="677"/>
      <c r="AM168" s="678"/>
      <c r="AN168" s="409" t="s">
        <v>1070</v>
      </c>
      <c r="AO168" s="410"/>
      <c r="AP168" s="410"/>
      <c r="AQ168" s="410"/>
      <c r="AR168" s="410"/>
      <c r="AS168" s="410"/>
      <c r="AT168" s="410"/>
      <c r="AU168" s="410"/>
      <c r="AV168" s="410"/>
      <c r="AW168" s="410"/>
      <c r="AX168" s="410"/>
      <c r="AY168" s="410"/>
      <c r="AZ168" s="410"/>
      <c r="BA168" s="410"/>
      <c r="BB168" s="410"/>
      <c r="BC168" s="410"/>
      <c r="BD168" s="410"/>
      <c r="BE168" s="410"/>
      <c r="BF168" s="410"/>
      <c r="BG168" s="410"/>
      <c r="BH168" s="410"/>
      <c r="BI168" s="410"/>
      <c r="BJ168" s="410"/>
      <c r="BK168" s="410"/>
      <c r="BL168" s="410"/>
      <c r="BM168" s="410"/>
      <c r="BN168" s="410"/>
      <c r="BO168" s="410"/>
      <c r="BP168" s="410"/>
      <c r="BQ168" s="410"/>
      <c r="BR168" s="410"/>
      <c r="BS168" s="410"/>
      <c r="BT168" s="410"/>
      <c r="BU168" s="410"/>
      <c r="BV168" s="410"/>
      <c r="BW168" s="410"/>
      <c r="BX168" s="410"/>
      <c r="BY168" s="410"/>
      <c r="BZ168" s="410"/>
      <c r="CA168" s="410"/>
      <c r="CB168" s="410"/>
      <c r="CC168" s="410"/>
      <c r="CD168" s="411"/>
    </row>
    <row r="169" spans="1:82" ht="12" customHeight="1">
      <c r="A169" s="55"/>
      <c r="B169" s="3"/>
      <c r="C169" s="3"/>
      <c r="D169" s="3"/>
      <c r="E169" s="3"/>
      <c r="F169" s="3"/>
      <c r="G169" s="3"/>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322"/>
      <c r="AF169" s="322"/>
      <c r="AG169" s="322"/>
      <c r="AH169" s="322"/>
      <c r="AI169" s="322"/>
      <c r="AJ169" s="322"/>
      <c r="AK169" s="322"/>
      <c r="AL169" s="322"/>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row>
    <row r="170" spans="1:82" ht="12" customHeight="1">
      <c r="A170" s="55"/>
      <c r="B170" s="3"/>
      <c r="C170" s="3"/>
      <c r="D170" s="3"/>
      <c r="E170" s="3"/>
      <c r="F170" s="3"/>
      <c r="G170" s="3"/>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322"/>
      <c r="AF170" s="322"/>
      <c r="AG170" s="322"/>
      <c r="AH170" s="322"/>
      <c r="AI170" s="322"/>
      <c r="AJ170" s="322"/>
      <c r="AK170" s="322"/>
      <c r="AL170" s="322"/>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row>
    <row r="171" spans="1:82" ht="12" customHeight="1">
      <c r="A171" s="55"/>
      <c r="B171" s="3"/>
      <c r="C171" s="3"/>
      <c r="D171" s="3"/>
      <c r="E171" s="3"/>
      <c r="F171" s="3"/>
      <c r="G171" s="3"/>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322"/>
      <c r="AF171" s="322"/>
      <c r="AG171" s="322"/>
      <c r="AH171" s="322"/>
      <c r="AI171" s="322"/>
      <c r="AJ171" s="322"/>
      <c r="AK171" s="322"/>
      <c r="AL171" s="322"/>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row>
    <row r="172" spans="1:82" ht="12" customHeight="1">
      <c r="A172" s="55"/>
      <c r="B172" s="3"/>
      <c r="C172" s="3"/>
      <c r="D172" s="3"/>
      <c r="E172" s="3"/>
      <c r="F172" s="3"/>
      <c r="G172" s="3"/>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322"/>
      <c r="AF172" s="322"/>
      <c r="AG172" s="322"/>
      <c r="AH172" s="322"/>
      <c r="AI172" s="322"/>
      <c r="AJ172" s="322"/>
      <c r="AK172" s="322"/>
      <c r="AL172" s="322"/>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row>
    <row r="173" spans="1:82" ht="12" customHeight="1">
      <c r="A173" s="55"/>
      <c r="B173" s="3"/>
      <c r="C173" s="3"/>
      <c r="D173" s="3"/>
      <c r="E173" s="3"/>
      <c r="F173" s="3"/>
      <c r="G173" s="3"/>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322"/>
      <c r="AF173" s="322"/>
      <c r="AG173" s="322"/>
      <c r="AH173" s="322"/>
      <c r="AI173" s="322"/>
      <c r="AJ173" s="322"/>
      <c r="AK173" s="322"/>
      <c r="AL173" s="322"/>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row>
    <row r="174" spans="1:82" ht="12" customHeight="1">
      <c r="A174" s="55"/>
      <c r="B174" s="362"/>
      <c r="C174" s="362"/>
      <c r="D174" s="362"/>
      <c r="E174" s="362"/>
      <c r="F174" s="362"/>
      <c r="G174" s="362"/>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322"/>
      <c r="AF174" s="322"/>
      <c r="AG174" s="322"/>
      <c r="AH174" s="322"/>
      <c r="AI174" s="322"/>
      <c r="AJ174" s="322"/>
      <c r="AK174" s="322"/>
      <c r="AL174" s="322"/>
      <c r="AM174" s="362"/>
      <c r="AN174" s="362"/>
      <c r="AO174" s="362"/>
      <c r="AP174" s="362"/>
      <c r="AQ174" s="362"/>
      <c r="AR174" s="362"/>
      <c r="AS174" s="362"/>
      <c r="AT174" s="362"/>
      <c r="AU174" s="362"/>
      <c r="AV174" s="362"/>
      <c r="AW174" s="362"/>
      <c r="AX174" s="362"/>
      <c r="AY174" s="362"/>
      <c r="AZ174" s="362"/>
      <c r="BA174" s="362"/>
      <c r="BB174" s="362"/>
      <c r="BC174" s="362"/>
      <c r="BD174" s="362"/>
      <c r="BE174" s="362"/>
      <c r="BF174" s="362"/>
      <c r="BG174" s="362"/>
      <c r="BH174" s="362"/>
      <c r="BI174" s="362"/>
      <c r="BJ174" s="362"/>
      <c r="BK174" s="362"/>
      <c r="BL174" s="362"/>
      <c r="BM174" s="362"/>
      <c r="BN174" s="362"/>
      <c r="BO174" s="362"/>
      <c r="BP174" s="362"/>
      <c r="BQ174" s="362"/>
      <c r="BR174" s="362"/>
      <c r="BS174" s="362"/>
      <c r="BT174" s="362"/>
      <c r="BU174" s="362"/>
      <c r="BV174" s="362"/>
      <c r="BW174" s="362"/>
      <c r="BX174" s="362"/>
      <c r="BY174" s="362"/>
      <c r="BZ174" s="362"/>
      <c r="CA174" s="362"/>
      <c r="CB174" s="362"/>
      <c r="CC174" s="362"/>
    </row>
    <row r="175" spans="1:82" ht="12" customHeight="1">
      <c r="A175" s="55"/>
      <c r="B175" s="362"/>
      <c r="C175" s="362"/>
      <c r="D175" s="362"/>
      <c r="E175" s="362"/>
      <c r="F175" s="362"/>
      <c r="G175" s="362"/>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322"/>
      <c r="AF175" s="322"/>
      <c r="AG175" s="322"/>
      <c r="AH175" s="322"/>
      <c r="AI175" s="322"/>
      <c r="AJ175" s="322"/>
      <c r="AK175" s="322"/>
      <c r="AL175" s="322"/>
      <c r="AM175" s="362"/>
      <c r="AN175" s="362"/>
      <c r="AO175" s="362"/>
      <c r="AP175" s="362"/>
      <c r="AQ175" s="362"/>
      <c r="AR175" s="362"/>
      <c r="AS175" s="362"/>
      <c r="AT175" s="362"/>
      <c r="AU175" s="362"/>
      <c r="AV175" s="362"/>
      <c r="AW175" s="362"/>
      <c r="AX175" s="362"/>
      <c r="AY175" s="362"/>
      <c r="AZ175" s="362"/>
      <c r="BA175" s="362"/>
      <c r="BB175" s="362"/>
      <c r="BC175" s="362"/>
      <c r="BD175" s="362"/>
      <c r="BE175" s="362"/>
      <c r="BF175" s="362"/>
      <c r="BG175" s="362"/>
      <c r="BH175" s="362"/>
      <c r="BI175" s="362"/>
      <c r="BJ175" s="362"/>
      <c r="BK175" s="362"/>
      <c r="BL175" s="362"/>
      <c r="BM175" s="362"/>
      <c r="BN175" s="362"/>
      <c r="BO175" s="362"/>
      <c r="BP175" s="362"/>
      <c r="BQ175" s="362"/>
      <c r="BR175" s="362"/>
      <c r="BS175" s="362"/>
      <c r="BT175" s="362"/>
      <c r="BU175" s="362"/>
      <c r="BV175" s="362"/>
      <c r="BW175" s="362"/>
      <c r="BX175" s="362"/>
      <c r="BY175" s="362"/>
      <c r="BZ175" s="362"/>
      <c r="CA175" s="362"/>
      <c r="CB175" s="362"/>
      <c r="CC175" s="362"/>
    </row>
    <row r="176" spans="1:82" ht="12" customHeight="1">
      <c r="A176" s="55"/>
      <c r="B176" s="3"/>
      <c r="C176" s="3"/>
      <c r="D176" s="3"/>
      <c r="E176" s="3"/>
      <c r="F176" s="3"/>
      <c r="G176" s="3"/>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322"/>
      <c r="AF176" s="322"/>
      <c r="AG176" s="322"/>
      <c r="AH176" s="322"/>
      <c r="AI176" s="322"/>
      <c r="AJ176" s="322"/>
      <c r="AK176" s="322"/>
      <c r="AL176" s="322"/>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row>
    <row r="177" spans="1:101" ht="12" customHeight="1">
      <c r="A177" s="55"/>
      <c r="B177" s="3"/>
      <c r="C177" s="3"/>
      <c r="D177" s="3"/>
      <c r="E177" s="3"/>
      <c r="F177" s="3"/>
      <c r="G177" s="3"/>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322"/>
      <c r="AF177" s="322"/>
      <c r="AG177" s="322"/>
      <c r="AH177" s="322"/>
      <c r="AI177" s="322"/>
      <c r="AJ177" s="322"/>
      <c r="AK177" s="322"/>
      <c r="AL177" s="322"/>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row>
    <row r="178" spans="1:101" ht="12" customHeight="1">
      <c r="A178" s="55"/>
      <c r="B178" s="3"/>
      <c r="C178" s="3"/>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5"/>
      <c r="BK178" s="55"/>
      <c r="BL178" s="55"/>
      <c r="BM178" s="55"/>
      <c r="BN178" s="55"/>
      <c r="BO178" s="55"/>
      <c r="BP178" s="55"/>
      <c r="BQ178" s="55"/>
      <c r="BR178" s="55"/>
      <c r="BS178" s="55"/>
      <c r="BT178" s="55"/>
      <c r="BU178" s="55"/>
      <c r="BV178" s="55"/>
      <c r="BW178" s="55"/>
      <c r="BX178" s="55"/>
      <c r="BY178" s="55"/>
      <c r="BZ178" s="55"/>
      <c r="CA178" s="55"/>
      <c r="CB178" s="55"/>
      <c r="CC178" s="3"/>
      <c r="CD178" s="3"/>
      <c r="CF178" s="2"/>
      <c r="CG178" s="2"/>
      <c r="CH178" s="2"/>
      <c r="CI178" s="2"/>
      <c r="CJ178" s="2"/>
      <c r="CK178" s="2"/>
      <c r="CL178" s="2"/>
      <c r="CM178" s="2"/>
      <c r="CN178" s="2"/>
      <c r="CO178" s="2"/>
      <c r="CP178" s="2"/>
      <c r="CQ178" s="2"/>
      <c r="CR178" s="2"/>
      <c r="CS178" s="2"/>
      <c r="CT178" s="2"/>
      <c r="CU178" s="2"/>
      <c r="CV178" s="2"/>
      <c r="CW178" s="2"/>
    </row>
    <row r="179" spans="1:101" ht="12" customHeight="1">
      <c r="A179" s="55"/>
      <c r="B179" s="3"/>
      <c r="C179" s="3"/>
      <c r="D179" s="55"/>
      <c r="E179" s="22" t="s">
        <v>840</v>
      </c>
      <c r="F179" s="55"/>
      <c r="G179" s="55"/>
      <c r="H179" s="55"/>
      <c r="I179" s="55"/>
      <c r="J179" s="55"/>
      <c r="K179" s="55"/>
      <c r="L179" s="55"/>
      <c r="M179" s="55"/>
      <c r="N179" s="55"/>
      <c r="O179" s="55"/>
      <c r="P179" s="55"/>
      <c r="Q179" s="55"/>
      <c r="R179" s="55"/>
      <c r="S179" s="55"/>
      <c r="T179" s="55"/>
      <c r="U179" s="55"/>
      <c r="V179" s="55"/>
      <c r="W179" s="55"/>
      <c r="X179" s="55"/>
      <c r="Y179" s="55"/>
      <c r="Z179" s="55"/>
      <c r="AA179" s="313"/>
      <c r="AB179" s="313"/>
      <c r="AC179" s="313"/>
      <c r="AD179" s="313"/>
      <c r="AE179" s="313"/>
      <c r="AF179" s="313"/>
      <c r="AG179" s="313"/>
      <c r="AH179" s="313"/>
      <c r="AI179" s="313"/>
      <c r="AJ179" s="313"/>
      <c r="AK179" s="313"/>
      <c r="AL179" s="313"/>
      <c r="AM179" s="313"/>
      <c r="AN179" s="313"/>
      <c r="AO179" s="313"/>
      <c r="AP179" s="313"/>
      <c r="AQ179" s="313"/>
      <c r="AR179" s="313"/>
      <c r="AS179" s="55"/>
      <c r="AT179" s="55"/>
      <c r="AU179" s="55"/>
      <c r="AV179" s="55"/>
      <c r="AW179" s="55"/>
      <c r="AX179" s="55"/>
      <c r="AY179" s="55"/>
      <c r="AZ179" s="55"/>
      <c r="BA179" s="55"/>
      <c r="BB179" s="55"/>
      <c r="BC179" s="55"/>
      <c r="BD179" s="55"/>
      <c r="BE179" s="55"/>
      <c r="BF179" s="55"/>
      <c r="BG179" s="55"/>
      <c r="BH179" s="55"/>
      <c r="BI179" s="55"/>
      <c r="BJ179" s="55"/>
      <c r="BK179" s="55"/>
      <c r="BL179" s="55"/>
      <c r="BM179" s="55"/>
      <c r="BN179" s="55"/>
      <c r="BO179" s="55"/>
      <c r="BP179" s="55"/>
      <c r="BQ179" s="55"/>
      <c r="BR179" s="55"/>
      <c r="BS179" s="55"/>
      <c r="BT179" s="55"/>
      <c r="BU179" s="55"/>
      <c r="BV179" s="55"/>
      <c r="BW179" s="55"/>
      <c r="BX179" s="55"/>
      <c r="BY179" s="55"/>
      <c r="BZ179" s="55"/>
      <c r="CA179" s="55"/>
      <c r="CB179" s="55"/>
      <c r="CC179" s="3"/>
      <c r="CD179" s="3"/>
      <c r="CF179" s="2"/>
      <c r="CG179" s="2"/>
      <c r="CH179" s="2"/>
      <c r="CI179" s="2"/>
      <c r="CJ179" s="2"/>
      <c r="CK179" s="2"/>
      <c r="CL179" s="2"/>
      <c r="CM179" s="2"/>
      <c r="CN179" s="2"/>
      <c r="CO179" s="2"/>
      <c r="CP179" s="2"/>
      <c r="CQ179" s="2"/>
      <c r="CR179" s="2"/>
      <c r="CS179" s="2"/>
      <c r="CT179" s="2"/>
      <c r="CU179" s="2"/>
      <c r="CV179" s="2"/>
      <c r="CW179" s="2"/>
    </row>
    <row r="180" spans="1:101" ht="12" customHeight="1">
      <c r="A180" s="405"/>
      <c r="B180" s="2"/>
      <c r="C180" s="22"/>
      <c r="D180" s="22"/>
      <c r="E180" s="208" t="s">
        <v>921</v>
      </c>
      <c r="F180" s="209"/>
      <c r="G180" s="209"/>
      <c r="H180" s="209"/>
      <c r="I180" s="323" t="s">
        <v>443</v>
      </c>
      <c r="J180" s="324"/>
      <c r="K180" s="324"/>
      <c r="L180" s="324"/>
      <c r="M180" s="324"/>
      <c r="N180" s="324"/>
      <c r="O180" s="324"/>
      <c r="P180" s="324"/>
      <c r="Q180" s="324"/>
      <c r="R180" s="324"/>
      <c r="S180" s="324"/>
      <c r="T180" s="324"/>
      <c r="U180" s="324"/>
      <c r="V180" s="324"/>
      <c r="W180" s="324"/>
      <c r="X180" s="324"/>
      <c r="Y180" s="324"/>
      <c r="Z180" s="324"/>
      <c r="AA180" s="324"/>
      <c r="AB180" s="324"/>
      <c r="AC180" s="324"/>
      <c r="AD180" s="324"/>
      <c r="AE180" s="324"/>
      <c r="AF180" s="325"/>
      <c r="AG180" s="323" t="s">
        <v>866</v>
      </c>
      <c r="AH180" s="324"/>
      <c r="AI180" s="324"/>
      <c r="AJ180" s="324"/>
      <c r="AK180" s="324"/>
      <c r="AL180" s="324"/>
      <c r="AM180" s="325"/>
      <c r="AN180" s="171" t="s">
        <v>842</v>
      </c>
      <c r="AO180" s="172"/>
      <c r="AP180" s="172"/>
      <c r="AQ180" s="172"/>
      <c r="AR180" s="172"/>
      <c r="AS180" s="172"/>
      <c r="AT180" s="172"/>
      <c r="AU180" s="172"/>
      <c r="AV180" s="172"/>
      <c r="AW180" s="172"/>
      <c r="AX180" s="172"/>
      <c r="AY180" s="172"/>
      <c r="AZ180" s="172"/>
      <c r="BA180" s="172"/>
      <c r="BB180" s="172"/>
      <c r="BC180" s="172"/>
      <c r="BD180" s="172"/>
      <c r="BE180" s="172"/>
      <c r="BF180" s="172"/>
      <c r="BG180" s="172"/>
      <c r="BH180" s="172"/>
      <c r="BI180" s="172"/>
      <c r="BJ180" s="172"/>
      <c r="BK180" s="172"/>
      <c r="BL180" s="172"/>
      <c r="BM180" s="172"/>
      <c r="BN180" s="172"/>
      <c r="BO180" s="172"/>
      <c r="BP180" s="172"/>
      <c r="BQ180" s="172"/>
      <c r="BR180" s="172"/>
      <c r="BS180" s="172"/>
      <c r="BT180" s="172"/>
      <c r="BU180" s="172"/>
      <c r="BV180" s="172"/>
      <c r="BW180" s="172"/>
      <c r="BX180" s="172"/>
      <c r="BY180" s="172"/>
      <c r="BZ180" s="172"/>
      <c r="CA180" s="172"/>
      <c r="CB180" s="172"/>
      <c r="CC180" s="172"/>
      <c r="CD180" s="173"/>
    </row>
    <row r="181" spans="1:101" ht="12" customHeight="1">
      <c r="A181" s="405"/>
      <c r="B181" s="2"/>
      <c r="C181" s="22"/>
      <c r="D181" s="22"/>
      <c r="E181" s="703" t="s">
        <v>885</v>
      </c>
      <c r="F181" s="704"/>
      <c r="G181" s="707"/>
      <c r="H181" s="707"/>
      <c r="I181" s="396" t="s">
        <v>928</v>
      </c>
      <c r="J181" s="397"/>
      <c r="K181" s="397"/>
      <c r="L181" s="397"/>
      <c r="M181" s="397"/>
      <c r="N181" s="397"/>
      <c r="O181" s="397"/>
      <c r="P181" s="357" t="s">
        <v>929</v>
      </c>
      <c r="Q181" s="397"/>
      <c r="R181" s="397"/>
      <c r="S181" s="397"/>
      <c r="T181" s="397"/>
      <c r="U181" s="397"/>
      <c r="V181" s="397"/>
      <c r="W181" s="397"/>
      <c r="X181" s="397"/>
      <c r="Y181" s="397"/>
      <c r="Z181" s="397"/>
      <c r="AA181" s="397"/>
      <c r="AB181" s="397"/>
      <c r="AC181" s="397"/>
      <c r="AD181" s="397"/>
      <c r="AE181" s="397"/>
      <c r="AF181" s="398"/>
      <c r="AG181" s="679">
        <v>8</v>
      </c>
      <c r="AH181" s="680"/>
      <c r="AI181" s="680"/>
      <c r="AJ181" s="680"/>
      <c r="AK181" s="680"/>
      <c r="AL181" s="680"/>
      <c r="AM181" s="681"/>
      <c r="AN181" s="162" t="s">
        <v>888</v>
      </c>
      <c r="AO181" s="388"/>
      <c r="AP181" s="388"/>
      <c r="AQ181" s="388"/>
      <c r="AR181" s="388"/>
      <c r="AS181" s="388"/>
      <c r="AT181" s="388"/>
      <c r="AU181" s="388"/>
      <c r="AV181" s="388"/>
      <c r="AW181" s="388"/>
      <c r="AX181" s="388"/>
      <c r="AY181" s="388"/>
      <c r="AZ181" s="388"/>
      <c r="BA181" s="388"/>
      <c r="BB181" s="388"/>
      <c r="BC181" s="388"/>
      <c r="BD181" s="388"/>
      <c r="BE181" s="388"/>
      <c r="BF181" s="388"/>
      <c r="BG181" s="388"/>
      <c r="BH181" s="388"/>
      <c r="BI181" s="388"/>
      <c r="BJ181" s="388"/>
      <c r="BK181" s="388"/>
      <c r="BL181" s="388"/>
      <c r="BM181" s="388"/>
      <c r="BN181" s="388"/>
      <c r="BO181" s="388"/>
      <c r="BP181" s="388"/>
      <c r="BQ181" s="388"/>
      <c r="BR181" s="388"/>
      <c r="BS181" s="388"/>
      <c r="BT181" s="388"/>
      <c r="BU181" s="388"/>
      <c r="BV181" s="388"/>
      <c r="BW181" s="388"/>
      <c r="BX181" s="388"/>
      <c r="BY181" s="388"/>
      <c r="BZ181" s="388"/>
      <c r="CA181" s="388"/>
      <c r="CB181" s="388"/>
      <c r="CC181" s="388"/>
      <c r="CD181" s="389"/>
    </row>
    <row r="182" spans="1:101" ht="12" customHeight="1">
      <c r="A182" s="405"/>
      <c r="B182" s="2"/>
      <c r="C182" s="22"/>
      <c r="D182" s="22"/>
      <c r="E182" s="708"/>
      <c r="F182" s="709"/>
      <c r="G182" s="709"/>
      <c r="H182" s="709"/>
      <c r="I182" s="45"/>
      <c r="J182" s="22"/>
      <c r="K182" s="22"/>
      <c r="L182" s="22"/>
      <c r="M182" s="22"/>
      <c r="N182" s="22"/>
      <c r="O182" s="22"/>
      <c r="P182" s="342"/>
      <c r="Q182" s="22"/>
      <c r="R182" s="22"/>
      <c r="S182" s="22"/>
      <c r="T182" s="22"/>
      <c r="U182" s="22"/>
      <c r="V182" s="22"/>
      <c r="W182" s="22"/>
      <c r="X182" s="22"/>
      <c r="Y182" s="22"/>
      <c r="Z182" s="22"/>
      <c r="AA182" s="22"/>
      <c r="AB182" s="22"/>
      <c r="AC182" s="22"/>
      <c r="AD182" s="22"/>
      <c r="AE182" s="22"/>
      <c r="AF182" s="44"/>
      <c r="AG182" s="330"/>
      <c r="AH182" s="331"/>
      <c r="AI182" s="331"/>
      <c r="AJ182" s="331"/>
      <c r="AK182" s="331"/>
      <c r="AL182" s="331"/>
      <c r="AM182" s="332"/>
      <c r="AN182" s="255"/>
      <c r="AO182" s="256"/>
      <c r="AP182" s="256"/>
      <c r="AQ182" s="256"/>
      <c r="AR182" s="256"/>
      <c r="AS182" s="256"/>
      <c r="AT182" s="256"/>
      <c r="AU182" s="256"/>
      <c r="AV182" s="256"/>
      <c r="AW182" s="256"/>
      <c r="AX182" s="256"/>
      <c r="AY182" s="256"/>
      <c r="AZ182" s="256"/>
      <c r="BA182" s="256"/>
      <c r="BB182" s="256"/>
      <c r="BC182" s="256"/>
      <c r="BD182" s="256"/>
      <c r="BE182" s="256"/>
      <c r="BF182" s="256"/>
      <c r="BG182" s="256"/>
      <c r="BH182" s="256"/>
      <c r="BI182" s="256"/>
      <c r="BJ182" s="256"/>
      <c r="BK182" s="256"/>
      <c r="BL182" s="256"/>
      <c r="BM182" s="256"/>
      <c r="BN182" s="256"/>
      <c r="BO182" s="256"/>
      <c r="BP182" s="256"/>
      <c r="BQ182" s="256"/>
      <c r="BR182" s="256"/>
      <c r="BS182" s="256"/>
      <c r="BT182" s="256"/>
      <c r="BU182" s="256"/>
      <c r="BV182" s="256"/>
      <c r="BW182" s="256"/>
      <c r="BX182" s="256"/>
      <c r="BY182" s="256"/>
      <c r="BZ182" s="256"/>
      <c r="CA182" s="256"/>
      <c r="CB182" s="256"/>
      <c r="CC182" s="256"/>
      <c r="CD182" s="257"/>
    </row>
    <row r="183" spans="1:101" ht="12" customHeight="1">
      <c r="A183" s="405"/>
      <c r="B183" s="2"/>
      <c r="C183" s="22"/>
      <c r="D183" s="22"/>
      <c r="E183" s="45"/>
      <c r="F183" s="22"/>
      <c r="G183" s="22"/>
      <c r="H183" s="22"/>
      <c r="I183" s="45"/>
      <c r="J183" s="22"/>
      <c r="K183" s="22"/>
      <c r="L183" s="22"/>
      <c r="M183" s="22"/>
      <c r="N183" s="22"/>
      <c r="O183" s="22"/>
      <c r="P183" s="340" t="s">
        <v>924</v>
      </c>
      <c r="Q183" s="160"/>
      <c r="R183" s="160"/>
      <c r="S183" s="160"/>
      <c r="T183" s="160"/>
      <c r="U183" s="160"/>
      <c r="V183" s="160"/>
      <c r="W183" s="160"/>
      <c r="X183" s="356" t="s">
        <v>828</v>
      </c>
      <c r="Y183" s="43"/>
      <c r="Z183" s="43"/>
      <c r="AA183" s="43"/>
      <c r="AB183" s="43"/>
      <c r="AC183" s="43"/>
      <c r="AD183" s="43"/>
      <c r="AE183" s="43"/>
      <c r="AF183" s="333"/>
      <c r="AG183" s="682">
        <v>2200</v>
      </c>
      <c r="AH183" s="683"/>
      <c r="AI183" s="683"/>
      <c r="AJ183" s="683"/>
      <c r="AK183" s="683"/>
      <c r="AL183" s="683"/>
      <c r="AM183" s="684"/>
      <c r="AN183" s="261" t="s">
        <v>891</v>
      </c>
      <c r="AO183" s="262"/>
      <c r="AP183" s="262"/>
      <c r="AQ183" s="262"/>
      <c r="AR183" s="262"/>
      <c r="AS183" s="262"/>
      <c r="AT183" s="262"/>
      <c r="AU183" s="262"/>
      <c r="AV183" s="262"/>
      <c r="AW183" s="262"/>
      <c r="AX183" s="262"/>
      <c r="AY183" s="262"/>
      <c r="AZ183" s="262"/>
      <c r="BA183" s="262"/>
      <c r="BB183" s="262"/>
      <c r="BC183" s="262"/>
      <c r="BD183" s="262"/>
      <c r="BE183" s="262"/>
      <c r="BF183" s="262"/>
      <c r="BG183" s="262"/>
      <c r="BH183" s="262"/>
      <c r="BI183" s="262"/>
      <c r="BJ183" s="262"/>
      <c r="BK183" s="262"/>
      <c r="BL183" s="262"/>
      <c r="BM183" s="262"/>
      <c r="BN183" s="262"/>
      <c r="BO183" s="262"/>
      <c r="BP183" s="262"/>
      <c r="BQ183" s="262"/>
      <c r="BR183" s="262"/>
      <c r="BS183" s="262"/>
      <c r="BT183" s="262"/>
      <c r="BU183" s="262"/>
      <c r="BV183" s="262"/>
      <c r="BW183" s="262"/>
      <c r="BX183" s="262"/>
      <c r="BY183" s="262"/>
      <c r="BZ183" s="262"/>
      <c r="CA183" s="262"/>
      <c r="CB183" s="262"/>
      <c r="CC183" s="262"/>
      <c r="CD183" s="263"/>
    </row>
    <row r="184" spans="1:101" ht="12" customHeight="1">
      <c r="A184" s="405"/>
      <c r="B184" s="2"/>
      <c r="C184" s="22"/>
      <c r="D184" s="22"/>
      <c r="E184" s="45"/>
      <c r="F184" s="22"/>
      <c r="G184" s="22"/>
      <c r="H184" s="22"/>
      <c r="I184" s="45"/>
      <c r="J184" s="22"/>
      <c r="K184" s="22"/>
      <c r="L184" s="22"/>
      <c r="M184" s="22"/>
      <c r="N184" s="22"/>
      <c r="O184" s="22"/>
      <c r="P184" s="341"/>
      <c r="Q184" s="249"/>
      <c r="R184" s="249"/>
      <c r="S184" s="249"/>
      <c r="T184" s="249"/>
      <c r="U184" s="249"/>
      <c r="V184" s="249"/>
      <c r="W184" s="249"/>
      <c r="X184" s="356" t="s">
        <v>105</v>
      </c>
      <c r="Y184" s="43"/>
      <c r="Z184" s="43"/>
      <c r="AA184" s="43"/>
      <c r="AB184" s="43"/>
      <c r="AC184" s="43"/>
      <c r="AD184" s="43"/>
      <c r="AE184" s="43"/>
      <c r="AF184" s="333"/>
      <c r="AG184" s="682">
        <f>AG181*AG183</f>
        <v>17600</v>
      </c>
      <c r="AH184" s="683"/>
      <c r="AI184" s="683"/>
      <c r="AJ184" s="683"/>
      <c r="AK184" s="683"/>
      <c r="AL184" s="683"/>
      <c r="AM184" s="684"/>
      <c r="AN184" s="390"/>
      <c r="AO184" s="391"/>
      <c r="AP184" s="391"/>
      <c r="AQ184" s="391"/>
      <c r="AR184" s="391"/>
      <c r="AS184" s="391"/>
      <c r="AT184" s="391"/>
      <c r="AU184" s="391"/>
      <c r="AV184" s="391"/>
      <c r="AW184" s="391"/>
      <c r="AX184" s="391"/>
      <c r="AY184" s="391"/>
      <c r="AZ184" s="391"/>
      <c r="BA184" s="391"/>
      <c r="BB184" s="391"/>
      <c r="BC184" s="391"/>
      <c r="BD184" s="391"/>
      <c r="BE184" s="391"/>
      <c r="BF184" s="391"/>
      <c r="BG184" s="391"/>
      <c r="BH184" s="391"/>
      <c r="BI184" s="391"/>
      <c r="BJ184" s="391"/>
      <c r="BK184" s="391"/>
      <c r="BL184" s="391"/>
      <c r="BM184" s="391"/>
      <c r="BN184" s="391"/>
      <c r="BO184" s="391"/>
      <c r="BP184" s="391"/>
      <c r="BQ184" s="391"/>
      <c r="BR184" s="391"/>
      <c r="BS184" s="391"/>
      <c r="BT184" s="391"/>
      <c r="BU184" s="391"/>
      <c r="BV184" s="391"/>
      <c r="BW184" s="391"/>
      <c r="BX184" s="391"/>
      <c r="BY184" s="391"/>
      <c r="BZ184" s="391"/>
      <c r="CA184" s="391"/>
      <c r="CB184" s="391"/>
      <c r="CC184" s="391"/>
      <c r="CD184" s="392"/>
    </row>
    <row r="185" spans="1:101" ht="12" customHeight="1">
      <c r="A185" s="405"/>
      <c r="B185" s="2"/>
      <c r="C185" s="22"/>
      <c r="D185" s="22"/>
      <c r="E185" s="45"/>
      <c r="F185" s="22"/>
      <c r="G185" s="22"/>
      <c r="H185" s="22"/>
      <c r="I185" s="248"/>
      <c r="J185" s="249"/>
      <c r="K185" s="249"/>
      <c r="L185" s="249"/>
      <c r="M185" s="249"/>
      <c r="N185" s="249"/>
      <c r="O185" s="249"/>
      <c r="P185" s="356" t="s">
        <v>926</v>
      </c>
      <c r="Q185" s="43"/>
      <c r="R185" s="43"/>
      <c r="S185" s="43"/>
      <c r="T185" s="43"/>
      <c r="U185" s="43"/>
      <c r="V185" s="43"/>
      <c r="W185" s="43"/>
      <c r="X185" s="43"/>
      <c r="Y185" s="43"/>
      <c r="Z185" s="43"/>
      <c r="AA185" s="43"/>
      <c r="AB185" s="43"/>
      <c r="AC185" s="43"/>
      <c r="AD185" s="43"/>
      <c r="AE185" s="43"/>
      <c r="AF185" s="333"/>
      <c r="AG185" s="682">
        <v>17600</v>
      </c>
      <c r="AH185" s="683"/>
      <c r="AI185" s="683"/>
      <c r="AJ185" s="683"/>
      <c r="AK185" s="683"/>
      <c r="AL185" s="683"/>
      <c r="AM185" s="684"/>
      <c r="AN185" s="255"/>
      <c r="AO185" s="256"/>
      <c r="AP185" s="256"/>
      <c r="AQ185" s="256"/>
      <c r="AR185" s="256"/>
      <c r="AS185" s="256"/>
      <c r="AT185" s="256"/>
      <c r="AU185" s="256"/>
      <c r="AV185" s="256"/>
      <c r="AW185" s="256"/>
      <c r="AX185" s="256"/>
      <c r="AY185" s="256"/>
      <c r="AZ185" s="256"/>
      <c r="BA185" s="256"/>
      <c r="BB185" s="256"/>
      <c r="BC185" s="256"/>
      <c r="BD185" s="256"/>
      <c r="BE185" s="256"/>
      <c r="BF185" s="256"/>
      <c r="BG185" s="256"/>
      <c r="BH185" s="256"/>
      <c r="BI185" s="256"/>
      <c r="BJ185" s="256"/>
      <c r="BK185" s="256"/>
      <c r="BL185" s="256"/>
      <c r="BM185" s="256"/>
      <c r="BN185" s="256"/>
      <c r="BO185" s="256"/>
      <c r="BP185" s="256"/>
      <c r="BQ185" s="256"/>
      <c r="BR185" s="256"/>
      <c r="BS185" s="256"/>
      <c r="BT185" s="256"/>
      <c r="BU185" s="256"/>
      <c r="BV185" s="256"/>
      <c r="BW185" s="256"/>
      <c r="BX185" s="256"/>
      <c r="BY185" s="256"/>
      <c r="BZ185" s="256"/>
      <c r="CA185" s="256"/>
      <c r="CB185" s="256"/>
      <c r="CC185" s="256"/>
      <c r="CD185" s="257"/>
    </row>
    <row r="186" spans="1:101" ht="12" customHeight="1">
      <c r="A186" s="405"/>
      <c r="B186" s="2"/>
      <c r="C186" s="22"/>
      <c r="D186" s="22"/>
      <c r="E186" s="45"/>
      <c r="F186" s="22"/>
      <c r="G186" s="22"/>
      <c r="H186" s="22"/>
      <c r="I186" s="161" t="s">
        <v>930</v>
      </c>
      <c r="J186" s="160"/>
      <c r="K186" s="160"/>
      <c r="L186" s="160"/>
      <c r="M186" s="160"/>
      <c r="N186" s="160"/>
      <c r="O186" s="247"/>
      <c r="P186" s="160" t="s">
        <v>931</v>
      </c>
      <c r="Q186" s="160"/>
      <c r="R186" s="160"/>
      <c r="S186" s="160"/>
      <c r="T186" s="160"/>
      <c r="U186" s="160"/>
      <c r="V186" s="160"/>
      <c r="W186" s="160"/>
      <c r="X186" s="160"/>
      <c r="Y186" s="160"/>
      <c r="Z186" s="160"/>
      <c r="AA186" s="160"/>
      <c r="AB186" s="160"/>
      <c r="AC186" s="160"/>
      <c r="AD186" s="160"/>
      <c r="AE186" s="160"/>
      <c r="AF186" s="159"/>
      <c r="AG186" s="685" t="s">
        <v>887</v>
      </c>
      <c r="AH186" s="686"/>
      <c r="AI186" s="686"/>
      <c r="AJ186" s="686"/>
      <c r="AK186" s="686"/>
      <c r="AL186" s="686"/>
      <c r="AM186" s="687"/>
      <c r="AN186" s="261" t="s">
        <v>848</v>
      </c>
      <c r="AO186" s="262"/>
      <c r="AP186" s="262"/>
      <c r="AQ186" s="262"/>
      <c r="AR186" s="262"/>
      <c r="AS186" s="262"/>
      <c r="AT186" s="262"/>
      <c r="AU186" s="262"/>
      <c r="AV186" s="262"/>
      <c r="AW186" s="262"/>
      <c r="AX186" s="262"/>
      <c r="AY186" s="262"/>
      <c r="AZ186" s="262"/>
      <c r="BA186" s="262"/>
      <c r="BB186" s="262"/>
      <c r="BC186" s="262"/>
      <c r="BD186" s="262"/>
      <c r="BE186" s="262"/>
      <c r="BF186" s="262"/>
      <c r="BG186" s="262"/>
      <c r="BH186" s="262"/>
      <c r="BI186" s="262"/>
      <c r="BJ186" s="262"/>
      <c r="BK186" s="262"/>
      <c r="BL186" s="262"/>
      <c r="BM186" s="262"/>
      <c r="BN186" s="262"/>
      <c r="BO186" s="262"/>
      <c r="BP186" s="262"/>
      <c r="BQ186" s="262"/>
      <c r="BR186" s="262"/>
      <c r="BS186" s="262"/>
      <c r="BT186" s="262"/>
      <c r="BU186" s="262"/>
      <c r="BV186" s="262"/>
      <c r="BW186" s="262"/>
      <c r="BX186" s="262"/>
      <c r="BY186" s="262"/>
      <c r="BZ186" s="262"/>
      <c r="CA186" s="262"/>
      <c r="CB186" s="262"/>
      <c r="CC186" s="262"/>
      <c r="CD186" s="263"/>
    </row>
    <row r="187" spans="1:101" ht="12" customHeight="1">
      <c r="A187" s="405"/>
      <c r="B187" s="2"/>
      <c r="C187" s="22"/>
      <c r="D187" s="22"/>
      <c r="E187" s="45"/>
      <c r="F187" s="22"/>
      <c r="G187" s="22"/>
      <c r="H187" s="22"/>
      <c r="I187" s="45"/>
      <c r="J187" s="22"/>
      <c r="K187" s="22"/>
      <c r="L187" s="22"/>
      <c r="M187" s="22"/>
      <c r="N187" s="22"/>
      <c r="O187" s="359"/>
      <c r="P187" s="22"/>
      <c r="Q187" s="22"/>
      <c r="R187" s="22"/>
      <c r="S187" s="22"/>
      <c r="T187" s="22"/>
      <c r="U187" s="22"/>
      <c r="V187" s="22"/>
      <c r="W187" s="22"/>
      <c r="X187" s="22"/>
      <c r="Y187" s="22"/>
      <c r="Z187" s="22"/>
      <c r="AA187" s="22"/>
      <c r="AB187" s="22"/>
      <c r="AC187" s="22"/>
      <c r="AD187" s="22"/>
      <c r="AE187" s="22"/>
      <c r="AF187" s="44"/>
      <c r="AG187" s="334"/>
      <c r="AH187" s="335"/>
      <c r="AI187" s="335"/>
      <c r="AJ187" s="335"/>
      <c r="AK187" s="335"/>
      <c r="AL187" s="335"/>
      <c r="AM187" s="336"/>
      <c r="AN187" s="390" t="s">
        <v>1072</v>
      </c>
      <c r="AO187" s="391"/>
      <c r="AP187" s="391"/>
      <c r="AQ187" s="391"/>
      <c r="AR187" s="391"/>
      <c r="AS187" s="391"/>
      <c r="AT187" s="391"/>
      <c r="AU187" s="391"/>
      <c r="AV187" s="391"/>
      <c r="AW187" s="391"/>
      <c r="AX187" s="391"/>
      <c r="AY187" s="391"/>
      <c r="AZ187" s="391"/>
      <c r="BA187" s="391"/>
      <c r="BB187" s="391"/>
      <c r="BC187" s="391"/>
      <c r="BD187" s="391"/>
      <c r="BE187" s="391"/>
      <c r="BF187" s="391"/>
      <c r="BG187" s="391"/>
      <c r="BH187" s="391"/>
      <c r="BI187" s="391"/>
      <c r="BJ187" s="391"/>
      <c r="BK187" s="391"/>
      <c r="BL187" s="391"/>
      <c r="BM187" s="391"/>
      <c r="BN187" s="391"/>
      <c r="BO187" s="391"/>
      <c r="BP187" s="391"/>
      <c r="BQ187" s="391"/>
      <c r="BR187" s="391"/>
      <c r="BS187" s="391"/>
      <c r="BT187" s="391"/>
      <c r="BU187" s="391"/>
      <c r="BV187" s="391"/>
      <c r="BW187" s="391"/>
      <c r="BX187" s="391"/>
      <c r="BY187" s="391"/>
      <c r="BZ187" s="391"/>
      <c r="CA187" s="391"/>
      <c r="CB187" s="391"/>
      <c r="CC187" s="391"/>
      <c r="CD187" s="392"/>
    </row>
    <row r="188" spans="1:101" ht="12" customHeight="1">
      <c r="A188" s="405"/>
      <c r="B188" s="2"/>
      <c r="C188" s="22"/>
      <c r="D188" s="22"/>
      <c r="E188" s="45"/>
      <c r="F188" s="22"/>
      <c r="G188" s="22"/>
      <c r="H188" s="22"/>
      <c r="I188" s="45"/>
      <c r="J188" s="22"/>
      <c r="K188" s="22"/>
      <c r="L188" s="22"/>
      <c r="M188" s="22"/>
      <c r="N188" s="22"/>
      <c r="O188" s="359"/>
      <c r="P188" s="342"/>
      <c r="Q188" s="22"/>
      <c r="R188" s="22"/>
      <c r="S188" s="22"/>
      <c r="T188" s="22"/>
      <c r="U188" s="22"/>
      <c r="V188" s="22"/>
      <c r="W188" s="22"/>
      <c r="X188" s="22"/>
      <c r="Y188" s="22"/>
      <c r="Z188" s="22"/>
      <c r="AA188" s="22"/>
      <c r="AB188" s="22"/>
      <c r="AC188" s="22"/>
      <c r="AD188" s="22"/>
      <c r="AE188" s="22"/>
      <c r="AF188" s="44"/>
      <c r="AG188" s="334"/>
      <c r="AH188" s="335"/>
      <c r="AI188" s="335"/>
      <c r="AJ188" s="335"/>
      <c r="AK188" s="335"/>
      <c r="AL188" s="335"/>
      <c r="AM188" s="336"/>
      <c r="AN188" s="390" t="s">
        <v>889</v>
      </c>
      <c r="AO188" s="391"/>
      <c r="AP188" s="391"/>
      <c r="AQ188" s="391"/>
      <c r="AR188" s="391"/>
      <c r="AS188" s="391"/>
      <c r="AT188" s="391"/>
      <c r="AU188" s="391"/>
      <c r="AV188" s="391"/>
      <c r="AW188" s="391"/>
      <c r="AX188" s="391"/>
      <c r="AY188" s="391"/>
      <c r="AZ188" s="391"/>
      <c r="BA188" s="391"/>
      <c r="BB188" s="391"/>
      <c r="BC188" s="391"/>
      <c r="BD188" s="391"/>
      <c r="BE188" s="391"/>
      <c r="BF188" s="391"/>
      <c r="BG188" s="391"/>
      <c r="BH188" s="391"/>
      <c r="BI188" s="391"/>
      <c r="BJ188" s="391"/>
      <c r="BK188" s="391"/>
      <c r="BL188" s="391"/>
      <c r="BM188" s="391"/>
      <c r="BN188" s="391"/>
      <c r="BO188" s="391"/>
      <c r="BP188" s="391"/>
      <c r="BQ188" s="391"/>
      <c r="BR188" s="391"/>
      <c r="BS188" s="391"/>
      <c r="BT188" s="391"/>
      <c r="BU188" s="391"/>
      <c r="BV188" s="391"/>
      <c r="BW188" s="391"/>
      <c r="BX188" s="391"/>
      <c r="BY188" s="391"/>
      <c r="BZ188" s="391"/>
      <c r="CA188" s="391"/>
      <c r="CB188" s="391"/>
      <c r="CC188" s="391"/>
      <c r="CD188" s="392"/>
    </row>
    <row r="189" spans="1:101" ht="12" customHeight="1">
      <c r="A189" s="405"/>
      <c r="B189" s="2"/>
      <c r="C189" s="22"/>
      <c r="D189" s="22"/>
      <c r="E189" s="45"/>
      <c r="F189" s="22"/>
      <c r="G189" s="22"/>
      <c r="H189" s="22"/>
      <c r="I189" s="45"/>
      <c r="J189" s="22"/>
      <c r="K189" s="22"/>
      <c r="L189" s="22"/>
      <c r="M189" s="22"/>
      <c r="N189" s="22"/>
      <c r="O189" s="359"/>
      <c r="P189" s="342"/>
      <c r="Q189" s="22"/>
      <c r="R189" s="22"/>
      <c r="S189" s="22"/>
      <c r="T189" s="22"/>
      <c r="U189" s="22"/>
      <c r="V189" s="22"/>
      <c r="W189" s="22"/>
      <c r="X189" s="22"/>
      <c r="Y189" s="22"/>
      <c r="Z189" s="22"/>
      <c r="AA189" s="22"/>
      <c r="AB189" s="22"/>
      <c r="AC189" s="22"/>
      <c r="AD189" s="22"/>
      <c r="AE189" s="22"/>
      <c r="AF189" s="44"/>
      <c r="AG189" s="334"/>
      <c r="AH189" s="335"/>
      <c r="AI189" s="335"/>
      <c r="AJ189" s="335"/>
      <c r="AK189" s="335"/>
      <c r="AL189" s="335"/>
      <c r="AM189" s="336"/>
      <c r="AN189" s="390" t="s">
        <v>890</v>
      </c>
      <c r="AO189" s="391"/>
      <c r="AP189" s="391"/>
      <c r="AQ189" s="391"/>
      <c r="AR189" s="391"/>
      <c r="AS189" s="391"/>
      <c r="AT189" s="391"/>
      <c r="AU189" s="391"/>
      <c r="AV189" s="391"/>
      <c r="AW189" s="391"/>
      <c r="AX189" s="391"/>
      <c r="AY189" s="391"/>
      <c r="AZ189" s="391"/>
      <c r="BA189" s="391"/>
      <c r="BB189" s="391"/>
      <c r="BC189" s="391"/>
      <c r="BD189" s="391"/>
      <c r="BE189" s="391"/>
      <c r="BF189" s="391"/>
      <c r="BG189" s="391"/>
      <c r="BH189" s="391"/>
      <c r="BI189" s="391"/>
      <c r="BJ189" s="391"/>
      <c r="BK189" s="391"/>
      <c r="BL189" s="391"/>
      <c r="BM189" s="391"/>
      <c r="BN189" s="391"/>
      <c r="BO189" s="391"/>
      <c r="BP189" s="391"/>
      <c r="BQ189" s="391"/>
      <c r="BR189" s="391"/>
      <c r="BS189" s="391"/>
      <c r="BT189" s="391"/>
      <c r="BU189" s="391"/>
      <c r="BV189" s="391"/>
      <c r="BW189" s="391"/>
      <c r="BX189" s="391"/>
      <c r="BY189" s="391"/>
      <c r="BZ189" s="391"/>
      <c r="CA189" s="391"/>
      <c r="CB189" s="391"/>
      <c r="CC189" s="391"/>
      <c r="CD189" s="392"/>
    </row>
    <row r="190" spans="1:101" ht="12" customHeight="1">
      <c r="A190" s="405"/>
      <c r="B190" s="2"/>
      <c r="C190" s="22"/>
      <c r="D190" s="22"/>
      <c r="E190" s="45"/>
      <c r="F190" s="22"/>
      <c r="G190" s="22"/>
      <c r="H190" s="22"/>
      <c r="I190" s="45"/>
      <c r="J190" s="22"/>
      <c r="K190" s="22"/>
      <c r="L190" s="22"/>
      <c r="M190" s="22"/>
      <c r="N190" s="22"/>
      <c r="O190" s="359"/>
      <c r="P190" s="22"/>
      <c r="Q190" s="22"/>
      <c r="R190" s="22"/>
      <c r="S190" s="22"/>
      <c r="T190" s="22"/>
      <c r="U190" s="22"/>
      <c r="V190" s="22"/>
      <c r="W190" s="22"/>
      <c r="X190" s="22"/>
      <c r="Y190" s="22"/>
      <c r="Z190" s="22"/>
      <c r="AA190" s="22"/>
      <c r="AB190" s="22"/>
      <c r="AC190" s="22"/>
      <c r="AD190" s="22"/>
      <c r="AE190" s="22"/>
      <c r="AF190" s="44"/>
      <c r="AG190" s="334"/>
      <c r="AH190" s="335"/>
      <c r="AI190" s="335"/>
      <c r="AJ190" s="335"/>
      <c r="AK190" s="335"/>
      <c r="AL190" s="335"/>
      <c r="AM190" s="336"/>
      <c r="AN190" s="255"/>
      <c r="AO190" s="256"/>
      <c r="AP190" s="256"/>
      <c r="AQ190" s="256"/>
      <c r="AR190" s="256"/>
      <c r="AS190" s="256"/>
      <c r="AT190" s="256"/>
      <c r="AU190" s="256"/>
      <c r="AV190" s="256"/>
      <c r="AW190" s="256"/>
      <c r="AX190" s="256"/>
      <c r="AY190" s="256"/>
      <c r="AZ190" s="256"/>
      <c r="BA190" s="256"/>
      <c r="BB190" s="256"/>
      <c r="BC190" s="256"/>
      <c r="BD190" s="256"/>
      <c r="BE190" s="256"/>
      <c r="BF190" s="256"/>
      <c r="BG190" s="256"/>
      <c r="BH190" s="256"/>
      <c r="BI190" s="256"/>
      <c r="BJ190" s="256"/>
      <c r="BK190" s="256"/>
      <c r="BL190" s="256"/>
      <c r="BM190" s="256"/>
      <c r="BN190" s="256"/>
      <c r="BO190" s="256"/>
      <c r="BP190" s="256"/>
      <c r="BQ190" s="256"/>
      <c r="BR190" s="256"/>
      <c r="BS190" s="256"/>
      <c r="BT190" s="256"/>
      <c r="BU190" s="256"/>
      <c r="BV190" s="256"/>
      <c r="BW190" s="256"/>
      <c r="BX190" s="256"/>
      <c r="BY190" s="256"/>
      <c r="BZ190" s="256"/>
      <c r="CA190" s="256"/>
      <c r="CB190" s="256"/>
      <c r="CC190" s="256"/>
      <c r="CD190" s="257"/>
    </row>
    <row r="191" spans="1:101" ht="12" customHeight="1">
      <c r="A191" s="405"/>
      <c r="B191" s="2"/>
      <c r="C191" s="22"/>
      <c r="D191" s="22"/>
      <c r="E191" s="45"/>
      <c r="F191" s="22"/>
      <c r="G191" s="22"/>
      <c r="H191" s="22"/>
      <c r="I191" s="248"/>
      <c r="J191" s="249"/>
      <c r="K191" s="249"/>
      <c r="L191" s="249"/>
      <c r="M191" s="249"/>
      <c r="N191" s="249"/>
      <c r="O191" s="250"/>
      <c r="P191" s="160" t="s">
        <v>925</v>
      </c>
      <c r="Q191" s="160"/>
      <c r="R191" s="160"/>
      <c r="S191" s="160"/>
      <c r="T191" s="160"/>
      <c r="U191" s="160"/>
      <c r="V191" s="160"/>
      <c r="W191" s="160"/>
      <c r="X191" s="160"/>
      <c r="Y191" s="160"/>
      <c r="Z191" s="160"/>
      <c r="AA191" s="160"/>
      <c r="AB191" s="160"/>
      <c r="AC191" s="160"/>
      <c r="AD191" s="160"/>
      <c r="AE191" s="160"/>
      <c r="AF191" s="159"/>
      <c r="AG191" s="685" t="s">
        <v>829</v>
      </c>
      <c r="AH191" s="686"/>
      <c r="AI191" s="686"/>
      <c r="AJ191" s="686"/>
      <c r="AK191" s="686"/>
      <c r="AL191" s="686"/>
      <c r="AM191" s="687"/>
      <c r="AN191" s="390" t="s">
        <v>1073</v>
      </c>
      <c r="AO191" s="256"/>
      <c r="AP191" s="256"/>
      <c r="AQ191" s="256"/>
      <c r="AR191" s="256"/>
      <c r="AS191" s="256"/>
      <c r="AT191" s="256"/>
      <c r="AU191" s="256"/>
      <c r="AV191" s="256"/>
      <c r="AW191" s="256"/>
      <c r="AX191" s="256"/>
      <c r="AY191" s="256"/>
      <c r="AZ191" s="256"/>
      <c r="BA191" s="256"/>
      <c r="BB191" s="256"/>
      <c r="BC191" s="256"/>
      <c r="BD191" s="256"/>
      <c r="BE191" s="256"/>
      <c r="BF191" s="256"/>
      <c r="BG191" s="256"/>
      <c r="BH191" s="256"/>
      <c r="BI191" s="256"/>
      <c r="BJ191" s="256"/>
      <c r="BK191" s="256"/>
      <c r="BL191" s="256"/>
      <c r="BM191" s="256"/>
      <c r="BN191" s="256"/>
      <c r="BO191" s="256"/>
      <c r="BP191" s="256"/>
      <c r="BQ191" s="256"/>
      <c r="BR191" s="256"/>
      <c r="BS191" s="256"/>
      <c r="BT191" s="256"/>
      <c r="BU191" s="256"/>
      <c r="BV191" s="256"/>
      <c r="BW191" s="256"/>
      <c r="BX191" s="256"/>
      <c r="BY191" s="256"/>
      <c r="BZ191" s="256"/>
      <c r="CA191" s="256"/>
      <c r="CB191" s="256"/>
      <c r="CC191" s="256"/>
      <c r="CD191" s="257"/>
    </row>
    <row r="192" spans="1:101" ht="12" customHeight="1">
      <c r="A192" s="405"/>
      <c r="B192" s="2"/>
      <c r="C192" s="22"/>
      <c r="D192" s="22"/>
      <c r="E192" s="45"/>
      <c r="F192" s="22"/>
      <c r="G192" s="22"/>
      <c r="H192" s="22"/>
      <c r="I192" s="161" t="s">
        <v>932</v>
      </c>
      <c r="J192" s="160"/>
      <c r="K192" s="160"/>
      <c r="L192" s="160"/>
      <c r="M192" s="160"/>
      <c r="N192" s="160"/>
      <c r="O192" s="160"/>
      <c r="P192" s="340" t="s">
        <v>447</v>
      </c>
      <c r="Q192" s="160"/>
      <c r="R192" s="160"/>
      <c r="S192" s="160"/>
      <c r="T192" s="160"/>
      <c r="U192" s="160"/>
      <c r="V192" s="160"/>
      <c r="W192" s="160"/>
      <c r="X192" s="160"/>
      <c r="Y192" s="160"/>
      <c r="Z192" s="160"/>
      <c r="AA192" s="160"/>
      <c r="AB192" s="160"/>
      <c r="AC192" s="160"/>
      <c r="AD192" s="160"/>
      <c r="AE192" s="160"/>
      <c r="AF192" s="159"/>
      <c r="AG192" s="685" t="s">
        <v>939</v>
      </c>
      <c r="AH192" s="686"/>
      <c r="AI192" s="686"/>
      <c r="AJ192" s="686"/>
      <c r="AK192" s="686"/>
      <c r="AL192" s="686"/>
      <c r="AM192" s="687"/>
      <c r="AN192" s="942" t="s">
        <v>1200</v>
      </c>
      <c r="AO192" s="943"/>
      <c r="AP192" s="943"/>
      <c r="AQ192" s="943"/>
      <c r="AR192" s="943"/>
      <c r="AS192" s="262"/>
      <c r="AT192" s="262"/>
      <c r="AU192" s="262"/>
      <c r="AV192" s="262"/>
      <c r="AW192" s="262"/>
      <c r="AX192" s="262"/>
      <c r="AY192" s="262"/>
      <c r="AZ192" s="262"/>
      <c r="BA192" s="262"/>
      <c r="BB192" s="262"/>
      <c r="BC192" s="262"/>
      <c r="BD192" s="262"/>
      <c r="BE192" s="262"/>
      <c r="BF192" s="262"/>
      <c r="BG192" s="262"/>
      <c r="BH192" s="262"/>
      <c r="BI192" s="262"/>
      <c r="BJ192" s="262"/>
      <c r="BK192" s="262"/>
      <c r="BL192" s="262"/>
      <c r="BM192" s="262"/>
      <c r="BN192" s="262"/>
      <c r="BO192" s="262"/>
      <c r="BP192" s="262"/>
      <c r="BQ192" s="262"/>
      <c r="BR192" s="262"/>
      <c r="BS192" s="262"/>
      <c r="BT192" s="262"/>
      <c r="BU192" s="262"/>
      <c r="BV192" s="262"/>
      <c r="BW192" s="262"/>
      <c r="BX192" s="262"/>
      <c r="BY192" s="262"/>
      <c r="BZ192" s="262"/>
      <c r="CA192" s="262"/>
      <c r="CB192" s="262"/>
      <c r="CC192" s="262"/>
      <c r="CD192" s="263"/>
    </row>
    <row r="193" spans="1:101" ht="12" customHeight="1">
      <c r="A193" s="405"/>
      <c r="B193" s="2"/>
      <c r="C193" s="22"/>
      <c r="D193" s="22"/>
      <c r="E193" s="45"/>
      <c r="F193" s="22"/>
      <c r="G193" s="22"/>
      <c r="H193" s="22"/>
      <c r="I193" s="45"/>
      <c r="J193" s="22"/>
      <c r="K193" s="22"/>
      <c r="L193" s="22"/>
      <c r="M193" s="22"/>
      <c r="N193" s="22"/>
      <c r="O193" s="22"/>
      <c r="P193" s="342"/>
      <c r="Q193" s="22"/>
      <c r="R193" s="22"/>
      <c r="S193" s="22"/>
      <c r="T193" s="22"/>
      <c r="U193" s="22"/>
      <c r="V193" s="22"/>
      <c r="W193" s="22"/>
      <c r="X193" s="22"/>
      <c r="Y193" s="22"/>
      <c r="Z193" s="22"/>
      <c r="AA193" s="22"/>
      <c r="AB193" s="22"/>
      <c r="AC193" s="22"/>
      <c r="AD193" s="22"/>
      <c r="AE193" s="22"/>
      <c r="AF193" s="44"/>
      <c r="AG193" s="334"/>
      <c r="AH193" s="335"/>
      <c r="AI193" s="335"/>
      <c r="AJ193" s="335"/>
      <c r="AK193" s="335"/>
      <c r="AL193" s="335"/>
      <c r="AM193" s="336"/>
      <c r="AN193" s="944" t="s">
        <v>886</v>
      </c>
      <c r="AO193" s="415"/>
      <c r="AP193" s="415"/>
      <c r="AQ193" s="415"/>
      <c r="AR193" s="415"/>
      <c r="AS193" s="391"/>
      <c r="AT193" s="391"/>
      <c r="AU193" s="391"/>
      <c r="AV193" s="391"/>
      <c r="AW193" s="391"/>
      <c r="AX193" s="391"/>
      <c r="AY193" s="391"/>
      <c r="AZ193" s="391"/>
      <c r="BA193" s="391"/>
      <c r="BB193" s="391"/>
      <c r="BC193" s="391"/>
      <c r="BD193" s="391"/>
      <c r="BE193" s="391"/>
      <c r="BF193" s="391"/>
      <c r="BG193" s="391"/>
      <c r="BH193" s="391"/>
      <c r="BI193" s="391"/>
      <c r="BJ193" s="391"/>
      <c r="BK193" s="391"/>
      <c r="BL193" s="391"/>
      <c r="BM193" s="391"/>
      <c r="BN193" s="391"/>
      <c r="BO193" s="391"/>
      <c r="BP193" s="391"/>
      <c r="BQ193" s="391"/>
      <c r="BR193" s="391"/>
      <c r="BS193" s="391"/>
      <c r="BT193" s="391"/>
      <c r="BU193" s="391"/>
      <c r="BV193" s="391"/>
      <c r="BW193" s="391"/>
      <c r="BX193" s="391"/>
      <c r="BY193" s="391"/>
      <c r="BZ193" s="391"/>
      <c r="CA193" s="391"/>
      <c r="CB193" s="391"/>
      <c r="CC193" s="391"/>
      <c r="CD193" s="392"/>
    </row>
    <row r="194" spans="1:101" ht="12" customHeight="1">
      <c r="A194" s="405"/>
      <c r="B194" s="2"/>
      <c r="C194" s="22"/>
      <c r="D194" s="22"/>
      <c r="E194" s="45"/>
      <c r="F194" s="22"/>
      <c r="G194" s="22"/>
      <c r="H194" s="22"/>
      <c r="I194" s="45"/>
      <c r="J194" s="22"/>
      <c r="K194" s="22"/>
      <c r="L194" s="22"/>
      <c r="M194" s="22"/>
      <c r="N194" s="22"/>
      <c r="O194" s="22"/>
      <c r="P194" s="342"/>
      <c r="Q194" s="22"/>
      <c r="R194" s="22"/>
      <c r="S194" s="22"/>
      <c r="T194" s="22"/>
      <c r="U194" s="22"/>
      <c r="V194" s="22"/>
      <c r="W194" s="22"/>
      <c r="X194" s="22"/>
      <c r="Y194" s="22"/>
      <c r="Z194" s="22"/>
      <c r="AA194" s="22"/>
      <c r="AB194" s="22"/>
      <c r="AC194" s="22"/>
      <c r="AD194" s="22"/>
      <c r="AE194" s="22"/>
      <c r="AF194" s="44"/>
      <c r="AG194" s="334"/>
      <c r="AH194" s="335"/>
      <c r="AI194" s="335"/>
      <c r="AJ194" s="335"/>
      <c r="AK194" s="335"/>
      <c r="AL194" s="335"/>
      <c r="AM194" s="336"/>
      <c r="AN194" s="944" t="s">
        <v>1226</v>
      </c>
      <c r="AO194" s="415"/>
      <c r="AP194" s="415"/>
      <c r="AQ194" s="415"/>
      <c r="AR194" s="415"/>
      <c r="AS194" s="391"/>
      <c r="AT194" s="391"/>
      <c r="AU194" s="391"/>
      <c r="AV194" s="391"/>
      <c r="AW194" s="391"/>
      <c r="AX194" s="391"/>
      <c r="AY194" s="391"/>
      <c r="AZ194" s="391"/>
      <c r="BA194" s="391"/>
      <c r="BB194" s="391"/>
      <c r="BC194" s="391"/>
      <c r="BD194" s="391"/>
      <c r="BE194" s="391"/>
      <c r="BF194" s="391"/>
      <c r="BG194" s="391"/>
      <c r="BH194" s="391"/>
      <c r="BI194" s="391"/>
      <c r="BJ194" s="391"/>
      <c r="BK194" s="391"/>
      <c r="BL194" s="391"/>
      <c r="BM194" s="391"/>
      <c r="BN194" s="391"/>
      <c r="BO194" s="391"/>
      <c r="BP194" s="391"/>
      <c r="BQ194" s="391"/>
      <c r="BR194" s="391"/>
      <c r="BS194" s="391"/>
      <c r="BT194" s="391"/>
      <c r="BU194" s="391"/>
      <c r="BV194" s="391"/>
      <c r="BW194" s="391"/>
      <c r="BX194" s="391"/>
      <c r="BY194" s="391"/>
      <c r="BZ194" s="391"/>
      <c r="CA194" s="391"/>
      <c r="CB194" s="391"/>
      <c r="CC194" s="391"/>
      <c r="CD194" s="392"/>
    </row>
    <row r="195" spans="1:101" ht="12" customHeight="1">
      <c r="A195" s="405"/>
      <c r="B195" s="2"/>
      <c r="C195" s="22"/>
      <c r="D195" s="22"/>
      <c r="E195" s="45"/>
      <c r="F195" s="22"/>
      <c r="G195" s="22"/>
      <c r="H195" s="22"/>
      <c r="I195" s="45"/>
      <c r="J195" s="22"/>
      <c r="K195" s="22"/>
      <c r="L195" s="22"/>
      <c r="M195" s="22"/>
      <c r="N195" s="22"/>
      <c r="O195" s="22"/>
      <c r="P195" s="342"/>
      <c r="Q195" s="22"/>
      <c r="R195" s="22"/>
      <c r="S195" s="22"/>
      <c r="T195" s="22"/>
      <c r="U195" s="22"/>
      <c r="V195" s="22"/>
      <c r="W195" s="22"/>
      <c r="X195" s="22"/>
      <c r="Y195" s="22"/>
      <c r="Z195" s="22"/>
      <c r="AA195" s="22"/>
      <c r="AB195" s="22"/>
      <c r="AC195" s="22"/>
      <c r="AD195" s="22"/>
      <c r="AE195" s="22"/>
      <c r="AF195" s="44"/>
      <c r="AG195" s="334"/>
      <c r="AH195" s="335"/>
      <c r="AI195" s="335"/>
      <c r="AJ195" s="335"/>
      <c r="AK195" s="335"/>
      <c r="AL195" s="335"/>
      <c r="AM195" s="336"/>
      <c r="AN195" s="944" t="s">
        <v>1227</v>
      </c>
      <c r="AO195" s="415"/>
      <c r="AP195" s="415"/>
      <c r="AQ195" s="415"/>
      <c r="AR195" s="415"/>
      <c r="AS195" s="391"/>
      <c r="AT195" s="391"/>
      <c r="AU195" s="391"/>
      <c r="AV195" s="391"/>
      <c r="AW195" s="391"/>
      <c r="AX195" s="391"/>
      <c r="AY195" s="391"/>
      <c r="AZ195" s="391"/>
      <c r="BA195" s="391"/>
      <c r="BB195" s="391"/>
      <c r="BC195" s="391"/>
      <c r="BD195" s="391"/>
      <c r="BE195" s="391"/>
      <c r="BF195" s="391"/>
      <c r="BG195" s="391"/>
      <c r="BH195" s="391"/>
      <c r="BI195" s="391"/>
      <c r="BJ195" s="391"/>
      <c r="BK195" s="391"/>
      <c r="BL195" s="391"/>
      <c r="BM195" s="391"/>
      <c r="BN195" s="391"/>
      <c r="BO195" s="391"/>
      <c r="BP195" s="391"/>
      <c r="BQ195" s="391"/>
      <c r="BR195" s="391"/>
      <c r="BS195" s="391"/>
      <c r="BT195" s="391"/>
      <c r="BU195" s="391"/>
      <c r="BV195" s="391"/>
      <c r="BW195" s="391"/>
      <c r="BX195" s="391"/>
      <c r="BY195" s="391"/>
      <c r="BZ195" s="391"/>
      <c r="CA195" s="391"/>
      <c r="CB195" s="391"/>
      <c r="CC195" s="391"/>
      <c r="CD195" s="392"/>
    </row>
    <row r="196" spans="1:101" ht="12" customHeight="1">
      <c r="A196" s="405"/>
      <c r="B196" s="2"/>
      <c r="C196" s="22"/>
      <c r="D196" s="22"/>
      <c r="E196" s="45"/>
      <c r="F196" s="22"/>
      <c r="G196" s="22"/>
      <c r="H196" s="22"/>
      <c r="I196" s="45"/>
      <c r="J196" s="22"/>
      <c r="K196" s="22"/>
      <c r="L196" s="22"/>
      <c r="M196" s="22"/>
      <c r="N196" s="22"/>
      <c r="O196" s="22"/>
      <c r="P196" s="342"/>
      <c r="Q196" s="22"/>
      <c r="R196" s="22"/>
      <c r="S196" s="22"/>
      <c r="T196" s="22"/>
      <c r="U196" s="22"/>
      <c r="V196" s="22"/>
      <c r="W196" s="22"/>
      <c r="X196" s="22"/>
      <c r="Y196" s="22"/>
      <c r="Z196" s="22"/>
      <c r="AA196" s="22"/>
      <c r="AB196" s="22"/>
      <c r="AC196" s="22"/>
      <c r="AD196" s="22"/>
      <c r="AE196" s="22"/>
      <c r="AF196" s="44"/>
      <c r="AG196" s="334"/>
      <c r="AH196" s="335"/>
      <c r="AI196" s="335"/>
      <c r="AJ196" s="335"/>
      <c r="AK196" s="335"/>
      <c r="AL196" s="335"/>
      <c r="AM196" s="336"/>
      <c r="AN196" s="944" t="s">
        <v>862</v>
      </c>
      <c r="AO196" s="415"/>
      <c r="AP196" s="415"/>
      <c r="AQ196" s="415"/>
      <c r="AR196" s="415"/>
      <c r="AS196" s="391"/>
      <c r="AT196" s="391"/>
      <c r="AU196" s="391"/>
      <c r="AV196" s="391"/>
      <c r="AW196" s="391"/>
      <c r="AX196" s="391"/>
      <c r="AY196" s="391"/>
      <c r="AZ196" s="391"/>
      <c r="BA196" s="391"/>
      <c r="BB196" s="391"/>
      <c r="BC196" s="391"/>
      <c r="BD196" s="391"/>
      <c r="BE196" s="391"/>
      <c r="BF196" s="391"/>
      <c r="BG196" s="391"/>
      <c r="BH196" s="391"/>
      <c r="BI196" s="391"/>
      <c r="BJ196" s="391"/>
      <c r="BK196" s="391"/>
      <c r="BL196" s="391"/>
      <c r="BM196" s="391"/>
      <c r="BN196" s="391"/>
      <c r="BO196" s="391"/>
      <c r="BP196" s="391"/>
      <c r="BQ196" s="391"/>
      <c r="BR196" s="391"/>
      <c r="BS196" s="391"/>
      <c r="BT196" s="391"/>
      <c r="BU196" s="391"/>
      <c r="BV196" s="391"/>
      <c r="BW196" s="391"/>
      <c r="BX196" s="391"/>
      <c r="BY196" s="391"/>
      <c r="BZ196" s="391"/>
      <c r="CA196" s="391"/>
      <c r="CB196" s="391"/>
      <c r="CC196" s="391"/>
      <c r="CD196" s="392"/>
    </row>
    <row r="197" spans="1:101" ht="12" customHeight="1">
      <c r="A197" s="405"/>
      <c r="B197" s="2"/>
      <c r="C197" s="22"/>
      <c r="D197" s="22"/>
      <c r="E197" s="45"/>
      <c r="F197" s="22"/>
      <c r="G197" s="22"/>
      <c r="H197" s="22"/>
      <c r="I197" s="45"/>
      <c r="J197" s="22"/>
      <c r="K197" s="22"/>
      <c r="L197" s="22"/>
      <c r="M197" s="22"/>
      <c r="N197" s="22"/>
      <c r="O197" s="22"/>
      <c r="P197" s="342"/>
      <c r="Q197" s="22"/>
      <c r="R197" s="22"/>
      <c r="S197" s="22"/>
      <c r="T197" s="22"/>
      <c r="U197" s="22"/>
      <c r="V197" s="22"/>
      <c r="W197" s="22"/>
      <c r="X197" s="22"/>
      <c r="Y197" s="22"/>
      <c r="Z197" s="22"/>
      <c r="AA197" s="22"/>
      <c r="AB197" s="22"/>
      <c r="AC197" s="22"/>
      <c r="AD197" s="22"/>
      <c r="AE197" s="22"/>
      <c r="AF197" s="44"/>
      <c r="AG197" s="334"/>
      <c r="AH197" s="335"/>
      <c r="AI197" s="335"/>
      <c r="AJ197" s="335"/>
      <c r="AK197" s="335"/>
      <c r="AL197" s="335"/>
      <c r="AM197" s="336"/>
      <c r="AN197" s="944" t="s">
        <v>1201</v>
      </c>
      <c r="AO197" s="415"/>
      <c r="AP197" s="415"/>
      <c r="AQ197" s="415"/>
      <c r="AR197" s="415"/>
      <c r="AS197" s="391"/>
      <c r="AT197" s="391"/>
      <c r="AU197" s="391"/>
      <c r="AV197" s="391"/>
      <c r="AW197" s="391"/>
      <c r="AX197" s="391"/>
      <c r="AY197" s="391"/>
      <c r="AZ197" s="391"/>
      <c r="BA197" s="391"/>
      <c r="BB197" s="391"/>
      <c r="BC197" s="391"/>
      <c r="BD197" s="391"/>
      <c r="BE197" s="391"/>
      <c r="BF197" s="391"/>
      <c r="BG197" s="391"/>
      <c r="BH197" s="391"/>
      <c r="BI197" s="391"/>
      <c r="BJ197" s="391"/>
      <c r="BK197" s="391"/>
      <c r="BL197" s="391"/>
      <c r="BM197" s="391"/>
      <c r="BN197" s="391"/>
      <c r="BO197" s="391"/>
      <c r="BP197" s="391"/>
      <c r="BQ197" s="391"/>
      <c r="BR197" s="391"/>
      <c r="BS197" s="391"/>
      <c r="BT197" s="391"/>
      <c r="BU197" s="391"/>
      <c r="BV197" s="391"/>
      <c r="BW197" s="391"/>
      <c r="BX197" s="391"/>
      <c r="BY197" s="391"/>
      <c r="BZ197" s="391"/>
      <c r="CA197" s="391"/>
      <c r="CB197" s="391"/>
      <c r="CC197" s="391"/>
      <c r="CD197" s="392"/>
    </row>
    <row r="198" spans="1:101" ht="12" customHeight="1">
      <c r="A198" s="405"/>
      <c r="B198" s="2"/>
      <c r="C198" s="22"/>
      <c r="D198" s="22"/>
      <c r="E198" s="45"/>
      <c r="F198" s="22"/>
      <c r="G198" s="22"/>
      <c r="H198" s="22"/>
      <c r="I198" s="45"/>
      <c r="J198" s="22"/>
      <c r="K198" s="22"/>
      <c r="L198" s="22"/>
      <c r="M198" s="22"/>
      <c r="N198" s="22"/>
      <c r="O198" s="22"/>
      <c r="P198" s="342"/>
      <c r="Q198" s="22"/>
      <c r="R198" s="22"/>
      <c r="S198" s="22"/>
      <c r="T198" s="22"/>
      <c r="U198" s="22"/>
      <c r="V198" s="22"/>
      <c r="W198" s="22"/>
      <c r="X198" s="22"/>
      <c r="Y198" s="22"/>
      <c r="Z198" s="22"/>
      <c r="AA198" s="22"/>
      <c r="AB198" s="22"/>
      <c r="AC198" s="22"/>
      <c r="AD198" s="22"/>
      <c r="AE198" s="22"/>
      <c r="AF198" s="44"/>
      <c r="AG198" s="334"/>
      <c r="AH198" s="335"/>
      <c r="AI198" s="335"/>
      <c r="AJ198" s="335"/>
      <c r="AK198" s="335"/>
      <c r="AL198" s="335"/>
      <c r="AM198" s="336"/>
      <c r="AN198" s="944" t="s">
        <v>1228</v>
      </c>
      <c r="AO198" s="415"/>
      <c r="AP198" s="415"/>
      <c r="AQ198" s="415"/>
      <c r="AR198" s="415"/>
      <c r="AS198" s="391"/>
      <c r="AT198" s="391"/>
      <c r="AU198" s="391"/>
      <c r="AV198" s="391"/>
      <c r="AW198" s="391"/>
      <c r="AX198" s="391"/>
      <c r="AY198" s="391"/>
      <c r="AZ198" s="391"/>
      <c r="BA198" s="391"/>
      <c r="BB198" s="391"/>
      <c r="BC198" s="391"/>
      <c r="BD198" s="391"/>
      <c r="BE198" s="391"/>
      <c r="BF198" s="391"/>
      <c r="BG198" s="391"/>
      <c r="BH198" s="391"/>
      <c r="BI198" s="391"/>
      <c r="BJ198" s="391"/>
      <c r="BK198" s="391"/>
      <c r="BL198" s="391"/>
      <c r="BM198" s="391"/>
      <c r="BN198" s="391"/>
      <c r="BO198" s="391"/>
      <c r="BP198" s="391"/>
      <c r="BQ198" s="391"/>
      <c r="BR198" s="391"/>
      <c r="BS198" s="391"/>
      <c r="BT198" s="391"/>
      <c r="BU198" s="391"/>
      <c r="BV198" s="391"/>
      <c r="BW198" s="391"/>
      <c r="BX198" s="391"/>
      <c r="BY198" s="391"/>
      <c r="BZ198" s="391"/>
      <c r="CA198" s="391"/>
      <c r="CB198" s="391"/>
      <c r="CC198" s="391"/>
      <c r="CD198" s="392"/>
    </row>
    <row r="199" spans="1:101" ht="12" customHeight="1">
      <c r="A199" s="405"/>
      <c r="B199" s="2"/>
      <c r="C199" s="22"/>
      <c r="D199" s="22"/>
      <c r="E199" s="45"/>
      <c r="F199" s="22"/>
      <c r="G199" s="22"/>
      <c r="H199" s="22"/>
      <c r="I199" s="248"/>
      <c r="J199" s="249"/>
      <c r="K199" s="249"/>
      <c r="L199" s="249"/>
      <c r="M199" s="249"/>
      <c r="N199" s="249"/>
      <c r="O199" s="249"/>
      <c r="P199" s="341"/>
      <c r="Q199" s="249"/>
      <c r="R199" s="249"/>
      <c r="S199" s="249"/>
      <c r="T199" s="249"/>
      <c r="U199" s="249"/>
      <c r="V199" s="249"/>
      <c r="W199" s="249"/>
      <c r="X199" s="249"/>
      <c r="Y199" s="249"/>
      <c r="Z199" s="249"/>
      <c r="AA199" s="249"/>
      <c r="AB199" s="249"/>
      <c r="AC199" s="249"/>
      <c r="AD199" s="249"/>
      <c r="AE199" s="249"/>
      <c r="AF199" s="329"/>
      <c r="AG199" s="337"/>
      <c r="AH199" s="338"/>
      <c r="AI199" s="338"/>
      <c r="AJ199" s="338"/>
      <c r="AK199" s="338"/>
      <c r="AL199" s="338"/>
      <c r="AM199" s="339"/>
      <c r="AN199" s="945"/>
      <c r="AO199" s="946"/>
      <c r="AP199" s="946"/>
      <c r="AQ199" s="946"/>
      <c r="AR199" s="946"/>
      <c r="AS199" s="256"/>
      <c r="AT199" s="256"/>
      <c r="AU199" s="256"/>
      <c r="AV199" s="256"/>
      <c r="AW199" s="256"/>
      <c r="AX199" s="256"/>
      <c r="AY199" s="256"/>
      <c r="AZ199" s="256"/>
      <c r="BA199" s="256"/>
      <c r="BB199" s="256"/>
      <c r="BC199" s="256"/>
      <c r="BD199" s="256"/>
      <c r="BE199" s="256"/>
      <c r="BF199" s="256"/>
      <c r="BG199" s="256"/>
      <c r="BH199" s="256"/>
      <c r="BI199" s="256"/>
      <c r="BJ199" s="256"/>
      <c r="BK199" s="256"/>
      <c r="BL199" s="256"/>
      <c r="BM199" s="256"/>
      <c r="BN199" s="256"/>
      <c r="BO199" s="256"/>
      <c r="BP199" s="256"/>
      <c r="BQ199" s="256"/>
      <c r="BR199" s="256"/>
      <c r="BS199" s="256"/>
      <c r="BT199" s="256"/>
      <c r="BU199" s="256"/>
      <c r="BV199" s="256"/>
      <c r="BW199" s="256"/>
      <c r="BX199" s="256"/>
      <c r="BY199" s="256"/>
      <c r="BZ199" s="256"/>
      <c r="CA199" s="256"/>
      <c r="CB199" s="256"/>
      <c r="CC199" s="256"/>
      <c r="CD199" s="257"/>
    </row>
    <row r="200" spans="1:101" ht="12" customHeight="1">
      <c r="A200" s="405"/>
      <c r="B200" s="2"/>
      <c r="C200" s="22"/>
      <c r="D200" s="22"/>
      <c r="E200" s="45"/>
      <c r="F200" s="22"/>
      <c r="G200" s="22"/>
      <c r="H200" s="22"/>
      <c r="I200" s="161" t="s">
        <v>444</v>
      </c>
      <c r="J200" s="160"/>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59"/>
      <c r="AG200" s="688" t="s">
        <v>1062</v>
      </c>
      <c r="AH200" s="689"/>
      <c r="AI200" s="689"/>
      <c r="AJ200" s="689"/>
      <c r="AK200" s="689"/>
      <c r="AL200" s="689"/>
      <c r="AM200" s="690"/>
      <c r="AN200" s="406" t="s">
        <v>1063</v>
      </c>
      <c r="AO200" s="407"/>
      <c r="AP200" s="407"/>
      <c r="AQ200" s="407"/>
      <c r="AR200" s="407"/>
      <c r="AS200" s="407"/>
      <c r="AT200" s="407"/>
      <c r="AU200" s="407"/>
      <c r="AV200" s="407"/>
      <c r="AW200" s="407"/>
      <c r="AX200" s="407"/>
      <c r="AY200" s="407"/>
      <c r="AZ200" s="407"/>
      <c r="BA200" s="407"/>
      <c r="BB200" s="407"/>
      <c r="BC200" s="407"/>
      <c r="BD200" s="407"/>
      <c r="BE200" s="407"/>
      <c r="BF200" s="407"/>
      <c r="BG200" s="407"/>
      <c r="BH200" s="407"/>
      <c r="BI200" s="407"/>
      <c r="BJ200" s="407"/>
      <c r="BK200" s="407"/>
      <c r="BL200" s="407"/>
      <c r="BM200" s="407"/>
      <c r="BN200" s="407"/>
      <c r="BO200" s="407"/>
      <c r="BP200" s="407"/>
      <c r="BQ200" s="407"/>
      <c r="BR200" s="407"/>
      <c r="BS200" s="407"/>
      <c r="BT200" s="407"/>
      <c r="BU200" s="407"/>
      <c r="BV200" s="407"/>
      <c r="BW200" s="407"/>
      <c r="BX200" s="407"/>
      <c r="BY200" s="407"/>
      <c r="BZ200" s="407"/>
      <c r="CA200" s="407"/>
      <c r="CB200" s="407"/>
      <c r="CC200" s="407"/>
      <c r="CD200" s="408"/>
    </row>
    <row r="201" spans="1:101" ht="12" customHeight="1">
      <c r="A201" s="55"/>
      <c r="B201" s="3"/>
      <c r="C201" s="3"/>
      <c r="D201" s="3"/>
      <c r="E201" s="390"/>
      <c r="F201" s="391"/>
      <c r="G201" s="391"/>
      <c r="H201" s="391"/>
      <c r="I201" s="103" t="s">
        <v>839</v>
      </c>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99"/>
      <c r="AG201" s="685" t="s">
        <v>714</v>
      </c>
      <c r="AH201" s="686"/>
      <c r="AI201" s="686"/>
      <c r="AJ201" s="686"/>
      <c r="AK201" s="686"/>
      <c r="AL201" s="686"/>
      <c r="AM201" s="687"/>
      <c r="AN201" s="406" t="s">
        <v>594</v>
      </c>
      <c r="AO201" s="407"/>
      <c r="AP201" s="407"/>
      <c r="AQ201" s="407"/>
      <c r="AR201" s="407"/>
      <c r="AS201" s="407"/>
      <c r="AT201" s="407"/>
      <c r="AU201" s="407"/>
      <c r="AV201" s="407"/>
      <c r="AW201" s="407"/>
      <c r="AX201" s="407"/>
      <c r="AY201" s="407"/>
      <c r="AZ201" s="407"/>
      <c r="BA201" s="407"/>
      <c r="BB201" s="407"/>
      <c r="BC201" s="407"/>
      <c r="BD201" s="407"/>
      <c r="BE201" s="407"/>
      <c r="BF201" s="407"/>
      <c r="BG201" s="407"/>
      <c r="BH201" s="407"/>
      <c r="BI201" s="407"/>
      <c r="BJ201" s="407"/>
      <c r="BK201" s="407"/>
      <c r="BL201" s="407"/>
      <c r="BM201" s="407"/>
      <c r="BN201" s="407"/>
      <c r="BO201" s="407"/>
      <c r="BP201" s="407"/>
      <c r="BQ201" s="407"/>
      <c r="BR201" s="407"/>
      <c r="BS201" s="407"/>
      <c r="BT201" s="407"/>
      <c r="BU201" s="407"/>
      <c r="BV201" s="407"/>
      <c r="BW201" s="407"/>
      <c r="BX201" s="407"/>
      <c r="BY201" s="407"/>
      <c r="BZ201" s="407"/>
      <c r="CA201" s="407"/>
      <c r="CB201" s="407"/>
      <c r="CC201" s="407"/>
      <c r="CD201" s="408"/>
    </row>
    <row r="202" spans="1:101" ht="12" customHeight="1">
      <c r="A202" s="55"/>
      <c r="B202" s="3"/>
      <c r="C202" s="3"/>
      <c r="D202" s="3"/>
      <c r="E202" s="393"/>
      <c r="F202" s="394"/>
      <c r="G202" s="394"/>
      <c r="H202" s="394"/>
      <c r="I202" s="375" t="s">
        <v>454</v>
      </c>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0"/>
      <c r="AG202" s="676">
        <v>1</v>
      </c>
      <c r="AH202" s="677"/>
      <c r="AI202" s="677"/>
      <c r="AJ202" s="677"/>
      <c r="AK202" s="677"/>
      <c r="AL202" s="677"/>
      <c r="AM202" s="678"/>
      <c r="AN202" s="409" t="s">
        <v>1071</v>
      </c>
      <c r="AO202" s="410"/>
      <c r="AP202" s="410"/>
      <c r="AQ202" s="410"/>
      <c r="AR202" s="410"/>
      <c r="AS202" s="410"/>
      <c r="AT202" s="410"/>
      <c r="AU202" s="410"/>
      <c r="AV202" s="410"/>
      <c r="AW202" s="410"/>
      <c r="AX202" s="410"/>
      <c r="AY202" s="410"/>
      <c r="AZ202" s="410"/>
      <c r="BA202" s="410"/>
      <c r="BB202" s="410"/>
      <c r="BC202" s="410"/>
      <c r="BD202" s="410"/>
      <c r="BE202" s="410"/>
      <c r="BF202" s="410"/>
      <c r="BG202" s="410"/>
      <c r="BH202" s="410"/>
      <c r="BI202" s="410"/>
      <c r="BJ202" s="410"/>
      <c r="BK202" s="410"/>
      <c r="BL202" s="410"/>
      <c r="BM202" s="410"/>
      <c r="BN202" s="410"/>
      <c r="BO202" s="410"/>
      <c r="BP202" s="410"/>
      <c r="BQ202" s="410"/>
      <c r="BR202" s="410"/>
      <c r="BS202" s="410"/>
      <c r="BT202" s="410"/>
      <c r="BU202" s="410"/>
      <c r="BV202" s="410"/>
      <c r="BW202" s="410"/>
      <c r="BX202" s="410"/>
      <c r="BY202" s="410"/>
      <c r="BZ202" s="410"/>
      <c r="CA202" s="410"/>
      <c r="CB202" s="410"/>
      <c r="CC202" s="410"/>
      <c r="CD202" s="411"/>
    </row>
    <row r="203" spans="1:101" ht="12" customHeight="1">
      <c r="A203" s="55"/>
      <c r="B203" s="3"/>
      <c r="C203" s="3"/>
      <c r="D203" s="3"/>
      <c r="E203" s="3"/>
      <c r="F203" s="3"/>
      <c r="G203" s="3"/>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322"/>
      <c r="AF203" s="322"/>
      <c r="AG203" s="322"/>
      <c r="AH203" s="322"/>
      <c r="AI203" s="322"/>
      <c r="AJ203" s="322"/>
      <c r="AK203" s="322"/>
      <c r="AL203" s="322"/>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row>
    <row r="204" spans="1:101" ht="12" customHeight="1">
      <c r="A204" s="55"/>
      <c r="B204" s="3"/>
      <c r="C204" s="3"/>
      <c r="D204" s="55"/>
      <c r="E204" s="112"/>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c r="BZ204" s="55"/>
      <c r="CA204" s="55"/>
      <c r="CB204" s="55"/>
      <c r="CC204" s="3"/>
      <c r="CD204" s="3"/>
      <c r="CF204" s="2"/>
      <c r="CG204" s="2"/>
      <c r="CH204" s="2"/>
      <c r="CI204" s="2"/>
      <c r="CJ204" s="2"/>
      <c r="CK204" s="2"/>
      <c r="CL204" s="2"/>
      <c r="CM204" s="2"/>
      <c r="CN204" s="2"/>
      <c r="CO204" s="2"/>
      <c r="CP204" s="2"/>
      <c r="CQ204" s="2"/>
      <c r="CR204" s="2"/>
      <c r="CS204" s="2"/>
      <c r="CT204" s="2"/>
      <c r="CU204" s="2"/>
      <c r="CV204" s="2"/>
      <c r="CW204" s="2"/>
    </row>
    <row r="205" spans="1:101" ht="12" customHeight="1">
      <c r="A205" s="55"/>
      <c r="B205" s="3"/>
      <c r="C205" s="3"/>
      <c r="D205" s="55"/>
      <c r="E205" s="112"/>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c r="AX205" s="55"/>
      <c r="AY205" s="55"/>
      <c r="AZ205" s="55"/>
      <c r="BA205" s="55"/>
      <c r="BB205" s="55"/>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c r="BZ205" s="55"/>
      <c r="CA205" s="55"/>
      <c r="CB205" s="55"/>
      <c r="CC205" s="3"/>
      <c r="CD205" s="3"/>
      <c r="CF205" s="2"/>
      <c r="CG205" s="2"/>
      <c r="CH205" s="2"/>
      <c r="CI205" s="2"/>
      <c r="CJ205" s="2"/>
      <c r="CK205" s="2"/>
      <c r="CL205" s="2"/>
      <c r="CM205" s="2"/>
      <c r="CN205" s="2"/>
      <c r="CO205" s="2"/>
      <c r="CP205" s="2"/>
      <c r="CQ205" s="2"/>
      <c r="CR205" s="2"/>
      <c r="CS205" s="2"/>
      <c r="CT205" s="2"/>
      <c r="CU205" s="2"/>
      <c r="CV205" s="2"/>
      <c r="CW205" s="2"/>
    </row>
    <row r="206" spans="1:101" ht="12" customHeight="1">
      <c r="A206" s="55"/>
      <c r="B206" s="3"/>
      <c r="C206" s="3"/>
      <c r="D206" s="55"/>
      <c r="E206" s="112"/>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c r="AX206" s="55"/>
      <c r="AY206" s="55"/>
      <c r="AZ206" s="55"/>
      <c r="BA206" s="55"/>
      <c r="BB206" s="55"/>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c r="BZ206" s="55"/>
      <c r="CA206" s="55"/>
      <c r="CB206" s="55"/>
      <c r="CC206" s="3"/>
      <c r="CD206" s="3"/>
      <c r="CF206" s="2"/>
      <c r="CG206" s="2"/>
      <c r="CH206" s="2"/>
      <c r="CI206" s="2"/>
      <c r="CJ206" s="2"/>
      <c r="CK206" s="2"/>
      <c r="CL206" s="2"/>
      <c r="CM206" s="2"/>
      <c r="CN206" s="2"/>
      <c r="CO206" s="2"/>
      <c r="CP206" s="2"/>
      <c r="CQ206" s="2"/>
      <c r="CR206" s="2"/>
      <c r="CS206" s="2"/>
      <c r="CT206" s="2"/>
      <c r="CU206" s="2"/>
      <c r="CV206" s="2"/>
      <c r="CW206" s="2"/>
    </row>
    <row r="207" spans="1:101" ht="12" customHeight="1">
      <c r="A207" s="55"/>
      <c r="B207" s="3"/>
      <c r="C207" s="3"/>
      <c r="D207" s="55"/>
      <c r="E207" s="112"/>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c r="AX207" s="55"/>
      <c r="AY207" s="55"/>
      <c r="AZ207" s="55"/>
      <c r="BA207" s="55"/>
      <c r="BB207" s="55"/>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c r="BZ207" s="55"/>
      <c r="CA207" s="55"/>
      <c r="CB207" s="55"/>
      <c r="CC207" s="3"/>
      <c r="CD207" s="3"/>
      <c r="CF207" s="2"/>
      <c r="CG207" s="2"/>
      <c r="CH207" s="2"/>
      <c r="CI207" s="2"/>
      <c r="CJ207" s="2"/>
      <c r="CK207" s="2"/>
      <c r="CL207" s="2"/>
      <c r="CM207" s="2"/>
      <c r="CN207" s="2"/>
      <c r="CO207" s="2"/>
      <c r="CP207" s="2"/>
      <c r="CQ207" s="2"/>
      <c r="CR207" s="2"/>
      <c r="CS207" s="2"/>
      <c r="CT207" s="2"/>
      <c r="CU207" s="2"/>
      <c r="CV207" s="2"/>
      <c r="CW207" s="2"/>
    </row>
    <row r="208" spans="1:101" ht="12" customHeight="1">
      <c r="A208" s="55"/>
      <c r="B208" s="3"/>
      <c r="C208" s="3"/>
      <c r="D208" s="55"/>
      <c r="E208" s="112"/>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c r="AX208" s="55"/>
      <c r="AY208" s="55"/>
      <c r="AZ208" s="55"/>
      <c r="BA208" s="55"/>
      <c r="BB208" s="55"/>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c r="BZ208" s="55"/>
      <c r="CA208" s="55"/>
      <c r="CB208" s="55"/>
      <c r="CC208" s="3"/>
      <c r="CD208" s="3"/>
      <c r="CF208" s="2"/>
      <c r="CG208" s="2"/>
      <c r="CH208" s="2"/>
      <c r="CI208" s="2"/>
      <c r="CJ208" s="2"/>
      <c r="CK208" s="2"/>
      <c r="CL208" s="2"/>
      <c r="CM208" s="2"/>
      <c r="CN208" s="2"/>
      <c r="CO208" s="2"/>
      <c r="CP208" s="2"/>
      <c r="CQ208" s="2"/>
      <c r="CR208" s="2"/>
      <c r="CS208" s="2"/>
      <c r="CT208" s="2"/>
      <c r="CU208" s="2"/>
      <c r="CV208" s="2"/>
      <c r="CW208" s="2"/>
    </row>
    <row r="209" spans="1:101" ht="12" customHeight="1">
      <c r="A209" s="55"/>
      <c r="B209" s="3"/>
      <c r="C209" s="3"/>
      <c r="D209" s="55"/>
      <c r="E209" s="112"/>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3"/>
      <c r="CD209" s="3"/>
      <c r="CF209" s="2"/>
      <c r="CG209" s="2"/>
      <c r="CH209" s="2"/>
      <c r="CI209" s="2"/>
      <c r="CJ209" s="2"/>
      <c r="CK209" s="2"/>
      <c r="CL209" s="2"/>
      <c r="CM209" s="2"/>
      <c r="CN209" s="2"/>
      <c r="CO209" s="2"/>
      <c r="CP209" s="2"/>
      <c r="CQ209" s="2"/>
      <c r="CR209" s="2"/>
      <c r="CS209" s="2"/>
      <c r="CT209" s="2"/>
      <c r="CU209" s="2"/>
      <c r="CV209" s="2"/>
      <c r="CW209" s="2"/>
    </row>
    <row r="210" spans="1:101" ht="12" customHeight="1">
      <c r="A210" s="55"/>
      <c r="B210" s="3"/>
      <c r="C210" s="3"/>
      <c r="D210" s="55"/>
      <c r="E210" s="112"/>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c r="AS210" s="55"/>
      <c r="AT210" s="55"/>
      <c r="AU210" s="55"/>
      <c r="AV210" s="55"/>
      <c r="AW210" s="55"/>
      <c r="AX210" s="55"/>
      <c r="AY210" s="55"/>
      <c r="AZ210" s="55"/>
      <c r="BA210" s="55"/>
      <c r="BB210" s="55"/>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c r="BZ210" s="55"/>
      <c r="CA210" s="55"/>
      <c r="CB210" s="55"/>
      <c r="CC210" s="3"/>
      <c r="CD210" s="3"/>
      <c r="CF210" s="2"/>
      <c r="CG210" s="2"/>
      <c r="CH210" s="2"/>
      <c r="CI210" s="2"/>
      <c r="CJ210" s="2"/>
      <c r="CK210" s="2"/>
      <c r="CL210" s="2"/>
      <c r="CM210" s="2"/>
      <c r="CN210" s="2"/>
      <c r="CO210" s="2"/>
      <c r="CP210" s="2"/>
      <c r="CQ210" s="2"/>
      <c r="CR210" s="2"/>
      <c r="CS210" s="2"/>
      <c r="CT210" s="2"/>
      <c r="CU210" s="2"/>
      <c r="CV210" s="2"/>
      <c r="CW210" s="2"/>
    </row>
    <row r="211" spans="1:101" ht="12" customHeight="1">
      <c r="A211" s="55"/>
      <c r="B211" s="3"/>
      <c r="C211" s="3"/>
      <c r="D211" s="55"/>
      <c r="E211" s="112"/>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c r="AS211" s="55"/>
      <c r="AT211" s="55"/>
      <c r="AU211" s="55"/>
      <c r="AV211" s="55"/>
      <c r="AW211" s="55"/>
      <c r="AX211" s="55"/>
      <c r="AY211" s="55"/>
      <c r="AZ211" s="55"/>
      <c r="BA211" s="55"/>
      <c r="BB211" s="55"/>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c r="BZ211" s="55"/>
      <c r="CA211" s="55"/>
      <c r="CB211" s="55"/>
      <c r="CC211" s="3"/>
      <c r="CD211" s="3"/>
      <c r="CF211" s="2"/>
      <c r="CG211" s="2"/>
      <c r="CH211" s="2"/>
      <c r="CI211" s="2"/>
      <c r="CJ211" s="2"/>
      <c r="CK211" s="2"/>
      <c r="CL211" s="2"/>
      <c r="CM211" s="2"/>
      <c r="CN211" s="2"/>
      <c r="CO211" s="2"/>
      <c r="CP211" s="2"/>
      <c r="CQ211" s="2"/>
      <c r="CR211" s="2"/>
      <c r="CS211" s="2"/>
      <c r="CT211" s="2"/>
      <c r="CU211" s="2"/>
      <c r="CV211" s="2"/>
      <c r="CW211" s="2"/>
    </row>
    <row r="212" spans="1:101" ht="12" customHeight="1">
      <c r="A212" s="55"/>
      <c r="B212" s="3"/>
      <c r="C212" s="3"/>
      <c r="D212" s="55"/>
      <c r="E212" s="112"/>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c r="AX212" s="55"/>
      <c r="AY212" s="55"/>
      <c r="AZ212" s="55"/>
      <c r="BA212" s="55"/>
      <c r="BB212" s="55"/>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c r="BZ212" s="55"/>
      <c r="CA212" s="55"/>
      <c r="CB212" s="55"/>
      <c r="CC212" s="3"/>
      <c r="CD212" s="3"/>
      <c r="CF212" s="2"/>
      <c r="CG212" s="2"/>
      <c r="CH212" s="2"/>
      <c r="CI212" s="2"/>
      <c r="CJ212" s="2"/>
      <c r="CK212" s="2"/>
      <c r="CL212" s="2"/>
      <c r="CM212" s="2"/>
      <c r="CN212" s="2"/>
      <c r="CO212" s="2"/>
      <c r="CP212" s="2"/>
      <c r="CQ212" s="2"/>
      <c r="CR212" s="2"/>
      <c r="CS212" s="2"/>
      <c r="CT212" s="2"/>
      <c r="CU212" s="2"/>
      <c r="CV212" s="2"/>
      <c r="CW212" s="2"/>
    </row>
    <row r="213" spans="1:101" ht="12" customHeight="1">
      <c r="A213" s="55"/>
      <c r="B213" s="3"/>
      <c r="C213" s="3"/>
      <c r="D213" s="55"/>
      <c r="E213" s="112"/>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c r="AX213" s="55"/>
      <c r="AY213" s="55"/>
      <c r="AZ213" s="55"/>
      <c r="BA213" s="55"/>
      <c r="BB213" s="55"/>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c r="BZ213" s="55"/>
      <c r="CA213" s="55"/>
      <c r="CB213" s="55"/>
      <c r="CC213" s="3"/>
      <c r="CD213" s="3"/>
      <c r="CF213" s="2"/>
      <c r="CG213" s="2"/>
      <c r="CH213" s="2"/>
      <c r="CI213" s="2"/>
      <c r="CJ213" s="2"/>
      <c r="CK213" s="2"/>
      <c r="CL213" s="2"/>
      <c r="CM213" s="2"/>
      <c r="CN213" s="2"/>
      <c r="CO213" s="2"/>
      <c r="CP213" s="2"/>
      <c r="CQ213" s="2"/>
      <c r="CR213" s="2"/>
      <c r="CS213" s="2"/>
      <c r="CT213" s="2"/>
      <c r="CU213" s="2"/>
      <c r="CV213" s="2"/>
      <c r="CW213" s="2"/>
    </row>
    <row r="214" spans="1:101" ht="12" customHeight="1">
      <c r="A214" s="298"/>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row>
    <row r="215" spans="1:101" ht="12" customHeight="1">
      <c r="A215" s="298"/>
      <c r="B215" s="5"/>
      <c r="C215" s="391" t="s">
        <v>1092</v>
      </c>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row>
    <row r="216" spans="1:101" ht="12" customHeight="1">
      <c r="A216" s="298"/>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row>
    <row r="217" spans="1:101" ht="12" customHeight="1">
      <c r="A217" s="298"/>
      <c r="B217" s="5"/>
      <c r="C217" s="5"/>
      <c r="D217" s="5" t="s">
        <v>426</v>
      </c>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row>
    <row r="218" spans="1:101" ht="12" customHeight="1">
      <c r="A218" s="298"/>
      <c r="B218" s="5"/>
      <c r="C218" s="5"/>
      <c r="D218" s="5" t="s">
        <v>102</v>
      </c>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row>
    <row r="219" spans="1:101" ht="12" customHeight="1">
      <c r="A219" s="298"/>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row>
    <row r="220" spans="1:101" ht="12" customHeight="1">
      <c r="A220" s="298"/>
      <c r="B220" s="5"/>
      <c r="C220" s="5"/>
      <c r="D220" s="168" t="s">
        <v>56</v>
      </c>
      <c r="E220" s="169"/>
      <c r="F220" s="169"/>
      <c r="G220" s="169"/>
      <c r="H220" s="169"/>
      <c r="I220" s="169"/>
      <c r="J220" s="168" t="s">
        <v>101</v>
      </c>
      <c r="K220" s="169"/>
      <c r="L220" s="169"/>
      <c r="M220" s="169"/>
      <c r="N220" s="169"/>
      <c r="O220" s="169"/>
      <c r="P220" s="170"/>
      <c r="Q220" s="171" t="s">
        <v>100</v>
      </c>
      <c r="R220" s="172"/>
      <c r="S220" s="172"/>
      <c r="T220" s="172"/>
      <c r="U220" s="172"/>
      <c r="V220" s="173"/>
      <c r="W220" s="171" t="s">
        <v>99</v>
      </c>
      <c r="X220" s="172"/>
      <c r="Y220" s="172"/>
      <c r="Z220" s="172"/>
      <c r="AA220" s="172"/>
      <c r="AB220" s="172"/>
      <c r="AC220" s="172"/>
      <c r="AD220" s="172"/>
      <c r="AE220" s="172"/>
      <c r="AF220" s="172"/>
      <c r="AG220" s="172"/>
      <c r="AH220" s="172"/>
      <c r="AI220" s="172"/>
      <c r="AJ220" s="172"/>
      <c r="AK220" s="172"/>
      <c r="AL220" s="172"/>
      <c r="AM220" s="172"/>
      <c r="AN220" s="172"/>
      <c r="AO220" s="172"/>
      <c r="AP220" s="172"/>
      <c r="AQ220" s="173"/>
      <c r="AR220" s="171" t="s">
        <v>98</v>
      </c>
      <c r="AS220" s="172"/>
      <c r="AT220" s="172"/>
      <c r="AU220" s="172"/>
      <c r="AV220" s="172"/>
      <c r="AW220" s="172"/>
      <c r="AX220" s="172"/>
      <c r="AY220" s="173"/>
      <c r="AZ220" s="631" t="s">
        <v>942</v>
      </c>
      <c r="BA220" s="632"/>
      <c r="BB220" s="632"/>
      <c r="BC220" s="633"/>
      <c r="BD220" s="171" t="s">
        <v>1173</v>
      </c>
      <c r="BE220" s="172"/>
      <c r="BF220" s="172"/>
      <c r="BG220" s="172"/>
      <c r="BH220" s="172"/>
      <c r="BI220" s="172"/>
      <c r="BJ220" s="172"/>
      <c r="BK220" s="172"/>
      <c r="BL220" s="172"/>
      <c r="BM220" s="172"/>
      <c r="BN220" s="172"/>
      <c r="BO220" s="172"/>
      <c r="BP220" s="172"/>
      <c r="BQ220" s="172"/>
      <c r="BR220" s="172"/>
      <c r="BS220" s="172"/>
      <c r="BT220" s="172"/>
      <c r="BU220" s="172"/>
      <c r="BV220" s="172"/>
      <c r="BW220" s="172"/>
      <c r="BX220" s="172"/>
      <c r="BY220" s="172"/>
      <c r="BZ220" s="172"/>
      <c r="CA220" s="172"/>
      <c r="CB220" s="172"/>
      <c r="CC220" s="172"/>
      <c r="CD220" s="173"/>
      <c r="CF220" s="5"/>
      <c r="CG220" s="5"/>
    </row>
    <row r="221" spans="1:101" ht="12" customHeight="1">
      <c r="A221" s="298"/>
      <c r="B221" s="5"/>
      <c r="C221" s="5"/>
      <c r="D221" s="162" t="s">
        <v>53</v>
      </c>
      <c r="E221" s="388"/>
      <c r="F221" s="388"/>
      <c r="G221" s="388"/>
      <c r="H221" s="388"/>
      <c r="I221" s="218"/>
      <c r="J221" s="174" t="s">
        <v>89</v>
      </c>
      <c r="K221" s="175"/>
      <c r="L221" s="175"/>
      <c r="M221" s="175"/>
      <c r="N221" s="175"/>
      <c r="O221" s="175"/>
      <c r="P221" s="176"/>
      <c r="Q221" s="165" t="s">
        <v>95</v>
      </c>
      <c r="R221" s="166"/>
      <c r="S221" s="166"/>
      <c r="T221" s="166"/>
      <c r="U221" s="166"/>
      <c r="V221" s="167"/>
      <c r="W221" s="165" t="s">
        <v>97</v>
      </c>
      <c r="X221" s="166"/>
      <c r="Y221" s="166"/>
      <c r="Z221" s="166"/>
      <c r="AA221" s="166"/>
      <c r="AB221" s="166"/>
      <c r="AC221" s="166"/>
      <c r="AD221" s="166"/>
      <c r="AE221" s="166"/>
      <c r="AF221" s="166"/>
      <c r="AG221" s="166"/>
      <c r="AH221" s="166"/>
      <c r="AI221" s="166"/>
      <c r="AJ221" s="166"/>
      <c r="AK221" s="166"/>
      <c r="AL221" s="166"/>
      <c r="AM221" s="166"/>
      <c r="AN221" s="166"/>
      <c r="AO221" s="166"/>
      <c r="AP221" s="166"/>
      <c r="AQ221" s="167"/>
      <c r="AR221" s="482" t="s">
        <v>96</v>
      </c>
      <c r="AS221" s="483"/>
      <c r="AT221" s="483"/>
      <c r="AU221" s="483"/>
      <c r="AV221" s="483"/>
      <c r="AW221" s="483"/>
      <c r="AX221" s="483"/>
      <c r="AY221" s="484"/>
      <c r="AZ221" s="640">
        <v>1</v>
      </c>
      <c r="BA221" s="641"/>
      <c r="BB221" s="641"/>
      <c r="BC221" s="642"/>
      <c r="BD221" s="622" t="s">
        <v>1194</v>
      </c>
      <c r="BE221" s="623"/>
      <c r="BF221" s="623"/>
      <c r="BG221" s="623"/>
      <c r="BH221" s="623"/>
      <c r="BI221" s="623"/>
      <c r="BJ221" s="623"/>
      <c r="BK221" s="623"/>
      <c r="BL221" s="623"/>
      <c r="BM221" s="623"/>
      <c r="BN221" s="623"/>
      <c r="BO221" s="623"/>
      <c r="BP221" s="623"/>
      <c r="BQ221" s="623"/>
      <c r="BR221" s="623"/>
      <c r="BS221" s="623"/>
      <c r="BT221" s="623"/>
      <c r="BU221" s="623"/>
      <c r="BV221" s="623"/>
      <c r="BW221" s="623"/>
      <c r="BX221" s="623"/>
      <c r="BY221" s="623"/>
      <c r="BZ221" s="623"/>
      <c r="CA221" s="623"/>
      <c r="CB221" s="623"/>
      <c r="CC221" s="623"/>
      <c r="CD221" s="624"/>
      <c r="CF221" s="5"/>
      <c r="CG221" s="5"/>
    </row>
    <row r="222" spans="1:101" ht="12" customHeight="1">
      <c r="A222" s="298"/>
      <c r="B222" s="5"/>
      <c r="C222" s="5"/>
      <c r="D222" s="390"/>
      <c r="E222" s="391"/>
      <c r="F222" s="391"/>
      <c r="G222" s="391"/>
      <c r="H222" s="391"/>
      <c r="I222" s="49"/>
      <c r="J222" s="217" t="s">
        <v>85</v>
      </c>
      <c r="K222" s="218"/>
      <c r="L222" s="218"/>
      <c r="M222" s="218"/>
      <c r="N222" s="218"/>
      <c r="O222" s="218"/>
      <c r="P222" s="219"/>
      <c r="Q222" s="162" t="s">
        <v>95</v>
      </c>
      <c r="R222" s="388"/>
      <c r="S222" s="388"/>
      <c r="T222" s="388"/>
      <c r="U222" s="388"/>
      <c r="V222" s="389"/>
      <c r="W222" s="162" t="s">
        <v>1174</v>
      </c>
      <c r="X222" s="388"/>
      <c r="Y222" s="388"/>
      <c r="Z222" s="388"/>
      <c r="AA222" s="388"/>
      <c r="AB222" s="388"/>
      <c r="AC222" s="388"/>
      <c r="AD222" s="388"/>
      <c r="AE222" s="388"/>
      <c r="AF222" s="388"/>
      <c r="AG222" s="388"/>
      <c r="AH222" s="388"/>
      <c r="AI222" s="388"/>
      <c r="AJ222" s="388"/>
      <c r="AK222" s="388"/>
      <c r="AL222" s="388"/>
      <c r="AM222" s="388"/>
      <c r="AN222" s="388"/>
      <c r="AO222" s="388"/>
      <c r="AP222" s="388"/>
      <c r="AQ222" s="389"/>
      <c r="AR222" s="497" t="s">
        <v>94</v>
      </c>
      <c r="AS222" s="253"/>
      <c r="AT222" s="253"/>
      <c r="AU222" s="253"/>
      <c r="AV222" s="253"/>
      <c r="AW222" s="253"/>
      <c r="AX222" s="253"/>
      <c r="AY222" s="254"/>
      <c r="AZ222" s="637">
        <v>1</v>
      </c>
      <c r="BA222" s="638"/>
      <c r="BB222" s="638"/>
      <c r="BC222" s="639"/>
      <c r="BD222" s="628"/>
      <c r="BE222" s="629"/>
      <c r="BF222" s="629"/>
      <c r="BG222" s="629"/>
      <c r="BH222" s="629"/>
      <c r="BI222" s="629"/>
      <c r="BJ222" s="629"/>
      <c r="BK222" s="629"/>
      <c r="BL222" s="629"/>
      <c r="BM222" s="629"/>
      <c r="BN222" s="629"/>
      <c r="BO222" s="629"/>
      <c r="BP222" s="629"/>
      <c r="BQ222" s="629"/>
      <c r="BR222" s="629"/>
      <c r="BS222" s="629"/>
      <c r="BT222" s="629"/>
      <c r="BU222" s="629"/>
      <c r="BV222" s="629"/>
      <c r="BW222" s="629"/>
      <c r="BX222" s="629"/>
      <c r="BY222" s="629"/>
      <c r="BZ222" s="629"/>
      <c r="CA222" s="629"/>
      <c r="CB222" s="629"/>
      <c r="CC222" s="629"/>
      <c r="CD222" s="630"/>
      <c r="CF222" s="5"/>
      <c r="CG222" s="5"/>
    </row>
    <row r="223" spans="1:101" ht="12" customHeight="1">
      <c r="A223" s="298"/>
      <c r="B223" s="5"/>
      <c r="C223" s="5"/>
      <c r="D223" s="390"/>
      <c r="E223" s="391"/>
      <c r="F223" s="391"/>
      <c r="G223" s="391"/>
      <c r="H223" s="391"/>
      <c r="I223" s="49"/>
      <c r="J223" s="51"/>
      <c r="K223" s="49"/>
      <c r="L223" s="49"/>
      <c r="M223" s="49"/>
      <c r="N223" s="49"/>
      <c r="O223" s="49"/>
      <c r="P223" s="50"/>
      <c r="Q223" s="390"/>
      <c r="R223" s="391"/>
      <c r="S223" s="391"/>
      <c r="T223" s="391"/>
      <c r="U223" s="391"/>
      <c r="V223" s="392"/>
      <c r="W223" s="393" t="s">
        <v>1175</v>
      </c>
      <c r="X223" s="394"/>
      <c r="Y223" s="394"/>
      <c r="Z223" s="394"/>
      <c r="AA223" s="394"/>
      <c r="AB223" s="394"/>
      <c r="AC223" s="394"/>
      <c r="AD223" s="394"/>
      <c r="AE223" s="394"/>
      <c r="AF223" s="394"/>
      <c r="AG223" s="394"/>
      <c r="AH223" s="394"/>
      <c r="AI223" s="394"/>
      <c r="AJ223" s="394"/>
      <c r="AK223" s="394"/>
      <c r="AL223" s="394"/>
      <c r="AM223" s="394"/>
      <c r="AN223" s="394"/>
      <c r="AO223" s="394"/>
      <c r="AP223" s="394"/>
      <c r="AQ223" s="395"/>
      <c r="AR223" s="498"/>
      <c r="AS223" s="146"/>
      <c r="AT223" s="146"/>
      <c r="AU223" s="146"/>
      <c r="AV223" s="146"/>
      <c r="AW223" s="146"/>
      <c r="AX223" s="146"/>
      <c r="AY223" s="268"/>
      <c r="AZ223" s="499"/>
      <c r="BA223" s="500"/>
      <c r="BB223" s="500"/>
      <c r="BC223" s="501"/>
      <c r="BD223" s="628"/>
      <c r="BE223" s="629"/>
      <c r="BF223" s="629"/>
      <c r="BG223" s="629"/>
      <c r="BH223" s="629"/>
      <c r="BI223" s="629"/>
      <c r="BJ223" s="629"/>
      <c r="BK223" s="629"/>
      <c r="BL223" s="629"/>
      <c r="BM223" s="629"/>
      <c r="BN223" s="629"/>
      <c r="BO223" s="629"/>
      <c r="BP223" s="629"/>
      <c r="BQ223" s="629"/>
      <c r="BR223" s="629"/>
      <c r="BS223" s="629"/>
      <c r="BT223" s="629"/>
      <c r="BU223" s="629"/>
      <c r="BV223" s="629"/>
      <c r="BW223" s="629"/>
      <c r="BX223" s="629"/>
      <c r="BY223" s="629"/>
      <c r="BZ223" s="629"/>
      <c r="CA223" s="629"/>
      <c r="CB223" s="629"/>
      <c r="CC223" s="629"/>
      <c r="CD223" s="630"/>
      <c r="CF223" s="5"/>
      <c r="CG223" s="5"/>
    </row>
    <row r="224" spans="1:101" ht="12" customHeight="1">
      <c r="A224" s="298"/>
      <c r="B224" s="5"/>
      <c r="C224" s="5"/>
      <c r="D224" s="390"/>
      <c r="E224" s="391"/>
      <c r="F224" s="391"/>
      <c r="G224" s="391"/>
      <c r="H224" s="391"/>
      <c r="I224" s="49"/>
      <c r="J224" s="51"/>
      <c r="K224" s="49"/>
      <c r="L224" s="49"/>
      <c r="M224" s="49"/>
      <c r="N224" s="49"/>
      <c r="O224" s="49"/>
      <c r="P224" s="50"/>
      <c r="Q224" s="390"/>
      <c r="R224" s="391"/>
      <c r="S224" s="391"/>
      <c r="T224" s="391"/>
      <c r="U224" s="391"/>
      <c r="V224" s="392"/>
      <c r="W224" s="162" t="s">
        <v>1176</v>
      </c>
      <c r="X224" s="388"/>
      <c r="Y224" s="388"/>
      <c r="Z224" s="388"/>
      <c r="AA224" s="388"/>
      <c r="AB224" s="388"/>
      <c r="AC224" s="388"/>
      <c r="AD224" s="388"/>
      <c r="AE224" s="388"/>
      <c r="AF224" s="388"/>
      <c r="AG224" s="388"/>
      <c r="AH224" s="388"/>
      <c r="AI224" s="388"/>
      <c r="AJ224" s="388"/>
      <c r="AK224" s="388"/>
      <c r="AL224" s="388"/>
      <c r="AM224" s="388"/>
      <c r="AN224" s="388"/>
      <c r="AO224" s="388"/>
      <c r="AP224" s="388"/>
      <c r="AQ224" s="389"/>
      <c r="AR224" s="497" t="s">
        <v>94</v>
      </c>
      <c r="AS224" s="253"/>
      <c r="AT224" s="253"/>
      <c r="AU224" s="253"/>
      <c r="AV224" s="253"/>
      <c r="AW224" s="253"/>
      <c r="AX224" s="253"/>
      <c r="AY224" s="254"/>
      <c r="AZ224" s="637">
        <v>1</v>
      </c>
      <c r="BA224" s="638"/>
      <c r="BB224" s="638"/>
      <c r="BC224" s="639"/>
      <c r="BD224" s="628"/>
      <c r="BE224" s="629"/>
      <c r="BF224" s="629"/>
      <c r="BG224" s="629"/>
      <c r="BH224" s="629"/>
      <c r="BI224" s="629"/>
      <c r="BJ224" s="629"/>
      <c r="BK224" s="629"/>
      <c r="BL224" s="629"/>
      <c r="BM224" s="629"/>
      <c r="BN224" s="629"/>
      <c r="BO224" s="629"/>
      <c r="BP224" s="629"/>
      <c r="BQ224" s="629"/>
      <c r="BR224" s="629"/>
      <c r="BS224" s="629"/>
      <c r="BT224" s="629"/>
      <c r="BU224" s="629"/>
      <c r="BV224" s="629"/>
      <c r="BW224" s="629"/>
      <c r="BX224" s="629"/>
      <c r="BY224" s="629"/>
      <c r="BZ224" s="629"/>
      <c r="CA224" s="629"/>
      <c r="CB224" s="629"/>
      <c r="CC224" s="629"/>
      <c r="CD224" s="630"/>
      <c r="CF224" s="5"/>
      <c r="CG224" s="5"/>
    </row>
    <row r="225" spans="1:85" ht="12" customHeight="1">
      <c r="A225" s="298"/>
      <c r="B225" s="5"/>
      <c r="C225" s="5"/>
      <c r="D225" s="390"/>
      <c r="E225" s="391"/>
      <c r="F225" s="391"/>
      <c r="G225" s="391"/>
      <c r="H225" s="391"/>
      <c r="I225" s="49"/>
      <c r="J225" s="51"/>
      <c r="K225" s="49"/>
      <c r="L225" s="49"/>
      <c r="M225" s="49"/>
      <c r="N225" s="49"/>
      <c r="O225" s="49"/>
      <c r="P225" s="50"/>
      <c r="Q225" s="393"/>
      <c r="R225" s="394"/>
      <c r="S225" s="394"/>
      <c r="T225" s="394"/>
      <c r="U225" s="394"/>
      <c r="V225" s="395"/>
      <c r="W225" s="393" t="s">
        <v>1177</v>
      </c>
      <c r="X225" s="394"/>
      <c r="Y225" s="394"/>
      <c r="Z225" s="394"/>
      <c r="AA225" s="394"/>
      <c r="AB225" s="394"/>
      <c r="AC225" s="394"/>
      <c r="AD225" s="394"/>
      <c r="AE225" s="394"/>
      <c r="AF225" s="394"/>
      <c r="AG225" s="394"/>
      <c r="AH225" s="394"/>
      <c r="AI225" s="394"/>
      <c r="AJ225" s="394"/>
      <c r="AK225" s="394"/>
      <c r="AL225" s="394"/>
      <c r="AM225" s="394"/>
      <c r="AN225" s="394"/>
      <c r="AO225" s="394"/>
      <c r="AP225" s="394"/>
      <c r="AQ225" s="395"/>
      <c r="AR225" s="498"/>
      <c r="AS225" s="146"/>
      <c r="AT225" s="146"/>
      <c r="AU225" s="146"/>
      <c r="AV225" s="146"/>
      <c r="AW225" s="146"/>
      <c r="AX225" s="146"/>
      <c r="AY225" s="268"/>
      <c r="AZ225" s="499"/>
      <c r="BA225" s="500"/>
      <c r="BB225" s="500"/>
      <c r="BC225" s="501"/>
      <c r="BD225" s="628"/>
      <c r="BE225" s="629"/>
      <c r="BF225" s="629"/>
      <c r="BG225" s="629"/>
      <c r="BH225" s="629"/>
      <c r="BI225" s="629"/>
      <c r="BJ225" s="629"/>
      <c r="BK225" s="629"/>
      <c r="BL225" s="629"/>
      <c r="BM225" s="629"/>
      <c r="BN225" s="629"/>
      <c r="BO225" s="629"/>
      <c r="BP225" s="629"/>
      <c r="BQ225" s="629"/>
      <c r="BR225" s="629"/>
      <c r="BS225" s="629"/>
      <c r="BT225" s="629"/>
      <c r="BU225" s="629"/>
      <c r="BV225" s="629"/>
      <c r="BW225" s="629"/>
      <c r="BX225" s="629"/>
      <c r="BY225" s="629"/>
      <c r="BZ225" s="629"/>
      <c r="CA225" s="629"/>
      <c r="CB225" s="629"/>
      <c r="CC225" s="629"/>
      <c r="CD225" s="630"/>
      <c r="CF225" s="5"/>
      <c r="CG225" s="5"/>
    </row>
    <row r="226" spans="1:85" ht="12" customHeight="1">
      <c r="A226" s="298"/>
      <c r="B226" s="5"/>
      <c r="C226" s="5"/>
      <c r="D226" s="390"/>
      <c r="E226" s="391"/>
      <c r="F226" s="391"/>
      <c r="G226" s="391"/>
      <c r="H226" s="391"/>
      <c r="I226" s="49"/>
      <c r="J226" s="51"/>
      <c r="K226" s="49"/>
      <c r="L226" s="49"/>
      <c r="M226" s="49"/>
      <c r="N226" s="49"/>
      <c r="O226" s="49"/>
      <c r="P226" s="50"/>
      <c r="Q226" s="194" t="s">
        <v>75</v>
      </c>
      <c r="R226" s="195"/>
      <c r="S226" s="195"/>
      <c r="T226" s="195"/>
      <c r="U226" s="195"/>
      <c r="V226" s="196"/>
      <c r="W226" s="179" t="s">
        <v>74</v>
      </c>
      <c r="X226" s="177"/>
      <c r="Y226" s="177"/>
      <c r="Z226" s="177"/>
      <c r="AA226" s="177"/>
      <c r="AB226" s="177"/>
      <c r="AC226" s="177"/>
      <c r="AD226" s="177"/>
      <c r="AE226" s="177"/>
      <c r="AF226" s="177"/>
      <c r="AG226" s="177"/>
      <c r="AH226" s="177"/>
      <c r="AI226" s="177"/>
      <c r="AJ226" s="177"/>
      <c r="AK226" s="177"/>
      <c r="AL226" s="177"/>
      <c r="AM226" s="177"/>
      <c r="AN226" s="177"/>
      <c r="AO226" s="177"/>
      <c r="AP226" s="177"/>
      <c r="AQ226" s="178"/>
      <c r="AR226" s="485" t="s">
        <v>72</v>
      </c>
      <c r="AS226" s="486"/>
      <c r="AT226" s="486"/>
      <c r="AU226" s="486"/>
      <c r="AV226" s="486"/>
      <c r="AW226" s="486"/>
      <c r="AX226" s="486"/>
      <c r="AY226" s="487"/>
      <c r="AZ226" s="640">
        <v>1</v>
      </c>
      <c r="BA226" s="641"/>
      <c r="BB226" s="641"/>
      <c r="BC226" s="642"/>
      <c r="BD226" s="628"/>
      <c r="BE226" s="629"/>
      <c r="BF226" s="629"/>
      <c r="BG226" s="629"/>
      <c r="BH226" s="629"/>
      <c r="BI226" s="629"/>
      <c r="BJ226" s="629"/>
      <c r="BK226" s="629"/>
      <c r="BL226" s="629"/>
      <c r="BM226" s="629"/>
      <c r="BN226" s="629"/>
      <c r="BO226" s="629"/>
      <c r="BP226" s="629"/>
      <c r="BQ226" s="629"/>
      <c r="BR226" s="629"/>
      <c r="BS226" s="629"/>
      <c r="BT226" s="629"/>
      <c r="BU226" s="629"/>
      <c r="BV226" s="629"/>
      <c r="BW226" s="629"/>
      <c r="BX226" s="629"/>
      <c r="BY226" s="629"/>
      <c r="BZ226" s="629"/>
      <c r="CA226" s="629"/>
      <c r="CB226" s="629"/>
      <c r="CC226" s="629"/>
      <c r="CD226" s="630"/>
      <c r="CF226" s="5"/>
      <c r="CG226" s="5"/>
    </row>
    <row r="227" spans="1:85" ht="12" customHeight="1">
      <c r="A227" s="298"/>
      <c r="B227" s="5"/>
      <c r="C227" s="5"/>
      <c r="D227" s="390"/>
      <c r="E227" s="391"/>
      <c r="F227" s="391"/>
      <c r="G227" s="391"/>
      <c r="H227" s="391"/>
      <c r="I227" s="49"/>
      <c r="J227" s="51"/>
      <c r="K227" s="49"/>
      <c r="L227" s="49"/>
      <c r="M227" s="49"/>
      <c r="N227" s="49"/>
      <c r="O227" s="49"/>
      <c r="P227" s="50"/>
      <c r="Q227" s="61"/>
      <c r="R227" s="60"/>
      <c r="S227" s="60"/>
      <c r="T227" s="60"/>
      <c r="U227" s="60"/>
      <c r="V227" s="59"/>
      <c r="W227" s="179" t="s">
        <v>73</v>
      </c>
      <c r="X227" s="177"/>
      <c r="Y227" s="177"/>
      <c r="Z227" s="177"/>
      <c r="AA227" s="177"/>
      <c r="AB227" s="177"/>
      <c r="AC227" s="177"/>
      <c r="AD227" s="177"/>
      <c r="AE227" s="177"/>
      <c r="AF227" s="177"/>
      <c r="AG227" s="177"/>
      <c r="AH227" s="177"/>
      <c r="AI227" s="177"/>
      <c r="AJ227" s="177"/>
      <c r="AK227" s="177"/>
      <c r="AL227" s="177"/>
      <c r="AM227" s="177"/>
      <c r="AN227" s="177"/>
      <c r="AO227" s="177"/>
      <c r="AP227" s="177"/>
      <c r="AQ227" s="178"/>
      <c r="AR227" s="485" t="s">
        <v>72</v>
      </c>
      <c r="AS227" s="486"/>
      <c r="AT227" s="486"/>
      <c r="AU227" s="486"/>
      <c r="AV227" s="486"/>
      <c r="AW227" s="486"/>
      <c r="AX227" s="486"/>
      <c r="AY227" s="487"/>
      <c r="AZ227" s="640">
        <v>1</v>
      </c>
      <c r="BA227" s="641"/>
      <c r="BB227" s="641"/>
      <c r="BC227" s="642"/>
      <c r="BD227" s="628"/>
      <c r="BE227" s="629"/>
      <c r="BF227" s="629"/>
      <c r="BG227" s="629"/>
      <c r="BH227" s="629"/>
      <c r="BI227" s="629"/>
      <c r="BJ227" s="629"/>
      <c r="BK227" s="629"/>
      <c r="BL227" s="629"/>
      <c r="BM227" s="629"/>
      <c r="BN227" s="629"/>
      <c r="BO227" s="629"/>
      <c r="BP227" s="629"/>
      <c r="BQ227" s="629"/>
      <c r="BR227" s="629"/>
      <c r="BS227" s="629"/>
      <c r="BT227" s="629"/>
      <c r="BU227" s="629"/>
      <c r="BV227" s="629"/>
      <c r="BW227" s="629"/>
      <c r="BX227" s="629"/>
      <c r="BY227" s="629"/>
      <c r="BZ227" s="629"/>
      <c r="CA227" s="629"/>
      <c r="CB227" s="629"/>
      <c r="CC227" s="629"/>
      <c r="CD227" s="630"/>
      <c r="CF227" s="5"/>
      <c r="CG227" s="5"/>
    </row>
    <row r="228" spans="1:85" ht="12" customHeight="1">
      <c r="A228" s="298"/>
      <c r="B228" s="5"/>
      <c r="C228" s="5"/>
      <c r="D228" s="390"/>
      <c r="E228" s="391"/>
      <c r="F228" s="391"/>
      <c r="G228" s="391"/>
      <c r="H228" s="391"/>
      <c r="I228" s="49"/>
      <c r="J228" s="220"/>
      <c r="K228" s="221"/>
      <c r="L228" s="221"/>
      <c r="M228" s="221"/>
      <c r="N228" s="221"/>
      <c r="O228" s="221"/>
      <c r="P228" s="222"/>
      <c r="Q228" s="179" t="s">
        <v>70</v>
      </c>
      <c r="R228" s="177"/>
      <c r="S228" s="177"/>
      <c r="T228" s="177"/>
      <c r="U228" s="177"/>
      <c r="V228" s="178"/>
      <c r="W228" s="179" t="s">
        <v>69</v>
      </c>
      <c r="X228" s="177"/>
      <c r="Y228" s="177"/>
      <c r="Z228" s="177"/>
      <c r="AA228" s="177"/>
      <c r="AB228" s="177"/>
      <c r="AC228" s="177"/>
      <c r="AD228" s="177"/>
      <c r="AE228" s="177"/>
      <c r="AF228" s="177"/>
      <c r="AG228" s="177"/>
      <c r="AH228" s="177"/>
      <c r="AI228" s="177"/>
      <c r="AJ228" s="177"/>
      <c r="AK228" s="177"/>
      <c r="AL228" s="177"/>
      <c r="AM228" s="177"/>
      <c r="AN228" s="177"/>
      <c r="AO228" s="177"/>
      <c r="AP228" s="177"/>
      <c r="AQ228" s="178"/>
      <c r="AR228" s="488" t="s">
        <v>68</v>
      </c>
      <c r="AS228" s="486"/>
      <c r="AT228" s="486"/>
      <c r="AU228" s="486"/>
      <c r="AV228" s="486"/>
      <c r="AW228" s="486"/>
      <c r="AX228" s="486"/>
      <c r="AY228" s="487"/>
      <c r="AZ228" s="640">
        <v>1</v>
      </c>
      <c r="BA228" s="641"/>
      <c r="BB228" s="641"/>
      <c r="BC228" s="642"/>
      <c r="BD228" s="628"/>
      <c r="BE228" s="629"/>
      <c r="BF228" s="629"/>
      <c r="BG228" s="629"/>
      <c r="BH228" s="629"/>
      <c r="BI228" s="629"/>
      <c r="BJ228" s="629"/>
      <c r="BK228" s="629"/>
      <c r="BL228" s="629"/>
      <c r="BM228" s="629"/>
      <c r="BN228" s="629"/>
      <c r="BO228" s="629"/>
      <c r="BP228" s="629"/>
      <c r="BQ228" s="629"/>
      <c r="BR228" s="629"/>
      <c r="BS228" s="629"/>
      <c r="BT228" s="629"/>
      <c r="BU228" s="629"/>
      <c r="BV228" s="629"/>
      <c r="BW228" s="629"/>
      <c r="BX228" s="629"/>
      <c r="BY228" s="629"/>
      <c r="BZ228" s="629"/>
      <c r="CA228" s="629"/>
      <c r="CB228" s="629"/>
      <c r="CC228" s="629"/>
      <c r="CD228" s="630"/>
      <c r="CF228" s="5"/>
      <c r="CG228" s="5"/>
    </row>
    <row r="229" spans="1:85" ht="12" customHeight="1">
      <c r="A229" s="298"/>
      <c r="B229" s="5"/>
      <c r="C229" s="5"/>
      <c r="D229" s="162" t="s">
        <v>50</v>
      </c>
      <c r="E229" s="388"/>
      <c r="F229" s="388"/>
      <c r="G229" s="388"/>
      <c r="H229" s="388"/>
      <c r="I229" s="218"/>
      <c r="J229" s="174" t="s">
        <v>89</v>
      </c>
      <c r="K229" s="175"/>
      <c r="L229" s="175"/>
      <c r="M229" s="175"/>
      <c r="N229" s="175"/>
      <c r="O229" s="175"/>
      <c r="P229" s="176"/>
      <c r="Q229" s="165" t="s">
        <v>88</v>
      </c>
      <c r="R229" s="166"/>
      <c r="S229" s="166"/>
      <c r="T229" s="166"/>
      <c r="U229" s="166"/>
      <c r="V229" s="167"/>
      <c r="W229" s="165" t="s">
        <v>87</v>
      </c>
      <c r="X229" s="166"/>
      <c r="Y229" s="166"/>
      <c r="Z229" s="166"/>
      <c r="AA229" s="166"/>
      <c r="AB229" s="166"/>
      <c r="AC229" s="166"/>
      <c r="AD229" s="166"/>
      <c r="AE229" s="166"/>
      <c r="AF229" s="166"/>
      <c r="AG229" s="166"/>
      <c r="AH229" s="166"/>
      <c r="AI229" s="166"/>
      <c r="AJ229" s="166"/>
      <c r="AK229" s="166"/>
      <c r="AL229" s="166"/>
      <c r="AM229" s="166"/>
      <c r="AN229" s="166"/>
      <c r="AO229" s="166"/>
      <c r="AP229" s="166"/>
      <c r="AQ229" s="167"/>
      <c r="AR229" s="482" t="s">
        <v>86</v>
      </c>
      <c r="AS229" s="483"/>
      <c r="AT229" s="483"/>
      <c r="AU229" s="483"/>
      <c r="AV229" s="483"/>
      <c r="AW229" s="483"/>
      <c r="AX229" s="483"/>
      <c r="AY229" s="484"/>
      <c r="AZ229" s="640">
        <v>1</v>
      </c>
      <c r="BA229" s="641"/>
      <c r="BB229" s="641"/>
      <c r="BC229" s="642"/>
      <c r="BD229" s="628"/>
      <c r="BE229" s="629"/>
      <c r="BF229" s="629"/>
      <c r="BG229" s="629"/>
      <c r="BH229" s="629"/>
      <c r="BI229" s="629"/>
      <c r="BJ229" s="629"/>
      <c r="BK229" s="629"/>
      <c r="BL229" s="629"/>
      <c r="BM229" s="629"/>
      <c r="BN229" s="629"/>
      <c r="BO229" s="629"/>
      <c r="BP229" s="629"/>
      <c r="BQ229" s="629"/>
      <c r="BR229" s="629"/>
      <c r="BS229" s="629"/>
      <c r="BT229" s="629"/>
      <c r="BU229" s="629"/>
      <c r="BV229" s="629"/>
      <c r="BW229" s="629"/>
      <c r="BX229" s="629"/>
      <c r="BY229" s="629"/>
      <c r="BZ229" s="629"/>
      <c r="CA229" s="629"/>
      <c r="CB229" s="629"/>
      <c r="CC229" s="629"/>
      <c r="CD229" s="630"/>
      <c r="CF229" s="5"/>
      <c r="CG229" s="5"/>
    </row>
    <row r="230" spans="1:85" ht="12" customHeight="1">
      <c r="A230" s="298"/>
      <c r="B230" s="5"/>
      <c r="C230" s="5"/>
      <c r="D230" s="390"/>
      <c r="E230" s="391"/>
      <c r="F230" s="391"/>
      <c r="G230" s="391"/>
      <c r="H230" s="391"/>
      <c r="I230" s="49"/>
      <c r="J230" s="217" t="s">
        <v>85</v>
      </c>
      <c r="K230" s="218"/>
      <c r="L230" s="218"/>
      <c r="M230" s="218"/>
      <c r="N230" s="218"/>
      <c r="O230" s="218"/>
      <c r="P230" s="219"/>
      <c r="Q230" s="162" t="s">
        <v>84</v>
      </c>
      <c r="R230" s="388"/>
      <c r="S230" s="388"/>
      <c r="T230" s="388"/>
      <c r="U230" s="388"/>
      <c r="V230" s="389"/>
      <c r="W230" s="165" t="s">
        <v>93</v>
      </c>
      <c r="X230" s="166"/>
      <c r="Y230" s="166"/>
      <c r="Z230" s="166"/>
      <c r="AA230" s="166"/>
      <c r="AB230" s="166"/>
      <c r="AC230" s="166"/>
      <c r="AD230" s="166"/>
      <c r="AE230" s="166"/>
      <c r="AF230" s="166"/>
      <c r="AG230" s="166"/>
      <c r="AH230" s="166"/>
      <c r="AI230" s="166"/>
      <c r="AJ230" s="166"/>
      <c r="AK230" s="166"/>
      <c r="AL230" s="166"/>
      <c r="AM230" s="166"/>
      <c r="AN230" s="166"/>
      <c r="AO230" s="166"/>
      <c r="AP230" s="166"/>
      <c r="AQ230" s="167"/>
      <c r="AR230" s="489" t="s">
        <v>81</v>
      </c>
      <c r="AS230" s="483"/>
      <c r="AT230" s="483"/>
      <c r="AU230" s="483"/>
      <c r="AV230" s="483"/>
      <c r="AW230" s="483"/>
      <c r="AX230" s="483"/>
      <c r="AY230" s="484"/>
      <c r="AZ230" s="640">
        <v>1</v>
      </c>
      <c r="BA230" s="641"/>
      <c r="BB230" s="641"/>
      <c r="BC230" s="642"/>
      <c r="BD230" s="628"/>
      <c r="BE230" s="629"/>
      <c r="BF230" s="629"/>
      <c r="BG230" s="629"/>
      <c r="BH230" s="629"/>
      <c r="BI230" s="629"/>
      <c r="BJ230" s="629"/>
      <c r="BK230" s="629"/>
      <c r="BL230" s="629"/>
      <c r="BM230" s="629"/>
      <c r="BN230" s="629"/>
      <c r="BO230" s="629"/>
      <c r="BP230" s="629"/>
      <c r="BQ230" s="629"/>
      <c r="BR230" s="629"/>
      <c r="BS230" s="629"/>
      <c r="BT230" s="629"/>
      <c r="BU230" s="629"/>
      <c r="BV230" s="629"/>
      <c r="BW230" s="629"/>
      <c r="BX230" s="629"/>
      <c r="BY230" s="629"/>
      <c r="BZ230" s="629"/>
      <c r="CA230" s="629"/>
      <c r="CB230" s="629"/>
      <c r="CC230" s="629"/>
      <c r="CD230" s="630"/>
      <c r="CF230" s="5"/>
      <c r="CG230" s="5"/>
    </row>
    <row r="231" spans="1:85" ht="12" customHeight="1">
      <c r="A231" s="298"/>
      <c r="B231" s="5"/>
      <c r="C231" s="5"/>
      <c r="D231" s="390"/>
      <c r="E231" s="391"/>
      <c r="F231" s="391"/>
      <c r="G231" s="391"/>
      <c r="H231" s="391"/>
      <c r="I231" s="49"/>
      <c r="J231" s="51"/>
      <c r="K231" s="49"/>
      <c r="L231" s="49"/>
      <c r="M231" s="49"/>
      <c r="N231" s="49"/>
      <c r="O231" s="49"/>
      <c r="P231" s="50"/>
      <c r="Q231" s="390"/>
      <c r="R231" s="391"/>
      <c r="S231" s="391"/>
      <c r="T231" s="391"/>
      <c r="U231" s="391"/>
      <c r="V231" s="392"/>
      <c r="W231" s="165" t="s">
        <v>82</v>
      </c>
      <c r="X231" s="166"/>
      <c r="Y231" s="166"/>
      <c r="Z231" s="166"/>
      <c r="AA231" s="166"/>
      <c r="AB231" s="166"/>
      <c r="AC231" s="166"/>
      <c r="AD231" s="166"/>
      <c r="AE231" s="166"/>
      <c r="AF231" s="166"/>
      <c r="AG231" s="166"/>
      <c r="AH231" s="166"/>
      <c r="AI231" s="166"/>
      <c r="AJ231" s="166"/>
      <c r="AK231" s="166"/>
      <c r="AL231" s="166"/>
      <c r="AM231" s="166"/>
      <c r="AN231" s="166"/>
      <c r="AO231" s="166"/>
      <c r="AP231" s="166"/>
      <c r="AQ231" s="167"/>
      <c r="AR231" s="489" t="s">
        <v>81</v>
      </c>
      <c r="AS231" s="483"/>
      <c r="AT231" s="483"/>
      <c r="AU231" s="483"/>
      <c r="AV231" s="483"/>
      <c r="AW231" s="483"/>
      <c r="AX231" s="483"/>
      <c r="AY231" s="484"/>
      <c r="AZ231" s="640">
        <v>1</v>
      </c>
      <c r="BA231" s="641"/>
      <c r="BB231" s="641"/>
      <c r="BC231" s="642"/>
      <c r="BD231" s="625"/>
      <c r="BE231" s="626"/>
      <c r="BF231" s="626"/>
      <c r="BG231" s="626"/>
      <c r="BH231" s="626"/>
      <c r="BI231" s="626"/>
      <c r="BJ231" s="626"/>
      <c r="BK231" s="626"/>
      <c r="BL231" s="626"/>
      <c r="BM231" s="626"/>
      <c r="BN231" s="626"/>
      <c r="BO231" s="626"/>
      <c r="BP231" s="626"/>
      <c r="BQ231" s="626"/>
      <c r="BR231" s="626"/>
      <c r="BS231" s="626"/>
      <c r="BT231" s="626"/>
      <c r="BU231" s="626"/>
      <c r="BV231" s="626"/>
      <c r="BW231" s="626"/>
      <c r="BX231" s="626"/>
      <c r="BY231" s="626"/>
      <c r="BZ231" s="626"/>
      <c r="CA231" s="626"/>
      <c r="CB231" s="626"/>
      <c r="CC231" s="626"/>
      <c r="CD231" s="627"/>
      <c r="CF231" s="5"/>
      <c r="CG231" s="5"/>
    </row>
    <row r="232" spans="1:85" ht="12" customHeight="1">
      <c r="A232" s="298"/>
      <c r="B232" s="5"/>
      <c r="C232" s="5"/>
      <c r="D232" s="390"/>
      <c r="E232" s="391"/>
      <c r="F232" s="391"/>
      <c r="G232" s="391"/>
      <c r="H232" s="391"/>
      <c r="I232" s="49"/>
      <c r="J232" s="51"/>
      <c r="K232" s="49"/>
      <c r="L232" s="49"/>
      <c r="M232" s="49"/>
      <c r="N232" s="49"/>
      <c r="O232" s="49"/>
      <c r="P232" s="50"/>
      <c r="Q232" s="390"/>
      <c r="R232" s="391"/>
      <c r="S232" s="391"/>
      <c r="T232" s="391"/>
      <c r="U232" s="391"/>
      <c r="V232" s="392"/>
      <c r="W232" s="162" t="s">
        <v>437</v>
      </c>
      <c r="X232" s="36"/>
      <c r="Y232" s="36"/>
      <c r="Z232" s="36"/>
      <c r="AA232" s="36"/>
      <c r="AB232" s="36"/>
      <c r="AC232" s="36"/>
      <c r="AD232" s="36"/>
      <c r="AE232" s="36"/>
      <c r="AF232" s="36"/>
      <c r="AG232" s="36"/>
      <c r="AH232" s="36"/>
      <c r="AI232" s="36"/>
      <c r="AJ232" s="36"/>
      <c r="AK232" s="36"/>
      <c r="AL232" s="36"/>
      <c r="AM232" s="36"/>
      <c r="AN232" s="36"/>
      <c r="AO232" s="36"/>
      <c r="AP232" s="36"/>
      <c r="AQ232" s="389"/>
      <c r="AR232" s="622" t="s">
        <v>940</v>
      </c>
      <c r="AS232" s="623"/>
      <c r="AT232" s="623"/>
      <c r="AU232" s="623"/>
      <c r="AV232" s="623"/>
      <c r="AW232" s="623"/>
      <c r="AX232" s="623"/>
      <c r="AY232" s="624"/>
      <c r="AZ232" s="664">
        <v>1</v>
      </c>
      <c r="BA232" s="665"/>
      <c r="BB232" s="665"/>
      <c r="BC232" s="666"/>
      <c r="BD232" s="622" t="s">
        <v>451</v>
      </c>
      <c r="BE232" s="655"/>
      <c r="BF232" s="655"/>
      <c r="BG232" s="655"/>
      <c r="BH232" s="655"/>
      <c r="BI232" s="655"/>
      <c r="BJ232" s="655"/>
      <c r="BK232" s="655"/>
      <c r="BL232" s="655"/>
      <c r="BM232" s="623"/>
      <c r="BN232" s="655"/>
      <c r="BO232" s="655"/>
      <c r="BP232" s="655"/>
      <c r="BQ232" s="655"/>
      <c r="BR232" s="655"/>
      <c r="BS232" s="655"/>
      <c r="BT232" s="655"/>
      <c r="BU232" s="655"/>
      <c r="BV232" s="655"/>
      <c r="BW232" s="655"/>
      <c r="BX232" s="655"/>
      <c r="BY232" s="655"/>
      <c r="BZ232" s="655"/>
      <c r="CA232" s="655"/>
      <c r="CB232" s="655"/>
      <c r="CC232" s="655"/>
      <c r="CD232" s="624"/>
      <c r="CF232" s="5"/>
      <c r="CG232" s="5"/>
    </row>
    <row r="233" spans="1:85" ht="12" customHeight="1">
      <c r="A233" s="298"/>
      <c r="B233" s="5"/>
      <c r="C233" s="5"/>
      <c r="D233" s="390"/>
      <c r="E233" s="391"/>
      <c r="F233" s="391"/>
      <c r="G233" s="391"/>
      <c r="H233" s="391"/>
      <c r="I233" s="49"/>
      <c r="J233" s="51"/>
      <c r="K233" s="49"/>
      <c r="L233" s="49"/>
      <c r="M233" s="49"/>
      <c r="N233" s="49"/>
      <c r="O233" s="49"/>
      <c r="P233" s="50"/>
      <c r="Q233" s="390"/>
      <c r="R233" s="391"/>
      <c r="S233" s="391"/>
      <c r="T233" s="391"/>
      <c r="U233" s="391"/>
      <c r="V233" s="392"/>
      <c r="W233" s="390"/>
      <c r="X233" s="391"/>
      <c r="Y233" s="391"/>
      <c r="Z233" s="391"/>
      <c r="AA233" s="391"/>
      <c r="AB233" s="391"/>
      <c r="AC233" s="391"/>
      <c r="AD233" s="391"/>
      <c r="AE233" s="391"/>
      <c r="AF233" s="391"/>
      <c r="AG233" s="391"/>
      <c r="AH233" s="391"/>
      <c r="AI233" s="391"/>
      <c r="AJ233" s="391"/>
      <c r="AK233" s="391"/>
      <c r="AL233" s="391"/>
      <c r="AM233" s="391"/>
      <c r="AN233" s="391"/>
      <c r="AO233" s="391"/>
      <c r="AP233" s="391"/>
      <c r="AQ233" s="392"/>
      <c r="AR233" s="628"/>
      <c r="AS233" s="629"/>
      <c r="AT233" s="629"/>
      <c r="AU233" s="629"/>
      <c r="AV233" s="629"/>
      <c r="AW233" s="629"/>
      <c r="AX233" s="629"/>
      <c r="AY233" s="630"/>
      <c r="AZ233" s="667"/>
      <c r="BA233" s="668"/>
      <c r="BB233" s="668"/>
      <c r="BC233" s="669"/>
      <c r="BD233" s="628"/>
      <c r="BE233" s="629"/>
      <c r="BF233" s="629"/>
      <c r="BG233" s="629"/>
      <c r="BH233" s="629"/>
      <c r="BI233" s="629"/>
      <c r="BJ233" s="629"/>
      <c r="BK233" s="629"/>
      <c r="BL233" s="629"/>
      <c r="BM233" s="629"/>
      <c r="BN233" s="629"/>
      <c r="BO233" s="629"/>
      <c r="BP233" s="629"/>
      <c r="BQ233" s="629"/>
      <c r="BR233" s="629"/>
      <c r="BS233" s="629"/>
      <c r="BT233" s="629"/>
      <c r="BU233" s="629"/>
      <c r="BV233" s="629"/>
      <c r="BW233" s="629"/>
      <c r="BX233" s="629"/>
      <c r="BY233" s="629"/>
      <c r="BZ233" s="629"/>
      <c r="CA233" s="629"/>
      <c r="CB233" s="629"/>
      <c r="CC233" s="629"/>
      <c r="CD233" s="630"/>
      <c r="CF233" s="5"/>
      <c r="CG233" s="5"/>
    </row>
    <row r="234" spans="1:85" ht="12" customHeight="1">
      <c r="A234" s="298"/>
      <c r="B234" s="5"/>
      <c r="C234" s="5"/>
      <c r="D234" s="390"/>
      <c r="E234" s="391"/>
      <c r="F234" s="391"/>
      <c r="G234" s="391"/>
      <c r="H234" s="391"/>
      <c r="I234" s="49"/>
      <c r="J234" s="51"/>
      <c r="K234" s="49"/>
      <c r="L234" s="49"/>
      <c r="M234" s="49"/>
      <c r="N234" s="49"/>
      <c r="O234" s="49"/>
      <c r="P234" s="50"/>
      <c r="Q234" s="390"/>
      <c r="R234" s="391"/>
      <c r="S234" s="391"/>
      <c r="T234" s="391"/>
      <c r="U234" s="391"/>
      <c r="V234" s="392"/>
      <c r="W234" s="393"/>
      <c r="X234" s="394"/>
      <c r="Y234" s="394"/>
      <c r="Z234" s="394"/>
      <c r="AA234" s="394"/>
      <c r="AB234" s="394"/>
      <c r="AC234" s="394"/>
      <c r="AD234" s="394"/>
      <c r="AE234" s="394"/>
      <c r="AF234" s="394"/>
      <c r="AG234" s="394"/>
      <c r="AH234" s="394"/>
      <c r="AI234" s="394"/>
      <c r="AJ234" s="394"/>
      <c r="AK234" s="394"/>
      <c r="AL234" s="394"/>
      <c r="AM234" s="394"/>
      <c r="AN234" s="394"/>
      <c r="AO234" s="394"/>
      <c r="AP234" s="394"/>
      <c r="AQ234" s="395"/>
      <c r="AR234" s="625"/>
      <c r="AS234" s="626"/>
      <c r="AT234" s="626"/>
      <c r="AU234" s="626"/>
      <c r="AV234" s="626"/>
      <c r="AW234" s="626"/>
      <c r="AX234" s="626"/>
      <c r="AY234" s="627"/>
      <c r="AZ234" s="670"/>
      <c r="BA234" s="671"/>
      <c r="BB234" s="671"/>
      <c r="BC234" s="672"/>
      <c r="BD234" s="625"/>
      <c r="BE234" s="626"/>
      <c r="BF234" s="626"/>
      <c r="BG234" s="626"/>
      <c r="BH234" s="626"/>
      <c r="BI234" s="626"/>
      <c r="BJ234" s="626"/>
      <c r="BK234" s="626"/>
      <c r="BL234" s="626"/>
      <c r="BM234" s="626"/>
      <c r="BN234" s="626"/>
      <c r="BO234" s="626"/>
      <c r="BP234" s="626"/>
      <c r="BQ234" s="626"/>
      <c r="BR234" s="626"/>
      <c r="BS234" s="626"/>
      <c r="BT234" s="626"/>
      <c r="BU234" s="626"/>
      <c r="BV234" s="626"/>
      <c r="BW234" s="626"/>
      <c r="BX234" s="626"/>
      <c r="BY234" s="626"/>
      <c r="BZ234" s="626"/>
      <c r="CA234" s="626"/>
      <c r="CB234" s="626"/>
      <c r="CC234" s="626"/>
      <c r="CD234" s="627"/>
      <c r="CF234" s="5"/>
      <c r="CG234" s="5"/>
    </row>
    <row r="235" spans="1:85" ht="12" customHeight="1">
      <c r="A235" s="298"/>
      <c r="B235" s="5"/>
      <c r="C235" s="5"/>
      <c r="D235" s="390"/>
      <c r="E235" s="391"/>
      <c r="F235" s="391"/>
      <c r="G235" s="391"/>
      <c r="H235" s="391"/>
      <c r="I235" s="49"/>
      <c r="J235" s="51"/>
      <c r="K235" s="49"/>
      <c r="L235" s="49"/>
      <c r="M235" s="49"/>
      <c r="N235" s="49"/>
      <c r="O235" s="49"/>
      <c r="P235" s="50"/>
      <c r="Q235" s="162" t="s">
        <v>75</v>
      </c>
      <c r="R235" s="388"/>
      <c r="S235" s="388"/>
      <c r="T235" s="388"/>
      <c r="U235" s="388"/>
      <c r="V235" s="389"/>
      <c r="W235" s="165" t="s">
        <v>74</v>
      </c>
      <c r="X235" s="166"/>
      <c r="Y235" s="166"/>
      <c r="Z235" s="166"/>
      <c r="AA235" s="166"/>
      <c r="AB235" s="166"/>
      <c r="AC235" s="166"/>
      <c r="AD235" s="166"/>
      <c r="AE235" s="166"/>
      <c r="AF235" s="166"/>
      <c r="AG235" s="166"/>
      <c r="AH235" s="166"/>
      <c r="AI235" s="166"/>
      <c r="AJ235" s="166"/>
      <c r="AK235" s="166"/>
      <c r="AL235" s="166"/>
      <c r="AM235" s="166"/>
      <c r="AN235" s="166"/>
      <c r="AO235" s="166"/>
      <c r="AP235" s="166"/>
      <c r="AQ235" s="167"/>
      <c r="AR235" s="485" t="s">
        <v>72</v>
      </c>
      <c r="AS235" s="486"/>
      <c r="AT235" s="486"/>
      <c r="AU235" s="486"/>
      <c r="AV235" s="486"/>
      <c r="AW235" s="486"/>
      <c r="AX235" s="486"/>
      <c r="AY235" s="487"/>
      <c r="AZ235" s="640">
        <v>1</v>
      </c>
      <c r="BA235" s="641"/>
      <c r="BB235" s="641"/>
      <c r="BC235" s="642"/>
      <c r="BD235" s="622" t="s">
        <v>1195</v>
      </c>
      <c r="BE235" s="623"/>
      <c r="BF235" s="623"/>
      <c r="BG235" s="623"/>
      <c r="BH235" s="623"/>
      <c r="BI235" s="623"/>
      <c r="BJ235" s="623"/>
      <c r="BK235" s="623"/>
      <c r="BL235" s="623"/>
      <c r="BM235" s="623"/>
      <c r="BN235" s="623"/>
      <c r="BO235" s="623"/>
      <c r="BP235" s="623"/>
      <c r="BQ235" s="623"/>
      <c r="BR235" s="623"/>
      <c r="BS235" s="623"/>
      <c r="BT235" s="623"/>
      <c r="BU235" s="623"/>
      <c r="BV235" s="623"/>
      <c r="BW235" s="623"/>
      <c r="BX235" s="623"/>
      <c r="BY235" s="623"/>
      <c r="BZ235" s="623"/>
      <c r="CA235" s="623"/>
      <c r="CB235" s="623"/>
      <c r="CC235" s="623"/>
      <c r="CD235" s="624"/>
      <c r="CF235" s="5"/>
      <c r="CG235" s="5"/>
    </row>
    <row r="236" spans="1:85" ht="12" customHeight="1">
      <c r="A236" s="298"/>
      <c r="B236" s="5"/>
      <c r="C236" s="5"/>
      <c r="D236" s="390"/>
      <c r="E236" s="391"/>
      <c r="F236" s="391"/>
      <c r="G236" s="391"/>
      <c r="H236" s="391"/>
      <c r="I236" s="49"/>
      <c r="J236" s="51"/>
      <c r="K236" s="49"/>
      <c r="L236" s="49"/>
      <c r="M236" s="49"/>
      <c r="N236" s="49"/>
      <c r="O236" s="49"/>
      <c r="P236" s="50"/>
      <c r="Q236" s="393"/>
      <c r="R236" s="394"/>
      <c r="S236" s="394"/>
      <c r="T236" s="394"/>
      <c r="U236" s="394"/>
      <c r="V236" s="395"/>
      <c r="W236" s="165" t="s">
        <v>435</v>
      </c>
      <c r="X236" s="166"/>
      <c r="Y236" s="166"/>
      <c r="Z236" s="166"/>
      <c r="AA236" s="166"/>
      <c r="AB236" s="166"/>
      <c r="AC236" s="166"/>
      <c r="AD236" s="166"/>
      <c r="AE236" s="166"/>
      <c r="AF236" s="166"/>
      <c r="AG236" s="166"/>
      <c r="AH236" s="166"/>
      <c r="AI236" s="166"/>
      <c r="AJ236" s="166"/>
      <c r="AK236" s="166"/>
      <c r="AL236" s="166"/>
      <c r="AM236" s="166"/>
      <c r="AN236" s="166"/>
      <c r="AO236" s="166"/>
      <c r="AP236" s="166"/>
      <c r="AQ236" s="167"/>
      <c r="AR236" s="485" t="s">
        <v>72</v>
      </c>
      <c r="AS236" s="486"/>
      <c r="AT236" s="486"/>
      <c r="AU236" s="486"/>
      <c r="AV236" s="486"/>
      <c r="AW236" s="486"/>
      <c r="AX236" s="486"/>
      <c r="AY236" s="487"/>
      <c r="AZ236" s="640">
        <v>1</v>
      </c>
      <c r="BA236" s="641"/>
      <c r="BB236" s="641"/>
      <c r="BC236" s="642"/>
      <c r="BD236" s="628"/>
      <c r="BE236" s="629"/>
      <c r="BF236" s="629"/>
      <c r="BG236" s="629"/>
      <c r="BH236" s="629"/>
      <c r="BI236" s="629"/>
      <c r="BJ236" s="629"/>
      <c r="BK236" s="629"/>
      <c r="BL236" s="629"/>
      <c r="BM236" s="629"/>
      <c r="BN236" s="629"/>
      <c r="BO236" s="629"/>
      <c r="BP236" s="629"/>
      <c r="BQ236" s="629"/>
      <c r="BR236" s="629"/>
      <c r="BS236" s="629"/>
      <c r="BT236" s="629"/>
      <c r="BU236" s="629"/>
      <c r="BV236" s="629"/>
      <c r="BW236" s="629"/>
      <c r="BX236" s="629"/>
      <c r="BY236" s="629"/>
      <c r="BZ236" s="629"/>
      <c r="CA236" s="629"/>
      <c r="CB236" s="629"/>
      <c r="CC236" s="629"/>
      <c r="CD236" s="630"/>
      <c r="CF236" s="5"/>
      <c r="CG236" s="5"/>
    </row>
    <row r="237" spans="1:85" ht="12" customHeight="1">
      <c r="A237" s="298"/>
      <c r="B237" s="5"/>
      <c r="C237" s="5"/>
      <c r="D237" s="390"/>
      <c r="E237" s="391"/>
      <c r="F237" s="391"/>
      <c r="G237" s="391"/>
      <c r="H237" s="391"/>
      <c r="I237" s="49"/>
      <c r="J237" s="51"/>
      <c r="K237" s="49"/>
      <c r="L237" s="49"/>
      <c r="M237" s="49"/>
      <c r="N237" s="49"/>
      <c r="O237" s="49"/>
      <c r="P237" s="50"/>
      <c r="Q237" s="165" t="s">
        <v>70</v>
      </c>
      <c r="R237" s="166"/>
      <c r="S237" s="166"/>
      <c r="T237" s="166"/>
      <c r="U237" s="166"/>
      <c r="V237" s="167"/>
      <c r="W237" s="165" t="s">
        <v>69</v>
      </c>
      <c r="X237" s="166"/>
      <c r="Y237" s="166"/>
      <c r="Z237" s="166"/>
      <c r="AA237" s="166"/>
      <c r="AB237" s="166"/>
      <c r="AC237" s="166"/>
      <c r="AD237" s="166"/>
      <c r="AE237" s="166"/>
      <c r="AF237" s="166"/>
      <c r="AG237" s="166"/>
      <c r="AH237" s="166"/>
      <c r="AI237" s="166"/>
      <c r="AJ237" s="166"/>
      <c r="AK237" s="166"/>
      <c r="AL237" s="166"/>
      <c r="AM237" s="166"/>
      <c r="AN237" s="166"/>
      <c r="AO237" s="166"/>
      <c r="AP237" s="166"/>
      <c r="AQ237" s="167"/>
      <c r="AR237" s="489" t="s">
        <v>68</v>
      </c>
      <c r="AS237" s="483"/>
      <c r="AT237" s="483"/>
      <c r="AU237" s="483"/>
      <c r="AV237" s="483"/>
      <c r="AW237" s="483"/>
      <c r="AX237" s="483"/>
      <c r="AY237" s="484"/>
      <c r="AZ237" s="640">
        <v>1</v>
      </c>
      <c r="BA237" s="641"/>
      <c r="BB237" s="641"/>
      <c r="BC237" s="642"/>
      <c r="BD237" s="628"/>
      <c r="BE237" s="629"/>
      <c r="BF237" s="629"/>
      <c r="BG237" s="629"/>
      <c r="BH237" s="629"/>
      <c r="BI237" s="629"/>
      <c r="BJ237" s="629"/>
      <c r="BK237" s="629"/>
      <c r="BL237" s="629"/>
      <c r="BM237" s="629"/>
      <c r="BN237" s="629"/>
      <c r="BO237" s="629"/>
      <c r="BP237" s="629"/>
      <c r="BQ237" s="629"/>
      <c r="BR237" s="629"/>
      <c r="BS237" s="629"/>
      <c r="BT237" s="629"/>
      <c r="BU237" s="629"/>
      <c r="BV237" s="629"/>
      <c r="BW237" s="629"/>
      <c r="BX237" s="629"/>
      <c r="BY237" s="629"/>
      <c r="BZ237" s="629"/>
      <c r="CA237" s="629"/>
      <c r="CB237" s="629"/>
      <c r="CC237" s="629"/>
      <c r="CD237" s="630"/>
      <c r="CF237" s="5"/>
      <c r="CG237" s="5"/>
    </row>
    <row r="238" spans="1:85" ht="12" customHeight="1">
      <c r="A238" s="298"/>
      <c r="B238" s="5"/>
      <c r="C238" s="5"/>
      <c r="D238" s="390"/>
      <c r="E238" s="391"/>
      <c r="F238" s="391"/>
      <c r="G238" s="391"/>
      <c r="H238" s="391"/>
      <c r="I238" s="49"/>
      <c r="J238" s="51"/>
      <c r="K238" s="49"/>
      <c r="L238" s="49"/>
      <c r="M238" s="49"/>
      <c r="N238" s="49"/>
      <c r="O238" s="49"/>
      <c r="P238" s="50"/>
      <c r="Q238" s="165" t="s">
        <v>92</v>
      </c>
      <c r="R238" s="166"/>
      <c r="S238" s="166"/>
      <c r="T238" s="166"/>
      <c r="U238" s="166"/>
      <c r="V238" s="167"/>
      <c r="W238" s="165" t="s">
        <v>91</v>
      </c>
      <c r="X238" s="166"/>
      <c r="Y238" s="166"/>
      <c r="Z238" s="166"/>
      <c r="AA238" s="166"/>
      <c r="AB238" s="166"/>
      <c r="AC238" s="166"/>
      <c r="AD238" s="166"/>
      <c r="AE238" s="166"/>
      <c r="AF238" s="166"/>
      <c r="AG238" s="166"/>
      <c r="AH238" s="166"/>
      <c r="AI238" s="166"/>
      <c r="AJ238" s="166"/>
      <c r="AK238" s="166"/>
      <c r="AL238" s="166"/>
      <c r="AM238" s="166"/>
      <c r="AN238" s="166"/>
      <c r="AO238" s="166"/>
      <c r="AP238" s="166"/>
      <c r="AQ238" s="167"/>
      <c r="AR238" s="488" t="s">
        <v>90</v>
      </c>
      <c r="AS238" s="486"/>
      <c r="AT238" s="486"/>
      <c r="AU238" s="486"/>
      <c r="AV238" s="486"/>
      <c r="AW238" s="486"/>
      <c r="AX238" s="486"/>
      <c r="AY238" s="487"/>
      <c r="AZ238" s="640">
        <v>1</v>
      </c>
      <c r="BA238" s="641"/>
      <c r="BB238" s="641"/>
      <c r="BC238" s="642"/>
      <c r="BD238" s="628"/>
      <c r="BE238" s="629"/>
      <c r="BF238" s="629"/>
      <c r="BG238" s="629"/>
      <c r="BH238" s="629"/>
      <c r="BI238" s="629"/>
      <c r="BJ238" s="629"/>
      <c r="BK238" s="629"/>
      <c r="BL238" s="629"/>
      <c r="BM238" s="629"/>
      <c r="BN238" s="629"/>
      <c r="BO238" s="629"/>
      <c r="BP238" s="629"/>
      <c r="BQ238" s="629"/>
      <c r="BR238" s="629"/>
      <c r="BS238" s="629"/>
      <c r="BT238" s="629"/>
      <c r="BU238" s="629"/>
      <c r="BV238" s="629"/>
      <c r="BW238" s="629"/>
      <c r="BX238" s="629"/>
      <c r="BY238" s="629"/>
      <c r="BZ238" s="629"/>
      <c r="CA238" s="629"/>
      <c r="CB238" s="629"/>
      <c r="CC238" s="629"/>
      <c r="CD238" s="630"/>
      <c r="CF238" s="5"/>
      <c r="CG238" s="5"/>
    </row>
    <row r="239" spans="1:85" ht="12" customHeight="1">
      <c r="A239" s="298"/>
      <c r="B239" s="5"/>
      <c r="C239" s="5"/>
      <c r="D239" s="162" t="s">
        <v>63</v>
      </c>
      <c r="E239" s="388"/>
      <c r="F239" s="388"/>
      <c r="G239" s="388"/>
      <c r="H239" s="388"/>
      <c r="I239" s="218"/>
      <c r="J239" s="174" t="s">
        <v>89</v>
      </c>
      <c r="K239" s="175"/>
      <c r="L239" s="175"/>
      <c r="M239" s="175"/>
      <c r="N239" s="175"/>
      <c r="O239" s="175"/>
      <c r="P239" s="176"/>
      <c r="Q239" s="165" t="s">
        <v>88</v>
      </c>
      <c r="R239" s="166"/>
      <c r="S239" s="166"/>
      <c r="T239" s="166"/>
      <c r="U239" s="166"/>
      <c r="V239" s="167"/>
      <c r="W239" s="165" t="s">
        <v>87</v>
      </c>
      <c r="X239" s="166"/>
      <c r="Y239" s="166"/>
      <c r="Z239" s="166"/>
      <c r="AA239" s="166"/>
      <c r="AB239" s="166"/>
      <c r="AC239" s="166"/>
      <c r="AD239" s="166"/>
      <c r="AE239" s="166"/>
      <c r="AF239" s="166"/>
      <c r="AG239" s="166"/>
      <c r="AH239" s="166"/>
      <c r="AI239" s="166"/>
      <c r="AJ239" s="166"/>
      <c r="AK239" s="166"/>
      <c r="AL239" s="166"/>
      <c r="AM239" s="166"/>
      <c r="AN239" s="166"/>
      <c r="AO239" s="166"/>
      <c r="AP239" s="166"/>
      <c r="AQ239" s="167"/>
      <c r="AR239" s="482" t="s">
        <v>86</v>
      </c>
      <c r="AS239" s="483"/>
      <c r="AT239" s="483"/>
      <c r="AU239" s="483"/>
      <c r="AV239" s="483"/>
      <c r="AW239" s="483"/>
      <c r="AX239" s="483"/>
      <c r="AY239" s="484"/>
      <c r="AZ239" s="640">
        <v>2</v>
      </c>
      <c r="BA239" s="641"/>
      <c r="BB239" s="641"/>
      <c r="BC239" s="642"/>
      <c r="BD239" s="628"/>
      <c r="BE239" s="629"/>
      <c r="BF239" s="629"/>
      <c r="BG239" s="629"/>
      <c r="BH239" s="629"/>
      <c r="BI239" s="629"/>
      <c r="BJ239" s="629"/>
      <c r="BK239" s="629"/>
      <c r="BL239" s="629"/>
      <c r="BM239" s="629"/>
      <c r="BN239" s="629"/>
      <c r="BO239" s="629"/>
      <c r="BP239" s="629"/>
      <c r="BQ239" s="629"/>
      <c r="BR239" s="629"/>
      <c r="BS239" s="629"/>
      <c r="BT239" s="629"/>
      <c r="BU239" s="629"/>
      <c r="BV239" s="629"/>
      <c r="BW239" s="629"/>
      <c r="BX239" s="629"/>
      <c r="BY239" s="629"/>
      <c r="BZ239" s="629"/>
      <c r="CA239" s="629"/>
      <c r="CB239" s="629"/>
      <c r="CC239" s="629"/>
      <c r="CD239" s="630"/>
      <c r="CF239" s="5"/>
      <c r="CG239" s="5"/>
    </row>
    <row r="240" spans="1:85" ht="12" customHeight="1">
      <c r="A240" s="298"/>
      <c r="B240" s="5"/>
      <c r="C240" s="5"/>
      <c r="D240" s="390"/>
      <c r="E240" s="391"/>
      <c r="F240" s="391"/>
      <c r="G240" s="391"/>
      <c r="H240" s="391"/>
      <c r="I240" s="49"/>
      <c r="J240" s="217" t="s">
        <v>85</v>
      </c>
      <c r="K240" s="218"/>
      <c r="L240" s="218"/>
      <c r="M240" s="218"/>
      <c r="N240" s="218"/>
      <c r="O240" s="218"/>
      <c r="P240" s="219"/>
      <c r="Q240" s="162" t="s">
        <v>433</v>
      </c>
      <c r="R240" s="388"/>
      <c r="S240" s="388"/>
      <c r="T240" s="388"/>
      <c r="U240" s="388"/>
      <c r="V240" s="389"/>
      <c r="W240" s="165" t="s">
        <v>83</v>
      </c>
      <c r="X240" s="166"/>
      <c r="Y240" s="166"/>
      <c r="Z240" s="166"/>
      <c r="AA240" s="166"/>
      <c r="AB240" s="166"/>
      <c r="AC240" s="166"/>
      <c r="AD240" s="166"/>
      <c r="AE240" s="166"/>
      <c r="AF240" s="166"/>
      <c r="AG240" s="166"/>
      <c r="AH240" s="166"/>
      <c r="AI240" s="166"/>
      <c r="AJ240" s="166"/>
      <c r="AK240" s="166"/>
      <c r="AL240" s="166"/>
      <c r="AM240" s="166"/>
      <c r="AN240" s="166"/>
      <c r="AO240" s="166"/>
      <c r="AP240" s="166"/>
      <c r="AQ240" s="167"/>
      <c r="AR240" s="489" t="s">
        <v>81</v>
      </c>
      <c r="AS240" s="483"/>
      <c r="AT240" s="483"/>
      <c r="AU240" s="483"/>
      <c r="AV240" s="483"/>
      <c r="AW240" s="483"/>
      <c r="AX240" s="483"/>
      <c r="AY240" s="484"/>
      <c r="AZ240" s="640">
        <v>2</v>
      </c>
      <c r="BA240" s="641"/>
      <c r="BB240" s="641"/>
      <c r="BC240" s="642"/>
      <c r="BD240" s="628"/>
      <c r="BE240" s="629"/>
      <c r="BF240" s="629"/>
      <c r="BG240" s="629"/>
      <c r="BH240" s="629"/>
      <c r="BI240" s="629"/>
      <c r="BJ240" s="629"/>
      <c r="BK240" s="629"/>
      <c r="BL240" s="629"/>
      <c r="BM240" s="629"/>
      <c r="BN240" s="629"/>
      <c r="BO240" s="629"/>
      <c r="BP240" s="629"/>
      <c r="BQ240" s="629"/>
      <c r="BR240" s="629"/>
      <c r="BS240" s="629"/>
      <c r="BT240" s="629"/>
      <c r="BU240" s="629"/>
      <c r="BV240" s="629"/>
      <c r="BW240" s="629"/>
      <c r="BX240" s="629"/>
      <c r="BY240" s="629"/>
      <c r="BZ240" s="629"/>
      <c r="CA240" s="629"/>
      <c r="CB240" s="629"/>
      <c r="CC240" s="629"/>
      <c r="CD240" s="630"/>
      <c r="CF240" s="5"/>
      <c r="CG240" s="5"/>
    </row>
    <row r="241" spans="1:85" ht="12" customHeight="1">
      <c r="A241" s="298"/>
      <c r="B241" s="5"/>
      <c r="C241" s="5"/>
      <c r="D241" s="390"/>
      <c r="E241" s="391"/>
      <c r="F241" s="391"/>
      <c r="G241" s="391"/>
      <c r="H241" s="391"/>
      <c r="I241" s="49"/>
      <c r="J241" s="51"/>
      <c r="K241" s="49"/>
      <c r="L241" s="49"/>
      <c r="M241" s="49"/>
      <c r="N241" s="49"/>
      <c r="O241" s="49"/>
      <c r="P241" s="50"/>
      <c r="Q241" s="390"/>
      <c r="R241" s="391"/>
      <c r="S241" s="391"/>
      <c r="T241" s="391"/>
      <c r="U241" s="391"/>
      <c r="V241" s="392"/>
      <c r="W241" s="165" t="s">
        <v>82</v>
      </c>
      <c r="X241" s="166"/>
      <c r="Y241" s="166"/>
      <c r="Z241" s="166"/>
      <c r="AA241" s="166"/>
      <c r="AB241" s="166"/>
      <c r="AC241" s="166"/>
      <c r="AD241" s="166"/>
      <c r="AE241" s="166"/>
      <c r="AF241" s="166"/>
      <c r="AG241" s="166"/>
      <c r="AH241" s="166"/>
      <c r="AI241" s="166"/>
      <c r="AJ241" s="166"/>
      <c r="AK241" s="166"/>
      <c r="AL241" s="166"/>
      <c r="AM241" s="166"/>
      <c r="AN241" s="166"/>
      <c r="AO241" s="166"/>
      <c r="AP241" s="166"/>
      <c r="AQ241" s="167"/>
      <c r="AR241" s="489" t="s">
        <v>81</v>
      </c>
      <c r="AS241" s="483"/>
      <c r="AT241" s="483"/>
      <c r="AU241" s="483"/>
      <c r="AV241" s="483"/>
      <c r="AW241" s="483"/>
      <c r="AX241" s="483"/>
      <c r="AY241" s="484"/>
      <c r="AZ241" s="640">
        <v>2</v>
      </c>
      <c r="BA241" s="641"/>
      <c r="BB241" s="641"/>
      <c r="BC241" s="642"/>
      <c r="BD241" s="625"/>
      <c r="BE241" s="626"/>
      <c r="BF241" s="626"/>
      <c r="BG241" s="626"/>
      <c r="BH241" s="626"/>
      <c r="BI241" s="626"/>
      <c r="BJ241" s="626"/>
      <c r="BK241" s="626"/>
      <c r="BL241" s="626"/>
      <c r="BM241" s="626"/>
      <c r="BN241" s="626"/>
      <c r="BO241" s="626"/>
      <c r="BP241" s="626"/>
      <c r="BQ241" s="626"/>
      <c r="BR241" s="626"/>
      <c r="BS241" s="626"/>
      <c r="BT241" s="626"/>
      <c r="BU241" s="626"/>
      <c r="BV241" s="626"/>
      <c r="BW241" s="626"/>
      <c r="BX241" s="626"/>
      <c r="BY241" s="626"/>
      <c r="BZ241" s="626"/>
      <c r="CA241" s="626"/>
      <c r="CB241" s="626"/>
      <c r="CC241" s="626"/>
      <c r="CD241" s="627"/>
      <c r="CF241" s="5"/>
      <c r="CG241" s="5"/>
    </row>
    <row r="242" spans="1:85" ht="12" customHeight="1">
      <c r="A242" s="298"/>
      <c r="B242" s="5"/>
      <c r="C242" s="5"/>
      <c r="D242" s="390"/>
      <c r="E242" s="391"/>
      <c r="F242" s="391"/>
      <c r="G242" s="391"/>
      <c r="H242" s="391"/>
      <c r="I242" s="49"/>
      <c r="J242" s="51"/>
      <c r="K242" s="49"/>
      <c r="L242" s="49"/>
      <c r="M242" s="49"/>
      <c r="N242" s="49"/>
      <c r="O242" s="49"/>
      <c r="P242" s="50"/>
      <c r="Q242" s="390"/>
      <c r="R242" s="391"/>
      <c r="S242" s="391"/>
      <c r="T242" s="391"/>
      <c r="U242" s="391"/>
      <c r="V242" s="392"/>
      <c r="W242" s="162" t="s">
        <v>80</v>
      </c>
      <c r="X242" s="36"/>
      <c r="Y242" s="36"/>
      <c r="Z242" s="36"/>
      <c r="AA242" s="36"/>
      <c r="AB242" s="36"/>
      <c r="AC242" s="36"/>
      <c r="AD242" s="36"/>
      <c r="AE242" s="36"/>
      <c r="AF242" s="36"/>
      <c r="AG242" s="36"/>
      <c r="AH242" s="36"/>
      <c r="AI242" s="36"/>
      <c r="AJ242" s="36"/>
      <c r="AK242" s="36"/>
      <c r="AL242" s="36"/>
      <c r="AM242" s="36"/>
      <c r="AN242" s="36"/>
      <c r="AO242" s="36"/>
      <c r="AP242" s="36"/>
      <c r="AQ242" s="389"/>
      <c r="AR242" s="622" t="s">
        <v>941</v>
      </c>
      <c r="AS242" s="656"/>
      <c r="AT242" s="656"/>
      <c r="AU242" s="656"/>
      <c r="AV242" s="656"/>
      <c r="AW242" s="656"/>
      <c r="AX242" s="656"/>
      <c r="AY242" s="657"/>
      <c r="AZ242" s="637">
        <v>2</v>
      </c>
      <c r="BA242" s="638"/>
      <c r="BB242" s="638"/>
      <c r="BC242" s="639"/>
      <c r="BD242" s="622" t="s">
        <v>451</v>
      </c>
      <c r="BE242" s="655"/>
      <c r="BF242" s="655"/>
      <c r="BG242" s="655"/>
      <c r="BH242" s="655"/>
      <c r="BI242" s="655"/>
      <c r="BJ242" s="655"/>
      <c r="BK242" s="655"/>
      <c r="BL242" s="655"/>
      <c r="BM242" s="623"/>
      <c r="BN242" s="655"/>
      <c r="BO242" s="655"/>
      <c r="BP242" s="655"/>
      <c r="BQ242" s="655"/>
      <c r="BR242" s="655"/>
      <c r="BS242" s="655"/>
      <c r="BT242" s="655"/>
      <c r="BU242" s="655"/>
      <c r="BV242" s="655"/>
      <c r="BW242" s="655"/>
      <c r="BX242" s="655"/>
      <c r="BY242" s="655"/>
      <c r="BZ242" s="655"/>
      <c r="CA242" s="655"/>
      <c r="CB242" s="655"/>
      <c r="CC242" s="655"/>
      <c r="CD242" s="624"/>
      <c r="CF242" s="5"/>
      <c r="CG242" s="5"/>
    </row>
    <row r="243" spans="1:85" ht="12" customHeight="1">
      <c r="A243" s="298"/>
      <c r="B243" s="5"/>
      <c r="C243" s="5"/>
      <c r="D243" s="390"/>
      <c r="E243" s="391"/>
      <c r="F243" s="391"/>
      <c r="G243" s="391"/>
      <c r="H243" s="391"/>
      <c r="I243" s="49"/>
      <c r="J243" s="51"/>
      <c r="K243" s="49"/>
      <c r="L243" s="49"/>
      <c r="M243" s="49"/>
      <c r="N243" s="49"/>
      <c r="O243" s="49"/>
      <c r="P243" s="50"/>
      <c r="Q243" s="390"/>
      <c r="R243" s="391"/>
      <c r="S243" s="391"/>
      <c r="T243" s="391"/>
      <c r="U243" s="391"/>
      <c r="V243" s="392"/>
      <c r="W243" s="390"/>
      <c r="X243" s="391"/>
      <c r="Y243" s="391"/>
      <c r="Z243" s="391"/>
      <c r="AA243" s="391"/>
      <c r="AB243" s="391"/>
      <c r="AC243" s="391"/>
      <c r="AD243" s="391"/>
      <c r="AE243" s="391"/>
      <c r="AF243" s="391"/>
      <c r="AG243" s="391"/>
      <c r="AH243" s="391"/>
      <c r="AI243" s="391"/>
      <c r="AJ243" s="391"/>
      <c r="AK243" s="391"/>
      <c r="AL243" s="391"/>
      <c r="AM243" s="391"/>
      <c r="AN243" s="391"/>
      <c r="AO243" s="391"/>
      <c r="AP243" s="391"/>
      <c r="AQ243" s="392"/>
      <c r="AR243" s="658"/>
      <c r="AS243" s="659"/>
      <c r="AT243" s="659"/>
      <c r="AU243" s="659"/>
      <c r="AV243" s="659"/>
      <c r="AW243" s="659"/>
      <c r="AX243" s="659"/>
      <c r="AY243" s="660"/>
      <c r="AZ243" s="649"/>
      <c r="BA243" s="650"/>
      <c r="BB243" s="650"/>
      <c r="BC243" s="651"/>
      <c r="BD243" s="628"/>
      <c r="BE243" s="629"/>
      <c r="BF243" s="629"/>
      <c r="BG243" s="629"/>
      <c r="BH243" s="629"/>
      <c r="BI243" s="629"/>
      <c r="BJ243" s="629"/>
      <c r="BK243" s="629"/>
      <c r="BL243" s="629"/>
      <c r="BM243" s="629"/>
      <c r="BN243" s="629"/>
      <c r="BO243" s="629"/>
      <c r="BP243" s="629"/>
      <c r="BQ243" s="629"/>
      <c r="BR243" s="629"/>
      <c r="BS243" s="629"/>
      <c r="BT243" s="629"/>
      <c r="BU243" s="629"/>
      <c r="BV243" s="629"/>
      <c r="BW243" s="629"/>
      <c r="BX243" s="629"/>
      <c r="BY243" s="629"/>
      <c r="BZ243" s="629"/>
      <c r="CA243" s="629"/>
      <c r="CB243" s="629"/>
      <c r="CC243" s="629"/>
      <c r="CD243" s="630"/>
      <c r="CF243" s="5"/>
      <c r="CG243" s="5"/>
    </row>
    <row r="244" spans="1:85" ht="12" customHeight="1">
      <c r="A244" s="298"/>
      <c r="B244" s="5"/>
      <c r="C244" s="5"/>
      <c r="D244" s="390"/>
      <c r="E244" s="391"/>
      <c r="F244" s="391"/>
      <c r="G244" s="391"/>
      <c r="H244" s="391"/>
      <c r="I244" s="49"/>
      <c r="J244" s="51"/>
      <c r="K244" s="49"/>
      <c r="L244" s="49"/>
      <c r="M244" s="49"/>
      <c r="N244" s="49"/>
      <c r="O244" s="49"/>
      <c r="P244" s="50"/>
      <c r="Q244" s="390"/>
      <c r="R244" s="391"/>
      <c r="S244" s="391"/>
      <c r="T244" s="391"/>
      <c r="U244" s="391"/>
      <c r="V244" s="392"/>
      <c r="W244" s="393"/>
      <c r="X244" s="394"/>
      <c r="Y244" s="394"/>
      <c r="Z244" s="394"/>
      <c r="AA244" s="394"/>
      <c r="AB244" s="394"/>
      <c r="AC244" s="394"/>
      <c r="AD244" s="394"/>
      <c r="AE244" s="394"/>
      <c r="AF244" s="394"/>
      <c r="AG244" s="394"/>
      <c r="AH244" s="394"/>
      <c r="AI244" s="394"/>
      <c r="AJ244" s="394"/>
      <c r="AK244" s="394"/>
      <c r="AL244" s="394"/>
      <c r="AM244" s="394"/>
      <c r="AN244" s="394"/>
      <c r="AO244" s="394"/>
      <c r="AP244" s="394"/>
      <c r="AQ244" s="395"/>
      <c r="AR244" s="661"/>
      <c r="AS244" s="662"/>
      <c r="AT244" s="662"/>
      <c r="AU244" s="662"/>
      <c r="AV244" s="662"/>
      <c r="AW244" s="662"/>
      <c r="AX244" s="662"/>
      <c r="AY244" s="663"/>
      <c r="AZ244" s="652"/>
      <c r="BA244" s="653"/>
      <c r="BB244" s="653"/>
      <c r="BC244" s="654"/>
      <c r="BD244" s="625"/>
      <c r="BE244" s="626"/>
      <c r="BF244" s="626"/>
      <c r="BG244" s="626"/>
      <c r="BH244" s="626"/>
      <c r="BI244" s="626"/>
      <c r="BJ244" s="626"/>
      <c r="BK244" s="626"/>
      <c r="BL244" s="626"/>
      <c r="BM244" s="626"/>
      <c r="BN244" s="626"/>
      <c r="BO244" s="626"/>
      <c r="BP244" s="626"/>
      <c r="BQ244" s="626"/>
      <c r="BR244" s="626"/>
      <c r="BS244" s="626"/>
      <c r="BT244" s="626"/>
      <c r="BU244" s="626"/>
      <c r="BV244" s="626"/>
      <c r="BW244" s="626"/>
      <c r="BX244" s="626"/>
      <c r="BY244" s="626"/>
      <c r="BZ244" s="626"/>
      <c r="CA244" s="626"/>
      <c r="CB244" s="626"/>
      <c r="CC244" s="626"/>
      <c r="CD244" s="627"/>
      <c r="CF244" s="5"/>
      <c r="CG244" s="5"/>
    </row>
    <row r="245" spans="1:85" ht="12" customHeight="1">
      <c r="A245" s="298"/>
      <c r="B245" s="5"/>
      <c r="C245" s="5"/>
      <c r="D245" s="390"/>
      <c r="E245" s="391"/>
      <c r="F245" s="391"/>
      <c r="G245" s="391"/>
      <c r="H245" s="391"/>
      <c r="I245" s="49"/>
      <c r="J245" s="51"/>
      <c r="K245" s="49"/>
      <c r="L245" s="49"/>
      <c r="M245" s="49"/>
      <c r="N245" s="49"/>
      <c r="O245" s="49"/>
      <c r="P245" s="50"/>
      <c r="Q245" s="162" t="s">
        <v>79</v>
      </c>
      <c r="R245" s="388"/>
      <c r="S245" s="388"/>
      <c r="T245" s="388"/>
      <c r="U245" s="388"/>
      <c r="V245" s="389"/>
      <c r="W245" s="165" t="s">
        <v>78</v>
      </c>
      <c r="X245" s="166"/>
      <c r="Y245" s="166"/>
      <c r="Z245" s="166"/>
      <c r="AA245" s="166"/>
      <c r="AB245" s="166"/>
      <c r="AC245" s="166"/>
      <c r="AD245" s="166"/>
      <c r="AE245" s="166"/>
      <c r="AF245" s="166"/>
      <c r="AG245" s="166"/>
      <c r="AH245" s="166"/>
      <c r="AI245" s="166"/>
      <c r="AJ245" s="166"/>
      <c r="AK245" s="166"/>
      <c r="AL245" s="166"/>
      <c r="AM245" s="166"/>
      <c r="AN245" s="166"/>
      <c r="AO245" s="166"/>
      <c r="AP245" s="166"/>
      <c r="AQ245" s="167"/>
      <c r="AR245" s="489" t="s">
        <v>76</v>
      </c>
      <c r="AS245" s="483"/>
      <c r="AT245" s="483"/>
      <c r="AU245" s="483"/>
      <c r="AV245" s="483"/>
      <c r="AW245" s="483"/>
      <c r="AX245" s="483"/>
      <c r="AY245" s="484"/>
      <c r="AZ245" s="640">
        <v>2</v>
      </c>
      <c r="BA245" s="641"/>
      <c r="BB245" s="641"/>
      <c r="BC245" s="642"/>
      <c r="BD245" s="622" t="s">
        <v>1195</v>
      </c>
      <c r="BE245" s="623"/>
      <c r="BF245" s="623"/>
      <c r="BG245" s="623"/>
      <c r="BH245" s="623"/>
      <c r="BI245" s="623"/>
      <c r="BJ245" s="623"/>
      <c r="BK245" s="623"/>
      <c r="BL245" s="623"/>
      <c r="BM245" s="623"/>
      <c r="BN245" s="623"/>
      <c r="BO245" s="623"/>
      <c r="BP245" s="623"/>
      <c r="BQ245" s="623"/>
      <c r="BR245" s="623"/>
      <c r="BS245" s="623"/>
      <c r="BT245" s="623"/>
      <c r="BU245" s="623"/>
      <c r="BV245" s="623"/>
      <c r="BW245" s="623"/>
      <c r="BX245" s="623"/>
      <c r="BY245" s="623"/>
      <c r="BZ245" s="623"/>
      <c r="CA245" s="623"/>
      <c r="CB245" s="623"/>
      <c r="CC245" s="623"/>
      <c r="CD245" s="624"/>
      <c r="CF245" s="5"/>
      <c r="CG245" s="5"/>
    </row>
    <row r="246" spans="1:85" ht="12" customHeight="1">
      <c r="A246" s="298"/>
      <c r="B246" s="5"/>
      <c r="C246" s="5"/>
      <c r="D246" s="390"/>
      <c r="E246" s="391"/>
      <c r="F246" s="391"/>
      <c r="G246" s="391"/>
      <c r="H246" s="391"/>
      <c r="I246" s="49"/>
      <c r="J246" s="51"/>
      <c r="K246" s="49"/>
      <c r="L246" s="49"/>
      <c r="M246" s="49"/>
      <c r="N246" s="49"/>
      <c r="O246" s="49"/>
      <c r="P246" s="50"/>
      <c r="Q246" s="393"/>
      <c r="R246" s="394"/>
      <c r="S246" s="394"/>
      <c r="T246" s="394"/>
      <c r="U246" s="394"/>
      <c r="V246" s="395"/>
      <c r="W246" s="165" t="s">
        <v>77</v>
      </c>
      <c r="X246" s="166"/>
      <c r="Y246" s="166"/>
      <c r="Z246" s="166"/>
      <c r="AA246" s="166"/>
      <c r="AB246" s="166"/>
      <c r="AC246" s="166"/>
      <c r="AD246" s="166"/>
      <c r="AE246" s="166"/>
      <c r="AF246" s="166"/>
      <c r="AG246" s="166"/>
      <c r="AH246" s="166"/>
      <c r="AI246" s="166"/>
      <c r="AJ246" s="166"/>
      <c r="AK246" s="166"/>
      <c r="AL246" s="166"/>
      <c r="AM246" s="166"/>
      <c r="AN246" s="166"/>
      <c r="AO246" s="166"/>
      <c r="AP246" s="166"/>
      <c r="AQ246" s="167"/>
      <c r="AR246" s="489" t="s">
        <v>76</v>
      </c>
      <c r="AS246" s="483"/>
      <c r="AT246" s="483"/>
      <c r="AU246" s="483"/>
      <c r="AV246" s="483"/>
      <c r="AW246" s="483"/>
      <c r="AX246" s="483"/>
      <c r="AY246" s="484"/>
      <c r="AZ246" s="640">
        <v>2</v>
      </c>
      <c r="BA246" s="641"/>
      <c r="BB246" s="641"/>
      <c r="BC246" s="642"/>
      <c r="BD246" s="628"/>
      <c r="BE246" s="629"/>
      <c r="BF246" s="629"/>
      <c r="BG246" s="629"/>
      <c r="BH246" s="629"/>
      <c r="BI246" s="629"/>
      <c r="BJ246" s="629"/>
      <c r="BK246" s="629"/>
      <c r="BL246" s="629"/>
      <c r="BM246" s="629"/>
      <c r="BN246" s="629"/>
      <c r="BO246" s="629"/>
      <c r="BP246" s="629"/>
      <c r="BQ246" s="629"/>
      <c r="BR246" s="629"/>
      <c r="BS246" s="629"/>
      <c r="BT246" s="629"/>
      <c r="BU246" s="629"/>
      <c r="BV246" s="629"/>
      <c r="BW246" s="629"/>
      <c r="BX246" s="629"/>
      <c r="BY246" s="629"/>
      <c r="BZ246" s="629"/>
      <c r="CA246" s="629"/>
      <c r="CB246" s="629"/>
      <c r="CC246" s="629"/>
      <c r="CD246" s="630"/>
      <c r="CF246" s="5"/>
      <c r="CG246" s="5"/>
    </row>
    <row r="247" spans="1:85" ht="12" customHeight="1">
      <c r="A247" s="298"/>
      <c r="B247" s="5"/>
      <c r="C247" s="5"/>
      <c r="D247" s="390"/>
      <c r="E247" s="391"/>
      <c r="F247" s="391"/>
      <c r="G247" s="391"/>
      <c r="H247" s="391"/>
      <c r="I247" s="49"/>
      <c r="J247" s="51"/>
      <c r="K247" s="49"/>
      <c r="L247" s="49"/>
      <c r="M247" s="49"/>
      <c r="N247" s="49"/>
      <c r="O247" s="49"/>
      <c r="P247" s="50"/>
      <c r="Q247" s="162" t="s">
        <v>75</v>
      </c>
      <c r="R247" s="388"/>
      <c r="S247" s="388"/>
      <c r="T247" s="388"/>
      <c r="U247" s="388"/>
      <c r="V247" s="389"/>
      <c r="W247" s="165" t="s">
        <v>74</v>
      </c>
      <c r="X247" s="166"/>
      <c r="Y247" s="166"/>
      <c r="Z247" s="166"/>
      <c r="AA247" s="166"/>
      <c r="AB247" s="166"/>
      <c r="AC247" s="166"/>
      <c r="AD247" s="166"/>
      <c r="AE247" s="166"/>
      <c r="AF247" s="166"/>
      <c r="AG247" s="166"/>
      <c r="AH247" s="166"/>
      <c r="AI247" s="166"/>
      <c r="AJ247" s="166"/>
      <c r="AK247" s="166"/>
      <c r="AL247" s="166"/>
      <c r="AM247" s="166"/>
      <c r="AN247" s="166"/>
      <c r="AO247" s="166"/>
      <c r="AP247" s="166"/>
      <c r="AQ247" s="167"/>
      <c r="AR247" s="485" t="s">
        <v>72</v>
      </c>
      <c r="AS247" s="486"/>
      <c r="AT247" s="486"/>
      <c r="AU247" s="486"/>
      <c r="AV247" s="486"/>
      <c r="AW247" s="486"/>
      <c r="AX247" s="486"/>
      <c r="AY247" s="487"/>
      <c r="AZ247" s="640">
        <v>2</v>
      </c>
      <c r="BA247" s="641"/>
      <c r="BB247" s="641"/>
      <c r="BC247" s="642"/>
      <c r="BD247" s="628"/>
      <c r="BE247" s="629"/>
      <c r="BF247" s="629"/>
      <c r="BG247" s="629"/>
      <c r="BH247" s="629"/>
      <c r="BI247" s="629"/>
      <c r="BJ247" s="629"/>
      <c r="BK247" s="629"/>
      <c r="BL247" s="629"/>
      <c r="BM247" s="629"/>
      <c r="BN247" s="629"/>
      <c r="BO247" s="629"/>
      <c r="BP247" s="629"/>
      <c r="BQ247" s="629"/>
      <c r="BR247" s="629"/>
      <c r="BS247" s="629"/>
      <c r="BT247" s="629"/>
      <c r="BU247" s="629"/>
      <c r="BV247" s="629"/>
      <c r="BW247" s="629"/>
      <c r="BX247" s="629"/>
      <c r="BY247" s="629"/>
      <c r="BZ247" s="629"/>
      <c r="CA247" s="629"/>
      <c r="CB247" s="629"/>
      <c r="CC247" s="629"/>
      <c r="CD247" s="630"/>
      <c r="CF247" s="5"/>
      <c r="CG247" s="5"/>
    </row>
    <row r="248" spans="1:85" ht="12" customHeight="1">
      <c r="A248" s="298"/>
      <c r="B248" s="5"/>
      <c r="C248" s="5"/>
      <c r="D248" s="390"/>
      <c r="E248" s="391"/>
      <c r="F248" s="391"/>
      <c r="G248" s="391"/>
      <c r="H248" s="391"/>
      <c r="I248" s="49"/>
      <c r="J248" s="51"/>
      <c r="K248" s="49"/>
      <c r="L248" s="49"/>
      <c r="M248" s="49"/>
      <c r="N248" s="49"/>
      <c r="O248" s="49"/>
      <c r="P248" s="50"/>
      <c r="Q248" s="393"/>
      <c r="R248" s="394"/>
      <c r="S248" s="394"/>
      <c r="T248" s="394"/>
      <c r="U248" s="394"/>
      <c r="V248" s="395"/>
      <c r="W248" s="165" t="s">
        <v>436</v>
      </c>
      <c r="X248" s="166"/>
      <c r="Y248" s="166"/>
      <c r="Z248" s="166"/>
      <c r="AA248" s="166"/>
      <c r="AB248" s="166"/>
      <c r="AC248" s="166"/>
      <c r="AD248" s="166"/>
      <c r="AE248" s="166"/>
      <c r="AF248" s="166"/>
      <c r="AG248" s="166"/>
      <c r="AH248" s="166"/>
      <c r="AI248" s="166"/>
      <c r="AJ248" s="166"/>
      <c r="AK248" s="166"/>
      <c r="AL248" s="166"/>
      <c r="AM248" s="166"/>
      <c r="AN248" s="166"/>
      <c r="AO248" s="166"/>
      <c r="AP248" s="166"/>
      <c r="AQ248" s="167"/>
      <c r="AR248" s="485" t="s">
        <v>72</v>
      </c>
      <c r="AS248" s="486"/>
      <c r="AT248" s="486"/>
      <c r="AU248" s="486"/>
      <c r="AV248" s="486"/>
      <c r="AW248" s="486"/>
      <c r="AX248" s="486"/>
      <c r="AY248" s="487"/>
      <c r="AZ248" s="640">
        <v>2</v>
      </c>
      <c r="BA248" s="641"/>
      <c r="BB248" s="641"/>
      <c r="BC248" s="642"/>
      <c r="BD248" s="628"/>
      <c r="BE248" s="629"/>
      <c r="BF248" s="629"/>
      <c r="BG248" s="629"/>
      <c r="BH248" s="629"/>
      <c r="BI248" s="629"/>
      <c r="BJ248" s="629"/>
      <c r="BK248" s="629"/>
      <c r="BL248" s="629"/>
      <c r="BM248" s="629"/>
      <c r="BN248" s="629"/>
      <c r="BO248" s="629"/>
      <c r="BP248" s="629"/>
      <c r="BQ248" s="629"/>
      <c r="BR248" s="629"/>
      <c r="BS248" s="629"/>
      <c r="BT248" s="629"/>
      <c r="BU248" s="629"/>
      <c r="BV248" s="629"/>
      <c r="BW248" s="629"/>
      <c r="BX248" s="629"/>
      <c r="BY248" s="629"/>
      <c r="BZ248" s="629"/>
      <c r="CA248" s="629"/>
      <c r="CB248" s="629"/>
      <c r="CC248" s="629"/>
      <c r="CD248" s="630"/>
      <c r="CF248" s="5"/>
      <c r="CG248" s="5"/>
    </row>
    <row r="249" spans="1:85" ht="12" customHeight="1">
      <c r="A249" s="298"/>
      <c r="B249" s="5"/>
      <c r="C249" s="5"/>
      <c r="D249" s="390"/>
      <c r="E249" s="391"/>
      <c r="F249" s="391"/>
      <c r="G249" s="391"/>
      <c r="H249" s="391"/>
      <c r="I249" s="49"/>
      <c r="J249" s="51"/>
      <c r="K249" s="49"/>
      <c r="L249" s="49"/>
      <c r="M249" s="49"/>
      <c r="N249" s="49"/>
      <c r="O249" s="49"/>
      <c r="P249" s="50"/>
      <c r="Q249" s="162" t="s">
        <v>71</v>
      </c>
      <c r="R249" s="36"/>
      <c r="S249" s="36"/>
      <c r="T249" s="36"/>
      <c r="U249" s="36"/>
      <c r="V249" s="389"/>
      <c r="W249" s="162" t="s">
        <v>438</v>
      </c>
      <c r="X249" s="36"/>
      <c r="Y249" s="36"/>
      <c r="Z249" s="36"/>
      <c r="AA249" s="36"/>
      <c r="AB249" s="36"/>
      <c r="AC249" s="36"/>
      <c r="AD249" s="36"/>
      <c r="AE249" s="36"/>
      <c r="AF249" s="36"/>
      <c r="AG249" s="36"/>
      <c r="AH249" s="36"/>
      <c r="AI249" s="36"/>
      <c r="AJ249" s="36"/>
      <c r="AK249" s="36"/>
      <c r="AL249" s="36"/>
      <c r="AM249" s="36"/>
      <c r="AN249" s="36"/>
      <c r="AO249" s="36"/>
      <c r="AP249" s="36"/>
      <c r="AQ249" s="389"/>
      <c r="AR249" s="490" t="s">
        <v>371</v>
      </c>
      <c r="AS249" s="399"/>
      <c r="AT249" s="399"/>
      <c r="AU249" s="399"/>
      <c r="AV249" s="399"/>
      <c r="AW249" s="399"/>
      <c r="AX249" s="399"/>
      <c r="AY249" s="240"/>
      <c r="AZ249" s="646" t="s">
        <v>1178</v>
      </c>
      <c r="BA249" s="647"/>
      <c r="BB249" s="647"/>
      <c r="BC249" s="648"/>
      <c r="BD249" s="628"/>
      <c r="BE249" s="629"/>
      <c r="BF249" s="629"/>
      <c r="BG249" s="629"/>
      <c r="BH249" s="629"/>
      <c r="BI249" s="629"/>
      <c r="BJ249" s="629"/>
      <c r="BK249" s="629"/>
      <c r="BL249" s="629"/>
      <c r="BM249" s="629"/>
      <c r="BN249" s="629"/>
      <c r="BO249" s="629"/>
      <c r="BP249" s="629"/>
      <c r="BQ249" s="629"/>
      <c r="BR249" s="629"/>
      <c r="BS249" s="629"/>
      <c r="BT249" s="629"/>
      <c r="BU249" s="629"/>
      <c r="BV249" s="629"/>
      <c r="BW249" s="629"/>
      <c r="BX249" s="629"/>
      <c r="BY249" s="629"/>
      <c r="BZ249" s="629"/>
      <c r="CA249" s="629"/>
      <c r="CB249" s="629"/>
      <c r="CC249" s="629"/>
      <c r="CD249" s="630"/>
      <c r="CF249" s="5"/>
      <c r="CG249" s="5"/>
    </row>
    <row r="250" spans="1:85" ht="12" customHeight="1">
      <c r="A250" s="298"/>
      <c r="B250" s="5"/>
      <c r="C250" s="5"/>
      <c r="D250" s="393"/>
      <c r="E250" s="394"/>
      <c r="F250" s="394"/>
      <c r="G250" s="394"/>
      <c r="H250" s="394"/>
      <c r="I250" s="221"/>
      <c r="J250" s="220"/>
      <c r="K250" s="221"/>
      <c r="L250" s="221"/>
      <c r="M250" s="221"/>
      <c r="N250" s="221"/>
      <c r="O250" s="221"/>
      <c r="P250" s="222"/>
      <c r="Q250" s="165" t="s">
        <v>70</v>
      </c>
      <c r="R250" s="166"/>
      <c r="S250" s="166"/>
      <c r="T250" s="166"/>
      <c r="U250" s="166"/>
      <c r="V250" s="167"/>
      <c r="W250" s="165" t="s">
        <v>69</v>
      </c>
      <c r="X250" s="166"/>
      <c r="Y250" s="166"/>
      <c r="Z250" s="166"/>
      <c r="AA250" s="166"/>
      <c r="AB250" s="166"/>
      <c r="AC250" s="166"/>
      <c r="AD250" s="166"/>
      <c r="AE250" s="166"/>
      <c r="AF250" s="166"/>
      <c r="AG250" s="166"/>
      <c r="AH250" s="166"/>
      <c r="AI250" s="166"/>
      <c r="AJ250" s="166"/>
      <c r="AK250" s="166"/>
      <c r="AL250" s="166"/>
      <c r="AM250" s="166"/>
      <c r="AN250" s="166"/>
      <c r="AO250" s="166"/>
      <c r="AP250" s="166"/>
      <c r="AQ250" s="167"/>
      <c r="AR250" s="489" t="s">
        <v>68</v>
      </c>
      <c r="AS250" s="483"/>
      <c r="AT250" s="483"/>
      <c r="AU250" s="483"/>
      <c r="AV250" s="483"/>
      <c r="AW250" s="483"/>
      <c r="AX250" s="483"/>
      <c r="AY250" s="484"/>
      <c r="AZ250" s="640">
        <v>2</v>
      </c>
      <c r="BA250" s="641"/>
      <c r="BB250" s="641"/>
      <c r="BC250" s="642"/>
      <c r="BD250" s="628"/>
      <c r="BE250" s="629"/>
      <c r="BF250" s="629"/>
      <c r="BG250" s="629"/>
      <c r="BH250" s="629"/>
      <c r="BI250" s="629"/>
      <c r="BJ250" s="629"/>
      <c r="BK250" s="629"/>
      <c r="BL250" s="629"/>
      <c r="BM250" s="629"/>
      <c r="BN250" s="629"/>
      <c r="BO250" s="629"/>
      <c r="BP250" s="629"/>
      <c r="BQ250" s="629"/>
      <c r="BR250" s="629"/>
      <c r="BS250" s="629"/>
      <c r="BT250" s="629"/>
      <c r="BU250" s="629"/>
      <c r="BV250" s="629"/>
      <c r="BW250" s="629"/>
      <c r="BX250" s="629"/>
      <c r="BY250" s="629"/>
      <c r="BZ250" s="629"/>
      <c r="CA250" s="629"/>
      <c r="CB250" s="629"/>
      <c r="CC250" s="629"/>
      <c r="CD250" s="630"/>
      <c r="CF250" s="5"/>
      <c r="CG250" s="5"/>
    </row>
    <row r="251" spans="1:85" ht="12" customHeight="1">
      <c r="A251" s="298"/>
      <c r="B251" s="5"/>
      <c r="C251" s="3"/>
      <c r="D251" s="162" t="s">
        <v>237</v>
      </c>
      <c r="E251" s="388"/>
      <c r="F251" s="388"/>
      <c r="G251" s="388"/>
      <c r="H251" s="388"/>
      <c r="I251" s="219"/>
      <c r="J251" s="175" t="s">
        <v>375</v>
      </c>
      <c r="K251" s="175"/>
      <c r="L251" s="175"/>
      <c r="M251" s="175"/>
      <c r="N251" s="175"/>
      <c r="O251" s="175"/>
      <c r="P251" s="176"/>
      <c r="Q251" s="165" t="s">
        <v>377</v>
      </c>
      <c r="R251" s="166"/>
      <c r="S251" s="166"/>
      <c r="T251" s="166"/>
      <c r="U251" s="166"/>
      <c r="V251" s="167"/>
      <c r="W251" s="165" t="s">
        <v>378</v>
      </c>
      <c r="X251" s="166"/>
      <c r="Y251" s="166"/>
      <c r="Z251" s="166"/>
      <c r="AA251" s="166"/>
      <c r="AB251" s="166"/>
      <c r="AC251" s="166"/>
      <c r="AD251" s="166"/>
      <c r="AE251" s="166"/>
      <c r="AF251" s="166"/>
      <c r="AG251" s="166"/>
      <c r="AH251" s="166"/>
      <c r="AI251" s="166"/>
      <c r="AJ251" s="166"/>
      <c r="AK251" s="166"/>
      <c r="AL251" s="166"/>
      <c r="AM251" s="166"/>
      <c r="AN251" s="166"/>
      <c r="AO251" s="166"/>
      <c r="AP251" s="166"/>
      <c r="AQ251" s="167"/>
      <c r="AR251" s="482" t="s">
        <v>379</v>
      </c>
      <c r="AS251" s="483"/>
      <c r="AT251" s="483"/>
      <c r="AU251" s="483"/>
      <c r="AV251" s="483"/>
      <c r="AW251" s="483"/>
      <c r="AX251" s="483"/>
      <c r="AY251" s="484"/>
      <c r="AZ251" s="640">
        <v>1</v>
      </c>
      <c r="BA251" s="641"/>
      <c r="BB251" s="641"/>
      <c r="BC251" s="642"/>
      <c r="BD251" s="628"/>
      <c r="BE251" s="629"/>
      <c r="BF251" s="629"/>
      <c r="BG251" s="629"/>
      <c r="BH251" s="629"/>
      <c r="BI251" s="629"/>
      <c r="BJ251" s="629"/>
      <c r="BK251" s="629"/>
      <c r="BL251" s="629"/>
      <c r="BM251" s="629"/>
      <c r="BN251" s="629"/>
      <c r="BO251" s="629"/>
      <c r="BP251" s="629"/>
      <c r="BQ251" s="629"/>
      <c r="BR251" s="629"/>
      <c r="BS251" s="629"/>
      <c r="BT251" s="629"/>
      <c r="BU251" s="629"/>
      <c r="BV251" s="629"/>
      <c r="BW251" s="629"/>
      <c r="BX251" s="629"/>
      <c r="BY251" s="629"/>
      <c r="BZ251" s="629"/>
      <c r="CA251" s="629"/>
      <c r="CB251" s="629"/>
      <c r="CC251" s="629"/>
      <c r="CD251" s="630"/>
      <c r="CF251" s="5"/>
      <c r="CG251" s="5"/>
    </row>
    <row r="252" spans="1:85" ht="12" customHeight="1">
      <c r="A252" s="298"/>
      <c r="B252" s="5"/>
      <c r="C252" s="5"/>
      <c r="D252" s="390"/>
      <c r="E252" s="391"/>
      <c r="F252" s="391"/>
      <c r="G252" s="391"/>
      <c r="H252" s="391"/>
      <c r="I252" s="50"/>
      <c r="J252" s="217" t="s">
        <v>376</v>
      </c>
      <c r="K252" s="218"/>
      <c r="L252" s="218"/>
      <c r="M252" s="218"/>
      <c r="N252" s="218"/>
      <c r="O252" s="218"/>
      <c r="P252" s="219"/>
      <c r="Q252" s="391" t="s">
        <v>432</v>
      </c>
      <c r="R252" s="391"/>
      <c r="S252" s="391"/>
      <c r="T252" s="391"/>
      <c r="U252" s="391"/>
      <c r="V252" s="392"/>
      <c r="W252" s="165" t="s">
        <v>434</v>
      </c>
      <c r="X252" s="166"/>
      <c r="Y252" s="166"/>
      <c r="Z252" s="166"/>
      <c r="AA252" s="166"/>
      <c r="AB252" s="166"/>
      <c r="AC252" s="166"/>
      <c r="AD252" s="166"/>
      <c r="AE252" s="166"/>
      <c r="AF252" s="166"/>
      <c r="AG252" s="166"/>
      <c r="AH252" s="166"/>
      <c r="AI252" s="166"/>
      <c r="AJ252" s="166"/>
      <c r="AK252" s="166"/>
      <c r="AL252" s="166"/>
      <c r="AM252" s="166"/>
      <c r="AN252" s="166"/>
      <c r="AO252" s="166"/>
      <c r="AP252" s="166"/>
      <c r="AQ252" s="167"/>
      <c r="AR252" s="489" t="s">
        <v>81</v>
      </c>
      <c r="AS252" s="483"/>
      <c r="AT252" s="483"/>
      <c r="AU252" s="483"/>
      <c r="AV252" s="483"/>
      <c r="AW252" s="483"/>
      <c r="AX252" s="483"/>
      <c r="AY252" s="484"/>
      <c r="AZ252" s="640">
        <v>1</v>
      </c>
      <c r="BA252" s="641"/>
      <c r="BB252" s="641"/>
      <c r="BC252" s="642"/>
      <c r="BD252" s="628"/>
      <c r="BE252" s="629"/>
      <c r="BF252" s="629"/>
      <c r="BG252" s="629"/>
      <c r="BH252" s="629"/>
      <c r="BI252" s="629"/>
      <c r="BJ252" s="629"/>
      <c r="BK252" s="629"/>
      <c r="BL252" s="629"/>
      <c r="BM252" s="629"/>
      <c r="BN252" s="629"/>
      <c r="BO252" s="629"/>
      <c r="BP252" s="629"/>
      <c r="BQ252" s="629"/>
      <c r="BR252" s="629"/>
      <c r="BS252" s="629"/>
      <c r="BT252" s="629"/>
      <c r="BU252" s="629"/>
      <c r="BV252" s="629"/>
      <c r="BW252" s="629"/>
      <c r="BX252" s="629"/>
      <c r="BY252" s="629"/>
      <c r="BZ252" s="629"/>
      <c r="CA252" s="629"/>
      <c r="CB252" s="629"/>
      <c r="CC252" s="629"/>
      <c r="CD252" s="630"/>
      <c r="CF252" s="5"/>
      <c r="CG252" s="5"/>
    </row>
    <row r="253" spans="1:85" ht="12" customHeight="1">
      <c r="A253" s="298"/>
      <c r="B253" s="5"/>
      <c r="C253" s="3"/>
      <c r="D253" s="390"/>
      <c r="E253" s="391"/>
      <c r="F253" s="391"/>
      <c r="G253" s="391"/>
      <c r="H253" s="391"/>
      <c r="I253" s="50"/>
      <c r="J253" s="51"/>
      <c r="K253" s="49"/>
      <c r="L253" s="49"/>
      <c r="M253" s="49"/>
      <c r="N253" s="49"/>
      <c r="O253" s="49"/>
      <c r="P253" s="50"/>
      <c r="Q253" s="388" t="s">
        <v>75</v>
      </c>
      <c r="R253" s="388"/>
      <c r="S253" s="388"/>
      <c r="T253" s="388"/>
      <c r="U253" s="388"/>
      <c r="V253" s="389"/>
      <c r="W253" s="165" t="s">
        <v>74</v>
      </c>
      <c r="X253" s="166"/>
      <c r="Y253" s="166"/>
      <c r="Z253" s="166"/>
      <c r="AA253" s="166"/>
      <c r="AB253" s="166"/>
      <c r="AC253" s="166"/>
      <c r="AD253" s="166"/>
      <c r="AE253" s="166"/>
      <c r="AF253" s="166"/>
      <c r="AG253" s="166"/>
      <c r="AH253" s="166"/>
      <c r="AI253" s="166"/>
      <c r="AJ253" s="166"/>
      <c r="AK253" s="166"/>
      <c r="AL253" s="166"/>
      <c r="AM253" s="166"/>
      <c r="AN253" s="166"/>
      <c r="AO253" s="166"/>
      <c r="AP253" s="166"/>
      <c r="AQ253" s="167"/>
      <c r="AR253" s="485" t="s">
        <v>72</v>
      </c>
      <c r="AS253" s="486"/>
      <c r="AT253" s="486"/>
      <c r="AU253" s="486"/>
      <c r="AV253" s="486"/>
      <c r="AW253" s="486"/>
      <c r="AX253" s="486"/>
      <c r="AY253" s="487"/>
      <c r="AZ253" s="640">
        <v>1</v>
      </c>
      <c r="BA253" s="641"/>
      <c r="BB253" s="641"/>
      <c r="BC253" s="642"/>
      <c r="BD253" s="628"/>
      <c r="BE253" s="629"/>
      <c r="BF253" s="629"/>
      <c r="BG253" s="629"/>
      <c r="BH253" s="629"/>
      <c r="BI253" s="629"/>
      <c r="BJ253" s="629"/>
      <c r="BK253" s="629"/>
      <c r="BL253" s="629"/>
      <c r="BM253" s="629"/>
      <c r="BN253" s="629"/>
      <c r="BO253" s="629"/>
      <c r="BP253" s="629"/>
      <c r="BQ253" s="629"/>
      <c r="BR253" s="629"/>
      <c r="BS253" s="629"/>
      <c r="BT253" s="629"/>
      <c r="BU253" s="629"/>
      <c r="BV253" s="629"/>
      <c r="BW253" s="629"/>
      <c r="BX253" s="629"/>
      <c r="BY253" s="629"/>
      <c r="BZ253" s="629"/>
      <c r="CA253" s="629"/>
      <c r="CB253" s="629"/>
      <c r="CC253" s="629"/>
      <c r="CD253" s="630"/>
      <c r="CF253" s="5"/>
      <c r="CG253" s="5"/>
    </row>
    <row r="254" spans="1:85" ht="12" customHeight="1">
      <c r="A254" s="298"/>
      <c r="B254" s="5"/>
      <c r="C254" s="3"/>
      <c r="D254" s="390"/>
      <c r="E254" s="391"/>
      <c r="F254" s="391"/>
      <c r="G254" s="391"/>
      <c r="H254" s="391"/>
      <c r="I254" s="50"/>
      <c r="J254" s="51"/>
      <c r="K254" s="49"/>
      <c r="L254" s="49"/>
      <c r="M254" s="49"/>
      <c r="N254" s="49"/>
      <c r="O254" s="49"/>
      <c r="P254" s="50"/>
      <c r="Q254" s="394"/>
      <c r="R254" s="394"/>
      <c r="S254" s="394"/>
      <c r="T254" s="394"/>
      <c r="U254" s="394"/>
      <c r="V254" s="395"/>
      <c r="W254" s="165" t="s">
        <v>655</v>
      </c>
      <c r="X254" s="166"/>
      <c r="Y254" s="166"/>
      <c r="Z254" s="166"/>
      <c r="AA254" s="166"/>
      <c r="AB254" s="166"/>
      <c r="AC254" s="166"/>
      <c r="AD254" s="166"/>
      <c r="AE254" s="166"/>
      <c r="AF254" s="166"/>
      <c r="AG254" s="166"/>
      <c r="AH254" s="166"/>
      <c r="AI254" s="166"/>
      <c r="AJ254" s="166"/>
      <c r="AK254" s="166"/>
      <c r="AL254" s="166"/>
      <c r="AM254" s="166"/>
      <c r="AN254" s="166"/>
      <c r="AO254" s="166"/>
      <c r="AP254" s="166"/>
      <c r="AQ254" s="167"/>
      <c r="AR254" s="485" t="s">
        <v>72</v>
      </c>
      <c r="AS254" s="486"/>
      <c r="AT254" s="486"/>
      <c r="AU254" s="486"/>
      <c r="AV254" s="486"/>
      <c r="AW254" s="486"/>
      <c r="AX254" s="486"/>
      <c r="AY254" s="487"/>
      <c r="AZ254" s="640">
        <v>1</v>
      </c>
      <c r="BA254" s="641"/>
      <c r="BB254" s="641"/>
      <c r="BC254" s="642"/>
      <c r="BD254" s="628"/>
      <c r="BE254" s="629"/>
      <c r="BF254" s="629"/>
      <c r="BG254" s="629"/>
      <c r="BH254" s="629"/>
      <c r="BI254" s="629"/>
      <c r="BJ254" s="629"/>
      <c r="BK254" s="629"/>
      <c r="BL254" s="629"/>
      <c r="BM254" s="629"/>
      <c r="BN254" s="629"/>
      <c r="BO254" s="629"/>
      <c r="BP254" s="629"/>
      <c r="BQ254" s="629"/>
      <c r="BR254" s="629"/>
      <c r="BS254" s="629"/>
      <c r="BT254" s="629"/>
      <c r="BU254" s="629"/>
      <c r="BV254" s="629"/>
      <c r="BW254" s="629"/>
      <c r="BX254" s="629"/>
      <c r="BY254" s="629"/>
      <c r="BZ254" s="629"/>
      <c r="CA254" s="629"/>
      <c r="CB254" s="629"/>
      <c r="CC254" s="629"/>
      <c r="CD254" s="630"/>
      <c r="CF254" s="5"/>
      <c r="CG254" s="5"/>
    </row>
    <row r="255" spans="1:85" ht="12" customHeight="1">
      <c r="A255" s="298"/>
      <c r="B255" s="5"/>
      <c r="C255" s="3"/>
      <c r="D255" s="390"/>
      <c r="E255" s="391"/>
      <c r="F255" s="391"/>
      <c r="G255" s="391"/>
      <c r="H255" s="391"/>
      <c r="I255" s="50"/>
      <c r="J255" s="51"/>
      <c r="K255" s="49"/>
      <c r="L255" s="49"/>
      <c r="M255" s="49"/>
      <c r="N255" s="49"/>
      <c r="O255" s="49"/>
      <c r="P255" s="50"/>
      <c r="Q255" s="380" t="s">
        <v>380</v>
      </c>
      <c r="R255" s="380"/>
      <c r="S255" s="380"/>
      <c r="T255" s="380"/>
      <c r="U255" s="380"/>
      <c r="V255" s="381"/>
      <c r="W255" s="382" t="s">
        <v>381</v>
      </c>
      <c r="X255" s="383"/>
      <c r="Y255" s="383"/>
      <c r="Z255" s="383"/>
      <c r="AA255" s="383"/>
      <c r="AB255" s="383"/>
      <c r="AC255" s="383"/>
      <c r="AD255" s="383"/>
      <c r="AE255" s="383"/>
      <c r="AF255" s="383"/>
      <c r="AG255" s="383"/>
      <c r="AH255" s="383"/>
      <c r="AI255" s="383"/>
      <c r="AJ255" s="383"/>
      <c r="AK255" s="383"/>
      <c r="AL255" s="383"/>
      <c r="AM255" s="383"/>
      <c r="AN255" s="383"/>
      <c r="AO255" s="383"/>
      <c r="AP255" s="383"/>
      <c r="AQ255" s="384"/>
      <c r="AR255" s="491" t="s">
        <v>383</v>
      </c>
      <c r="AS255" s="492"/>
      <c r="AT255" s="492"/>
      <c r="AU255" s="492"/>
      <c r="AV255" s="492"/>
      <c r="AW255" s="492"/>
      <c r="AX255" s="492"/>
      <c r="AY255" s="493"/>
      <c r="AZ255" s="643">
        <v>1</v>
      </c>
      <c r="BA255" s="644"/>
      <c r="BB255" s="644"/>
      <c r="BC255" s="645"/>
      <c r="BD255" s="628"/>
      <c r="BE255" s="629"/>
      <c r="BF255" s="629"/>
      <c r="BG255" s="629"/>
      <c r="BH255" s="629"/>
      <c r="BI255" s="629"/>
      <c r="BJ255" s="629"/>
      <c r="BK255" s="629"/>
      <c r="BL255" s="629"/>
      <c r="BM255" s="629"/>
      <c r="BN255" s="629"/>
      <c r="BO255" s="629"/>
      <c r="BP255" s="629"/>
      <c r="BQ255" s="629"/>
      <c r="BR255" s="629"/>
      <c r="BS255" s="629"/>
      <c r="BT255" s="629"/>
      <c r="BU255" s="629"/>
      <c r="BV255" s="629"/>
      <c r="BW255" s="629"/>
      <c r="BX255" s="629"/>
      <c r="BY255" s="629"/>
      <c r="BZ255" s="629"/>
      <c r="CA255" s="629"/>
      <c r="CB255" s="629"/>
      <c r="CC255" s="629"/>
      <c r="CD255" s="630"/>
      <c r="CF255" s="5"/>
      <c r="CG255" s="5"/>
    </row>
    <row r="256" spans="1:85" ht="12" customHeight="1">
      <c r="A256" s="298"/>
      <c r="B256" s="5"/>
      <c r="C256" s="3"/>
      <c r="D256" s="390"/>
      <c r="E256" s="391"/>
      <c r="F256" s="391"/>
      <c r="G256" s="391"/>
      <c r="H256" s="391"/>
      <c r="I256" s="50"/>
      <c r="J256" s="51"/>
      <c r="K256" s="49"/>
      <c r="L256" s="49"/>
      <c r="M256" s="49"/>
      <c r="N256" s="49"/>
      <c r="O256" s="49"/>
      <c r="P256" s="50"/>
      <c r="Q256" s="385"/>
      <c r="R256" s="385"/>
      <c r="S256" s="385"/>
      <c r="T256" s="385"/>
      <c r="U256" s="385"/>
      <c r="V256" s="386"/>
      <c r="W256" s="379" t="s">
        <v>382</v>
      </c>
      <c r="X256" s="387"/>
      <c r="Y256" s="387"/>
      <c r="Z256" s="387"/>
      <c r="AA256" s="387"/>
      <c r="AB256" s="387"/>
      <c r="AC256" s="387"/>
      <c r="AD256" s="387"/>
      <c r="AE256" s="387"/>
      <c r="AF256" s="387"/>
      <c r="AG256" s="387"/>
      <c r="AH256" s="387"/>
      <c r="AI256" s="387"/>
      <c r="AJ256" s="387"/>
      <c r="AK256" s="387"/>
      <c r="AL256" s="387"/>
      <c r="AM256" s="387"/>
      <c r="AN256" s="387"/>
      <c r="AO256" s="387"/>
      <c r="AP256" s="387"/>
      <c r="AQ256" s="381"/>
      <c r="AR256" s="494" t="s">
        <v>384</v>
      </c>
      <c r="AS256" s="495"/>
      <c r="AT256" s="495"/>
      <c r="AU256" s="495"/>
      <c r="AV256" s="495"/>
      <c r="AW256" s="495"/>
      <c r="AX256" s="495"/>
      <c r="AY256" s="496"/>
      <c r="AZ256" s="634">
        <v>1</v>
      </c>
      <c r="BA256" s="635"/>
      <c r="BB256" s="635"/>
      <c r="BC256" s="636"/>
      <c r="BD256" s="628"/>
      <c r="BE256" s="629"/>
      <c r="BF256" s="629"/>
      <c r="BG256" s="629"/>
      <c r="BH256" s="629"/>
      <c r="BI256" s="629"/>
      <c r="BJ256" s="629"/>
      <c r="BK256" s="629"/>
      <c r="BL256" s="629"/>
      <c r="BM256" s="629"/>
      <c r="BN256" s="629"/>
      <c r="BO256" s="629"/>
      <c r="BP256" s="629"/>
      <c r="BQ256" s="629"/>
      <c r="BR256" s="629"/>
      <c r="BS256" s="629"/>
      <c r="BT256" s="629"/>
      <c r="BU256" s="629"/>
      <c r="BV256" s="629"/>
      <c r="BW256" s="629"/>
      <c r="BX256" s="629"/>
      <c r="BY256" s="629"/>
      <c r="BZ256" s="629"/>
      <c r="CA256" s="629"/>
      <c r="CB256" s="629"/>
      <c r="CC256" s="629"/>
      <c r="CD256" s="630"/>
      <c r="CF256" s="5"/>
      <c r="CG256" s="5"/>
    </row>
    <row r="257" spans="1:85" ht="12" customHeight="1">
      <c r="A257" s="298"/>
      <c r="B257" s="5"/>
      <c r="C257" s="3"/>
      <c r="D257" s="390"/>
      <c r="E257" s="391"/>
      <c r="F257" s="391"/>
      <c r="G257" s="391"/>
      <c r="H257" s="391"/>
      <c r="I257" s="50"/>
      <c r="J257" s="51"/>
      <c r="K257" s="49"/>
      <c r="L257" s="49"/>
      <c r="M257" s="49"/>
      <c r="N257" s="49"/>
      <c r="O257" s="49"/>
      <c r="P257" s="50"/>
      <c r="Q257" s="388" t="s">
        <v>70</v>
      </c>
      <c r="R257" s="388"/>
      <c r="S257" s="388"/>
      <c r="T257" s="388"/>
      <c r="U257" s="388"/>
      <c r="V257" s="389"/>
      <c r="W257" s="162" t="s">
        <v>69</v>
      </c>
      <c r="X257" s="388"/>
      <c r="Y257" s="388"/>
      <c r="Z257" s="388"/>
      <c r="AA257" s="388"/>
      <c r="AB257" s="388"/>
      <c r="AC257" s="388"/>
      <c r="AD257" s="388"/>
      <c r="AE257" s="388"/>
      <c r="AF257" s="388"/>
      <c r="AG257" s="388"/>
      <c r="AH257" s="388"/>
      <c r="AI257" s="388"/>
      <c r="AJ257" s="388"/>
      <c r="AK257" s="388"/>
      <c r="AL257" s="388"/>
      <c r="AM257" s="388"/>
      <c r="AN257" s="388"/>
      <c r="AO257" s="388"/>
      <c r="AP257" s="388"/>
      <c r="AQ257" s="389"/>
      <c r="AR257" s="252" t="s">
        <v>68</v>
      </c>
      <c r="AS257" s="253"/>
      <c r="AT257" s="253"/>
      <c r="AU257" s="253"/>
      <c r="AV257" s="253"/>
      <c r="AW257" s="253"/>
      <c r="AX257" s="253"/>
      <c r="AY257" s="254"/>
      <c r="AZ257" s="637">
        <v>1</v>
      </c>
      <c r="BA257" s="638"/>
      <c r="BB257" s="638"/>
      <c r="BC257" s="639"/>
      <c r="BD257" s="628"/>
      <c r="BE257" s="629"/>
      <c r="BF257" s="629"/>
      <c r="BG257" s="629"/>
      <c r="BH257" s="629"/>
      <c r="BI257" s="629"/>
      <c r="BJ257" s="629"/>
      <c r="BK257" s="629"/>
      <c r="BL257" s="629"/>
      <c r="BM257" s="629"/>
      <c r="BN257" s="629"/>
      <c r="BO257" s="629"/>
      <c r="BP257" s="629"/>
      <c r="BQ257" s="629"/>
      <c r="BR257" s="629"/>
      <c r="BS257" s="629"/>
      <c r="BT257" s="629"/>
      <c r="BU257" s="629"/>
      <c r="BV257" s="629"/>
      <c r="BW257" s="629"/>
      <c r="BX257" s="629"/>
      <c r="BY257" s="629"/>
      <c r="BZ257" s="629"/>
      <c r="CA257" s="629"/>
      <c r="CB257" s="629"/>
      <c r="CC257" s="629"/>
      <c r="CD257" s="630"/>
      <c r="CF257" s="5"/>
      <c r="CG257" s="5"/>
    </row>
    <row r="258" spans="1:85" ht="12" customHeight="1">
      <c r="A258" s="298"/>
      <c r="B258" s="5"/>
      <c r="C258" s="3"/>
      <c r="D258" s="390"/>
      <c r="E258" s="391"/>
      <c r="F258" s="391"/>
      <c r="G258" s="391"/>
      <c r="H258" s="391"/>
      <c r="I258" s="50"/>
      <c r="J258" s="51"/>
      <c r="K258" s="49"/>
      <c r="L258" s="49"/>
      <c r="M258" s="49"/>
      <c r="N258" s="49"/>
      <c r="O258" s="49"/>
      <c r="P258" s="49"/>
      <c r="Q258" s="162" t="s">
        <v>385</v>
      </c>
      <c r="R258" s="388"/>
      <c r="S258" s="388"/>
      <c r="T258" s="388"/>
      <c r="U258" s="388"/>
      <c r="V258" s="389"/>
      <c r="W258" s="162" t="s">
        <v>386</v>
      </c>
      <c r="X258" s="388"/>
      <c r="Y258" s="388"/>
      <c r="Z258" s="388"/>
      <c r="AA258" s="388"/>
      <c r="AB258" s="388"/>
      <c r="AC258" s="388"/>
      <c r="AD258" s="388"/>
      <c r="AE258" s="388"/>
      <c r="AF258" s="388"/>
      <c r="AG258" s="388"/>
      <c r="AH258" s="388"/>
      <c r="AI258" s="388"/>
      <c r="AJ258" s="388"/>
      <c r="AK258" s="388"/>
      <c r="AL258" s="388"/>
      <c r="AM258" s="388"/>
      <c r="AN258" s="388"/>
      <c r="AO258" s="388"/>
      <c r="AP258" s="388"/>
      <c r="AQ258" s="389"/>
      <c r="AR258" s="490" t="s">
        <v>407</v>
      </c>
      <c r="AS258" s="399"/>
      <c r="AT258" s="399"/>
      <c r="AU258" s="399"/>
      <c r="AV258" s="399"/>
      <c r="AW258" s="399"/>
      <c r="AX258" s="399"/>
      <c r="AY258" s="240"/>
      <c r="AZ258" s="637">
        <v>1</v>
      </c>
      <c r="BA258" s="638"/>
      <c r="BB258" s="638"/>
      <c r="BC258" s="639"/>
      <c r="BD258" s="622" t="s">
        <v>1180</v>
      </c>
      <c r="BE258" s="623"/>
      <c r="BF258" s="623"/>
      <c r="BG258" s="623"/>
      <c r="BH258" s="623"/>
      <c r="BI258" s="623"/>
      <c r="BJ258" s="623"/>
      <c r="BK258" s="623"/>
      <c r="BL258" s="623"/>
      <c r="BM258" s="623"/>
      <c r="BN258" s="623"/>
      <c r="BO258" s="623"/>
      <c r="BP258" s="623"/>
      <c r="BQ258" s="623"/>
      <c r="BR258" s="623"/>
      <c r="BS258" s="623"/>
      <c r="BT258" s="623"/>
      <c r="BU258" s="623"/>
      <c r="BV258" s="623"/>
      <c r="BW258" s="623"/>
      <c r="BX258" s="623"/>
      <c r="BY258" s="623"/>
      <c r="BZ258" s="623"/>
      <c r="CA258" s="623"/>
      <c r="CB258" s="623"/>
      <c r="CC258" s="623"/>
      <c r="CD258" s="624"/>
      <c r="CF258" s="5"/>
      <c r="CG258" s="5"/>
    </row>
    <row r="259" spans="1:85" ht="12" customHeight="1">
      <c r="A259" s="298"/>
      <c r="B259" s="5"/>
      <c r="C259" s="391"/>
      <c r="D259" s="393"/>
      <c r="E259" s="394"/>
      <c r="F259" s="394"/>
      <c r="G259" s="394"/>
      <c r="H259" s="394"/>
      <c r="I259" s="222"/>
      <c r="J259" s="220"/>
      <c r="K259" s="221"/>
      <c r="L259" s="221"/>
      <c r="M259" s="221"/>
      <c r="N259" s="221"/>
      <c r="O259" s="221"/>
      <c r="P259" s="221"/>
      <c r="Q259" s="393"/>
      <c r="R259" s="394"/>
      <c r="S259" s="394"/>
      <c r="T259" s="394"/>
      <c r="U259" s="394"/>
      <c r="V259" s="395"/>
      <c r="W259" s="393"/>
      <c r="X259" s="394"/>
      <c r="Y259" s="394"/>
      <c r="Z259" s="394"/>
      <c r="AA259" s="394"/>
      <c r="AB259" s="394"/>
      <c r="AC259" s="394"/>
      <c r="AD259" s="394"/>
      <c r="AE259" s="394"/>
      <c r="AF259" s="394"/>
      <c r="AG259" s="394"/>
      <c r="AH259" s="394"/>
      <c r="AI259" s="394"/>
      <c r="AJ259" s="394"/>
      <c r="AK259" s="394"/>
      <c r="AL259" s="394"/>
      <c r="AM259" s="394"/>
      <c r="AN259" s="394"/>
      <c r="AO259" s="394"/>
      <c r="AP259" s="394"/>
      <c r="AQ259" s="395"/>
      <c r="AR259" s="502"/>
      <c r="AS259" s="245"/>
      <c r="AT259" s="245"/>
      <c r="AU259" s="245"/>
      <c r="AV259" s="245"/>
      <c r="AW259" s="245"/>
      <c r="AX259" s="245"/>
      <c r="AY259" s="246"/>
      <c r="AZ259" s="499"/>
      <c r="BA259" s="500"/>
      <c r="BB259" s="500"/>
      <c r="BC259" s="501"/>
      <c r="BD259" s="625"/>
      <c r="BE259" s="626"/>
      <c r="BF259" s="626"/>
      <c r="BG259" s="626"/>
      <c r="BH259" s="626"/>
      <c r="BI259" s="626"/>
      <c r="BJ259" s="626"/>
      <c r="BK259" s="626"/>
      <c r="BL259" s="626"/>
      <c r="BM259" s="626"/>
      <c r="BN259" s="626"/>
      <c r="BO259" s="626"/>
      <c r="BP259" s="626"/>
      <c r="BQ259" s="626"/>
      <c r="BR259" s="626"/>
      <c r="BS259" s="626"/>
      <c r="BT259" s="626"/>
      <c r="BU259" s="626"/>
      <c r="BV259" s="626"/>
      <c r="BW259" s="626"/>
      <c r="BX259" s="626"/>
      <c r="BY259" s="626"/>
      <c r="BZ259" s="626"/>
      <c r="CA259" s="626"/>
      <c r="CB259" s="626"/>
      <c r="CC259" s="626"/>
      <c r="CD259" s="627"/>
      <c r="CF259" s="5"/>
      <c r="CG259" s="5"/>
    </row>
    <row r="260" spans="1:85" ht="12" customHeight="1">
      <c r="A260" s="298"/>
      <c r="B260" s="5"/>
      <c r="C260" s="3"/>
      <c r="D260" s="3" t="s">
        <v>1179</v>
      </c>
      <c r="E260" s="3"/>
      <c r="F260" s="3"/>
      <c r="G260" s="3"/>
      <c r="H260" s="3"/>
      <c r="I260" s="3"/>
      <c r="J260" s="3"/>
      <c r="K260" s="49"/>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row>
    <row r="261" spans="1:85" ht="12" customHeight="1">
      <c r="A261" s="55"/>
      <c r="B261" s="362"/>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row>
    <row r="262" spans="1:85" ht="12" customHeight="1">
      <c r="A262" s="55"/>
      <c r="B262" s="362"/>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row>
    <row r="263" spans="1:85" ht="12" customHeight="1">
      <c r="A263" s="55"/>
      <c r="B263" s="362"/>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row>
    <row r="264" spans="1:85" ht="12" customHeight="1">
      <c r="A264" s="55"/>
      <c r="B264" s="362"/>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row>
    <row r="265" spans="1:85" ht="12" customHeight="1">
      <c r="A265" s="55"/>
      <c r="B265" s="362"/>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row>
    <row r="266" spans="1:85" ht="12" customHeight="1">
      <c r="A266" s="55"/>
      <c r="B266" s="362"/>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row>
    <row r="267" spans="1:85" ht="12" customHeight="1">
      <c r="A267" s="405"/>
      <c r="B267" s="2"/>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2"/>
    </row>
    <row r="268" spans="1:85" ht="12" customHeight="1">
      <c r="A268" s="405"/>
      <c r="B268" s="2"/>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2"/>
    </row>
    <row r="269" spans="1:85" ht="12" customHeight="1">
      <c r="A269" s="405"/>
      <c r="B269" s="2"/>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2"/>
    </row>
    <row r="270" spans="1:85" ht="12" customHeight="1">
      <c r="A270" s="405"/>
      <c r="B270" s="2"/>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2"/>
    </row>
    <row r="271" spans="1:85" ht="12" customHeight="1">
      <c r="A271" s="405"/>
      <c r="B271" s="2"/>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2"/>
    </row>
    <row r="272" spans="1:85" ht="12" customHeight="1">
      <c r="A272" s="405"/>
      <c r="B272" s="2"/>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2"/>
    </row>
    <row r="273" spans="1:83" ht="12" customHeight="1">
      <c r="A273" s="405"/>
      <c r="B273" s="2"/>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2"/>
    </row>
    <row r="274" spans="1:83" ht="12" customHeight="1">
      <c r="A274" s="405"/>
      <c r="B274" s="2"/>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2"/>
      <c r="BH274" s="2"/>
      <c r="BI274" s="2"/>
      <c r="BJ274" s="2"/>
      <c r="BK274" s="2"/>
      <c r="BL274" s="2"/>
      <c r="BM274" s="2"/>
      <c r="BN274" s="2"/>
      <c r="BO274" s="2"/>
      <c r="BP274" s="2"/>
      <c r="BQ274" s="2"/>
      <c r="BR274" s="2"/>
      <c r="BS274" s="2"/>
      <c r="BT274" s="2"/>
      <c r="BU274" s="2"/>
      <c r="BV274" s="2"/>
      <c r="BW274" s="2"/>
      <c r="BX274" s="2"/>
      <c r="BY274" s="2"/>
      <c r="BZ274" s="3"/>
      <c r="CA274" s="3"/>
      <c r="CB274" s="3"/>
      <c r="CC274" s="3"/>
      <c r="CD274" s="3"/>
      <c r="CE274" s="2"/>
    </row>
    <row r="275" spans="1:83" ht="12" customHeight="1">
      <c r="A275" s="405"/>
      <c r="B275" s="2"/>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Z275" s="3"/>
      <c r="CA275" s="3"/>
      <c r="CB275" s="3"/>
      <c r="CC275" s="3"/>
      <c r="CD275" s="3"/>
      <c r="CE275" s="2"/>
    </row>
    <row r="276" spans="1:83" ht="12" customHeight="1">
      <c r="A276" s="405"/>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Z276" s="2"/>
      <c r="CA276" s="2"/>
      <c r="CB276" s="2"/>
      <c r="CC276" s="2"/>
      <c r="CD276" s="2"/>
      <c r="CE276" s="2"/>
    </row>
  </sheetData>
  <mergeCells count="108">
    <mergeCell ref="AG155:AM155"/>
    <mergeCell ref="AG163:AM163"/>
    <mergeCell ref="E181:H182"/>
    <mergeCell ref="AG166:AM166"/>
    <mergeCell ref="AG167:AM167"/>
    <mergeCell ref="AG168:AM168"/>
    <mergeCell ref="AG181:AM181"/>
    <mergeCell ref="AG154:AM154"/>
    <mergeCell ref="AG202:AM202"/>
    <mergeCell ref="AG183:AM183"/>
    <mergeCell ref="AG184:AM184"/>
    <mergeCell ref="AG185:AM185"/>
    <mergeCell ref="AG186:AM186"/>
    <mergeCell ref="AG192:AM192"/>
    <mergeCell ref="AG200:AM200"/>
    <mergeCell ref="AG201:AM201"/>
    <mergeCell ref="AG191:AM191"/>
    <mergeCell ref="AG112:AM112"/>
    <mergeCell ref="AG113:AM113"/>
    <mergeCell ref="AG114:AM114"/>
    <mergeCell ref="AG133:AM133"/>
    <mergeCell ref="AG103:AM103"/>
    <mergeCell ref="AG140:AM140"/>
    <mergeCell ref="AG141:AM141"/>
    <mergeCell ref="AG142:AM142"/>
    <mergeCell ref="AG143:AM143"/>
    <mergeCell ref="BD242:CD244"/>
    <mergeCell ref="A1:CE1"/>
    <mergeCell ref="A3:H3"/>
    <mergeCell ref="I3:AC3"/>
    <mergeCell ref="AD3:AL3"/>
    <mergeCell ref="AM3:BQ3"/>
    <mergeCell ref="BR3:BS5"/>
    <mergeCell ref="BT3:BX5"/>
    <mergeCell ref="BY3:BZ5"/>
    <mergeCell ref="CA3:CE5"/>
    <mergeCell ref="AZ5:BC5"/>
    <mergeCell ref="BD5:BJ5"/>
    <mergeCell ref="A4:H5"/>
    <mergeCell ref="K31:AI32"/>
    <mergeCell ref="K29:AI30"/>
    <mergeCell ref="K27:AI28"/>
    <mergeCell ref="AG37:AM37"/>
    <mergeCell ref="AG43:AM43"/>
    <mergeCell ref="AG44:AM44"/>
    <mergeCell ref="E37:H38"/>
    <mergeCell ref="AG90:AM90"/>
    <mergeCell ref="AG91:AM91"/>
    <mergeCell ref="AG92:AM92"/>
    <mergeCell ref="AG104:AM104"/>
    <mergeCell ref="BN5:BQ5"/>
    <mergeCell ref="I4:AC5"/>
    <mergeCell ref="AD4:AL4"/>
    <mergeCell ref="AM4:BQ4"/>
    <mergeCell ref="AD5:AG5"/>
    <mergeCell ref="BK5:BM5"/>
    <mergeCell ref="AH5:AN5"/>
    <mergeCell ref="AO5:AR5"/>
    <mergeCell ref="AS5:AY5"/>
    <mergeCell ref="AG60:AM60"/>
    <mergeCell ref="AG61:AM61"/>
    <mergeCell ref="AG85:AM85"/>
    <mergeCell ref="AG89:AM89"/>
    <mergeCell ref="AG45:AM45"/>
    <mergeCell ref="AG46:AM46"/>
    <mergeCell ref="AG54:AM54"/>
    <mergeCell ref="AG59:AM59"/>
    <mergeCell ref="AG53:AM53"/>
    <mergeCell ref="AR232:AY234"/>
    <mergeCell ref="AR242:AY244"/>
    <mergeCell ref="AZ221:BC221"/>
    <mergeCell ref="AZ222:BC222"/>
    <mergeCell ref="AZ224:BC224"/>
    <mergeCell ref="AZ226:BC226"/>
    <mergeCell ref="AZ227:BC227"/>
    <mergeCell ref="AZ228:BC228"/>
    <mergeCell ref="AZ229:BC229"/>
    <mergeCell ref="AZ230:BC230"/>
    <mergeCell ref="AZ231:BC231"/>
    <mergeCell ref="AZ232:BC234"/>
    <mergeCell ref="AZ235:BC235"/>
    <mergeCell ref="AZ236:BC236"/>
    <mergeCell ref="AZ237:BC237"/>
    <mergeCell ref="AZ238:BC238"/>
    <mergeCell ref="BD221:CD231"/>
    <mergeCell ref="BD235:CD241"/>
    <mergeCell ref="BD245:CD257"/>
    <mergeCell ref="BD258:CD259"/>
    <mergeCell ref="AZ220:BC220"/>
    <mergeCell ref="AZ256:BC256"/>
    <mergeCell ref="AZ257:BC257"/>
    <mergeCell ref="AZ258:BC258"/>
    <mergeCell ref="AZ251:BC251"/>
    <mergeCell ref="AZ252:BC252"/>
    <mergeCell ref="AZ253:BC253"/>
    <mergeCell ref="AZ254:BC254"/>
    <mergeCell ref="AZ255:BC255"/>
    <mergeCell ref="AZ246:BC246"/>
    <mergeCell ref="AZ247:BC247"/>
    <mergeCell ref="AZ248:BC248"/>
    <mergeCell ref="AZ249:BC249"/>
    <mergeCell ref="AZ250:BC250"/>
    <mergeCell ref="AZ239:BC239"/>
    <mergeCell ref="AZ240:BC240"/>
    <mergeCell ref="AZ241:BC241"/>
    <mergeCell ref="AZ242:BC244"/>
    <mergeCell ref="AZ245:BC245"/>
    <mergeCell ref="BD232:CD234"/>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81" max="82" man="1"/>
    <brk id="129" max="82" man="1"/>
    <brk id="177" max="82" man="1"/>
    <brk id="213" max="82" man="1"/>
    <brk id="276" max="82" man="1"/>
  </rowBreaks>
  <colBreaks count="3" manualBreakCount="3">
    <brk id="2" max="260" man="1"/>
    <brk id="3" max="260" man="1"/>
    <brk id="4" max="260" man="1"/>
  </colBreaks>
  <ignoredErrors>
    <ignoredError sqref="AR226:AY258 AR221:AY222 AR224:AY224"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DK276"/>
  <sheetViews>
    <sheetView showGridLines="0" view="pageBreakPreview" zoomScale="85" zoomScaleNormal="85" zoomScaleSheetLayoutView="85" workbookViewId="0">
      <selection sqref="A1:CE1"/>
    </sheetView>
  </sheetViews>
  <sheetFormatPr defaultColWidth="1.625" defaultRowHeight="12" customHeight="1"/>
  <cols>
    <col min="1" max="1" width="1.625" style="1" customWidth="1"/>
    <col min="2" max="36" width="1.625" style="1"/>
    <col min="37" max="37" width="1.625" style="1" customWidth="1"/>
    <col min="38" max="48" width="1.625" style="1"/>
    <col min="49" max="49" width="1.5" style="1" customWidth="1"/>
    <col min="50" max="16384" width="1.625" style="1"/>
  </cols>
  <sheetData>
    <row r="1" spans="1:84" ht="17.25" customHeight="1">
      <c r="A1" s="613" t="s">
        <v>170</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84" ht="4.5" customHeight="1"/>
    <row r="3" spans="1:84" ht="12" customHeight="1">
      <c r="A3" s="593" t="s">
        <v>8</v>
      </c>
      <c r="B3" s="593"/>
      <c r="C3" s="593"/>
      <c r="D3" s="593"/>
      <c r="E3" s="593"/>
      <c r="F3" s="593"/>
      <c r="G3" s="593"/>
      <c r="H3" s="593"/>
      <c r="I3" s="592"/>
      <c r="J3" s="592"/>
      <c r="K3" s="592"/>
      <c r="L3" s="592"/>
      <c r="M3" s="592"/>
      <c r="N3" s="592"/>
      <c r="O3" s="592"/>
      <c r="P3" s="592"/>
      <c r="Q3" s="592"/>
      <c r="R3" s="592"/>
      <c r="S3" s="592"/>
      <c r="T3" s="592"/>
      <c r="U3" s="592"/>
      <c r="V3" s="592"/>
      <c r="W3" s="592"/>
      <c r="X3" s="592"/>
      <c r="Y3" s="592"/>
      <c r="Z3" s="592"/>
      <c r="AA3" s="592"/>
      <c r="AB3" s="592"/>
      <c r="AC3" s="592"/>
      <c r="AD3" s="593" t="s">
        <v>1</v>
      </c>
      <c r="AE3" s="593"/>
      <c r="AF3" s="593"/>
      <c r="AG3" s="593"/>
      <c r="AH3" s="593"/>
      <c r="AI3" s="593"/>
      <c r="AJ3" s="593"/>
      <c r="AK3" s="593"/>
      <c r="AL3" s="593"/>
      <c r="AM3" s="594" t="s">
        <v>11</v>
      </c>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6"/>
      <c r="BR3" s="600" t="s">
        <v>6</v>
      </c>
      <c r="BS3" s="600"/>
      <c r="BT3" s="601" t="s">
        <v>756</v>
      </c>
      <c r="BU3" s="593"/>
      <c r="BV3" s="593"/>
      <c r="BW3" s="593"/>
      <c r="BX3" s="593"/>
      <c r="BY3" s="600" t="s">
        <v>7</v>
      </c>
      <c r="BZ3" s="600"/>
      <c r="CA3" s="601" t="s">
        <v>757</v>
      </c>
      <c r="CB3" s="593"/>
      <c r="CC3" s="593"/>
      <c r="CD3" s="593"/>
      <c r="CE3" s="593"/>
    </row>
    <row r="4" spans="1:84" ht="12" customHeight="1">
      <c r="A4" s="593" t="s">
        <v>9</v>
      </c>
      <c r="B4" s="593"/>
      <c r="C4" s="593"/>
      <c r="D4" s="593"/>
      <c r="E4" s="593"/>
      <c r="F4" s="593"/>
      <c r="G4" s="593"/>
      <c r="H4" s="593"/>
      <c r="I4" s="591" t="s">
        <v>10</v>
      </c>
      <c r="J4" s="592"/>
      <c r="K4" s="592"/>
      <c r="L4" s="592"/>
      <c r="M4" s="592"/>
      <c r="N4" s="592"/>
      <c r="O4" s="592"/>
      <c r="P4" s="592"/>
      <c r="Q4" s="592"/>
      <c r="R4" s="592"/>
      <c r="S4" s="592"/>
      <c r="T4" s="592"/>
      <c r="U4" s="592"/>
      <c r="V4" s="592"/>
      <c r="W4" s="592"/>
      <c r="X4" s="592"/>
      <c r="Y4" s="592"/>
      <c r="Z4" s="592"/>
      <c r="AA4" s="592"/>
      <c r="AB4" s="592"/>
      <c r="AC4" s="592"/>
      <c r="AD4" s="593" t="s">
        <v>0</v>
      </c>
      <c r="AE4" s="593"/>
      <c r="AF4" s="593"/>
      <c r="AG4" s="593"/>
      <c r="AH4" s="593"/>
      <c r="AI4" s="593"/>
      <c r="AJ4" s="593"/>
      <c r="AK4" s="593"/>
      <c r="AL4" s="593"/>
      <c r="AM4" s="594" t="s">
        <v>17</v>
      </c>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6"/>
      <c r="BR4" s="600"/>
      <c r="BS4" s="600"/>
      <c r="BT4" s="593"/>
      <c r="BU4" s="593"/>
      <c r="BV4" s="593"/>
      <c r="BW4" s="593"/>
      <c r="BX4" s="593"/>
      <c r="BY4" s="600"/>
      <c r="BZ4" s="600"/>
      <c r="CA4" s="593"/>
      <c r="CB4" s="593"/>
      <c r="CC4" s="593"/>
      <c r="CD4" s="593"/>
      <c r="CE4" s="593"/>
    </row>
    <row r="5" spans="1:84" ht="12" customHeight="1">
      <c r="A5" s="593"/>
      <c r="B5" s="593"/>
      <c r="C5" s="593"/>
      <c r="D5" s="593"/>
      <c r="E5" s="593"/>
      <c r="F5" s="593"/>
      <c r="G5" s="593"/>
      <c r="H5" s="593"/>
      <c r="I5" s="592"/>
      <c r="J5" s="592"/>
      <c r="K5" s="592"/>
      <c r="L5" s="592"/>
      <c r="M5" s="592"/>
      <c r="N5" s="592"/>
      <c r="O5" s="592"/>
      <c r="P5" s="592"/>
      <c r="Q5" s="592"/>
      <c r="R5" s="592"/>
      <c r="S5" s="592"/>
      <c r="T5" s="592"/>
      <c r="U5" s="592"/>
      <c r="V5" s="592"/>
      <c r="W5" s="592"/>
      <c r="X5" s="592"/>
      <c r="Y5" s="592"/>
      <c r="Z5" s="592"/>
      <c r="AA5" s="592"/>
      <c r="AB5" s="592"/>
      <c r="AC5" s="592"/>
      <c r="AD5" s="593" t="s">
        <v>2</v>
      </c>
      <c r="AE5" s="593"/>
      <c r="AF5" s="593"/>
      <c r="AG5" s="593"/>
      <c r="AH5" s="604">
        <v>43503</v>
      </c>
      <c r="AI5" s="604"/>
      <c r="AJ5" s="604"/>
      <c r="AK5" s="604"/>
      <c r="AL5" s="604"/>
      <c r="AM5" s="604"/>
      <c r="AN5" s="604"/>
      <c r="AO5" s="593" t="s">
        <v>3</v>
      </c>
      <c r="AP5" s="593"/>
      <c r="AQ5" s="593"/>
      <c r="AR5" s="593"/>
      <c r="AS5" s="597">
        <v>43577</v>
      </c>
      <c r="AT5" s="597"/>
      <c r="AU5" s="597"/>
      <c r="AV5" s="597"/>
      <c r="AW5" s="597"/>
      <c r="AX5" s="597"/>
      <c r="AY5" s="597"/>
      <c r="AZ5" s="593" t="s">
        <v>4</v>
      </c>
      <c r="BA5" s="593"/>
      <c r="BB5" s="593"/>
      <c r="BC5" s="593"/>
      <c r="BD5" s="597"/>
      <c r="BE5" s="597"/>
      <c r="BF5" s="597"/>
      <c r="BG5" s="597"/>
      <c r="BH5" s="597"/>
      <c r="BI5" s="597"/>
      <c r="BJ5" s="597"/>
      <c r="BK5" s="593" t="s">
        <v>5</v>
      </c>
      <c r="BL5" s="593"/>
      <c r="BM5" s="593"/>
      <c r="BN5" s="602"/>
      <c r="BO5" s="602"/>
      <c r="BP5" s="602"/>
      <c r="BQ5" s="602"/>
      <c r="BR5" s="600"/>
      <c r="BS5" s="600"/>
      <c r="BT5" s="593"/>
      <c r="BU5" s="593"/>
      <c r="BV5" s="593"/>
      <c r="BW5" s="593"/>
      <c r="BX5" s="593"/>
      <c r="BY5" s="600"/>
      <c r="BZ5" s="600"/>
      <c r="CA5" s="593"/>
      <c r="CB5" s="593"/>
      <c r="CC5" s="593"/>
      <c r="CD5" s="593"/>
      <c r="CE5" s="593"/>
    </row>
    <row r="6" spans="1:84" ht="5.0999999999999996"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55"/>
      <c r="B9" s="391" t="s">
        <v>1093</v>
      </c>
      <c r="D9" s="391"/>
      <c r="E9" s="391"/>
      <c r="F9" s="391"/>
      <c r="G9" s="391"/>
      <c r="H9" s="391"/>
      <c r="I9" s="391"/>
      <c r="J9" s="391"/>
      <c r="K9" s="391"/>
      <c r="L9" s="391"/>
      <c r="M9" s="391"/>
      <c r="N9" s="391"/>
      <c r="O9" s="391"/>
      <c r="P9" s="391"/>
      <c r="Q9" s="391"/>
      <c r="R9" s="391"/>
      <c r="S9" s="391"/>
      <c r="T9" s="391"/>
      <c r="U9" s="391"/>
      <c r="V9" s="391"/>
      <c r="W9" s="391"/>
      <c r="X9" s="391"/>
      <c r="Y9" s="391"/>
      <c r="Z9" s="391"/>
      <c r="AA9" s="391"/>
      <c r="AB9" s="391"/>
      <c r="AC9" s="391"/>
      <c r="AD9" s="391"/>
      <c r="AE9" s="391"/>
      <c r="AF9" s="391"/>
      <c r="AG9" s="391"/>
      <c r="AH9" s="391"/>
      <c r="AI9" s="391"/>
      <c r="AJ9" s="391"/>
      <c r="AK9" s="391"/>
      <c r="AL9" s="391"/>
      <c r="AM9" s="391"/>
      <c r="AN9" s="391"/>
      <c r="AO9" s="391"/>
      <c r="AP9" s="391"/>
      <c r="AQ9" s="391"/>
      <c r="AR9" s="391"/>
      <c r="AS9" s="391"/>
      <c r="AT9" s="391"/>
      <c r="AU9" s="391"/>
      <c r="AV9" s="391"/>
      <c r="AW9" s="391"/>
      <c r="AX9" s="391"/>
      <c r="AY9" s="391"/>
      <c r="AZ9" s="391"/>
      <c r="BA9" s="391"/>
      <c r="BB9" s="391"/>
      <c r="BC9" s="391"/>
      <c r="BD9" s="391"/>
      <c r="BE9" s="391"/>
      <c r="BF9" s="391"/>
      <c r="BG9" s="391"/>
      <c r="BH9" s="391"/>
      <c r="BI9" s="391"/>
      <c r="BJ9" s="391"/>
      <c r="BK9" s="391"/>
      <c r="BL9" s="391"/>
      <c r="BM9" s="391"/>
      <c r="BN9" s="391"/>
      <c r="BO9" s="391"/>
      <c r="BP9" s="391"/>
      <c r="BQ9" s="391"/>
      <c r="BR9" s="391"/>
      <c r="BS9" s="391"/>
      <c r="BT9" s="391"/>
      <c r="BU9" s="391"/>
      <c r="BV9" s="391"/>
      <c r="BW9" s="391"/>
      <c r="BX9" s="391"/>
      <c r="BY9" s="391"/>
      <c r="BZ9" s="391"/>
      <c r="CA9" s="391"/>
      <c r="CB9" s="391"/>
      <c r="CC9" s="391"/>
      <c r="CD9" s="3"/>
      <c r="CE9" s="3"/>
    </row>
    <row r="10" spans="1:84" ht="12" customHeight="1">
      <c r="A10" s="55"/>
      <c r="B10" s="391"/>
      <c r="C10" s="391"/>
      <c r="D10" s="391"/>
      <c r="E10" s="391"/>
      <c r="F10" s="391"/>
      <c r="G10" s="391"/>
      <c r="H10" s="391"/>
      <c r="I10" s="391"/>
      <c r="J10" s="391"/>
      <c r="K10" s="391"/>
      <c r="L10" s="391"/>
      <c r="M10" s="391"/>
      <c r="N10" s="391"/>
      <c r="O10" s="391"/>
      <c r="P10" s="391"/>
      <c r="Q10" s="391"/>
      <c r="R10" s="391"/>
      <c r="S10" s="391"/>
      <c r="T10" s="391"/>
      <c r="U10" s="391"/>
      <c r="V10" s="391"/>
      <c r="W10" s="391"/>
      <c r="X10" s="391"/>
      <c r="Y10" s="391"/>
      <c r="Z10" s="391"/>
      <c r="AA10" s="391"/>
      <c r="AB10" s="391"/>
      <c r="AC10" s="391"/>
      <c r="AD10" s="391"/>
      <c r="AE10" s="391"/>
      <c r="AF10" s="391"/>
      <c r="AG10" s="391"/>
      <c r="AH10" s="391"/>
      <c r="AI10" s="391"/>
      <c r="AJ10" s="391"/>
      <c r="AK10" s="391"/>
      <c r="AL10" s="391"/>
      <c r="AM10" s="391"/>
      <c r="AN10" s="391"/>
      <c r="AO10" s="391"/>
      <c r="AP10" s="391"/>
      <c r="AQ10" s="391"/>
      <c r="AR10" s="391"/>
      <c r="AS10" s="391"/>
      <c r="AT10" s="391"/>
      <c r="AU10" s="391"/>
      <c r="AV10" s="391"/>
      <c r="AW10" s="391"/>
      <c r="AX10" s="391"/>
      <c r="AY10" s="391"/>
      <c r="AZ10" s="391"/>
      <c r="BA10" s="391"/>
      <c r="BB10" s="391"/>
      <c r="BC10" s="391"/>
      <c r="BD10" s="391"/>
      <c r="BE10" s="391"/>
      <c r="BF10" s="391"/>
      <c r="BG10" s="391"/>
      <c r="BH10" s="391"/>
      <c r="BI10" s="391"/>
      <c r="BJ10" s="391"/>
      <c r="BK10" s="391"/>
      <c r="BL10" s="391"/>
      <c r="BM10" s="391"/>
      <c r="BN10" s="391"/>
      <c r="BO10" s="391"/>
      <c r="BP10" s="391"/>
      <c r="BQ10" s="391"/>
      <c r="BR10" s="391"/>
      <c r="BS10" s="391"/>
      <c r="BT10" s="391"/>
      <c r="BU10" s="391"/>
      <c r="BV10" s="391"/>
      <c r="BW10" s="391"/>
      <c r="BX10" s="391"/>
      <c r="BY10" s="391"/>
      <c r="BZ10" s="391"/>
      <c r="CA10" s="391"/>
      <c r="CB10" s="391"/>
      <c r="CC10" s="391"/>
      <c r="CD10" s="3"/>
      <c r="CE10" s="3"/>
    </row>
    <row r="11" spans="1:84" ht="13.5">
      <c r="A11" s="55"/>
      <c r="B11" s="391"/>
      <c r="C11" s="391" t="s">
        <v>1094</v>
      </c>
      <c r="E11" s="391"/>
      <c r="F11" s="391"/>
      <c r="G11" s="391"/>
      <c r="H11" s="391"/>
      <c r="I11" s="391"/>
      <c r="J11" s="391"/>
      <c r="K11" s="391"/>
      <c r="L11" s="391"/>
      <c r="M11" s="391"/>
      <c r="N11" s="391"/>
      <c r="O11" s="391"/>
      <c r="P11" s="391"/>
      <c r="Q11" s="391"/>
      <c r="R11" s="391"/>
      <c r="S11" s="391"/>
      <c r="T11" s="391"/>
      <c r="U11" s="391"/>
      <c r="V11" s="391"/>
      <c r="W11" s="391"/>
      <c r="X11" s="391"/>
      <c r="Y11" s="391"/>
      <c r="Z11" s="391"/>
      <c r="AA11" s="391"/>
      <c r="AB11" s="391"/>
      <c r="AC11" s="391"/>
      <c r="AD11" s="391"/>
      <c r="AE11" s="391"/>
      <c r="AF11" s="391"/>
      <c r="AG11" s="391"/>
      <c r="AH11" s="391"/>
      <c r="AI11" s="391"/>
      <c r="AJ11" s="391"/>
      <c r="AK11" s="391"/>
      <c r="AL11" s="391"/>
      <c r="AM11" s="391"/>
      <c r="AN11" s="391"/>
      <c r="AO11" s="391"/>
      <c r="AP11" s="391"/>
      <c r="AQ11" s="391"/>
      <c r="AR11" s="391"/>
      <c r="AS11" s="391"/>
      <c r="AT11" s="391"/>
      <c r="AU11" s="391"/>
      <c r="AV11" s="391"/>
      <c r="AW11" s="391"/>
      <c r="AX11" s="391"/>
      <c r="AY11" s="391"/>
      <c r="AZ11" s="391"/>
      <c r="BA11" s="391"/>
      <c r="BB11" s="391"/>
      <c r="BC11" s="391"/>
      <c r="BD11" s="391"/>
      <c r="BE11" s="391"/>
      <c r="BF11" s="391"/>
      <c r="BG11" s="391"/>
      <c r="BH11" s="391"/>
      <c r="BI11" s="391"/>
      <c r="BJ11" s="391"/>
      <c r="BK11" s="391"/>
      <c r="BL11" s="391"/>
      <c r="BM11" s="391"/>
      <c r="BN11" s="391"/>
      <c r="BO11" s="391"/>
      <c r="BP11" s="391"/>
      <c r="BQ11" s="391"/>
      <c r="BR11" s="391"/>
      <c r="BS11" s="391"/>
      <c r="BT11" s="391"/>
      <c r="BU11" s="391"/>
      <c r="BV11" s="391"/>
      <c r="BW11" s="391"/>
      <c r="BX11" s="391"/>
      <c r="BY11" s="391"/>
      <c r="BZ11" s="391"/>
      <c r="CA11" s="391"/>
      <c r="CB11" s="391"/>
      <c r="CC11" s="391"/>
      <c r="CD11" s="3"/>
      <c r="CE11" s="3"/>
    </row>
    <row r="12" spans="1:84" ht="13.5">
      <c r="A12" s="55"/>
      <c r="B12" s="391"/>
      <c r="C12" s="391"/>
      <c r="D12" s="391"/>
      <c r="E12" s="391"/>
      <c r="F12" s="391"/>
      <c r="G12" s="391"/>
      <c r="H12" s="391"/>
      <c r="I12" s="391"/>
      <c r="J12" s="391"/>
      <c r="K12" s="391"/>
      <c r="L12" s="391"/>
      <c r="M12" s="391"/>
      <c r="N12" s="391"/>
      <c r="O12" s="391"/>
      <c r="P12" s="391"/>
      <c r="Q12" s="391"/>
      <c r="R12" s="391"/>
      <c r="S12" s="391"/>
      <c r="T12" s="391"/>
      <c r="U12" s="391"/>
      <c r="V12" s="391"/>
      <c r="W12" s="391"/>
      <c r="X12" s="391"/>
      <c r="Y12" s="391"/>
      <c r="Z12" s="391"/>
      <c r="AA12" s="391"/>
      <c r="AB12" s="391"/>
      <c r="AC12" s="391"/>
      <c r="AD12" s="391"/>
      <c r="AE12" s="391"/>
      <c r="AF12" s="391"/>
      <c r="AG12" s="391"/>
      <c r="AH12" s="391"/>
      <c r="AI12" s="391"/>
      <c r="AJ12" s="391"/>
      <c r="AK12" s="391"/>
      <c r="AL12" s="391"/>
      <c r="AM12" s="391"/>
      <c r="AN12" s="391"/>
      <c r="AO12" s="391"/>
      <c r="AP12" s="391"/>
      <c r="AQ12" s="391"/>
      <c r="AR12" s="391"/>
      <c r="AS12" s="391"/>
      <c r="AT12" s="391"/>
      <c r="AU12" s="391"/>
      <c r="AV12" s="391"/>
      <c r="AW12" s="391"/>
      <c r="AX12" s="391"/>
      <c r="AY12" s="391"/>
      <c r="AZ12" s="391"/>
      <c r="BA12" s="391"/>
      <c r="BB12" s="391"/>
      <c r="BC12" s="391"/>
      <c r="BD12" s="391"/>
      <c r="BE12" s="391"/>
      <c r="BF12" s="391"/>
      <c r="BG12" s="391"/>
      <c r="BH12" s="391"/>
      <c r="BI12" s="391"/>
      <c r="BJ12" s="391"/>
      <c r="BK12" s="391"/>
      <c r="BL12" s="391"/>
      <c r="BM12" s="391"/>
      <c r="BN12" s="391"/>
      <c r="BO12" s="391"/>
      <c r="BP12" s="391"/>
      <c r="BQ12" s="391"/>
      <c r="BR12" s="391"/>
      <c r="BS12" s="391"/>
      <c r="BT12" s="391"/>
      <c r="BU12" s="391"/>
      <c r="BV12" s="391"/>
      <c r="BW12" s="391"/>
      <c r="BX12" s="391"/>
      <c r="BY12" s="391"/>
      <c r="BZ12" s="391"/>
      <c r="CA12" s="391"/>
      <c r="CB12" s="391"/>
      <c r="CC12" s="391"/>
      <c r="CD12" s="3"/>
      <c r="CE12" s="3"/>
    </row>
    <row r="13" spans="1:84" ht="13.5">
      <c r="A13" s="55"/>
      <c r="B13" s="391"/>
      <c r="C13" s="391"/>
      <c r="D13" s="391" t="s">
        <v>771</v>
      </c>
      <c r="E13" s="391"/>
      <c r="F13" s="391"/>
      <c r="G13" s="391"/>
      <c r="H13" s="391"/>
      <c r="I13" s="391"/>
      <c r="J13" s="391"/>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1"/>
      <c r="AP13" s="391"/>
      <c r="AQ13" s="391"/>
      <c r="AR13" s="391"/>
      <c r="AS13" s="391"/>
      <c r="AT13" s="391"/>
      <c r="AU13" s="391"/>
      <c r="AV13" s="391"/>
      <c r="AW13" s="391"/>
      <c r="AX13" s="391"/>
      <c r="AY13" s="391"/>
      <c r="AZ13" s="391"/>
      <c r="BA13" s="391"/>
      <c r="BB13" s="391"/>
      <c r="BC13" s="391"/>
      <c r="BD13" s="391"/>
      <c r="BE13" s="391"/>
      <c r="BF13" s="391"/>
      <c r="BG13" s="391"/>
      <c r="BH13" s="391"/>
      <c r="BI13" s="391"/>
      <c r="BJ13" s="391"/>
      <c r="BK13" s="391"/>
      <c r="BL13" s="391"/>
      <c r="BM13" s="391"/>
      <c r="BN13" s="391"/>
      <c r="BO13" s="391"/>
      <c r="BP13" s="391"/>
      <c r="BQ13" s="391"/>
      <c r="BR13" s="391"/>
      <c r="BS13" s="391"/>
      <c r="BT13" s="391"/>
      <c r="BU13" s="391"/>
      <c r="BV13" s="391"/>
      <c r="BW13" s="391"/>
      <c r="BX13" s="391"/>
      <c r="BY13" s="391"/>
      <c r="BZ13" s="391"/>
      <c r="CA13" s="391"/>
      <c r="CB13" s="391"/>
      <c r="CC13" s="391"/>
      <c r="CD13" s="3"/>
      <c r="CE13" s="3"/>
    </row>
    <row r="14" spans="1:84" ht="13.5">
      <c r="A14" s="55"/>
      <c r="B14" s="391"/>
      <c r="C14" s="391"/>
      <c r="D14" s="391" t="s">
        <v>772</v>
      </c>
      <c r="F14" s="391"/>
      <c r="G14" s="391"/>
      <c r="H14" s="391"/>
      <c r="I14" s="391"/>
      <c r="J14" s="391"/>
      <c r="K14" s="391"/>
      <c r="L14" s="391" t="s">
        <v>773</v>
      </c>
      <c r="M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1"/>
      <c r="BK14" s="391"/>
      <c r="BL14" s="391"/>
      <c r="BM14" s="391"/>
      <c r="BN14" s="391"/>
      <c r="BO14" s="391"/>
      <c r="BP14" s="391"/>
      <c r="BQ14" s="391"/>
      <c r="BR14" s="391"/>
      <c r="BS14" s="391"/>
      <c r="BT14" s="391"/>
      <c r="BU14" s="391"/>
      <c r="BV14" s="391"/>
      <c r="BW14" s="391"/>
      <c r="BX14" s="391"/>
      <c r="BY14" s="391"/>
      <c r="BZ14" s="391"/>
      <c r="CA14" s="391"/>
      <c r="CB14" s="391"/>
      <c r="CC14" s="391"/>
      <c r="CD14" s="3"/>
      <c r="CE14" s="3"/>
      <c r="CF14" s="3"/>
    </row>
    <row r="15" spans="1:84" ht="13.5">
      <c r="A15" s="55"/>
      <c r="B15" s="391"/>
      <c r="C15" s="391"/>
      <c r="D15" s="391" t="s">
        <v>774</v>
      </c>
      <c r="F15" s="391"/>
      <c r="G15" s="391"/>
      <c r="H15" s="391"/>
      <c r="I15" s="391"/>
      <c r="J15" s="391"/>
      <c r="K15" s="391"/>
      <c r="L15" s="391" t="s">
        <v>775</v>
      </c>
      <c r="M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1"/>
      <c r="BK15" s="391"/>
      <c r="BL15" s="391"/>
      <c r="BM15" s="391"/>
      <c r="BN15" s="391"/>
      <c r="BO15" s="391"/>
      <c r="BP15" s="391"/>
      <c r="BQ15" s="391"/>
      <c r="BR15" s="391"/>
      <c r="BS15" s="391"/>
      <c r="BT15" s="391"/>
      <c r="BU15" s="391"/>
      <c r="BV15" s="391"/>
      <c r="BW15" s="391"/>
      <c r="BX15" s="391"/>
      <c r="BY15" s="391"/>
      <c r="BZ15" s="391"/>
      <c r="CA15" s="391"/>
      <c r="CB15" s="391"/>
      <c r="CC15" s="391"/>
      <c r="CD15" s="3"/>
      <c r="CE15" s="3"/>
      <c r="CF15" s="3"/>
    </row>
    <row r="16" spans="1:84" ht="13.5">
      <c r="A16" s="55"/>
      <c r="B16" s="391"/>
      <c r="C16" s="391"/>
      <c r="D16" s="391" t="s">
        <v>776</v>
      </c>
      <c r="F16" s="391"/>
      <c r="G16" s="391"/>
      <c r="H16" s="391"/>
      <c r="I16" s="391"/>
      <c r="J16" s="391"/>
      <c r="K16" s="391"/>
      <c r="L16" s="391" t="s">
        <v>777</v>
      </c>
      <c r="M16" s="2"/>
      <c r="O16" s="2"/>
      <c r="P16" s="391"/>
      <c r="Q16" s="391"/>
      <c r="R16" s="391"/>
      <c r="S16" s="391"/>
      <c r="T16" s="391"/>
      <c r="U16" s="391"/>
      <c r="V16" s="391"/>
      <c r="W16" s="391"/>
      <c r="X16" s="391"/>
      <c r="Y16" s="391"/>
      <c r="Z16" s="391"/>
      <c r="AA16" s="391"/>
      <c r="AB16" s="391"/>
      <c r="AC16" s="391"/>
      <c r="AD16" s="391"/>
      <c r="AE16" s="391"/>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391"/>
      <c r="BC16" s="391"/>
      <c r="BD16" s="391"/>
      <c r="BE16" s="391"/>
      <c r="BF16" s="391"/>
      <c r="BG16" s="391"/>
      <c r="BH16" s="391"/>
      <c r="BI16" s="391"/>
      <c r="BJ16" s="391"/>
      <c r="BK16" s="391"/>
      <c r="BL16" s="391"/>
      <c r="BM16" s="391"/>
      <c r="BN16" s="391"/>
      <c r="BO16" s="391"/>
      <c r="BP16" s="391"/>
      <c r="BQ16" s="391"/>
      <c r="BR16" s="391"/>
      <c r="BS16" s="391"/>
      <c r="BT16" s="391"/>
      <c r="BU16" s="391"/>
      <c r="BV16" s="391"/>
      <c r="BW16" s="391"/>
      <c r="BX16" s="391"/>
      <c r="BY16" s="391"/>
      <c r="BZ16" s="391"/>
      <c r="CA16" s="391"/>
      <c r="CB16" s="391"/>
      <c r="CC16" s="391"/>
      <c r="CD16" s="3"/>
      <c r="CE16" s="3"/>
      <c r="CF16" s="3"/>
    </row>
    <row r="17" spans="1:86" ht="13.5">
      <c r="A17" s="55"/>
      <c r="B17" s="391"/>
      <c r="C17" s="391"/>
      <c r="D17" s="2"/>
      <c r="E17" s="391"/>
      <c r="F17" s="391"/>
      <c r="G17" s="391"/>
      <c r="H17" s="391"/>
      <c r="I17" s="391"/>
      <c r="J17" s="391"/>
      <c r="K17" s="391"/>
      <c r="L17" s="391" t="s">
        <v>778</v>
      </c>
      <c r="M17" s="2"/>
      <c r="O17" s="2"/>
      <c r="P17" s="391"/>
      <c r="Q17" s="391"/>
      <c r="R17" s="391"/>
      <c r="S17" s="391"/>
      <c r="T17" s="391"/>
      <c r="U17" s="391"/>
      <c r="V17" s="391"/>
      <c r="W17" s="391"/>
      <c r="X17" s="391"/>
      <c r="Y17" s="391"/>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91"/>
      <c r="BC17" s="391"/>
      <c r="BD17" s="391"/>
      <c r="BE17" s="391"/>
      <c r="BF17" s="391"/>
      <c r="BG17" s="391"/>
      <c r="BH17" s="391"/>
      <c r="BI17" s="391"/>
      <c r="BJ17" s="391"/>
      <c r="BK17" s="391"/>
      <c r="BL17" s="391"/>
      <c r="BM17" s="391"/>
      <c r="BN17" s="391"/>
      <c r="BO17" s="391"/>
      <c r="BP17" s="391"/>
      <c r="BQ17" s="391"/>
      <c r="BR17" s="391"/>
      <c r="BS17" s="391"/>
      <c r="BT17" s="391"/>
      <c r="BU17" s="391"/>
      <c r="BV17" s="391"/>
      <c r="BW17" s="391"/>
      <c r="BX17" s="391"/>
      <c r="BY17" s="391"/>
      <c r="BZ17" s="391"/>
      <c r="CA17" s="391"/>
      <c r="CB17" s="391"/>
      <c r="CC17" s="391"/>
      <c r="CD17" s="3"/>
      <c r="CE17" s="3"/>
      <c r="CF17" s="3"/>
    </row>
    <row r="18" spans="1:86" ht="13.5">
      <c r="A18" s="413"/>
      <c r="B18" s="137"/>
      <c r="C18" s="137"/>
      <c r="D18" s="137" t="s">
        <v>169</v>
      </c>
      <c r="F18" s="136"/>
      <c r="G18" s="391"/>
      <c r="H18" s="391"/>
      <c r="I18" s="391"/>
      <c r="J18" s="391"/>
      <c r="K18" s="391"/>
      <c r="L18" s="391"/>
      <c r="M18" s="391"/>
      <c r="N18" s="391"/>
      <c r="O18" s="391"/>
      <c r="P18" s="391"/>
      <c r="Q18" s="391"/>
      <c r="R18" s="391"/>
      <c r="S18" s="391"/>
      <c r="T18" s="391"/>
      <c r="U18" s="391"/>
      <c r="V18" s="391"/>
      <c r="W18" s="391"/>
      <c r="X18" s="391"/>
      <c r="Y18" s="391"/>
      <c r="Z18" s="391"/>
      <c r="AA18" s="391"/>
      <c r="AB18" s="391"/>
      <c r="AC18" s="391"/>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1"/>
      <c r="BK18" s="391"/>
      <c r="BL18" s="391"/>
      <c r="BM18" s="391"/>
      <c r="BN18" s="391"/>
      <c r="BO18" s="391"/>
      <c r="BP18" s="391"/>
      <c r="BQ18" s="391"/>
      <c r="BR18" s="391"/>
      <c r="BS18" s="391"/>
      <c r="BT18" s="391"/>
      <c r="BU18" s="391"/>
      <c r="BV18" s="391"/>
      <c r="BW18" s="391"/>
      <c r="BX18" s="391"/>
      <c r="BY18" s="391"/>
      <c r="BZ18" s="391"/>
      <c r="CA18" s="391"/>
      <c r="CB18" s="391"/>
      <c r="CC18" s="391"/>
      <c r="CD18" s="3"/>
      <c r="CE18" s="3"/>
    </row>
    <row r="19" spans="1:86" ht="13.5">
      <c r="A19" s="55"/>
      <c r="B19" s="391"/>
      <c r="C19" s="391"/>
      <c r="D19" s="391" t="s">
        <v>1052</v>
      </c>
      <c r="F19" s="391"/>
      <c r="G19" s="391"/>
      <c r="H19" s="391"/>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1"/>
      <c r="AG19" s="391"/>
      <c r="AH19" s="391"/>
      <c r="AI19" s="391"/>
      <c r="AJ19" s="391"/>
      <c r="AK19" s="391"/>
      <c r="AL19" s="391"/>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1"/>
      <c r="BK19" s="391"/>
      <c r="BL19" s="391"/>
      <c r="BM19" s="391"/>
      <c r="BN19" s="391"/>
      <c r="BO19" s="391"/>
      <c r="BP19" s="391"/>
      <c r="BQ19" s="391"/>
      <c r="BR19" s="391"/>
      <c r="BS19" s="391"/>
      <c r="BT19" s="391"/>
      <c r="BU19" s="391"/>
      <c r="BV19" s="391"/>
      <c r="BW19" s="391"/>
      <c r="BX19" s="391"/>
      <c r="BY19" s="391"/>
      <c r="BZ19" s="391"/>
      <c r="CA19" s="391"/>
      <c r="CB19" s="391"/>
      <c r="CC19" s="391"/>
      <c r="CD19" s="3"/>
      <c r="CE19" s="3"/>
    </row>
    <row r="20" spans="1:86" ht="13.5">
      <c r="A20" s="400"/>
      <c r="D20" s="391" t="s">
        <v>168</v>
      </c>
      <c r="CD20" s="3"/>
      <c r="CE20" s="3"/>
    </row>
    <row r="21" spans="1:86" ht="13.5">
      <c r="A21" s="55"/>
      <c r="B21" s="391"/>
      <c r="C21" s="391"/>
      <c r="D21" s="317" t="s">
        <v>167</v>
      </c>
      <c r="E21" s="226"/>
      <c r="F21" s="226"/>
      <c r="G21" s="226"/>
      <c r="H21" s="226"/>
      <c r="I21" s="226"/>
      <c r="J21" s="226"/>
      <c r="K21" s="226"/>
      <c r="L21" s="318"/>
      <c r="M21" s="319" t="s">
        <v>166</v>
      </c>
      <c r="N21" s="320"/>
      <c r="O21" s="320"/>
      <c r="P21" s="320"/>
      <c r="Q21" s="320"/>
      <c r="R21" s="320"/>
      <c r="S21" s="320"/>
      <c r="T21" s="320"/>
      <c r="U21" s="320"/>
      <c r="V21" s="320"/>
      <c r="W21" s="320"/>
      <c r="X21" s="320"/>
      <c r="Y21" s="320"/>
      <c r="Z21" s="320"/>
      <c r="AA21" s="320"/>
      <c r="AB21" s="320"/>
      <c r="AC21" s="320"/>
      <c r="AD21" s="320"/>
      <c r="AE21" s="320"/>
      <c r="AF21" s="320"/>
      <c r="AG21" s="320"/>
      <c r="AH21" s="320"/>
      <c r="AI21" s="320"/>
      <c r="AJ21" s="320"/>
      <c r="AK21" s="320"/>
      <c r="AL21" s="320"/>
      <c r="AM21" s="320"/>
      <c r="AN21" s="320"/>
      <c r="AO21" s="320"/>
      <c r="AP21" s="320"/>
      <c r="AQ21" s="320"/>
      <c r="AR21" s="320"/>
      <c r="AS21" s="320"/>
      <c r="AT21" s="320"/>
      <c r="AU21" s="320"/>
      <c r="AV21" s="320"/>
      <c r="AW21" s="320"/>
      <c r="AX21" s="320"/>
      <c r="AY21" s="320"/>
      <c r="AZ21" s="320"/>
      <c r="BA21" s="320"/>
      <c r="BB21" s="320"/>
      <c r="BC21" s="320"/>
      <c r="BD21" s="320"/>
      <c r="BE21" s="320"/>
      <c r="BF21" s="320"/>
      <c r="BG21" s="320"/>
      <c r="BH21" s="320"/>
      <c r="BI21" s="321"/>
      <c r="BJ21" s="317" t="s">
        <v>1095</v>
      </c>
      <c r="BK21" s="226"/>
      <c r="BL21" s="226"/>
      <c r="BM21" s="226"/>
      <c r="BN21" s="226"/>
      <c r="BO21" s="226"/>
      <c r="BP21" s="226"/>
      <c r="BQ21" s="226"/>
      <c r="BR21" s="318"/>
      <c r="BS21" s="317" t="s">
        <v>1096</v>
      </c>
      <c r="BT21" s="226"/>
      <c r="BU21" s="226"/>
      <c r="BV21" s="226"/>
      <c r="BW21" s="226"/>
      <c r="BX21" s="226"/>
      <c r="BY21" s="226"/>
      <c r="BZ21" s="226"/>
      <c r="CA21" s="226"/>
      <c r="CB21" s="318"/>
      <c r="CD21" s="3"/>
      <c r="CE21" s="3"/>
      <c r="CF21" s="3"/>
      <c r="CG21" s="3"/>
      <c r="CH21" s="3"/>
    </row>
    <row r="22" spans="1:86" ht="13.5">
      <c r="A22" s="55"/>
      <c r="B22" s="391"/>
      <c r="C22" s="391"/>
      <c r="D22" s="135"/>
      <c r="E22" s="134"/>
      <c r="F22" s="134"/>
      <c r="G22" s="134"/>
      <c r="H22" s="134"/>
      <c r="I22" s="134"/>
      <c r="J22" s="134"/>
      <c r="K22" s="134"/>
      <c r="L22" s="133"/>
      <c r="M22" s="135" t="s">
        <v>779</v>
      </c>
      <c r="N22" s="134"/>
      <c r="O22" s="134"/>
      <c r="P22" s="134"/>
      <c r="Q22" s="134"/>
      <c r="R22" s="134"/>
      <c r="S22" s="134"/>
      <c r="T22" s="134"/>
      <c r="U22" s="134"/>
      <c r="V22" s="134"/>
      <c r="W22" s="133"/>
      <c r="X22" s="135" t="s">
        <v>780</v>
      </c>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3"/>
      <c r="BJ22" s="135" t="s">
        <v>781</v>
      </c>
      <c r="BK22" s="134"/>
      <c r="BL22" s="134"/>
      <c r="BM22" s="134"/>
      <c r="BN22" s="134"/>
      <c r="BO22" s="134"/>
      <c r="BP22" s="134"/>
      <c r="BQ22" s="134"/>
      <c r="BR22" s="133"/>
      <c r="BS22" s="135" t="s">
        <v>1097</v>
      </c>
      <c r="BT22" s="134"/>
      <c r="BU22" s="134"/>
      <c r="BV22" s="134"/>
      <c r="BW22" s="134"/>
      <c r="BX22" s="134"/>
      <c r="BY22" s="134"/>
      <c r="BZ22" s="134"/>
      <c r="CA22" s="134"/>
      <c r="CB22" s="133"/>
      <c r="CD22" s="3"/>
      <c r="CE22" s="3"/>
      <c r="CF22" s="3"/>
      <c r="CG22" s="3"/>
      <c r="CH22" s="3"/>
    </row>
    <row r="23" spans="1:86" ht="13.5">
      <c r="A23" s="55"/>
      <c r="B23" s="391"/>
      <c r="C23" s="391"/>
      <c r="D23" s="128" t="s">
        <v>165</v>
      </c>
      <c r="E23" s="127"/>
      <c r="F23" s="227"/>
      <c r="G23" s="127"/>
      <c r="H23" s="127"/>
      <c r="I23" s="227"/>
      <c r="J23" s="227"/>
      <c r="K23" s="127"/>
      <c r="L23" s="126"/>
      <c r="M23" s="128" t="s">
        <v>164</v>
      </c>
      <c r="N23" s="127"/>
      <c r="O23" s="127"/>
      <c r="P23" s="127"/>
      <c r="Q23" s="127"/>
      <c r="R23" s="127"/>
      <c r="S23" s="127"/>
      <c r="T23" s="127"/>
      <c r="U23" s="127"/>
      <c r="V23" s="127"/>
      <c r="W23" s="126"/>
      <c r="X23" s="128" t="s">
        <v>163</v>
      </c>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6"/>
      <c r="BJ23" s="223" t="s">
        <v>130</v>
      </c>
      <c r="BK23" s="227"/>
      <c r="BL23" s="227"/>
      <c r="BM23" s="227"/>
      <c r="BN23" s="227"/>
      <c r="BO23" s="227"/>
      <c r="BP23" s="227"/>
      <c r="BQ23" s="227"/>
      <c r="BR23" s="224"/>
      <c r="BS23" s="128" t="s">
        <v>786</v>
      </c>
      <c r="BT23" s="127"/>
      <c r="BU23" s="127"/>
      <c r="BV23" s="127"/>
      <c r="BW23" s="127"/>
      <c r="BX23" s="127"/>
      <c r="BY23" s="127"/>
      <c r="BZ23" s="127"/>
      <c r="CA23" s="127"/>
      <c r="CB23" s="126"/>
      <c r="CD23" s="3"/>
      <c r="CE23" s="3"/>
      <c r="CF23" s="3"/>
      <c r="CG23" s="3"/>
      <c r="CH23" s="3"/>
    </row>
    <row r="24" spans="1:86" ht="13.5">
      <c r="A24" s="55"/>
      <c r="B24" s="391"/>
      <c r="C24" s="391"/>
      <c r="D24" s="125"/>
      <c r="E24" s="119"/>
      <c r="F24" s="119"/>
      <c r="G24" s="119"/>
      <c r="H24" s="119"/>
      <c r="I24" s="119"/>
      <c r="J24" s="119"/>
      <c r="K24" s="119"/>
      <c r="L24" s="123"/>
      <c r="M24" s="122"/>
      <c r="N24" s="121"/>
      <c r="O24" s="121"/>
      <c r="P24" s="121"/>
      <c r="Q24" s="121"/>
      <c r="R24" s="121"/>
      <c r="S24" s="121"/>
      <c r="T24" s="121"/>
      <c r="U24" s="121"/>
      <c r="V24" s="121"/>
      <c r="W24" s="120"/>
      <c r="X24" s="132" t="s">
        <v>162</v>
      </c>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21"/>
      <c r="BA24" s="121"/>
      <c r="BB24" s="121"/>
      <c r="BC24" s="121"/>
      <c r="BD24" s="121"/>
      <c r="BE24" s="121"/>
      <c r="BF24" s="121"/>
      <c r="BG24" s="121"/>
      <c r="BH24" s="121"/>
      <c r="BI24" s="120"/>
      <c r="BJ24" s="122"/>
      <c r="BK24" s="121"/>
      <c r="BL24" s="121"/>
      <c r="BM24" s="121"/>
      <c r="BN24" s="121"/>
      <c r="BO24" s="121"/>
      <c r="BP24" s="121"/>
      <c r="BQ24" s="121"/>
      <c r="BR24" s="120"/>
      <c r="BS24" s="125"/>
      <c r="BT24" s="124"/>
      <c r="BU24" s="124"/>
      <c r="BV24" s="124"/>
      <c r="BW24" s="124"/>
      <c r="BX24" s="124"/>
      <c r="BY24" s="124"/>
      <c r="BZ24" s="124"/>
      <c r="CA24" s="124"/>
      <c r="CB24" s="123"/>
      <c r="CD24" s="3"/>
      <c r="CE24" s="3"/>
      <c r="CF24" s="3"/>
      <c r="CG24" s="3"/>
      <c r="CH24" s="3"/>
    </row>
    <row r="25" spans="1:86" ht="13.5">
      <c r="A25" s="55"/>
      <c r="B25" s="391"/>
      <c r="C25" s="391"/>
      <c r="D25" s="125"/>
      <c r="E25" s="119"/>
      <c r="F25" s="119"/>
      <c r="G25" s="119"/>
      <c r="H25" s="119"/>
      <c r="I25" s="119"/>
      <c r="J25" s="119"/>
      <c r="K25" s="119"/>
      <c r="L25" s="123"/>
      <c r="M25" s="125" t="s">
        <v>458</v>
      </c>
      <c r="N25" s="124"/>
      <c r="O25" s="124"/>
      <c r="P25" s="124"/>
      <c r="Q25" s="124"/>
      <c r="R25" s="124"/>
      <c r="S25" s="124"/>
      <c r="T25" s="124"/>
      <c r="U25" s="124"/>
      <c r="V25" s="124"/>
      <c r="W25" s="123"/>
      <c r="X25" s="130" t="s">
        <v>766</v>
      </c>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4"/>
      <c r="BA25" s="124"/>
      <c r="BB25" s="124"/>
      <c r="BC25" s="124"/>
      <c r="BD25" s="124"/>
      <c r="BE25" s="124"/>
      <c r="BF25" s="124"/>
      <c r="BG25" s="124"/>
      <c r="BH25" s="124"/>
      <c r="BI25" s="123"/>
      <c r="BJ25" s="125" t="s">
        <v>130</v>
      </c>
      <c r="BK25" s="124"/>
      <c r="BL25" s="124"/>
      <c r="BM25" s="124"/>
      <c r="BN25" s="124"/>
      <c r="BO25" s="124"/>
      <c r="BP25" s="124"/>
      <c r="BQ25" s="124"/>
      <c r="BR25" s="123"/>
      <c r="BS25" s="125"/>
      <c r="BT25" s="124"/>
      <c r="BU25" s="124"/>
      <c r="BV25" s="124"/>
      <c r="BW25" s="124"/>
      <c r="BX25" s="124"/>
      <c r="BY25" s="124"/>
      <c r="BZ25" s="124"/>
      <c r="CA25" s="124"/>
      <c r="CB25" s="123"/>
      <c r="CD25" s="3"/>
      <c r="CE25" s="3"/>
      <c r="CF25" s="3"/>
      <c r="CG25" s="3"/>
      <c r="CH25" s="3"/>
    </row>
    <row r="26" spans="1:86" ht="13.5">
      <c r="A26" s="55"/>
      <c r="B26" s="391"/>
      <c r="C26" s="391"/>
      <c r="D26" s="125"/>
      <c r="E26" s="119"/>
      <c r="F26" s="119"/>
      <c r="G26" s="119"/>
      <c r="H26" s="119"/>
      <c r="I26" s="119"/>
      <c r="J26" s="119"/>
      <c r="K26" s="119"/>
      <c r="L26" s="123"/>
      <c r="M26" s="125"/>
      <c r="N26" s="124"/>
      <c r="O26" s="124"/>
      <c r="P26" s="124"/>
      <c r="Q26" s="124"/>
      <c r="R26" s="124"/>
      <c r="S26" s="124"/>
      <c r="T26" s="124"/>
      <c r="U26" s="124"/>
      <c r="V26" s="124"/>
      <c r="W26" s="123"/>
      <c r="X26" s="130" t="s">
        <v>160</v>
      </c>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4"/>
      <c r="BA26" s="124"/>
      <c r="BB26" s="124"/>
      <c r="BC26" s="124"/>
      <c r="BD26" s="124"/>
      <c r="BE26" s="124"/>
      <c r="BF26" s="124"/>
      <c r="BG26" s="124"/>
      <c r="BH26" s="124"/>
      <c r="BI26" s="123"/>
      <c r="BJ26" s="122"/>
      <c r="BK26" s="121"/>
      <c r="BL26" s="121"/>
      <c r="BM26" s="121"/>
      <c r="BN26" s="121"/>
      <c r="BO26" s="121"/>
      <c r="BP26" s="121"/>
      <c r="BQ26" s="121"/>
      <c r="BR26" s="120"/>
      <c r="BS26" s="125"/>
      <c r="BT26" s="124"/>
      <c r="BU26" s="124"/>
      <c r="BV26" s="124"/>
      <c r="BW26" s="124"/>
      <c r="BX26" s="124"/>
      <c r="BY26" s="124"/>
      <c r="BZ26" s="124"/>
      <c r="CA26" s="124"/>
      <c r="CB26" s="123"/>
      <c r="CD26" s="3"/>
      <c r="CE26" s="3"/>
      <c r="CF26" s="3"/>
      <c r="CG26" s="3"/>
      <c r="CH26" s="3"/>
    </row>
    <row r="27" spans="1:86" ht="13.5">
      <c r="A27" s="55"/>
      <c r="B27" s="391"/>
      <c r="C27" s="391"/>
      <c r="D27" s="223" t="s">
        <v>431</v>
      </c>
      <c r="E27" s="127"/>
      <c r="F27" s="227"/>
      <c r="G27" s="127"/>
      <c r="H27" s="127"/>
      <c r="I27" s="227"/>
      <c r="J27" s="227"/>
      <c r="K27" s="127"/>
      <c r="L27" s="224"/>
      <c r="M27" s="128" t="s">
        <v>159</v>
      </c>
      <c r="N27" s="127"/>
      <c r="O27" s="127"/>
      <c r="P27" s="127"/>
      <c r="Q27" s="127"/>
      <c r="R27" s="127"/>
      <c r="S27" s="127"/>
      <c r="T27" s="127"/>
      <c r="U27" s="127"/>
      <c r="V27" s="127"/>
      <c r="W27" s="126"/>
      <c r="X27" s="128" t="s">
        <v>161</v>
      </c>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6"/>
      <c r="BJ27" s="124" t="s">
        <v>130</v>
      </c>
      <c r="BK27" s="124"/>
      <c r="BL27" s="124"/>
      <c r="BM27" s="124"/>
      <c r="BN27" s="124"/>
      <c r="BO27" s="124"/>
      <c r="BP27" s="124"/>
      <c r="BQ27" s="124"/>
      <c r="BR27" s="124"/>
      <c r="BS27" s="125"/>
      <c r="BT27" s="124"/>
      <c r="BU27" s="124"/>
      <c r="BV27" s="124"/>
      <c r="BW27" s="124"/>
      <c r="BX27" s="124"/>
      <c r="BY27" s="124"/>
      <c r="BZ27" s="124"/>
      <c r="CA27" s="124"/>
      <c r="CB27" s="123"/>
      <c r="CD27" s="3"/>
      <c r="CE27" s="3"/>
      <c r="CF27" s="3"/>
      <c r="CG27" s="3"/>
      <c r="CH27" s="3"/>
    </row>
    <row r="28" spans="1:86" ht="13.5">
      <c r="A28" s="55"/>
      <c r="B28" s="391"/>
      <c r="C28" s="391"/>
      <c r="D28" s="125"/>
      <c r="E28" s="124"/>
      <c r="F28" s="124"/>
      <c r="G28" s="124"/>
      <c r="H28" s="124"/>
      <c r="I28" s="124"/>
      <c r="J28" s="124"/>
      <c r="K28" s="124"/>
      <c r="L28" s="123"/>
      <c r="M28" s="125"/>
      <c r="N28" s="124"/>
      <c r="O28" s="124"/>
      <c r="P28" s="124"/>
      <c r="Q28" s="124"/>
      <c r="R28" s="124"/>
      <c r="S28" s="124"/>
      <c r="T28" s="124"/>
      <c r="U28" s="124"/>
      <c r="V28" s="124"/>
      <c r="W28" s="123"/>
      <c r="X28" s="125" t="s">
        <v>761</v>
      </c>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3"/>
      <c r="BJ28" s="124"/>
      <c r="BK28" s="124"/>
      <c r="BL28" s="124"/>
      <c r="BM28" s="124"/>
      <c r="BN28" s="124"/>
      <c r="BO28" s="124"/>
      <c r="BP28" s="124"/>
      <c r="BQ28" s="124"/>
      <c r="BR28" s="124"/>
      <c r="BS28" s="125"/>
      <c r="BT28" s="124"/>
      <c r="BU28" s="124"/>
      <c r="BV28" s="124"/>
      <c r="BW28" s="124"/>
      <c r="BX28" s="124"/>
      <c r="BY28" s="124"/>
      <c r="BZ28" s="124"/>
      <c r="CA28" s="124"/>
      <c r="CB28" s="123"/>
      <c r="CD28" s="3"/>
      <c r="CE28" s="3"/>
      <c r="CF28" s="3"/>
      <c r="CG28" s="3"/>
      <c r="CH28" s="3"/>
    </row>
    <row r="29" spans="1:86" ht="13.5">
      <c r="A29" s="55"/>
      <c r="B29" s="391"/>
      <c r="C29" s="391"/>
      <c r="D29" s="125"/>
      <c r="E29" s="124"/>
      <c r="F29" s="124"/>
      <c r="G29" s="124"/>
      <c r="H29" s="124"/>
      <c r="I29" s="124"/>
      <c r="J29" s="124"/>
      <c r="K29" s="124"/>
      <c r="L29" s="123"/>
      <c r="M29" s="125"/>
      <c r="N29" s="124"/>
      <c r="O29" s="124"/>
      <c r="P29" s="124"/>
      <c r="Q29" s="124"/>
      <c r="R29" s="124"/>
      <c r="S29" s="124"/>
      <c r="T29" s="124"/>
      <c r="U29" s="124"/>
      <c r="V29" s="124"/>
      <c r="W29" s="123"/>
      <c r="X29" s="125" t="s">
        <v>158</v>
      </c>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3"/>
      <c r="BJ29" s="124"/>
      <c r="BK29" s="124"/>
      <c r="BL29" s="124"/>
      <c r="BM29" s="124"/>
      <c r="BN29" s="124"/>
      <c r="BO29" s="124"/>
      <c r="BP29" s="124"/>
      <c r="BQ29" s="124"/>
      <c r="BR29" s="124"/>
      <c r="BS29" s="125"/>
      <c r="BT29" s="124"/>
      <c r="BU29" s="124"/>
      <c r="BV29" s="124"/>
      <c r="BW29" s="124"/>
      <c r="BX29" s="124"/>
      <c r="BY29" s="124"/>
      <c r="BZ29" s="124"/>
      <c r="CA29" s="124"/>
      <c r="CB29" s="123"/>
      <c r="CD29" s="3"/>
      <c r="CE29" s="3"/>
      <c r="CF29" s="3"/>
      <c r="CG29" s="3"/>
      <c r="CH29" s="3"/>
    </row>
    <row r="30" spans="1:86" ht="13.5">
      <c r="A30" s="55"/>
      <c r="B30" s="391"/>
      <c r="C30" s="391"/>
      <c r="D30" s="125"/>
      <c r="E30" s="124"/>
      <c r="F30" s="124"/>
      <c r="G30" s="124"/>
      <c r="H30" s="124"/>
      <c r="I30" s="124"/>
      <c r="J30" s="124"/>
      <c r="K30" s="124"/>
      <c r="L30" s="123"/>
      <c r="M30" s="125"/>
      <c r="N30" s="124"/>
      <c r="O30" s="124"/>
      <c r="P30" s="124"/>
      <c r="Q30" s="124"/>
      <c r="R30" s="124"/>
      <c r="S30" s="124"/>
      <c r="T30" s="124"/>
      <c r="U30" s="124"/>
      <c r="V30" s="124"/>
      <c r="W30" s="123"/>
      <c r="X30" s="125" t="s">
        <v>157</v>
      </c>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3"/>
      <c r="BJ30" s="124"/>
      <c r="BK30" s="124"/>
      <c r="BL30" s="124"/>
      <c r="BM30" s="124"/>
      <c r="BN30" s="124"/>
      <c r="BO30" s="124"/>
      <c r="BP30" s="124"/>
      <c r="BQ30" s="124"/>
      <c r="BR30" s="124"/>
      <c r="BS30" s="125"/>
      <c r="BT30" s="124"/>
      <c r="BU30" s="124"/>
      <c r="BV30" s="124"/>
      <c r="BW30" s="124"/>
      <c r="BX30" s="124"/>
      <c r="BY30" s="124"/>
      <c r="BZ30" s="124"/>
      <c r="CA30" s="124"/>
      <c r="CB30" s="123"/>
      <c r="CD30" s="3"/>
      <c r="CE30" s="3"/>
      <c r="CF30" s="3"/>
      <c r="CG30" s="3"/>
      <c r="CH30" s="3"/>
    </row>
    <row r="31" spans="1:86" ht="13.5">
      <c r="A31" s="55"/>
      <c r="B31" s="391"/>
      <c r="C31" s="391"/>
      <c r="D31" s="125"/>
      <c r="E31" s="124"/>
      <c r="F31" s="124"/>
      <c r="G31" s="124"/>
      <c r="H31" s="124"/>
      <c r="I31" s="124"/>
      <c r="J31" s="124"/>
      <c r="K31" s="124"/>
      <c r="L31" s="123"/>
      <c r="M31" s="125"/>
      <c r="N31" s="124"/>
      <c r="O31" s="124"/>
      <c r="P31" s="124"/>
      <c r="Q31" s="124"/>
      <c r="R31" s="124"/>
      <c r="S31" s="124"/>
      <c r="T31" s="124"/>
      <c r="U31" s="124"/>
      <c r="V31" s="124"/>
      <c r="W31" s="123"/>
      <c r="X31" s="125" t="s">
        <v>1098</v>
      </c>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3"/>
      <c r="BJ31" s="124"/>
      <c r="BK31" s="124"/>
      <c r="BL31" s="124"/>
      <c r="BM31" s="124"/>
      <c r="BN31" s="124"/>
      <c r="BO31" s="124"/>
      <c r="BP31" s="124"/>
      <c r="BQ31" s="124"/>
      <c r="BR31" s="124"/>
      <c r="BS31" s="125"/>
      <c r="BT31" s="124"/>
      <c r="BU31" s="124"/>
      <c r="BV31" s="124"/>
      <c r="BW31" s="124"/>
      <c r="BX31" s="124"/>
      <c r="BY31" s="124"/>
      <c r="BZ31" s="124"/>
      <c r="CA31" s="124"/>
      <c r="CB31" s="123"/>
      <c r="CD31" s="3"/>
      <c r="CE31" s="3"/>
      <c r="CF31" s="3"/>
      <c r="CG31" s="3"/>
      <c r="CH31" s="3"/>
    </row>
    <row r="32" spans="1:86" ht="13.5">
      <c r="A32" s="55"/>
      <c r="B32" s="391"/>
      <c r="C32" s="391"/>
      <c r="D32" s="125"/>
      <c r="E32" s="124"/>
      <c r="F32" s="124"/>
      <c r="G32" s="124"/>
      <c r="H32" s="124"/>
      <c r="I32" s="124"/>
      <c r="J32" s="124"/>
      <c r="K32" s="124"/>
      <c r="L32" s="123"/>
      <c r="M32" s="125"/>
      <c r="N32" s="124"/>
      <c r="O32" s="124"/>
      <c r="P32" s="124"/>
      <c r="Q32" s="124"/>
      <c r="R32" s="124"/>
      <c r="S32" s="124"/>
      <c r="T32" s="124"/>
      <c r="U32" s="124"/>
      <c r="V32" s="124"/>
      <c r="W32" s="123"/>
      <c r="X32" s="125" t="s">
        <v>1207</v>
      </c>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3"/>
      <c r="BJ32" s="124"/>
      <c r="BK32" s="124"/>
      <c r="BL32" s="124"/>
      <c r="BM32" s="124"/>
      <c r="BN32" s="124"/>
      <c r="BO32" s="124"/>
      <c r="BP32" s="124"/>
      <c r="BQ32" s="124"/>
      <c r="BR32" s="124"/>
      <c r="BS32" s="125"/>
      <c r="BT32" s="124"/>
      <c r="BU32" s="124"/>
      <c r="BV32" s="124"/>
      <c r="BW32" s="124"/>
      <c r="BX32" s="124"/>
      <c r="BY32" s="124"/>
      <c r="BZ32" s="124"/>
      <c r="CA32" s="124"/>
      <c r="CB32" s="123"/>
      <c r="CD32" s="3"/>
      <c r="CE32" s="3"/>
      <c r="CF32" s="3"/>
      <c r="CG32" s="3"/>
      <c r="CH32" s="3"/>
    </row>
    <row r="33" spans="1:86" ht="13.5">
      <c r="A33" s="55"/>
      <c r="B33" s="391"/>
      <c r="C33" s="391"/>
      <c r="D33" s="122"/>
      <c r="E33" s="121"/>
      <c r="F33" s="121"/>
      <c r="G33" s="121"/>
      <c r="H33" s="121"/>
      <c r="I33" s="121"/>
      <c r="J33" s="121"/>
      <c r="K33" s="121"/>
      <c r="L33" s="120"/>
      <c r="M33" s="122"/>
      <c r="N33" s="121"/>
      <c r="O33" s="121"/>
      <c r="P33" s="121"/>
      <c r="Q33" s="121"/>
      <c r="R33" s="121"/>
      <c r="S33" s="121"/>
      <c r="T33" s="121"/>
      <c r="U33" s="121"/>
      <c r="V33" s="121"/>
      <c r="W33" s="120"/>
      <c r="X33" s="122" t="s">
        <v>156</v>
      </c>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0"/>
      <c r="BJ33" s="121"/>
      <c r="BK33" s="121"/>
      <c r="BL33" s="121"/>
      <c r="BM33" s="121"/>
      <c r="BN33" s="121"/>
      <c r="BO33" s="121"/>
      <c r="BP33" s="121"/>
      <c r="BQ33" s="121"/>
      <c r="BR33" s="121"/>
      <c r="BS33" s="122"/>
      <c r="BT33" s="121"/>
      <c r="BU33" s="121"/>
      <c r="BV33" s="121"/>
      <c r="BW33" s="121"/>
      <c r="BX33" s="121"/>
      <c r="BY33" s="121"/>
      <c r="BZ33" s="121"/>
      <c r="CA33" s="121"/>
      <c r="CB33" s="120"/>
      <c r="CD33" s="3"/>
      <c r="CE33" s="3"/>
      <c r="CF33" s="3"/>
      <c r="CG33" s="3"/>
      <c r="CH33" s="3"/>
    </row>
    <row r="34" spans="1:86" ht="13.5">
      <c r="A34" s="55"/>
      <c r="B34" s="391"/>
      <c r="C34" s="391"/>
      <c r="D34" s="122" t="s">
        <v>760</v>
      </c>
      <c r="E34" s="121"/>
      <c r="F34" s="121"/>
      <c r="G34" s="121"/>
      <c r="H34" s="121"/>
      <c r="I34" s="121"/>
      <c r="J34" s="121"/>
      <c r="K34" s="121"/>
      <c r="L34" s="120"/>
      <c r="M34" s="122" t="s">
        <v>1078</v>
      </c>
      <c r="N34" s="121"/>
      <c r="O34" s="121"/>
      <c r="P34" s="121"/>
      <c r="Q34" s="121"/>
      <c r="R34" s="121"/>
      <c r="S34" s="121"/>
      <c r="T34" s="121"/>
      <c r="U34" s="121"/>
      <c r="V34" s="121"/>
      <c r="W34" s="120"/>
      <c r="X34" s="122" t="s">
        <v>1099</v>
      </c>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0"/>
      <c r="BJ34" s="121" t="s">
        <v>130</v>
      </c>
      <c r="BK34" s="121"/>
      <c r="BL34" s="121"/>
      <c r="BM34" s="121"/>
      <c r="BN34" s="121"/>
      <c r="BO34" s="121"/>
      <c r="BP34" s="121"/>
      <c r="BQ34" s="121"/>
      <c r="BR34" s="121"/>
      <c r="BS34" s="122" t="s">
        <v>109</v>
      </c>
      <c r="BT34" s="121"/>
      <c r="BU34" s="121"/>
      <c r="BV34" s="121"/>
      <c r="BW34" s="121"/>
      <c r="BX34" s="121"/>
      <c r="BY34" s="121"/>
      <c r="BZ34" s="121"/>
      <c r="CA34" s="121"/>
      <c r="CB34" s="120"/>
      <c r="CD34" s="3"/>
      <c r="CE34" s="3"/>
      <c r="CF34" s="3"/>
      <c r="CG34" s="3"/>
      <c r="CH34" s="3"/>
    </row>
    <row r="35" spans="1:86" ht="13.5">
      <c r="A35" s="55"/>
      <c r="B35" s="391"/>
      <c r="C35" s="391"/>
      <c r="D35" s="124" t="s">
        <v>782</v>
      </c>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4"/>
      <c r="BZ35" s="124"/>
      <c r="CA35" s="124"/>
    </row>
    <row r="36" spans="1:86" ht="13.5">
      <c r="A36" s="55"/>
      <c r="B36" s="55"/>
      <c r="C36" s="55"/>
      <c r="D36" s="129" t="s">
        <v>1100</v>
      </c>
      <c r="E36" s="129"/>
      <c r="F36" s="129"/>
      <c r="G36" s="129"/>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4"/>
    </row>
    <row r="37" spans="1:86" ht="13.5">
      <c r="A37" s="55"/>
      <c r="B37" s="391"/>
      <c r="C37" s="391"/>
      <c r="D37" s="391" t="s">
        <v>783</v>
      </c>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391"/>
      <c r="CB37" s="391"/>
      <c r="CC37" s="391"/>
      <c r="CD37" s="3"/>
      <c r="CE37" s="3"/>
    </row>
    <row r="38" spans="1:86" ht="13.5">
      <c r="A38" s="55"/>
      <c r="B38" s="391"/>
      <c r="C38" s="391"/>
      <c r="D38" s="391"/>
      <c r="E38" s="119"/>
      <c r="F38" s="119" t="s">
        <v>784</v>
      </c>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391"/>
      <c r="CB38" s="391"/>
      <c r="CC38" s="391"/>
      <c r="CD38" s="3"/>
      <c r="CE38" s="3"/>
    </row>
    <row r="39" spans="1:86" ht="13.5">
      <c r="A39" s="55"/>
      <c r="B39" s="391"/>
      <c r="C39" s="391"/>
      <c r="D39" s="391"/>
      <c r="E39" s="119"/>
      <c r="F39" s="119" t="s">
        <v>785</v>
      </c>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391"/>
      <c r="CB39" s="391"/>
      <c r="CC39" s="391"/>
      <c r="CD39" s="3"/>
      <c r="CE39" s="3"/>
    </row>
    <row r="40" spans="1:86" ht="13.5">
      <c r="A40" s="55"/>
      <c r="B40" s="391"/>
      <c r="C40" s="391"/>
      <c r="D40" s="391"/>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391"/>
      <c r="CB40" s="391"/>
      <c r="CC40" s="391"/>
      <c r="CD40" s="3"/>
      <c r="CE40" s="3"/>
    </row>
    <row r="41" spans="1:86" ht="13.5">
      <c r="A41" s="55"/>
      <c r="B41" s="391"/>
      <c r="C41" s="391"/>
      <c r="D41" s="391"/>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391"/>
      <c r="CB41" s="391"/>
      <c r="CC41" s="391"/>
      <c r="CD41" s="3"/>
      <c r="CE41" s="3"/>
    </row>
    <row r="42" spans="1:86" ht="13.5">
      <c r="A42" s="55"/>
      <c r="B42" s="3"/>
      <c r="C42" s="3"/>
      <c r="D42" s="3"/>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3"/>
      <c r="CB42" s="3"/>
      <c r="CC42" s="3"/>
      <c r="CD42" s="3"/>
      <c r="CE42" s="3"/>
    </row>
    <row r="43" spans="1:86" ht="13.5">
      <c r="A43" s="55"/>
      <c r="B43" s="3"/>
      <c r="C43" s="3"/>
      <c r="D43" s="3"/>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c r="AZ43" s="119"/>
      <c r="BA43" s="119"/>
      <c r="BB43" s="119"/>
      <c r="BC43" s="119"/>
      <c r="BD43" s="119"/>
      <c r="BE43" s="119"/>
      <c r="BF43" s="119"/>
      <c r="BG43" s="119"/>
      <c r="BH43" s="119"/>
      <c r="BI43" s="119"/>
      <c r="BJ43" s="119"/>
      <c r="BK43" s="119"/>
      <c r="BL43" s="119"/>
      <c r="BM43" s="119"/>
      <c r="BN43" s="119"/>
      <c r="BO43" s="119"/>
      <c r="BP43" s="119"/>
      <c r="BQ43" s="119"/>
      <c r="BR43" s="119"/>
      <c r="BS43" s="119"/>
      <c r="BT43" s="119"/>
      <c r="BU43" s="119"/>
      <c r="BV43" s="119"/>
      <c r="BW43" s="119"/>
      <c r="BX43" s="119"/>
      <c r="BY43" s="119"/>
      <c r="BZ43" s="119"/>
      <c r="CA43" s="3"/>
      <c r="CB43" s="3"/>
      <c r="CC43" s="3"/>
      <c r="CD43" s="3"/>
      <c r="CE43" s="3"/>
    </row>
    <row r="44" spans="1:86" ht="13.5">
      <c r="A44" s="55"/>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6" ht="13.5">
      <c r="A45" s="55"/>
      <c r="B45" s="3"/>
      <c r="C45" s="391" t="s">
        <v>1101</v>
      </c>
      <c r="D45" s="137"/>
      <c r="E45" s="137"/>
      <c r="G45" s="391"/>
      <c r="H45" s="391"/>
      <c r="I45" s="391"/>
      <c r="J45" s="391"/>
      <c r="K45" s="391"/>
      <c r="L45" s="391"/>
      <c r="M45" s="391"/>
      <c r="N45" s="391"/>
      <c r="O45" s="391"/>
      <c r="P45" s="391"/>
      <c r="Q45" s="391"/>
      <c r="R45" s="391"/>
      <c r="S45" s="391"/>
      <c r="T45" s="391"/>
      <c r="U45" s="391"/>
      <c r="V45" s="391"/>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6" ht="13.5">
      <c r="A46" s="55"/>
      <c r="B46" s="118"/>
      <c r="C46" s="391"/>
      <c r="D46" s="391"/>
      <c r="E46" s="391"/>
      <c r="G46" s="391"/>
      <c r="H46" s="391"/>
      <c r="I46" s="391"/>
      <c r="J46" s="391"/>
      <c r="K46" s="391"/>
      <c r="L46" s="391"/>
      <c r="M46" s="391"/>
      <c r="N46" s="391"/>
      <c r="O46" s="391"/>
      <c r="P46" s="391"/>
      <c r="Q46" s="391"/>
      <c r="R46" s="391"/>
      <c r="S46" s="391"/>
      <c r="T46" s="391"/>
      <c r="U46" s="391"/>
      <c r="V46" s="391"/>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6" ht="13.5">
      <c r="A47" s="55"/>
      <c r="B47" s="3"/>
      <c r="D47" s="391" t="s">
        <v>155</v>
      </c>
      <c r="E47" s="391"/>
      <c r="G47" s="391"/>
      <c r="H47" s="391"/>
      <c r="I47" s="391"/>
      <c r="J47" s="391"/>
      <c r="K47" s="391"/>
      <c r="L47" s="391"/>
      <c r="M47" s="391"/>
      <c r="N47" s="391"/>
      <c r="O47" s="391"/>
      <c r="P47" s="391"/>
      <c r="Q47" s="391"/>
      <c r="R47" s="391"/>
      <c r="S47" s="391"/>
      <c r="T47" s="391"/>
      <c r="U47" s="391"/>
      <c r="V47" s="391"/>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6" ht="13.5">
      <c r="A48" s="413"/>
      <c r="B48" s="3"/>
      <c r="D48" s="5" t="s">
        <v>1102</v>
      </c>
      <c r="E48" s="391"/>
      <c r="G48" s="391"/>
      <c r="H48" s="391"/>
      <c r="I48" s="391"/>
      <c r="J48" s="391"/>
      <c r="K48" s="391"/>
      <c r="L48" s="391"/>
      <c r="M48" s="391"/>
      <c r="N48" s="391"/>
      <c r="O48" s="391"/>
      <c r="P48" s="391"/>
      <c r="Q48" s="391"/>
      <c r="R48" s="391"/>
      <c r="S48" s="391"/>
      <c r="T48" s="391"/>
      <c r="U48" s="391"/>
      <c r="V48" s="391"/>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3.5">
      <c r="A49" s="413"/>
      <c r="B49" s="362"/>
      <c r="D49" s="231" t="s">
        <v>1103</v>
      </c>
      <c r="E49" s="391"/>
      <c r="G49" s="391"/>
      <c r="H49" s="391"/>
      <c r="I49" s="391"/>
      <c r="J49" s="391"/>
      <c r="K49" s="391"/>
      <c r="L49" s="391"/>
      <c r="M49" s="391"/>
      <c r="N49" s="391"/>
      <c r="O49" s="391"/>
      <c r="P49" s="391"/>
      <c r="Q49" s="391"/>
      <c r="R49" s="391"/>
      <c r="S49" s="391"/>
      <c r="T49" s="391"/>
      <c r="U49" s="391"/>
      <c r="V49" s="391"/>
      <c r="W49" s="362"/>
      <c r="X49" s="362"/>
      <c r="Y49" s="362"/>
      <c r="Z49" s="362"/>
      <c r="AA49" s="362"/>
      <c r="AB49" s="362"/>
      <c r="AC49" s="362"/>
      <c r="AD49" s="362"/>
      <c r="AE49" s="362"/>
      <c r="AF49" s="362"/>
      <c r="AG49" s="362"/>
      <c r="AH49" s="362"/>
      <c r="AI49" s="362"/>
      <c r="AJ49" s="362"/>
      <c r="AK49" s="362"/>
      <c r="AL49" s="362"/>
      <c r="AM49" s="362"/>
      <c r="AN49" s="362"/>
      <c r="AO49" s="362"/>
      <c r="AP49" s="362"/>
      <c r="AQ49" s="362"/>
      <c r="AR49" s="362"/>
      <c r="AS49" s="362"/>
      <c r="AT49" s="362"/>
      <c r="AU49" s="362"/>
      <c r="AV49" s="362"/>
      <c r="AW49" s="362"/>
      <c r="AX49" s="362"/>
      <c r="AY49" s="362"/>
      <c r="AZ49" s="362"/>
      <c r="BA49" s="362"/>
      <c r="BB49" s="362"/>
      <c r="BC49" s="362"/>
      <c r="BD49" s="362"/>
      <c r="BE49" s="362"/>
      <c r="BF49" s="362"/>
      <c r="BG49" s="362"/>
      <c r="BH49" s="362"/>
      <c r="BI49" s="362"/>
      <c r="BJ49" s="362"/>
      <c r="BK49" s="362"/>
      <c r="BL49" s="362"/>
      <c r="BM49" s="362"/>
      <c r="BN49" s="362"/>
      <c r="BO49" s="362"/>
      <c r="BP49" s="362"/>
      <c r="BQ49" s="362"/>
      <c r="BR49" s="362"/>
      <c r="BS49" s="362"/>
      <c r="BT49" s="362"/>
      <c r="BU49" s="362"/>
      <c r="BV49" s="362"/>
      <c r="BW49" s="362"/>
      <c r="BX49" s="362"/>
      <c r="BY49" s="362"/>
      <c r="BZ49" s="362"/>
      <c r="CA49" s="362"/>
      <c r="CB49" s="362"/>
      <c r="CC49" s="362"/>
      <c r="CD49" s="362"/>
      <c r="CE49" s="362"/>
    </row>
    <row r="50" spans="1:83" ht="12" customHeight="1">
      <c r="A50" s="55"/>
      <c r="D50" s="391" t="s">
        <v>154</v>
      </c>
      <c r="O50" s="391"/>
      <c r="P50" s="391"/>
      <c r="Q50" s="391"/>
      <c r="R50" s="391"/>
      <c r="S50" s="391"/>
      <c r="T50" s="391"/>
      <c r="U50" s="391"/>
      <c r="V50" s="391"/>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55"/>
      <c r="O51" s="391"/>
      <c r="P51" s="391"/>
      <c r="Q51" s="391"/>
      <c r="R51" s="391"/>
      <c r="S51" s="391"/>
      <c r="T51" s="391"/>
      <c r="U51" s="391"/>
      <c r="V51" s="391"/>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s="115" customFormat="1" ht="12" customHeight="1">
      <c r="A52" s="299"/>
      <c r="B52" s="22"/>
      <c r="C52" s="22"/>
      <c r="D52" s="22"/>
      <c r="E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row>
    <row r="53" spans="1:83" s="115" customFormat="1" ht="12" customHeight="1">
      <c r="A53" s="299"/>
      <c r="B53" s="22"/>
      <c r="C53" s="22"/>
      <c r="D53" s="22"/>
      <c r="E53" s="22"/>
      <c r="F53" s="22"/>
      <c r="G53" s="117"/>
      <c r="H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6"/>
      <c r="AO53" s="116"/>
      <c r="AP53" s="116"/>
      <c r="AQ53" s="116"/>
      <c r="AR53" s="116"/>
      <c r="AS53" s="116"/>
      <c r="AT53" s="116"/>
      <c r="AU53" s="116"/>
      <c r="AV53" s="116"/>
      <c r="AW53" s="116"/>
      <c r="AX53" s="116"/>
      <c r="AY53" s="116"/>
      <c r="AZ53" s="116"/>
      <c r="BA53" s="116"/>
      <c r="BB53" s="116"/>
      <c r="BC53" s="22"/>
      <c r="BD53" s="116"/>
      <c r="BE53" s="116"/>
      <c r="BF53" s="116"/>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row>
    <row r="54" spans="1:83" s="115" customFormat="1" ht="12" customHeight="1">
      <c r="A54" s="299"/>
      <c r="B54" s="22"/>
      <c r="C54" s="22"/>
      <c r="D54" s="22"/>
      <c r="E54" s="22"/>
      <c r="F54" s="117"/>
      <c r="G54" s="117"/>
      <c r="H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117"/>
      <c r="AK54" s="117"/>
      <c r="AL54" s="117"/>
      <c r="AM54" s="117"/>
      <c r="AN54" s="116"/>
      <c r="AO54" s="116"/>
      <c r="AP54" s="116"/>
      <c r="AQ54" s="116"/>
      <c r="AR54" s="116"/>
      <c r="AS54" s="116"/>
      <c r="AT54" s="116"/>
      <c r="AU54" s="116"/>
      <c r="AV54" s="116"/>
      <c r="AW54" s="116"/>
      <c r="AX54" s="116"/>
      <c r="AY54" s="116"/>
      <c r="AZ54" s="116"/>
      <c r="BA54" s="116"/>
      <c r="BB54" s="116"/>
      <c r="BE54" s="116"/>
      <c r="BF54" s="116"/>
      <c r="BG54" s="22"/>
      <c r="BJ54" s="22"/>
      <c r="BK54" s="22"/>
      <c r="BL54" s="22"/>
      <c r="BM54" s="22"/>
      <c r="BN54" s="22"/>
      <c r="BO54" s="22"/>
      <c r="BP54" s="22"/>
      <c r="BQ54" s="22"/>
      <c r="BR54" s="22"/>
      <c r="BS54" s="22"/>
      <c r="BT54" s="22"/>
      <c r="BU54" s="22"/>
      <c r="BV54" s="22"/>
      <c r="BW54" s="22"/>
      <c r="BX54" s="22"/>
      <c r="BY54" s="22"/>
      <c r="BZ54" s="22"/>
      <c r="CA54" s="22"/>
      <c r="CB54" s="22"/>
      <c r="CC54" s="22"/>
      <c r="CD54" s="22"/>
      <c r="CE54" s="22"/>
    </row>
    <row r="55" spans="1:83" ht="12" customHeight="1">
      <c r="A55" s="55"/>
      <c r="B55" s="3"/>
      <c r="C55" s="3"/>
      <c r="D55" s="3"/>
      <c r="E55" s="3"/>
      <c r="F55" s="112"/>
      <c r="G55" s="112"/>
      <c r="H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0"/>
      <c r="AO55" s="110"/>
      <c r="AP55" s="110"/>
      <c r="AQ55" s="110"/>
      <c r="AR55" s="110"/>
      <c r="AS55" s="110"/>
      <c r="AT55" s="110"/>
      <c r="AU55" s="110"/>
      <c r="AV55" s="110"/>
      <c r="AW55" s="110"/>
      <c r="AX55" s="110"/>
      <c r="AY55" s="110"/>
      <c r="AZ55" s="110"/>
      <c r="BA55" s="110"/>
      <c r="BB55" s="110"/>
      <c r="BC55" s="110"/>
      <c r="BE55" s="110"/>
      <c r="BF55" s="110"/>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55"/>
      <c r="B56" s="3"/>
      <c r="C56" s="3"/>
      <c r="D56" s="3"/>
      <c r="E56" s="114"/>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0"/>
      <c r="AO56" s="110"/>
      <c r="AP56" s="110"/>
      <c r="AQ56" s="110"/>
      <c r="AR56" s="110"/>
      <c r="AS56" s="110"/>
      <c r="AT56" s="110"/>
      <c r="AU56" s="110"/>
      <c r="AV56" s="110"/>
      <c r="AW56" s="110"/>
      <c r="AX56" s="110"/>
      <c r="AY56" s="110"/>
      <c r="AZ56" s="110"/>
      <c r="BA56" s="110"/>
      <c r="BB56" s="110"/>
      <c r="BC56" s="110"/>
      <c r="BD56" s="110"/>
      <c r="BE56" s="110"/>
      <c r="BF56" s="110"/>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55"/>
      <c r="B57" s="3"/>
      <c r="C57" s="3"/>
      <c r="D57" s="3"/>
      <c r="E57" s="3"/>
      <c r="F57" s="112"/>
      <c r="G57" s="112"/>
      <c r="H57" s="112"/>
      <c r="I57" s="112"/>
      <c r="J57" s="112"/>
      <c r="K57" s="112"/>
      <c r="L57" s="112"/>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0"/>
      <c r="AO57" s="110"/>
      <c r="AP57" s="110"/>
      <c r="AQ57" s="110"/>
      <c r="AR57" s="110"/>
      <c r="AS57" s="110"/>
      <c r="AT57" s="110"/>
      <c r="AU57" s="110"/>
      <c r="AV57" s="110"/>
      <c r="AW57" s="110"/>
      <c r="AX57" s="110"/>
      <c r="AY57" s="110"/>
      <c r="AZ57" s="110"/>
      <c r="BA57" s="110"/>
      <c r="BB57" s="110"/>
      <c r="BC57" s="110"/>
      <c r="BD57" s="110"/>
      <c r="BE57" s="110"/>
      <c r="BF57" s="110"/>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55"/>
      <c r="B58" s="3"/>
      <c r="C58" s="3"/>
      <c r="D58" s="3"/>
      <c r="E58" s="3"/>
      <c r="F58" s="112"/>
      <c r="G58" s="112"/>
      <c r="H58" s="112"/>
      <c r="I58" s="112"/>
      <c r="J58" s="112"/>
      <c r="K58" s="112"/>
      <c r="L58" s="112"/>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0"/>
      <c r="AO58" s="110"/>
      <c r="AP58" s="110"/>
      <c r="AQ58" s="110"/>
      <c r="AR58" s="110"/>
      <c r="AS58" s="110"/>
      <c r="AT58" s="110"/>
      <c r="AU58" s="110"/>
      <c r="AV58" s="110"/>
      <c r="AW58" s="110"/>
      <c r="AX58" s="110"/>
      <c r="AY58" s="110"/>
      <c r="AZ58" s="110"/>
      <c r="BA58" s="110"/>
      <c r="BB58" s="110"/>
      <c r="BC58" s="110"/>
      <c r="BD58" s="110"/>
      <c r="BE58" s="110"/>
      <c r="BF58" s="110"/>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55"/>
      <c r="B59" s="3"/>
      <c r="C59" s="3"/>
      <c r="D59" s="3"/>
      <c r="E59" s="3"/>
      <c r="F59" s="112"/>
      <c r="G59" s="112"/>
      <c r="H59" s="112"/>
      <c r="I59" s="112"/>
      <c r="J59" s="112"/>
      <c r="K59" s="112"/>
      <c r="L59" s="112"/>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0"/>
      <c r="AO59" s="110"/>
      <c r="AP59" s="110"/>
      <c r="AQ59" s="110"/>
      <c r="AR59" s="110"/>
      <c r="AS59" s="110"/>
      <c r="AT59" s="110"/>
      <c r="AU59" s="110"/>
      <c r="AV59" s="110"/>
      <c r="AW59" s="110"/>
      <c r="AX59" s="110"/>
      <c r="AY59" s="110"/>
      <c r="AZ59" s="110"/>
      <c r="BA59" s="110"/>
      <c r="BB59" s="110"/>
      <c r="BC59" s="110"/>
      <c r="BD59" s="110"/>
      <c r="BE59" s="110"/>
      <c r="BF59" s="110"/>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55"/>
      <c r="B60" s="3"/>
      <c r="C60" s="3"/>
      <c r="D60" s="3"/>
      <c r="E60" s="3"/>
      <c r="F60" s="112"/>
      <c r="G60" s="112"/>
      <c r="H60" s="112"/>
      <c r="I60" s="112"/>
      <c r="J60" s="112"/>
      <c r="K60" s="112"/>
      <c r="L60" s="112"/>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0"/>
      <c r="AO60" s="110"/>
      <c r="AP60" s="110"/>
      <c r="AQ60" s="110"/>
      <c r="AR60" s="110"/>
      <c r="AS60" s="110"/>
      <c r="AT60" s="110"/>
      <c r="AU60" s="110"/>
      <c r="AV60" s="110"/>
      <c r="AW60" s="110"/>
      <c r="AX60" s="110"/>
      <c r="AY60" s="110"/>
      <c r="AZ60" s="110"/>
      <c r="BA60" s="110"/>
      <c r="BB60" s="110"/>
      <c r="BC60" s="110"/>
      <c r="BD60" s="110"/>
      <c r="BE60" s="110"/>
      <c r="BF60" s="110"/>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55"/>
      <c r="B61" s="3"/>
      <c r="C61" s="3"/>
      <c r="D61" s="3"/>
      <c r="E61" s="3"/>
      <c r="F61" s="112"/>
      <c r="G61" s="112"/>
      <c r="H61" s="112"/>
      <c r="I61" s="112"/>
      <c r="J61" s="112"/>
      <c r="K61" s="112"/>
      <c r="L61" s="112"/>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0"/>
      <c r="AO61" s="110"/>
      <c r="AP61" s="110"/>
      <c r="AQ61" s="110"/>
      <c r="AR61" s="110"/>
      <c r="AS61" s="110"/>
      <c r="AT61" s="110"/>
      <c r="AU61" s="110"/>
      <c r="AV61" s="110"/>
      <c r="AW61" s="110"/>
      <c r="AX61" s="110"/>
      <c r="AY61" s="110"/>
      <c r="AZ61" s="110"/>
      <c r="BA61" s="110"/>
      <c r="BB61" s="110"/>
      <c r="BC61" s="110"/>
      <c r="BD61" s="110"/>
      <c r="BE61" s="110"/>
      <c r="BF61" s="110"/>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55"/>
      <c r="B62" s="3"/>
      <c r="C62" s="3"/>
      <c r="D62" s="3"/>
      <c r="E62" s="3"/>
      <c r="F62" s="112"/>
      <c r="G62" s="112"/>
      <c r="H62" s="112"/>
      <c r="I62" s="112"/>
      <c r="J62" s="112"/>
      <c r="K62" s="112"/>
      <c r="L62" s="112"/>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0"/>
      <c r="AO62" s="110"/>
      <c r="AP62" s="110"/>
      <c r="AQ62" s="110"/>
      <c r="AR62" s="110"/>
      <c r="AS62" s="110"/>
      <c r="AT62" s="110"/>
      <c r="AU62" s="110"/>
      <c r="AV62" s="110"/>
      <c r="AW62" s="110"/>
      <c r="AX62" s="110"/>
      <c r="AY62" s="110"/>
      <c r="AZ62" s="110"/>
      <c r="BA62" s="110"/>
      <c r="BB62" s="110"/>
      <c r="BC62" s="110"/>
      <c r="BD62" s="110"/>
      <c r="BE62" s="110"/>
      <c r="BF62" s="110"/>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55"/>
      <c r="B63" s="3"/>
      <c r="C63" s="3"/>
      <c r="D63" s="3"/>
      <c r="E63" s="3"/>
      <c r="F63" s="112"/>
      <c r="G63" s="112"/>
      <c r="H63" s="112"/>
      <c r="I63" s="112"/>
      <c r="J63" s="112"/>
      <c r="K63" s="112"/>
      <c r="L63" s="112"/>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0"/>
      <c r="AO63" s="110"/>
      <c r="AP63" s="110"/>
      <c r="AQ63" s="110"/>
      <c r="AR63" s="110"/>
      <c r="AS63" s="110"/>
      <c r="AT63" s="110"/>
      <c r="AU63" s="110"/>
      <c r="AV63" s="110"/>
      <c r="AW63" s="110"/>
      <c r="AX63" s="110"/>
      <c r="AY63" s="110"/>
      <c r="AZ63" s="110"/>
      <c r="BA63" s="110"/>
      <c r="BB63" s="110"/>
      <c r="BC63" s="110"/>
      <c r="BD63" s="110"/>
      <c r="BE63" s="110"/>
      <c r="BF63" s="110"/>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55"/>
      <c r="B64" s="3"/>
      <c r="C64" s="3"/>
      <c r="D64" s="3"/>
      <c r="E64" s="3"/>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55"/>
      <c r="B65" s="3"/>
      <c r="C65" s="3"/>
      <c r="D65" s="3"/>
      <c r="E65" s="3"/>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0"/>
      <c r="AO65" s="110"/>
      <c r="AP65" s="110"/>
      <c r="AQ65" s="110"/>
      <c r="AR65" s="110"/>
      <c r="AS65" s="110"/>
      <c r="AT65" s="110"/>
      <c r="AU65" s="110"/>
      <c r="AV65" s="110"/>
      <c r="AW65" s="110"/>
      <c r="AX65" s="110"/>
      <c r="AY65" s="110"/>
      <c r="AZ65" s="110"/>
      <c r="BA65" s="110"/>
      <c r="BB65" s="110"/>
      <c r="BC65" s="110"/>
      <c r="BD65" s="110"/>
      <c r="BE65" s="110"/>
      <c r="BF65" s="110"/>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55"/>
      <c r="B66" s="3"/>
      <c r="C66" s="3"/>
      <c r="D66" s="3"/>
      <c r="E66" s="3"/>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0"/>
      <c r="AO66" s="110"/>
      <c r="AP66" s="110"/>
      <c r="AQ66" s="110"/>
      <c r="AR66" s="110"/>
      <c r="AS66" s="110"/>
      <c r="AT66" s="110"/>
      <c r="AU66" s="110"/>
      <c r="AV66" s="110"/>
      <c r="AW66" s="110"/>
      <c r="AX66" s="110"/>
      <c r="AY66" s="110"/>
      <c r="AZ66" s="110"/>
      <c r="BA66" s="110"/>
      <c r="BB66" s="110"/>
      <c r="BC66" s="110"/>
      <c r="BD66" s="110"/>
      <c r="BE66" s="110"/>
      <c r="BF66" s="110"/>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55"/>
      <c r="B67" s="3"/>
      <c r="C67" s="3"/>
      <c r="D67" s="3"/>
      <c r="E67" s="3"/>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0"/>
      <c r="AO67" s="110"/>
      <c r="AP67" s="110"/>
      <c r="AQ67" s="110"/>
      <c r="AR67" s="110"/>
      <c r="AS67" s="110"/>
      <c r="AT67" s="110"/>
      <c r="AU67" s="110"/>
      <c r="AV67" s="110"/>
      <c r="AW67" s="110"/>
      <c r="AX67" s="110"/>
      <c r="AY67" s="110"/>
      <c r="AZ67" s="110"/>
      <c r="BA67" s="110"/>
      <c r="BB67" s="110"/>
      <c r="BC67" s="110"/>
      <c r="BD67" s="110"/>
      <c r="BE67" s="110"/>
      <c r="BF67" s="110"/>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55"/>
      <c r="B68" s="3"/>
      <c r="C68" s="3"/>
      <c r="D68" s="3"/>
      <c r="E68" s="3"/>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0"/>
      <c r="AO68" s="110"/>
      <c r="AP68" s="110"/>
      <c r="AQ68" s="110"/>
      <c r="AR68" s="110"/>
      <c r="AS68" s="110"/>
      <c r="AT68" s="110"/>
      <c r="AU68" s="110"/>
      <c r="AV68" s="110"/>
      <c r="AW68" s="110"/>
      <c r="AX68" s="110"/>
      <c r="AY68" s="110"/>
      <c r="AZ68" s="110"/>
      <c r="BA68" s="110"/>
      <c r="BB68" s="110"/>
      <c r="BC68" s="110"/>
      <c r="BD68" s="110"/>
      <c r="BE68" s="110"/>
      <c r="BF68" s="110"/>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55"/>
      <c r="B69" s="3"/>
      <c r="C69" s="3"/>
      <c r="D69" s="3"/>
      <c r="E69" s="3"/>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0"/>
      <c r="AO69" s="110"/>
      <c r="AP69" s="110"/>
      <c r="AQ69" s="110"/>
      <c r="AR69" s="110"/>
      <c r="AS69" s="110"/>
      <c r="AT69" s="110"/>
      <c r="AU69" s="110"/>
      <c r="AV69" s="110"/>
      <c r="AW69" s="110"/>
      <c r="AX69" s="110"/>
      <c r="AY69" s="110"/>
      <c r="AZ69" s="110"/>
      <c r="BA69" s="110"/>
      <c r="BB69" s="110"/>
      <c r="BC69" s="110"/>
      <c r="BD69" s="110"/>
      <c r="BE69" s="110"/>
      <c r="BF69" s="110"/>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55"/>
      <c r="B70" s="3"/>
      <c r="C70" s="3"/>
      <c r="D70" s="3"/>
      <c r="E70" s="3"/>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0"/>
      <c r="AO70" s="110"/>
      <c r="AP70" s="110"/>
      <c r="AQ70" s="110"/>
      <c r="AR70" s="110"/>
      <c r="AS70" s="110"/>
      <c r="AT70" s="110"/>
      <c r="AU70" s="110"/>
      <c r="AV70" s="110"/>
      <c r="AW70" s="110"/>
      <c r="AX70" s="110"/>
      <c r="AY70" s="110"/>
      <c r="AZ70" s="110"/>
      <c r="BA70" s="110"/>
      <c r="BB70" s="110"/>
      <c r="BC70" s="110"/>
      <c r="BD70" s="110"/>
      <c r="BE70" s="110"/>
      <c r="BF70" s="110"/>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55"/>
      <c r="B71" s="3"/>
      <c r="C71" s="3"/>
      <c r="D71" s="3"/>
      <c r="E71" s="3"/>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55"/>
      <c r="B72" s="3"/>
      <c r="C72" s="3"/>
      <c r="D72" s="3"/>
      <c r="E72" s="3"/>
      <c r="F72" s="112"/>
      <c r="G72" s="112"/>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55"/>
      <c r="B73" s="3"/>
      <c r="C73" s="3"/>
      <c r="D73" s="3"/>
      <c r="E73" s="3"/>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55"/>
      <c r="B74" s="3"/>
      <c r="C74" s="3"/>
      <c r="D74" s="3"/>
      <c r="E74" s="3"/>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55"/>
      <c r="B75" s="3"/>
      <c r="C75" s="3"/>
      <c r="D75" s="3"/>
      <c r="E75" s="3"/>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3"/>
      <c r="BH75" s="111"/>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55"/>
      <c r="B76" s="3"/>
      <c r="C76" s="3"/>
      <c r="D76" s="3"/>
      <c r="E76" s="3"/>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3"/>
      <c r="BH76" s="111"/>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55"/>
      <c r="B77" s="3"/>
      <c r="C77" s="3"/>
      <c r="D77" s="3"/>
      <c r="E77" s="3"/>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55"/>
      <c r="B78" s="3"/>
      <c r="C78" s="3"/>
      <c r="D78" s="3"/>
      <c r="E78" s="3"/>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55"/>
      <c r="B79" s="3"/>
      <c r="C79" s="3"/>
      <c r="D79" s="3"/>
      <c r="E79" s="3"/>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55"/>
      <c r="B80" s="3"/>
      <c r="C80" s="3"/>
      <c r="D80" s="3"/>
      <c r="E80" s="3"/>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55"/>
      <c r="B81" s="3"/>
      <c r="C81" s="3"/>
      <c r="D81" s="3"/>
      <c r="E81" s="3"/>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55"/>
      <c r="B82" s="3"/>
      <c r="C82" s="3"/>
      <c r="D82" s="3"/>
      <c r="E82" s="3"/>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55"/>
      <c r="B83" s="3"/>
      <c r="C83" s="3"/>
      <c r="D83" s="3"/>
      <c r="E83" s="3"/>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55"/>
      <c r="B84" s="3"/>
      <c r="C84" s="3"/>
      <c r="D84" s="3"/>
      <c r="E84" s="3"/>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55"/>
      <c r="B85" s="3"/>
      <c r="C85" s="3"/>
      <c r="D85" s="3"/>
      <c r="E85" s="3"/>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55"/>
      <c r="B86" s="3"/>
      <c r="C86" s="3"/>
      <c r="D86" s="3"/>
      <c r="E86" s="3"/>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55"/>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55"/>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55"/>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55"/>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55"/>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55"/>
      <c r="B92" s="3"/>
      <c r="C92" s="391" t="s">
        <v>1104</v>
      </c>
      <c r="D92" s="391"/>
      <c r="F92" s="391"/>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55"/>
      <c r="B93" s="3"/>
      <c r="C93" s="391"/>
      <c r="D93" s="391"/>
      <c r="F93" s="391"/>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55"/>
      <c r="B94" s="3"/>
      <c r="D94" s="391" t="s">
        <v>153</v>
      </c>
      <c r="F94" s="391"/>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55"/>
      <c r="B95" s="3"/>
      <c r="D95" s="391" t="s">
        <v>767</v>
      </c>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55"/>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2" ht="12" customHeight="1">
      <c r="A97" s="55"/>
      <c r="B97" s="3"/>
      <c r="D97" s="180" t="s">
        <v>152</v>
      </c>
      <c r="E97" s="181"/>
      <c r="F97" s="181"/>
      <c r="G97" s="181"/>
      <c r="H97" s="181"/>
      <c r="I97" s="182"/>
      <c r="J97" s="180" t="s">
        <v>151</v>
      </c>
      <c r="K97" s="181"/>
      <c r="L97" s="181"/>
      <c r="M97" s="181"/>
      <c r="N97" s="181"/>
      <c r="O97" s="180" t="s">
        <v>150</v>
      </c>
      <c r="P97" s="181"/>
      <c r="Q97" s="181"/>
      <c r="R97" s="181"/>
      <c r="S97" s="182"/>
      <c r="T97" s="180" t="s">
        <v>149</v>
      </c>
      <c r="U97" s="181"/>
      <c r="V97" s="181"/>
      <c r="W97" s="181"/>
      <c r="X97" s="181"/>
      <c r="Y97" s="181"/>
      <c r="Z97" s="181"/>
      <c r="AA97" s="183" t="s">
        <v>787</v>
      </c>
      <c r="AB97" s="184"/>
      <c r="AC97" s="184"/>
      <c r="AD97" s="185"/>
      <c r="AE97" s="186" t="s">
        <v>148</v>
      </c>
      <c r="AF97" s="187"/>
      <c r="AG97" s="187"/>
      <c r="AH97" s="187"/>
      <c r="AI97" s="187"/>
      <c r="AJ97" s="187"/>
      <c r="AK97" s="187"/>
      <c r="AL97" s="187"/>
      <c r="AM97" s="187"/>
      <c r="AN97" s="187"/>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c r="BP97" s="181"/>
      <c r="BQ97" s="181"/>
      <c r="BR97" s="181"/>
      <c r="BS97" s="181"/>
      <c r="BT97" s="181"/>
      <c r="BU97" s="181"/>
      <c r="BV97" s="181"/>
      <c r="BW97" s="181"/>
      <c r="BX97" s="181"/>
      <c r="BY97" s="181"/>
      <c r="BZ97" s="181"/>
      <c r="CA97" s="181"/>
      <c r="CB97" s="181"/>
      <c r="CC97" s="181"/>
      <c r="CD97" s="182"/>
    </row>
    <row r="98" spans="1:82" ht="12" customHeight="1">
      <c r="A98" s="55"/>
      <c r="B98" s="3"/>
      <c r="D98" s="109"/>
      <c r="E98" s="106"/>
      <c r="F98" s="106"/>
      <c r="G98" s="106"/>
      <c r="H98" s="106"/>
      <c r="I98" s="105"/>
      <c r="J98" s="109" t="s">
        <v>147</v>
      </c>
      <c r="K98" s="106"/>
      <c r="L98" s="106"/>
      <c r="M98" s="106"/>
      <c r="N98" s="106"/>
      <c r="O98" s="109" t="s">
        <v>110</v>
      </c>
      <c r="P98" s="106"/>
      <c r="Q98" s="106"/>
      <c r="R98" s="106"/>
      <c r="S98" s="105"/>
      <c r="T98" s="109"/>
      <c r="U98" s="106"/>
      <c r="V98" s="106"/>
      <c r="W98" s="106"/>
      <c r="X98" s="106"/>
      <c r="Y98" s="106"/>
      <c r="Z98" s="106"/>
      <c r="AA98" s="58" t="s">
        <v>146</v>
      </c>
      <c r="AB98" s="57"/>
      <c r="AC98" s="57"/>
      <c r="AD98" s="56"/>
      <c r="AE98" s="108"/>
      <c r="AF98" s="107"/>
      <c r="AG98" s="107"/>
      <c r="AH98" s="107"/>
      <c r="AI98" s="107"/>
      <c r="AJ98" s="107"/>
      <c r="AK98" s="107"/>
      <c r="AL98" s="107"/>
      <c r="AM98" s="107"/>
      <c r="AN98" s="107"/>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06"/>
      <c r="BO98" s="106"/>
      <c r="BP98" s="106"/>
      <c r="BQ98" s="106"/>
      <c r="BR98" s="106"/>
      <c r="BS98" s="106"/>
      <c r="BT98" s="106"/>
      <c r="BU98" s="106"/>
      <c r="BV98" s="106"/>
      <c r="BW98" s="106"/>
      <c r="BX98" s="106"/>
      <c r="BY98" s="106"/>
      <c r="BZ98" s="106"/>
      <c r="CA98" s="106"/>
      <c r="CB98" s="106"/>
      <c r="CC98" s="106"/>
      <c r="CD98" s="105"/>
    </row>
    <row r="99" spans="1:82" ht="12" customHeight="1">
      <c r="A99" s="55"/>
      <c r="B99" s="3"/>
      <c r="D99" s="188" t="s">
        <v>53</v>
      </c>
      <c r="E99" s="189"/>
      <c r="F99" s="189"/>
      <c r="G99" s="189"/>
      <c r="H99" s="189"/>
      <c r="I99" s="190"/>
      <c r="J99" s="191" t="s">
        <v>137</v>
      </c>
      <c r="K99" s="192"/>
      <c r="L99" s="192"/>
      <c r="M99" s="192"/>
      <c r="N99" s="192"/>
      <c r="O99" s="191" t="s">
        <v>136</v>
      </c>
      <c r="P99" s="192"/>
      <c r="Q99" s="192"/>
      <c r="R99" s="192"/>
      <c r="S99" s="193"/>
      <c r="T99" s="191" t="s">
        <v>159</v>
      </c>
      <c r="U99" s="192"/>
      <c r="V99" s="303"/>
      <c r="W99" s="303"/>
      <c r="X99" s="303"/>
      <c r="Y99" s="303"/>
      <c r="Z99" s="303"/>
      <c r="AA99" s="197">
        <v>1</v>
      </c>
      <c r="AB99" s="306"/>
      <c r="AC99" s="304"/>
      <c r="AD99" s="305"/>
      <c r="AE99" s="191" t="s">
        <v>144</v>
      </c>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c r="CB99" s="192"/>
      <c r="CC99" s="192"/>
      <c r="CD99" s="193"/>
    </row>
    <row r="100" spans="1:82" ht="12" customHeight="1">
      <c r="A100" s="55"/>
      <c r="B100" s="3"/>
      <c r="D100" s="104"/>
      <c r="E100" s="95"/>
      <c r="F100" s="95"/>
      <c r="G100" s="95"/>
      <c r="H100" s="95"/>
      <c r="I100" s="94"/>
      <c r="J100" s="89"/>
      <c r="K100" s="88"/>
      <c r="L100" s="88"/>
      <c r="M100" s="88"/>
      <c r="N100" s="88"/>
      <c r="O100" s="89"/>
      <c r="P100" s="88"/>
      <c r="Q100" s="88"/>
      <c r="R100" s="88"/>
      <c r="S100" s="87"/>
      <c r="T100" s="89"/>
      <c r="U100" s="88"/>
      <c r="V100" s="312"/>
      <c r="W100" s="312"/>
      <c r="X100" s="312"/>
      <c r="Y100" s="312"/>
      <c r="Z100" s="312"/>
      <c r="AA100" s="315"/>
      <c r="AB100" s="316"/>
      <c r="AC100" s="313"/>
      <c r="AD100" s="314"/>
      <c r="AE100" s="89" t="s">
        <v>759</v>
      </c>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7"/>
    </row>
    <row r="101" spans="1:82" ht="12" customHeight="1">
      <c r="A101" s="55"/>
      <c r="B101" s="3"/>
      <c r="D101" s="104"/>
      <c r="E101" s="95"/>
      <c r="F101" s="95"/>
      <c r="G101" s="95"/>
      <c r="H101" s="95"/>
      <c r="I101" s="94"/>
      <c r="J101" s="414"/>
      <c r="K101" s="301"/>
      <c r="L101" s="301"/>
      <c r="M101" s="301"/>
      <c r="N101" s="301"/>
      <c r="O101" s="414"/>
      <c r="P101" s="301"/>
      <c r="Q101" s="301"/>
      <c r="R101" s="301"/>
      <c r="S101" s="302"/>
      <c r="T101" s="414"/>
      <c r="U101" s="301"/>
      <c r="V101" s="307"/>
      <c r="W101" s="307"/>
      <c r="X101" s="307"/>
      <c r="Y101" s="307"/>
      <c r="Z101" s="307"/>
      <c r="AA101" s="310"/>
      <c r="AB101" s="311"/>
      <c r="AC101" s="308"/>
      <c r="AD101" s="309"/>
      <c r="AE101" s="414" t="s">
        <v>656</v>
      </c>
      <c r="AF101" s="301"/>
      <c r="AG101" s="301"/>
      <c r="AH101" s="301"/>
      <c r="AI101" s="301"/>
      <c r="AJ101" s="301"/>
      <c r="AK101" s="301"/>
      <c r="AL101" s="301"/>
      <c r="AM101" s="301"/>
      <c r="AN101" s="301"/>
      <c r="AO101" s="301"/>
      <c r="AP101" s="301"/>
      <c r="AQ101" s="301"/>
      <c r="AR101" s="301"/>
      <c r="AS101" s="301"/>
      <c r="AT101" s="301"/>
      <c r="AU101" s="301"/>
      <c r="AV101" s="301"/>
      <c r="AW101" s="301"/>
      <c r="AX101" s="301"/>
      <c r="AY101" s="301"/>
      <c r="AZ101" s="301"/>
      <c r="BA101" s="301"/>
      <c r="BB101" s="301"/>
      <c r="BC101" s="301"/>
      <c r="BD101" s="301"/>
      <c r="BE101" s="301"/>
      <c r="BF101" s="301"/>
      <c r="BG101" s="301"/>
      <c r="BH101" s="301"/>
      <c r="BI101" s="301"/>
      <c r="BJ101" s="301"/>
      <c r="BK101" s="301"/>
      <c r="BL101" s="301"/>
      <c r="BM101" s="301"/>
      <c r="BN101" s="301"/>
      <c r="BO101" s="301"/>
      <c r="BP101" s="301"/>
      <c r="BQ101" s="301"/>
      <c r="BR101" s="301"/>
      <c r="BS101" s="301"/>
      <c r="BT101" s="301"/>
      <c r="BU101" s="301"/>
      <c r="BV101" s="301"/>
      <c r="BW101" s="301"/>
      <c r="BX101" s="301"/>
      <c r="BY101" s="301"/>
      <c r="BZ101" s="301"/>
      <c r="CA101" s="301"/>
      <c r="CB101" s="301"/>
      <c r="CC101" s="301"/>
      <c r="CD101" s="302"/>
    </row>
    <row r="102" spans="1:82" ht="12" customHeight="1">
      <c r="A102" s="55"/>
      <c r="B102" s="3"/>
      <c r="D102" s="104"/>
      <c r="E102" s="95"/>
      <c r="F102" s="95"/>
      <c r="G102" s="95"/>
      <c r="H102" s="95"/>
      <c r="I102" s="94"/>
      <c r="J102" s="98" t="s">
        <v>762</v>
      </c>
      <c r="K102" s="97"/>
      <c r="L102" s="97"/>
      <c r="M102" s="97"/>
      <c r="N102" s="97"/>
      <c r="O102" s="98" t="s">
        <v>132</v>
      </c>
      <c r="P102" s="97"/>
      <c r="Q102" s="97"/>
      <c r="R102" s="97"/>
      <c r="S102" s="96"/>
      <c r="T102" s="98" t="s">
        <v>145</v>
      </c>
      <c r="U102" s="97"/>
      <c r="V102" s="97"/>
      <c r="W102" s="97"/>
      <c r="X102" s="97"/>
      <c r="Y102" s="97"/>
      <c r="Z102" s="97"/>
      <c r="AA102" s="102">
        <v>1</v>
      </c>
      <c r="AB102" s="101"/>
      <c r="AC102" s="100"/>
      <c r="AD102" s="99"/>
      <c r="AE102" s="98" t="s">
        <v>387</v>
      </c>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c r="BC102" s="97"/>
      <c r="BD102" s="97"/>
      <c r="BE102" s="97"/>
      <c r="BF102" s="97"/>
      <c r="BG102" s="97"/>
      <c r="BH102" s="97"/>
      <c r="BI102" s="97"/>
      <c r="BJ102" s="97"/>
      <c r="BK102" s="97"/>
      <c r="BL102" s="97"/>
      <c r="BM102" s="97"/>
      <c r="BN102" s="97"/>
      <c r="BO102" s="97"/>
      <c r="BP102" s="97"/>
      <c r="BQ102" s="97"/>
      <c r="BR102" s="97"/>
      <c r="BS102" s="97"/>
      <c r="BT102" s="97"/>
      <c r="BU102" s="97"/>
      <c r="BV102" s="97"/>
      <c r="BW102" s="97"/>
      <c r="BX102" s="97"/>
      <c r="BY102" s="97"/>
      <c r="BZ102" s="97"/>
      <c r="CA102" s="97"/>
      <c r="CB102" s="97"/>
      <c r="CC102" s="97"/>
      <c r="CD102" s="96"/>
    </row>
    <row r="103" spans="1:82" ht="12" customHeight="1">
      <c r="A103" s="55"/>
      <c r="B103" s="3"/>
      <c r="D103" s="104"/>
      <c r="E103" s="95"/>
      <c r="F103" s="95"/>
      <c r="G103" s="95"/>
      <c r="H103" s="95"/>
      <c r="I103" s="94"/>
      <c r="J103" s="89"/>
      <c r="K103" s="88"/>
      <c r="L103" s="88"/>
      <c r="M103" s="88"/>
      <c r="N103" s="88"/>
      <c r="O103" s="89"/>
      <c r="P103" s="88"/>
      <c r="Q103" s="88"/>
      <c r="R103" s="88"/>
      <c r="S103" s="87"/>
      <c r="T103" s="89"/>
      <c r="U103" s="88"/>
      <c r="V103" s="88"/>
      <c r="W103" s="88"/>
      <c r="X103" s="88"/>
      <c r="Y103" s="88"/>
      <c r="Z103" s="88"/>
      <c r="AA103" s="92"/>
      <c r="AB103" s="91"/>
      <c r="AC103" s="55"/>
      <c r="AD103" s="90"/>
      <c r="AE103" s="89" t="s">
        <v>126</v>
      </c>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7"/>
    </row>
    <row r="104" spans="1:82" ht="12" customHeight="1">
      <c r="A104" s="55"/>
      <c r="B104" s="3"/>
      <c r="D104" s="104"/>
      <c r="E104" s="95"/>
      <c r="F104" s="95"/>
      <c r="G104" s="95"/>
      <c r="H104" s="95"/>
      <c r="I104" s="87"/>
      <c r="J104" s="79" t="s">
        <v>763</v>
      </c>
      <c r="K104" s="78"/>
      <c r="L104" s="78"/>
      <c r="M104" s="78"/>
      <c r="N104" s="78"/>
      <c r="O104" s="79" t="s">
        <v>124</v>
      </c>
      <c r="P104" s="78"/>
      <c r="Q104" s="78"/>
      <c r="R104" s="78"/>
      <c r="S104" s="77"/>
      <c r="T104" s="79" t="s">
        <v>139</v>
      </c>
      <c r="U104" s="78"/>
      <c r="V104" s="78"/>
      <c r="W104" s="78"/>
      <c r="X104" s="78"/>
      <c r="Y104" s="78"/>
      <c r="Z104" s="78"/>
      <c r="AA104" s="83">
        <v>1</v>
      </c>
      <c r="AB104" s="82"/>
      <c r="AC104" s="81"/>
      <c r="AD104" s="80"/>
      <c r="AE104" s="79" t="s">
        <v>143</v>
      </c>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7"/>
    </row>
    <row r="105" spans="1:82" ht="12" customHeight="1">
      <c r="A105" s="55"/>
      <c r="B105" s="3"/>
      <c r="D105" s="191" t="s">
        <v>50</v>
      </c>
      <c r="E105" s="189"/>
      <c r="F105" s="189"/>
      <c r="G105" s="189"/>
      <c r="H105" s="189"/>
      <c r="I105" s="190"/>
      <c r="J105" s="191" t="s">
        <v>137</v>
      </c>
      <c r="K105" s="192"/>
      <c r="L105" s="192"/>
      <c r="M105" s="192"/>
      <c r="N105" s="192"/>
      <c r="O105" s="191" t="s">
        <v>136</v>
      </c>
      <c r="P105" s="192"/>
      <c r="Q105" s="192"/>
      <c r="R105" s="192"/>
      <c r="S105" s="193"/>
      <c r="T105" s="191" t="s">
        <v>112</v>
      </c>
      <c r="U105" s="192"/>
      <c r="V105" s="192"/>
      <c r="W105" s="192"/>
      <c r="X105" s="192"/>
      <c r="Y105" s="192"/>
      <c r="Z105" s="193"/>
      <c r="AA105" s="197">
        <v>1</v>
      </c>
      <c r="AB105" s="198"/>
      <c r="AC105" s="195"/>
      <c r="AD105" s="196"/>
      <c r="AE105" s="191" t="s">
        <v>140</v>
      </c>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192"/>
      <c r="BW105" s="192"/>
      <c r="BX105" s="192"/>
      <c r="BY105" s="192"/>
      <c r="BZ105" s="192"/>
      <c r="CA105" s="192"/>
      <c r="CB105" s="192"/>
      <c r="CC105" s="192"/>
      <c r="CD105" s="193"/>
    </row>
    <row r="106" spans="1:82" ht="12" customHeight="1">
      <c r="A106" s="55"/>
      <c r="B106" s="3"/>
      <c r="D106" s="89"/>
      <c r="E106" s="95"/>
      <c r="F106" s="95"/>
      <c r="G106" s="95"/>
      <c r="H106" s="95"/>
      <c r="I106" s="94"/>
      <c r="J106" s="89"/>
      <c r="K106" s="88"/>
      <c r="L106" s="88"/>
      <c r="M106" s="88"/>
      <c r="N106" s="88"/>
      <c r="O106" s="89"/>
      <c r="P106" s="88"/>
      <c r="Q106" s="88"/>
      <c r="R106" s="88"/>
      <c r="S106" s="87"/>
      <c r="T106" s="89"/>
      <c r="U106" s="88"/>
      <c r="V106" s="88"/>
      <c r="W106" s="88"/>
      <c r="X106" s="88"/>
      <c r="Y106" s="88"/>
      <c r="Z106" s="87"/>
      <c r="AA106" s="92"/>
      <c r="AB106" s="91"/>
      <c r="AC106" s="55"/>
      <c r="AD106" s="90"/>
      <c r="AE106" s="89" t="s">
        <v>769</v>
      </c>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7"/>
    </row>
    <row r="107" spans="1:82" ht="12" customHeight="1">
      <c r="A107" s="55"/>
      <c r="B107" s="3"/>
      <c r="D107" s="89"/>
      <c r="E107" s="95"/>
      <c r="F107" s="95"/>
      <c r="G107" s="95"/>
      <c r="H107" s="95"/>
      <c r="I107" s="94"/>
      <c r="J107" s="89"/>
      <c r="K107" s="88"/>
      <c r="L107" s="88"/>
      <c r="M107" s="88"/>
      <c r="N107" s="88"/>
      <c r="O107" s="89"/>
      <c r="P107" s="88"/>
      <c r="Q107" s="88"/>
      <c r="R107" s="88"/>
      <c r="S107" s="87"/>
      <c r="T107" s="89"/>
      <c r="U107" s="88"/>
      <c r="V107" s="88"/>
      <c r="W107" s="88"/>
      <c r="X107" s="88"/>
      <c r="Y107" s="88"/>
      <c r="Z107" s="87"/>
      <c r="AA107" s="92"/>
      <c r="AB107" s="91"/>
      <c r="AC107" s="55"/>
      <c r="AD107" s="90"/>
      <c r="AE107" s="89" t="s">
        <v>768</v>
      </c>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7"/>
    </row>
    <row r="108" spans="1:82" ht="12" customHeight="1">
      <c r="A108" s="55"/>
      <c r="B108" s="3"/>
      <c r="D108" s="89"/>
      <c r="E108" s="95"/>
      <c r="F108" s="95"/>
      <c r="G108" s="95"/>
      <c r="H108" s="95"/>
      <c r="I108" s="94"/>
      <c r="J108" s="89"/>
      <c r="K108" s="88"/>
      <c r="L108" s="88"/>
      <c r="M108" s="88"/>
      <c r="N108" s="88"/>
      <c r="O108" s="89"/>
      <c r="P108" s="88"/>
      <c r="Q108" s="88"/>
      <c r="R108" s="88"/>
      <c r="S108" s="87"/>
      <c r="T108" s="89"/>
      <c r="U108" s="88"/>
      <c r="V108" s="88"/>
      <c r="W108" s="88"/>
      <c r="X108" s="88"/>
      <c r="Y108" s="88"/>
      <c r="Z108" s="87"/>
      <c r="AA108" s="92"/>
      <c r="AB108" s="91"/>
      <c r="AC108" s="55"/>
      <c r="AD108" s="90"/>
      <c r="AE108" s="89" t="s">
        <v>142</v>
      </c>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7"/>
    </row>
    <row r="109" spans="1:82" ht="12" customHeight="1">
      <c r="A109" s="55"/>
      <c r="B109" s="3"/>
      <c r="D109" s="89"/>
      <c r="E109" s="95"/>
      <c r="F109" s="95"/>
      <c r="G109" s="95"/>
      <c r="H109" s="95"/>
      <c r="I109" s="94"/>
      <c r="J109" s="89"/>
      <c r="K109" s="88"/>
      <c r="L109" s="88"/>
      <c r="M109" s="88"/>
      <c r="N109" s="88"/>
      <c r="O109" s="89"/>
      <c r="P109" s="88"/>
      <c r="Q109" s="88"/>
      <c r="R109" s="88"/>
      <c r="S109" s="87"/>
      <c r="T109" s="89"/>
      <c r="U109" s="88"/>
      <c r="V109" s="88"/>
      <c r="W109" s="88"/>
      <c r="X109" s="88"/>
      <c r="Y109" s="88"/>
      <c r="Z109" s="88"/>
      <c r="AA109" s="92"/>
      <c r="AB109" s="91"/>
      <c r="AC109" s="55"/>
      <c r="AD109" s="90"/>
      <c r="AE109" s="89" t="s">
        <v>141</v>
      </c>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7"/>
    </row>
    <row r="110" spans="1:82" ht="12" customHeight="1">
      <c r="A110" s="55"/>
      <c r="B110" s="3"/>
      <c r="D110" s="89"/>
      <c r="E110" s="95"/>
      <c r="F110" s="95"/>
      <c r="G110" s="95"/>
      <c r="H110" s="95"/>
      <c r="I110" s="94"/>
      <c r="J110" s="89"/>
      <c r="K110" s="88"/>
      <c r="L110" s="88"/>
      <c r="M110" s="88"/>
      <c r="N110" s="88"/>
      <c r="O110" s="89"/>
      <c r="P110" s="88"/>
      <c r="Q110" s="88"/>
      <c r="R110" s="88"/>
      <c r="S110" s="87"/>
      <c r="T110" s="89"/>
      <c r="U110" s="88"/>
      <c r="V110" s="88"/>
      <c r="W110" s="88"/>
      <c r="X110" s="88"/>
      <c r="Y110" s="88"/>
      <c r="Z110" s="88"/>
      <c r="AA110" s="92"/>
      <c r="AB110" s="91"/>
      <c r="AC110" s="55"/>
      <c r="AD110" s="90"/>
      <c r="AE110" s="89" t="s">
        <v>764</v>
      </c>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7"/>
    </row>
    <row r="111" spans="1:82" ht="12" customHeight="1">
      <c r="A111" s="55"/>
      <c r="B111" s="3"/>
      <c r="D111" s="89"/>
      <c r="E111" s="95"/>
      <c r="F111" s="95"/>
      <c r="G111" s="95"/>
      <c r="H111" s="95"/>
      <c r="I111" s="94"/>
      <c r="J111" s="98" t="s">
        <v>133</v>
      </c>
      <c r="K111" s="97"/>
      <c r="L111" s="97"/>
      <c r="M111" s="97"/>
      <c r="N111" s="97"/>
      <c r="O111" s="98" t="s">
        <v>132</v>
      </c>
      <c r="P111" s="97"/>
      <c r="Q111" s="97"/>
      <c r="R111" s="97"/>
      <c r="S111" s="96"/>
      <c r="T111" s="98" t="s">
        <v>113</v>
      </c>
      <c r="U111" s="97"/>
      <c r="V111" s="97"/>
      <c r="W111" s="97"/>
      <c r="X111" s="97"/>
      <c r="Y111" s="97"/>
      <c r="Z111" s="96"/>
      <c r="AA111" s="102">
        <v>1</v>
      </c>
      <c r="AB111" s="101"/>
      <c r="AC111" s="100"/>
      <c r="AD111" s="99"/>
      <c r="AE111" s="98" t="s">
        <v>770</v>
      </c>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c r="BF111" s="97"/>
      <c r="BG111" s="97"/>
      <c r="BH111" s="97"/>
      <c r="BI111" s="97"/>
      <c r="BJ111" s="97"/>
      <c r="BK111" s="97"/>
      <c r="BL111" s="97"/>
      <c r="BM111" s="97"/>
      <c r="BN111" s="97"/>
      <c r="BO111" s="97"/>
      <c r="BP111" s="97"/>
      <c r="BQ111" s="97"/>
      <c r="BR111" s="97"/>
      <c r="BS111" s="97"/>
      <c r="BT111" s="97"/>
      <c r="BU111" s="97"/>
      <c r="BV111" s="97"/>
      <c r="BW111" s="97"/>
      <c r="BX111" s="97"/>
      <c r="BY111" s="97"/>
      <c r="BZ111" s="97"/>
      <c r="CA111" s="97"/>
      <c r="CB111" s="97"/>
      <c r="CC111" s="97"/>
      <c r="CD111" s="96"/>
    </row>
    <row r="112" spans="1:82" ht="12" customHeight="1">
      <c r="A112" s="55"/>
      <c r="B112" s="3"/>
      <c r="D112" s="89"/>
      <c r="E112" s="95"/>
      <c r="F112" s="95"/>
      <c r="G112" s="95"/>
      <c r="H112" s="95"/>
      <c r="I112" s="94"/>
      <c r="J112" s="89"/>
      <c r="K112" s="88"/>
      <c r="L112" s="88"/>
      <c r="M112" s="88"/>
      <c r="N112" s="88"/>
      <c r="O112" s="89"/>
      <c r="P112" s="88"/>
      <c r="Q112" s="88"/>
      <c r="R112" s="88"/>
      <c r="S112" s="87"/>
      <c r="T112" s="89"/>
      <c r="U112" s="88"/>
      <c r="V112" s="88"/>
      <c r="W112" s="88"/>
      <c r="X112" s="88"/>
      <c r="Y112" s="88"/>
      <c r="Z112" s="88"/>
      <c r="AA112" s="92"/>
      <c r="AB112" s="91"/>
      <c r="AC112" s="55"/>
      <c r="AD112" s="90"/>
      <c r="AE112" s="89" t="s">
        <v>126</v>
      </c>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7"/>
    </row>
    <row r="113" spans="1:83" ht="12" customHeight="1">
      <c r="A113" s="55"/>
      <c r="B113" s="3"/>
      <c r="D113" s="104"/>
      <c r="E113" s="95"/>
      <c r="F113" s="95"/>
      <c r="G113" s="95"/>
      <c r="H113" s="95"/>
      <c r="I113" s="94"/>
      <c r="J113" s="79" t="s">
        <v>125</v>
      </c>
      <c r="K113" s="78"/>
      <c r="L113" s="78"/>
      <c r="M113" s="78"/>
      <c r="N113" s="78"/>
      <c r="O113" s="79" t="s">
        <v>124</v>
      </c>
      <c r="P113" s="78"/>
      <c r="Q113" s="78"/>
      <c r="R113" s="78"/>
      <c r="S113" s="77"/>
      <c r="T113" s="79" t="s">
        <v>139</v>
      </c>
      <c r="U113" s="78"/>
      <c r="V113" s="78"/>
      <c r="W113" s="78"/>
      <c r="X113" s="78"/>
      <c r="Y113" s="78"/>
      <c r="Z113" s="78"/>
      <c r="AA113" s="83">
        <v>1</v>
      </c>
      <c r="AB113" s="82"/>
      <c r="AC113" s="81"/>
      <c r="AD113" s="80"/>
      <c r="AE113" s="79" t="s">
        <v>138</v>
      </c>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7"/>
    </row>
    <row r="114" spans="1:83" ht="12" customHeight="1">
      <c r="A114" s="55"/>
      <c r="B114" s="3"/>
      <c r="D114" s="191" t="s">
        <v>63</v>
      </c>
      <c r="E114" s="189"/>
      <c r="F114" s="189"/>
      <c r="G114" s="189"/>
      <c r="H114" s="189"/>
      <c r="I114" s="190"/>
      <c r="J114" s="191" t="s">
        <v>137</v>
      </c>
      <c r="K114" s="192"/>
      <c r="L114" s="192"/>
      <c r="M114" s="192"/>
      <c r="N114" s="192"/>
      <c r="O114" s="191" t="s">
        <v>136</v>
      </c>
      <c r="P114" s="192"/>
      <c r="Q114" s="192"/>
      <c r="R114" s="192"/>
      <c r="S114" s="193"/>
      <c r="T114" s="191" t="s">
        <v>112</v>
      </c>
      <c r="U114" s="192"/>
      <c r="V114" s="192"/>
      <c r="W114" s="192"/>
      <c r="X114" s="192"/>
      <c r="Y114" s="192"/>
      <c r="Z114" s="192"/>
      <c r="AA114" s="197">
        <v>2</v>
      </c>
      <c r="AB114" s="198"/>
      <c r="AC114" s="195"/>
      <c r="AD114" s="196"/>
      <c r="AE114" s="191" t="s">
        <v>135</v>
      </c>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c r="BJ114" s="192"/>
      <c r="BK114" s="192"/>
      <c r="BL114" s="192"/>
      <c r="BM114" s="192"/>
      <c r="BN114" s="192"/>
      <c r="BO114" s="192"/>
      <c r="BP114" s="192"/>
      <c r="BQ114" s="192"/>
      <c r="BR114" s="192"/>
      <c r="BS114" s="192"/>
      <c r="BT114" s="192"/>
      <c r="BU114" s="192"/>
      <c r="BV114" s="192"/>
      <c r="BW114" s="192"/>
      <c r="BX114" s="192"/>
      <c r="BY114" s="192"/>
      <c r="BZ114" s="192"/>
      <c r="CA114" s="192"/>
      <c r="CB114" s="192"/>
      <c r="CC114" s="192"/>
      <c r="CD114" s="193"/>
    </row>
    <row r="115" spans="1:83" ht="12" customHeight="1">
      <c r="A115" s="55"/>
      <c r="B115" s="3"/>
      <c r="D115" s="89"/>
      <c r="E115" s="95"/>
      <c r="F115" s="95"/>
      <c r="G115" s="95"/>
      <c r="H115" s="95"/>
      <c r="I115" s="94"/>
      <c r="J115" s="89"/>
      <c r="K115" s="88"/>
      <c r="L115" s="88"/>
      <c r="M115" s="88"/>
      <c r="N115" s="88"/>
      <c r="O115" s="89"/>
      <c r="P115" s="88"/>
      <c r="Q115" s="88"/>
      <c r="R115" s="88"/>
      <c r="S115" s="87"/>
      <c r="T115" s="89"/>
      <c r="U115" s="88"/>
      <c r="V115" s="88"/>
      <c r="W115" s="88"/>
      <c r="X115" s="88"/>
      <c r="Y115" s="88"/>
      <c r="Z115" s="88"/>
      <c r="AA115" s="92" t="s">
        <v>129</v>
      </c>
      <c r="AB115" s="91"/>
      <c r="AC115" s="55"/>
      <c r="AD115" s="90"/>
      <c r="AE115" s="89" t="s">
        <v>134</v>
      </c>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7"/>
    </row>
    <row r="116" spans="1:83" ht="12" customHeight="1">
      <c r="A116" s="55"/>
      <c r="B116" s="3"/>
      <c r="D116" s="89"/>
      <c r="E116" s="95"/>
      <c r="F116" s="95"/>
      <c r="G116" s="95"/>
      <c r="H116" s="95"/>
      <c r="I116" s="94"/>
      <c r="J116" s="89"/>
      <c r="K116" s="88"/>
      <c r="L116" s="88"/>
      <c r="M116" s="88"/>
      <c r="N116" s="88"/>
      <c r="O116" s="89"/>
      <c r="P116" s="88"/>
      <c r="Q116" s="88"/>
      <c r="R116" s="88"/>
      <c r="S116" s="87"/>
      <c r="T116" s="89"/>
      <c r="U116" s="88"/>
      <c r="V116" s="88"/>
      <c r="W116" s="88"/>
      <c r="X116" s="88"/>
      <c r="Y116" s="88"/>
      <c r="Z116" s="88"/>
      <c r="AA116" s="92" t="s">
        <v>127</v>
      </c>
      <c r="AB116" s="91"/>
      <c r="AC116" s="55"/>
      <c r="AD116" s="90"/>
      <c r="AE116" s="89" t="s">
        <v>1105</v>
      </c>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7"/>
    </row>
    <row r="117" spans="1:83" ht="12" customHeight="1">
      <c r="A117" s="55"/>
      <c r="B117" s="3"/>
      <c r="D117" s="89"/>
      <c r="E117" s="95"/>
      <c r="F117" s="95"/>
      <c r="G117" s="95"/>
      <c r="H117" s="95"/>
      <c r="I117" s="94"/>
      <c r="J117" s="89"/>
      <c r="K117" s="88"/>
      <c r="L117" s="88"/>
      <c r="M117" s="88"/>
      <c r="N117" s="88"/>
      <c r="O117" s="89"/>
      <c r="P117" s="88"/>
      <c r="Q117" s="88"/>
      <c r="R117" s="88"/>
      <c r="S117" s="87"/>
      <c r="T117" s="89"/>
      <c r="U117" s="88"/>
      <c r="V117" s="88"/>
      <c r="W117" s="88"/>
      <c r="X117" s="88"/>
      <c r="Y117" s="88"/>
      <c r="Z117" s="88"/>
      <c r="AA117" s="92"/>
      <c r="AB117" s="91"/>
      <c r="AC117" s="55"/>
      <c r="AD117" s="90"/>
      <c r="AE117" s="89" t="s">
        <v>764</v>
      </c>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7"/>
    </row>
    <row r="118" spans="1:83" ht="12" customHeight="1">
      <c r="A118" s="55"/>
      <c r="B118" s="3"/>
      <c r="D118" s="89"/>
      <c r="E118" s="95"/>
      <c r="F118" s="95"/>
      <c r="G118" s="95"/>
      <c r="H118" s="95"/>
      <c r="I118" s="94"/>
      <c r="J118" s="98" t="s">
        <v>133</v>
      </c>
      <c r="K118" s="97"/>
      <c r="L118" s="97"/>
      <c r="M118" s="97"/>
      <c r="N118" s="97"/>
      <c r="O118" s="98" t="s">
        <v>132</v>
      </c>
      <c r="P118" s="97"/>
      <c r="Q118" s="97"/>
      <c r="R118" s="97"/>
      <c r="S118" s="96"/>
      <c r="T118" s="98" t="s">
        <v>131</v>
      </c>
      <c r="U118" s="97"/>
      <c r="V118" s="97"/>
      <c r="W118" s="97"/>
      <c r="X118" s="97"/>
      <c r="Y118" s="97"/>
      <c r="Z118" s="97"/>
      <c r="AA118" s="102">
        <v>2</v>
      </c>
      <c r="AB118" s="101"/>
      <c r="AC118" s="100"/>
      <c r="AD118" s="99"/>
      <c r="AE118" s="98" t="s">
        <v>128</v>
      </c>
      <c r="AF118" s="97"/>
      <c r="AG118" s="97"/>
      <c r="AH118" s="97"/>
      <c r="AI118" s="97"/>
      <c r="AJ118" s="97"/>
      <c r="AK118" s="97"/>
      <c r="AL118" s="97"/>
      <c r="AM118" s="97"/>
      <c r="AN118" s="97"/>
      <c r="AO118" s="97"/>
      <c r="AP118" s="97"/>
      <c r="AQ118" s="97"/>
      <c r="AR118" s="97"/>
      <c r="AS118" s="97"/>
      <c r="AT118" s="97"/>
      <c r="AU118" s="97"/>
      <c r="AV118" s="97"/>
      <c r="AW118" s="97"/>
      <c r="AX118" s="97"/>
      <c r="AY118" s="97"/>
      <c r="AZ118" s="97"/>
      <c r="BA118" s="97"/>
      <c r="BB118" s="97"/>
      <c r="BC118" s="97"/>
      <c r="BD118" s="97"/>
      <c r="BE118" s="97"/>
      <c r="BF118" s="97"/>
      <c r="BG118" s="97"/>
      <c r="BH118" s="97"/>
      <c r="BI118" s="97"/>
      <c r="BJ118" s="97"/>
      <c r="BK118" s="97"/>
      <c r="BL118" s="97"/>
      <c r="BM118" s="97"/>
      <c r="BN118" s="97"/>
      <c r="BO118" s="97"/>
      <c r="BP118" s="97"/>
      <c r="BQ118" s="97"/>
      <c r="BR118" s="97"/>
      <c r="BS118" s="97"/>
      <c r="BT118" s="97"/>
      <c r="BU118" s="97"/>
      <c r="BV118" s="97"/>
      <c r="BW118" s="97"/>
      <c r="BX118" s="97"/>
      <c r="BY118" s="97"/>
      <c r="BZ118" s="97"/>
      <c r="CA118" s="97"/>
      <c r="CB118" s="97"/>
      <c r="CC118" s="97"/>
      <c r="CD118" s="96"/>
    </row>
    <row r="119" spans="1:83" ht="12" customHeight="1">
      <c r="A119" s="55"/>
      <c r="B119" s="3"/>
      <c r="D119" s="89"/>
      <c r="E119" s="95"/>
      <c r="F119" s="95"/>
      <c r="G119" s="95"/>
      <c r="H119" s="95"/>
      <c r="I119" s="94"/>
      <c r="J119" s="89"/>
      <c r="K119" s="88"/>
      <c r="L119" s="88"/>
      <c r="M119" s="88"/>
      <c r="N119" s="88"/>
      <c r="O119" s="89"/>
      <c r="P119" s="88"/>
      <c r="Q119" s="88"/>
      <c r="R119" s="88"/>
      <c r="S119" s="87"/>
      <c r="T119" s="89"/>
      <c r="U119" s="88"/>
      <c r="V119" s="88"/>
      <c r="W119" s="88"/>
      <c r="X119" s="88"/>
      <c r="Y119" s="88"/>
      <c r="Z119" s="88"/>
      <c r="AA119" s="92" t="s">
        <v>129</v>
      </c>
      <c r="AB119" s="91"/>
      <c r="AC119" s="55"/>
      <c r="AD119" s="90"/>
      <c r="AE119" s="89" t="s">
        <v>126</v>
      </c>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7"/>
    </row>
    <row r="120" spans="1:83" ht="12" customHeight="1">
      <c r="A120" s="55"/>
      <c r="B120" s="3"/>
      <c r="D120" s="89"/>
      <c r="E120" s="95"/>
      <c r="F120" s="95"/>
      <c r="G120" s="95"/>
      <c r="H120" s="95"/>
      <c r="I120" s="94"/>
      <c r="J120" s="89"/>
      <c r="K120" s="88"/>
      <c r="L120" s="88"/>
      <c r="M120" s="88"/>
      <c r="N120" s="88"/>
      <c r="O120" s="89"/>
      <c r="P120" s="88"/>
      <c r="Q120" s="88"/>
      <c r="R120" s="88"/>
      <c r="S120" s="87"/>
      <c r="T120" s="89"/>
      <c r="U120" s="88"/>
      <c r="V120" s="88"/>
      <c r="W120" s="88"/>
      <c r="X120" s="88"/>
      <c r="Y120" s="88"/>
      <c r="Z120" s="88"/>
      <c r="AA120" s="92" t="s">
        <v>127</v>
      </c>
      <c r="AB120" s="91"/>
      <c r="AC120" s="55"/>
      <c r="AD120" s="90"/>
      <c r="AE120" s="89"/>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7"/>
    </row>
    <row r="121" spans="1:83" ht="12" customHeight="1">
      <c r="A121" s="55"/>
      <c r="B121" s="3"/>
      <c r="D121" s="86"/>
      <c r="E121" s="85"/>
      <c r="F121" s="85"/>
      <c r="G121" s="85"/>
      <c r="H121" s="85"/>
      <c r="I121" s="84"/>
      <c r="J121" s="79" t="s">
        <v>125</v>
      </c>
      <c r="K121" s="78"/>
      <c r="L121" s="78"/>
      <c r="M121" s="78"/>
      <c r="N121" s="78"/>
      <c r="O121" s="79" t="s">
        <v>124</v>
      </c>
      <c r="P121" s="78"/>
      <c r="Q121" s="78"/>
      <c r="R121" s="78"/>
      <c r="S121" s="77"/>
      <c r="T121" s="79" t="s">
        <v>111</v>
      </c>
      <c r="U121" s="78"/>
      <c r="V121" s="78"/>
      <c r="W121" s="78"/>
      <c r="X121" s="78"/>
      <c r="Y121" s="78"/>
      <c r="Z121" s="78"/>
      <c r="AA121" s="83" t="s">
        <v>123</v>
      </c>
      <c r="AB121" s="82"/>
      <c r="AC121" s="81"/>
      <c r="AD121" s="80"/>
      <c r="AE121" s="79" t="s">
        <v>122</v>
      </c>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7"/>
    </row>
    <row r="122" spans="1:83" ht="12" customHeight="1">
      <c r="A122" s="55"/>
      <c r="B122" s="3"/>
      <c r="D122" s="191" t="s">
        <v>237</v>
      </c>
      <c r="E122" s="189"/>
      <c r="F122" s="189"/>
      <c r="G122" s="189"/>
      <c r="H122" s="189"/>
      <c r="I122" s="190"/>
      <c r="J122" s="191" t="s">
        <v>137</v>
      </c>
      <c r="K122" s="192"/>
      <c r="L122" s="192"/>
      <c r="M122" s="192"/>
      <c r="N122" s="192"/>
      <c r="O122" s="191" t="s">
        <v>136</v>
      </c>
      <c r="P122" s="192"/>
      <c r="Q122" s="192"/>
      <c r="R122" s="192"/>
      <c r="S122" s="193"/>
      <c r="T122" s="191" t="s">
        <v>112</v>
      </c>
      <c r="U122" s="192"/>
      <c r="V122" s="192"/>
      <c r="W122" s="192"/>
      <c r="X122" s="192"/>
      <c r="Y122" s="192"/>
      <c r="Z122" s="192"/>
      <c r="AA122" s="197">
        <v>1</v>
      </c>
      <c r="AB122" s="198"/>
      <c r="AC122" s="195"/>
      <c r="AD122" s="196"/>
      <c r="AE122" s="191" t="s">
        <v>389</v>
      </c>
      <c r="AF122" s="192"/>
      <c r="AG122" s="192"/>
      <c r="AH122" s="192"/>
      <c r="AI122" s="192"/>
      <c r="AJ122" s="192"/>
      <c r="AK122" s="192"/>
      <c r="AL122" s="192"/>
      <c r="AM122" s="192"/>
      <c r="AN122" s="192"/>
      <c r="AO122" s="192"/>
      <c r="AP122" s="192"/>
      <c r="AQ122" s="192"/>
      <c r="AR122" s="192"/>
      <c r="AS122" s="192"/>
      <c r="AT122" s="192"/>
      <c r="AU122" s="192"/>
      <c r="AV122" s="192"/>
      <c r="AW122" s="192"/>
      <c r="AX122" s="192"/>
      <c r="AY122" s="192"/>
      <c r="AZ122" s="192"/>
      <c r="BA122" s="192"/>
      <c r="BB122" s="192"/>
      <c r="BC122" s="192"/>
      <c r="BD122" s="192"/>
      <c r="BE122" s="192"/>
      <c r="BF122" s="192"/>
      <c r="BG122" s="192"/>
      <c r="BH122" s="192"/>
      <c r="BI122" s="192"/>
      <c r="BJ122" s="192"/>
      <c r="BK122" s="192"/>
      <c r="BL122" s="192"/>
      <c r="BM122" s="192"/>
      <c r="BN122" s="192"/>
      <c r="BO122" s="192"/>
      <c r="BP122" s="192"/>
      <c r="BQ122" s="192"/>
      <c r="BR122" s="192"/>
      <c r="BS122" s="192"/>
      <c r="BT122" s="192"/>
      <c r="BU122" s="192"/>
      <c r="BV122" s="192"/>
      <c r="BW122" s="192"/>
      <c r="BX122" s="192"/>
      <c r="BY122" s="192"/>
      <c r="BZ122" s="192"/>
      <c r="CA122" s="192"/>
      <c r="CB122" s="192"/>
      <c r="CC122" s="192"/>
      <c r="CD122" s="193"/>
    </row>
    <row r="123" spans="1:83" ht="12" customHeight="1">
      <c r="A123" s="55"/>
      <c r="B123" s="3"/>
      <c r="D123" s="89"/>
      <c r="E123" s="95"/>
      <c r="F123" s="95"/>
      <c r="G123" s="95"/>
      <c r="H123" s="95"/>
      <c r="I123" s="94"/>
      <c r="J123" s="89"/>
      <c r="K123" s="88"/>
      <c r="L123" s="88"/>
      <c r="M123" s="88"/>
      <c r="N123" s="88"/>
      <c r="O123" s="89"/>
      <c r="P123" s="88"/>
      <c r="Q123" s="88"/>
      <c r="R123" s="88"/>
      <c r="S123" s="87"/>
      <c r="T123" s="89"/>
      <c r="U123" s="88"/>
      <c r="V123" s="88"/>
      <c r="W123" s="88"/>
      <c r="X123" s="88"/>
      <c r="Y123" s="88"/>
      <c r="Z123" s="88"/>
      <c r="AA123" s="92"/>
      <c r="AB123" s="91"/>
      <c r="AC123" s="55"/>
      <c r="AD123" s="90"/>
      <c r="AE123" s="89" t="s">
        <v>765</v>
      </c>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7"/>
    </row>
    <row r="124" spans="1:83" ht="12" customHeight="1">
      <c r="A124" s="55"/>
      <c r="B124" s="3"/>
      <c r="D124" s="89"/>
      <c r="E124" s="95"/>
      <c r="F124" s="95"/>
      <c r="G124" s="95"/>
      <c r="H124" s="95"/>
      <c r="I124" s="94"/>
      <c r="J124" s="98" t="s">
        <v>133</v>
      </c>
      <c r="K124" s="97"/>
      <c r="L124" s="97"/>
      <c r="M124" s="97"/>
      <c r="N124" s="97"/>
      <c r="O124" s="98" t="s">
        <v>132</v>
      </c>
      <c r="P124" s="97"/>
      <c r="Q124" s="97"/>
      <c r="R124" s="97"/>
      <c r="S124" s="96"/>
      <c r="T124" s="98" t="s">
        <v>131</v>
      </c>
      <c r="U124" s="97"/>
      <c r="V124" s="97"/>
      <c r="W124" s="97"/>
      <c r="X124" s="97"/>
      <c r="Y124" s="97"/>
      <c r="Z124" s="97"/>
      <c r="AA124" s="102">
        <v>1</v>
      </c>
      <c r="AB124" s="101"/>
      <c r="AC124" s="100"/>
      <c r="AD124" s="99"/>
      <c r="AE124" s="98" t="s">
        <v>388</v>
      </c>
      <c r="AF124" s="97"/>
      <c r="AG124" s="97"/>
      <c r="AH124" s="97"/>
      <c r="AI124" s="97"/>
      <c r="AJ124" s="97"/>
      <c r="AK124" s="97"/>
      <c r="AL124" s="97"/>
      <c r="AM124" s="97"/>
      <c r="AN124" s="97"/>
      <c r="AO124" s="97"/>
      <c r="AP124" s="97"/>
      <c r="AQ124" s="97"/>
      <c r="AR124" s="97"/>
      <c r="AS124" s="97"/>
      <c r="AT124" s="97"/>
      <c r="AU124" s="97"/>
      <c r="AV124" s="97"/>
      <c r="AW124" s="97"/>
      <c r="AX124" s="97"/>
      <c r="AY124" s="97"/>
      <c r="AZ124" s="97"/>
      <c r="BA124" s="97"/>
      <c r="BB124" s="97"/>
      <c r="BC124" s="97"/>
      <c r="BD124" s="97"/>
      <c r="BE124" s="97"/>
      <c r="BF124" s="97"/>
      <c r="BG124" s="97"/>
      <c r="BH124" s="97"/>
      <c r="BI124" s="97"/>
      <c r="BJ124" s="97"/>
      <c r="BK124" s="97"/>
      <c r="BL124" s="97"/>
      <c r="BM124" s="97"/>
      <c r="BN124" s="97"/>
      <c r="BO124" s="97"/>
      <c r="BP124" s="97"/>
      <c r="BQ124" s="97"/>
      <c r="BR124" s="97"/>
      <c r="BS124" s="97"/>
      <c r="BT124" s="97"/>
      <c r="BU124" s="97"/>
      <c r="BV124" s="97"/>
      <c r="BW124" s="97"/>
      <c r="BX124" s="97"/>
      <c r="BY124" s="97"/>
      <c r="BZ124" s="97"/>
      <c r="CA124" s="97"/>
      <c r="CB124" s="97"/>
      <c r="CC124" s="97"/>
      <c r="CD124" s="96"/>
    </row>
    <row r="125" spans="1:83" ht="12" customHeight="1">
      <c r="A125" s="55"/>
      <c r="B125" s="3"/>
      <c r="D125" s="86"/>
      <c r="E125" s="85"/>
      <c r="F125" s="85"/>
      <c r="G125" s="85"/>
      <c r="H125" s="85"/>
      <c r="I125" s="84"/>
      <c r="J125" s="86"/>
      <c r="K125" s="199"/>
      <c r="L125" s="199"/>
      <c r="M125" s="199"/>
      <c r="N125" s="199"/>
      <c r="O125" s="86"/>
      <c r="P125" s="199"/>
      <c r="Q125" s="199"/>
      <c r="R125" s="199"/>
      <c r="S125" s="200"/>
      <c r="T125" s="86"/>
      <c r="U125" s="199"/>
      <c r="V125" s="199"/>
      <c r="W125" s="199"/>
      <c r="X125" s="199"/>
      <c r="Y125" s="199"/>
      <c r="Z125" s="199"/>
      <c r="AA125" s="201"/>
      <c r="AB125" s="202"/>
      <c r="AC125" s="60"/>
      <c r="AD125" s="59"/>
      <c r="AE125" s="86" t="s">
        <v>126</v>
      </c>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c r="BC125" s="199"/>
      <c r="BD125" s="199"/>
      <c r="BE125" s="199"/>
      <c r="BF125" s="199"/>
      <c r="BG125" s="199"/>
      <c r="BH125" s="199"/>
      <c r="BI125" s="199"/>
      <c r="BJ125" s="199"/>
      <c r="BK125" s="199"/>
      <c r="BL125" s="199"/>
      <c r="BM125" s="199"/>
      <c r="BN125" s="199"/>
      <c r="BO125" s="199"/>
      <c r="BP125" s="199"/>
      <c r="BQ125" s="199"/>
      <c r="BR125" s="199"/>
      <c r="BS125" s="199"/>
      <c r="BT125" s="199"/>
      <c r="BU125" s="199"/>
      <c r="BV125" s="199"/>
      <c r="BW125" s="199"/>
      <c r="BX125" s="199"/>
      <c r="BY125" s="199"/>
      <c r="BZ125" s="199"/>
      <c r="CA125" s="199"/>
      <c r="CB125" s="199"/>
      <c r="CC125" s="199"/>
      <c r="CD125" s="200"/>
    </row>
    <row r="126" spans="1:83" ht="12" customHeight="1">
      <c r="A126" s="55"/>
      <c r="B126" s="3"/>
      <c r="C126" s="3"/>
      <c r="D126" s="3"/>
      <c r="E126" s="3"/>
      <c r="F126" s="3"/>
      <c r="G126" s="3"/>
      <c r="H126" s="3"/>
      <c r="I126" s="3" t="s">
        <v>121</v>
      </c>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5"/>
      <c r="BX126" s="5"/>
      <c r="BY126" s="5"/>
      <c r="BZ126" s="5"/>
      <c r="CA126" s="5"/>
      <c r="CB126" s="5"/>
      <c r="CC126" s="5"/>
      <c r="CD126" s="5"/>
      <c r="CE126" s="5"/>
    </row>
    <row r="127" spans="1:83" ht="12" customHeight="1">
      <c r="A127" s="55"/>
      <c r="B127" s="3"/>
      <c r="C127" s="3"/>
      <c r="D127" s="3"/>
      <c r="E127" s="3"/>
      <c r="F127" s="3"/>
      <c r="G127" s="3"/>
      <c r="H127" s="3"/>
      <c r="I127" s="3" t="s">
        <v>788</v>
      </c>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55"/>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83" ht="12" customHeight="1">
      <c r="A129" s="55"/>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83" ht="12" customHeight="1">
      <c r="A130" s="55"/>
      <c r="B130" s="362"/>
      <c r="C130" s="415" t="s">
        <v>1029</v>
      </c>
      <c r="D130" s="415"/>
      <c r="E130" s="415"/>
      <c r="F130" s="415"/>
      <c r="G130" s="415"/>
      <c r="H130" s="415"/>
      <c r="I130" s="415"/>
      <c r="J130" s="415"/>
      <c r="K130" s="415"/>
      <c r="L130" s="415"/>
      <c r="M130" s="415"/>
      <c r="N130" s="415"/>
      <c r="O130" s="415"/>
      <c r="P130" s="415"/>
      <c r="Q130" s="415"/>
      <c r="R130" s="415"/>
      <c r="S130" s="415"/>
      <c r="T130" s="415"/>
      <c r="U130" s="415"/>
      <c r="V130" s="415"/>
      <c r="W130" s="415"/>
      <c r="X130" s="415"/>
      <c r="Y130" s="415"/>
      <c r="Z130" s="415"/>
      <c r="AA130" s="415"/>
      <c r="AB130" s="415"/>
      <c r="AC130" s="415"/>
      <c r="AD130" s="415"/>
      <c r="AE130" s="415"/>
      <c r="AF130" s="415"/>
      <c r="AG130" s="415"/>
      <c r="AH130" s="415"/>
      <c r="AI130" s="415"/>
      <c r="AJ130" s="415"/>
      <c r="AK130" s="415"/>
      <c r="AL130" s="415"/>
      <c r="AM130" s="415"/>
      <c r="AN130" s="415"/>
      <c r="AO130" s="415"/>
      <c r="AP130" s="415"/>
      <c r="AQ130" s="415"/>
      <c r="AR130" s="415"/>
      <c r="AS130" s="415"/>
      <c r="AT130" s="415"/>
      <c r="AU130" s="415"/>
      <c r="AV130" s="415"/>
      <c r="AW130" s="415"/>
      <c r="AX130" s="415"/>
      <c r="AY130" s="415"/>
      <c r="AZ130" s="415"/>
      <c r="BA130" s="415"/>
      <c r="BB130" s="415"/>
      <c r="BC130" s="415"/>
      <c r="BD130" s="415"/>
      <c r="BE130" s="415"/>
      <c r="BF130" s="415"/>
      <c r="BG130" s="415"/>
      <c r="BH130" s="415"/>
      <c r="BI130" s="415"/>
      <c r="BJ130" s="415"/>
      <c r="BK130" s="415"/>
      <c r="BL130" s="415"/>
      <c r="BM130" s="415"/>
      <c r="BN130" s="415"/>
      <c r="BO130" s="415"/>
      <c r="BP130" s="415"/>
      <c r="BQ130" s="415"/>
      <c r="BR130" s="362"/>
      <c r="BS130" s="362"/>
      <c r="BT130" s="362"/>
      <c r="BU130" s="362"/>
      <c r="BV130" s="362"/>
      <c r="BW130" s="362"/>
      <c r="BX130" s="362"/>
      <c r="BY130" s="362"/>
      <c r="BZ130" s="362"/>
      <c r="CA130" s="362"/>
      <c r="CB130" s="362"/>
      <c r="CC130" s="362"/>
      <c r="CD130" s="362"/>
      <c r="CE130" s="362"/>
    </row>
    <row r="131" spans="1:83" ht="12" customHeight="1">
      <c r="A131" s="55"/>
      <c r="B131" s="362"/>
      <c r="C131" s="415"/>
      <c r="D131" s="415"/>
      <c r="E131" s="415"/>
      <c r="F131" s="415"/>
      <c r="G131" s="415"/>
      <c r="H131" s="415"/>
      <c r="I131" s="415"/>
      <c r="J131" s="415"/>
      <c r="K131" s="415"/>
      <c r="L131" s="415"/>
      <c r="M131" s="415"/>
      <c r="N131" s="415"/>
      <c r="O131" s="415"/>
      <c r="P131" s="415"/>
      <c r="Q131" s="415"/>
      <c r="R131" s="415"/>
      <c r="S131" s="415"/>
      <c r="T131" s="415"/>
      <c r="U131" s="415"/>
      <c r="V131" s="415"/>
      <c r="W131" s="415"/>
      <c r="X131" s="415"/>
      <c r="Y131" s="415"/>
      <c r="Z131" s="415"/>
      <c r="AA131" s="415"/>
      <c r="AB131" s="415"/>
      <c r="AC131" s="415"/>
      <c r="AD131" s="415"/>
      <c r="AE131" s="415"/>
      <c r="AF131" s="415"/>
      <c r="AG131" s="415"/>
      <c r="AH131" s="415"/>
      <c r="AI131" s="415"/>
      <c r="AJ131" s="415"/>
      <c r="AK131" s="415"/>
      <c r="AL131" s="415"/>
      <c r="AM131" s="415"/>
      <c r="AN131" s="415"/>
      <c r="AO131" s="415"/>
      <c r="AP131" s="415"/>
      <c r="AQ131" s="415"/>
      <c r="AR131" s="415"/>
      <c r="AS131" s="415"/>
      <c r="AT131" s="415"/>
      <c r="AU131" s="415"/>
      <c r="AV131" s="415"/>
      <c r="AW131" s="415"/>
      <c r="AX131" s="415"/>
      <c r="AY131" s="415"/>
      <c r="AZ131" s="415"/>
      <c r="BA131" s="415"/>
      <c r="BB131" s="415"/>
      <c r="BC131" s="415"/>
      <c r="BD131" s="415"/>
      <c r="BE131" s="415"/>
      <c r="BF131" s="415"/>
      <c r="BG131" s="415"/>
      <c r="BH131" s="415"/>
      <c r="BI131" s="415"/>
      <c r="BJ131" s="415"/>
      <c r="BK131" s="415"/>
      <c r="BL131" s="415"/>
      <c r="BM131" s="415"/>
      <c r="BN131" s="415"/>
      <c r="BO131" s="415"/>
      <c r="BP131" s="415"/>
      <c r="BQ131" s="415"/>
      <c r="BR131" s="362"/>
      <c r="BS131" s="362"/>
      <c r="BT131" s="362"/>
      <c r="BU131" s="362"/>
      <c r="BV131" s="362"/>
      <c r="BW131" s="362"/>
      <c r="BX131" s="362"/>
      <c r="BY131" s="362"/>
      <c r="BZ131" s="362"/>
      <c r="CA131" s="362"/>
      <c r="CB131" s="362"/>
      <c r="CC131" s="362"/>
      <c r="CD131" s="362"/>
      <c r="CE131" s="362"/>
    </row>
    <row r="132" spans="1:83" ht="12" customHeight="1">
      <c r="A132" s="55"/>
      <c r="B132" s="362"/>
      <c r="C132" s="415"/>
      <c r="D132" s="415" t="s">
        <v>1051</v>
      </c>
      <c r="E132" s="416"/>
      <c r="F132" s="415"/>
      <c r="G132" s="415"/>
      <c r="H132" s="415"/>
      <c r="I132" s="415"/>
      <c r="J132" s="415"/>
      <c r="K132" s="415"/>
      <c r="L132" s="415"/>
      <c r="M132" s="415"/>
      <c r="N132" s="415"/>
      <c r="O132" s="415"/>
      <c r="P132" s="415"/>
      <c r="Q132" s="415"/>
      <c r="R132" s="415"/>
      <c r="S132" s="415"/>
      <c r="T132" s="415"/>
      <c r="U132" s="415"/>
      <c r="V132" s="415"/>
      <c r="W132" s="415"/>
      <c r="X132" s="415"/>
      <c r="Y132" s="415"/>
      <c r="Z132" s="415"/>
      <c r="AA132" s="415"/>
      <c r="AB132" s="415"/>
      <c r="AC132" s="415"/>
      <c r="AD132" s="415"/>
      <c r="AE132" s="415"/>
      <c r="AF132" s="415"/>
      <c r="AG132" s="415"/>
      <c r="AH132" s="415"/>
      <c r="AI132" s="415"/>
      <c r="AJ132" s="415"/>
      <c r="AK132" s="415"/>
      <c r="AL132" s="415"/>
      <c r="AM132" s="415"/>
      <c r="AN132" s="415"/>
      <c r="AO132" s="415"/>
      <c r="AP132" s="415"/>
      <c r="AQ132" s="415"/>
      <c r="AR132" s="415"/>
      <c r="AS132" s="415"/>
      <c r="AT132" s="415"/>
      <c r="AU132" s="415"/>
      <c r="AV132" s="415"/>
      <c r="AW132" s="415"/>
      <c r="AX132" s="415"/>
      <c r="AY132" s="415"/>
      <c r="AZ132" s="415"/>
      <c r="BA132" s="415"/>
      <c r="BB132" s="415"/>
      <c r="BC132" s="415"/>
      <c r="BD132" s="415"/>
      <c r="BE132" s="415"/>
      <c r="BF132" s="415"/>
      <c r="BG132" s="415"/>
      <c r="BH132" s="415"/>
      <c r="BI132" s="415"/>
      <c r="BJ132" s="415"/>
      <c r="BK132" s="415"/>
      <c r="BL132" s="415"/>
      <c r="BM132" s="415"/>
      <c r="BN132" s="415"/>
      <c r="BO132" s="415"/>
      <c r="BP132" s="415"/>
      <c r="BQ132" s="415"/>
      <c r="BR132" s="362"/>
      <c r="BS132" s="362"/>
      <c r="BT132" s="362"/>
      <c r="BU132" s="362"/>
      <c r="BV132" s="362"/>
      <c r="BW132" s="362"/>
      <c r="BX132" s="362"/>
      <c r="BY132" s="362"/>
      <c r="BZ132" s="362"/>
      <c r="CA132" s="362"/>
      <c r="CB132" s="362"/>
      <c r="CC132" s="362"/>
      <c r="CD132" s="362"/>
      <c r="CE132" s="362"/>
    </row>
    <row r="133" spans="1:83" ht="12" customHeight="1">
      <c r="A133" s="55"/>
      <c r="B133" s="362"/>
      <c r="C133" s="415"/>
      <c r="D133" s="415" t="s">
        <v>1030</v>
      </c>
      <c r="E133" s="416"/>
      <c r="F133" s="415"/>
      <c r="G133" s="415"/>
      <c r="H133" s="415"/>
      <c r="I133" s="415"/>
      <c r="J133" s="415"/>
      <c r="K133" s="415"/>
      <c r="L133" s="415"/>
      <c r="M133" s="415"/>
      <c r="N133" s="415"/>
      <c r="O133" s="415"/>
      <c r="P133" s="415"/>
      <c r="Q133" s="415"/>
      <c r="R133" s="415"/>
      <c r="S133" s="415"/>
      <c r="T133" s="415"/>
      <c r="U133" s="415"/>
      <c r="V133" s="415"/>
      <c r="W133" s="415"/>
      <c r="X133" s="415"/>
      <c r="Y133" s="415"/>
      <c r="Z133" s="415"/>
      <c r="AA133" s="415"/>
      <c r="AB133" s="415"/>
      <c r="AC133" s="415"/>
      <c r="AD133" s="415"/>
      <c r="AE133" s="415"/>
      <c r="AF133" s="415"/>
      <c r="AG133" s="415"/>
      <c r="AH133" s="415"/>
      <c r="AI133" s="415"/>
      <c r="AJ133" s="415"/>
      <c r="AK133" s="415"/>
      <c r="AL133" s="415"/>
      <c r="AM133" s="415"/>
      <c r="AN133" s="415"/>
      <c r="AO133" s="415"/>
      <c r="AP133" s="415"/>
      <c r="AQ133" s="415"/>
      <c r="AR133" s="415"/>
      <c r="AS133" s="415"/>
      <c r="AT133" s="415"/>
      <c r="AU133" s="415"/>
      <c r="AV133" s="415"/>
      <c r="AW133" s="415"/>
      <c r="AX133" s="415"/>
      <c r="AY133" s="415"/>
      <c r="AZ133" s="415"/>
      <c r="BA133" s="415"/>
      <c r="BB133" s="415"/>
      <c r="BC133" s="415"/>
      <c r="BD133" s="415"/>
      <c r="BE133" s="415"/>
      <c r="BF133" s="415"/>
      <c r="BG133" s="415"/>
      <c r="BH133" s="415"/>
      <c r="BI133" s="415"/>
      <c r="BJ133" s="415"/>
      <c r="BK133" s="415"/>
      <c r="BL133" s="415"/>
      <c r="BM133" s="415"/>
      <c r="BN133" s="415"/>
      <c r="BO133" s="415"/>
      <c r="BP133" s="415"/>
      <c r="BQ133" s="415"/>
      <c r="BR133" s="362"/>
      <c r="BS133" s="362"/>
      <c r="BT133" s="362"/>
      <c r="BU133" s="362"/>
      <c r="BV133" s="362"/>
      <c r="BW133" s="362"/>
      <c r="BX133" s="362"/>
      <c r="BY133" s="362"/>
      <c r="BZ133" s="362"/>
      <c r="CA133" s="362"/>
      <c r="CB133" s="362"/>
      <c r="CC133" s="362"/>
      <c r="CD133" s="362"/>
      <c r="CE133" s="362"/>
    </row>
    <row r="134" spans="1:83" ht="12" customHeight="1">
      <c r="A134" s="55"/>
      <c r="B134" s="362"/>
      <c r="C134" s="415"/>
      <c r="D134" s="415"/>
      <c r="E134" s="415"/>
      <c r="F134" s="415"/>
      <c r="G134" s="415"/>
      <c r="H134" s="415"/>
      <c r="I134" s="415"/>
      <c r="J134" s="415"/>
      <c r="K134" s="415"/>
      <c r="L134" s="415"/>
      <c r="M134" s="415"/>
      <c r="N134" s="415"/>
      <c r="O134" s="415"/>
      <c r="P134" s="415"/>
      <c r="Q134" s="415"/>
      <c r="R134" s="415"/>
      <c r="S134" s="415"/>
      <c r="T134" s="415"/>
      <c r="U134" s="415"/>
      <c r="V134" s="415"/>
      <c r="W134" s="415"/>
      <c r="X134" s="415"/>
      <c r="Y134" s="415"/>
      <c r="Z134" s="415"/>
      <c r="AA134" s="415"/>
      <c r="AB134" s="415"/>
      <c r="AC134" s="415"/>
      <c r="AD134" s="415"/>
      <c r="AE134" s="415"/>
      <c r="AF134" s="415"/>
      <c r="AG134" s="415"/>
      <c r="AH134" s="415"/>
      <c r="AI134" s="415"/>
      <c r="AJ134" s="415"/>
      <c r="AK134" s="415"/>
      <c r="AL134" s="415"/>
      <c r="AM134" s="415"/>
      <c r="AN134" s="415"/>
      <c r="AO134" s="415"/>
      <c r="AP134" s="415"/>
      <c r="AQ134" s="415"/>
      <c r="AR134" s="415"/>
      <c r="AS134" s="415"/>
      <c r="AT134" s="415"/>
      <c r="AU134" s="415"/>
      <c r="AV134" s="415"/>
      <c r="AW134" s="415"/>
      <c r="AX134" s="415"/>
      <c r="AY134" s="415"/>
      <c r="AZ134" s="415"/>
      <c r="BA134" s="415"/>
      <c r="BB134" s="415"/>
      <c r="BC134" s="415"/>
      <c r="BD134" s="415"/>
      <c r="BE134" s="415"/>
      <c r="BF134" s="415"/>
      <c r="BG134" s="415"/>
      <c r="BH134" s="415"/>
      <c r="BI134" s="415"/>
      <c r="BJ134" s="415"/>
      <c r="BK134" s="415"/>
      <c r="BL134" s="415"/>
      <c r="BM134" s="415"/>
      <c r="BN134" s="415"/>
      <c r="BO134" s="415"/>
      <c r="BP134" s="415"/>
      <c r="BQ134" s="415"/>
      <c r="BR134" s="362"/>
      <c r="BS134" s="362"/>
      <c r="BT134" s="362"/>
      <c r="BU134" s="362"/>
      <c r="BV134" s="362"/>
      <c r="BW134" s="362"/>
      <c r="BX134" s="362"/>
      <c r="BY134" s="362"/>
      <c r="BZ134" s="362"/>
      <c r="CA134" s="362"/>
      <c r="CB134" s="362"/>
      <c r="CC134" s="362"/>
      <c r="CD134" s="362"/>
      <c r="CE134" s="362"/>
    </row>
    <row r="135" spans="1:83" ht="12" customHeight="1">
      <c r="A135" s="55"/>
      <c r="B135" s="362"/>
      <c r="C135" s="416"/>
      <c r="D135" s="417" t="s">
        <v>56</v>
      </c>
      <c r="E135" s="418"/>
      <c r="F135" s="418"/>
      <c r="G135" s="418"/>
      <c r="H135" s="418"/>
      <c r="I135" s="418"/>
      <c r="J135" s="418"/>
      <c r="K135" s="418"/>
      <c r="L135" s="418"/>
      <c r="M135" s="419"/>
      <c r="N135" s="417" t="s">
        <v>1031</v>
      </c>
      <c r="O135" s="418"/>
      <c r="P135" s="418"/>
      <c r="Q135" s="418"/>
      <c r="R135" s="418"/>
      <c r="S135" s="418"/>
      <c r="T135" s="418"/>
      <c r="U135" s="418"/>
      <c r="V135" s="418"/>
      <c r="W135" s="418"/>
      <c r="X135" s="418"/>
      <c r="Y135" s="418"/>
      <c r="Z135" s="418"/>
      <c r="AA135" s="418"/>
      <c r="AB135" s="419"/>
      <c r="AC135" s="417" t="s">
        <v>1032</v>
      </c>
      <c r="AD135" s="418"/>
      <c r="AE135" s="418"/>
      <c r="AF135" s="418"/>
      <c r="AG135" s="418"/>
      <c r="AH135" s="418"/>
      <c r="AI135" s="418"/>
      <c r="AJ135" s="419"/>
      <c r="AK135" s="417" t="s">
        <v>1033</v>
      </c>
      <c r="AL135" s="418"/>
      <c r="AM135" s="418"/>
      <c r="AN135" s="418"/>
      <c r="AO135" s="418"/>
      <c r="AP135" s="418"/>
      <c r="AQ135" s="418"/>
      <c r="AR135" s="419"/>
      <c r="AS135" s="417" t="s">
        <v>1034</v>
      </c>
      <c r="AT135" s="418"/>
      <c r="AU135" s="418"/>
      <c r="AV135" s="418"/>
      <c r="AW135" s="418"/>
      <c r="AX135" s="418"/>
      <c r="AY135" s="418"/>
      <c r="AZ135" s="419"/>
      <c r="BA135" s="417" t="s">
        <v>64</v>
      </c>
      <c r="BB135" s="418"/>
      <c r="BC135" s="418"/>
      <c r="BD135" s="418"/>
      <c r="BE135" s="418"/>
      <c r="BF135" s="418"/>
      <c r="BG135" s="418"/>
      <c r="BH135" s="418"/>
      <c r="BI135" s="418"/>
      <c r="BJ135" s="418"/>
      <c r="BK135" s="418"/>
      <c r="BL135" s="418"/>
      <c r="BM135" s="418"/>
      <c r="BN135" s="418"/>
      <c r="BO135" s="418"/>
      <c r="BP135" s="419"/>
      <c r="BQ135" s="415"/>
      <c r="BR135" s="362"/>
      <c r="BS135" s="362"/>
      <c r="BT135" s="362"/>
      <c r="BU135" s="362"/>
      <c r="BV135" s="362"/>
      <c r="BW135" s="362"/>
      <c r="BX135" s="362"/>
      <c r="BY135" s="362"/>
    </row>
    <row r="136" spans="1:83" ht="12" customHeight="1">
      <c r="A136" s="55"/>
      <c r="B136" s="362"/>
      <c r="C136" s="416"/>
      <c r="D136" s="420"/>
      <c r="E136" s="421"/>
      <c r="F136" s="421"/>
      <c r="G136" s="421"/>
      <c r="H136" s="421"/>
      <c r="I136" s="421"/>
      <c r="J136" s="421"/>
      <c r="K136" s="421"/>
      <c r="L136" s="421"/>
      <c r="M136" s="422"/>
      <c r="N136" s="420"/>
      <c r="O136" s="421"/>
      <c r="P136" s="421"/>
      <c r="Q136" s="421"/>
      <c r="R136" s="421"/>
      <c r="S136" s="421"/>
      <c r="T136" s="421"/>
      <c r="U136" s="421"/>
      <c r="V136" s="421"/>
      <c r="W136" s="421"/>
      <c r="X136" s="421"/>
      <c r="Y136" s="421"/>
      <c r="Z136" s="421"/>
      <c r="AA136" s="421"/>
      <c r="AB136" s="422"/>
      <c r="AC136" s="420"/>
      <c r="AD136" s="421"/>
      <c r="AE136" s="421"/>
      <c r="AF136" s="421"/>
      <c r="AG136" s="421"/>
      <c r="AH136" s="421"/>
      <c r="AI136" s="421"/>
      <c r="AJ136" s="422"/>
      <c r="AK136" s="420" t="s">
        <v>1035</v>
      </c>
      <c r="AL136" s="421"/>
      <c r="AM136" s="421"/>
      <c r="AN136" s="421"/>
      <c r="AO136" s="421"/>
      <c r="AP136" s="421"/>
      <c r="AQ136" s="421"/>
      <c r="AR136" s="422"/>
      <c r="AS136" s="420"/>
      <c r="AT136" s="421"/>
      <c r="AU136" s="421"/>
      <c r="AV136" s="421"/>
      <c r="AW136" s="421"/>
      <c r="AX136" s="421"/>
      <c r="AY136" s="421"/>
      <c r="AZ136" s="422"/>
      <c r="BA136" s="420"/>
      <c r="BB136" s="421"/>
      <c r="BC136" s="421"/>
      <c r="BD136" s="421"/>
      <c r="BE136" s="421"/>
      <c r="BF136" s="421"/>
      <c r="BG136" s="421"/>
      <c r="BH136" s="421"/>
      <c r="BI136" s="421"/>
      <c r="BJ136" s="421"/>
      <c r="BK136" s="421"/>
      <c r="BL136" s="421"/>
      <c r="BM136" s="421"/>
      <c r="BN136" s="421"/>
      <c r="BO136" s="421"/>
      <c r="BP136" s="422"/>
      <c r="BQ136" s="415"/>
      <c r="BR136" s="362"/>
      <c r="BS136" s="362"/>
      <c r="BT136" s="362"/>
      <c r="BU136" s="362"/>
      <c r="BV136" s="362"/>
      <c r="BW136" s="362"/>
      <c r="BX136" s="362"/>
      <c r="BY136" s="362"/>
    </row>
    <row r="137" spans="1:83" ht="12" customHeight="1">
      <c r="A137" s="55"/>
      <c r="B137" s="362"/>
      <c r="C137" s="416"/>
      <c r="D137" s="423" t="s">
        <v>1036</v>
      </c>
      <c r="E137" s="424"/>
      <c r="F137" s="424"/>
      <c r="G137" s="424"/>
      <c r="H137" s="424"/>
      <c r="I137" s="424"/>
      <c r="J137" s="424"/>
      <c r="K137" s="424"/>
      <c r="L137" s="424"/>
      <c r="M137" s="424"/>
      <c r="N137" s="424"/>
      <c r="O137" s="424"/>
      <c r="P137" s="424"/>
      <c r="Q137" s="424"/>
      <c r="R137" s="424"/>
      <c r="S137" s="424"/>
      <c r="T137" s="424"/>
      <c r="U137" s="424"/>
      <c r="V137" s="424"/>
      <c r="W137" s="424"/>
      <c r="X137" s="424"/>
      <c r="Y137" s="424"/>
      <c r="Z137" s="424"/>
      <c r="AA137" s="424"/>
      <c r="AB137" s="424"/>
      <c r="AC137" s="424"/>
      <c r="AD137" s="424"/>
      <c r="AE137" s="424"/>
      <c r="AF137" s="424"/>
      <c r="AG137" s="424"/>
      <c r="AH137" s="424"/>
      <c r="AI137" s="424"/>
      <c r="AJ137" s="424"/>
      <c r="AK137" s="424"/>
      <c r="AL137" s="424"/>
      <c r="AM137" s="424"/>
      <c r="AN137" s="424"/>
      <c r="AO137" s="424"/>
      <c r="AP137" s="424"/>
      <c r="AQ137" s="424"/>
      <c r="AR137" s="424"/>
      <c r="AS137" s="424"/>
      <c r="AT137" s="424"/>
      <c r="AU137" s="424"/>
      <c r="AV137" s="424"/>
      <c r="AW137" s="424"/>
      <c r="AX137" s="424"/>
      <c r="AY137" s="424"/>
      <c r="AZ137" s="424"/>
      <c r="BA137" s="424"/>
      <c r="BB137" s="424"/>
      <c r="BC137" s="424"/>
      <c r="BD137" s="424"/>
      <c r="BE137" s="424"/>
      <c r="BF137" s="424"/>
      <c r="BG137" s="424"/>
      <c r="BH137" s="424"/>
      <c r="BI137" s="424"/>
      <c r="BJ137" s="424"/>
      <c r="BK137" s="424"/>
      <c r="BL137" s="424"/>
      <c r="BM137" s="424"/>
      <c r="BN137" s="424"/>
      <c r="BO137" s="424"/>
      <c r="BP137" s="425"/>
      <c r="BQ137" s="415"/>
      <c r="BR137" s="362"/>
      <c r="BS137" s="362"/>
      <c r="BT137" s="362"/>
      <c r="BU137" s="362"/>
      <c r="BV137" s="362"/>
      <c r="BW137" s="362"/>
      <c r="BX137" s="362"/>
      <c r="BY137" s="362"/>
    </row>
    <row r="138" spans="1:83" ht="12" customHeight="1">
      <c r="A138" s="55"/>
      <c r="B138" s="362"/>
      <c r="C138" s="416"/>
      <c r="D138" s="426"/>
      <c r="E138" s="427" t="s">
        <v>1047</v>
      </c>
      <c r="F138" s="427"/>
      <c r="G138" s="427"/>
      <c r="H138" s="427"/>
      <c r="I138" s="427"/>
      <c r="J138" s="427"/>
      <c r="K138" s="427"/>
      <c r="L138" s="427"/>
      <c r="M138" s="428"/>
      <c r="N138" s="429" t="s">
        <v>1048</v>
      </c>
      <c r="O138" s="427"/>
      <c r="P138" s="427"/>
      <c r="Q138" s="427"/>
      <c r="R138" s="427"/>
      <c r="S138" s="427"/>
      <c r="T138" s="427"/>
      <c r="U138" s="427"/>
      <c r="V138" s="427"/>
      <c r="W138" s="427"/>
      <c r="X138" s="427"/>
      <c r="Y138" s="427"/>
      <c r="Z138" s="427"/>
      <c r="AA138" s="427"/>
      <c r="AB138" s="428"/>
      <c r="AC138" s="719">
        <v>10</v>
      </c>
      <c r="AD138" s="720"/>
      <c r="AE138" s="720"/>
      <c r="AF138" s="720"/>
      <c r="AG138" s="430" t="s">
        <v>1037</v>
      </c>
      <c r="AH138" s="431"/>
      <c r="AI138" s="431"/>
      <c r="AJ138" s="432"/>
      <c r="AK138" s="719">
        <v>35</v>
      </c>
      <c r="AL138" s="720"/>
      <c r="AM138" s="720"/>
      <c r="AN138" s="720"/>
      <c r="AO138" s="427" t="s">
        <v>1038</v>
      </c>
      <c r="AP138" s="427"/>
      <c r="AQ138" s="427"/>
      <c r="AR138" s="428"/>
      <c r="AS138" s="719">
        <f>AC138*AK138/1000</f>
        <v>0.35</v>
      </c>
      <c r="AT138" s="720"/>
      <c r="AU138" s="720"/>
      <c r="AV138" s="720"/>
      <c r="AW138" s="427" t="s">
        <v>1039</v>
      </c>
      <c r="AX138" s="427"/>
      <c r="AY138" s="427"/>
      <c r="AZ138" s="428"/>
      <c r="BA138" s="429" t="s">
        <v>1040</v>
      </c>
      <c r="BB138" s="427"/>
      <c r="BC138" s="427"/>
      <c r="BD138" s="427"/>
      <c r="BE138" s="427"/>
      <c r="BF138" s="427"/>
      <c r="BG138" s="427"/>
      <c r="BH138" s="427"/>
      <c r="BI138" s="427"/>
      <c r="BJ138" s="427"/>
      <c r="BK138" s="427"/>
      <c r="BL138" s="427"/>
      <c r="BM138" s="427"/>
      <c r="BN138" s="427"/>
      <c r="BO138" s="427"/>
      <c r="BP138" s="428"/>
      <c r="BQ138" s="415"/>
      <c r="BR138" s="362"/>
      <c r="BS138" s="362"/>
      <c r="BT138" s="362"/>
      <c r="BU138" s="362"/>
      <c r="BV138" s="362"/>
      <c r="BW138" s="362"/>
      <c r="BX138" s="362"/>
      <c r="BY138" s="362"/>
    </row>
    <row r="139" spans="1:83" ht="12" customHeight="1">
      <c r="A139" s="55"/>
      <c r="B139" s="362"/>
      <c r="C139" s="416"/>
      <c r="D139" s="433"/>
      <c r="E139" s="429"/>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31"/>
      <c r="AD139" s="431"/>
      <c r="AE139" s="431"/>
      <c r="AF139" s="431"/>
      <c r="AG139" s="430"/>
      <c r="AH139" s="431"/>
      <c r="AI139" s="431"/>
      <c r="AJ139" s="431"/>
      <c r="AK139" s="431"/>
      <c r="AL139" s="431"/>
      <c r="AM139" s="431"/>
      <c r="AN139" s="431"/>
      <c r="AO139" s="427"/>
      <c r="AP139" s="427"/>
      <c r="AQ139" s="427"/>
      <c r="AR139" s="434" t="s">
        <v>1042</v>
      </c>
      <c r="AS139" s="719">
        <f>SUM(AS138:AV138)</f>
        <v>0.35</v>
      </c>
      <c r="AT139" s="720"/>
      <c r="AU139" s="720"/>
      <c r="AV139" s="720"/>
      <c r="AW139" s="427" t="s">
        <v>1043</v>
      </c>
      <c r="AX139" s="427"/>
      <c r="AY139" s="427"/>
      <c r="AZ139" s="428"/>
      <c r="BA139" s="435"/>
      <c r="BB139" s="436"/>
      <c r="BC139" s="436"/>
      <c r="BD139" s="436"/>
      <c r="BE139" s="436"/>
      <c r="BF139" s="436"/>
      <c r="BG139" s="436"/>
      <c r="BH139" s="436"/>
      <c r="BI139" s="436"/>
      <c r="BJ139" s="436"/>
      <c r="BK139" s="436"/>
      <c r="BL139" s="436"/>
      <c r="BM139" s="436"/>
      <c r="BN139" s="436"/>
      <c r="BO139" s="436"/>
      <c r="BP139" s="437"/>
      <c r="BQ139" s="415"/>
      <c r="BR139" s="362"/>
      <c r="BS139" s="362"/>
      <c r="BT139" s="362"/>
      <c r="BU139" s="362"/>
      <c r="BV139" s="362"/>
      <c r="BW139" s="362"/>
      <c r="BX139" s="362"/>
      <c r="BY139" s="362"/>
    </row>
    <row r="140" spans="1:83" ht="12" customHeight="1">
      <c r="A140" s="55"/>
      <c r="B140" s="362"/>
      <c r="C140" s="416"/>
      <c r="D140" s="423" t="s">
        <v>1044</v>
      </c>
      <c r="E140" s="438"/>
      <c r="F140" s="438"/>
      <c r="G140" s="438"/>
      <c r="H140" s="438"/>
      <c r="I140" s="438"/>
      <c r="J140" s="438"/>
      <c r="K140" s="438"/>
      <c r="L140" s="438"/>
      <c r="M140" s="438"/>
      <c r="N140" s="424"/>
      <c r="O140" s="424"/>
      <c r="P140" s="424"/>
      <c r="Q140" s="424"/>
      <c r="R140" s="424"/>
      <c r="S140" s="424"/>
      <c r="T140" s="424"/>
      <c r="U140" s="424"/>
      <c r="V140" s="424"/>
      <c r="W140" s="424"/>
      <c r="X140" s="424"/>
      <c r="Y140" s="424"/>
      <c r="Z140" s="424"/>
      <c r="AA140" s="424"/>
      <c r="AB140" s="424"/>
      <c r="AC140" s="439"/>
      <c r="AD140" s="439"/>
      <c r="AE140" s="439"/>
      <c r="AF140" s="439"/>
      <c r="AG140" s="440"/>
      <c r="AH140" s="439"/>
      <c r="AI140" s="439"/>
      <c r="AJ140" s="439"/>
      <c r="AK140" s="439"/>
      <c r="AL140" s="439"/>
      <c r="AM140" s="439"/>
      <c r="AN140" s="439"/>
      <c r="AO140" s="424"/>
      <c r="AP140" s="424"/>
      <c r="AQ140" s="424"/>
      <c r="AR140" s="424"/>
      <c r="AS140" s="439"/>
      <c r="AT140" s="439"/>
      <c r="AU140" s="439"/>
      <c r="AV140" s="439"/>
      <c r="AW140" s="424"/>
      <c r="AX140" s="424"/>
      <c r="AY140" s="424"/>
      <c r="AZ140" s="424"/>
      <c r="BA140" s="424"/>
      <c r="BB140" s="424"/>
      <c r="BC140" s="424"/>
      <c r="BD140" s="424"/>
      <c r="BE140" s="424"/>
      <c r="BF140" s="424"/>
      <c r="BG140" s="424"/>
      <c r="BH140" s="424"/>
      <c r="BI140" s="424"/>
      <c r="BJ140" s="424"/>
      <c r="BK140" s="424"/>
      <c r="BL140" s="424"/>
      <c r="BM140" s="424"/>
      <c r="BN140" s="424"/>
      <c r="BO140" s="424"/>
      <c r="BP140" s="425"/>
      <c r="BQ140" s="415"/>
      <c r="BR140" s="362"/>
      <c r="BS140" s="362"/>
      <c r="BT140" s="362"/>
      <c r="BU140" s="362"/>
      <c r="BV140" s="362"/>
      <c r="BW140" s="362"/>
      <c r="BX140" s="362"/>
      <c r="BY140" s="362"/>
    </row>
    <row r="141" spans="1:83" ht="12" customHeight="1">
      <c r="A141" s="55"/>
      <c r="B141" s="362"/>
      <c r="C141" s="416"/>
      <c r="D141" s="426"/>
      <c r="E141" s="427" t="s">
        <v>1047</v>
      </c>
      <c r="F141" s="427"/>
      <c r="G141" s="427"/>
      <c r="H141" s="427"/>
      <c r="I141" s="427"/>
      <c r="J141" s="427"/>
      <c r="K141" s="427"/>
      <c r="L141" s="427"/>
      <c r="M141" s="428"/>
      <c r="N141" s="429" t="s">
        <v>1049</v>
      </c>
      <c r="O141" s="427"/>
      <c r="P141" s="427"/>
      <c r="Q141" s="427"/>
      <c r="R141" s="427"/>
      <c r="S141" s="427"/>
      <c r="T141" s="427"/>
      <c r="U141" s="427"/>
      <c r="V141" s="427"/>
      <c r="W141" s="427"/>
      <c r="X141" s="427"/>
      <c r="Y141" s="427"/>
      <c r="Z141" s="427"/>
      <c r="AA141" s="427"/>
      <c r="AB141" s="428"/>
      <c r="AC141" s="719">
        <v>10</v>
      </c>
      <c r="AD141" s="720"/>
      <c r="AE141" s="720"/>
      <c r="AF141" s="720"/>
      <c r="AG141" s="430" t="s">
        <v>1045</v>
      </c>
      <c r="AH141" s="431"/>
      <c r="AI141" s="431"/>
      <c r="AJ141" s="432"/>
      <c r="AK141" s="719">
        <v>200</v>
      </c>
      <c r="AL141" s="720"/>
      <c r="AM141" s="720"/>
      <c r="AN141" s="720"/>
      <c r="AO141" s="427" t="s">
        <v>1038</v>
      </c>
      <c r="AP141" s="427"/>
      <c r="AQ141" s="427"/>
      <c r="AR141" s="428"/>
      <c r="AS141" s="719">
        <f>AC141*AK141/1000</f>
        <v>2</v>
      </c>
      <c r="AT141" s="720"/>
      <c r="AU141" s="720"/>
      <c r="AV141" s="720"/>
      <c r="AW141" s="427" t="s">
        <v>1041</v>
      </c>
      <c r="AX141" s="427"/>
      <c r="AY141" s="427"/>
      <c r="AZ141" s="428"/>
      <c r="BA141" s="429"/>
      <c r="BB141" s="427"/>
      <c r="BC141" s="427"/>
      <c r="BD141" s="427"/>
      <c r="BE141" s="427"/>
      <c r="BF141" s="427"/>
      <c r="BG141" s="427"/>
      <c r="BH141" s="427"/>
      <c r="BI141" s="427"/>
      <c r="BJ141" s="427"/>
      <c r="BK141" s="427"/>
      <c r="BL141" s="427"/>
      <c r="BM141" s="427"/>
      <c r="BN141" s="427"/>
      <c r="BO141" s="427"/>
      <c r="BP141" s="428"/>
      <c r="BQ141" s="415"/>
      <c r="BR141" s="362"/>
      <c r="BS141" s="362"/>
      <c r="BT141" s="362"/>
      <c r="BU141" s="362"/>
      <c r="BV141" s="362"/>
      <c r="BW141" s="362"/>
      <c r="BX141" s="362"/>
    </row>
    <row r="142" spans="1:83" ht="12" customHeight="1">
      <c r="A142" s="55"/>
      <c r="B142" s="362"/>
      <c r="C142" s="415"/>
      <c r="D142" s="433"/>
      <c r="E142" s="441"/>
      <c r="F142" s="441"/>
      <c r="G142" s="441"/>
      <c r="H142" s="441"/>
      <c r="I142" s="441"/>
      <c r="J142" s="441"/>
      <c r="K142" s="441"/>
      <c r="L142" s="441"/>
      <c r="M142" s="441"/>
      <c r="N142" s="441"/>
      <c r="O142" s="441"/>
      <c r="P142" s="441"/>
      <c r="Q142" s="441"/>
      <c r="R142" s="441"/>
      <c r="S142" s="441"/>
      <c r="T142" s="441"/>
      <c r="U142" s="441"/>
      <c r="V142" s="441"/>
      <c r="W142" s="441"/>
      <c r="X142" s="441"/>
      <c r="Y142" s="441"/>
      <c r="Z142" s="441"/>
      <c r="AA142" s="441"/>
      <c r="AB142" s="441"/>
      <c r="AC142" s="441"/>
      <c r="AD142" s="441"/>
      <c r="AE142" s="441"/>
      <c r="AF142" s="441"/>
      <c r="AG142" s="441"/>
      <c r="AH142" s="441"/>
      <c r="AI142" s="441"/>
      <c r="AJ142" s="441"/>
      <c r="AK142" s="441"/>
      <c r="AL142" s="441"/>
      <c r="AM142" s="441"/>
      <c r="AN142" s="441"/>
      <c r="AO142" s="441"/>
      <c r="AP142" s="441"/>
      <c r="AQ142" s="441"/>
      <c r="AR142" s="434" t="s">
        <v>1042</v>
      </c>
      <c r="AS142" s="719">
        <f>SUM(AS141:AV141)</f>
        <v>2</v>
      </c>
      <c r="AT142" s="720"/>
      <c r="AU142" s="720"/>
      <c r="AV142" s="720"/>
      <c r="AW142" s="427" t="s">
        <v>1043</v>
      </c>
      <c r="AX142" s="427"/>
      <c r="AY142" s="427"/>
      <c r="AZ142" s="428"/>
      <c r="BA142" s="442"/>
      <c r="BB142" s="441"/>
      <c r="BC142" s="441"/>
      <c r="BD142" s="441"/>
      <c r="BE142" s="441"/>
      <c r="BF142" s="441"/>
      <c r="BG142" s="441"/>
      <c r="BH142" s="441"/>
      <c r="BI142" s="441"/>
      <c r="BJ142" s="441"/>
      <c r="BK142" s="441"/>
      <c r="BL142" s="441"/>
      <c r="BM142" s="441"/>
      <c r="BN142" s="441"/>
      <c r="BO142" s="441"/>
      <c r="BP142" s="443"/>
      <c r="BQ142" s="415"/>
      <c r="BR142" s="362"/>
      <c r="BS142" s="362"/>
      <c r="BT142" s="362"/>
      <c r="BU142" s="362"/>
      <c r="BV142" s="362"/>
      <c r="BW142" s="362"/>
      <c r="BX142" s="362"/>
      <c r="BY142" s="362"/>
      <c r="BZ142" s="362"/>
      <c r="CA142" s="362"/>
      <c r="CB142" s="362"/>
    </row>
    <row r="143" spans="1:83" ht="12" customHeight="1">
      <c r="A143" s="55"/>
      <c r="B143" s="362"/>
      <c r="C143" s="415"/>
      <c r="D143" s="444"/>
      <c r="E143" s="445"/>
      <c r="F143" s="445"/>
      <c r="G143" s="445"/>
      <c r="H143" s="445"/>
      <c r="I143" s="445"/>
      <c r="J143" s="445"/>
      <c r="K143" s="445"/>
      <c r="L143" s="445"/>
      <c r="M143" s="445"/>
      <c r="N143" s="445"/>
      <c r="O143" s="445"/>
      <c r="P143" s="445"/>
      <c r="Q143" s="445"/>
      <c r="R143" s="445"/>
      <c r="S143" s="445"/>
      <c r="T143" s="445"/>
      <c r="U143" s="445"/>
      <c r="V143" s="445"/>
      <c r="W143" s="445"/>
      <c r="X143" s="445"/>
      <c r="Y143" s="445"/>
      <c r="Z143" s="445"/>
      <c r="AA143" s="445"/>
      <c r="AB143" s="445"/>
      <c r="AC143" s="445"/>
      <c r="AD143" s="445"/>
      <c r="AE143" s="445"/>
      <c r="AF143" s="445"/>
      <c r="AG143" s="445"/>
      <c r="AH143" s="445"/>
      <c r="AI143" s="445"/>
      <c r="AJ143" s="445"/>
      <c r="AK143" s="445"/>
      <c r="AL143" s="445"/>
      <c r="AM143" s="445"/>
      <c r="AN143" s="445"/>
      <c r="AO143" s="445"/>
      <c r="AP143" s="445"/>
      <c r="AQ143" s="445"/>
      <c r="AR143" s="446" t="s">
        <v>105</v>
      </c>
      <c r="AS143" s="721">
        <f>SUM(AS139,AS142)</f>
        <v>2.35</v>
      </c>
      <c r="AT143" s="722"/>
      <c r="AU143" s="722"/>
      <c r="AV143" s="722"/>
      <c r="AW143" s="447" t="s">
        <v>1046</v>
      </c>
      <c r="AX143" s="447"/>
      <c r="AY143" s="447"/>
      <c r="AZ143" s="448"/>
      <c r="BA143" s="445"/>
      <c r="BB143" s="445"/>
      <c r="BC143" s="445"/>
      <c r="BD143" s="445"/>
      <c r="BE143" s="445"/>
      <c r="BF143" s="445"/>
      <c r="BG143" s="445"/>
      <c r="BH143" s="445"/>
      <c r="BI143" s="445"/>
      <c r="BJ143" s="445"/>
      <c r="BK143" s="445"/>
      <c r="BL143" s="445"/>
      <c r="BM143" s="445"/>
      <c r="BN143" s="445"/>
      <c r="BO143" s="445"/>
      <c r="BP143" s="449"/>
      <c r="BQ143" s="415"/>
    </row>
    <row r="144" spans="1:83" ht="12" customHeight="1">
      <c r="A144" s="55"/>
      <c r="B144" s="362"/>
      <c r="C144" s="415"/>
      <c r="D144" s="415"/>
      <c r="E144" s="415"/>
      <c r="F144" s="415"/>
      <c r="G144" s="415"/>
      <c r="H144" s="415"/>
      <c r="I144" s="415"/>
      <c r="J144" s="415"/>
      <c r="K144" s="415"/>
      <c r="L144" s="415"/>
      <c r="M144" s="415"/>
      <c r="N144" s="415"/>
      <c r="O144" s="415"/>
      <c r="P144" s="415"/>
      <c r="Q144" s="415"/>
      <c r="R144" s="415"/>
      <c r="S144" s="415"/>
      <c r="T144" s="415"/>
      <c r="U144" s="415"/>
      <c r="V144" s="415"/>
      <c r="W144" s="415"/>
      <c r="X144" s="415"/>
      <c r="Y144" s="415"/>
      <c r="Z144" s="415"/>
      <c r="AA144" s="415"/>
      <c r="AB144" s="415"/>
      <c r="AC144" s="415"/>
      <c r="AD144" s="415"/>
      <c r="AE144" s="415"/>
      <c r="AF144" s="415"/>
      <c r="AG144" s="415"/>
      <c r="AH144" s="415"/>
      <c r="AI144" s="415"/>
      <c r="AJ144" s="415"/>
      <c r="AK144" s="415"/>
      <c r="AL144" s="415"/>
      <c r="AM144" s="415"/>
      <c r="AN144" s="415"/>
      <c r="AO144" s="415"/>
      <c r="AP144" s="415"/>
      <c r="AQ144" s="415"/>
      <c r="AR144" s="415"/>
      <c r="AS144" s="415"/>
      <c r="AT144" s="415"/>
      <c r="AU144" s="415"/>
      <c r="AV144" s="415"/>
      <c r="AW144" s="415"/>
      <c r="AX144" s="415"/>
      <c r="AY144" s="415"/>
      <c r="AZ144" s="415"/>
      <c r="BA144" s="415"/>
      <c r="BB144" s="415"/>
      <c r="BC144" s="415"/>
      <c r="BD144" s="415"/>
      <c r="BE144" s="415"/>
      <c r="BF144" s="415"/>
      <c r="BG144" s="415"/>
      <c r="BH144" s="415"/>
      <c r="BI144" s="415"/>
      <c r="BJ144" s="415"/>
      <c r="BK144" s="415"/>
      <c r="BL144" s="415"/>
      <c r="BM144" s="415"/>
      <c r="BN144" s="415"/>
      <c r="BO144" s="415"/>
      <c r="BP144" s="415"/>
      <c r="BQ144" s="415"/>
      <c r="BR144" s="362"/>
      <c r="BS144" s="362"/>
      <c r="BT144" s="362"/>
      <c r="BU144" s="362"/>
      <c r="BV144" s="362"/>
      <c r="BW144" s="362"/>
      <c r="BX144" s="362"/>
      <c r="BY144" s="362"/>
      <c r="BZ144" s="362"/>
      <c r="CA144" s="362"/>
      <c r="CB144" s="362"/>
      <c r="CC144" s="362"/>
      <c r="CD144" s="362"/>
      <c r="CE144" s="362"/>
    </row>
    <row r="145" spans="1:83" ht="12" customHeight="1">
      <c r="A145" s="5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row>
    <row r="146" spans="1:83" ht="12" customHeight="1">
      <c r="A146" s="55"/>
      <c r="B146" s="3"/>
      <c r="C146" s="391" t="s">
        <v>1204</v>
      </c>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row>
    <row r="147" spans="1:83" ht="12" customHeight="1">
      <c r="A147" s="55"/>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row>
    <row r="148" spans="1:83" ht="12" customHeight="1">
      <c r="A148" s="55"/>
      <c r="B148" s="3"/>
      <c r="C148" s="3"/>
      <c r="D148" s="3"/>
      <c r="E148" s="3" t="s">
        <v>120</v>
      </c>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row>
    <row r="149" spans="1:83" ht="12" customHeight="1">
      <c r="A149" s="55"/>
      <c r="B149" s="3"/>
      <c r="C149" s="3"/>
      <c r="D149" s="3"/>
      <c r="E149" s="3" t="s">
        <v>119</v>
      </c>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row>
    <row r="150" spans="1:83" ht="12" customHeight="1">
      <c r="A150" s="55"/>
      <c r="B150" s="362"/>
      <c r="C150" s="362"/>
      <c r="D150" s="362"/>
      <c r="E150" s="362"/>
      <c r="F150" s="362"/>
      <c r="G150" s="362"/>
      <c r="H150" s="362"/>
      <c r="I150" s="362"/>
      <c r="J150" s="362"/>
      <c r="K150" s="362"/>
      <c r="L150" s="362"/>
      <c r="M150" s="362"/>
      <c r="N150" s="362"/>
      <c r="O150" s="362"/>
      <c r="P150" s="362"/>
      <c r="Q150" s="362"/>
      <c r="R150" s="362"/>
      <c r="S150" s="362"/>
      <c r="T150" s="362"/>
      <c r="U150" s="362"/>
      <c r="V150" s="362"/>
      <c r="W150" s="362"/>
      <c r="X150" s="362"/>
      <c r="Y150" s="362"/>
      <c r="Z150" s="362"/>
      <c r="AA150" s="362"/>
      <c r="AB150" s="362"/>
      <c r="AC150" s="362"/>
      <c r="AD150" s="362"/>
      <c r="AE150" s="362"/>
      <c r="AF150" s="362"/>
      <c r="AG150" s="362"/>
      <c r="AH150" s="362"/>
      <c r="AI150" s="362"/>
      <c r="AJ150" s="362"/>
      <c r="AK150" s="362"/>
      <c r="AL150" s="362"/>
      <c r="AM150" s="362"/>
      <c r="AN150" s="362"/>
      <c r="AO150" s="362"/>
      <c r="AP150" s="362"/>
      <c r="AQ150" s="362"/>
      <c r="AR150" s="362"/>
      <c r="AS150" s="362"/>
      <c r="AT150" s="362"/>
      <c r="AU150" s="362"/>
      <c r="AV150" s="362"/>
      <c r="AW150" s="362"/>
      <c r="AX150" s="362"/>
      <c r="AY150" s="362"/>
      <c r="AZ150" s="362"/>
      <c r="BA150" s="362"/>
      <c r="BB150" s="362"/>
      <c r="BC150" s="362"/>
      <c r="BD150" s="362"/>
      <c r="BE150" s="362"/>
      <c r="BF150" s="362"/>
      <c r="BG150" s="362"/>
      <c r="BH150" s="362"/>
      <c r="BI150" s="362"/>
      <c r="BJ150" s="362"/>
      <c r="BK150" s="362"/>
      <c r="BL150" s="362"/>
      <c r="BM150" s="362"/>
      <c r="BN150" s="362"/>
      <c r="BO150" s="362"/>
      <c r="BP150" s="362"/>
      <c r="BQ150" s="362"/>
      <c r="BR150" s="362"/>
      <c r="BS150" s="362"/>
      <c r="BT150" s="362"/>
      <c r="BU150" s="362"/>
      <c r="BV150" s="362"/>
      <c r="BW150" s="362"/>
      <c r="BX150" s="362"/>
      <c r="BY150" s="362"/>
      <c r="BZ150" s="362"/>
      <c r="CA150" s="362"/>
      <c r="CB150" s="362"/>
      <c r="CC150" s="362"/>
      <c r="CD150" s="362"/>
      <c r="CE150" s="362"/>
    </row>
    <row r="151" spans="1:83" ht="12" customHeight="1">
      <c r="A151" s="55"/>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row>
    <row r="152" spans="1:83" ht="12" customHeight="1">
      <c r="A152" s="55"/>
      <c r="B152" s="3"/>
      <c r="C152" s="415" t="s">
        <v>1106</v>
      </c>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row>
    <row r="153" spans="1:83" ht="12" customHeight="1">
      <c r="A153" s="55"/>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row>
    <row r="154" spans="1:83" ht="12" customHeight="1">
      <c r="A154" s="55"/>
      <c r="B154" s="3"/>
      <c r="C154" s="3"/>
      <c r="D154" s="3"/>
      <c r="E154" s="3" t="s">
        <v>372</v>
      </c>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row>
    <row r="155" spans="1:83" ht="12" customHeight="1">
      <c r="A155" s="55"/>
      <c r="B155" s="3"/>
      <c r="C155" s="3"/>
      <c r="D155" s="3"/>
      <c r="E155" s="3" t="s">
        <v>373</v>
      </c>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row>
    <row r="156" spans="1:83" ht="12" customHeight="1">
      <c r="A156" s="55"/>
      <c r="B156" s="3"/>
      <c r="C156" s="3"/>
      <c r="D156" s="3"/>
      <c r="E156" s="3" t="s">
        <v>118</v>
      </c>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row>
    <row r="157" spans="1:83" ht="12" customHeight="1">
      <c r="A157" s="55"/>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row>
    <row r="158" spans="1:83" ht="12" customHeight="1">
      <c r="A158" s="55"/>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CC158" s="3"/>
      <c r="CD158" s="3"/>
      <c r="CE158" s="3"/>
    </row>
    <row r="159" spans="1:83" ht="12" customHeight="1">
      <c r="A159" s="55"/>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D159" s="713" t="s">
        <v>117</v>
      </c>
      <c r="BE159" s="714"/>
      <c r="BF159" s="714"/>
      <c r="BG159" s="714"/>
      <c r="BH159" s="714"/>
      <c r="BI159" s="714"/>
      <c r="BJ159" s="714"/>
      <c r="BK159" s="714"/>
      <c r="BL159" s="715"/>
      <c r="BM159" s="75"/>
      <c r="BN159" s="74"/>
      <c r="BO159" s="74"/>
      <c r="BP159" s="74"/>
      <c r="BQ159" s="74"/>
      <c r="BR159" s="74"/>
      <c r="BS159" s="73" t="s">
        <v>116</v>
      </c>
      <c r="BT159" s="72"/>
      <c r="BU159" s="72"/>
      <c r="BV159" s="72"/>
      <c r="BW159" s="72"/>
      <c r="BX159" s="72"/>
      <c r="BY159" s="72"/>
      <c r="BZ159" s="72"/>
      <c r="CA159" s="72"/>
      <c r="CB159" s="76"/>
    </row>
    <row r="160" spans="1:83" ht="12" customHeight="1">
      <c r="A160" s="55"/>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716"/>
      <c r="BE160" s="717"/>
      <c r="BF160" s="717"/>
      <c r="BG160" s="717"/>
      <c r="BH160" s="717"/>
      <c r="BI160" s="717"/>
      <c r="BJ160" s="717"/>
      <c r="BK160" s="717"/>
      <c r="BL160" s="718"/>
      <c r="BM160" s="75"/>
      <c r="BN160" s="74"/>
      <c r="BO160" s="74"/>
      <c r="BP160" s="74"/>
      <c r="BQ160" s="74"/>
      <c r="BR160" s="74"/>
      <c r="BS160" s="73" t="s">
        <v>115</v>
      </c>
      <c r="BT160" s="72"/>
      <c r="BU160" s="72"/>
      <c r="BV160" s="72"/>
      <c r="BW160" s="72"/>
      <c r="BX160" s="72"/>
      <c r="BY160" s="72"/>
      <c r="BZ160" s="72"/>
      <c r="CA160" s="72"/>
      <c r="CB160" s="71"/>
      <c r="CC160" s="3"/>
      <c r="CD160" s="3"/>
      <c r="CE160" s="3"/>
    </row>
    <row r="161" spans="1:83" ht="12" customHeight="1">
      <c r="A161" s="55"/>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CC161" s="3"/>
      <c r="CD161" s="3"/>
      <c r="CE161" s="3"/>
    </row>
    <row r="162" spans="1:83" ht="12" customHeight="1">
      <c r="A162" s="55"/>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row>
    <row r="163" spans="1:83" ht="12" customHeight="1">
      <c r="A163" s="55"/>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CC163" s="3"/>
      <c r="CD163" s="3"/>
      <c r="CE163" s="3"/>
    </row>
    <row r="164" spans="1:83" ht="12" customHeight="1">
      <c r="A164" s="55"/>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CC164" s="3"/>
      <c r="CD164" s="3"/>
      <c r="CE164" s="3"/>
    </row>
    <row r="165" spans="1:83" ht="12" customHeight="1">
      <c r="A165" s="5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row>
    <row r="166" spans="1:83" ht="12" customHeight="1">
      <c r="A166" s="55"/>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row>
    <row r="167" spans="1:83" ht="12" customHeight="1">
      <c r="A167" s="55"/>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row>
    <row r="168" spans="1:83" ht="12" customHeight="1">
      <c r="A168" s="55"/>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row>
    <row r="169" spans="1:83" ht="12" customHeight="1">
      <c r="A169" s="55"/>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row>
    <row r="170" spans="1:83" ht="12" customHeight="1">
      <c r="A170" s="55"/>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row>
    <row r="171" spans="1:83" ht="12" customHeight="1">
      <c r="A171" s="55"/>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row>
    <row r="172" spans="1:83" ht="12" customHeight="1">
      <c r="A172" s="55"/>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row>
    <row r="173" spans="1:83" ht="12" customHeight="1">
      <c r="A173" s="55"/>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row>
    <row r="174" spans="1:83" ht="12" customHeight="1">
      <c r="A174" s="55"/>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row>
    <row r="175" spans="1:83" ht="12" customHeight="1">
      <c r="A175" s="5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row>
    <row r="176" spans="1:83" ht="12" customHeight="1">
      <c r="A176" s="55"/>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row>
    <row r="177" spans="1:83" ht="12" customHeight="1">
      <c r="A177" s="55"/>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row>
    <row r="178" spans="1:83" ht="12" customHeight="1">
      <c r="A178" s="55"/>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row>
    <row r="179" spans="1:83" ht="12" customHeight="1">
      <c r="A179" s="55"/>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row>
    <row r="180" spans="1:83" ht="12" customHeight="1">
      <c r="A180" s="55"/>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row>
    <row r="181" spans="1:83" ht="12" customHeight="1">
      <c r="A181" s="55"/>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row>
    <row r="182" spans="1:83" ht="12" customHeight="1">
      <c r="A182" s="55"/>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row>
    <row r="183" spans="1:83" ht="12" customHeight="1">
      <c r="A183" s="55"/>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row>
    <row r="184" spans="1:83" ht="12" customHeight="1">
      <c r="A184" s="55"/>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row>
    <row r="185" spans="1:83" ht="12" customHeight="1">
      <c r="A185" s="5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row>
    <row r="186" spans="1:83" ht="12" customHeight="1">
      <c r="A186" s="55"/>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row>
    <row r="187" spans="1:83" ht="12" customHeight="1">
      <c r="A187" s="55"/>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row>
    <row r="188" spans="1:83" ht="12" customHeight="1">
      <c r="A188" s="55"/>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row>
    <row r="189" spans="1:83" ht="12" customHeight="1">
      <c r="A189" s="55"/>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row>
    <row r="190" spans="1:83" ht="12" customHeight="1">
      <c r="A190" s="55"/>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row>
    <row r="191" spans="1:83" ht="12" customHeight="1">
      <c r="A191" s="55"/>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row>
    <row r="192" spans="1:83" ht="12" customHeight="1">
      <c r="A192" s="55"/>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row>
    <row r="193" spans="1:83" ht="12" customHeight="1">
      <c r="A193" s="55"/>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row>
    <row r="194" spans="1:83" ht="12" customHeight="1">
      <c r="A194" s="55"/>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row>
    <row r="195" spans="1:83" ht="12" customHeight="1">
      <c r="A195" s="5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row>
    <row r="196" spans="1:83" ht="12" customHeight="1">
      <c r="A196" s="55"/>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row>
    <row r="197" spans="1:83" ht="12" customHeight="1">
      <c r="A197" s="55"/>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row>
    <row r="198" spans="1:83" ht="12" customHeight="1">
      <c r="A198" s="55"/>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row>
    <row r="199" spans="1:83" ht="12" customHeight="1">
      <c r="A199" s="55"/>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row>
    <row r="200" spans="1:83" ht="12" customHeight="1">
      <c r="A200" s="55"/>
      <c r="B200" s="3"/>
      <c r="C200" s="415" t="s">
        <v>1107</v>
      </c>
      <c r="D200" s="450"/>
      <c r="E200" s="415"/>
      <c r="F200" s="415"/>
      <c r="G200" s="415"/>
      <c r="H200" s="415"/>
      <c r="I200" s="415"/>
      <c r="J200" s="415"/>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row>
    <row r="201" spans="1:83" ht="12" customHeight="1">
      <c r="A201" s="55"/>
      <c r="B201" s="3"/>
      <c r="C201" s="415"/>
      <c r="D201" s="415"/>
      <c r="E201" s="415"/>
      <c r="F201" s="415"/>
      <c r="G201" s="415"/>
      <c r="H201" s="415"/>
      <c r="I201" s="415"/>
      <c r="J201" s="415"/>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row>
    <row r="202" spans="1:83" ht="12" customHeight="1">
      <c r="A202" s="55"/>
      <c r="B202" s="3"/>
      <c r="C202" s="415"/>
      <c r="D202" s="415" t="s">
        <v>1205</v>
      </c>
      <c r="E202" s="415"/>
      <c r="F202" s="415"/>
      <c r="G202" s="415"/>
      <c r="H202" s="415"/>
      <c r="I202" s="415"/>
      <c r="J202" s="415"/>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row>
    <row r="203" spans="1:83" ht="12" customHeight="1">
      <c r="A203" s="55"/>
      <c r="B203" s="3"/>
      <c r="C203" s="415"/>
      <c r="D203" s="415"/>
      <c r="E203" s="415"/>
      <c r="F203" s="415"/>
      <c r="G203" s="415"/>
      <c r="H203" s="415"/>
      <c r="I203" s="415"/>
      <c r="J203" s="415"/>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row>
    <row r="204" spans="1:83" ht="12" customHeight="1">
      <c r="A204" s="55"/>
      <c r="B204" s="3"/>
      <c r="C204" s="415"/>
      <c r="D204" s="451"/>
      <c r="E204" s="451" t="s">
        <v>408</v>
      </c>
      <c r="F204" s="451"/>
      <c r="G204" s="451"/>
      <c r="H204" s="451"/>
      <c r="I204" s="452"/>
      <c r="J204" s="453"/>
      <c r="K204" s="70"/>
      <c r="L204" s="69"/>
      <c r="M204" s="69"/>
      <c r="N204" s="69"/>
      <c r="O204" s="69"/>
      <c r="P204" s="69"/>
      <c r="Q204" s="69"/>
      <c r="R204" s="69"/>
      <c r="S204" s="69"/>
      <c r="T204" s="69"/>
      <c r="U204" s="69"/>
      <c r="V204" s="69"/>
      <c r="W204" s="69"/>
      <c r="X204" s="69"/>
      <c r="Y204" s="69"/>
      <c r="Z204" s="69"/>
      <c r="AA204" s="69"/>
      <c r="AB204" s="69"/>
      <c r="AC204" s="69"/>
      <c r="AD204" s="67"/>
      <c r="AE204" s="67"/>
      <c r="AF204" s="67"/>
      <c r="AG204" s="67"/>
      <c r="AH204" s="68"/>
      <c r="AI204" s="68"/>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7"/>
      <c r="BK204" s="67"/>
      <c r="BL204" s="67"/>
      <c r="BM204" s="67"/>
      <c r="BN204" s="66"/>
      <c r="BO204" s="66"/>
      <c r="BP204" s="66"/>
      <c r="BQ204" s="66"/>
      <c r="BR204" s="65"/>
      <c r="BS204" s="65"/>
      <c r="BT204" s="63"/>
      <c r="BU204" s="63"/>
      <c r="BV204" s="63"/>
      <c r="BW204" s="63"/>
      <c r="BX204" s="63"/>
      <c r="BY204" s="64"/>
      <c r="BZ204" s="64"/>
      <c r="CA204" s="3"/>
      <c r="CB204" s="3"/>
      <c r="CC204" s="3"/>
      <c r="CD204" s="3"/>
      <c r="CE204" s="3"/>
    </row>
    <row r="205" spans="1:83" ht="12" customHeight="1">
      <c r="A205" s="55"/>
      <c r="B205" s="3"/>
      <c r="C205" s="415"/>
      <c r="D205" s="451"/>
      <c r="E205" s="451"/>
      <c r="F205" s="451"/>
      <c r="G205" s="451"/>
      <c r="H205" s="451"/>
      <c r="I205" s="452"/>
      <c r="J205" s="453"/>
      <c r="K205" s="70"/>
      <c r="L205" s="69"/>
      <c r="M205" s="69"/>
      <c r="N205" s="69"/>
      <c r="O205" s="69"/>
      <c r="P205" s="69"/>
      <c r="Q205" s="69"/>
      <c r="R205" s="69"/>
      <c r="S205" s="69"/>
      <c r="T205" s="69"/>
      <c r="U205" s="69"/>
      <c r="V205" s="69"/>
      <c r="W205" s="69"/>
      <c r="X205" s="69"/>
      <c r="Y205" s="69"/>
      <c r="Z205" s="69"/>
      <c r="AA205" s="69"/>
      <c r="AB205" s="69"/>
      <c r="AC205" s="69"/>
      <c r="AD205" s="67"/>
      <c r="AE205" s="67"/>
      <c r="AF205" s="67"/>
      <c r="AG205" s="67"/>
      <c r="AH205" s="68"/>
      <c r="AI205" s="68"/>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6"/>
      <c r="BO205" s="66"/>
      <c r="BP205" s="66"/>
      <c r="BQ205" s="66"/>
      <c r="BR205" s="65"/>
      <c r="BS205" s="65"/>
      <c r="BT205" s="63"/>
      <c r="BU205" s="63"/>
      <c r="BV205" s="63"/>
      <c r="BW205" s="63"/>
      <c r="BX205" s="63"/>
      <c r="BY205" s="64"/>
      <c r="BZ205" s="64"/>
      <c r="CA205" s="3"/>
      <c r="CB205" s="3"/>
      <c r="CC205" s="3"/>
      <c r="CD205" s="3"/>
      <c r="CE205" s="3"/>
    </row>
    <row r="206" spans="1:83" ht="12" customHeight="1">
      <c r="A206" s="55"/>
      <c r="B206" s="3"/>
      <c r="C206" s="415"/>
      <c r="D206" s="450"/>
      <c r="E206" s="450"/>
      <c r="F206" s="450"/>
      <c r="G206" s="415"/>
      <c r="H206" s="415"/>
      <c r="I206" s="415"/>
      <c r="J206" s="415"/>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BG206" s="5"/>
      <c r="BH206" s="5"/>
      <c r="BI206" s="5"/>
      <c r="BJ206" s="5"/>
      <c r="BK206" s="5"/>
      <c r="BL206" s="5"/>
      <c r="BM206" s="5"/>
      <c r="BN206" s="5"/>
      <c r="BO206" s="5"/>
      <c r="BP206" s="5"/>
      <c r="BQ206" s="5"/>
      <c r="BR206" s="5"/>
      <c r="BS206" s="5"/>
      <c r="BT206" s="5"/>
      <c r="BU206" s="5"/>
      <c r="BV206" s="5"/>
      <c r="BW206" s="5"/>
      <c r="BX206" s="5"/>
      <c r="BY206" s="5"/>
      <c r="BZ206" s="5"/>
      <c r="CA206" s="5"/>
      <c r="CB206" s="3"/>
      <c r="CC206" s="3"/>
      <c r="CD206" s="3"/>
      <c r="CE206" s="3"/>
    </row>
    <row r="207" spans="1:83" ht="12" customHeight="1">
      <c r="A207" s="55"/>
      <c r="B207" s="3"/>
      <c r="C207" s="415"/>
      <c r="D207" s="415" t="s">
        <v>1206</v>
      </c>
      <c r="E207" s="415"/>
      <c r="F207" s="415"/>
      <c r="G207" s="415"/>
      <c r="H207" s="415"/>
      <c r="I207" s="415"/>
      <c r="J207" s="415"/>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BG207" s="5"/>
      <c r="BH207" s="5"/>
      <c r="BI207" s="5"/>
      <c r="BJ207" s="5"/>
      <c r="BK207" s="5"/>
      <c r="BL207" s="5"/>
      <c r="BM207" s="5"/>
      <c r="BN207" s="5"/>
      <c r="BO207" s="5"/>
      <c r="BP207" s="5"/>
      <c r="BQ207" s="5"/>
      <c r="BR207" s="5"/>
      <c r="BS207" s="5"/>
      <c r="BT207" s="5"/>
      <c r="BU207" s="5"/>
      <c r="BV207" s="5"/>
      <c r="BW207" s="5"/>
      <c r="BX207" s="5"/>
      <c r="BY207" s="5"/>
      <c r="BZ207" s="5"/>
      <c r="CA207" s="5"/>
      <c r="CB207" s="3"/>
      <c r="CC207" s="3"/>
      <c r="CD207" s="3"/>
      <c r="CE207" s="3"/>
    </row>
    <row r="208" spans="1:83" ht="12" customHeight="1">
      <c r="A208" s="55"/>
      <c r="B208" s="3"/>
      <c r="C208" s="415"/>
      <c r="D208" s="415"/>
      <c r="E208" s="415"/>
      <c r="F208" s="415"/>
      <c r="G208" s="415"/>
      <c r="H208" s="415"/>
      <c r="I208" s="415"/>
      <c r="J208" s="415"/>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83" ht="12" customHeight="1">
      <c r="A209" s="55"/>
      <c r="B209" s="3"/>
      <c r="C209" s="415"/>
      <c r="D209" s="415"/>
      <c r="E209" s="415" t="s">
        <v>114</v>
      </c>
      <c r="F209" s="415"/>
      <c r="G209" s="415"/>
      <c r="H209" s="415"/>
      <c r="I209" s="415"/>
      <c r="J209" s="415"/>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83" ht="12" customHeight="1">
      <c r="A210" s="55"/>
      <c r="B210" s="3"/>
      <c r="C210" s="415"/>
      <c r="D210" s="415"/>
      <c r="E210" s="415"/>
      <c r="F210" s="415"/>
      <c r="G210" s="415"/>
      <c r="H210" s="415"/>
      <c r="I210" s="415"/>
      <c r="J210" s="415"/>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83" ht="12" customHeight="1">
      <c r="A211" s="55"/>
      <c r="B211" s="3"/>
      <c r="C211" s="415"/>
      <c r="D211" s="415"/>
      <c r="E211" s="415"/>
      <c r="F211" s="415"/>
      <c r="G211" s="415"/>
      <c r="H211" s="415"/>
      <c r="I211" s="415"/>
      <c r="J211" s="415"/>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83" ht="12" customHeight="1">
      <c r="A212" s="55"/>
      <c r="B212" s="3"/>
      <c r="C212" s="415" t="s">
        <v>1108</v>
      </c>
      <c r="D212" s="415"/>
      <c r="E212" s="450"/>
      <c r="F212" s="415"/>
      <c r="G212" s="415"/>
      <c r="H212" s="415"/>
      <c r="I212" s="415"/>
      <c r="J212" s="415"/>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83" ht="11.25" customHeight="1">
      <c r="A213" s="55"/>
      <c r="B213" s="3"/>
      <c r="C213" s="415"/>
      <c r="D213" s="415"/>
      <c r="E213" s="450"/>
      <c r="F213" s="415"/>
      <c r="G213" s="415"/>
      <c r="H213" s="415"/>
      <c r="I213" s="415"/>
      <c r="J213" s="415"/>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55"/>
      <c r="B214" s="3"/>
      <c r="C214" s="415"/>
      <c r="D214" s="415" t="s">
        <v>1109</v>
      </c>
      <c r="E214" s="450"/>
      <c r="F214" s="415"/>
      <c r="G214" s="415"/>
      <c r="H214" s="415"/>
      <c r="I214" s="415"/>
      <c r="J214" s="415"/>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55"/>
      <c r="B215" s="3"/>
      <c r="C215" s="415"/>
      <c r="D215" s="415"/>
      <c r="E215" s="415"/>
      <c r="F215" s="415"/>
      <c r="G215" s="415"/>
      <c r="H215" s="415"/>
      <c r="I215" s="415"/>
      <c r="J215" s="415"/>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55"/>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55"/>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55"/>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83" ht="12" customHeight="1">
      <c r="A219" s="55"/>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83" ht="12" customHeight="1">
      <c r="A220" s="55"/>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row>
    <row r="221" spans="1:83" ht="12" customHeight="1">
      <c r="A221" s="55"/>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row>
    <row r="222" spans="1:83" ht="12" customHeight="1">
      <c r="A222" s="55"/>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row>
    <row r="223" spans="1:83" ht="12" customHeight="1">
      <c r="A223" s="55"/>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row>
    <row r="224" spans="1:83" ht="12" customHeight="1">
      <c r="A224" s="55"/>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row>
    <row r="225" spans="1:83" ht="12" customHeight="1">
      <c r="A225" s="5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row>
    <row r="226" spans="1:83" ht="12" customHeight="1">
      <c r="A226" s="55"/>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row>
    <row r="227" spans="1:83" ht="12" customHeight="1">
      <c r="A227" s="55"/>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row>
    <row r="228" spans="1:83" ht="12" customHeight="1">
      <c r="A228" s="55"/>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row>
    <row r="229" spans="1:83" ht="12" customHeight="1">
      <c r="A229" s="55"/>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55"/>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row>
    <row r="231" spans="1:83" ht="12" customHeight="1">
      <c r="A231" s="55"/>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row>
    <row r="232" spans="1:83" ht="12" customHeight="1">
      <c r="A232" s="55"/>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row>
    <row r="233" spans="1:83" ht="12" customHeight="1">
      <c r="A233" s="55"/>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row>
    <row r="234" spans="1:83" ht="12" customHeight="1">
      <c r="A234" s="55"/>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5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55"/>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83" ht="12"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row>
    <row r="242" spans="1:83" ht="12"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row>
    <row r="243" spans="1:83" ht="12"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row>
    <row r="244" spans="1:83" ht="12"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row>
    <row r="245" spans="1:83" ht="12"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row>
    <row r="246" spans="1:83" ht="12"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row>
    <row r="247" spans="1:83" ht="12"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row>
    <row r="248" spans="1:83" ht="12"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row>
    <row r="249" spans="1:83" ht="12"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row>
    <row r="250" spans="1:83" ht="12"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row>
    <row r="251" spans="1:83" ht="12"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row>
    <row r="252" spans="1:83" ht="12"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row>
    <row r="253" spans="1:83" ht="12"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row>
    <row r="254" spans="1:83" ht="12"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row>
    <row r="255" spans="1:83" ht="12"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row>
    <row r="256" spans="1:83" ht="12"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row>
    <row r="257" spans="1:115" ht="12"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row>
    <row r="258" spans="1:115" ht="12"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row>
    <row r="259" spans="1:115" ht="12"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row>
    <row r="260" spans="1:115" ht="12"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row>
    <row r="261" spans="1:115" ht="12"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row>
    <row r="262" spans="1:115" ht="12"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row>
    <row r="263" spans="1:115" ht="12"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row>
    <row r="264" spans="1:115" ht="12"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row>
    <row r="265" spans="1:115" ht="12"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row>
    <row r="266" spans="1:115" ht="12"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row>
    <row r="267" spans="1:115" ht="12" customHeight="1">
      <c r="A267" s="2"/>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2"/>
      <c r="CY267" s="2"/>
      <c r="CZ267" s="2"/>
      <c r="DA267" s="2"/>
      <c r="DB267" s="2"/>
      <c r="DC267" s="2"/>
      <c r="DD267" s="2"/>
      <c r="DE267" s="2"/>
      <c r="DF267" s="2"/>
      <c r="DG267" s="2"/>
      <c r="DH267" s="2"/>
      <c r="DI267" s="2"/>
      <c r="DJ267" s="2"/>
      <c r="DK267" s="2"/>
    </row>
    <row r="268" spans="1:115" ht="12" customHeight="1">
      <c r="A268" s="2"/>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2"/>
      <c r="CY268" s="2"/>
      <c r="CZ268" s="2"/>
      <c r="DA268" s="2"/>
      <c r="DB268" s="2"/>
      <c r="DC268" s="2"/>
      <c r="DD268" s="2"/>
      <c r="DE268" s="2"/>
      <c r="DF268" s="2"/>
      <c r="DG268" s="2"/>
      <c r="DH268" s="2"/>
      <c r="DI268" s="2"/>
      <c r="DJ268" s="2"/>
      <c r="DK268" s="2"/>
    </row>
    <row r="269" spans="1:115" ht="12" customHeight="1">
      <c r="A269" s="2"/>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2"/>
      <c r="DK269" s="2"/>
    </row>
    <row r="270" spans="1:115" ht="12" customHeight="1">
      <c r="A270" s="2"/>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2"/>
    </row>
    <row r="271" spans="1:115" ht="12" customHeight="1">
      <c r="A271" s="2"/>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2"/>
    </row>
    <row r="272" spans="1:115" ht="12" customHeight="1">
      <c r="A272" s="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2"/>
    </row>
    <row r="273" spans="1:83" ht="12" customHeight="1">
      <c r="A273" s="2"/>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2"/>
      <c r="BH273" s="2"/>
      <c r="BI273" s="2"/>
      <c r="BJ273" s="2"/>
      <c r="BK273" s="2"/>
      <c r="BL273" s="2"/>
      <c r="BM273" s="2"/>
      <c r="BN273" s="2"/>
      <c r="BO273" s="2"/>
      <c r="BP273" s="2"/>
      <c r="BQ273" s="2"/>
      <c r="BR273" s="2"/>
      <c r="BS273" s="2"/>
      <c r="BT273" s="2"/>
      <c r="BU273" s="2"/>
      <c r="BV273" s="2"/>
      <c r="BW273" s="2"/>
      <c r="BX273" s="2"/>
      <c r="BY273" s="2"/>
      <c r="BZ273" s="3"/>
      <c r="CA273" s="3"/>
      <c r="CB273" s="3"/>
      <c r="CC273" s="3"/>
      <c r="CD273" s="3"/>
      <c r="CE273" s="2"/>
    </row>
    <row r="274" spans="1:83" ht="12" customHeight="1">
      <c r="A274" s="2"/>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Z274" s="3"/>
      <c r="CA274" s="3"/>
      <c r="CB274" s="3"/>
      <c r="CC274" s="3"/>
      <c r="CD274" s="3"/>
      <c r="CE274" s="2"/>
    </row>
    <row r="275" spans="1:83" ht="12" customHeight="1">
      <c r="A275" s="2"/>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2"/>
      <c r="AV275" s="2"/>
      <c r="AW275" s="2"/>
      <c r="AX275" s="2"/>
      <c r="AY275" s="2"/>
      <c r="AZ275" s="2"/>
      <c r="BA275" s="2"/>
      <c r="BB275" s="2"/>
      <c r="BC275" s="2"/>
      <c r="BD275" s="2"/>
      <c r="BE275" s="2"/>
      <c r="BF275" s="2"/>
      <c r="BZ275" s="2"/>
      <c r="CA275" s="2"/>
      <c r="CB275" s="2"/>
      <c r="CC275" s="3"/>
      <c r="CD275" s="3"/>
      <c r="CE275" s="2"/>
    </row>
    <row r="276" spans="1:83"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CC276" s="2"/>
      <c r="CD276" s="2"/>
      <c r="CE276" s="2"/>
    </row>
  </sheetData>
  <mergeCells count="31">
    <mergeCell ref="AK141:AN141"/>
    <mergeCell ref="AS139:AV139"/>
    <mergeCell ref="A1:CE1"/>
    <mergeCell ref="A3:H3"/>
    <mergeCell ref="I3:AC3"/>
    <mergeCell ref="AD3:AL3"/>
    <mergeCell ref="AM3:BQ3"/>
    <mergeCell ref="BR3:BS5"/>
    <mergeCell ref="BT3:BX5"/>
    <mergeCell ref="BY3:BZ5"/>
    <mergeCell ref="CA3:CE5"/>
    <mergeCell ref="A4:H5"/>
    <mergeCell ref="I4:AC5"/>
    <mergeCell ref="AD4:AL4"/>
    <mergeCell ref="AS141:AV141"/>
    <mergeCell ref="BD159:BL160"/>
    <mergeCell ref="AM4:BQ4"/>
    <mergeCell ref="AD5:AG5"/>
    <mergeCell ref="AH5:AN5"/>
    <mergeCell ref="AO5:AR5"/>
    <mergeCell ref="AS5:AY5"/>
    <mergeCell ref="AZ5:BC5"/>
    <mergeCell ref="BD5:BJ5"/>
    <mergeCell ref="BK5:BM5"/>
    <mergeCell ref="BN5:BQ5"/>
    <mergeCell ref="AC138:AF138"/>
    <mergeCell ref="AK138:AN138"/>
    <mergeCell ref="AS138:AV138"/>
    <mergeCell ref="AS142:AV142"/>
    <mergeCell ref="AS143:AV143"/>
    <mergeCell ref="AC141:AF141"/>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43" max="82" man="1"/>
    <brk id="90" max="82" man="1"/>
    <brk id="128" max="82" man="1"/>
    <brk id="150" max="82" man="1"/>
    <brk id="198" max="82" man="1"/>
    <brk id="215" max="82" man="1"/>
    <brk id="276" max="82" man="1"/>
  </rowBreaks>
  <colBreaks count="3" manualBreakCount="3">
    <brk id="1" max="249" man="1"/>
    <brk id="2" max="249" man="1"/>
    <brk id="3" max="249" man="1"/>
  </colBreaks>
  <ignoredErrors>
    <ignoredError sqref="AA121"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A485"/>
  <sheetViews>
    <sheetView showGridLines="0" view="pageBreakPreview" zoomScale="85" zoomScaleNormal="85" zoomScaleSheetLayoutView="85" workbookViewId="0">
      <selection activeCell="D17" sqref="D17"/>
    </sheetView>
  </sheetViews>
  <sheetFormatPr defaultColWidth="1.625" defaultRowHeight="12" customHeight="1"/>
  <cols>
    <col min="1" max="1" width="1.625" style="461" customWidth="1"/>
    <col min="2" max="4" width="1.625" style="1"/>
    <col min="5" max="5" width="1.625" style="1" customWidth="1"/>
    <col min="6" max="61" width="1.625" style="1"/>
    <col min="62" max="62" width="1.625" style="1" customWidth="1"/>
    <col min="63" max="16384" width="1.625" style="1"/>
  </cols>
  <sheetData>
    <row r="1" spans="1:83" ht="17.25" customHeight="1">
      <c r="A1" s="613" t="s">
        <v>652</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83" ht="4.5" customHeight="1"/>
    <row r="3" spans="1:83" ht="12" customHeight="1">
      <c r="A3" s="593" t="s">
        <v>8</v>
      </c>
      <c r="B3" s="593"/>
      <c r="C3" s="593"/>
      <c r="D3" s="593"/>
      <c r="E3" s="593"/>
      <c r="F3" s="593"/>
      <c r="G3" s="593"/>
      <c r="H3" s="593"/>
      <c r="I3" s="592"/>
      <c r="J3" s="592"/>
      <c r="K3" s="592"/>
      <c r="L3" s="592"/>
      <c r="M3" s="592"/>
      <c r="N3" s="592"/>
      <c r="O3" s="592"/>
      <c r="P3" s="592"/>
      <c r="Q3" s="592"/>
      <c r="R3" s="592"/>
      <c r="S3" s="592"/>
      <c r="T3" s="592"/>
      <c r="U3" s="592"/>
      <c r="V3" s="592"/>
      <c r="W3" s="592"/>
      <c r="X3" s="592"/>
      <c r="Y3" s="592"/>
      <c r="Z3" s="592"/>
      <c r="AA3" s="592"/>
      <c r="AB3" s="592"/>
      <c r="AC3" s="592"/>
      <c r="AD3" s="593" t="s">
        <v>1</v>
      </c>
      <c r="AE3" s="593"/>
      <c r="AF3" s="593"/>
      <c r="AG3" s="593"/>
      <c r="AH3" s="593"/>
      <c r="AI3" s="593"/>
      <c r="AJ3" s="593"/>
      <c r="AK3" s="593"/>
      <c r="AL3" s="593"/>
      <c r="AM3" s="723" t="s">
        <v>682</v>
      </c>
      <c r="AN3" s="724"/>
      <c r="AO3" s="724"/>
      <c r="AP3" s="724"/>
      <c r="AQ3" s="724"/>
      <c r="AR3" s="724"/>
      <c r="AS3" s="724"/>
      <c r="AT3" s="724"/>
      <c r="AU3" s="724"/>
      <c r="AV3" s="724"/>
      <c r="AW3" s="724"/>
      <c r="AX3" s="724"/>
      <c r="AY3" s="724"/>
      <c r="AZ3" s="724"/>
      <c r="BA3" s="724"/>
      <c r="BB3" s="724"/>
      <c r="BC3" s="724"/>
      <c r="BD3" s="724"/>
      <c r="BE3" s="724"/>
      <c r="BF3" s="724"/>
      <c r="BG3" s="724"/>
      <c r="BH3" s="724"/>
      <c r="BI3" s="724"/>
      <c r="BJ3" s="724"/>
      <c r="BK3" s="724"/>
      <c r="BL3" s="724"/>
      <c r="BM3" s="724"/>
      <c r="BN3" s="724"/>
      <c r="BO3" s="724"/>
      <c r="BP3" s="724"/>
      <c r="BQ3" s="725"/>
      <c r="BR3" s="600" t="s">
        <v>6</v>
      </c>
      <c r="BS3" s="600"/>
      <c r="BT3" s="601" t="s">
        <v>757</v>
      </c>
      <c r="BU3" s="593"/>
      <c r="BV3" s="593"/>
      <c r="BW3" s="593"/>
      <c r="BX3" s="593"/>
      <c r="BY3" s="600" t="s">
        <v>7</v>
      </c>
      <c r="BZ3" s="600"/>
      <c r="CA3" s="601" t="s">
        <v>756</v>
      </c>
      <c r="CB3" s="593"/>
      <c r="CC3" s="593"/>
      <c r="CD3" s="593"/>
      <c r="CE3" s="593"/>
    </row>
    <row r="4" spans="1:83" ht="12" customHeight="1">
      <c r="A4" s="593" t="s">
        <v>9</v>
      </c>
      <c r="B4" s="593"/>
      <c r="C4" s="593"/>
      <c r="D4" s="593"/>
      <c r="E4" s="593"/>
      <c r="F4" s="593"/>
      <c r="G4" s="593"/>
      <c r="H4" s="593"/>
      <c r="I4" s="591" t="s">
        <v>683</v>
      </c>
      <c r="J4" s="592"/>
      <c r="K4" s="592"/>
      <c r="L4" s="592"/>
      <c r="M4" s="592"/>
      <c r="N4" s="592"/>
      <c r="O4" s="592"/>
      <c r="P4" s="592"/>
      <c r="Q4" s="592"/>
      <c r="R4" s="592"/>
      <c r="S4" s="592"/>
      <c r="T4" s="592"/>
      <c r="U4" s="592"/>
      <c r="V4" s="592"/>
      <c r="W4" s="592"/>
      <c r="X4" s="592"/>
      <c r="Y4" s="592"/>
      <c r="Z4" s="592"/>
      <c r="AA4" s="592"/>
      <c r="AB4" s="592"/>
      <c r="AC4" s="592"/>
      <c r="AD4" s="593" t="s">
        <v>0</v>
      </c>
      <c r="AE4" s="593"/>
      <c r="AF4" s="593"/>
      <c r="AG4" s="593"/>
      <c r="AH4" s="593"/>
      <c r="AI4" s="593"/>
      <c r="AJ4" s="593"/>
      <c r="AK4" s="593"/>
      <c r="AL4" s="593"/>
      <c r="AM4" s="723" t="s">
        <v>684</v>
      </c>
      <c r="AN4" s="724"/>
      <c r="AO4" s="724"/>
      <c r="AP4" s="724"/>
      <c r="AQ4" s="724"/>
      <c r="AR4" s="724"/>
      <c r="AS4" s="724"/>
      <c r="AT4" s="724"/>
      <c r="AU4" s="724"/>
      <c r="AV4" s="724"/>
      <c r="AW4" s="724"/>
      <c r="AX4" s="724"/>
      <c r="AY4" s="724"/>
      <c r="AZ4" s="724"/>
      <c r="BA4" s="724"/>
      <c r="BB4" s="724"/>
      <c r="BC4" s="724"/>
      <c r="BD4" s="724"/>
      <c r="BE4" s="724"/>
      <c r="BF4" s="724"/>
      <c r="BG4" s="724"/>
      <c r="BH4" s="724"/>
      <c r="BI4" s="724"/>
      <c r="BJ4" s="724"/>
      <c r="BK4" s="724"/>
      <c r="BL4" s="724"/>
      <c r="BM4" s="724"/>
      <c r="BN4" s="724"/>
      <c r="BO4" s="724"/>
      <c r="BP4" s="724"/>
      <c r="BQ4" s="725"/>
      <c r="BR4" s="600"/>
      <c r="BS4" s="600"/>
      <c r="BT4" s="593"/>
      <c r="BU4" s="593"/>
      <c r="BV4" s="593"/>
      <c r="BW4" s="593"/>
      <c r="BX4" s="593"/>
      <c r="BY4" s="600"/>
      <c r="BZ4" s="600"/>
      <c r="CA4" s="593"/>
      <c r="CB4" s="593"/>
      <c r="CC4" s="593"/>
      <c r="CD4" s="593"/>
      <c r="CE4" s="593"/>
    </row>
    <row r="5" spans="1:83" ht="12" customHeight="1">
      <c r="A5" s="593"/>
      <c r="B5" s="593"/>
      <c r="C5" s="593"/>
      <c r="D5" s="593"/>
      <c r="E5" s="593"/>
      <c r="F5" s="593"/>
      <c r="G5" s="593"/>
      <c r="H5" s="593"/>
      <c r="I5" s="592"/>
      <c r="J5" s="592"/>
      <c r="K5" s="592"/>
      <c r="L5" s="592"/>
      <c r="M5" s="592"/>
      <c r="N5" s="592"/>
      <c r="O5" s="592"/>
      <c r="P5" s="592"/>
      <c r="Q5" s="592"/>
      <c r="R5" s="592"/>
      <c r="S5" s="592"/>
      <c r="T5" s="592"/>
      <c r="U5" s="592"/>
      <c r="V5" s="592"/>
      <c r="W5" s="592"/>
      <c r="X5" s="592"/>
      <c r="Y5" s="592"/>
      <c r="Z5" s="592"/>
      <c r="AA5" s="592"/>
      <c r="AB5" s="592"/>
      <c r="AC5" s="592"/>
      <c r="AD5" s="593" t="s">
        <v>2</v>
      </c>
      <c r="AE5" s="593"/>
      <c r="AF5" s="593"/>
      <c r="AG5" s="593"/>
      <c r="AH5" s="604">
        <v>43503</v>
      </c>
      <c r="AI5" s="604"/>
      <c r="AJ5" s="604"/>
      <c r="AK5" s="604"/>
      <c r="AL5" s="604"/>
      <c r="AM5" s="604"/>
      <c r="AN5" s="604"/>
      <c r="AO5" s="593" t="s">
        <v>3</v>
      </c>
      <c r="AP5" s="593"/>
      <c r="AQ5" s="593"/>
      <c r="AR5" s="593"/>
      <c r="AS5" s="597"/>
      <c r="AT5" s="597"/>
      <c r="AU5" s="597"/>
      <c r="AV5" s="597"/>
      <c r="AW5" s="597"/>
      <c r="AX5" s="597"/>
      <c r="AY5" s="597"/>
      <c r="AZ5" s="593" t="s">
        <v>4</v>
      </c>
      <c r="BA5" s="593"/>
      <c r="BB5" s="593"/>
      <c r="BC5" s="593"/>
      <c r="BD5" s="597"/>
      <c r="BE5" s="597"/>
      <c r="BF5" s="597"/>
      <c r="BG5" s="597"/>
      <c r="BH5" s="597"/>
      <c r="BI5" s="597"/>
      <c r="BJ5" s="597"/>
      <c r="BK5" s="593" t="s">
        <v>5</v>
      </c>
      <c r="BL5" s="593"/>
      <c r="BM5" s="593"/>
      <c r="BN5" s="602"/>
      <c r="BO5" s="602"/>
      <c r="BP5" s="602"/>
      <c r="BQ5" s="602"/>
      <c r="BR5" s="600"/>
      <c r="BS5" s="600"/>
      <c r="BT5" s="593"/>
      <c r="BU5" s="593"/>
      <c r="BV5" s="593"/>
      <c r="BW5" s="593"/>
      <c r="BX5" s="593"/>
      <c r="BY5" s="600"/>
      <c r="BZ5" s="600"/>
      <c r="CA5" s="593"/>
      <c r="CB5" s="593"/>
      <c r="CC5" s="593"/>
      <c r="CD5" s="593"/>
      <c r="CE5" s="593"/>
    </row>
    <row r="6" spans="1:83" ht="5.0999999999999996" customHeight="1"/>
    <row r="7" spans="1:83" ht="12" customHeight="1">
      <c r="A7" s="455"/>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row>
    <row r="8" spans="1:83" ht="12" customHeight="1">
      <c r="A8" s="454"/>
      <c r="B8" s="454" t="s">
        <v>1110</v>
      </c>
      <c r="C8" s="454"/>
      <c r="D8" s="454"/>
      <c r="E8" s="454"/>
      <c r="F8" s="454"/>
      <c r="G8" s="454"/>
      <c r="H8" s="454"/>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row>
    <row r="9" spans="1:83" ht="12" customHeight="1">
      <c r="A9" s="454"/>
      <c r="B9" s="454"/>
      <c r="C9" s="454"/>
      <c r="D9" s="454"/>
      <c r="E9" s="454"/>
      <c r="F9" s="454"/>
      <c r="G9" s="454"/>
      <c r="H9" s="454"/>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row>
    <row r="10" spans="1:83" ht="12" customHeight="1">
      <c r="A10" s="454"/>
      <c r="B10" s="454"/>
      <c r="C10" s="454" t="s">
        <v>1111</v>
      </c>
      <c r="D10" s="454"/>
      <c r="E10" s="454"/>
      <c r="F10" s="454"/>
      <c r="G10" s="454"/>
      <c r="H10" s="454"/>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row>
    <row r="11" spans="1:83" ht="12" customHeight="1">
      <c r="A11" s="454"/>
      <c r="B11" s="454"/>
      <c r="C11" s="454"/>
      <c r="D11" s="454"/>
      <c r="E11" s="454"/>
      <c r="F11" s="454"/>
      <c r="G11" s="454"/>
      <c r="H11" s="454"/>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row>
    <row r="12" spans="1:83" ht="12" customHeight="1">
      <c r="A12" s="454"/>
      <c r="B12" s="454"/>
      <c r="C12" s="454"/>
      <c r="D12" s="454" t="s">
        <v>1112</v>
      </c>
      <c r="E12" s="454"/>
      <c r="F12" s="454"/>
      <c r="G12" s="454"/>
      <c r="H12" s="454"/>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row>
    <row r="13" spans="1:83" ht="12" customHeight="1">
      <c r="A13" s="454"/>
      <c r="B13" s="454"/>
      <c r="C13" s="454"/>
      <c r="D13" s="454"/>
      <c r="E13" s="454"/>
      <c r="F13" s="454"/>
      <c r="G13" s="454"/>
      <c r="H13" s="454"/>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row>
    <row r="14" spans="1:83" ht="12" customHeight="1">
      <c r="A14" s="454"/>
      <c r="B14" s="454"/>
      <c r="C14" s="454"/>
      <c r="D14" s="454"/>
      <c r="E14" s="454" t="s">
        <v>685</v>
      </c>
      <c r="F14" s="454"/>
      <c r="G14" s="454"/>
      <c r="H14" s="454"/>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row>
    <row r="15" spans="1:83" ht="12" customHeight="1">
      <c r="A15" s="454"/>
      <c r="B15" s="22"/>
      <c r="C15" s="22"/>
      <c r="D15" s="22"/>
      <c r="E15" s="22" t="s">
        <v>686</v>
      </c>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row>
    <row r="16" spans="1:83" ht="12" customHeight="1">
      <c r="A16" s="454"/>
      <c r="B16" s="22"/>
      <c r="C16" s="22"/>
      <c r="D16" s="22"/>
      <c r="E16" s="22" t="s">
        <v>203</v>
      </c>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row>
    <row r="17" spans="1:83" ht="12" customHeight="1">
      <c r="A17" s="454"/>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row>
    <row r="18" spans="1:83" ht="12" customHeight="1">
      <c r="A18" s="454"/>
      <c r="B18" s="22"/>
      <c r="C18" s="22"/>
      <c r="D18" s="22"/>
      <c r="E18" s="22" t="s">
        <v>176</v>
      </c>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row>
    <row r="19" spans="1:83" ht="12" customHeight="1">
      <c r="A19" s="454"/>
      <c r="B19" s="547"/>
      <c r="C19" s="547"/>
      <c r="D19" s="547"/>
      <c r="E19" s="547"/>
      <c r="F19" s="547"/>
      <c r="G19" s="547"/>
      <c r="H19" s="547"/>
      <c r="I19" s="547"/>
      <c r="J19" s="547"/>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row>
    <row r="20" spans="1:83" ht="12" customHeight="1">
      <c r="A20" s="454"/>
      <c r="B20" s="547"/>
      <c r="C20" s="547"/>
      <c r="D20" s="547"/>
      <c r="E20" s="547"/>
      <c r="F20" s="547"/>
      <c r="G20" s="547"/>
      <c r="H20" s="547"/>
      <c r="I20" s="547"/>
      <c r="J20" s="547"/>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row>
    <row r="21" spans="1:83" ht="12" customHeight="1">
      <c r="A21" s="454"/>
      <c r="B21" s="547"/>
      <c r="C21" s="547"/>
      <c r="D21" s="547"/>
      <c r="E21" s="547"/>
      <c r="F21" s="547"/>
      <c r="G21" s="547"/>
      <c r="H21" s="547"/>
      <c r="I21" s="547"/>
      <c r="J21" s="547"/>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row>
    <row r="22" spans="1:83" ht="12" customHeight="1">
      <c r="A22" s="454"/>
      <c r="B22" s="547"/>
      <c r="C22" s="547"/>
      <c r="D22" s="547"/>
      <c r="E22" s="547"/>
      <c r="F22" s="547"/>
      <c r="G22" s="547"/>
      <c r="H22" s="547"/>
      <c r="I22" s="547"/>
      <c r="J22" s="547"/>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row>
    <row r="23" spans="1:83" ht="12" customHeight="1">
      <c r="A23" s="454"/>
      <c r="B23" s="547"/>
      <c r="C23" s="547"/>
      <c r="D23" s="547"/>
      <c r="E23" s="547"/>
      <c r="F23" s="547"/>
      <c r="G23" s="547"/>
      <c r="H23" s="547"/>
      <c r="I23" s="547"/>
      <c r="J23" s="547"/>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row>
    <row r="24" spans="1:83" ht="12" customHeight="1">
      <c r="A24" s="454"/>
      <c r="B24" s="547"/>
      <c r="C24" s="547"/>
      <c r="D24" s="547"/>
      <c r="E24" s="547"/>
      <c r="F24" s="547"/>
      <c r="G24" s="547"/>
      <c r="H24" s="547"/>
      <c r="I24" s="547"/>
      <c r="J24" s="547"/>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row>
    <row r="25" spans="1:83" ht="12" customHeight="1">
      <c r="A25" s="454"/>
      <c r="B25" s="547"/>
      <c r="C25" s="547"/>
      <c r="D25" s="547"/>
      <c r="E25" s="547"/>
      <c r="F25" s="547"/>
      <c r="G25" s="547"/>
      <c r="H25" s="547"/>
      <c r="I25" s="547"/>
      <c r="J25" s="547"/>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row>
    <row r="26" spans="1:83" ht="12" customHeight="1">
      <c r="A26" s="454"/>
      <c r="B26" s="547"/>
      <c r="C26" s="547"/>
      <c r="D26" s="547"/>
      <c r="E26" s="547"/>
      <c r="F26" s="547"/>
      <c r="G26" s="547"/>
      <c r="H26" s="547"/>
      <c r="I26" s="547"/>
      <c r="J26" s="547"/>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row>
    <row r="27" spans="1:83" ht="12" customHeight="1">
      <c r="A27" s="454"/>
      <c r="B27" s="547"/>
      <c r="C27" s="547"/>
      <c r="D27" s="547"/>
      <c r="E27" s="547"/>
      <c r="F27" s="547"/>
      <c r="G27" s="547"/>
      <c r="H27" s="547"/>
      <c r="I27" s="547"/>
      <c r="J27" s="547"/>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row>
    <row r="28" spans="1:83" ht="12" customHeight="1">
      <c r="A28" s="454"/>
      <c r="B28" s="547"/>
      <c r="C28" s="547"/>
      <c r="D28" s="547"/>
      <c r="E28" s="547"/>
      <c r="F28" s="547"/>
      <c r="G28" s="547"/>
      <c r="H28" s="547"/>
      <c r="I28" s="547"/>
      <c r="J28" s="547"/>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row>
    <row r="29" spans="1:83" ht="12" customHeight="1">
      <c r="A29" s="454"/>
      <c r="B29" s="547"/>
      <c r="C29" s="547"/>
      <c r="D29" s="547"/>
      <c r="E29" s="547"/>
      <c r="F29" s="547"/>
      <c r="G29" s="547"/>
      <c r="H29" s="547"/>
      <c r="I29" s="547"/>
      <c r="J29" s="547"/>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row>
    <row r="30" spans="1:83" ht="12" customHeight="1">
      <c r="A30" s="454"/>
      <c r="B30" s="547"/>
      <c r="C30" s="547"/>
      <c r="D30" s="547"/>
      <c r="E30" s="547"/>
      <c r="F30" s="547"/>
      <c r="G30" s="547"/>
      <c r="H30" s="547"/>
      <c r="I30" s="547"/>
      <c r="J30" s="547"/>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row>
    <row r="31" spans="1:83" ht="12" customHeight="1">
      <c r="A31" s="454"/>
      <c r="B31" s="547"/>
      <c r="C31" s="547"/>
      <c r="D31" s="547"/>
      <c r="E31" s="547"/>
      <c r="F31" s="547"/>
      <c r="G31" s="547"/>
      <c r="H31" s="547"/>
      <c r="I31" s="547"/>
      <c r="J31" s="547"/>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row>
    <row r="32" spans="1:83" ht="12" customHeight="1">
      <c r="A32" s="454"/>
      <c r="B32" s="547"/>
      <c r="C32" s="547"/>
      <c r="D32" s="547"/>
      <c r="E32" s="547"/>
      <c r="F32" s="547"/>
      <c r="G32" s="547"/>
      <c r="H32" s="547"/>
      <c r="I32" s="547"/>
      <c r="J32" s="547"/>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row>
    <row r="33" spans="1:105" ht="12" customHeight="1">
      <c r="A33" s="454"/>
      <c r="B33" s="547"/>
      <c r="C33" s="547"/>
      <c r="D33" s="547"/>
      <c r="E33" s="547"/>
      <c r="F33" s="547"/>
      <c r="G33" s="547"/>
      <c r="H33" s="547"/>
      <c r="I33" s="547"/>
      <c r="J33" s="547"/>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row>
    <row r="34" spans="1:105" ht="12" customHeight="1">
      <c r="A34" s="454"/>
      <c r="B34" s="547"/>
      <c r="C34" s="547"/>
      <c r="D34" s="547"/>
      <c r="E34" s="547"/>
      <c r="F34" s="547"/>
      <c r="G34" s="547"/>
      <c r="H34" s="547"/>
      <c r="I34" s="547"/>
      <c r="J34" s="547"/>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row>
    <row r="35" spans="1:105" ht="12" customHeight="1">
      <c r="A35" s="454"/>
      <c r="B35" s="547"/>
      <c r="C35" s="547"/>
      <c r="D35" s="547"/>
      <c r="E35" s="547"/>
      <c r="F35" s="547"/>
      <c r="G35" s="547"/>
      <c r="H35" s="547"/>
      <c r="I35" s="547"/>
      <c r="J35" s="547"/>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row>
    <row r="36" spans="1:105" ht="12" customHeight="1">
      <c r="A36" s="454"/>
      <c r="B36" s="547"/>
      <c r="C36" s="547"/>
      <c r="D36" s="547"/>
      <c r="E36" s="547"/>
      <c r="F36" s="547"/>
      <c r="G36" s="547"/>
      <c r="H36" s="547"/>
      <c r="I36" s="547"/>
      <c r="J36" s="547"/>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row>
    <row r="37" spans="1:105" ht="12" customHeight="1">
      <c r="A37" s="454"/>
      <c r="B37" s="547"/>
      <c r="C37" s="547"/>
      <c r="D37" s="547"/>
      <c r="E37" s="547"/>
      <c r="F37" s="547"/>
      <c r="G37" s="547"/>
      <c r="H37" s="547"/>
      <c r="I37" s="547"/>
      <c r="J37" s="547"/>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row>
    <row r="38" spans="1:105" ht="12" customHeight="1">
      <c r="A38" s="454"/>
      <c r="B38" s="547"/>
      <c r="C38" s="547"/>
      <c r="D38" s="547"/>
      <c r="E38" s="547"/>
      <c r="F38" s="547"/>
      <c r="G38" s="547"/>
      <c r="H38" s="547"/>
      <c r="I38" s="547"/>
      <c r="J38" s="547"/>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row>
    <row r="39" spans="1:105" ht="12" customHeight="1">
      <c r="A39" s="454"/>
      <c r="B39" s="547"/>
      <c r="C39" s="547"/>
      <c r="D39" s="547"/>
      <c r="E39" s="547"/>
      <c r="F39" s="547"/>
      <c r="G39" s="547"/>
      <c r="H39" s="547"/>
      <c r="I39" s="547"/>
      <c r="J39" s="547"/>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row>
    <row r="40" spans="1:105" ht="12" customHeight="1">
      <c r="A40" s="454"/>
      <c r="B40" s="547"/>
      <c r="C40" s="547"/>
      <c r="D40" s="547"/>
      <c r="E40" s="547"/>
      <c r="F40" s="547"/>
      <c r="G40" s="547"/>
      <c r="H40" s="547"/>
      <c r="I40" s="547"/>
      <c r="J40" s="547"/>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row>
    <row r="41" spans="1:105" ht="12" customHeight="1">
      <c r="A41" s="454"/>
      <c r="B41" s="547"/>
      <c r="C41" s="547"/>
      <c r="D41" s="547"/>
      <c r="E41" s="547"/>
      <c r="F41" s="547"/>
      <c r="G41" s="547"/>
      <c r="H41" s="547"/>
      <c r="I41" s="547"/>
      <c r="J41" s="547"/>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row>
    <row r="42" spans="1:105" ht="12" customHeight="1">
      <c r="A42" s="454"/>
      <c r="B42" s="547"/>
      <c r="C42" s="547"/>
      <c r="D42" s="547"/>
      <c r="E42" s="547"/>
      <c r="F42" s="547"/>
      <c r="G42" s="547"/>
      <c r="H42" s="547"/>
      <c r="I42" s="547"/>
      <c r="J42" s="547"/>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row>
    <row r="43" spans="1:105" ht="12" customHeight="1">
      <c r="A43" s="454"/>
      <c r="B43" s="547"/>
      <c r="C43" s="547"/>
      <c r="D43" s="547"/>
      <c r="E43" s="547"/>
      <c r="F43" s="547"/>
      <c r="G43" s="547"/>
      <c r="H43" s="547"/>
      <c r="I43" s="547"/>
      <c r="J43" s="547"/>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row>
    <row r="44" spans="1:105" ht="12" customHeight="1">
      <c r="A44" s="454"/>
      <c r="B44" s="547"/>
      <c r="C44" s="547"/>
      <c r="D44" s="547"/>
      <c r="E44" s="547"/>
      <c r="F44" s="547"/>
      <c r="G44" s="547"/>
      <c r="H44" s="547"/>
      <c r="I44" s="547"/>
      <c r="J44" s="547"/>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row>
    <row r="45" spans="1:105" ht="12" customHeight="1">
      <c r="A45" s="454"/>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row>
    <row r="46" spans="1:105" ht="12" customHeight="1">
      <c r="A46" s="454"/>
      <c r="B46" s="454"/>
      <c r="C46" s="454"/>
      <c r="D46" s="454" t="s">
        <v>1113</v>
      </c>
      <c r="E46" s="454"/>
      <c r="F46" s="454"/>
      <c r="G46" s="454"/>
      <c r="H46" s="454"/>
      <c r="I46" s="454"/>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row>
    <row r="47" spans="1:105" ht="12" customHeight="1">
      <c r="A47" s="454"/>
      <c r="B47" s="454"/>
      <c r="C47" s="454"/>
      <c r="D47" s="454"/>
      <c r="E47" s="454"/>
      <c r="F47" s="454"/>
      <c r="G47" s="454"/>
      <c r="H47" s="454"/>
      <c r="I47" s="454"/>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3"/>
    </row>
    <row r="48" spans="1:105" ht="12" customHeight="1">
      <c r="A48" s="454"/>
      <c r="B48" s="454"/>
      <c r="C48" s="454"/>
      <c r="D48" s="454"/>
      <c r="E48" s="454" t="s">
        <v>175</v>
      </c>
      <c r="F48" s="454"/>
      <c r="G48" s="454"/>
      <c r="H48" s="454"/>
      <c r="I48" s="454"/>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3"/>
      <c r="CG48" s="2"/>
      <c r="CH48" s="2"/>
      <c r="CI48" s="2"/>
      <c r="CJ48" s="2"/>
      <c r="CK48" s="2"/>
      <c r="CL48" s="2"/>
      <c r="CM48" s="2"/>
      <c r="CN48" s="2"/>
      <c r="CO48" s="2"/>
      <c r="CP48" s="2"/>
      <c r="CQ48" s="2"/>
      <c r="CR48" s="2"/>
      <c r="CS48" s="2"/>
      <c r="CT48" s="2"/>
      <c r="CU48" s="2"/>
      <c r="CV48" s="2"/>
      <c r="CW48" s="2"/>
      <c r="CX48" s="2"/>
      <c r="CY48" s="2"/>
      <c r="CZ48" s="2"/>
      <c r="DA48" s="2"/>
    </row>
    <row r="49" spans="1:105" ht="12" customHeight="1">
      <c r="A49" s="454"/>
      <c r="B49" s="454"/>
      <c r="C49" s="454"/>
      <c r="D49" s="454"/>
      <c r="E49" s="454"/>
      <c r="F49" s="454"/>
      <c r="G49" s="454"/>
      <c r="H49" s="454"/>
      <c r="I49" s="454"/>
      <c r="J49" s="525"/>
      <c r="K49" s="525"/>
      <c r="L49" s="525"/>
      <c r="M49" s="525"/>
      <c r="N49" s="525"/>
      <c r="O49" s="525"/>
      <c r="P49" s="525"/>
      <c r="Q49" s="525"/>
      <c r="R49" s="525"/>
      <c r="S49" s="525"/>
      <c r="T49" s="525"/>
      <c r="U49" s="525"/>
      <c r="V49" s="525"/>
      <c r="W49" s="525"/>
      <c r="X49" s="525"/>
      <c r="Y49" s="525"/>
      <c r="Z49" s="525"/>
      <c r="AA49" s="525"/>
      <c r="AB49" s="525"/>
      <c r="AC49" s="525"/>
      <c r="AD49" s="525"/>
      <c r="AE49" s="525"/>
      <c r="AF49" s="525"/>
      <c r="AG49" s="525"/>
      <c r="AH49" s="525"/>
      <c r="AI49" s="525"/>
      <c r="AJ49" s="525"/>
      <c r="AK49" s="525"/>
      <c r="AL49" s="525"/>
      <c r="AM49" s="525"/>
      <c r="AN49" s="525"/>
      <c r="AO49" s="525"/>
      <c r="AP49" s="525"/>
      <c r="AQ49" s="525"/>
      <c r="AR49" s="525"/>
      <c r="AS49" s="525"/>
      <c r="AT49" s="525"/>
      <c r="AU49" s="525"/>
      <c r="AV49" s="525"/>
      <c r="AW49" s="525"/>
      <c r="AX49" s="525"/>
      <c r="AY49" s="525"/>
      <c r="AZ49" s="525"/>
      <c r="BA49" s="525"/>
      <c r="BB49" s="525"/>
      <c r="BC49" s="525"/>
      <c r="BD49" s="525"/>
      <c r="BE49" s="525"/>
      <c r="BF49" s="525"/>
      <c r="BG49" s="525"/>
      <c r="BH49" s="525"/>
      <c r="BI49" s="525"/>
      <c r="BJ49" s="525"/>
      <c r="BK49" s="525"/>
      <c r="BL49" s="525"/>
      <c r="BM49" s="525"/>
      <c r="BN49" s="525"/>
      <c r="BO49" s="525"/>
      <c r="BP49" s="525"/>
      <c r="BQ49" s="525"/>
      <c r="BR49" s="525"/>
      <c r="BS49" s="525"/>
      <c r="BT49" s="525"/>
      <c r="BU49" s="525"/>
      <c r="BV49" s="525"/>
      <c r="BW49" s="525"/>
      <c r="BX49" s="525"/>
      <c r="BY49" s="525"/>
      <c r="BZ49" s="525"/>
      <c r="CA49" s="525"/>
      <c r="CB49" s="525"/>
      <c r="CC49" s="525"/>
      <c r="CD49" s="525"/>
      <c r="CE49" s="525"/>
      <c r="CF49" s="391"/>
      <c r="CG49" s="2"/>
      <c r="CH49" s="2"/>
      <c r="CI49" s="2"/>
      <c r="CJ49" s="2"/>
      <c r="CK49" s="2"/>
      <c r="CL49" s="2"/>
      <c r="CM49" s="2"/>
      <c r="CN49" s="2"/>
      <c r="CO49" s="2"/>
      <c r="CP49" s="2"/>
      <c r="CQ49" s="2"/>
      <c r="CR49" s="2"/>
      <c r="CS49" s="2"/>
      <c r="CT49" s="2"/>
      <c r="CU49" s="2"/>
      <c r="CV49" s="2"/>
      <c r="CW49" s="2"/>
      <c r="CX49" s="2"/>
      <c r="CY49" s="2"/>
      <c r="CZ49" s="2"/>
      <c r="DA49" s="2"/>
    </row>
    <row r="50" spans="1:105" ht="12" customHeight="1">
      <c r="A50" s="454"/>
      <c r="B50" s="454"/>
      <c r="C50" s="454"/>
      <c r="D50" s="454"/>
      <c r="E50" s="454"/>
      <c r="F50" s="454" t="s">
        <v>1114</v>
      </c>
      <c r="G50" s="454"/>
      <c r="H50" s="454"/>
      <c r="I50" s="454"/>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3"/>
      <c r="CG50" s="2"/>
      <c r="CH50" s="2"/>
      <c r="CI50" s="2"/>
      <c r="CJ50" s="2"/>
      <c r="CK50" s="2"/>
      <c r="CL50" s="2"/>
      <c r="CM50" s="2"/>
      <c r="CN50" s="2"/>
      <c r="CO50" s="2"/>
      <c r="CP50" s="2"/>
      <c r="CQ50" s="2"/>
      <c r="CR50" s="2"/>
      <c r="CS50" s="2"/>
      <c r="CT50" s="2"/>
      <c r="CU50" s="2"/>
      <c r="CV50" s="2"/>
      <c r="CW50" s="2"/>
      <c r="CX50" s="2"/>
      <c r="CY50" s="2"/>
      <c r="CZ50" s="2"/>
      <c r="DA50" s="2"/>
    </row>
    <row r="51" spans="1:105" ht="12" customHeight="1">
      <c r="A51" s="454"/>
      <c r="B51" s="454"/>
      <c r="C51" s="454"/>
      <c r="D51" s="454"/>
      <c r="E51" s="454"/>
      <c r="F51" s="454" t="s">
        <v>1115</v>
      </c>
      <c r="G51" s="454"/>
      <c r="H51" s="454"/>
      <c r="I51" s="454"/>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
      <c r="CG51" s="2"/>
      <c r="CH51" s="2"/>
      <c r="CI51" s="2"/>
      <c r="CJ51" s="2"/>
      <c r="CK51" s="2"/>
      <c r="CL51" s="2"/>
      <c r="CM51" s="2"/>
      <c r="CN51" s="2"/>
      <c r="CO51" s="2"/>
      <c r="CP51" s="2"/>
      <c r="CQ51" s="2"/>
      <c r="CR51" s="2"/>
      <c r="CS51" s="2"/>
      <c r="CT51" s="2"/>
      <c r="CU51" s="2"/>
      <c r="CV51" s="2"/>
      <c r="CW51" s="2"/>
      <c r="CX51" s="2"/>
      <c r="CY51" s="2"/>
    </row>
    <row r="52" spans="1:105" ht="12" customHeight="1">
      <c r="A52" s="454"/>
      <c r="B52" s="454"/>
      <c r="C52" s="454"/>
      <c r="D52" s="454"/>
      <c r="E52" s="454"/>
      <c r="F52" s="454" t="s">
        <v>687</v>
      </c>
      <c r="G52" s="454"/>
      <c r="H52" s="454"/>
      <c r="I52" s="454"/>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
      <c r="CG52" s="2"/>
      <c r="CH52" s="2"/>
      <c r="CI52" s="2"/>
      <c r="CJ52" s="2"/>
      <c r="CK52" s="2"/>
      <c r="CL52" s="2"/>
      <c r="CM52" s="2"/>
      <c r="CN52" s="2"/>
      <c r="CO52" s="2"/>
      <c r="CP52" s="2"/>
      <c r="CQ52" s="2"/>
      <c r="CR52" s="2"/>
      <c r="CS52" s="2"/>
      <c r="CT52" s="2"/>
      <c r="CU52" s="2"/>
      <c r="CV52" s="2"/>
      <c r="CW52" s="2"/>
      <c r="CX52" s="2"/>
      <c r="CY52" s="2"/>
    </row>
    <row r="53" spans="1:105" ht="12" customHeight="1">
      <c r="A53" s="454"/>
      <c r="B53" s="454"/>
      <c r="C53" s="454"/>
      <c r="D53" s="454"/>
      <c r="E53" s="454"/>
      <c r="F53" s="454" t="s">
        <v>688</v>
      </c>
      <c r="G53" s="454"/>
      <c r="H53" s="454"/>
      <c r="I53" s="454"/>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
      <c r="CG53" s="2"/>
      <c r="CH53" s="2"/>
      <c r="CI53" s="2"/>
      <c r="CJ53" s="2"/>
      <c r="CK53" s="2"/>
      <c r="CL53" s="2"/>
      <c r="CM53" s="2"/>
      <c r="CN53" s="2"/>
      <c r="CO53" s="2"/>
      <c r="CP53" s="2"/>
      <c r="CQ53" s="2"/>
      <c r="CR53" s="2"/>
      <c r="CS53" s="2"/>
      <c r="CT53" s="2"/>
      <c r="CU53" s="2"/>
      <c r="CV53" s="2"/>
      <c r="CW53" s="2"/>
      <c r="CX53" s="2"/>
      <c r="CY53" s="2"/>
    </row>
    <row r="54" spans="1:105" ht="12" customHeight="1">
      <c r="A54" s="454"/>
      <c r="B54" s="454"/>
      <c r="C54" s="454"/>
      <c r="D54" s="454"/>
      <c r="E54" s="454"/>
      <c r="F54" s="454" t="s">
        <v>462</v>
      </c>
      <c r="G54" s="454"/>
      <c r="H54" s="454"/>
      <c r="I54" s="454"/>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
      <c r="CG54" s="2"/>
      <c r="CH54" s="2"/>
      <c r="CI54" s="2"/>
      <c r="CJ54" s="2"/>
      <c r="CK54" s="2"/>
      <c r="CL54" s="2"/>
      <c r="CM54" s="2"/>
      <c r="CN54" s="2"/>
      <c r="CO54" s="2"/>
      <c r="CP54" s="2"/>
      <c r="CQ54" s="2"/>
      <c r="CR54" s="2"/>
      <c r="CS54" s="2"/>
      <c r="CT54" s="2"/>
      <c r="CU54" s="2"/>
      <c r="CV54" s="2"/>
      <c r="CW54" s="2"/>
      <c r="CX54" s="2"/>
      <c r="CY54" s="2"/>
    </row>
    <row r="55" spans="1:105" ht="12" customHeight="1">
      <c r="A55" s="454"/>
      <c r="B55" s="454"/>
      <c r="C55" s="454"/>
      <c r="D55" s="454"/>
      <c r="E55" s="454"/>
      <c r="F55" s="454" t="s">
        <v>657</v>
      </c>
      <c r="G55" s="454"/>
      <c r="H55" s="454"/>
      <c r="I55" s="454"/>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
      <c r="CG55" s="2"/>
      <c r="CH55" s="2"/>
      <c r="CI55" s="2"/>
      <c r="CJ55" s="2"/>
      <c r="CK55" s="2"/>
      <c r="CL55" s="2"/>
      <c r="CM55" s="2"/>
      <c r="CN55" s="2"/>
      <c r="CO55" s="2"/>
      <c r="CP55" s="2"/>
      <c r="CQ55" s="2"/>
      <c r="CR55" s="2"/>
      <c r="CS55" s="2"/>
      <c r="CT55" s="2"/>
      <c r="CU55" s="2"/>
      <c r="CV55" s="2"/>
      <c r="CW55" s="2"/>
      <c r="CX55" s="2"/>
      <c r="CY55" s="2"/>
    </row>
    <row r="56" spans="1:105" ht="12" customHeight="1">
      <c r="A56" s="454"/>
      <c r="B56" s="454"/>
      <c r="C56" s="454"/>
      <c r="D56" s="454"/>
      <c r="E56" s="454"/>
      <c r="F56" s="454" t="s">
        <v>202</v>
      </c>
      <c r="G56" s="454"/>
      <c r="H56" s="454"/>
      <c r="I56" s="454"/>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
      <c r="CG56" s="2"/>
      <c r="CH56" s="2"/>
      <c r="CI56" s="2"/>
      <c r="CJ56" s="2"/>
      <c r="CK56" s="2"/>
      <c r="CL56" s="2"/>
      <c r="CM56" s="2"/>
      <c r="CN56" s="2"/>
      <c r="CO56" s="2"/>
      <c r="CP56" s="2"/>
      <c r="CQ56" s="2"/>
      <c r="CR56" s="2"/>
      <c r="CS56" s="2"/>
      <c r="CT56" s="2"/>
      <c r="CU56" s="2"/>
      <c r="CV56" s="2"/>
      <c r="CW56" s="2"/>
      <c r="CX56" s="2"/>
      <c r="CY56" s="2"/>
    </row>
    <row r="57" spans="1:105" ht="12" customHeight="1">
      <c r="A57" s="454"/>
      <c r="B57" s="454"/>
      <c r="C57" s="454"/>
      <c r="D57" s="454"/>
      <c r="E57" s="454"/>
      <c r="F57" s="454" t="s">
        <v>658</v>
      </c>
      <c r="G57" s="454"/>
      <c r="H57" s="454"/>
      <c r="I57" s="454"/>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3"/>
      <c r="CG57" s="3"/>
      <c r="CH57" s="3"/>
    </row>
    <row r="58" spans="1:105" ht="12" customHeight="1">
      <c r="A58" s="454"/>
      <c r="B58" s="22"/>
      <c r="C58" s="22"/>
      <c r="D58" s="22"/>
      <c r="E58" s="22"/>
      <c r="F58" s="22" t="s">
        <v>659</v>
      </c>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3"/>
      <c r="CG58" s="3"/>
      <c r="CH58" s="3"/>
    </row>
    <row r="59" spans="1:105" ht="12" customHeight="1">
      <c r="A59" s="454"/>
      <c r="B59" s="22"/>
      <c r="C59" s="22"/>
      <c r="D59" s="22"/>
      <c r="E59" s="22"/>
      <c r="F59" s="22" t="s">
        <v>689</v>
      </c>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3"/>
      <c r="CG59" s="3"/>
      <c r="CH59" s="3"/>
    </row>
    <row r="60" spans="1:105" ht="12" customHeight="1">
      <c r="A60" s="454"/>
      <c r="B60" s="22"/>
      <c r="C60" s="22"/>
      <c r="D60" s="22"/>
      <c r="E60" s="22"/>
      <c r="F60" s="22" t="s">
        <v>201</v>
      </c>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3"/>
      <c r="CG60" s="3"/>
      <c r="CH60" s="3"/>
    </row>
    <row r="61" spans="1:105" ht="12" customHeight="1">
      <c r="A61" s="454"/>
      <c r="B61" s="22"/>
      <c r="C61" s="22"/>
      <c r="D61" s="22"/>
      <c r="E61" s="22"/>
      <c r="F61" s="22" t="s">
        <v>200</v>
      </c>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3"/>
      <c r="CG61" s="3"/>
      <c r="CH61" s="3"/>
    </row>
    <row r="62" spans="1:105" ht="12" customHeight="1">
      <c r="A62" s="454"/>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3"/>
      <c r="CG62" s="3"/>
      <c r="CH62" s="3"/>
    </row>
    <row r="63" spans="1:105" ht="12" customHeight="1">
      <c r="A63" s="454"/>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3"/>
      <c r="CG63" s="3"/>
      <c r="CH63" s="3"/>
    </row>
    <row r="64" spans="1:105" ht="12" customHeight="1">
      <c r="A64" s="454"/>
      <c r="B64" s="454"/>
      <c r="C64" s="454"/>
      <c r="D64" s="454" t="s">
        <v>1116</v>
      </c>
      <c r="E64" s="454"/>
      <c r="F64" s="454"/>
      <c r="G64" s="454"/>
      <c r="H64" s="454"/>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
      <c r="CG64" s="2"/>
      <c r="CH64" s="2"/>
      <c r="CI64" s="2"/>
      <c r="CJ64" s="2"/>
      <c r="CK64" s="2"/>
      <c r="CL64" s="2"/>
      <c r="CM64" s="2"/>
      <c r="CN64" s="2"/>
      <c r="CO64" s="2"/>
      <c r="CP64" s="2"/>
      <c r="CQ64" s="2"/>
      <c r="CR64" s="2"/>
      <c r="CS64" s="2"/>
      <c r="CT64" s="2"/>
      <c r="CU64" s="2"/>
      <c r="CV64" s="2"/>
      <c r="CW64" s="2"/>
      <c r="CX64" s="2"/>
      <c r="CY64" s="2"/>
    </row>
    <row r="65" spans="1:103" ht="12" customHeight="1">
      <c r="A65" s="454"/>
      <c r="B65" s="454"/>
      <c r="C65" s="454"/>
      <c r="D65" s="454"/>
      <c r="E65" s="454"/>
      <c r="F65" s="454"/>
      <c r="G65" s="454"/>
      <c r="H65" s="454"/>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
      <c r="CG65" s="2"/>
      <c r="CH65" s="2"/>
      <c r="CI65" s="2"/>
      <c r="CJ65" s="2"/>
      <c r="CK65" s="2"/>
      <c r="CL65" s="2"/>
      <c r="CM65" s="2"/>
      <c r="CN65" s="2"/>
      <c r="CO65" s="2"/>
      <c r="CP65" s="2"/>
      <c r="CQ65" s="2"/>
      <c r="CR65" s="2"/>
      <c r="CS65" s="2"/>
      <c r="CT65" s="2"/>
      <c r="CU65" s="2"/>
      <c r="CV65" s="2"/>
      <c r="CW65" s="2"/>
      <c r="CX65" s="2"/>
      <c r="CY65" s="2"/>
    </row>
    <row r="66" spans="1:103" ht="12" customHeight="1">
      <c r="A66" s="454"/>
      <c r="B66" s="454"/>
      <c r="C66" s="454"/>
      <c r="D66" s="454"/>
      <c r="E66" s="454" t="s">
        <v>199</v>
      </c>
      <c r="F66" s="454"/>
      <c r="G66" s="454"/>
      <c r="H66" s="454"/>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
      <c r="CG66" s="2"/>
      <c r="CH66" s="2"/>
      <c r="CI66" s="2"/>
      <c r="CJ66" s="2"/>
      <c r="CK66" s="2"/>
      <c r="CL66" s="2"/>
      <c r="CM66" s="2"/>
      <c r="CN66" s="2"/>
      <c r="CO66" s="2"/>
      <c r="CP66" s="2"/>
      <c r="CQ66" s="2"/>
      <c r="CR66" s="2"/>
      <c r="CS66" s="2"/>
      <c r="CT66" s="2"/>
      <c r="CU66" s="2"/>
      <c r="CV66" s="2"/>
      <c r="CW66" s="2"/>
      <c r="CX66" s="2"/>
      <c r="CY66" s="2"/>
    </row>
    <row r="67" spans="1:103" ht="12" customHeight="1">
      <c r="A67" s="454"/>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3"/>
    </row>
    <row r="68" spans="1:103" ht="12" customHeight="1">
      <c r="A68" s="454"/>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3"/>
    </row>
    <row r="69" spans="1:103" ht="12" customHeight="1">
      <c r="A69" s="454"/>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41"/>
      <c r="CG69" s="3"/>
      <c r="CH69" s="3"/>
    </row>
    <row r="70" spans="1:103" ht="12" customHeight="1">
      <c r="A70" s="454"/>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41"/>
      <c r="CG70" s="3"/>
      <c r="CH70" s="3"/>
    </row>
    <row r="71" spans="1:103" ht="12" customHeight="1">
      <c r="A71" s="454"/>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41"/>
      <c r="CG71" s="3"/>
      <c r="CH71" s="3"/>
    </row>
    <row r="72" spans="1:103" ht="12" customHeight="1">
      <c r="A72" s="454"/>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41"/>
      <c r="CG72" s="3"/>
      <c r="CH72" s="3"/>
    </row>
    <row r="73" spans="1:103" ht="12" customHeight="1">
      <c r="A73" s="454"/>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41"/>
      <c r="CG73" s="3"/>
      <c r="CH73" s="3"/>
    </row>
    <row r="74" spans="1:103" ht="12" customHeight="1">
      <c r="A74" s="454"/>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41"/>
      <c r="CG74" s="3"/>
      <c r="CH74" s="3"/>
    </row>
    <row r="75" spans="1:103" ht="12" customHeight="1">
      <c r="A75" s="454"/>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row>
    <row r="76" spans="1:103" ht="12" customHeight="1">
      <c r="A76" s="454"/>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
      <c r="CG76" s="2"/>
      <c r="CH76" s="2"/>
      <c r="CI76" s="2"/>
      <c r="CJ76" s="2"/>
      <c r="CK76" s="2"/>
      <c r="CL76" s="2"/>
      <c r="CM76" s="2"/>
      <c r="CN76" s="2"/>
      <c r="CO76" s="2"/>
      <c r="CP76" s="2"/>
      <c r="CQ76" s="2"/>
      <c r="CR76" s="2"/>
      <c r="CS76" s="2"/>
      <c r="CT76" s="2"/>
      <c r="CU76" s="2"/>
      <c r="CV76" s="2"/>
      <c r="CW76" s="2"/>
      <c r="CX76" s="2"/>
      <c r="CY76" s="2"/>
    </row>
    <row r="77" spans="1:103" ht="12" customHeight="1">
      <c r="A77" s="454"/>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
      <c r="CG77" s="2"/>
      <c r="CH77" s="2"/>
      <c r="CI77" s="2"/>
      <c r="CJ77" s="2"/>
      <c r="CK77" s="2"/>
      <c r="CL77" s="2"/>
      <c r="CM77" s="2"/>
      <c r="CN77" s="2"/>
      <c r="CO77" s="2"/>
      <c r="CP77" s="2"/>
      <c r="CQ77" s="2"/>
      <c r="CR77" s="2"/>
      <c r="CS77" s="2"/>
      <c r="CT77" s="2"/>
      <c r="CU77" s="2"/>
      <c r="CV77" s="2"/>
      <c r="CW77" s="2"/>
      <c r="CX77" s="2"/>
      <c r="CY77" s="2"/>
    </row>
    <row r="78" spans="1:103" ht="12" customHeight="1">
      <c r="A78" s="454"/>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3"/>
    </row>
    <row r="79" spans="1:103" ht="12" customHeight="1">
      <c r="A79" s="454"/>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41"/>
      <c r="CG79" s="3"/>
      <c r="CH79" s="3"/>
    </row>
    <row r="80" spans="1:103" ht="12" customHeight="1">
      <c r="A80" s="454"/>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41"/>
      <c r="CG80" s="3"/>
      <c r="CH80" s="3"/>
    </row>
    <row r="81" spans="1:86" ht="12" customHeight="1">
      <c r="A81" s="454"/>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41"/>
      <c r="CG81" s="3"/>
      <c r="CH81" s="3"/>
    </row>
    <row r="82" spans="1:86" ht="12" customHeight="1">
      <c r="A82" s="454"/>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row>
    <row r="83" spans="1:86" ht="12" customHeight="1">
      <c r="A83" s="454"/>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row>
    <row r="84" spans="1:86" ht="12" customHeight="1">
      <c r="A84" s="454"/>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row>
    <row r="85" spans="1:86" ht="12" customHeight="1">
      <c r="A85" s="454"/>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row>
    <row r="86" spans="1:86" ht="12" customHeight="1">
      <c r="A86" s="454"/>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row>
    <row r="87" spans="1:86" ht="12" customHeight="1">
      <c r="A87" s="454"/>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row>
    <row r="88" spans="1:86" ht="12" customHeight="1">
      <c r="A88" s="455"/>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138"/>
    </row>
    <row r="89" spans="1:86" ht="12" customHeight="1">
      <c r="A89" s="455"/>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8"/>
      <c r="BB89" s="138"/>
      <c r="BC89" s="138"/>
      <c r="BD89" s="138"/>
      <c r="BE89" s="138"/>
      <c r="BF89" s="138"/>
      <c r="BG89" s="138"/>
      <c r="BH89" s="138"/>
      <c r="BI89" s="138"/>
      <c r="BJ89" s="138"/>
      <c r="BK89" s="138"/>
      <c r="BL89" s="138"/>
      <c r="BM89" s="138"/>
      <c r="BN89" s="138"/>
      <c r="BO89" s="138"/>
      <c r="BP89" s="138"/>
      <c r="BQ89" s="138"/>
      <c r="BR89" s="138"/>
      <c r="BS89" s="138"/>
      <c r="BT89" s="138"/>
      <c r="BU89" s="138"/>
      <c r="BV89" s="138"/>
      <c r="BW89" s="138"/>
      <c r="BX89" s="138"/>
      <c r="BY89" s="138"/>
      <c r="BZ89" s="138"/>
      <c r="CA89" s="138"/>
      <c r="CB89" s="138"/>
      <c r="CC89" s="138"/>
      <c r="CD89" s="138"/>
      <c r="CE89" s="138"/>
    </row>
    <row r="90" spans="1:86" ht="12" customHeight="1">
      <c r="A90" s="455"/>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38"/>
      <c r="BC90" s="138"/>
      <c r="BD90" s="138"/>
      <c r="BE90" s="138"/>
      <c r="BF90" s="138"/>
      <c r="BG90" s="138"/>
      <c r="BH90" s="138"/>
      <c r="BI90" s="138"/>
      <c r="BJ90" s="138"/>
      <c r="BK90" s="138"/>
      <c r="BL90" s="138"/>
      <c r="BM90" s="138"/>
      <c r="BN90" s="138"/>
      <c r="BO90" s="138"/>
      <c r="BP90" s="138"/>
      <c r="BQ90" s="138"/>
      <c r="BR90" s="138"/>
      <c r="BS90" s="138"/>
      <c r="BT90" s="138"/>
      <c r="BU90" s="138"/>
      <c r="BV90" s="138"/>
      <c r="BW90" s="138"/>
      <c r="BX90" s="138"/>
      <c r="BY90" s="138"/>
      <c r="BZ90" s="138"/>
      <c r="CA90" s="138"/>
      <c r="CB90" s="138"/>
      <c r="CC90" s="138"/>
      <c r="CD90" s="138"/>
      <c r="CE90" s="138"/>
    </row>
    <row r="91" spans="1:86" ht="12" customHeight="1">
      <c r="A91" s="455"/>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38"/>
      <c r="BO91" s="138"/>
      <c r="BP91" s="138"/>
      <c r="BQ91" s="138"/>
      <c r="BR91" s="138"/>
      <c r="BS91" s="138"/>
      <c r="BT91" s="138"/>
      <c r="BU91" s="138"/>
      <c r="BV91" s="138"/>
      <c r="BW91" s="138"/>
      <c r="BX91" s="138"/>
      <c r="BY91" s="138"/>
      <c r="BZ91" s="138"/>
      <c r="CA91" s="138"/>
      <c r="CB91" s="138"/>
      <c r="CC91" s="138"/>
      <c r="CD91" s="138"/>
      <c r="CE91" s="138"/>
    </row>
    <row r="92" spans="1:86" ht="12" customHeight="1">
      <c r="A92" s="455"/>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38"/>
      <c r="BC92" s="138"/>
      <c r="BD92" s="138"/>
      <c r="BE92" s="138"/>
      <c r="BF92" s="138"/>
      <c r="BG92" s="138"/>
      <c r="BH92" s="138"/>
      <c r="BI92" s="138"/>
      <c r="BJ92" s="138"/>
      <c r="BK92" s="138"/>
      <c r="BL92" s="138"/>
      <c r="BM92" s="138"/>
      <c r="BN92" s="138"/>
      <c r="BO92" s="138"/>
      <c r="BP92" s="138"/>
      <c r="BQ92" s="138"/>
      <c r="BR92" s="138"/>
      <c r="BS92" s="138"/>
      <c r="BT92" s="138"/>
      <c r="BU92" s="138"/>
      <c r="BV92" s="138"/>
      <c r="BW92" s="138"/>
      <c r="BX92" s="138"/>
      <c r="BY92" s="138"/>
      <c r="BZ92" s="138"/>
      <c r="CA92" s="138"/>
      <c r="CB92" s="138"/>
      <c r="CC92" s="138"/>
      <c r="CD92" s="138"/>
      <c r="CE92" s="138"/>
    </row>
    <row r="93" spans="1:86" ht="12" customHeight="1">
      <c r="A93" s="455"/>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38"/>
      <c r="BB93" s="138"/>
      <c r="BC93" s="138"/>
      <c r="BD93" s="138"/>
      <c r="BE93" s="138"/>
      <c r="BF93" s="138"/>
      <c r="BG93" s="138"/>
      <c r="BH93" s="138"/>
      <c r="BI93" s="138"/>
      <c r="BJ93" s="138"/>
      <c r="BK93" s="138"/>
      <c r="BL93" s="138"/>
      <c r="BM93" s="138"/>
      <c r="BN93" s="138"/>
      <c r="BO93" s="138"/>
      <c r="BP93" s="138"/>
      <c r="BQ93" s="138"/>
      <c r="BR93" s="138"/>
      <c r="BS93" s="138"/>
      <c r="BT93" s="138"/>
      <c r="BU93" s="138"/>
      <c r="BV93" s="138"/>
      <c r="BW93" s="138"/>
      <c r="BX93" s="138"/>
      <c r="BY93" s="138"/>
      <c r="BZ93" s="138"/>
      <c r="CA93" s="138"/>
      <c r="CB93" s="138"/>
      <c r="CC93" s="138"/>
      <c r="CD93" s="138"/>
      <c r="CE93" s="138"/>
    </row>
    <row r="94" spans="1:86" ht="12" customHeight="1">
      <c r="A94" s="455"/>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138"/>
    </row>
    <row r="95" spans="1:86" ht="12" customHeight="1">
      <c r="A95" s="455"/>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38"/>
      <c r="BA95" s="138"/>
      <c r="BB95" s="138"/>
      <c r="BC95" s="138"/>
      <c r="BD95" s="138"/>
      <c r="BE95" s="138"/>
      <c r="BF95" s="138"/>
      <c r="BG95" s="138"/>
      <c r="BH95" s="138"/>
      <c r="BI95" s="138"/>
      <c r="BJ95" s="138"/>
      <c r="BK95" s="138"/>
      <c r="BL95" s="138"/>
      <c r="BM95" s="138"/>
      <c r="BN95" s="138"/>
      <c r="BO95" s="138"/>
      <c r="BP95" s="138"/>
      <c r="BQ95" s="138"/>
      <c r="BR95" s="138"/>
      <c r="BS95" s="138"/>
      <c r="BT95" s="138"/>
      <c r="BU95" s="138"/>
      <c r="BV95" s="138"/>
      <c r="BW95" s="138"/>
      <c r="BX95" s="138"/>
      <c r="BY95" s="138"/>
      <c r="BZ95" s="138"/>
      <c r="CA95" s="138"/>
      <c r="CB95" s="138"/>
      <c r="CC95" s="138"/>
      <c r="CD95" s="138"/>
      <c r="CE95" s="138"/>
    </row>
    <row r="96" spans="1:86" ht="12" customHeight="1">
      <c r="A96" s="455"/>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8"/>
      <c r="BG96" s="138"/>
      <c r="BH96" s="138"/>
      <c r="BI96" s="138"/>
      <c r="BJ96" s="138"/>
      <c r="BK96" s="138"/>
      <c r="BL96" s="138"/>
      <c r="BM96" s="138"/>
      <c r="BN96" s="138"/>
      <c r="BO96" s="138"/>
      <c r="BP96" s="138"/>
      <c r="BQ96" s="138"/>
      <c r="BR96" s="138"/>
      <c r="BS96" s="138"/>
      <c r="BT96" s="138"/>
      <c r="BU96" s="138"/>
      <c r="BV96" s="138"/>
      <c r="BW96" s="138"/>
      <c r="BX96" s="138"/>
      <c r="BY96" s="138"/>
      <c r="BZ96" s="138"/>
      <c r="CA96" s="138"/>
      <c r="CB96" s="138"/>
      <c r="CC96" s="138"/>
      <c r="CD96" s="138"/>
      <c r="CE96" s="138"/>
    </row>
    <row r="97" spans="1:83" ht="12" customHeight="1">
      <c r="A97" s="455"/>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c r="CA97" s="138"/>
      <c r="CB97" s="138"/>
      <c r="CC97" s="138"/>
      <c r="CD97" s="138"/>
      <c r="CE97" s="138"/>
    </row>
    <row r="98" spans="1:83" ht="12" customHeight="1">
      <c r="A98" s="455"/>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138"/>
    </row>
    <row r="99" spans="1:83" ht="12" customHeight="1">
      <c r="A99" s="455"/>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138"/>
    </row>
    <row r="100" spans="1:83" ht="12" customHeight="1">
      <c r="A100" s="455"/>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c r="BG100" s="138"/>
      <c r="BH100" s="138"/>
      <c r="BI100" s="138"/>
      <c r="BJ100" s="138"/>
      <c r="BK100" s="138"/>
      <c r="BL100" s="138"/>
      <c r="BM100" s="138"/>
      <c r="BN100" s="138"/>
      <c r="BO100" s="138"/>
      <c r="BP100" s="138"/>
      <c r="BQ100" s="138"/>
      <c r="BR100" s="138"/>
      <c r="BS100" s="138"/>
      <c r="BT100" s="138"/>
      <c r="BU100" s="138"/>
      <c r="BV100" s="138"/>
      <c r="BW100" s="138"/>
      <c r="BX100" s="138"/>
      <c r="BY100" s="138"/>
      <c r="BZ100" s="138"/>
      <c r="CA100" s="138"/>
      <c r="CB100" s="138"/>
      <c r="CC100" s="138"/>
      <c r="CD100" s="138"/>
      <c r="CE100" s="138"/>
    </row>
    <row r="101" spans="1:83" ht="12" customHeight="1">
      <c r="A101" s="455"/>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row>
    <row r="102" spans="1:83" ht="12" customHeight="1">
      <c r="A102" s="455"/>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8"/>
      <c r="BG102" s="138"/>
      <c r="BH102" s="138"/>
      <c r="BI102" s="138"/>
      <c r="BJ102" s="138"/>
      <c r="BK102" s="138"/>
      <c r="BL102" s="138"/>
      <c r="BM102" s="138"/>
      <c r="BN102" s="138"/>
      <c r="BO102" s="138"/>
      <c r="BP102" s="138"/>
      <c r="BQ102" s="138"/>
      <c r="BR102" s="138"/>
      <c r="BS102" s="138"/>
      <c r="BT102" s="138"/>
      <c r="BU102" s="138"/>
      <c r="BV102" s="138"/>
      <c r="BW102" s="138"/>
      <c r="BX102" s="138"/>
      <c r="BY102" s="138"/>
      <c r="BZ102" s="138"/>
      <c r="CA102" s="138"/>
      <c r="CB102" s="138"/>
      <c r="CC102" s="138"/>
      <c r="CD102" s="138"/>
      <c r="CE102" s="138"/>
    </row>
    <row r="103" spans="1:83" ht="12" customHeight="1">
      <c r="A103" s="455"/>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38"/>
      <c r="BC103" s="138"/>
      <c r="BD103" s="138"/>
      <c r="BE103" s="138"/>
      <c r="BF103" s="138"/>
      <c r="BG103" s="138"/>
      <c r="BH103" s="138"/>
      <c r="BI103" s="138"/>
      <c r="BJ103" s="138"/>
      <c r="BK103" s="138"/>
      <c r="BL103" s="138"/>
      <c r="BM103" s="138"/>
      <c r="BN103" s="138"/>
      <c r="BO103" s="138"/>
      <c r="BP103" s="138"/>
      <c r="BQ103" s="138"/>
      <c r="BR103" s="138"/>
      <c r="BS103" s="138"/>
      <c r="BT103" s="138"/>
      <c r="BU103" s="138"/>
      <c r="BV103" s="138"/>
      <c r="BW103" s="138"/>
      <c r="BX103" s="138"/>
      <c r="BY103" s="138"/>
      <c r="BZ103" s="138"/>
      <c r="CA103" s="138"/>
      <c r="CB103" s="138"/>
      <c r="CC103" s="138"/>
      <c r="CD103" s="138"/>
      <c r="CE103" s="138"/>
    </row>
    <row r="104" spans="1:83" ht="12" customHeight="1">
      <c r="A104" s="455"/>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8"/>
      <c r="BG104" s="138"/>
      <c r="BH104" s="138"/>
      <c r="BI104" s="138"/>
      <c r="BJ104" s="138"/>
      <c r="BK104" s="138"/>
      <c r="BL104" s="138"/>
      <c r="BM104" s="138"/>
      <c r="BN104" s="138"/>
      <c r="BO104" s="138"/>
      <c r="BP104" s="138"/>
      <c r="BQ104" s="138"/>
      <c r="BR104" s="138"/>
      <c r="BS104" s="138"/>
      <c r="BT104" s="138"/>
      <c r="BU104" s="138"/>
      <c r="BV104" s="138"/>
      <c r="BW104" s="138"/>
      <c r="BX104" s="138"/>
      <c r="BY104" s="138"/>
      <c r="BZ104" s="138"/>
      <c r="CA104" s="138"/>
      <c r="CB104" s="138"/>
      <c r="CC104" s="138"/>
      <c r="CD104" s="138"/>
      <c r="CE104" s="138"/>
    </row>
    <row r="105" spans="1:83" ht="12" customHeight="1">
      <c r="A105" s="455"/>
      <c r="B105" s="455"/>
      <c r="C105" s="454" t="s">
        <v>1117</v>
      </c>
      <c r="D105" s="455"/>
      <c r="E105" s="455"/>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38"/>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c r="CA105" s="138"/>
      <c r="CB105" s="138"/>
      <c r="CC105" s="138"/>
      <c r="CD105" s="138"/>
      <c r="CE105" s="138"/>
    </row>
    <row r="106" spans="1:83" ht="12" customHeight="1">
      <c r="A106" s="455"/>
      <c r="B106" s="455"/>
      <c r="C106" s="455"/>
      <c r="D106" s="455"/>
      <c r="E106" s="455"/>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8"/>
      <c r="BY106" s="138"/>
      <c r="BZ106" s="138"/>
      <c r="CA106" s="138"/>
      <c r="CB106" s="138"/>
      <c r="CC106" s="138"/>
      <c r="CD106" s="138"/>
      <c r="CE106" s="138"/>
    </row>
    <row r="107" spans="1:83" ht="12" customHeight="1">
      <c r="A107" s="455"/>
      <c r="B107" s="455"/>
      <c r="C107" s="454"/>
      <c r="D107" s="454" t="s">
        <v>1118</v>
      </c>
      <c r="E107" s="454"/>
      <c r="F107" s="22"/>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row>
    <row r="108" spans="1:83" ht="12" customHeight="1">
      <c r="A108" s="455"/>
      <c r="B108" s="455"/>
      <c r="C108" s="455"/>
      <c r="D108" s="454"/>
      <c r="E108" s="454"/>
      <c r="F108" s="22"/>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138"/>
    </row>
    <row r="109" spans="1:83" ht="12" customHeight="1">
      <c r="A109" s="455"/>
      <c r="B109" s="138"/>
      <c r="C109" s="138"/>
      <c r="D109" s="22"/>
      <c r="E109" s="22" t="s">
        <v>421</v>
      </c>
      <c r="F109" s="22"/>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c r="CA109" s="138"/>
      <c r="CB109" s="138"/>
      <c r="CC109" s="138"/>
      <c r="CD109" s="138"/>
      <c r="CE109" s="138"/>
    </row>
    <row r="110" spans="1:83" ht="12" customHeight="1">
      <c r="A110" s="455"/>
      <c r="B110" s="138"/>
      <c r="C110" s="138"/>
      <c r="D110" s="22"/>
      <c r="E110" s="22" t="s">
        <v>198</v>
      </c>
      <c r="F110" s="22"/>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c r="CA110" s="138"/>
      <c r="CB110" s="138"/>
      <c r="CC110" s="138"/>
      <c r="CD110" s="138"/>
      <c r="CE110" s="138"/>
    </row>
    <row r="111" spans="1:83" ht="12" customHeight="1">
      <c r="A111" s="455"/>
      <c r="B111" s="138"/>
      <c r="C111" s="138"/>
      <c r="D111" s="22"/>
      <c r="E111" s="22" t="s">
        <v>197</v>
      </c>
      <c r="F111" s="22"/>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c r="CA111" s="138"/>
      <c r="CB111" s="138"/>
      <c r="CC111" s="138"/>
      <c r="CD111" s="138"/>
      <c r="CE111" s="138"/>
    </row>
    <row r="112" spans="1:83" ht="12" customHeight="1">
      <c r="A112" s="455"/>
      <c r="B112" s="138"/>
      <c r="C112" s="138"/>
      <c r="D112" s="22"/>
      <c r="E112" s="22" t="s">
        <v>196</v>
      </c>
      <c r="F112" s="22"/>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8"/>
      <c r="BG112" s="138"/>
      <c r="BH112" s="138"/>
      <c r="BI112" s="138"/>
      <c r="BJ112" s="138"/>
      <c r="BK112" s="138"/>
      <c r="BL112" s="138"/>
      <c r="BM112" s="138"/>
      <c r="BN112" s="138"/>
      <c r="BO112" s="138"/>
      <c r="BP112" s="138"/>
      <c r="BQ112" s="138"/>
      <c r="BR112" s="138"/>
      <c r="BS112" s="138"/>
      <c r="BT112" s="138"/>
      <c r="BU112" s="138"/>
      <c r="BV112" s="138"/>
      <c r="BW112" s="138"/>
      <c r="BX112" s="138"/>
      <c r="BY112" s="138"/>
      <c r="BZ112" s="138"/>
      <c r="CA112" s="138"/>
      <c r="CB112" s="138"/>
      <c r="CC112" s="138"/>
      <c r="CD112" s="138"/>
      <c r="CE112" s="138"/>
    </row>
    <row r="113" spans="1:83" ht="12" customHeight="1">
      <c r="A113" s="455"/>
      <c r="B113" s="138"/>
      <c r="C113" s="138"/>
      <c r="D113" s="22"/>
      <c r="E113" s="22"/>
      <c r="F113" s="22"/>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row>
    <row r="114" spans="1:83" ht="12" customHeight="1">
      <c r="A114" s="455"/>
      <c r="B114" s="138"/>
      <c r="C114" s="138"/>
      <c r="D114" s="22"/>
      <c r="E114" s="22" t="s">
        <v>176</v>
      </c>
      <c r="F114" s="22"/>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8"/>
      <c r="BG114" s="138"/>
      <c r="BH114" s="138"/>
      <c r="BI114" s="138"/>
      <c r="BJ114" s="138"/>
      <c r="BK114" s="138"/>
      <c r="BL114" s="138"/>
      <c r="BM114" s="138"/>
      <c r="BN114" s="138"/>
      <c r="BO114" s="138"/>
      <c r="BP114" s="138"/>
      <c r="BQ114" s="138"/>
      <c r="BR114" s="138"/>
      <c r="BS114" s="138"/>
      <c r="BT114" s="138"/>
      <c r="BU114" s="138"/>
      <c r="BV114" s="138"/>
      <c r="BW114" s="138"/>
      <c r="BX114" s="138"/>
      <c r="BY114" s="138"/>
      <c r="BZ114" s="138"/>
      <c r="CA114" s="138"/>
      <c r="CB114" s="138"/>
      <c r="CC114" s="138"/>
      <c r="CD114" s="138"/>
      <c r="CE114" s="138"/>
    </row>
    <row r="115" spans="1:83" ht="12" customHeight="1">
      <c r="A115" s="454"/>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row>
    <row r="116" spans="1:83" ht="12" customHeight="1">
      <c r="A116" s="454"/>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row>
    <row r="117" spans="1:83" ht="12" customHeight="1">
      <c r="A117" s="454"/>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row>
    <row r="118" spans="1:83" ht="12" customHeight="1">
      <c r="A118" s="454"/>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row>
    <row r="119" spans="1:83" ht="12" customHeight="1">
      <c r="A119" s="454"/>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row>
    <row r="120" spans="1:83" ht="12" customHeight="1">
      <c r="A120" s="454"/>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row>
    <row r="121" spans="1:83" ht="12" customHeight="1">
      <c r="A121" s="454"/>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row>
    <row r="122" spans="1:83" ht="12" customHeight="1">
      <c r="A122" s="454"/>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row>
    <row r="123" spans="1:83" ht="12" customHeight="1">
      <c r="A123" s="454"/>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row>
    <row r="124" spans="1:83" ht="12" customHeight="1">
      <c r="A124" s="454"/>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row>
    <row r="125" spans="1:83" ht="12" customHeight="1">
      <c r="A125" s="454"/>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row>
    <row r="126" spans="1:83" ht="12" customHeight="1">
      <c r="A126" s="454"/>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row>
    <row r="127" spans="1:83" ht="12" customHeight="1">
      <c r="A127" s="454"/>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row>
    <row r="128" spans="1:83" ht="12" customHeight="1">
      <c r="A128" s="454"/>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row>
    <row r="129" spans="1:83" ht="12" customHeight="1">
      <c r="A129" s="454"/>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row>
    <row r="130" spans="1:83" ht="12" customHeight="1">
      <c r="A130" s="454"/>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row>
    <row r="131" spans="1:83" ht="12" customHeight="1">
      <c r="A131" s="454"/>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row>
    <row r="132" spans="1:83" ht="12" customHeight="1">
      <c r="A132" s="454"/>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row>
    <row r="133" spans="1:83" ht="12" customHeight="1">
      <c r="A133" s="454"/>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row>
    <row r="134" spans="1:83" ht="12" customHeight="1">
      <c r="A134" s="454"/>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row>
    <row r="135" spans="1:83" ht="12" customHeight="1">
      <c r="A135" s="454"/>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row>
    <row r="136" spans="1:83" ht="12" customHeight="1">
      <c r="A136" s="454"/>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row>
    <row r="137" spans="1:83" ht="12" customHeight="1">
      <c r="A137" s="454"/>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row>
    <row r="138" spans="1:83" ht="12" customHeight="1">
      <c r="A138" s="454"/>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row>
    <row r="139" spans="1:83" ht="12" customHeight="1">
      <c r="A139" s="454"/>
      <c r="B139" s="412"/>
      <c r="C139" s="412"/>
      <c r="D139" s="412"/>
      <c r="E139" s="412"/>
      <c r="F139" s="412"/>
      <c r="G139" s="412"/>
      <c r="H139" s="412"/>
      <c r="I139" s="412"/>
      <c r="J139" s="412"/>
      <c r="K139" s="412"/>
      <c r="L139" s="412"/>
      <c r="M139" s="412"/>
      <c r="N139" s="412"/>
      <c r="O139" s="412"/>
      <c r="P139" s="412"/>
      <c r="Q139" s="412"/>
      <c r="R139" s="412"/>
      <c r="S139" s="412"/>
      <c r="T139" s="412"/>
      <c r="U139" s="412"/>
      <c r="V139" s="412"/>
      <c r="W139" s="412"/>
      <c r="X139" s="412"/>
      <c r="Y139" s="412"/>
      <c r="Z139" s="412"/>
      <c r="AA139" s="412"/>
      <c r="AB139" s="412"/>
      <c r="AC139" s="412"/>
      <c r="AD139" s="412"/>
      <c r="AE139" s="412"/>
      <c r="AF139" s="412"/>
      <c r="AG139" s="412"/>
      <c r="AH139" s="412"/>
      <c r="AI139" s="412"/>
      <c r="AJ139" s="412"/>
      <c r="AK139" s="412"/>
      <c r="AL139" s="412"/>
      <c r="AM139" s="412"/>
      <c r="AN139" s="412"/>
      <c r="AO139" s="412"/>
      <c r="AP139" s="412"/>
      <c r="AQ139" s="412"/>
      <c r="AR139" s="412"/>
      <c r="AS139" s="412"/>
      <c r="AT139" s="412"/>
      <c r="AU139" s="412"/>
      <c r="AV139" s="412"/>
      <c r="AW139" s="412"/>
      <c r="AX139" s="412"/>
      <c r="AY139" s="412"/>
      <c r="AZ139" s="412"/>
      <c r="BA139" s="412"/>
      <c r="BB139" s="412"/>
      <c r="BC139" s="412"/>
      <c r="BD139" s="412"/>
      <c r="BE139" s="412"/>
      <c r="BF139" s="412"/>
      <c r="BG139" s="412"/>
      <c r="BH139" s="412"/>
      <c r="BI139" s="412"/>
      <c r="BJ139" s="412"/>
      <c r="BK139" s="412"/>
      <c r="BL139" s="412"/>
      <c r="BM139" s="412"/>
      <c r="BN139" s="412"/>
      <c r="BO139" s="412"/>
      <c r="BP139" s="412"/>
      <c r="BQ139" s="412"/>
      <c r="BR139" s="412"/>
      <c r="BS139" s="412"/>
      <c r="BT139" s="412"/>
      <c r="BU139" s="412"/>
      <c r="BV139" s="412"/>
      <c r="BW139" s="412"/>
      <c r="BX139" s="412"/>
      <c r="BY139" s="412"/>
      <c r="BZ139" s="412"/>
      <c r="CA139" s="412"/>
      <c r="CB139" s="412"/>
      <c r="CC139" s="412"/>
      <c r="CD139" s="412"/>
      <c r="CE139" s="412"/>
    </row>
    <row r="140" spans="1:83" ht="12" customHeight="1">
      <c r="A140" s="454"/>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row>
    <row r="141" spans="1:83" ht="12" customHeight="1">
      <c r="A141" s="454"/>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row>
    <row r="142" spans="1:83" ht="12" customHeight="1">
      <c r="A142" s="455"/>
      <c r="B142" s="455"/>
      <c r="C142" s="455"/>
      <c r="D142" s="454" t="s">
        <v>1119</v>
      </c>
      <c r="E142" s="454"/>
      <c r="F142" s="454"/>
      <c r="G142" s="455"/>
      <c r="H142" s="455"/>
      <c r="I142" s="455"/>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8"/>
      <c r="BB142" s="138"/>
      <c r="BC142" s="138"/>
      <c r="BD142" s="138"/>
      <c r="BE142" s="138"/>
      <c r="BF142" s="138"/>
      <c r="BG142" s="138"/>
      <c r="BH142" s="138"/>
      <c r="BI142" s="138"/>
      <c r="BJ142" s="138"/>
      <c r="BK142" s="138"/>
      <c r="BL142" s="138"/>
      <c r="BM142" s="138"/>
      <c r="BN142" s="138"/>
      <c r="BO142" s="138"/>
      <c r="BP142" s="138"/>
      <c r="BQ142" s="138"/>
      <c r="BR142" s="138"/>
      <c r="BS142" s="138"/>
      <c r="BT142" s="138"/>
      <c r="BU142" s="138"/>
      <c r="BV142" s="138"/>
      <c r="BW142" s="138"/>
      <c r="BX142" s="138"/>
      <c r="BY142" s="138"/>
      <c r="BZ142" s="138"/>
      <c r="CA142" s="138"/>
      <c r="CB142" s="138"/>
      <c r="CC142" s="138"/>
      <c r="CD142" s="138"/>
      <c r="CE142" s="138"/>
    </row>
    <row r="143" spans="1:83" ht="12" customHeight="1">
      <c r="A143" s="455"/>
      <c r="B143" s="455"/>
      <c r="C143" s="455"/>
      <c r="D143" s="454"/>
      <c r="E143" s="454"/>
      <c r="F143" s="454"/>
      <c r="G143" s="455"/>
      <c r="H143" s="455"/>
      <c r="I143" s="455"/>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38"/>
      <c r="CB143" s="138"/>
      <c r="CC143" s="138"/>
      <c r="CD143" s="138"/>
      <c r="CE143" s="138"/>
    </row>
    <row r="144" spans="1:83" ht="12" customHeight="1">
      <c r="A144" s="455"/>
      <c r="B144" s="455"/>
      <c r="C144" s="455"/>
      <c r="D144" s="454"/>
      <c r="E144" s="454" t="s">
        <v>175</v>
      </c>
      <c r="F144" s="454"/>
      <c r="G144" s="455"/>
      <c r="H144" s="455"/>
      <c r="I144" s="455"/>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38"/>
      <c r="BB144" s="138"/>
      <c r="BC144" s="138"/>
      <c r="BD144" s="138"/>
      <c r="BE144" s="138"/>
      <c r="BF144" s="138"/>
      <c r="BG144" s="138"/>
      <c r="BH144" s="138"/>
      <c r="BI144" s="138"/>
      <c r="BJ144" s="138"/>
      <c r="BK144" s="138"/>
      <c r="BL144" s="138"/>
      <c r="BM144" s="138"/>
      <c r="BN144" s="138"/>
      <c r="BO144" s="138"/>
      <c r="BP144" s="138"/>
      <c r="BQ144" s="138"/>
      <c r="BR144" s="138"/>
      <c r="BS144" s="138"/>
      <c r="BT144" s="138"/>
      <c r="BU144" s="138"/>
      <c r="BV144" s="138"/>
      <c r="BW144" s="138"/>
      <c r="BX144" s="138"/>
      <c r="BY144" s="138"/>
      <c r="BZ144" s="138"/>
      <c r="CA144" s="138"/>
      <c r="CB144" s="138"/>
      <c r="CC144" s="138"/>
      <c r="CD144" s="138"/>
      <c r="CE144" s="138"/>
    </row>
    <row r="145" spans="1:83" ht="12" customHeight="1">
      <c r="A145" s="455"/>
      <c r="B145" s="455"/>
      <c r="C145" s="455"/>
      <c r="D145" s="454"/>
      <c r="E145" s="454"/>
      <c r="F145" s="454"/>
      <c r="G145" s="455"/>
      <c r="H145" s="455"/>
      <c r="I145" s="455"/>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row>
    <row r="146" spans="1:83" ht="12" customHeight="1">
      <c r="A146" s="455"/>
      <c r="B146" s="455"/>
      <c r="C146" s="455"/>
      <c r="D146" s="455"/>
      <c r="E146" s="455"/>
      <c r="F146" s="454" t="s">
        <v>1120</v>
      </c>
      <c r="G146" s="455"/>
      <c r="H146" s="455"/>
      <c r="I146" s="455"/>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8"/>
      <c r="BB146" s="138"/>
      <c r="BC146" s="138"/>
      <c r="BD146" s="138"/>
      <c r="BE146" s="138"/>
      <c r="BF146" s="138"/>
      <c r="BG146" s="138"/>
      <c r="BH146" s="138"/>
      <c r="BI146" s="138"/>
      <c r="BJ146" s="138"/>
      <c r="BK146" s="138"/>
      <c r="BL146" s="138"/>
      <c r="BM146" s="138"/>
      <c r="BN146" s="138"/>
      <c r="BO146" s="138"/>
      <c r="BP146" s="138"/>
      <c r="BQ146" s="138"/>
      <c r="BR146" s="138"/>
      <c r="BS146" s="138"/>
      <c r="BT146" s="138"/>
      <c r="BU146" s="138"/>
      <c r="BV146" s="138"/>
      <c r="BW146" s="138"/>
      <c r="BX146" s="138"/>
      <c r="BY146" s="138"/>
      <c r="BZ146" s="138"/>
      <c r="CA146" s="138"/>
      <c r="CB146" s="138"/>
      <c r="CC146" s="138"/>
      <c r="CD146" s="138"/>
      <c r="CE146" s="138"/>
    </row>
    <row r="147" spans="1:83" ht="12" customHeight="1">
      <c r="A147" s="455"/>
      <c r="B147" s="455"/>
      <c r="C147" s="455"/>
      <c r="D147" s="454"/>
      <c r="E147" s="454"/>
      <c r="F147" s="454" t="s">
        <v>690</v>
      </c>
      <c r="G147" s="455"/>
      <c r="H147" s="455"/>
      <c r="I147" s="455"/>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38"/>
      <c r="BB147" s="138"/>
      <c r="BC147" s="138"/>
      <c r="BD147" s="138"/>
      <c r="BE147" s="138"/>
      <c r="BF147" s="138"/>
      <c r="BG147" s="138"/>
      <c r="BH147" s="138"/>
      <c r="BI147" s="138"/>
      <c r="BJ147" s="138"/>
      <c r="BK147" s="138"/>
      <c r="BL147" s="138"/>
      <c r="BM147" s="138"/>
      <c r="BN147" s="138"/>
      <c r="BO147" s="138"/>
      <c r="BP147" s="138"/>
      <c r="BQ147" s="138"/>
      <c r="BR147" s="138"/>
      <c r="BS147" s="138"/>
      <c r="BT147" s="138"/>
      <c r="BU147" s="138"/>
      <c r="BV147" s="138"/>
      <c r="BW147" s="138"/>
      <c r="BX147" s="138"/>
      <c r="BY147" s="138"/>
      <c r="BZ147" s="138"/>
      <c r="CA147" s="138"/>
      <c r="CB147" s="138"/>
      <c r="CC147" s="138"/>
      <c r="CD147" s="138"/>
      <c r="CE147" s="138"/>
    </row>
    <row r="148" spans="1:83" ht="12" customHeight="1">
      <c r="A148" s="455"/>
      <c r="B148" s="455"/>
      <c r="C148" s="455"/>
      <c r="D148" s="454"/>
      <c r="E148" s="454"/>
      <c r="F148" s="454" t="s">
        <v>691</v>
      </c>
      <c r="G148" s="455"/>
      <c r="H148" s="455"/>
      <c r="I148" s="455"/>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38"/>
      <c r="BC148" s="138"/>
      <c r="BD148" s="138"/>
      <c r="BE148" s="138"/>
      <c r="BF148" s="138"/>
      <c r="BG148" s="138"/>
      <c r="BH148" s="138"/>
      <c r="BI148" s="138"/>
      <c r="BJ148" s="138"/>
      <c r="BK148" s="138"/>
      <c r="BL148" s="138"/>
      <c r="BM148" s="138"/>
      <c r="BN148" s="138"/>
      <c r="BO148" s="138"/>
      <c r="BP148" s="138"/>
      <c r="BQ148" s="138"/>
      <c r="BR148" s="138"/>
      <c r="BS148" s="138"/>
      <c r="BT148" s="138"/>
      <c r="BU148" s="138"/>
      <c r="BV148" s="138"/>
      <c r="BW148" s="138"/>
      <c r="BX148" s="138"/>
      <c r="BY148" s="138"/>
      <c r="BZ148" s="138"/>
      <c r="CA148" s="138"/>
      <c r="CB148" s="138"/>
      <c r="CC148" s="138"/>
      <c r="CD148" s="138"/>
      <c r="CE148" s="138"/>
    </row>
    <row r="149" spans="1:83" ht="12" customHeight="1">
      <c r="A149" s="455"/>
      <c r="B149" s="455"/>
      <c r="C149" s="455"/>
      <c r="D149" s="454"/>
      <c r="E149" s="454"/>
      <c r="F149" s="454" t="s">
        <v>195</v>
      </c>
      <c r="G149" s="455"/>
      <c r="H149" s="455"/>
      <c r="I149" s="455"/>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38"/>
      <c r="BC149" s="138"/>
      <c r="BD149" s="138"/>
      <c r="BE149" s="138"/>
      <c r="BF149" s="138"/>
      <c r="BG149" s="138"/>
      <c r="BH149" s="138"/>
      <c r="BI149" s="138"/>
      <c r="BJ149" s="138"/>
      <c r="BK149" s="138"/>
      <c r="BL149" s="138"/>
      <c r="BM149" s="138"/>
      <c r="BN149" s="138"/>
      <c r="BO149" s="138"/>
      <c r="BP149" s="138"/>
      <c r="BQ149" s="138"/>
      <c r="BR149" s="138"/>
      <c r="BS149" s="138"/>
      <c r="BT149" s="138"/>
      <c r="BU149" s="138"/>
      <c r="BV149" s="138"/>
      <c r="BW149" s="138"/>
      <c r="BX149" s="138"/>
      <c r="BY149" s="138"/>
      <c r="BZ149" s="138"/>
      <c r="CA149" s="138"/>
      <c r="CB149" s="138"/>
      <c r="CC149" s="138"/>
      <c r="CD149" s="138"/>
      <c r="CE149" s="138"/>
    </row>
    <row r="150" spans="1:83" ht="12" customHeight="1">
      <c r="A150" s="455"/>
      <c r="B150" s="455"/>
      <c r="C150" s="455"/>
      <c r="D150" s="454"/>
      <c r="E150" s="454"/>
      <c r="F150" s="454" t="s">
        <v>194</v>
      </c>
      <c r="G150" s="455"/>
      <c r="H150" s="455"/>
      <c r="I150" s="455"/>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38"/>
      <c r="BC150" s="138"/>
      <c r="BD150" s="138"/>
      <c r="BE150" s="138"/>
      <c r="BF150" s="138"/>
      <c r="BG150" s="138"/>
      <c r="BH150" s="138"/>
      <c r="BI150" s="138"/>
      <c r="BJ150" s="138"/>
      <c r="BK150" s="138"/>
      <c r="BL150" s="138"/>
      <c r="BM150" s="138"/>
      <c r="BN150" s="138"/>
      <c r="BO150" s="138"/>
      <c r="BP150" s="138"/>
      <c r="BQ150" s="138"/>
      <c r="BR150" s="138"/>
      <c r="BS150" s="138"/>
      <c r="BT150" s="138"/>
      <c r="BU150" s="138"/>
      <c r="BV150" s="138"/>
      <c r="BW150" s="138"/>
      <c r="BX150" s="138"/>
      <c r="BY150" s="138"/>
      <c r="BZ150" s="138"/>
      <c r="CA150" s="138"/>
      <c r="CB150" s="138"/>
      <c r="CC150" s="138"/>
      <c r="CD150" s="138"/>
      <c r="CE150" s="138"/>
    </row>
    <row r="151" spans="1:83" ht="12" customHeight="1">
      <c r="A151" s="455"/>
      <c r="B151" s="455"/>
      <c r="C151" s="455"/>
      <c r="D151" s="454"/>
      <c r="E151" s="454"/>
      <c r="F151" s="454" t="s">
        <v>692</v>
      </c>
      <c r="G151" s="455"/>
      <c r="H151" s="455"/>
      <c r="I151" s="455"/>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row>
    <row r="152" spans="1:83" ht="12" customHeight="1">
      <c r="A152" s="455"/>
      <c r="B152" s="455"/>
      <c r="C152" s="455"/>
      <c r="D152" s="454"/>
      <c r="E152" s="454"/>
      <c r="F152" s="454" t="s">
        <v>193</v>
      </c>
      <c r="G152" s="455"/>
      <c r="H152" s="455"/>
      <c r="I152" s="455"/>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38"/>
      <c r="BC152" s="138"/>
      <c r="BD152" s="138"/>
      <c r="BE152" s="138"/>
      <c r="BF152" s="138"/>
      <c r="BG152" s="138"/>
      <c r="BH152" s="138"/>
      <c r="BI152" s="138"/>
      <c r="BJ152" s="138"/>
      <c r="BK152" s="138"/>
      <c r="BL152" s="138"/>
      <c r="BM152" s="138"/>
      <c r="BN152" s="138"/>
      <c r="BO152" s="138"/>
      <c r="BP152" s="138"/>
      <c r="BQ152" s="138"/>
      <c r="BR152" s="138"/>
      <c r="BS152" s="138"/>
      <c r="BT152" s="138"/>
      <c r="BU152" s="138"/>
      <c r="BV152" s="138"/>
      <c r="BW152" s="138"/>
      <c r="BX152" s="138"/>
      <c r="BY152" s="138"/>
      <c r="BZ152" s="138"/>
      <c r="CA152" s="138"/>
      <c r="CB152" s="138"/>
      <c r="CC152" s="138"/>
      <c r="CD152" s="138"/>
      <c r="CE152" s="138"/>
    </row>
    <row r="153" spans="1:83" ht="12" customHeight="1">
      <c r="A153" s="455"/>
      <c r="B153" s="455"/>
      <c r="C153" s="455"/>
      <c r="D153" s="454"/>
      <c r="E153" s="454"/>
      <c r="F153" s="454" t="s">
        <v>660</v>
      </c>
      <c r="G153" s="455"/>
      <c r="H153" s="455"/>
      <c r="I153" s="455"/>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c r="CA153" s="138"/>
      <c r="CB153" s="138"/>
      <c r="CC153" s="138"/>
      <c r="CD153" s="138"/>
      <c r="CE153" s="138"/>
    </row>
    <row r="154" spans="1:83" ht="12" customHeight="1">
      <c r="A154" s="455"/>
      <c r="B154" s="455"/>
      <c r="C154" s="455"/>
      <c r="D154" s="454"/>
      <c r="E154" s="454"/>
      <c r="F154" s="454" t="s">
        <v>1121</v>
      </c>
      <c r="G154" s="455"/>
      <c r="H154" s="455"/>
      <c r="I154" s="455"/>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c r="CA154" s="138"/>
      <c r="CB154" s="138"/>
      <c r="CC154" s="138"/>
      <c r="CD154" s="138"/>
      <c r="CE154" s="138"/>
    </row>
    <row r="155" spans="1:83" ht="12" customHeight="1">
      <c r="A155" s="455"/>
      <c r="B155" s="455"/>
      <c r="C155" s="455"/>
      <c r="D155" s="454"/>
      <c r="E155" s="454"/>
      <c r="F155" s="454" t="s">
        <v>661</v>
      </c>
      <c r="G155" s="455"/>
      <c r="H155" s="455"/>
      <c r="I155" s="455"/>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c r="CA155" s="138"/>
      <c r="CB155" s="138"/>
      <c r="CC155" s="138"/>
      <c r="CD155" s="138"/>
      <c r="CE155" s="138"/>
    </row>
    <row r="156" spans="1:83" ht="12" customHeight="1">
      <c r="A156" s="455"/>
      <c r="B156" s="455"/>
      <c r="C156" s="455"/>
      <c r="D156" s="454"/>
      <c r="E156" s="454"/>
      <c r="F156" s="454"/>
      <c r="G156" s="455"/>
      <c r="H156" s="455"/>
      <c r="I156" s="455"/>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row>
    <row r="157" spans="1:83" ht="12" customHeight="1">
      <c r="A157" s="455"/>
      <c r="B157" s="455"/>
      <c r="C157" s="455"/>
      <c r="D157" s="454"/>
      <c r="E157" s="454"/>
      <c r="F157" s="454"/>
      <c r="G157" s="455"/>
      <c r="H157" s="455"/>
      <c r="I157" s="455"/>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row>
    <row r="158" spans="1:83" ht="12" customHeight="1">
      <c r="A158" s="455"/>
      <c r="B158" s="455"/>
      <c r="C158" s="455"/>
      <c r="D158" s="454"/>
      <c r="E158" s="454"/>
      <c r="F158" s="454"/>
      <c r="G158" s="455"/>
      <c r="H158" s="455"/>
      <c r="I158" s="455"/>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row>
    <row r="159" spans="1:83" ht="12" customHeight="1">
      <c r="A159" s="455"/>
      <c r="B159" s="455"/>
      <c r="C159" s="455"/>
      <c r="D159" s="454" t="s">
        <v>1122</v>
      </c>
      <c r="E159" s="454"/>
      <c r="F159" s="454"/>
      <c r="G159" s="455"/>
      <c r="H159" s="455"/>
      <c r="I159" s="455"/>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c r="CA159" s="138"/>
      <c r="CB159" s="138"/>
      <c r="CC159" s="138"/>
      <c r="CD159" s="138"/>
      <c r="CE159" s="138"/>
    </row>
    <row r="160" spans="1:83" ht="12" customHeight="1">
      <c r="A160" s="455"/>
      <c r="B160" s="455"/>
      <c r="C160" s="455"/>
      <c r="D160" s="454"/>
      <c r="E160" s="454"/>
      <c r="F160" s="454"/>
      <c r="G160" s="455"/>
      <c r="H160" s="455"/>
      <c r="I160" s="455"/>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row>
    <row r="161" spans="1:83" ht="12" customHeight="1">
      <c r="A161" s="455"/>
      <c r="B161" s="138"/>
      <c r="C161" s="138"/>
      <c r="D161" s="22"/>
      <c r="E161" s="22" t="s">
        <v>192</v>
      </c>
      <c r="F161" s="22"/>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row>
    <row r="162" spans="1:83" ht="12" customHeight="1">
      <c r="A162" s="455"/>
      <c r="B162" s="138"/>
      <c r="C162" s="138"/>
      <c r="D162" s="22"/>
      <c r="E162" s="22"/>
      <c r="F162" s="22"/>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c r="CA162" s="138"/>
      <c r="CB162" s="138"/>
      <c r="CC162" s="138"/>
      <c r="CD162" s="138"/>
      <c r="CE162" s="138"/>
    </row>
    <row r="163" spans="1:83" ht="12" customHeight="1">
      <c r="A163" s="455"/>
      <c r="B163" s="138"/>
      <c r="C163" s="138"/>
      <c r="D163" s="22"/>
      <c r="E163" s="22"/>
      <c r="F163" s="22"/>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row>
    <row r="164" spans="1:83" ht="12" customHeight="1">
      <c r="A164" s="455"/>
      <c r="B164" s="138"/>
      <c r="C164" s="138"/>
      <c r="D164" s="22"/>
      <c r="E164" s="22"/>
      <c r="F164" s="22"/>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row>
    <row r="165" spans="1:83" ht="12" customHeight="1">
      <c r="A165" s="455"/>
      <c r="B165" s="138"/>
      <c r="C165" s="138"/>
      <c r="D165" s="22"/>
      <c r="E165" s="22"/>
      <c r="F165" s="22"/>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row>
    <row r="166" spans="1:83" ht="12" customHeight="1">
      <c r="A166" s="455"/>
      <c r="B166" s="138"/>
      <c r="C166" s="138"/>
      <c r="D166" s="22"/>
      <c r="E166" s="22"/>
      <c r="F166" s="22"/>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row>
    <row r="167" spans="1:83" ht="12" customHeight="1">
      <c r="A167" s="455"/>
      <c r="B167" s="138"/>
      <c r="C167" s="138"/>
      <c r="D167" s="22"/>
      <c r="E167" s="22"/>
      <c r="F167" s="22"/>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row>
    <row r="168" spans="1:83" ht="12" customHeight="1">
      <c r="A168" s="455"/>
      <c r="B168" s="138"/>
      <c r="C168" s="138"/>
      <c r="D168" s="22"/>
      <c r="E168" s="22"/>
      <c r="F168" s="22"/>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row>
    <row r="169" spans="1:83" ht="12" customHeight="1">
      <c r="A169" s="455"/>
      <c r="B169" s="138"/>
      <c r="C169" s="138"/>
      <c r="D169" s="22"/>
      <c r="E169" s="22"/>
      <c r="F169" s="22"/>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row>
    <row r="170" spans="1:83" ht="12" customHeight="1">
      <c r="A170" s="455"/>
      <c r="B170" s="138"/>
      <c r="C170" s="138"/>
      <c r="D170" s="22"/>
      <c r="E170" s="22"/>
      <c r="F170" s="22"/>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row>
    <row r="171" spans="1:83" ht="12" customHeight="1">
      <c r="A171" s="455"/>
      <c r="B171" s="138"/>
      <c r="C171" s="138"/>
      <c r="D171" s="22"/>
      <c r="E171" s="22"/>
      <c r="F171" s="22"/>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row>
    <row r="172" spans="1:83" ht="12" customHeight="1">
      <c r="A172" s="455"/>
      <c r="B172" s="138"/>
      <c r="C172" s="138"/>
      <c r="D172" s="22"/>
      <c r="E172" s="22"/>
      <c r="F172" s="22"/>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row>
    <row r="173" spans="1:83" ht="12" customHeight="1">
      <c r="A173" s="455"/>
      <c r="B173" s="138"/>
      <c r="C173" s="138"/>
      <c r="D173" s="22"/>
      <c r="E173" s="22"/>
      <c r="F173" s="22"/>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row>
    <row r="174" spans="1:83" ht="12" customHeight="1">
      <c r="A174" s="455"/>
      <c r="B174" s="138"/>
      <c r="C174" s="138"/>
      <c r="D174" s="22"/>
      <c r="E174" s="22"/>
      <c r="F174" s="22"/>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row>
    <row r="175" spans="1:83" ht="12" customHeight="1">
      <c r="A175" s="455"/>
      <c r="B175" s="138"/>
      <c r="C175" s="138"/>
      <c r="D175" s="22"/>
      <c r="E175" s="22"/>
      <c r="F175" s="22"/>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row>
    <row r="176" spans="1:83" ht="12" customHeight="1">
      <c r="A176" s="455"/>
      <c r="B176" s="138"/>
      <c r="C176" s="138"/>
      <c r="D176" s="22"/>
      <c r="E176" s="22"/>
      <c r="F176" s="22"/>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row>
    <row r="177" spans="1:83" ht="12" customHeight="1">
      <c r="A177" s="455"/>
      <c r="B177" s="138"/>
      <c r="C177" s="138"/>
      <c r="D177" s="22"/>
      <c r="E177" s="22"/>
      <c r="F177" s="22"/>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row>
    <row r="178" spans="1:83" ht="12" customHeight="1">
      <c r="A178" s="455"/>
      <c r="B178" s="138"/>
      <c r="C178" s="138"/>
      <c r="D178" s="22"/>
      <c r="E178" s="22"/>
      <c r="F178" s="22"/>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row>
    <row r="179" spans="1:83" ht="12" customHeight="1">
      <c r="A179" s="455"/>
      <c r="B179" s="138"/>
      <c r="C179" s="138"/>
      <c r="D179" s="22"/>
      <c r="E179" s="22"/>
      <c r="F179" s="22"/>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row>
    <row r="180" spans="1:83" ht="12" customHeight="1">
      <c r="A180" s="455"/>
      <c r="B180" s="138"/>
      <c r="C180" s="138"/>
      <c r="D180" s="22"/>
      <c r="E180" s="22"/>
      <c r="F180" s="22"/>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row>
    <row r="181" spans="1:83" ht="12" customHeight="1">
      <c r="A181" s="455"/>
      <c r="B181" s="138"/>
      <c r="C181" s="138"/>
      <c r="D181" s="22"/>
      <c r="E181" s="22"/>
      <c r="F181" s="22"/>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row>
    <row r="182" spans="1:83" ht="12" customHeight="1">
      <c r="A182" s="455"/>
      <c r="B182" s="138"/>
      <c r="C182" s="138"/>
      <c r="D182" s="22"/>
      <c r="E182" s="22"/>
      <c r="F182" s="22"/>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row>
    <row r="183" spans="1:83" ht="12" customHeight="1">
      <c r="A183" s="455"/>
      <c r="B183" s="138"/>
      <c r="C183" s="138"/>
      <c r="D183" s="22"/>
      <c r="E183" s="22"/>
      <c r="F183" s="22"/>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row>
    <row r="184" spans="1:83" ht="12" customHeight="1">
      <c r="A184" s="455"/>
      <c r="B184" s="138"/>
      <c r="C184" s="138"/>
      <c r="D184" s="22"/>
      <c r="E184" s="22"/>
      <c r="F184" s="22"/>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row>
    <row r="185" spans="1:83" ht="12" customHeight="1">
      <c r="A185" s="455"/>
      <c r="B185" s="138"/>
      <c r="C185" s="138"/>
      <c r="D185" s="22"/>
      <c r="E185" s="22"/>
      <c r="F185" s="22"/>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row>
    <row r="186" spans="1:83" ht="12" customHeight="1">
      <c r="A186" s="455"/>
      <c r="B186" s="138"/>
      <c r="C186" s="138"/>
      <c r="D186" s="22"/>
      <c r="E186" s="22"/>
      <c r="F186" s="22"/>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row>
    <row r="187" spans="1:83" ht="12" customHeight="1">
      <c r="A187" s="455"/>
      <c r="B187" s="138"/>
      <c r="C187" s="138"/>
      <c r="D187" s="22"/>
      <c r="E187" s="22"/>
      <c r="F187" s="22"/>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row>
    <row r="188" spans="1:83" ht="12" customHeight="1">
      <c r="A188" s="455"/>
      <c r="B188" s="138"/>
      <c r="C188" s="138"/>
      <c r="D188" s="22"/>
      <c r="E188" s="22"/>
      <c r="F188" s="22"/>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row>
    <row r="189" spans="1:83" ht="12" customHeight="1">
      <c r="A189" s="455"/>
      <c r="B189" s="138"/>
      <c r="C189" s="138"/>
      <c r="D189" s="22"/>
      <c r="E189" s="22"/>
      <c r="F189" s="22"/>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row>
    <row r="190" spans="1:83" ht="12" customHeight="1">
      <c r="A190" s="455"/>
      <c r="B190" s="138"/>
      <c r="C190" s="138"/>
      <c r="D190" s="22"/>
      <c r="E190" s="22"/>
      <c r="F190" s="22"/>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row>
    <row r="191" spans="1:83" ht="12" customHeight="1">
      <c r="A191" s="455"/>
      <c r="B191" s="138"/>
      <c r="C191" s="138"/>
      <c r="D191" s="22"/>
      <c r="E191" s="22"/>
      <c r="F191" s="22"/>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row>
    <row r="192" spans="1:83" ht="12" customHeight="1">
      <c r="A192" s="455"/>
      <c r="B192" s="138"/>
      <c r="C192" s="138"/>
      <c r="D192" s="22"/>
      <c r="E192" s="22"/>
      <c r="F192" s="22"/>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c r="CA192" s="138"/>
      <c r="CB192" s="138"/>
      <c r="CC192" s="138"/>
      <c r="CD192" s="138"/>
      <c r="CE192" s="138"/>
    </row>
    <row r="193" spans="1:83" ht="12" customHeight="1">
      <c r="A193" s="455"/>
      <c r="B193" s="138"/>
      <c r="C193" s="138"/>
      <c r="D193" s="22"/>
      <c r="E193" s="22"/>
      <c r="F193" s="22"/>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38"/>
      <c r="CB193" s="138"/>
      <c r="CC193" s="138"/>
      <c r="CD193" s="138"/>
      <c r="CE193" s="138"/>
    </row>
    <row r="194" spans="1:83" ht="12" customHeight="1">
      <c r="A194" s="455"/>
      <c r="B194" s="138"/>
      <c r="C194" s="138"/>
      <c r="D194" s="22"/>
      <c r="E194" s="22"/>
      <c r="F194" s="22"/>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38"/>
      <c r="CB194" s="138"/>
      <c r="CC194" s="138"/>
      <c r="CD194" s="138"/>
      <c r="CE194" s="138"/>
    </row>
    <row r="195" spans="1:83" ht="12" customHeight="1">
      <c r="A195" s="455"/>
      <c r="B195" s="138"/>
      <c r="C195" s="138"/>
      <c r="D195" s="22"/>
      <c r="E195" s="22"/>
      <c r="F195" s="22"/>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38"/>
      <c r="CB195" s="138"/>
      <c r="CC195" s="138"/>
      <c r="CD195" s="138"/>
      <c r="CE195" s="138"/>
    </row>
    <row r="196" spans="1:83" ht="12" customHeight="1">
      <c r="A196" s="455"/>
      <c r="B196" s="138"/>
      <c r="C196" s="138"/>
      <c r="D196" s="22"/>
      <c r="E196" s="22"/>
      <c r="F196" s="22"/>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row>
    <row r="197" spans="1:83" ht="12" customHeight="1">
      <c r="A197" s="455"/>
      <c r="B197" s="138"/>
      <c r="C197" s="138"/>
      <c r="D197" s="22"/>
      <c r="E197" s="22"/>
      <c r="F197" s="22"/>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38"/>
      <c r="BB197" s="138"/>
      <c r="BC197" s="138"/>
      <c r="BD197" s="138"/>
      <c r="BE197" s="138"/>
      <c r="BF197" s="138"/>
      <c r="BG197" s="138"/>
      <c r="BH197" s="138"/>
      <c r="BI197" s="138"/>
      <c r="BJ197" s="138"/>
      <c r="BK197" s="138"/>
      <c r="BL197" s="138"/>
      <c r="BM197" s="138"/>
      <c r="BN197" s="138"/>
      <c r="BO197" s="138"/>
      <c r="BP197" s="138"/>
      <c r="BQ197" s="138"/>
      <c r="BR197" s="138"/>
      <c r="BS197" s="138"/>
      <c r="BT197" s="138"/>
      <c r="BU197" s="138"/>
      <c r="BV197" s="138"/>
      <c r="BW197" s="138"/>
      <c r="BX197" s="138"/>
      <c r="BY197" s="138"/>
      <c r="BZ197" s="138"/>
      <c r="CA197" s="138"/>
      <c r="CB197" s="138"/>
      <c r="CC197" s="138"/>
      <c r="CD197" s="138"/>
      <c r="CE197" s="138"/>
    </row>
    <row r="198" spans="1:83" ht="12" customHeight="1">
      <c r="A198" s="455"/>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8"/>
      <c r="CE198" s="138"/>
    </row>
    <row r="199" spans="1:83" ht="12" customHeight="1">
      <c r="A199" s="455"/>
      <c r="B199" s="455"/>
      <c r="C199" s="454" t="s">
        <v>1123</v>
      </c>
      <c r="D199" s="455"/>
      <c r="E199" s="455"/>
      <c r="F199" s="455"/>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38"/>
      <c r="BB199" s="138"/>
      <c r="BC199" s="138"/>
      <c r="BD199" s="138"/>
      <c r="BE199" s="138"/>
      <c r="BF199" s="138"/>
      <c r="BG199" s="138"/>
      <c r="BH199" s="138"/>
      <c r="BI199" s="138"/>
      <c r="BJ199" s="138"/>
      <c r="BK199" s="138"/>
      <c r="BL199" s="138"/>
      <c r="BM199" s="138"/>
      <c r="BN199" s="138"/>
      <c r="BO199" s="138"/>
      <c r="BP199" s="138"/>
      <c r="BQ199" s="138"/>
      <c r="BR199" s="138"/>
      <c r="BS199" s="138"/>
      <c r="BT199" s="138"/>
      <c r="BU199" s="138"/>
      <c r="BV199" s="138"/>
      <c r="BW199" s="138"/>
      <c r="BX199" s="138"/>
      <c r="BY199" s="138"/>
      <c r="BZ199" s="138"/>
      <c r="CA199" s="138"/>
      <c r="CB199" s="138"/>
      <c r="CC199" s="138"/>
      <c r="CD199" s="138"/>
      <c r="CE199" s="138"/>
    </row>
    <row r="200" spans="1:83" ht="12" customHeight="1">
      <c r="A200" s="455"/>
      <c r="B200" s="455"/>
      <c r="C200" s="455"/>
      <c r="D200" s="455"/>
      <c r="E200" s="455"/>
      <c r="F200" s="455"/>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row>
    <row r="201" spans="1:83" ht="12" customHeight="1">
      <c r="A201" s="455"/>
      <c r="B201" s="455"/>
      <c r="C201" s="454"/>
      <c r="D201" s="454" t="s">
        <v>1124</v>
      </c>
      <c r="E201" s="454"/>
      <c r="F201" s="455"/>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row>
    <row r="202" spans="1:83" ht="12" customHeight="1">
      <c r="A202" s="455"/>
      <c r="B202" s="455"/>
      <c r="C202" s="455"/>
      <c r="D202" s="455"/>
      <c r="E202" s="455"/>
      <c r="F202" s="455"/>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row>
    <row r="203" spans="1:83" ht="12" customHeight="1">
      <c r="A203" s="455"/>
      <c r="B203" s="455"/>
      <c r="C203" s="455"/>
      <c r="D203" s="455"/>
      <c r="E203" s="455" t="s">
        <v>191</v>
      </c>
      <c r="F203" s="455"/>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38"/>
      <c r="BB203" s="138"/>
      <c r="BC203" s="138"/>
      <c r="BD203" s="138"/>
      <c r="BE203" s="138"/>
      <c r="BF203" s="138"/>
      <c r="BG203" s="138"/>
      <c r="BH203" s="138"/>
      <c r="BI203" s="138"/>
      <c r="BJ203" s="138"/>
      <c r="BK203" s="138"/>
      <c r="BL203" s="138"/>
      <c r="BM203" s="138"/>
      <c r="BN203" s="138"/>
      <c r="BO203" s="138"/>
      <c r="BP203" s="138"/>
      <c r="BQ203" s="138"/>
      <c r="BR203" s="138"/>
      <c r="BS203" s="138"/>
      <c r="BT203" s="138"/>
      <c r="BU203" s="138"/>
      <c r="BV203" s="138"/>
      <c r="BW203" s="138"/>
      <c r="BX203" s="138"/>
      <c r="BY203" s="138"/>
      <c r="BZ203" s="138"/>
      <c r="CA203" s="138"/>
      <c r="CB203" s="138"/>
      <c r="CC203" s="138"/>
      <c r="CD203" s="138"/>
      <c r="CE203" s="138"/>
    </row>
    <row r="204" spans="1:83" ht="12" customHeight="1">
      <c r="A204" s="455"/>
      <c r="B204" s="138"/>
      <c r="C204" s="138"/>
      <c r="D204" s="138"/>
      <c r="E204" s="138" t="s">
        <v>693</v>
      </c>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38"/>
      <c r="BB204" s="138"/>
      <c r="BC204" s="138"/>
      <c r="BD204" s="138"/>
      <c r="BE204" s="138"/>
      <c r="BF204" s="138"/>
      <c r="BG204" s="138"/>
      <c r="BH204" s="138"/>
      <c r="BI204" s="138"/>
      <c r="BJ204" s="138"/>
      <c r="BK204" s="138"/>
      <c r="BL204" s="138"/>
      <c r="BM204" s="138"/>
      <c r="BN204" s="138"/>
      <c r="BO204" s="138"/>
      <c r="BP204" s="138"/>
      <c r="BQ204" s="138"/>
      <c r="BR204" s="138"/>
      <c r="BS204" s="138"/>
      <c r="BT204" s="138"/>
      <c r="BU204" s="138"/>
      <c r="BV204" s="138"/>
      <c r="BW204" s="138"/>
      <c r="BX204" s="138"/>
      <c r="BY204" s="138"/>
      <c r="BZ204" s="138"/>
      <c r="CA204" s="138"/>
      <c r="CB204" s="138"/>
      <c r="CC204" s="138"/>
      <c r="CD204" s="138"/>
      <c r="CE204" s="138"/>
    </row>
    <row r="205" spans="1:83" ht="12" customHeight="1">
      <c r="A205" s="455"/>
      <c r="B205" s="138"/>
      <c r="C205" s="138"/>
      <c r="D205" s="138"/>
      <c r="E205" s="138" t="s">
        <v>190</v>
      </c>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c r="BU205" s="138"/>
      <c r="BV205" s="138"/>
      <c r="BW205" s="138"/>
      <c r="BX205" s="138"/>
      <c r="BY205" s="138"/>
      <c r="BZ205" s="138"/>
      <c r="CA205" s="138"/>
      <c r="CB205" s="138"/>
      <c r="CC205" s="138"/>
      <c r="CD205" s="138"/>
      <c r="CE205" s="138"/>
    </row>
    <row r="206" spans="1:83" ht="12" customHeight="1">
      <c r="A206" s="455"/>
      <c r="B206" s="138"/>
      <c r="C206" s="138"/>
      <c r="D206" s="138"/>
      <c r="E206" s="138" t="s">
        <v>189</v>
      </c>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38"/>
      <c r="BB206" s="138"/>
      <c r="BC206" s="138"/>
      <c r="BD206" s="138"/>
      <c r="BE206" s="138"/>
      <c r="BF206" s="138"/>
      <c r="BG206" s="138"/>
      <c r="BH206" s="138"/>
      <c r="BI206" s="138"/>
      <c r="BJ206" s="138"/>
      <c r="BK206" s="138"/>
      <c r="BL206" s="138"/>
      <c r="BM206" s="138"/>
      <c r="BN206" s="138"/>
      <c r="BO206" s="138"/>
      <c r="BP206" s="138"/>
      <c r="BQ206" s="138"/>
      <c r="BR206" s="138"/>
      <c r="BS206" s="138"/>
      <c r="BT206" s="138"/>
      <c r="BU206" s="138"/>
      <c r="BV206" s="138"/>
      <c r="BW206" s="138"/>
      <c r="BX206" s="138"/>
      <c r="BY206" s="138"/>
      <c r="BZ206" s="138"/>
      <c r="CA206" s="138"/>
      <c r="CB206" s="138"/>
      <c r="CC206" s="138"/>
      <c r="CD206" s="138"/>
      <c r="CE206" s="138"/>
    </row>
    <row r="207" spans="1:83" ht="12" customHeight="1">
      <c r="A207" s="455"/>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38"/>
      <c r="BB207" s="138"/>
      <c r="BC207" s="138"/>
      <c r="BD207" s="138"/>
      <c r="BE207" s="138"/>
      <c r="BF207" s="138"/>
      <c r="BG207" s="138"/>
      <c r="BH207" s="138"/>
      <c r="BI207" s="138"/>
      <c r="BJ207" s="138"/>
      <c r="BK207" s="138"/>
      <c r="BL207" s="138"/>
      <c r="BM207" s="138"/>
      <c r="BN207" s="138"/>
      <c r="BO207" s="138"/>
      <c r="BP207" s="138"/>
      <c r="BQ207" s="138"/>
      <c r="BR207" s="138"/>
      <c r="BS207" s="138"/>
      <c r="BT207" s="138"/>
      <c r="BU207" s="138"/>
      <c r="BV207" s="138"/>
      <c r="BW207" s="138"/>
      <c r="BX207" s="138"/>
      <c r="BY207" s="138"/>
      <c r="BZ207" s="138"/>
      <c r="CA207" s="138"/>
      <c r="CB207" s="138"/>
      <c r="CC207" s="138"/>
      <c r="CD207" s="138"/>
      <c r="CE207" s="138"/>
    </row>
    <row r="208" spans="1:83" ht="12" customHeight="1">
      <c r="A208" s="454"/>
      <c r="B208" s="22"/>
      <c r="C208" s="22"/>
      <c r="D208" s="22"/>
      <c r="E208" s="22" t="s">
        <v>176</v>
      </c>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row>
    <row r="209" spans="1:83" ht="12" customHeight="1">
      <c r="A209" s="454"/>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row>
    <row r="210" spans="1:83" ht="12" customHeight="1">
      <c r="A210" s="454"/>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row>
    <row r="211" spans="1:83" ht="12" customHeight="1">
      <c r="A211" s="454"/>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row>
    <row r="212" spans="1:83" ht="12" customHeight="1">
      <c r="A212" s="454"/>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row>
    <row r="213" spans="1:83" ht="12" customHeight="1">
      <c r="A213" s="454"/>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row>
    <row r="214" spans="1:83" ht="12" customHeight="1">
      <c r="A214" s="454"/>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row>
    <row r="215" spans="1:83" ht="12" customHeight="1">
      <c r="A215" s="454"/>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row>
    <row r="216" spans="1:83" ht="12" customHeight="1">
      <c r="A216" s="454"/>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row>
    <row r="217" spans="1:83" ht="12" customHeight="1">
      <c r="A217" s="454"/>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row>
    <row r="218" spans="1:83" ht="12" customHeight="1">
      <c r="A218" s="454"/>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row>
    <row r="219" spans="1:83" ht="12" customHeight="1">
      <c r="A219" s="454"/>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row>
    <row r="220" spans="1:83" ht="12" customHeight="1">
      <c r="A220" s="454"/>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row>
    <row r="221" spans="1:83" ht="12" customHeight="1">
      <c r="A221" s="454"/>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row>
    <row r="222" spans="1:83" ht="12" customHeight="1">
      <c r="A222" s="454"/>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row>
    <row r="223" spans="1:83" ht="12" customHeight="1">
      <c r="A223" s="454"/>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row>
    <row r="224" spans="1:83" ht="12" customHeight="1">
      <c r="A224" s="454"/>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row>
    <row r="225" spans="1:83" ht="12" customHeight="1">
      <c r="A225" s="454"/>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row>
    <row r="226" spans="1:83" ht="12" customHeight="1">
      <c r="A226" s="454"/>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row>
    <row r="227" spans="1:83" ht="12" customHeight="1">
      <c r="A227" s="454"/>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row>
    <row r="228" spans="1:83" ht="12" customHeight="1">
      <c r="A228" s="454"/>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row>
    <row r="229" spans="1:83" ht="12" customHeight="1">
      <c r="A229" s="454"/>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row>
    <row r="230" spans="1:83" ht="12" customHeight="1">
      <c r="A230" s="454"/>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row>
    <row r="231" spans="1:83" ht="12" customHeight="1">
      <c r="A231" s="454"/>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row>
    <row r="232" spans="1:83" ht="12" customHeight="1">
      <c r="A232" s="454"/>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row>
    <row r="233" spans="1:83" ht="12" customHeight="1">
      <c r="A233" s="454"/>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row>
    <row r="234" spans="1:83" ht="12" customHeight="1">
      <c r="A234" s="454"/>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row>
    <row r="235" spans="1:83" ht="12" customHeight="1">
      <c r="A235" s="454"/>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row>
    <row r="236" spans="1:83" ht="12" customHeight="1">
      <c r="A236" s="454"/>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row>
    <row r="237" spans="1:83" ht="12" customHeight="1">
      <c r="A237" s="454"/>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row>
    <row r="238" spans="1:83" ht="12" customHeight="1">
      <c r="A238" s="454"/>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row>
    <row r="239" spans="1:83" ht="12" customHeight="1">
      <c r="A239" s="454"/>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row>
    <row r="240" spans="1:83" ht="12" customHeight="1">
      <c r="A240" s="454"/>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row>
    <row r="241" spans="1:83" ht="12" customHeight="1">
      <c r="A241" s="455"/>
      <c r="B241" s="455"/>
      <c r="C241" s="455"/>
      <c r="D241" s="454" t="s">
        <v>1125</v>
      </c>
      <c r="E241" s="454"/>
      <c r="F241" s="454"/>
      <c r="G241" s="455"/>
      <c r="H241" s="455"/>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38"/>
      <c r="BB241" s="138"/>
      <c r="BC241" s="138"/>
      <c r="BD241" s="138"/>
      <c r="BE241" s="138"/>
      <c r="BF241" s="138"/>
      <c r="BG241" s="138"/>
      <c r="BH241" s="138"/>
      <c r="BI241" s="138"/>
      <c r="BJ241" s="138"/>
      <c r="BK241" s="138"/>
      <c r="BL241" s="138"/>
      <c r="BM241" s="138"/>
      <c r="BN241" s="138"/>
      <c r="BO241" s="138"/>
      <c r="BP241" s="138"/>
      <c r="BQ241" s="138"/>
      <c r="BR241" s="138"/>
      <c r="BS241" s="138"/>
      <c r="BT241" s="138"/>
      <c r="BU241" s="138"/>
      <c r="BV241" s="138"/>
      <c r="BW241" s="138"/>
      <c r="BX241" s="138"/>
      <c r="BY241" s="138"/>
      <c r="BZ241" s="138"/>
      <c r="CA241" s="138"/>
      <c r="CB241" s="138"/>
      <c r="CC241" s="138"/>
      <c r="CD241" s="138"/>
      <c r="CE241" s="138"/>
    </row>
    <row r="242" spans="1:83" ht="12" customHeight="1">
      <c r="A242" s="455"/>
      <c r="B242" s="455"/>
      <c r="C242" s="455"/>
      <c r="D242" s="454"/>
      <c r="E242" s="454"/>
      <c r="F242" s="454"/>
      <c r="G242" s="455"/>
      <c r="H242" s="455"/>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8"/>
      <c r="BX242" s="138"/>
      <c r="BY242" s="138"/>
      <c r="BZ242" s="138"/>
      <c r="CA242" s="138"/>
      <c r="CB242" s="138"/>
      <c r="CC242" s="138"/>
      <c r="CD242" s="138"/>
      <c r="CE242" s="138"/>
    </row>
    <row r="243" spans="1:83" ht="12" customHeight="1">
      <c r="A243" s="455"/>
      <c r="B243" s="455"/>
      <c r="C243" s="455"/>
      <c r="D243" s="454"/>
      <c r="E243" s="454" t="s">
        <v>175</v>
      </c>
      <c r="F243" s="454"/>
      <c r="G243" s="455"/>
      <c r="H243" s="455"/>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8"/>
      <c r="BX243" s="138"/>
      <c r="BY243" s="138"/>
      <c r="BZ243" s="138"/>
      <c r="CA243" s="138"/>
      <c r="CB243" s="138"/>
      <c r="CC243" s="138"/>
      <c r="CD243" s="138"/>
      <c r="CE243" s="138"/>
    </row>
    <row r="244" spans="1:83" ht="12" customHeight="1">
      <c r="A244" s="455"/>
      <c r="B244" s="455"/>
      <c r="C244" s="455"/>
      <c r="D244" s="454"/>
      <c r="E244" s="454"/>
      <c r="F244" s="454"/>
      <c r="G244" s="455"/>
      <c r="H244" s="455"/>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38"/>
      <c r="BU244" s="138"/>
      <c r="BV244" s="138"/>
      <c r="BW244" s="138"/>
      <c r="BX244" s="138"/>
      <c r="BY244" s="138"/>
      <c r="BZ244" s="138"/>
      <c r="CA244" s="138"/>
      <c r="CB244" s="138"/>
      <c r="CC244" s="138"/>
      <c r="CD244" s="138"/>
      <c r="CE244" s="138"/>
    </row>
    <row r="245" spans="1:83" ht="12" customHeight="1">
      <c r="A245" s="455"/>
      <c r="B245" s="455"/>
      <c r="C245" s="455"/>
      <c r="D245" s="455"/>
      <c r="E245" s="455"/>
      <c r="F245" s="454" t="s">
        <v>1126</v>
      </c>
      <c r="G245" s="455"/>
      <c r="H245" s="455"/>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row>
    <row r="246" spans="1:83" ht="12" customHeight="1">
      <c r="A246" s="455"/>
      <c r="B246" s="455"/>
      <c r="C246" s="455"/>
      <c r="D246" s="455"/>
      <c r="E246" s="455"/>
      <c r="F246" s="455" t="s">
        <v>662</v>
      </c>
      <c r="G246" s="455"/>
      <c r="H246" s="455"/>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38"/>
      <c r="BB246" s="138"/>
      <c r="BC246" s="138"/>
      <c r="BD246" s="138"/>
      <c r="BE246" s="138"/>
      <c r="BF246" s="138"/>
      <c r="BG246" s="138"/>
      <c r="BH246" s="138"/>
      <c r="BI246" s="138"/>
      <c r="BJ246" s="138"/>
      <c r="BK246" s="138"/>
      <c r="BL246" s="138"/>
      <c r="BM246" s="138"/>
      <c r="BN246" s="138"/>
      <c r="BO246" s="138"/>
      <c r="BP246" s="138"/>
      <c r="BQ246" s="138"/>
      <c r="BR246" s="138"/>
      <c r="BS246" s="138"/>
      <c r="BT246" s="138"/>
      <c r="BU246" s="138"/>
      <c r="BV246" s="138"/>
      <c r="BW246" s="138"/>
      <c r="BX246" s="138"/>
      <c r="BY246" s="138"/>
      <c r="BZ246" s="138"/>
      <c r="CA246" s="138"/>
      <c r="CB246" s="138"/>
      <c r="CC246" s="138"/>
      <c r="CD246" s="138"/>
      <c r="CE246" s="138"/>
    </row>
    <row r="247" spans="1:83" ht="12" customHeight="1">
      <c r="A247" s="455"/>
      <c r="B247" s="455"/>
      <c r="C247" s="455"/>
      <c r="D247" s="454"/>
      <c r="E247" s="454"/>
      <c r="F247" s="454" t="s">
        <v>1127</v>
      </c>
      <c r="G247" s="455"/>
      <c r="H247" s="455"/>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38"/>
      <c r="CB247" s="138"/>
      <c r="CC247" s="138"/>
      <c r="CD247" s="138"/>
      <c r="CE247" s="138"/>
    </row>
    <row r="248" spans="1:83" ht="12" customHeight="1">
      <c r="A248" s="455"/>
      <c r="B248" s="455"/>
      <c r="C248" s="455"/>
      <c r="D248" s="454"/>
      <c r="E248" s="454"/>
      <c r="F248" s="454" t="s">
        <v>188</v>
      </c>
      <c r="G248" s="455"/>
      <c r="H248" s="455"/>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8"/>
      <c r="BX248" s="138"/>
      <c r="BY248" s="138"/>
      <c r="BZ248" s="138"/>
      <c r="CA248" s="138"/>
      <c r="CB248" s="138"/>
      <c r="CC248" s="138"/>
      <c r="CD248" s="138"/>
      <c r="CE248" s="138"/>
    </row>
    <row r="249" spans="1:83" ht="12" customHeight="1">
      <c r="A249" s="454"/>
      <c r="B249" s="454"/>
      <c r="C249" s="454"/>
      <c r="D249" s="454"/>
      <c r="E249" s="454"/>
      <c r="F249" s="454"/>
      <c r="G249" s="454"/>
      <c r="H249" s="454"/>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row>
    <row r="250" spans="1:83" ht="12" customHeight="1">
      <c r="A250" s="455"/>
      <c r="B250" s="455"/>
      <c r="C250" s="455"/>
      <c r="D250" s="454" t="s">
        <v>1128</v>
      </c>
      <c r="E250" s="454"/>
      <c r="F250" s="454"/>
      <c r="G250" s="455"/>
      <c r="H250" s="455"/>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8"/>
      <c r="BX250" s="138"/>
      <c r="BY250" s="138"/>
      <c r="BZ250" s="138"/>
      <c r="CA250" s="138"/>
      <c r="CB250" s="138"/>
      <c r="CC250" s="138"/>
      <c r="CD250" s="138"/>
      <c r="CE250" s="138"/>
    </row>
    <row r="251" spans="1:83" ht="12" customHeight="1">
      <c r="A251" s="455"/>
      <c r="B251" s="455"/>
      <c r="C251" s="455"/>
      <c r="D251" s="454"/>
      <c r="E251" s="454"/>
      <c r="F251" s="454"/>
      <c r="G251" s="455"/>
      <c r="H251" s="455"/>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row>
    <row r="252" spans="1:83" ht="12" customHeight="1">
      <c r="A252" s="455"/>
      <c r="B252" s="455"/>
      <c r="C252" s="455"/>
      <c r="D252" s="454"/>
      <c r="E252" s="454" t="s">
        <v>187</v>
      </c>
      <c r="F252" s="454"/>
      <c r="G252" s="455"/>
      <c r="H252" s="455"/>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8"/>
      <c r="BX252" s="138"/>
      <c r="BY252" s="138"/>
      <c r="BZ252" s="138"/>
      <c r="CA252" s="138"/>
      <c r="CB252" s="138"/>
      <c r="CC252" s="138"/>
      <c r="CD252" s="138"/>
      <c r="CE252" s="138"/>
    </row>
    <row r="253" spans="1:83" ht="12" customHeight="1">
      <c r="A253" s="455"/>
      <c r="B253" s="455"/>
      <c r="C253" s="455"/>
      <c r="D253" s="454"/>
      <c r="E253" s="454"/>
      <c r="F253" s="454"/>
      <c r="G253" s="455"/>
      <c r="H253" s="455"/>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8"/>
      <c r="BX253" s="138"/>
      <c r="BY253" s="138"/>
      <c r="BZ253" s="138"/>
      <c r="CA253" s="138"/>
      <c r="CB253" s="138"/>
      <c r="CC253" s="138"/>
      <c r="CD253" s="138"/>
      <c r="CE253" s="138"/>
    </row>
    <row r="254" spans="1:83" ht="12" customHeight="1">
      <c r="A254" s="455"/>
      <c r="B254" s="138"/>
      <c r="C254" s="138"/>
      <c r="D254" s="22"/>
      <c r="E254" s="22"/>
      <c r="F254" s="22"/>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38"/>
      <c r="BB254" s="138"/>
      <c r="BC254" s="138"/>
      <c r="BD254" s="138"/>
      <c r="BE254" s="138"/>
      <c r="BF254" s="138"/>
      <c r="BG254" s="138"/>
      <c r="BH254" s="138"/>
      <c r="BI254" s="138"/>
      <c r="BJ254" s="138"/>
      <c r="BK254" s="138"/>
      <c r="BL254" s="138"/>
      <c r="BM254" s="138"/>
      <c r="BN254" s="138"/>
      <c r="BO254" s="138"/>
      <c r="BP254" s="138"/>
      <c r="BQ254" s="138"/>
      <c r="BR254" s="138"/>
      <c r="BS254" s="138"/>
      <c r="BT254" s="138"/>
      <c r="BU254" s="138"/>
      <c r="BV254" s="138"/>
      <c r="BW254" s="138"/>
      <c r="BX254" s="138"/>
      <c r="BY254" s="138"/>
      <c r="BZ254" s="138"/>
      <c r="CA254" s="138"/>
      <c r="CB254" s="138"/>
      <c r="CC254" s="138"/>
      <c r="CD254" s="138"/>
      <c r="CE254" s="138"/>
    </row>
    <row r="255" spans="1:83" ht="12" customHeight="1">
      <c r="A255" s="455"/>
      <c r="B255" s="138"/>
      <c r="C255" s="138"/>
      <c r="D255" s="22"/>
      <c r="E255" s="22"/>
      <c r="F255" s="22"/>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38"/>
      <c r="CB255" s="138"/>
      <c r="CC255" s="138"/>
      <c r="CD255" s="138"/>
      <c r="CE255" s="138"/>
    </row>
    <row r="256" spans="1:83" ht="12" customHeight="1">
      <c r="A256" s="455"/>
      <c r="B256" s="138"/>
      <c r="C256" s="138"/>
      <c r="D256" s="22"/>
      <c r="E256" s="22"/>
      <c r="F256" s="22"/>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8"/>
      <c r="BB256" s="138"/>
      <c r="BC256" s="138"/>
      <c r="BD256" s="138"/>
      <c r="BE256" s="138"/>
      <c r="BF256" s="138"/>
      <c r="BG256" s="138"/>
      <c r="BH256" s="138"/>
      <c r="BI256" s="138"/>
      <c r="BJ256" s="138"/>
      <c r="BK256" s="138"/>
      <c r="BL256" s="138"/>
      <c r="BM256" s="138"/>
      <c r="BN256" s="138"/>
      <c r="BO256" s="138"/>
      <c r="BP256" s="138"/>
      <c r="BQ256" s="138"/>
      <c r="BR256" s="138"/>
      <c r="BS256" s="138"/>
      <c r="BT256" s="138"/>
      <c r="BU256" s="138"/>
      <c r="BV256" s="138"/>
      <c r="BW256" s="138"/>
      <c r="BX256" s="138"/>
      <c r="BY256" s="138"/>
      <c r="BZ256" s="138"/>
      <c r="CA256" s="138"/>
      <c r="CB256" s="138"/>
      <c r="CC256" s="138"/>
      <c r="CD256" s="138"/>
      <c r="CE256" s="138"/>
    </row>
    <row r="257" spans="1:83" ht="12" customHeight="1">
      <c r="A257" s="455"/>
      <c r="B257" s="138"/>
      <c r="C257" s="138"/>
      <c r="D257" s="22"/>
      <c r="E257" s="22"/>
      <c r="F257" s="22"/>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8"/>
      <c r="BX257" s="138"/>
      <c r="BY257" s="138"/>
      <c r="BZ257" s="138"/>
      <c r="CA257" s="138"/>
      <c r="CB257" s="138"/>
      <c r="CC257" s="138"/>
      <c r="CD257" s="138"/>
      <c r="CE257" s="138"/>
    </row>
    <row r="258" spans="1:83" ht="12" customHeight="1">
      <c r="A258" s="455"/>
      <c r="B258" s="138"/>
      <c r="C258" s="138"/>
      <c r="D258" s="22"/>
      <c r="E258" s="22"/>
      <c r="F258" s="22"/>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row>
    <row r="259" spans="1:83" ht="12" customHeight="1">
      <c r="A259" s="455"/>
      <c r="B259" s="138"/>
      <c r="C259" s="138"/>
      <c r="D259" s="22"/>
      <c r="E259" s="22"/>
      <c r="F259" s="22"/>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8"/>
      <c r="BX259" s="138"/>
      <c r="BY259" s="138"/>
      <c r="BZ259" s="138"/>
      <c r="CA259" s="138"/>
      <c r="CB259" s="138"/>
      <c r="CC259" s="138"/>
      <c r="CD259" s="138"/>
      <c r="CE259" s="138"/>
    </row>
    <row r="260" spans="1:83" ht="12" customHeight="1">
      <c r="A260" s="455"/>
      <c r="B260" s="138"/>
      <c r="C260" s="138"/>
      <c r="D260" s="22"/>
      <c r="E260" s="22"/>
      <c r="F260" s="22"/>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8"/>
      <c r="BB260" s="138"/>
      <c r="BC260" s="138"/>
      <c r="BD260" s="138"/>
      <c r="BE260" s="138"/>
      <c r="BF260" s="138"/>
      <c r="BG260" s="138"/>
      <c r="BH260" s="138"/>
      <c r="BI260" s="138"/>
      <c r="BJ260" s="138"/>
      <c r="BK260" s="138"/>
      <c r="BL260" s="138"/>
      <c r="BM260" s="138"/>
      <c r="BN260" s="138"/>
      <c r="BO260" s="138"/>
      <c r="BP260" s="138"/>
      <c r="BQ260" s="138"/>
      <c r="BR260" s="138"/>
      <c r="BS260" s="138"/>
      <c r="BT260" s="138"/>
      <c r="BU260" s="138"/>
      <c r="BV260" s="138"/>
      <c r="BW260" s="138"/>
      <c r="BX260" s="138"/>
      <c r="BY260" s="138"/>
      <c r="BZ260" s="138"/>
      <c r="CA260" s="138"/>
      <c r="CB260" s="138"/>
      <c r="CC260" s="138"/>
      <c r="CD260" s="138"/>
      <c r="CE260" s="138"/>
    </row>
    <row r="261" spans="1:83" ht="12" customHeight="1">
      <c r="A261" s="455"/>
      <c r="B261" s="138"/>
      <c r="C261" s="138"/>
      <c r="D261" s="22"/>
      <c r="E261" s="22"/>
      <c r="F261" s="22"/>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8"/>
      <c r="BB261" s="138"/>
      <c r="BC261" s="138"/>
      <c r="BD261" s="138"/>
      <c r="BE261" s="138"/>
      <c r="BF261" s="138"/>
      <c r="BG261" s="138"/>
      <c r="BH261" s="138"/>
      <c r="BI261" s="138"/>
      <c r="BJ261" s="138"/>
      <c r="BK261" s="138"/>
      <c r="BL261" s="138"/>
      <c r="BM261" s="138"/>
      <c r="BN261" s="138"/>
      <c r="BO261" s="138"/>
      <c r="BP261" s="138"/>
      <c r="BQ261" s="138"/>
      <c r="BR261" s="138"/>
      <c r="BS261" s="138"/>
      <c r="BT261" s="138"/>
      <c r="BU261" s="138"/>
      <c r="BV261" s="138"/>
      <c r="BW261" s="138"/>
      <c r="BX261" s="138"/>
      <c r="BY261" s="138"/>
      <c r="BZ261" s="138"/>
      <c r="CA261" s="138"/>
      <c r="CB261" s="138"/>
      <c r="CC261" s="138"/>
      <c r="CD261" s="138"/>
      <c r="CE261" s="138"/>
    </row>
    <row r="262" spans="1:83" ht="12" customHeight="1">
      <c r="A262" s="455"/>
      <c r="B262" s="138"/>
      <c r="C262" s="138"/>
      <c r="D262" s="22"/>
      <c r="E262" s="22"/>
      <c r="F262" s="22"/>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38"/>
      <c r="BB262" s="138"/>
      <c r="BC262" s="138"/>
      <c r="BD262" s="138"/>
      <c r="BE262" s="138"/>
      <c r="BF262" s="138"/>
      <c r="BG262" s="138"/>
      <c r="BH262" s="138"/>
      <c r="BI262" s="138"/>
      <c r="BJ262" s="138"/>
      <c r="BK262" s="138"/>
      <c r="BL262" s="138"/>
      <c r="BM262" s="138"/>
      <c r="BN262" s="138"/>
      <c r="BO262" s="138"/>
      <c r="BP262" s="138"/>
      <c r="BQ262" s="138"/>
      <c r="BR262" s="138"/>
      <c r="BS262" s="138"/>
      <c r="BT262" s="138"/>
      <c r="BU262" s="138"/>
      <c r="BV262" s="138"/>
      <c r="BW262" s="138"/>
      <c r="BX262" s="138"/>
      <c r="BY262" s="138"/>
      <c r="BZ262" s="138"/>
      <c r="CA262" s="138"/>
      <c r="CB262" s="138"/>
      <c r="CC262" s="138"/>
      <c r="CD262" s="138"/>
      <c r="CE262" s="138"/>
    </row>
    <row r="263" spans="1:83" ht="12" customHeight="1">
      <c r="A263" s="455"/>
      <c r="B263" s="138"/>
      <c r="C263" s="138"/>
      <c r="D263" s="22"/>
      <c r="E263" s="22"/>
      <c r="F263" s="22"/>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8"/>
      <c r="BB263" s="138"/>
      <c r="BC263" s="138"/>
      <c r="BD263" s="138"/>
      <c r="BE263" s="138"/>
      <c r="BF263" s="138"/>
      <c r="BG263" s="138"/>
      <c r="BH263" s="138"/>
      <c r="BI263" s="138"/>
      <c r="BJ263" s="138"/>
      <c r="BK263" s="138"/>
      <c r="BL263" s="138"/>
      <c r="BM263" s="138"/>
      <c r="BN263" s="138"/>
      <c r="BO263" s="138"/>
      <c r="BP263" s="138"/>
      <c r="BQ263" s="138"/>
      <c r="BR263" s="138"/>
      <c r="BS263" s="138"/>
      <c r="BT263" s="138"/>
      <c r="BU263" s="138"/>
      <c r="BV263" s="138"/>
      <c r="BW263" s="138"/>
      <c r="BX263" s="138"/>
      <c r="BY263" s="138"/>
      <c r="BZ263" s="138"/>
      <c r="CA263" s="138"/>
      <c r="CB263" s="138"/>
      <c r="CC263" s="138"/>
      <c r="CD263" s="138"/>
      <c r="CE263" s="138"/>
    </row>
    <row r="264" spans="1:83" ht="12" customHeight="1">
      <c r="A264" s="455"/>
      <c r="B264" s="138"/>
      <c r="C264" s="138"/>
      <c r="D264" s="22"/>
      <c r="E264" s="22"/>
      <c r="F264" s="22"/>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row>
    <row r="265" spans="1:83" ht="12" customHeight="1">
      <c r="A265" s="455"/>
      <c r="B265" s="138"/>
      <c r="C265" s="138"/>
      <c r="D265" s="22"/>
      <c r="E265" s="22"/>
      <c r="F265" s="22"/>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8"/>
      <c r="BX265" s="138"/>
      <c r="BY265" s="138"/>
      <c r="BZ265" s="138"/>
      <c r="CA265" s="138"/>
      <c r="CB265" s="138"/>
      <c r="CC265" s="138"/>
      <c r="CD265" s="138"/>
      <c r="CE265" s="138"/>
    </row>
    <row r="266" spans="1:83" ht="12" customHeight="1">
      <c r="A266" s="455"/>
      <c r="B266" s="138"/>
      <c r="C266" s="138"/>
      <c r="D266" s="22"/>
      <c r="E266" s="22"/>
      <c r="F266" s="22"/>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38"/>
      <c r="BB266" s="138"/>
      <c r="BC266" s="138"/>
      <c r="BD266" s="138"/>
      <c r="BE266" s="138"/>
      <c r="BF266" s="138"/>
      <c r="BG266" s="138"/>
      <c r="BH266" s="138"/>
      <c r="BI266" s="138"/>
      <c r="BJ266" s="138"/>
      <c r="BK266" s="138"/>
      <c r="BL266" s="138"/>
      <c r="BM266" s="138"/>
      <c r="BN266" s="138"/>
      <c r="BO266" s="138"/>
      <c r="BP266" s="138"/>
      <c r="BQ266" s="138"/>
      <c r="BR266" s="138"/>
      <c r="BS266" s="138"/>
      <c r="BT266" s="138"/>
      <c r="BU266" s="138"/>
      <c r="BV266" s="138"/>
      <c r="BW266" s="138"/>
      <c r="BX266" s="138"/>
      <c r="BY266" s="138"/>
      <c r="BZ266" s="138"/>
      <c r="CA266" s="138"/>
      <c r="CB266" s="138"/>
      <c r="CC266" s="138"/>
      <c r="CD266" s="138"/>
      <c r="CE266" s="138"/>
    </row>
    <row r="267" spans="1:83" ht="12" customHeight="1">
      <c r="A267" s="455"/>
      <c r="B267" s="138"/>
      <c r="C267" s="138"/>
      <c r="D267" s="22"/>
      <c r="E267" s="22"/>
      <c r="F267" s="22"/>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8"/>
      <c r="BX267" s="138"/>
      <c r="BY267" s="138"/>
      <c r="BZ267" s="138"/>
      <c r="CA267" s="138"/>
      <c r="CB267" s="138"/>
      <c r="CC267" s="138"/>
      <c r="CD267" s="138"/>
      <c r="CE267" s="138"/>
    </row>
    <row r="268" spans="1:83" ht="12" customHeight="1">
      <c r="A268" s="455"/>
      <c r="B268" s="138"/>
      <c r="C268" s="138"/>
      <c r="D268" s="22"/>
      <c r="E268" s="22"/>
      <c r="F268" s="22"/>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38"/>
      <c r="BB268" s="138"/>
      <c r="BC268" s="138"/>
      <c r="BD268" s="138"/>
      <c r="BE268" s="138"/>
      <c r="BF268" s="138"/>
      <c r="BG268" s="138"/>
      <c r="BH268" s="138"/>
      <c r="BI268" s="138"/>
      <c r="BJ268" s="138"/>
      <c r="BK268" s="138"/>
      <c r="BL268" s="138"/>
      <c r="BM268" s="138"/>
      <c r="BN268" s="138"/>
      <c r="BO268" s="138"/>
      <c r="BP268" s="138"/>
      <c r="BQ268" s="138"/>
      <c r="BR268" s="138"/>
      <c r="BS268" s="138"/>
      <c r="BT268" s="138"/>
      <c r="BU268" s="138"/>
      <c r="BV268" s="138"/>
      <c r="BW268" s="138"/>
      <c r="BX268" s="138"/>
      <c r="BY268" s="138"/>
      <c r="BZ268" s="138"/>
      <c r="CA268" s="138"/>
      <c r="CB268" s="138"/>
      <c r="CC268" s="138"/>
      <c r="CD268" s="138"/>
      <c r="CE268" s="138"/>
    </row>
    <row r="269" spans="1:83" ht="12" customHeight="1">
      <c r="A269" s="455"/>
      <c r="B269" s="138"/>
      <c r="C269" s="138"/>
      <c r="D269" s="22"/>
      <c r="E269" s="22"/>
      <c r="F269" s="22"/>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8"/>
      <c r="BX269" s="138"/>
      <c r="BY269" s="138"/>
      <c r="BZ269" s="138"/>
      <c r="CA269" s="138"/>
      <c r="CB269" s="138"/>
      <c r="CC269" s="138"/>
      <c r="CD269" s="138"/>
      <c r="CE269" s="138"/>
    </row>
    <row r="270" spans="1:83" ht="12" customHeight="1">
      <c r="A270" s="455"/>
      <c r="B270" s="138"/>
      <c r="C270" s="138"/>
      <c r="D270" s="22"/>
      <c r="E270" s="22"/>
      <c r="F270" s="22"/>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38"/>
      <c r="BB270" s="138"/>
      <c r="BC270" s="138"/>
      <c r="BD270" s="138"/>
      <c r="BE270" s="138"/>
      <c r="BF270" s="138"/>
      <c r="BG270" s="138"/>
      <c r="BH270" s="138"/>
      <c r="BI270" s="138"/>
      <c r="BJ270" s="138"/>
      <c r="BK270" s="138"/>
      <c r="BL270" s="138"/>
      <c r="BM270" s="138"/>
      <c r="BN270" s="138"/>
      <c r="BO270" s="138"/>
      <c r="BP270" s="138"/>
      <c r="BQ270" s="138"/>
      <c r="BR270" s="138"/>
      <c r="BS270" s="138"/>
      <c r="BT270" s="138"/>
      <c r="BU270" s="138"/>
      <c r="BV270" s="138"/>
      <c r="BW270" s="138"/>
      <c r="BX270" s="138"/>
      <c r="BY270" s="138"/>
      <c r="BZ270" s="138"/>
      <c r="CA270" s="138"/>
      <c r="CB270" s="138"/>
      <c r="CC270" s="138"/>
      <c r="CD270" s="138"/>
      <c r="CE270" s="138"/>
    </row>
    <row r="271" spans="1:83" ht="12" customHeight="1">
      <c r="A271" s="455"/>
      <c r="B271" s="138"/>
      <c r="C271" s="138"/>
      <c r="D271" s="22"/>
      <c r="E271" s="22"/>
      <c r="F271" s="22"/>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row>
    <row r="272" spans="1:83" ht="12" customHeight="1">
      <c r="A272" s="455"/>
      <c r="B272" s="455"/>
      <c r="C272" s="454" t="s">
        <v>1129</v>
      </c>
      <c r="D272" s="455"/>
      <c r="E272" s="455"/>
      <c r="F272" s="454"/>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38"/>
      <c r="BB272" s="138"/>
      <c r="BC272" s="138"/>
      <c r="BD272" s="138"/>
      <c r="BE272" s="138"/>
      <c r="BF272" s="138"/>
      <c r="BG272" s="138"/>
      <c r="BH272" s="138"/>
      <c r="BI272" s="138"/>
      <c r="BJ272" s="138"/>
      <c r="BK272" s="138"/>
      <c r="BL272" s="138"/>
      <c r="BM272" s="138"/>
      <c r="BN272" s="138"/>
      <c r="BO272" s="138"/>
      <c r="BP272" s="138"/>
      <c r="BQ272" s="138"/>
      <c r="BR272" s="138"/>
      <c r="BS272" s="138"/>
      <c r="BT272" s="138"/>
      <c r="BU272" s="138"/>
      <c r="BV272" s="138"/>
      <c r="BW272" s="138"/>
      <c r="BX272" s="138"/>
      <c r="BY272" s="138"/>
      <c r="BZ272" s="138"/>
      <c r="CA272" s="138"/>
      <c r="CB272" s="138"/>
      <c r="CC272" s="138"/>
      <c r="CD272" s="138"/>
      <c r="CE272" s="138"/>
    </row>
    <row r="273" spans="1:83" ht="12" customHeight="1">
      <c r="A273" s="455"/>
      <c r="B273" s="455"/>
      <c r="C273" s="455"/>
      <c r="D273" s="455"/>
      <c r="E273" s="455"/>
      <c r="F273" s="454"/>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8"/>
      <c r="BX273" s="138"/>
      <c r="BY273" s="138"/>
      <c r="BZ273" s="138"/>
      <c r="CA273" s="138"/>
      <c r="CB273" s="138"/>
      <c r="CC273" s="138"/>
      <c r="CD273" s="138"/>
      <c r="CE273" s="138"/>
    </row>
    <row r="274" spans="1:83" ht="12" customHeight="1">
      <c r="A274" s="455"/>
      <c r="B274" s="455"/>
      <c r="C274" s="454"/>
      <c r="D274" s="454" t="s">
        <v>1130</v>
      </c>
      <c r="E274" s="454"/>
      <c r="F274" s="454"/>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38"/>
      <c r="BB274" s="138"/>
      <c r="BC274" s="138"/>
      <c r="BD274" s="138"/>
      <c r="BE274" s="138"/>
      <c r="BF274" s="138"/>
      <c r="BG274" s="138"/>
      <c r="BH274" s="138"/>
      <c r="BI274" s="138"/>
      <c r="BJ274" s="138"/>
      <c r="BK274" s="138"/>
      <c r="BL274" s="138"/>
      <c r="BM274" s="138"/>
      <c r="BN274" s="138"/>
      <c r="BO274" s="138"/>
      <c r="BP274" s="138"/>
      <c r="BQ274" s="138"/>
      <c r="BR274" s="138"/>
      <c r="BS274" s="138"/>
      <c r="BT274" s="138"/>
      <c r="BU274" s="138"/>
      <c r="BV274" s="138"/>
      <c r="BW274" s="138"/>
      <c r="BX274" s="138"/>
      <c r="BY274" s="138"/>
      <c r="BZ274" s="138"/>
      <c r="CA274" s="138"/>
      <c r="CB274" s="138"/>
      <c r="CC274" s="138"/>
      <c r="CD274" s="138"/>
      <c r="CE274" s="138"/>
    </row>
    <row r="275" spans="1:83" ht="12" customHeight="1">
      <c r="A275" s="455"/>
      <c r="B275" s="455"/>
      <c r="C275" s="455"/>
      <c r="D275" s="455"/>
      <c r="E275" s="455"/>
      <c r="F275" s="454"/>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8"/>
      <c r="BX275" s="138"/>
      <c r="BY275" s="138"/>
      <c r="BZ275" s="138"/>
      <c r="CA275" s="138"/>
      <c r="CB275" s="138"/>
      <c r="CC275" s="138"/>
      <c r="CD275" s="138"/>
      <c r="CE275" s="138"/>
    </row>
    <row r="276" spans="1:83" ht="12" customHeight="1">
      <c r="A276" s="455"/>
      <c r="B276" s="455"/>
      <c r="C276" s="455"/>
      <c r="D276" s="455"/>
      <c r="E276" s="455" t="s">
        <v>1193</v>
      </c>
      <c r="F276" s="454"/>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8"/>
      <c r="BX276" s="138"/>
      <c r="BY276" s="138"/>
      <c r="BZ276" s="138"/>
      <c r="CA276" s="138"/>
      <c r="CB276" s="138"/>
      <c r="CC276" s="138"/>
      <c r="CD276" s="138"/>
      <c r="CE276" s="138"/>
    </row>
    <row r="277" spans="1:83" ht="12" customHeight="1">
      <c r="A277" s="455"/>
      <c r="B277" s="455"/>
      <c r="C277" s="455"/>
      <c r="D277" s="454"/>
      <c r="E277" s="454" t="s">
        <v>694</v>
      </c>
      <c r="F277" s="454"/>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row>
    <row r="278" spans="1:83" ht="12" customHeight="1">
      <c r="A278" s="455"/>
      <c r="B278" s="455"/>
      <c r="C278" s="455"/>
      <c r="D278" s="454"/>
      <c r="E278" s="454" t="s">
        <v>663</v>
      </c>
      <c r="F278" s="454"/>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8"/>
      <c r="BX278" s="138"/>
      <c r="BY278" s="138"/>
      <c r="BZ278" s="138"/>
      <c r="CA278" s="138"/>
      <c r="CB278" s="138"/>
      <c r="CC278" s="138"/>
      <c r="CD278" s="138"/>
      <c r="CE278" s="138"/>
    </row>
    <row r="279" spans="1:83" ht="12" customHeight="1">
      <c r="A279" s="455"/>
      <c r="B279" s="138"/>
      <c r="C279" s="138"/>
      <c r="D279" s="22"/>
      <c r="E279" s="22"/>
      <c r="F279" s="22"/>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38"/>
      <c r="BB279" s="138"/>
      <c r="BC279" s="138"/>
      <c r="BD279" s="138"/>
      <c r="BE279" s="138"/>
      <c r="BF279" s="138"/>
      <c r="BG279" s="138"/>
      <c r="BH279" s="138"/>
      <c r="BI279" s="138"/>
      <c r="BJ279" s="138"/>
      <c r="BK279" s="138"/>
      <c r="BL279" s="138"/>
      <c r="BM279" s="138"/>
      <c r="BN279" s="138"/>
      <c r="BO279" s="138"/>
      <c r="BP279" s="138"/>
      <c r="BQ279" s="138"/>
      <c r="BR279" s="138"/>
      <c r="BS279" s="138"/>
      <c r="BT279" s="138"/>
      <c r="BU279" s="138"/>
      <c r="BV279" s="138"/>
      <c r="BW279" s="138"/>
      <c r="BX279" s="138"/>
      <c r="BY279" s="138"/>
      <c r="BZ279" s="138"/>
      <c r="CA279" s="138"/>
      <c r="CB279" s="138"/>
      <c r="CC279" s="138"/>
      <c r="CD279" s="138"/>
      <c r="CE279" s="138"/>
    </row>
    <row r="280" spans="1:83" ht="12" customHeight="1">
      <c r="A280" s="454"/>
      <c r="B280" s="22"/>
      <c r="C280" s="22"/>
      <c r="D280" s="22"/>
      <c r="E280" s="22" t="s">
        <v>176</v>
      </c>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row>
    <row r="281" spans="1:83" ht="12" customHeight="1">
      <c r="A281" s="455"/>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38"/>
      <c r="BB281" s="138"/>
      <c r="BC281" s="138"/>
      <c r="BD281" s="138"/>
      <c r="BE281" s="138"/>
      <c r="BF281" s="138"/>
      <c r="BG281" s="138"/>
      <c r="BH281" s="138"/>
      <c r="BI281" s="138"/>
      <c r="BJ281" s="138"/>
      <c r="BK281" s="138"/>
      <c r="BL281" s="138"/>
      <c r="BM281" s="138"/>
      <c r="BN281" s="138"/>
      <c r="BO281" s="138"/>
      <c r="BP281" s="138"/>
      <c r="BQ281" s="138"/>
      <c r="BR281" s="138"/>
      <c r="BS281" s="138"/>
      <c r="BT281" s="138"/>
      <c r="BU281" s="138"/>
      <c r="BV281" s="138"/>
      <c r="BW281" s="138"/>
      <c r="BX281" s="138"/>
      <c r="BY281" s="138"/>
      <c r="BZ281" s="138"/>
      <c r="CA281" s="138"/>
      <c r="CB281" s="138"/>
      <c r="CC281" s="138"/>
      <c r="CD281" s="138"/>
      <c r="CE281" s="138"/>
    </row>
    <row r="282" spans="1:83" ht="12" customHeight="1">
      <c r="A282" s="454"/>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row>
    <row r="283" spans="1:83" ht="12" customHeight="1">
      <c r="A283" s="455"/>
      <c r="B283" s="138"/>
      <c r="C283" s="138"/>
      <c r="D283" s="22"/>
      <c r="E283" s="22"/>
      <c r="F283" s="22"/>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c r="CA283" s="138"/>
      <c r="CB283" s="138"/>
      <c r="CC283" s="138"/>
      <c r="CD283" s="138"/>
      <c r="CE283" s="138"/>
    </row>
    <row r="284" spans="1:83" ht="12" customHeight="1">
      <c r="A284" s="455"/>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row>
    <row r="285" spans="1:83" ht="12" customHeight="1">
      <c r="A285" s="454"/>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row>
    <row r="286" spans="1:83" ht="12" customHeight="1">
      <c r="A286" s="455"/>
      <c r="B286" s="138"/>
      <c r="C286" s="138"/>
      <c r="D286" s="22"/>
      <c r="E286" s="22"/>
      <c r="F286" s="22"/>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8"/>
      <c r="BX286" s="138"/>
      <c r="BY286" s="138"/>
      <c r="BZ286" s="138"/>
      <c r="CA286" s="138"/>
      <c r="CB286" s="138"/>
      <c r="CC286" s="138"/>
      <c r="CD286" s="138"/>
      <c r="CE286" s="138"/>
    </row>
    <row r="287" spans="1:83" ht="12" customHeight="1">
      <c r="A287" s="455"/>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38"/>
      <c r="BB287" s="138"/>
      <c r="BC287" s="138"/>
      <c r="BD287" s="138"/>
      <c r="BE287" s="138"/>
      <c r="BF287" s="138"/>
      <c r="BG287" s="138"/>
      <c r="BH287" s="138"/>
      <c r="BI287" s="138"/>
      <c r="BJ287" s="138"/>
      <c r="BK287" s="138"/>
      <c r="BL287" s="138"/>
      <c r="BM287" s="138"/>
      <c r="BN287" s="138"/>
      <c r="BO287" s="138"/>
      <c r="BP287" s="138"/>
      <c r="BQ287" s="138"/>
      <c r="BR287" s="138"/>
      <c r="BS287" s="138"/>
      <c r="BT287" s="138"/>
      <c r="BU287" s="138"/>
      <c r="BV287" s="138"/>
      <c r="BW287" s="138"/>
      <c r="BX287" s="138"/>
      <c r="BY287" s="138"/>
      <c r="BZ287" s="138"/>
      <c r="CA287" s="138"/>
      <c r="CB287" s="138"/>
      <c r="CC287" s="138"/>
      <c r="CD287" s="138"/>
      <c r="CE287" s="138"/>
    </row>
    <row r="288" spans="1:83" ht="12" customHeight="1">
      <c r="A288" s="454"/>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row>
    <row r="289" spans="1:83" ht="12" customHeight="1">
      <c r="A289" s="455"/>
      <c r="B289" s="138"/>
      <c r="C289" s="138"/>
      <c r="D289" s="22"/>
      <c r="E289" s="22"/>
      <c r="F289" s="22"/>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8"/>
      <c r="BX289" s="138"/>
      <c r="BY289" s="138"/>
      <c r="BZ289" s="138"/>
      <c r="CA289" s="138"/>
      <c r="CB289" s="138"/>
      <c r="CC289" s="138"/>
      <c r="CD289" s="138"/>
      <c r="CE289" s="138"/>
    </row>
    <row r="290" spans="1:83" ht="12" customHeight="1">
      <c r="A290" s="455"/>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row>
    <row r="291" spans="1:83" ht="12" customHeight="1">
      <c r="A291" s="454"/>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row>
    <row r="292" spans="1:83" ht="12" customHeight="1">
      <c r="A292" s="455"/>
      <c r="B292" s="138"/>
      <c r="C292" s="138"/>
      <c r="D292" s="22"/>
      <c r="E292" s="22"/>
      <c r="F292" s="22"/>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38"/>
      <c r="BB292" s="138"/>
      <c r="BC292" s="138"/>
      <c r="BD292" s="138"/>
      <c r="BE292" s="138"/>
      <c r="BF292" s="138"/>
      <c r="BG292" s="138"/>
      <c r="BH292" s="138"/>
      <c r="BI292" s="138"/>
      <c r="BJ292" s="138"/>
      <c r="BK292" s="138"/>
      <c r="BL292" s="138"/>
      <c r="BM292" s="138"/>
      <c r="BN292" s="138"/>
      <c r="BO292" s="138"/>
      <c r="BP292" s="138"/>
      <c r="BQ292" s="138"/>
      <c r="BR292" s="138"/>
      <c r="BS292" s="138"/>
      <c r="BT292" s="138"/>
      <c r="BU292" s="138"/>
      <c r="BV292" s="138"/>
      <c r="BW292" s="138"/>
      <c r="BX292" s="138"/>
      <c r="BY292" s="138"/>
      <c r="BZ292" s="138"/>
      <c r="CA292" s="138"/>
      <c r="CB292" s="138"/>
      <c r="CC292" s="138"/>
      <c r="CD292" s="138"/>
      <c r="CE292" s="138"/>
    </row>
    <row r="293" spans="1:83" ht="12" customHeight="1">
      <c r="A293" s="455"/>
      <c r="B293" s="138"/>
      <c r="C293" s="138"/>
      <c r="D293" s="22"/>
      <c r="E293" s="22"/>
      <c r="F293" s="22"/>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8"/>
      <c r="BX293" s="138"/>
      <c r="BY293" s="138"/>
      <c r="BZ293" s="138"/>
      <c r="CA293" s="138"/>
      <c r="CB293" s="138"/>
      <c r="CC293" s="138"/>
      <c r="CD293" s="138"/>
      <c r="CE293" s="138"/>
    </row>
    <row r="294" spans="1:83" ht="12" customHeight="1">
      <c r="A294" s="455"/>
      <c r="B294" s="138"/>
      <c r="C294" s="138"/>
      <c r="D294" s="22"/>
      <c r="E294" s="22"/>
      <c r="F294" s="22"/>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c r="CA294" s="138"/>
      <c r="CB294" s="138"/>
      <c r="CC294" s="138"/>
      <c r="CD294" s="138"/>
      <c r="CE294" s="138"/>
    </row>
    <row r="295" spans="1:83" ht="12" customHeight="1">
      <c r="A295" s="455"/>
      <c r="B295" s="138"/>
      <c r="C295" s="138"/>
      <c r="D295" s="22"/>
      <c r="E295" s="22"/>
      <c r="F295" s="22"/>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8"/>
      <c r="BX295" s="138"/>
      <c r="BY295" s="138"/>
      <c r="BZ295" s="138"/>
      <c r="CA295" s="138"/>
      <c r="CB295" s="138"/>
      <c r="CC295" s="138"/>
      <c r="CD295" s="138"/>
      <c r="CE295" s="138"/>
    </row>
    <row r="296" spans="1:83" ht="12" customHeight="1">
      <c r="A296" s="455"/>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row>
    <row r="297" spans="1:83" ht="12" customHeight="1">
      <c r="A297" s="454"/>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row>
    <row r="298" spans="1:83" ht="12" customHeight="1">
      <c r="A298" s="455"/>
      <c r="B298" s="138"/>
      <c r="C298" s="138"/>
      <c r="D298" s="22"/>
      <c r="E298" s="22"/>
      <c r="F298" s="22"/>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38"/>
      <c r="BB298" s="138"/>
      <c r="BC298" s="138"/>
      <c r="BD298" s="138"/>
      <c r="BE298" s="138"/>
      <c r="BF298" s="138"/>
      <c r="BG298" s="138"/>
      <c r="BH298" s="138"/>
      <c r="BI298" s="138"/>
      <c r="BJ298" s="138"/>
      <c r="BK298" s="138"/>
      <c r="BL298" s="138"/>
      <c r="BM298" s="138"/>
      <c r="BN298" s="138"/>
      <c r="BO298" s="138"/>
      <c r="BP298" s="138"/>
      <c r="BQ298" s="138"/>
      <c r="BR298" s="138"/>
      <c r="BS298" s="138"/>
      <c r="BT298" s="138"/>
      <c r="BU298" s="138"/>
      <c r="BV298" s="138"/>
      <c r="BW298" s="138"/>
      <c r="BX298" s="138"/>
      <c r="BY298" s="138"/>
      <c r="BZ298" s="138"/>
      <c r="CA298" s="138"/>
      <c r="CB298" s="138"/>
      <c r="CC298" s="138"/>
      <c r="CD298" s="138"/>
      <c r="CE298" s="138"/>
    </row>
    <row r="299" spans="1:83" ht="12" customHeight="1">
      <c r="A299" s="455"/>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38"/>
      <c r="BB299" s="138"/>
      <c r="BC299" s="138"/>
      <c r="BD299" s="138"/>
      <c r="BE299" s="138"/>
      <c r="BF299" s="138"/>
      <c r="BG299" s="138"/>
      <c r="BH299" s="138"/>
      <c r="BI299" s="138"/>
      <c r="BJ299" s="138"/>
      <c r="BK299" s="138"/>
      <c r="BL299" s="138"/>
      <c r="BM299" s="138"/>
      <c r="BN299" s="138"/>
      <c r="BO299" s="138"/>
      <c r="BP299" s="138"/>
      <c r="BQ299" s="138"/>
      <c r="BR299" s="138"/>
      <c r="BS299" s="138"/>
      <c r="BT299" s="138"/>
      <c r="BU299" s="138"/>
      <c r="BV299" s="138"/>
      <c r="BW299" s="138"/>
      <c r="BX299" s="138"/>
      <c r="BY299" s="138"/>
      <c r="BZ299" s="138"/>
      <c r="CA299" s="138"/>
      <c r="CB299" s="138"/>
      <c r="CC299" s="138"/>
      <c r="CD299" s="138"/>
      <c r="CE299" s="138"/>
    </row>
    <row r="300" spans="1:83" ht="12" customHeight="1">
      <c r="A300" s="454"/>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row>
    <row r="301" spans="1:83" ht="12" customHeight="1">
      <c r="A301" s="455"/>
      <c r="B301" s="138"/>
      <c r="C301" s="138"/>
      <c r="D301" s="22"/>
      <c r="E301" s="22"/>
      <c r="F301" s="22"/>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38"/>
      <c r="BB301" s="138"/>
      <c r="BC301" s="138"/>
      <c r="BD301" s="138"/>
      <c r="BE301" s="138"/>
      <c r="BF301" s="138"/>
      <c r="BG301" s="138"/>
      <c r="BH301" s="138"/>
      <c r="BI301" s="138"/>
      <c r="BJ301" s="138"/>
      <c r="BK301" s="138"/>
      <c r="BL301" s="138"/>
      <c r="BM301" s="138"/>
      <c r="BN301" s="138"/>
      <c r="BO301" s="138"/>
      <c r="BP301" s="138"/>
      <c r="BQ301" s="138"/>
      <c r="BR301" s="138"/>
      <c r="BS301" s="138"/>
      <c r="BT301" s="138"/>
      <c r="BU301" s="138"/>
      <c r="BV301" s="138"/>
      <c r="BW301" s="138"/>
      <c r="BX301" s="138"/>
      <c r="BY301" s="138"/>
      <c r="BZ301" s="138"/>
      <c r="CA301" s="138"/>
      <c r="CB301" s="138"/>
      <c r="CC301" s="138"/>
      <c r="CD301" s="138"/>
      <c r="CE301" s="138"/>
    </row>
    <row r="302" spans="1:83" ht="12" customHeight="1">
      <c r="A302" s="455"/>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row>
    <row r="303" spans="1:83" ht="12" customHeight="1">
      <c r="A303" s="454"/>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row>
    <row r="304" spans="1:83" ht="12" customHeight="1">
      <c r="A304" s="455"/>
      <c r="B304" s="138"/>
      <c r="C304" s="138"/>
      <c r="D304" s="22"/>
      <c r="E304" s="22"/>
      <c r="F304" s="22"/>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38"/>
      <c r="BB304" s="138"/>
      <c r="BC304" s="138"/>
      <c r="BD304" s="138"/>
      <c r="BE304" s="138"/>
      <c r="BF304" s="138"/>
      <c r="BG304" s="138"/>
      <c r="BH304" s="138"/>
      <c r="BI304" s="138"/>
      <c r="BJ304" s="138"/>
      <c r="BK304" s="138"/>
      <c r="BL304" s="138"/>
      <c r="BM304" s="138"/>
      <c r="BN304" s="138"/>
      <c r="BO304" s="138"/>
      <c r="BP304" s="138"/>
      <c r="BQ304" s="138"/>
      <c r="BR304" s="138"/>
      <c r="BS304" s="138"/>
      <c r="BT304" s="138"/>
      <c r="BU304" s="138"/>
      <c r="BV304" s="138"/>
      <c r="BW304" s="138"/>
      <c r="BX304" s="138"/>
      <c r="BY304" s="138"/>
      <c r="BZ304" s="138"/>
      <c r="CA304" s="138"/>
      <c r="CB304" s="138"/>
      <c r="CC304" s="138"/>
      <c r="CD304" s="138"/>
      <c r="CE304" s="138"/>
    </row>
    <row r="305" spans="1:83" ht="12" customHeight="1">
      <c r="A305" s="455"/>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8"/>
      <c r="BX305" s="138"/>
      <c r="BY305" s="138"/>
      <c r="BZ305" s="138"/>
      <c r="CA305" s="138"/>
      <c r="CB305" s="138"/>
      <c r="CC305" s="138"/>
      <c r="CD305" s="138"/>
      <c r="CE305" s="138"/>
    </row>
    <row r="306" spans="1:83" ht="12" customHeight="1">
      <c r="A306" s="454"/>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row>
    <row r="307" spans="1:83" ht="12" customHeight="1">
      <c r="A307" s="455"/>
      <c r="B307" s="138"/>
      <c r="C307" s="138"/>
      <c r="D307" s="22"/>
      <c r="E307" s="22"/>
      <c r="F307" s="22"/>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38"/>
      <c r="BB307" s="138"/>
      <c r="BC307" s="138"/>
      <c r="BD307" s="138"/>
      <c r="BE307" s="138"/>
      <c r="BF307" s="138"/>
      <c r="BG307" s="138"/>
      <c r="BH307" s="138"/>
      <c r="BI307" s="138"/>
      <c r="BJ307" s="138"/>
      <c r="BK307" s="138"/>
      <c r="BL307" s="138"/>
      <c r="BM307" s="138"/>
      <c r="BN307" s="138"/>
      <c r="BO307" s="138"/>
      <c r="BP307" s="138"/>
      <c r="BQ307" s="138"/>
      <c r="BR307" s="138"/>
      <c r="BS307" s="138"/>
      <c r="BT307" s="138"/>
      <c r="BU307" s="138"/>
      <c r="BV307" s="138"/>
      <c r="BW307" s="138"/>
      <c r="BX307" s="138"/>
      <c r="BY307" s="138"/>
      <c r="BZ307" s="138"/>
      <c r="CA307" s="138"/>
      <c r="CB307" s="138"/>
      <c r="CC307" s="138"/>
      <c r="CD307" s="138"/>
      <c r="CE307" s="138"/>
    </row>
    <row r="308" spans="1:83" ht="12" customHeight="1">
      <c r="A308" s="455"/>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row>
    <row r="309" spans="1:83" ht="12" customHeight="1">
      <c r="A309" s="454"/>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row>
    <row r="310" spans="1:83" ht="12" customHeight="1">
      <c r="A310" s="455"/>
      <c r="B310" s="138"/>
      <c r="C310" s="138"/>
      <c r="D310" s="22"/>
      <c r="E310" s="22"/>
      <c r="F310" s="22"/>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8"/>
      <c r="BX310" s="138"/>
      <c r="BY310" s="138"/>
      <c r="BZ310" s="138"/>
      <c r="CA310" s="138"/>
      <c r="CB310" s="138"/>
      <c r="CC310" s="138"/>
      <c r="CD310" s="138"/>
      <c r="CE310" s="138"/>
    </row>
    <row r="311" spans="1:83" ht="12" customHeight="1">
      <c r="A311" s="455"/>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38"/>
      <c r="BB311" s="138"/>
      <c r="BC311" s="138"/>
      <c r="BD311" s="138"/>
      <c r="BE311" s="138"/>
      <c r="BF311" s="138"/>
      <c r="BG311" s="138"/>
      <c r="BH311" s="138"/>
      <c r="BI311" s="138"/>
      <c r="BJ311" s="138"/>
      <c r="BK311" s="138"/>
      <c r="BL311" s="138"/>
      <c r="BM311" s="138"/>
      <c r="BN311" s="138"/>
      <c r="BO311" s="138"/>
      <c r="BP311" s="138"/>
      <c r="BQ311" s="138"/>
      <c r="BR311" s="138"/>
      <c r="BS311" s="138"/>
      <c r="BT311" s="138"/>
      <c r="BU311" s="138"/>
      <c r="BV311" s="138"/>
      <c r="BW311" s="138"/>
      <c r="BX311" s="138"/>
      <c r="BY311" s="138"/>
      <c r="BZ311" s="138"/>
      <c r="CA311" s="138"/>
      <c r="CB311" s="138"/>
      <c r="CC311" s="138"/>
      <c r="CD311" s="138"/>
      <c r="CE311" s="138"/>
    </row>
    <row r="312" spans="1:83" ht="12" customHeight="1">
      <c r="A312" s="454"/>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row>
    <row r="313" spans="1:83" ht="12" customHeight="1">
      <c r="A313" s="455"/>
      <c r="B313" s="138"/>
      <c r="C313" s="138"/>
      <c r="D313" s="22"/>
      <c r="E313" s="22"/>
      <c r="F313" s="22"/>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38"/>
      <c r="BB313" s="138"/>
      <c r="BC313" s="138"/>
      <c r="BD313" s="138"/>
      <c r="BE313" s="138"/>
      <c r="BF313" s="138"/>
      <c r="BG313" s="138"/>
      <c r="BH313" s="138"/>
      <c r="BI313" s="138"/>
      <c r="BJ313" s="138"/>
      <c r="BK313" s="138"/>
      <c r="BL313" s="138"/>
      <c r="BM313" s="138"/>
      <c r="BN313" s="138"/>
      <c r="BO313" s="138"/>
      <c r="BP313" s="138"/>
      <c r="BQ313" s="138"/>
      <c r="BR313" s="138"/>
      <c r="BS313" s="138"/>
      <c r="BT313" s="138"/>
      <c r="BU313" s="138"/>
      <c r="BV313" s="138"/>
      <c r="BW313" s="138"/>
      <c r="BX313" s="138"/>
      <c r="BY313" s="138"/>
      <c r="BZ313" s="138"/>
      <c r="CA313" s="138"/>
      <c r="CB313" s="138"/>
      <c r="CC313" s="138"/>
      <c r="CD313" s="138"/>
      <c r="CE313" s="138"/>
    </row>
    <row r="314" spans="1:83" ht="12" customHeight="1">
      <c r="A314" s="455"/>
      <c r="B314" s="138"/>
      <c r="C314" s="138"/>
      <c r="D314" s="22"/>
      <c r="E314" s="22"/>
      <c r="F314" s="22"/>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row>
    <row r="315" spans="1:83" ht="12" customHeight="1">
      <c r="A315" s="455"/>
      <c r="B315" s="138"/>
      <c r="C315" s="138"/>
      <c r="D315" s="22"/>
      <c r="E315" s="22"/>
      <c r="F315" s="22"/>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8"/>
      <c r="BB315" s="138"/>
      <c r="BC315" s="138"/>
      <c r="BD315" s="138"/>
      <c r="BE315" s="138"/>
      <c r="BF315" s="138"/>
      <c r="BG315" s="138"/>
      <c r="BH315" s="138"/>
      <c r="BI315" s="138"/>
      <c r="BJ315" s="138"/>
      <c r="BK315" s="138"/>
      <c r="BL315" s="138"/>
      <c r="BM315" s="138"/>
      <c r="BN315" s="138"/>
      <c r="BO315" s="138"/>
      <c r="BP315" s="138"/>
      <c r="BQ315" s="138"/>
      <c r="BR315" s="138"/>
      <c r="BS315" s="138"/>
      <c r="BT315" s="138"/>
      <c r="BU315" s="138"/>
      <c r="BV315" s="138"/>
      <c r="BW315" s="138"/>
      <c r="BX315" s="138"/>
      <c r="BY315" s="138"/>
      <c r="BZ315" s="138"/>
      <c r="CA315" s="138"/>
      <c r="CB315" s="138"/>
      <c r="CC315" s="138"/>
      <c r="CD315" s="138"/>
      <c r="CE315" s="138"/>
    </row>
    <row r="316" spans="1:83" ht="12" customHeight="1">
      <c r="A316" s="455"/>
      <c r="B316" s="138"/>
      <c r="C316" s="138"/>
      <c r="D316" s="22"/>
      <c r="E316" s="22"/>
      <c r="F316" s="22"/>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38"/>
      <c r="BB316" s="138"/>
      <c r="BC316" s="138"/>
      <c r="BD316" s="138"/>
      <c r="BE316" s="138"/>
      <c r="BF316" s="138"/>
      <c r="BG316" s="138"/>
      <c r="BH316" s="138"/>
      <c r="BI316" s="138"/>
      <c r="BJ316" s="138"/>
      <c r="BK316" s="138"/>
      <c r="BL316" s="138"/>
      <c r="BM316" s="138"/>
      <c r="BN316" s="138"/>
      <c r="BO316" s="138"/>
      <c r="BP316" s="138"/>
      <c r="BQ316" s="138"/>
      <c r="BR316" s="138"/>
      <c r="BS316" s="138"/>
      <c r="BT316" s="138"/>
      <c r="BU316" s="138"/>
      <c r="BV316" s="138"/>
      <c r="BW316" s="138"/>
      <c r="BX316" s="138"/>
      <c r="BY316" s="138"/>
      <c r="BZ316" s="138"/>
      <c r="CA316" s="138"/>
      <c r="CB316" s="138"/>
      <c r="CC316" s="138"/>
      <c r="CD316" s="138"/>
      <c r="CE316" s="138"/>
    </row>
    <row r="317" spans="1:83" ht="12" customHeight="1">
      <c r="A317" s="455"/>
      <c r="B317" s="138"/>
      <c r="C317" s="138"/>
      <c r="D317" s="22"/>
      <c r="E317" s="22"/>
      <c r="F317" s="22"/>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38"/>
      <c r="BB317" s="138"/>
      <c r="BC317" s="138"/>
      <c r="BD317" s="138"/>
      <c r="BE317" s="138"/>
      <c r="BF317" s="138"/>
      <c r="BG317" s="138"/>
      <c r="BH317" s="138"/>
      <c r="BI317" s="138"/>
      <c r="BJ317" s="138"/>
      <c r="BK317" s="138"/>
      <c r="BL317" s="138"/>
      <c r="BM317" s="138"/>
      <c r="BN317" s="138"/>
      <c r="BO317" s="138"/>
      <c r="BP317" s="138"/>
      <c r="BQ317" s="138"/>
      <c r="BR317" s="138"/>
      <c r="BS317" s="138"/>
      <c r="BT317" s="138"/>
      <c r="BU317" s="138"/>
      <c r="BV317" s="138"/>
      <c r="BW317" s="138"/>
      <c r="BX317" s="138"/>
      <c r="BY317" s="138"/>
      <c r="BZ317" s="138"/>
      <c r="CA317" s="138"/>
      <c r="CB317" s="138"/>
      <c r="CC317" s="138"/>
      <c r="CD317" s="138"/>
      <c r="CE317" s="138"/>
    </row>
    <row r="318" spans="1:83" ht="12" customHeight="1">
      <c r="A318" s="455"/>
      <c r="B318" s="138"/>
      <c r="C318" s="138"/>
      <c r="D318" s="22"/>
      <c r="E318" s="22"/>
      <c r="F318" s="22"/>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38"/>
      <c r="BB318" s="138"/>
      <c r="BC318" s="138"/>
      <c r="BD318" s="138"/>
      <c r="BE318" s="138"/>
      <c r="BF318" s="138"/>
      <c r="BG318" s="138"/>
      <c r="BH318" s="138"/>
      <c r="BI318" s="138"/>
      <c r="BJ318" s="138"/>
      <c r="BK318" s="138"/>
      <c r="BL318" s="138"/>
      <c r="BM318" s="138"/>
      <c r="BN318" s="138"/>
      <c r="BO318" s="138"/>
      <c r="BP318" s="138"/>
      <c r="BQ318" s="138"/>
      <c r="BR318" s="138"/>
      <c r="BS318" s="138"/>
      <c r="BT318" s="138"/>
      <c r="BU318" s="138"/>
      <c r="BV318" s="138"/>
      <c r="BW318" s="138"/>
      <c r="BX318" s="138"/>
      <c r="BY318" s="138"/>
      <c r="BZ318" s="138"/>
      <c r="CA318" s="138"/>
      <c r="CB318" s="138"/>
      <c r="CC318" s="138"/>
      <c r="CD318" s="138"/>
      <c r="CE318" s="138"/>
    </row>
    <row r="319" spans="1:83" ht="12" customHeight="1">
      <c r="A319" s="454"/>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row>
    <row r="320" spans="1:83" ht="12" customHeight="1">
      <c r="A320" s="455"/>
      <c r="B320" s="455"/>
      <c r="C320" s="455"/>
      <c r="D320" s="454" t="s">
        <v>1131</v>
      </c>
      <c r="E320" s="454"/>
      <c r="F320" s="454"/>
      <c r="G320" s="455"/>
      <c r="H320" s="455"/>
      <c r="I320" s="455"/>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row>
    <row r="321" spans="1:83" ht="12" customHeight="1">
      <c r="A321" s="455"/>
      <c r="B321" s="455"/>
      <c r="C321" s="455"/>
      <c r="D321" s="454"/>
      <c r="E321" s="454"/>
      <c r="F321" s="454"/>
      <c r="G321" s="455"/>
      <c r="H321" s="455"/>
      <c r="I321" s="455"/>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38"/>
      <c r="BB321" s="138"/>
      <c r="BC321" s="138"/>
      <c r="BD321" s="138"/>
      <c r="BE321" s="138"/>
      <c r="BF321" s="138"/>
      <c r="BG321" s="138"/>
      <c r="BH321" s="138"/>
      <c r="BI321" s="138"/>
      <c r="BJ321" s="138"/>
      <c r="BK321" s="138"/>
      <c r="BL321" s="138"/>
      <c r="BM321" s="138"/>
      <c r="BN321" s="138"/>
      <c r="BO321" s="138"/>
      <c r="BP321" s="138"/>
      <c r="BQ321" s="138"/>
      <c r="BR321" s="138"/>
      <c r="BS321" s="138"/>
      <c r="BT321" s="138"/>
      <c r="BU321" s="138"/>
      <c r="BV321" s="138"/>
      <c r="BW321" s="138"/>
      <c r="BX321" s="138"/>
      <c r="BY321" s="138"/>
      <c r="BZ321" s="138"/>
      <c r="CA321" s="138"/>
      <c r="CB321" s="138"/>
      <c r="CC321" s="138"/>
      <c r="CD321" s="138"/>
      <c r="CE321" s="138"/>
    </row>
    <row r="322" spans="1:83" ht="12" customHeight="1">
      <c r="A322" s="455"/>
      <c r="B322" s="455"/>
      <c r="C322" s="455"/>
      <c r="D322" s="454"/>
      <c r="E322" s="454" t="s">
        <v>175</v>
      </c>
      <c r="F322" s="454"/>
      <c r="G322" s="455"/>
      <c r="H322" s="455"/>
      <c r="I322" s="455"/>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38"/>
      <c r="BB322" s="138"/>
      <c r="BC322" s="138"/>
      <c r="BD322" s="138"/>
      <c r="BE322" s="138"/>
      <c r="BF322" s="138"/>
      <c r="BG322" s="138"/>
      <c r="BH322" s="138"/>
      <c r="BI322" s="138"/>
      <c r="BJ322" s="138"/>
      <c r="BK322" s="138"/>
      <c r="BL322" s="138"/>
      <c r="BM322" s="138"/>
      <c r="BN322" s="138"/>
      <c r="BO322" s="138"/>
      <c r="BP322" s="138"/>
      <c r="BQ322" s="138"/>
      <c r="BR322" s="138"/>
      <c r="BS322" s="138"/>
      <c r="BT322" s="138"/>
      <c r="BU322" s="138"/>
      <c r="BV322" s="138"/>
      <c r="BW322" s="138"/>
      <c r="BX322" s="138"/>
      <c r="BY322" s="138"/>
      <c r="BZ322" s="138"/>
      <c r="CA322" s="138"/>
      <c r="CB322" s="138"/>
      <c r="CC322" s="138"/>
      <c r="CD322" s="138"/>
      <c r="CE322" s="138"/>
    </row>
    <row r="323" spans="1:83" ht="12" customHeight="1">
      <c r="A323" s="455"/>
      <c r="B323" s="455"/>
      <c r="C323" s="455"/>
      <c r="D323" s="454"/>
      <c r="E323" s="454"/>
      <c r="F323" s="454"/>
      <c r="G323" s="455"/>
      <c r="H323" s="455"/>
      <c r="I323" s="455"/>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38"/>
      <c r="BB323" s="138"/>
      <c r="BC323" s="138"/>
      <c r="BD323" s="138"/>
      <c r="BE323" s="138"/>
      <c r="BF323" s="138"/>
      <c r="BG323" s="138"/>
      <c r="BH323" s="138"/>
      <c r="BI323" s="138"/>
      <c r="BJ323" s="138"/>
      <c r="BK323" s="138"/>
      <c r="BL323" s="138"/>
      <c r="BM323" s="138"/>
      <c r="BN323" s="138"/>
      <c r="BO323" s="138"/>
      <c r="BP323" s="138"/>
      <c r="BQ323" s="138"/>
      <c r="BR323" s="138"/>
      <c r="BS323" s="138"/>
      <c r="BT323" s="138"/>
      <c r="BU323" s="138"/>
      <c r="BV323" s="138"/>
      <c r="BW323" s="138"/>
      <c r="BX323" s="138"/>
      <c r="BY323" s="138"/>
      <c r="BZ323" s="138"/>
      <c r="CA323" s="138"/>
      <c r="CB323" s="138"/>
      <c r="CC323" s="138"/>
      <c r="CD323" s="138"/>
      <c r="CE323" s="138"/>
    </row>
    <row r="324" spans="1:83" ht="12" customHeight="1">
      <c r="A324" s="455"/>
      <c r="B324" s="455"/>
      <c r="C324" s="455"/>
      <c r="D324" s="454"/>
      <c r="E324" s="454"/>
      <c r="F324" s="454" t="s">
        <v>1132</v>
      </c>
      <c r="G324" s="455"/>
      <c r="H324" s="455"/>
      <c r="I324" s="455"/>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38"/>
      <c r="BB324" s="138"/>
      <c r="BC324" s="138"/>
      <c r="BD324" s="138"/>
      <c r="BE324" s="138"/>
      <c r="BF324" s="138"/>
      <c r="BG324" s="138"/>
      <c r="BH324" s="138"/>
      <c r="BI324" s="138"/>
      <c r="BJ324" s="138"/>
      <c r="BK324" s="138"/>
      <c r="BL324" s="138"/>
      <c r="BM324" s="138"/>
      <c r="BN324" s="138"/>
      <c r="BO324" s="138"/>
      <c r="BP324" s="138"/>
      <c r="BQ324" s="138"/>
      <c r="BR324" s="138"/>
      <c r="BS324" s="138"/>
      <c r="BT324" s="138"/>
      <c r="BU324" s="138"/>
      <c r="BV324" s="138"/>
      <c r="BW324" s="138"/>
      <c r="BX324" s="138"/>
      <c r="BY324" s="138"/>
      <c r="BZ324" s="138"/>
      <c r="CA324" s="138"/>
      <c r="CB324" s="138"/>
      <c r="CC324" s="138"/>
      <c r="CD324" s="138"/>
      <c r="CE324" s="138"/>
    </row>
    <row r="325" spans="1:83" ht="12" customHeight="1">
      <c r="A325" s="455"/>
      <c r="B325" s="455"/>
      <c r="C325" s="455"/>
      <c r="D325" s="454"/>
      <c r="E325" s="454"/>
      <c r="F325" s="454" t="s">
        <v>664</v>
      </c>
      <c r="G325" s="454"/>
      <c r="H325" s="455"/>
      <c r="I325" s="455"/>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8"/>
      <c r="BB325" s="138"/>
      <c r="BC325" s="138"/>
      <c r="BD325" s="138"/>
      <c r="BE325" s="138"/>
      <c r="BF325" s="138"/>
      <c r="BG325" s="138"/>
      <c r="BH325" s="138"/>
      <c r="BI325" s="138"/>
      <c r="BJ325" s="138"/>
      <c r="BK325" s="138"/>
      <c r="BL325" s="138"/>
      <c r="BM325" s="138"/>
      <c r="BN325" s="138"/>
      <c r="BO325" s="138"/>
      <c r="BP325" s="138"/>
      <c r="BQ325" s="138"/>
      <c r="BR325" s="138"/>
      <c r="BS325" s="138"/>
      <c r="BT325" s="138"/>
      <c r="BU325" s="138"/>
      <c r="BV325" s="138"/>
      <c r="BW325" s="138"/>
      <c r="BX325" s="138"/>
      <c r="BY325" s="138"/>
      <c r="BZ325" s="138"/>
      <c r="CA325" s="138"/>
      <c r="CB325" s="138"/>
      <c r="CC325" s="138"/>
      <c r="CD325" s="138"/>
      <c r="CE325" s="138"/>
    </row>
    <row r="326" spans="1:83" ht="12" customHeight="1">
      <c r="A326" s="455"/>
      <c r="B326" s="455"/>
      <c r="C326" s="455"/>
      <c r="D326" s="454"/>
      <c r="E326" s="454"/>
      <c r="F326" s="454" t="s">
        <v>186</v>
      </c>
      <c r="G326" s="454"/>
      <c r="H326" s="455"/>
      <c r="I326" s="455"/>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row>
    <row r="327" spans="1:83" ht="12" customHeight="1">
      <c r="A327" s="455"/>
      <c r="B327" s="455"/>
      <c r="C327" s="455"/>
      <c r="D327" s="454"/>
      <c r="E327" s="454"/>
      <c r="F327" s="454" t="s">
        <v>695</v>
      </c>
      <c r="G327" s="454"/>
      <c r="H327" s="455"/>
      <c r="I327" s="455"/>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38"/>
      <c r="BB327" s="138"/>
      <c r="BC327" s="138"/>
      <c r="BD327" s="138"/>
      <c r="BE327" s="138"/>
      <c r="BF327" s="138"/>
      <c r="BG327" s="138"/>
      <c r="BH327" s="138"/>
      <c r="BI327" s="138"/>
      <c r="BJ327" s="138"/>
      <c r="BK327" s="138"/>
      <c r="BL327" s="138"/>
      <c r="BM327" s="138"/>
      <c r="BN327" s="138"/>
      <c r="BO327" s="138"/>
      <c r="BP327" s="138"/>
      <c r="BQ327" s="138"/>
      <c r="BR327" s="138"/>
      <c r="BS327" s="138"/>
      <c r="BT327" s="138"/>
      <c r="BU327" s="138"/>
      <c r="BV327" s="138"/>
      <c r="BW327" s="138"/>
      <c r="BX327" s="138"/>
      <c r="BY327" s="138"/>
      <c r="BZ327" s="138"/>
      <c r="CA327" s="138"/>
      <c r="CB327" s="138"/>
      <c r="CC327" s="138"/>
      <c r="CD327" s="138"/>
      <c r="CE327" s="138"/>
    </row>
    <row r="328" spans="1:83" ht="12" customHeight="1">
      <c r="A328" s="455"/>
      <c r="B328" s="455"/>
      <c r="C328" s="455"/>
      <c r="D328" s="454"/>
      <c r="E328" s="454"/>
      <c r="F328" s="454" t="s">
        <v>696</v>
      </c>
      <c r="G328" s="454"/>
      <c r="H328" s="455"/>
      <c r="I328" s="455"/>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38"/>
      <c r="BB328" s="138"/>
      <c r="BC328" s="138"/>
      <c r="BD328" s="138"/>
      <c r="BE328" s="138"/>
      <c r="BF328" s="138"/>
      <c r="BG328" s="138"/>
      <c r="BH328" s="138"/>
      <c r="BI328" s="138"/>
      <c r="BJ328" s="138"/>
      <c r="BK328" s="138"/>
      <c r="BL328" s="138"/>
      <c r="BM328" s="138"/>
      <c r="BN328" s="138"/>
      <c r="BO328" s="138"/>
      <c r="BP328" s="138"/>
      <c r="BQ328" s="138"/>
      <c r="BR328" s="138"/>
      <c r="BS328" s="138"/>
      <c r="BT328" s="138"/>
      <c r="BU328" s="138"/>
      <c r="BV328" s="138"/>
      <c r="BW328" s="138"/>
      <c r="BX328" s="138"/>
      <c r="BY328" s="138"/>
      <c r="BZ328" s="138"/>
      <c r="CA328" s="138"/>
      <c r="CB328" s="138"/>
      <c r="CC328" s="138"/>
      <c r="CD328" s="138"/>
      <c r="CE328" s="138"/>
    </row>
    <row r="329" spans="1:83" ht="12" customHeight="1">
      <c r="A329" s="455"/>
      <c r="B329" s="455"/>
      <c r="C329" s="455"/>
      <c r="D329" s="454"/>
      <c r="E329" s="454"/>
      <c r="F329" s="454" t="s">
        <v>697</v>
      </c>
      <c r="G329" s="454"/>
      <c r="H329" s="455"/>
      <c r="I329" s="455"/>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38"/>
      <c r="BB329" s="138"/>
      <c r="BC329" s="138"/>
      <c r="BD329" s="138"/>
      <c r="BE329" s="138"/>
      <c r="BF329" s="138"/>
      <c r="BG329" s="138"/>
      <c r="BH329" s="138"/>
      <c r="BI329" s="138"/>
      <c r="BJ329" s="138"/>
      <c r="BK329" s="138"/>
      <c r="BL329" s="138"/>
      <c r="BM329" s="138"/>
      <c r="BN329" s="138"/>
      <c r="BO329" s="138"/>
      <c r="BP329" s="138"/>
      <c r="BQ329" s="138"/>
      <c r="BR329" s="138"/>
      <c r="BS329" s="138"/>
      <c r="BT329" s="138"/>
      <c r="BU329" s="138"/>
      <c r="BV329" s="138"/>
      <c r="BW329" s="138"/>
      <c r="BX329" s="138"/>
      <c r="BY329" s="138"/>
      <c r="BZ329" s="138"/>
      <c r="CA329" s="138"/>
      <c r="CB329" s="138"/>
      <c r="CC329" s="138"/>
      <c r="CD329" s="138"/>
      <c r="CE329" s="138"/>
    </row>
    <row r="330" spans="1:83" ht="12" customHeight="1">
      <c r="A330" s="455"/>
      <c r="B330" s="455"/>
      <c r="C330" s="455"/>
      <c r="D330" s="454"/>
      <c r="E330" s="454"/>
      <c r="F330" s="454" t="s">
        <v>698</v>
      </c>
      <c r="G330" s="454"/>
      <c r="H330" s="455"/>
      <c r="I330" s="455"/>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8"/>
      <c r="BB330" s="138"/>
      <c r="BC330" s="138"/>
      <c r="BD330" s="138"/>
      <c r="BE330" s="138"/>
      <c r="BF330" s="138"/>
      <c r="BG330" s="138"/>
      <c r="BH330" s="138"/>
      <c r="BI330" s="138"/>
      <c r="BJ330" s="138"/>
      <c r="BK330" s="138"/>
      <c r="BL330" s="138"/>
      <c r="BM330" s="138"/>
      <c r="BN330" s="138"/>
      <c r="BO330" s="138"/>
      <c r="BP330" s="138"/>
      <c r="BQ330" s="138"/>
      <c r="BR330" s="138"/>
      <c r="BS330" s="138"/>
      <c r="BT330" s="138"/>
      <c r="BU330" s="138"/>
      <c r="BV330" s="138"/>
      <c r="BW330" s="138"/>
      <c r="BX330" s="138"/>
      <c r="BY330" s="138"/>
      <c r="BZ330" s="138"/>
      <c r="CA330" s="138"/>
      <c r="CB330" s="138"/>
      <c r="CC330" s="138"/>
      <c r="CD330" s="138"/>
      <c r="CE330" s="138"/>
    </row>
    <row r="331" spans="1:83" ht="12" customHeight="1">
      <c r="A331" s="455"/>
      <c r="B331" s="455"/>
      <c r="C331" s="455"/>
      <c r="D331" s="454"/>
      <c r="E331" s="454"/>
      <c r="F331" s="454" t="s">
        <v>185</v>
      </c>
      <c r="G331" s="454"/>
      <c r="H331" s="455"/>
      <c r="I331" s="455"/>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38"/>
      <c r="BB331" s="138"/>
      <c r="BC331" s="138"/>
      <c r="BD331" s="138"/>
      <c r="BE331" s="138"/>
      <c r="BF331" s="138"/>
      <c r="BG331" s="138"/>
      <c r="BH331" s="138"/>
      <c r="BI331" s="138"/>
      <c r="BJ331" s="138"/>
      <c r="BK331" s="138"/>
      <c r="BL331" s="138"/>
      <c r="BM331" s="138"/>
      <c r="BN331" s="138"/>
      <c r="BO331" s="138"/>
      <c r="BP331" s="138"/>
      <c r="BQ331" s="138"/>
      <c r="BR331" s="138"/>
      <c r="BS331" s="138"/>
      <c r="BT331" s="138"/>
      <c r="BU331" s="138"/>
      <c r="BV331" s="138"/>
      <c r="BW331" s="138"/>
      <c r="BX331" s="138"/>
      <c r="BY331" s="138"/>
      <c r="BZ331" s="138"/>
      <c r="CA331" s="138"/>
      <c r="CB331" s="138"/>
      <c r="CC331" s="138"/>
      <c r="CD331" s="138"/>
      <c r="CE331" s="138"/>
    </row>
    <row r="332" spans="1:83" ht="12" customHeight="1">
      <c r="A332" s="455"/>
      <c r="B332" s="455"/>
      <c r="C332" s="455"/>
      <c r="D332" s="454"/>
      <c r="E332" s="454"/>
      <c r="F332" s="454" t="s">
        <v>184</v>
      </c>
      <c r="G332" s="454"/>
      <c r="H332" s="455"/>
      <c r="I332" s="455"/>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row>
    <row r="333" spans="1:83" ht="12" customHeight="1">
      <c r="A333" s="455"/>
      <c r="B333" s="455"/>
      <c r="C333" s="455"/>
      <c r="D333" s="454"/>
      <c r="E333" s="454"/>
      <c r="F333" s="454" t="s">
        <v>183</v>
      </c>
      <c r="G333" s="454"/>
      <c r="H333" s="455"/>
      <c r="I333" s="455"/>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8"/>
      <c r="BB333" s="138"/>
      <c r="BC333" s="138"/>
      <c r="BD333" s="138"/>
      <c r="BE333" s="138"/>
      <c r="BF333" s="138"/>
      <c r="BG333" s="138"/>
      <c r="BH333" s="138"/>
      <c r="BI333" s="138"/>
      <c r="BJ333" s="138"/>
      <c r="BK333" s="138"/>
      <c r="BL333" s="138"/>
      <c r="BM333" s="138"/>
      <c r="BN333" s="138"/>
      <c r="BO333" s="138"/>
      <c r="BP333" s="138"/>
      <c r="BQ333" s="138"/>
      <c r="BR333" s="138"/>
      <c r="BS333" s="138"/>
      <c r="BT333" s="138"/>
      <c r="BU333" s="138"/>
      <c r="BV333" s="138"/>
      <c r="BW333" s="138"/>
      <c r="BX333" s="138"/>
      <c r="BY333" s="138"/>
      <c r="BZ333" s="138"/>
      <c r="CA333" s="138"/>
      <c r="CB333" s="138"/>
      <c r="CC333" s="138"/>
      <c r="CD333" s="138"/>
      <c r="CE333" s="138"/>
    </row>
    <row r="334" spans="1:83" ht="12" customHeight="1">
      <c r="A334" s="455"/>
      <c r="B334" s="455"/>
      <c r="C334" s="455"/>
      <c r="D334" s="454"/>
      <c r="E334" s="454"/>
      <c r="F334" s="454"/>
      <c r="G334" s="455"/>
      <c r="H334" s="455"/>
      <c r="I334" s="455"/>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38"/>
      <c r="BB334" s="138"/>
      <c r="BC334" s="138"/>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38"/>
      <c r="CB334" s="138"/>
      <c r="CC334" s="138"/>
      <c r="CD334" s="138"/>
      <c r="CE334" s="138"/>
    </row>
    <row r="335" spans="1:83" ht="12" customHeight="1">
      <c r="A335" s="455"/>
      <c r="B335" s="455"/>
      <c r="C335" s="455"/>
      <c r="D335" s="454" t="s">
        <v>1133</v>
      </c>
      <c r="E335" s="454"/>
      <c r="F335" s="454"/>
      <c r="G335" s="455"/>
      <c r="H335" s="455"/>
      <c r="I335" s="455"/>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38"/>
      <c r="BB335" s="138"/>
      <c r="BC335" s="138"/>
      <c r="BD335" s="138"/>
      <c r="BE335" s="138"/>
      <c r="BF335" s="138"/>
      <c r="BG335" s="138"/>
      <c r="BH335" s="138"/>
      <c r="BI335" s="138"/>
      <c r="BJ335" s="138"/>
      <c r="BK335" s="138"/>
      <c r="BL335" s="138"/>
      <c r="BM335" s="138"/>
      <c r="BN335" s="138"/>
      <c r="BO335" s="138"/>
      <c r="BP335" s="138"/>
      <c r="BQ335" s="138"/>
      <c r="BR335" s="138"/>
      <c r="BS335" s="138"/>
      <c r="BT335" s="138"/>
      <c r="BU335" s="138"/>
      <c r="BV335" s="138"/>
      <c r="BW335" s="138"/>
      <c r="BX335" s="138"/>
      <c r="BY335" s="138"/>
      <c r="BZ335" s="138"/>
      <c r="CA335" s="138"/>
      <c r="CB335" s="138"/>
      <c r="CC335" s="138"/>
      <c r="CD335" s="138"/>
      <c r="CE335" s="138"/>
    </row>
    <row r="336" spans="1:83" ht="12" customHeight="1">
      <c r="A336" s="455"/>
      <c r="B336" s="455"/>
      <c r="C336" s="455"/>
      <c r="D336" s="454"/>
      <c r="E336" s="454"/>
      <c r="F336" s="454"/>
      <c r="G336" s="455"/>
      <c r="H336" s="455"/>
      <c r="I336" s="455"/>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38"/>
      <c r="BB336" s="138"/>
      <c r="BC336" s="138"/>
      <c r="BD336" s="138"/>
      <c r="BE336" s="138"/>
      <c r="BF336" s="138"/>
      <c r="BG336" s="138"/>
      <c r="BH336" s="138"/>
      <c r="BI336" s="138"/>
      <c r="BJ336" s="138"/>
      <c r="BK336" s="138"/>
      <c r="BL336" s="138"/>
      <c r="BM336" s="138"/>
      <c r="BN336" s="138"/>
      <c r="BO336" s="138"/>
      <c r="BP336" s="138"/>
      <c r="BQ336" s="138"/>
      <c r="BR336" s="138"/>
      <c r="BS336" s="138"/>
      <c r="BT336" s="138"/>
      <c r="BU336" s="138"/>
      <c r="BV336" s="138"/>
      <c r="BW336" s="138"/>
      <c r="BX336" s="138"/>
      <c r="BY336" s="138"/>
      <c r="BZ336" s="138"/>
      <c r="CA336" s="138"/>
      <c r="CB336" s="138"/>
      <c r="CC336" s="138"/>
      <c r="CD336" s="138"/>
      <c r="CE336" s="138"/>
    </row>
    <row r="337" spans="1:83" ht="12" customHeight="1">
      <c r="A337" s="455"/>
      <c r="B337" s="455"/>
      <c r="C337" s="455"/>
      <c r="D337" s="454"/>
      <c r="E337" s="454" t="s">
        <v>182</v>
      </c>
      <c r="F337" s="454"/>
      <c r="G337" s="455"/>
      <c r="H337" s="455"/>
      <c r="I337" s="455"/>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38"/>
      <c r="BB337" s="138"/>
      <c r="BC337" s="138"/>
      <c r="BD337" s="138"/>
      <c r="BE337" s="138"/>
      <c r="BF337" s="138"/>
      <c r="BG337" s="138"/>
      <c r="BH337" s="138"/>
      <c r="BI337" s="138"/>
      <c r="BJ337" s="138"/>
      <c r="BK337" s="138"/>
      <c r="BL337" s="138"/>
      <c r="BM337" s="138"/>
      <c r="BN337" s="138"/>
      <c r="BO337" s="138"/>
      <c r="BP337" s="138"/>
      <c r="BQ337" s="138"/>
      <c r="BR337" s="138"/>
      <c r="BS337" s="138"/>
      <c r="BT337" s="138"/>
      <c r="BU337" s="138"/>
      <c r="BV337" s="138"/>
      <c r="BW337" s="138"/>
      <c r="BX337" s="138"/>
      <c r="BY337" s="138"/>
      <c r="BZ337" s="138"/>
      <c r="CA337" s="138"/>
      <c r="CB337" s="138"/>
      <c r="CC337" s="138"/>
      <c r="CD337" s="138"/>
      <c r="CE337" s="138"/>
    </row>
    <row r="338" spans="1:83" ht="12" customHeight="1">
      <c r="A338" s="455"/>
      <c r="B338" s="138"/>
      <c r="C338" s="138"/>
      <c r="D338" s="22"/>
      <c r="E338" s="22"/>
      <c r="F338" s="22"/>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row>
    <row r="339" spans="1:83" ht="12" customHeight="1">
      <c r="A339" s="455"/>
      <c r="B339" s="138"/>
      <c r="C339" s="138"/>
      <c r="D339" s="22"/>
      <c r="E339" s="22"/>
      <c r="F339" s="22"/>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38"/>
      <c r="BB339" s="138"/>
      <c r="BC339" s="138"/>
      <c r="BD339" s="138"/>
      <c r="BE339" s="138"/>
      <c r="BF339" s="138"/>
      <c r="BG339" s="138"/>
      <c r="BH339" s="138"/>
      <c r="BI339" s="138"/>
      <c r="BJ339" s="138"/>
      <c r="BK339" s="138"/>
      <c r="BL339" s="138"/>
      <c r="BM339" s="138"/>
      <c r="BN339" s="138"/>
      <c r="BO339" s="138"/>
      <c r="BP339" s="138"/>
      <c r="BQ339" s="138"/>
      <c r="BR339" s="138"/>
      <c r="BS339" s="138"/>
      <c r="BT339" s="138"/>
      <c r="BU339" s="138"/>
      <c r="BV339" s="138"/>
      <c r="BW339" s="138"/>
      <c r="BX339" s="138"/>
      <c r="BY339" s="138"/>
      <c r="BZ339" s="138"/>
      <c r="CA339" s="138"/>
      <c r="CB339" s="138"/>
      <c r="CC339" s="138"/>
      <c r="CD339" s="138"/>
      <c r="CE339" s="138"/>
    </row>
    <row r="340" spans="1:83" ht="12" customHeight="1">
      <c r="A340" s="455"/>
      <c r="B340" s="138"/>
      <c r="C340" s="138"/>
      <c r="D340" s="22"/>
      <c r="E340" s="22"/>
      <c r="F340" s="22"/>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38"/>
      <c r="BB340" s="138"/>
      <c r="BC340" s="138"/>
      <c r="BD340" s="138"/>
      <c r="BE340" s="138"/>
      <c r="BF340" s="138"/>
      <c r="BG340" s="138"/>
      <c r="BH340" s="138"/>
      <c r="BI340" s="138"/>
      <c r="BJ340" s="138"/>
      <c r="BK340" s="138"/>
      <c r="BL340" s="138"/>
      <c r="BM340" s="138"/>
      <c r="BN340" s="138"/>
      <c r="BO340" s="138"/>
      <c r="BP340" s="138"/>
      <c r="BQ340" s="138"/>
      <c r="BR340" s="138"/>
      <c r="BS340" s="138"/>
      <c r="BT340" s="138"/>
      <c r="BU340" s="138"/>
      <c r="BV340" s="138"/>
      <c r="BW340" s="138"/>
      <c r="BX340" s="138"/>
      <c r="BY340" s="138"/>
      <c r="BZ340" s="138"/>
      <c r="CA340" s="138"/>
      <c r="CB340" s="138"/>
      <c r="CC340" s="138"/>
      <c r="CD340" s="138"/>
      <c r="CE340" s="138"/>
    </row>
    <row r="341" spans="1:83" ht="12" customHeight="1">
      <c r="A341" s="455"/>
      <c r="B341" s="138"/>
      <c r="C341" s="138"/>
      <c r="D341" s="22"/>
      <c r="E341" s="22"/>
      <c r="F341" s="22"/>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38"/>
      <c r="BB341" s="138"/>
      <c r="BC341" s="138"/>
      <c r="BD341" s="138"/>
      <c r="BE341" s="138"/>
      <c r="BF341" s="138"/>
      <c r="BG341" s="138"/>
      <c r="BH341" s="138"/>
      <c r="BI341" s="138"/>
      <c r="BJ341" s="138"/>
      <c r="BK341" s="138"/>
      <c r="BL341" s="138"/>
      <c r="BM341" s="138"/>
      <c r="BN341" s="138"/>
      <c r="BO341" s="138"/>
      <c r="BP341" s="138"/>
      <c r="BQ341" s="138"/>
      <c r="BR341" s="138"/>
      <c r="BS341" s="138"/>
      <c r="BT341" s="138"/>
      <c r="BU341" s="138"/>
      <c r="BV341" s="138"/>
      <c r="BW341" s="138"/>
      <c r="BX341" s="138"/>
      <c r="BY341" s="138"/>
      <c r="BZ341" s="138"/>
      <c r="CA341" s="138"/>
      <c r="CB341" s="138"/>
      <c r="CC341" s="138"/>
      <c r="CD341" s="138"/>
      <c r="CE341" s="138"/>
    </row>
    <row r="342" spans="1:83" ht="12" customHeight="1">
      <c r="A342" s="455"/>
      <c r="B342" s="138"/>
      <c r="C342" s="138"/>
      <c r="D342" s="22"/>
      <c r="E342" s="22"/>
      <c r="F342" s="22"/>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38"/>
      <c r="BB342" s="138"/>
      <c r="BC342" s="138"/>
      <c r="BD342" s="138"/>
      <c r="BE342" s="138"/>
      <c r="BF342" s="138"/>
      <c r="BG342" s="138"/>
      <c r="BH342" s="138"/>
      <c r="BI342" s="138"/>
      <c r="BJ342" s="138"/>
      <c r="BK342" s="138"/>
      <c r="BL342" s="138"/>
      <c r="BM342" s="138"/>
      <c r="BN342" s="138"/>
      <c r="BO342" s="138"/>
      <c r="BP342" s="138"/>
      <c r="BQ342" s="138"/>
      <c r="BR342" s="138"/>
      <c r="BS342" s="138"/>
      <c r="BT342" s="138"/>
      <c r="BU342" s="138"/>
      <c r="BV342" s="138"/>
      <c r="BW342" s="138"/>
      <c r="BX342" s="138"/>
      <c r="BY342" s="138"/>
      <c r="BZ342" s="138"/>
      <c r="CA342" s="138"/>
      <c r="CB342" s="138"/>
      <c r="CC342" s="138"/>
      <c r="CD342" s="138"/>
      <c r="CE342" s="138"/>
    </row>
    <row r="343" spans="1:83" ht="12" customHeight="1">
      <c r="A343" s="455"/>
      <c r="B343" s="138"/>
      <c r="C343" s="138"/>
      <c r="D343" s="22"/>
      <c r="E343" s="22"/>
      <c r="F343" s="22"/>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38"/>
      <c r="BB343" s="138"/>
      <c r="BC343" s="138"/>
      <c r="BD343" s="138"/>
      <c r="BE343" s="138"/>
      <c r="BF343" s="138"/>
      <c r="BG343" s="138"/>
      <c r="BH343" s="138"/>
      <c r="BI343" s="138"/>
      <c r="BJ343" s="138"/>
      <c r="BK343" s="138"/>
      <c r="BL343" s="138"/>
      <c r="BM343" s="138"/>
      <c r="BN343" s="138"/>
      <c r="BO343" s="138"/>
      <c r="BP343" s="138"/>
      <c r="BQ343" s="138"/>
      <c r="BR343" s="138"/>
      <c r="BS343" s="138"/>
      <c r="BT343" s="138"/>
      <c r="BU343" s="138"/>
      <c r="BV343" s="138"/>
      <c r="BW343" s="138"/>
      <c r="BX343" s="138"/>
      <c r="BY343" s="138"/>
      <c r="BZ343" s="138"/>
      <c r="CA343" s="138"/>
      <c r="CB343" s="138"/>
      <c r="CC343" s="138"/>
      <c r="CD343" s="138"/>
      <c r="CE343" s="138"/>
    </row>
    <row r="344" spans="1:83" ht="12" customHeight="1">
      <c r="A344" s="455"/>
      <c r="B344" s="138"/>
      <c r="C344" s="138"/>
      <c r="D344" s="22"/>
      <c r="E344" s="22"/>
      <c r="F344" s="22"/>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38"/>
      <c r="BB344" s="138"/>
      <c r="BC344" s="138"/>
      <c r="BD344" s="138"/>
      <c r="BE344" s="138"/>
      <c r="BF344" s="138"/>
      <c r="BG344" s="138"/>
      <c r="BH344" s="138"/>
      <c r="BI344" s="138"/>
      <c r="BJ344" s="138"/>
      <c r="BK344" s="138"/>
      <c r="BL344" s="138"/>
      <c r="BM344" s="138"/>
      <c r="BN344" s="138"/>
      <c r="BO344" s="138"/>
      <c r="BP344" s="138"/>
      <c r="BQ344" s="138"/>
      <c r="BR344" s="138"/>
      <c r="BS344" s="138"/>
      <c r="BT344" s="138"/>
      <c r="BU344" s="138"/>
      <c r="BV344" s="138"/>
      <c r="BW344" s="138"/>
      <c r="BX344" s="138"/>
      <c r="BY344" s="138"/>
      <c r="BZ344" s="138"/>
      <c r="CA344" s="138"/>
      <c r="CB344" s="138"/>
      <c r="CC344" s="138"/>
      <c r="CD344" s="138"/>
      <c r="CE344" s="138"/>
    </row>
    <row r="345" spans="1:83" ht="12" customHeight="1">
      <c r="A345" s="455"/>
      <c r="B345" s="138"/>
      <c r="C345" s="138"/>
      <c r="D345" s="22"/>
      <c r="E345" s="22"/>
      <c r="F345" s="22"/>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row>
    <row r="346" spans="1:83" ht="12" customHeight="1">
      <c r="A346" s="455"/>
      <c r="B346" s="138"/>
      <c r="C346" s="138"/>
      <c r="D346" s="22"/>
      <c r="E346" s="22"/>
      <c r="F346" s="22"/>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38"/>
      <c r="BB346" s="138"/>
      <c r="BC346" s="138"/>
      <c r="BD346" s="138"/>
      <c r="BE346" s="138"/>
      <c r="BF346" s="138"/>
      <c r="BG346" s="138"/>
      <c r="BH346" s="138"/>
      <c r="BI346" s="138"/>
      <c r="BJ346" s="138"/>
      <c r="BK346" s="138"/>
      <c r="BL346" s="138"/>
      <c r="BM346" s="138"/>
      <c r="BN346" s="138"/>
      <c r="BO346" s="138"/>
      <c r="BP346" s="138"/>
      <c r="BQ346" s="138"/>
      <c r="BR346" s="138"/>
      <c r="BS346" s="138"/>
      <c r="BT346" s="138"/>
      <c r="BU346" s="138"/>
      <c r="BV346" s="138"/>
      <c r="BW346" s="138"/>
      <c r="BX346" s="138"/>
      <c r="BY346" s="138"/>
      <c r="BZ346" s="138"/>
      <c r="CA346" s="138"/>
      <c r="CB346" s="138"/>
      <c r="CC346" s="138"/>
      <c r="CD346" s="138"/>
      <c r="CE346" s="138"/>
    </row>
    <row r="347" spans="1:83" ht="12" customHeight="1">
      <c r="A347" s="455"/>
      <c r="B347" s="138"/>
      <c r="C347" s="138"/>
      <c r="D347" s="22"/>
      <c r="E347" s="22"/>
      <c r="F347" s="22"/>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38"/>
      <c r="BB347" s="138"/>
      <c r="BC347" s="138"/>
      <c r="BD347" s="138"/>
      <c r="BE347" s="138"/>
      <c r="BF347" s="138"/>
      <c r="BG347" s="138"/>
      <c r="BH347" s="138"/>
      <c r="BI347" s="138"/>
      <c r="BJ347" s="138"/>
      <c r="BK347" s="138"/>
      <c r="BL347" s="138"/>
      <c r="BM347" s="138"/>
      <c r="BN347" s="138"/>
      <c r="BO347" s="138"/>
      <c r="BP347" s="138"/>
      <c r="BQ347" s="138"/>
      <c r="BR347" s="138"/>
      <c r="BS347" s="138"/>
      <c r="BT347" s="138"/>
      <c r="BU347" s="138"/>
      <c r="BV347" s="138"/>
      <c r="BW347" s="138"/>
      <c r="BX347" s="138"/>
      <c r="BY347" s="138"/>
      <c r="BZ347" s="138"/>
      <c r="CA347" s="138"/>
      <c r="CB347" s="138"/>
      <c r="CC347" s="138"/>
      <c r="CD347" s="138"/>
      <c r="CE347" s="138"/>
    </row>
    <row r="348" spans="1:83" ht="12" customHeight="1">
      <c r="A348" s="455"/>
      <c r="B348" s="138"/>
      <c r="C348" s="138"/>
      <c r="D348" s="22"/>
      <c r="E348" s="22"/>
      <c r="F348" s="22"/>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38"/>
      <c r="BB348" s="138"/>
      <c r="BC348" s="138"/>
      <c r="BD348" s="138"/>
      <c r="BE348" s="138"/>
      <c r="BF348" s="138"/>
      <c r="BG348" s="138"/>
      <c r="BH348" s="138"/>
      <c r="BI348" s="138"/>
      <c r="BJ348" s="138"/>
      <c r="BK348" s="138"/>
      <c r="BL348" s="138"/>
      <c r="BM348" s="138"/>
      <c r="BN348" s="138"/>
      <c r="BO348" s="138"/>
      <c r="BP348" s="138"/>
      <c r="BQ348" s="138"/>
      <c r="BR348" s="138"/>
      <c r="BS348" s="138"/>
      <c r="BT348" s="138"/>
      <c r="BU348" s="138"/>
      <c r="BV348" s="138"/>
      <c r="BW348" s="138"/>
      <c r="BX348" s="138"/>
      <c r="BY348" s="138"/>
      <c r="BZ348" s="138"/>
      <c r="CA348" s="138"/>
      <c r="CB348" s="138"/>
      <c r="CC348" s="138"/>
      <c r="CD348" s="138"/>
      <c r="CE348" s="138"/>
    </row>
    <row r="349" spans="1:83" ht="12" customHeight="1">
      <c r="A349" s="455"/>
      <c r="B349" s="138"/>
      <c r="D349" s="22"/>
      <c r="E349" s="22"/>
      <c r="F349" s="22"/>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38"/>
      <c r="BB349" s="138"/>
      <c r="BC349" s="138"/>
      <c r="BD349" s="138"/>
      <c r="BE349" s="138"/>
      <c r="BF349" s="138"/>
      <c r="BG349" s="138"/>
      <c r="BH349" s="138"/>
      <c r="BI349" s="138"/>
      <c r="BJ349" s="138"/>
      <c r="BK349" s="138"/>
      <c r="BL349" s="138"/>
      <c r="BM349" s="138"/>
      <c r="BN349" s="138"/>
      <c r="BO349" s="138"/>
      <c r="BP349" s="138"/>
      <c r="BQ349" s="138"/>
      <c r="BR349" s="138"/>
      <c r="BS349" s="138"/>
      <c r="BT349" s="138"/>
      <c r="BU349" s="138"/>
      <c r="BV349" s="138"/>
      <c r="BW349" s="138"/>
      <c r="BX349" s="138"/>
      <c r="BY349" s="138"/>
      <c r="BZ349" s="138"/>
      <c r="CA349" s="138"/>
      <c r="CB349" s="138"/>
      <c r="CC349" s="138"/>
      <c r="CD349" s="138"/>
      <c r="CE349" s="138"/>
    </row>
    <row r="350" spans="1:83" ht="12" customHeight="1">
      <c r="A350" s="455"/>
      <c r="B350" s="138"/>
      <c r="C350" s="138"/>
      <c r="D350" s="22"/>
      <c r="E350" s="22"/>
      <c r="F350" s="22"/>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38"/>
      <c r="BB350" s="138"/>
      <c r="BC350" s="138"/>
      <c r="BD350" s="138"/>
      <c r="BE350" s="138"/>
      <c r="BF350" s="138"/>
      <c r="BG350" s="138"/>
      <c r="BH350" s="138"/>
      <c r="BI350" s="138"/>
      <c r="BJ350" s="138"/>
      <c r="BK350" s="138"/>
      <c r="BL350" s="138"/>
      <c r="BM350" s="138"/>
      <c r="BN350" s="138"/>
      <c r="BO350" s="138"/>
      <c r="BP350" s="138"/>
      <c r="BQ350" s="138"/>
      <c r="BR350" s="138"/>
      <c r="BS350" s="138"/>
      <c r="BT350" s="138"/>
      <c r="BU350" s="138"/>
      <c r="BV350" s="138"/>
      <c r="BW350" s="138"/>
      <c r="BX350" s="138"/>
      <c r="BY350" s="138"/>
      <c r="BZ350" s="138"/>
      <c r="CA350" s="138"/>
      <c r="CB350" s="138"/>
      <c r="CC350" s="138"/>
      <c r="CD350" s="138"/>
      <c r="CE350" s="138"/>
    </row>
    <row r="351" spans="1:83" ht="12" customHeight="1">
      <c r="A351" s="455"/>
      <c r="B351" s="138"/>
      <c r="C351" s="138"/>
      <c r="D351" s="22"/>
      <c r="E351" s="22"/>
      <c r="F351" s="22"/>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38"/>
      <c r="BB351" s="138"/>
      <c r="BC351" s="138"/>
      <c r="BD351" s="138"/>
      <c r="BE351" s="138"/>
      <c r="BF351" s="138"/>
      <c r="BG351" s="138"/>
      <c r="BH351" s="138"/>
      <c r="BI351" s="138"/>
      <c r="BJ351" s="138"/>
      <c r="BK351" s="138"/>
      <c r="BL351" s="138"/>
      <c r="BM351" s="138"/>
      <c r="BN351" s="138"/>
      <c r="BO351" s="138"/>
      <c r="BP351" s="138"/>
      <c r="BQ351" s="138"/>
      <c r="BR351" s="138"/>
      <c r="BS351" s="138"/>
      <c r="BT351" s="138"/>
      <c r="BU351" s="138"/>
      <c r="BV351" s="138"/>
      <c r="BW351" s="138"/>
      <c r="BX351" s="138"/>
      <c r="BY351" s="138"/>
      <c r="BZ351" s="138"/>
      <c r="CA351" s="138"/>
      <c r="CB351" s="138"/>
      <c r="CC351" s="138"/>
      <c r="CD351" s="138"/>
      <c r="CE351" s="138"/>
    </row>
    <row r="352" spans="1:83" ht="12" customHeight="1">
      <c r="A352" s="455"/>
      <c r="B352" s="138"/>
      <c r="C352" s="138"/>
      <c r="D352" s="22"/>
      <c r="E352" s="22"/>
      <c r="F352" s="22"/>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38"/>
      <c r="CB352" s="138"/>
      <c r="CC352" s="138"/>
      <c r="CD352" s="138"/>
      <c r="CE352" s="138"/>
    </row>
    <row r="353" spans="1:83" ht="12" customHeight="1">
      <c r="A353" s="455"/>
      <c r="B353" s="138"/>
      <c r="C353" s="138"/>
      <c r="D353" s="22"/>
      <c r="E353" s="22"/>
      <c r="F353" s="22"/>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38"/>
      <c r="BB353" s="138"/>
      <c r="BC353" s="138"/>
      <c r="BD353" s="138"/>
      <c r="BE353" s="138"/>
      <c r="BF353" s="138"/>
      <c r="BG353" s="138"/>
      <c r="BH353" s="138"/>
      <c r="BI353" s="138"/>
      <c r="BJ353" s="138"/>
      <c r="BK353" s="138"/>
      <c r="BL353" s="138"/>
      <c r="BM353" s="138"/>
      <c r="BN353" s="138"/>
      <c r="BO353" s="138"/>
      <c r="BP353" s="138"/>
      <c r="BQ353" s="138"/>
      <c r="BR353" s="138"/>
      <c r="BS353" s="138"/>
      <c r="BT353" s="138"/>
      <c r="BU353" s="138"/>
      <c r="BV353" s="138"/>
      <c r="BW353" s="138"/>
      <c r="BX353" s="138"/>
      <c r="BY353" s="138"/>
      <c r="BZ353" s="138"/>
      <c r="CA353" s="138"/>
      <c r="CB353" s="138"/>
      <c r="CC353" s="138"/>
      <c r="CD353" s="138"/>
      <c r="CE353" s="138"/>
    </row>
    <row r="354" spans="1:83" ht="12" customHeight="1">
      <c r="A354" s="455"/>
      <c r="B354" s="138"/>
      <c r="C354" s="138"/>
      <c r="D354" s="22"/>
      <c r="E354" s="22"/>
      <c r="F354" s="22"/>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row>
    <row r="355" spans="1:83" ht="12" customHeight="1">
      <c r="A355" s="455"/>
      <c r="B355" s="138"/>
      <c r="C355" s="138"/>
      <c r="D355" s="22"/>
      <c r="E355" s="22"/>
      <c r="F355" s="22"/>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38"/>
      <c r="BB355" s="138"/>
      <c r="BC355" s="138"/>
      <c r="BD355" s="138"/>
      <c r="BE355" s="138"/>
      <c r="BF355" s="138"/>
      <c r="BG355" s="138"/>
      <c r="BH355" s="138"/>
      <c r="BI355" s="138"/>
      <c r="BJ355" s="138"/>
      <c r="BK355" s="138"/>
      <c r="BL355" s="138"/>
      <c r="BM355" s="138"/>
      <c r="BN355" s="138"/>
      <c r="BO355" s="138"/>
      <c r="BP355" s="138"/>
      <c r="BQ355" s="138"/>
      <c r="BR355" s="138"/>
      <c r="BS355" s="138"/>
      <c r="BT355" s="138"/>
      <c r="BU355" s="138"/>
      <c r="BV355" s="138"/>
      <c r="BW355" s="138"/>
      <c r="BX355" s="138"/>
      <c r="BY355" s="138"/>
      <c r="BZ355" s="138"/>
      <c r="CA355" s="138"/>
      <c r="CB355" s="138"/>
      <c r="CC355" s="138"/>
      <c r="CD355" s="138"/>
      <c r="CE355" s="138"/>
    </row>
    <row r="356" spans="1:83" ht="12" customHeight="1">
      <c r="A356" s="455"/>
      <c r="B356" s="138"/>
      <c r="C356" s="138"/>
      <c r="D356" s="22"/>
      <c r="E356" s="22"/>
      <c r="F356" s="22"/>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38"/>
      <c r="BB356" s="138"/>
      <c r="BC356" s="138"/>
      <c r="BD356" s="138"/>
      <c r="BE356" s="138"/>
      <c r="BF356" s="138"/>
      <c r="BG356" s="138"/>
      <c r="BH356" s="138"/>
      <c r="BI356" s="138"/>
      <c r="BJ356" s="138"/>
      <c r="BK356" s="138"/>
      <c r="BL356" s="138"/>
      <c r="BM356" s="138"/>
      <c r="BN356" s="138"/>
      <c r="BO356" s="138"/>
      <c r="BP356" s="138"/>
      <c r="BQ356" s="138"/>
      <c r="BR356" s="138"/>
      <c r="BS356" s="138"/>
      <c r="BT356" s="138"/>
      <c r="BU356" s="138"/>
      <c r="BV356" s="138"/>
      <c r="BW356" s="138"/>
      <c r="BX356" s="138"/>
      <c r="BY356" s="138"/>
      <c r="BZ356" s="138"/>
      <c r="CA356" s="138"/>
      <c r="CB356" s="138"/>
      <c r="CC356" s="138"/>
      <c r="CD356" s="138"/>
      <c r="CE356" s="138"/>
    </row>
    <row r="357" spans="1:83" ht="12" customHeight="1">
      <c r="A357" s="455"/>
      <c r="B357" s="138"/>
      <c r="C357" s="138"/>
      <c r="D357" s="22"/>
      <c r="E357" s="22"/>
      <c r="F357" s="22"/>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38"/>
      <c r="BB357" s="138"/>
      <c r="BC357" s="138"/>
      <c r="BD357" s="138"/>
      <c r="BE357" s="138"/>
      <c r="BF357" s="138"/>
      <c r="BG357" s="138"/>
      <c r="BH357" s="138"/>
      <c r="BI357" s="138"/>
      <c r="BJ357" s="138"/>
      <c r="BK357" s="138"/>
      <c r="BL357" s="138"/>
      <c r="BM357" s="138"/>
      <c r="BN357" s="138"/>
      <c r="BO357" s="138"/>
      <c r="BP357" s="138"/>
      <c r="BQ357" s="138"/>
      <c r="BR357" s="138"/>
      <c r="BS357" s="138"/>
      <c r="BT357" s="138"/>
      <c r="BU357" s="138"/>
      <c r="BV357" s="138"/>
      <c r="BW357" s="138"/>
      <c r="BX357" s="138"/>
      <c r="BY357" s="138"/>
      <c r="BZ357" s="138"/>
      <c r="CA357" s="138"/>
      <c r="CB357" s="138"/>
      <c r="CC357" s="138"/>
      <c r="CD357" s="138"/>
      <c r="CE357" s="138"/>
    </row>
    <row r="358" spans="1:83" ht="12" customHeight="1">
      <c r="A358" s="455"/>
      <c r="B358" s="138"/>
      <c r="C358" s="138"/>
      <c r="D358" s="22"/>
      <c r="E358" s="22"/>
      <c r="F358" s="22"/>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38"/>
      <c r="CB358" s="138"/>
      <c r="CC358" s="138"/>
      <c r="CD358" s="138"/>
      <c r="CE358" s="138"/>
    </row>
    <row r="359" spans="1:83" ht="12" customHeight="1">
      <c r="A359" s="455"/>
      <c r="B359" s="138"/>
      <c r="C359" s="138"/>
      <c r="D359" s="22"/>
      <c r="E359" s="22"/>
      <c r="F359" s="22"/>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8"/>
      <c r="BB359" s="138"/>
      <c r="BC359" s="138"/>
      <c r="BD359" s="138"/>
      <c r="BE359" s="138"/>
      <c r="BF359" s="138"/>
      <c r="BG359" s="138"/>
      <c r="BH359" s="138"/>
      <c r="BI359" s="138"/>
      <c r="BJ359" s="138"/>
      <c r="BK359" s="138"/>
      <c r="BL359" s="138"/>
      <c r="BM359" s="138"/>
      <c r="BN359" s="138"/>
      <c r="BO359" s="138"/>
      <c r="BP359" s="138"/>
      <c r="BQ359" s="138"/>
      <c r="BR359" s="138"/>
      <c r="BS359" s="138"/>
      <c r="BT359" s="138"/>
      <c r="BU359" s="138"/>
      <c r="BV359" s="138"/>
      <c r="BW359" s="138"/>
      <c r="BX359" s="138"/>
      <c r="BY359" s="138"/>
      <c r="BZ359" s="138"/>
      <c r="CA359" s="138"/>
      <c r="CB359" s="138"/>
      <c r="CC359" s="138"/>
      <c r="CD359" s="138"/>
      <c r="CE359" s="138"/>
    </row>
    <row r="360" spans="1:83" ht="12" customHeight="1">
      <c r="A360" s="455"/>
      <c r="B360" s="138"/>
      <c r="C360" s="138"/>
      <c r="D360" s="22"/>
      <c r="E360" s="22"/>
      <c r="F360" s="22"/>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row>
    <row r="361" spans="1:83" ht="12" customHeight="1">
      <c r="A361" s="455"/>
      <c r="B361" s="138"/>
      <c r="C361" s="138"/>
      <c r="D361" s="22"/>
      <c r="E361" s="22"/>
      <c r="F361" s="22"/>
      <c r="G361" s="138"/>
      <c r="H361" s="138"/>
      <c r="I361" s="138"/>
      <c r="J361" s="138"/>
      <c r="K361" s="138"/>
      <c r="L361" s="138"/>
      <c r="M361" s="138"/>
      <c r="N361" s="138"/>
      <c r="O361" s="138"/>
      <c r="P361" s="138"/>
      <c r="Q361" s="138"/>
      <c r="R361" s="138"/>
      <c r="S361" s="138"/>
      <c r="T361" s="138"/>
      <c r="U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38"/>
      <c r="BB361" s="138"/>
      <c r="BC361" s="138"/>
      <c r="BD361" s="138"/>
      <c r="BE361" s="138"/>
      <c r="BF361" s="138"/>
      <c r="BG361" s="138"/>
      <c r="BH361" s="138"/>
      <c r="BI361" s="138"/>
      <c r="BJ361" s="138"/>
      <c r="BK361" s="138"/>
      <c r="BL361" s="138"/>
      <c r="BM361" s="138"/>
      <c r="BN361" s="138"/>
      <c r="BO361" s="138"/>
      <c r="BP361" s="138"/>
      <c r="BQ361" s="138"/>
      <c r="BR361" s="138"/>
      <c r="BS361" s="138"/>
      <c r="BT361" s="138"/>
      <c r="BU361" s="138"/>
      <c r="BV361" s="138"/>
      <c r="BW361" s="138"/>
      <c r="BX361" s="138"/>
      <c r="BY361" s="138"/>
      <c r="BZ361" s="138"/>
      <c r="CA361" s="138"/>
      <c r="CB361" s="138"/>
      <c r="CC361" s="138"/>
      <c r="CD361" s="138"/>
      <c r="CE361" s="138"/>
    </row>
    <row r="362" spans="1:83" ht="12" customHeight="1">
      <c r="A362" s="455"/>
      <c r="B362" s="138"/>
      <c r="C362" s="138"/>
      <c r="D362" s="22"/>
      <c r="E362" s="22"/>
      <c r="F362" s="22"/>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38"/>
      <c r="BB362" s="138"/>
      <c r="BC362" s="138"/>
      <c r="BD362" s="138"/>
      <c r="BE362" s="138"/>
      <c r="BF362" s="138"/>
      <c r="BG362" s="138"/>
      <c r="BH362" s="138"/>
      <c r="BI362" s="138"/>
      <c r="BJ362" s="138"/>
      <c r="BK362" s="138"/>
      <c r="BL362" s="138"/>
      <c r="BM362" s="138"/>
      <c r="BN362" s="138"/>
      <c r="BO362" s="138"/>
      <c r="BP362" s="138"/>
      <c r="BQ362" s="138"/>
      <c r="BR362" s="138"/>
      <c r="BS362" s="138"/>
      <c r="BT362" s="138"/>
      <c r="BU362" s="138"/>
      <c r="BV362" s="138"/>
      <c r="BW362" s="138"/>
      <c r="BX362" s="138"/>
      <c r="BY362" s="138"/>
      <c r="BZ362" s="138"/>
      <c r="CA362" s="138"/>
      <c r="CB362" s="138"/>
      <c r="CC362" s="138"/>
      <c r="CD362" s="138"/>
      <c r="CE362" s="138"/>
    </row>
    <row r="363" spans="1:83" ht="12" customHeight="1">
      <c r="A363" s="455"/>
      <c r="B363" s="138"/>
      <c r="D363" s="22"/>
      <c r="E363" s="138" t="s">
        <v>181</v>
      </c>
      <c r="F363" s="22"/>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38"/>
      <c r="BB363" s="138"/>
      <c r="BC363" s="138"/>
      <c r="BD363" s="138"/>
      <c r="BE363" s="138"/>
      <c r="BF363" s="138"/>
      <c r="BG363" s="138"/>
      <c r="BH363" s="138"/>
      <c r="BI363" s="138"/>
      <c r="BJ363" s="138"/>
      <c r="BK363" s="138"/>
      <c r="BL363" s="138"/>
      <c r="BM363" s="138"/>
      <c r="BN363" s="138"/>
      <c r="BO363" s="138"/>
      <c r="BP363" s="138"/>
      <c r="BQ363" s="138"/>
      <c r="BR363" s="138"/>
      <c r="BS363" s="138"/>
      <c r="BT363" s="138"/>
      <c r="BU363" s="138"/>
      <c r="BV363" s="138"/>
      <c r="BW363" s="138"/>
      <c r="BX363" s="138"/>
      <c r="BY363" s="138"/>
      <c r="BZ363" s="138"/>
      <c r="CA363" s="138"/>
      <c r="CB363" s="138"/>
      <c r="CC363" s="138"/>
      <c r="CD363" s="138"/>
      <c r="CE363" s="138"/>
    </row>
    <row r="364" spans="1:83" ht="12" customHeight="1">
      <c r="A364" s="455"/>
      <c r="B364" s="138"/>
      <c r="D364" s="22"/>
      <c r="E364" s="22"/>
      <c r="F364" s="22"/>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38"/>
      <c r="CB364" s="138"/>
      <c r="CC364" s="138"/>
      <c r="CD364" s="138"/>
      <c r="CE364" s="138"/>
    </row>
    <row r="365" spans="1:83" ht="12" customHeight="1">
      <c r="A365" s="455"/>
      <c r="B365" s="138"/>
      <c r="C365" s="138"/>
      <c r="D365" s="22"/>
      <c r="E365" s="22"/>
      <c r="F365" s="22"/>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38"/>
      <c r="BB365" s="138"/>
      <c r="BC365" s="138"/>
      <c r="BD365" s="138"/>
      <c r="BE365" s="138"/>
      <c r="BF365" s="138"/>
      <c r="BG365" s="138"/>
      <c r="BH365" s="138"/>
      <c r="BI365" s="138"/>
      <c r="BJ365" s="138"/>
      <c r="BK365" s="138"/>
      <c r="BL365" s="138"/>
      <c r="BM365" s="138"/>
      <c r="BN365" s="138"/>
      <c r="BO365" s="138"/>
      <c r="BP365" s="138"/>
      <c r="BQ365" s="138"/>
      <c r="BR365" s="138"/>
      <c r="BS365" s="138"/>
      <c r="BT365" s="138"/>
      <c r="BU365" s="138"/>
      <c r="BV365" s="138"/>
      <c r="BW365" s="138"/>
      <c r="BX365" s="138"/>
      <c r="BY365" s="138"/>
      <c r="BZ365" s="138"/>
      <c r="CA365" s="138"/>
      <c r="CB365" s="138"/>
      <c r="CC365" s="138"/>
      <c r="CD365" s="138"/>
      <c r="CE365" s="138"/>
    </row>
    <row r="366" spans="1:83" ht="12" customHeight="1">
      <c r="A366" s="455"/>
      <c r="B366" s="138"/>
      <c r="C366" s="138"/>
      <c r="D366" s="22"/>
      <c r="E366" s="22"/>
      <c r="F366" s="22"/>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row>
    <row r="367" spans="1:83" ht="12" customHeight="1">
      <c r="A367" s="455"/>
      <c r="B367" s="455"/>
      <c r="C367" s="455"/>
      <c r="D367" s="454" t="s">
        <v>1134</v>
      </c>
      <c r="E367" s="454"/>
      <c r="F367" s="454"/>
      <c r="G367" s="455"/>
      <c r="H367" s="455"/>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38"/>
      <c r="BB367" s="138"/>
      <c r="BC367" s="138"/>
      <c r="BD367" s="138"/>
      <c r="BE367" s="138"/>
      <c r="BF367" s="138"/>
      <c r="BG367" s="138"/>
      <c r="BH367" s="138"/>
      <c r="BI367" s="138"/>
      <c r="BJ367" s="138"/>
      <c r="BK367" s="138"/>
      <c r="BL367" s="138"/>
      <c r="BM367" s="138"/>
      <c r="BN367" s="138"/>
      <c r="BO367" s="138"/>
      <c r="BP367" s="138"/>
      <c r="BQ367" s="138"/>
      <c r="BR367" s="138"/>
      <c r="BS367" s="138"/>
      <c r="BT367" s="138"/>
      <c r="BU367" s="138"/>
      <c r="BV367" s="138"/>
      <c r="BW367" s="138"/>
      <c r="BX367" s="138"/>
      <c r="BY367" s="138"/>
      <c r="BZ367" s="138"/>
      <c r="CA367" s="138"/>
      <c r="CB367" s="138"/>
      <c r="CC367" s="138"/>
      <c r="CD367" s="138"/>
      <c r="CE367" s="138"/>
    </row>
    <row r="368" spans="1:83" ht="12" customHeight="1">
      <c r="A368" s="455"/>
      <c r="B368" s="455"/>
      <c r="C368" s="455"/>
      <c r="D368" s="454"/>
      <c r="E368" s="454"/>
      <c r="F368" s="454"/>
      <c r="G368" s="455"/>
      <c r="H368" s="455"/>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38"/>
      <c r="BB368" s="138"/>
      <c r="BC368" s="138"/>
      <c r="BD368" s="138"/>
      <c r="BE368" s="138"/>
      <c r="BF368" s="138"/>
      <c r="BG368" s="138"/>
      <c r="BH368" s="138"/>
      <c r="BI368" s="138"/>
      <c r="BJ368" s="138"/>
      <c r="BK368" s="138"/>
      <c r="BL368" s="138"/>
      <c r="BM368" s="138"/>
      <c r="BN368" s="138"/>
      <c r="BO368" s="138"/>
      <c r="BP368" s="138"/>
      <c r="BQ368" s="138"/>
      <c r="BR368" s="138"/>
      <c r="BS368" s="138"/>
      <c r="BT368" s="138"/>
      <c r="BU368" s="138"/>
      <c r="BV368" s="138"/>
      <c r="BW368" s="138"/>
      <c r="BX368" s="138"/>
      <c r="BY368" s="138"/>
      <c r="BZ368" s="138"/>
      <c r="CA368" s="138"/>
      <c r="CB368" s="138"/>
      <c r="CC368" s="138"/>
      <c r="CD368" s="138"/>
      <c r="CE368" s="138"/>
    </row>
    <row r="369" spans="1:83" ht="12" customHeight="1">
      <c r="A369" s="455"/>
      <c r="B369" s="455"/>
      <c r="C369" s="455"/>
      <c r="D369" s="454"/>
      <c r="E369" s="454" t="s">
        <v>1135</v>
      </c>
      <c r="F369" s="454"/>
      <c r="G369" s="455"/>
      <c r="H369" s="455"/>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38"/>
      <c r="BB369" s="138"/>
      <c r="BC369" s="138"/>
      <c r="BD369" s="138"/>
      <c r="BE369" s="138"/>
      <c r="BF369" s="138"/>
      <c r="BG369" s="138"/>
      <c r="BH369" s="138"/>
      <c r="BI369" s="138"/>
      <c r="BJ369" s="138"/>
      <c r="BK369" s="138"/>
      <c r="BL369" s="138"/>
      <c r="BM369" s="138"/>
      <c r="BN369" s="138"/>
      <c r="BO369" s="138"/>
      <c r="BP369" s="138"/>
      <c r="BQ369" s="138"/>
      <c r="BR369" s="138"/>
      <c r="BS369" s="138"/>
      <c r="BT369" s="138"/>
      <c r="BU369" s="138"/>
      <c r="BV369" s="138"/>
      <c r="BW369" s="138"/>
      <c r="BX369" s="138"/>
      <c r="BY369" s="138"/>
      <c r="BZ369" s="138"/>
      <c r="CA369" s="138"/>
      <c r="CB369" s="138"/>
      <c r="CC369" s="138"/>
      <c r="CD369" s="138"/>
      <c r="CE369" s="138"/>
    </row>
    <row r="370" spans="1:83" ht="12" customHeight="1">
      <c r="A370" s="455"/>
      <c r="B370" s="455"/>
      <c r="C370" s="455"/>
      <c r="D370" s="454"/>
      <c r="E370" s="454"/>
      <c r="F370" s="454"/>
      <c r="G370" s="455"/>
      <c r="H370" s="455"/>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8"/>
      <c r="CE370" s="138"/>
    </row>
    <row r="371" spans="1:83" ht="12" customHeight="1">
      <c r="A371" s="455"/>
      <c r="B371" s="455"/>
      <c r="C371" s="455"/>
      <c r="D371" s="454" t="s">
        <v>1136</v>
      </c>
      <c r="E371" s="454"/>
      <c r="F371" s="454"/>
      <c r="G371" s="455"/>
      <c r="H371" s="455"/>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38"/>
      <c r="BB371" s="138"/>
      <c r="BC371" s="138"/>
      <c r="BD371" s="138"/>
      <c r="BE371" s="138"/>
      <c r="BF371" s="138"/>
      <c r="BG371" s="138"/>
      <c r="BH371" s="138"/>
      <c r="BI371" s="138"/>
      <c r="BJ371" s="138"/>
      <c r="BK371" s="138"/>
      <c r="BL371" s="138"/>
      <c r="BM371" s="138"/>
      <c r="BN371" s="138"/>
      <c r="BO371" s="138"/>
      <c r="BP371" s="138"/>
      <c r="BQ371" s="138"/>
      <c r="BR371" s="138"/>
      <c r="BS371" s="138"/>
      <c r="BT371" s="138"/>
      <c r="BU371" s="138"/>
      <c r="BV371" s="138"/>
      <c r="BW371" s="138"/>
      <c r="BX371" s="138"/>
      <c r="BY371" s="138"/>
      <c r="BZ371" s="138"/>
      <c r="CA371" s="138"/>
      <c r="CB371" s="138"/>
      <c r="CC371" s="138"/>
      <c r="CD371" s="138"/>
      <c r="CE371" s="138"/>
    </row>
    <row r="372" spans="1:83" ht="12" customHeight="1">
      <c r="A372" s="455"/>
      <c r="B372" s="455"/>
      <c r="C372" s="455"/>
      <c r="D372" s="454"/>
      <c r="E372" s="454"/>
      <c r="F372" s="454"/>
      <c r="G372" s="455"/>
      <c r="H372" s="455"/>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row>
    <row r="373" spans="1:83" ht="12" customHeight="1">
      <c r="A373" s="455"/>
      <c r="B373" s="455"/>
      <c r="C373" s="455"/>
      <c r="D373" s="454"/>
      <c r="E373" s="454" t="s">
        <v>1137</v>
      </c>
      <c r="F373" s="454"/>
      <c r="G373" s="455"/>
      <c r="H373" s="455"/>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38"/>
      <c r="BB373" s="138"/>
      <c r="BC373" s="138"/>
      <c r="BD373" s="138"/>
      <c r="BE373" s="138"/>
      <c r="BF373" s="138"/>
      <c r="BG373" s="138"/>
      <c r="BH373" s="138"/>
      <c r="BI373" s="138"/>
      <c r="BJ373" s="138"/>
      <c r="BK373" s="138"/>
      <c r="BL373" s="138"/>
      <c r="BM373" s="138"/>
      <c r="BN373" s="138"/>
      <c r="BO373" s="138"/>
      <c r="BP373" s="138"/>
      <c r="BQ373" s="138"/>
      <c r="BR373" s="138"/>
      <c r="BS373" s="138"/>
      <c r="BT373" s="138"/>
      <c r="BU373" s="138"/>
      <c r="BV373" s="138"/>
      <c r="BW373" s="138"/>
      <c r="BX373" s="138"/>
      <c r="BY373" s="138"/>
      <c r="BZ373" s="138"/>
      <c r="CA373" s="138"/>
      <c r="CB373" s="138"/>
      <c r="CC373" s="138"/>
      <c r="CD373" s="138"/>
      <c r="CE373" s="138"/>
    </row>
    <row r="374" spans="1:83" ht="12" customHeight="1">
      <c r="A374" s="455"/>
      <c r="B374" s="455"/>
      <c r="C374" s="455"/>
      <c r="D374" s="454"/>
      <c r="E374" s="454"/>
      <c r="F374" s="454"/>
      <c r="G374" s="455"/>
      <c r="H374" s="455"/>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38"/>
      <c r="BB374" s="138"/>
      <c r="BC374" s="138"/>
      <c r="BD374" s="138"/>
      <c r="BE374" s="138"/>
      <c r="BF374" s="138"/>
      <c r="BG374" s="138"/>
      <c r="BH374" s="138"/>
      <c r="BI374" s="138"/>
      <c r="BJ374" s="138"/>
      <c r="BK374" s="138"/>
      <c r="BL374" s="138"/>
      <c r="BM374" s="138"/>
      <c r="BN374" s="138"/>
      <c r="BO374" s="138"/>
      <c r="BP374" s="138"/>
      <c r="BQ374" s="138"/>
      <c r="BR374" s="138"/>
      <c r="BS374" s="138"/>
      <c r="BT374" s="138"/>
      <c r="BU374" s="138"/>
      <c r="BV374" s="138"/>
      <c r="BW374" s="138"/>
      <c r="BX374" s="138"/>
      <c r="BY374" s="138"/>
      <c r="BZ374" s="138"/>
      <c r="CA374" s="138"/>
      <c r="CB374" s="138"/>
      <c r="CC374" s="138"/>
      <c r="CD374" s="138"/>
      <c r="CE374" s="138"/>
    </row>
    <row r="375" spans="1:83" ht="12" customHeight="1">
      <c r="A375" s="455"/>
      <c r="B375" s="138"/>
      <c r="C375" s="138"/>
      <c r="D375" s="22"/>
      <c r="E375" s="42"/>
      <c r="F375" s="22"/>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38"/>
      <c r="BB375" s="138"/>
      <c r="BC375" s="138"/>
      <c r="BD375" s="138"/>
      <c r="BE375" s="138"/>
      <c r="BF375" s="138"/>
      <c r="BG375" s="138"/>
      <c r="BH375" s="138"/>
      <c r="BI375" s="138"/>
      <c r="BJ375" s="138"/>
      <c r="BK375" s="138"/>
      <c r="BL375" s="138"/>
      <c r="BM375" s="138"/>
      <c r="BN375" s="138"/>
      <c r="BO375" s="138"/>
      <c r="BP375" s="138"/>
      <c r="BQ375" s="138"/>
      <c r="BR375" s="138"/>
      <c r="BS375" s="138"/>
      <c r="BT375" s="138"/>
      <c r="BU375" s="138"/>
      <c r="BV375" s="138"/>
      <c r="BW375" s="138"/>
      <c r="BX375" s="138"/>
      <c r="BY375" s="138"/>
      <c r="BZ375" s="138"/>
      <c r="CA375" s="138"/>
      <c r="CB375" s="138"/>
      <c r="CC375" s="138"/>
      <c r="CD375" s="138"/>
      <c r="CE375" s="138"/>
    </row>
    <row r="376" spans="1:83" ht="12" customHeight="1">
      <c r="A376" s="455"/>
      <c r="B376" s="138"/>
      <c r="C376" s="138"/>
      <c r="D376" s="22"/>
      <c r="E376" s="42"/>
      <c r="F376" s="22"/>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38"/>
      <c r="CB376" s="138"/>
      <c r="CC376" s="138"/>
      <c r="CD376" s="138"/>
      <c r="CE376" s="138"/>
    </row>
    <row r="377" spans="1:83" ht="12" customHeight="1">
      <c r="A377" s="455"/>
      <c r="B377" s="138"/>
      <c r="C377" s="138"/>
      <c r="D377" s="22"/>
      <c r="E377" s="42"/>
      <c r="F377" s="22"/>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38"/>
      <c r="BB377" s="138"/>
      <c r="BC377" s="138"/>
      <c r="BD377" s="138"/>
      <c r="BE377" s="138"/>
      <c r="BF377" s="138"/>
      <c r="BG377" s="138"/>
      <c r="BH377" s="138"/>
      <c r="BI377" s="138"/>
      <c r="BJ377" s="138"/>
      <c r="BK377" s="138"/>
      <c r="BL377" s="138"/>
      <c r="BM377" s="138"/>
      <c r="BN377" s="138"/>
      <c r="BO377" s="138"/>
      <c r="BP377" s="138"/>
      <c r="BQ377" s="138"/>
      <c r="BR377" s="138"/>
      <c r="BS377" s="138"/>
      <c r="BT377" s="138"/>
      <c r="BU377" s="138"/>
      <c r="BV377" s="138"/>
      <c r="BW377" s="138"/>
      <c r="BX377" s="138"/>
      <c r="BY377" s="138"/>
      <c r="BZ377" s="138"/>
      <c r="CA377" s="138"/>
      <c r="CB377" s="138"/>
      <c r="CC377" s="138"/>
      <c r="CD377" s="138"/>
      <c r="CE377" s="138"/>
    </row>
    <row r="378" spans="1:83" ht="12" customHeight="1">
      <c r="A378" s="455"/>
      <c r="B378" s="138"/>
      <c r="C378" s="138"/>
      <c r="D378" s="22"/>
      <c r="E378" s="42"/>
      <c r="F378" s="22"/>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row>
    <row r="379" spans="1:83" ht="12" customHeight="1">
      <c r="A379" s="455"/>
      <c r="B379" s="138"/>
      <c r="C379" s="138"/>
      <c r="D379" s="22"/>
      <c r="E379" s="42"/>
      <c r="F379" s="22"/>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c r="BT379" s="138"/>
      <c r="BU379" s="138"/>
      <c r="BV379" s="138"/>
      <c r="BW379" s="138"/>
      <c r="BX379" s="138"/>
      <c r="BY379" s="138"/>
      <c r="BZ379" s="138"/>
      <c r="CA379" s="138"/>
      <c r="CB379" s="138"/>
      <c r="CC379" s="138"/>
      <c r="CD379" s="138"/>
      <c r="CE379" s="138"/>
    </row>
    <row r="380" spans="1:83" ht="12" customHeight="1">
      <c r="A380" s="455"/>
      <c r="B380" s="138"/>
      <c r="C380" s="138"/>
      <c r="D380" s="22"/>
      <c r="E380" s="22"/>
      <c r="F380" s="22"/>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8"/>
      <c r="AX380" s="138"/>
      <c r="AY380" s="138"/>
      <c r="AZ380" s="138"/>
      <c r="BA380" s="138"/>
      <c r="BB380" s="138"/>
      <c r="BC380" s="138"/>
      <c r="BD380" s="138"/>
      <c r="BE380" s="138"/>
      <c r="BF380" s="138"/>
      <c r="BG380" s="138"/>
      <c r="BH380" s="138"/>
      <c r="BI380" s="138"/>
      <c r="BJ380" s="138"/>
      <c r="BK380" s="138"/>
      <c r="BL380" s="138"/>
      <c r="BM380" s="138"/>
      <c r="BN380" s="138"/>
      <c r="BO380" s="138"/>
      <c r="BP380" s="138"/>
      <c r="BQ380" s="138"/>
      <c r="BR380" s="138"/>
      <c r="BS380" s="138"/>
      <c r="BT380" s="138"/>
      <c r="BU380" s="138"/>
      <c r="BV380" s="138"/>
      <c r="BW380" s="138"/>
      <c r="BX380" s="138"/>
      <c r="BY380" s="138"/>
      <c r="BZ380" s="138"/>
      <c r="CA380" s="138"/>
      <c r="CB380" s="138"/>
      <c r="CC380" s="138"/>
      <c r="CD380" s="138"/>
      <c r="CE380" s="138"/>
    </row>
    <row r="381" spans="1:83" ht="12" customHeight="1">
      <c r="A381" s="455"/>
      <c r="B381" s="455"/>
      <c r="C381" s="454" t="s">
        <v>1138</v>
      </c>
      <c r="D381" s="455"/>
      <c r="E381" s="455"/>
      <c r="F381" s="455"/>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c r="BT381" s="138"/>
      <c r="BU381" s="138"/>
      <c r="BV381" s="138"/>
      <c r="BW381" s="138"/>
      <c r="BX381" s="138"/>
      <c r="BY381" s="138"/>
      <c r="BZ381" s="138"/>
      <c r="CA381" s="138"/>
      <c r="CB381" s="138"/>
      <c r="CC381" s="138"/>
      <c r="CD381" s="138"/>
      <c r="CE381" s="138"/>
    </row>
    <row r="382" spans="1:83" ht="12" customHeight="1">
      <c r="A382" s="455"/>
      <c r="B382" s="455"/>
      <c r="C382" s="455"/>
      <c r="D382" s="455"/>
      <c r="E382" s="455"/>
      <c r="F382" s="455"/>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c r="CA382" s="138"/>
      <c r="CB382" s="138"/>
      <c r="CC382" s="138"/>
      <c r="CD382" s="138"/>
      <c r="CE382" s="138"/>
    </row>
    <row r="383" spans="1:83" ht="12" customHeight="1">
      <c r="A383" s="455"/>
      <c r="B383" s="455"/>
      <c r="C383" s="454"/>
      <c r="D383" s="454" t="s">
        <v>1139</v>
      </c>
      <c r="E383" s="454"/>
      <c r="F383" s="454"/>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38"/>
      <c r="BB383" s="138"/>
      <c r="BC383" s="138"/>
      <c r="BD383" s="138"/>
      <c r="BE383" s="138"/>
      <c r="BF383" s="138"/>
      <c r="BG383" s="138"/>
      <c r="BH383" s="138"/>
      <c r="BI383" s="138"/>
      <c r="BJ383" s="138"/>
      <c r="BK383" s="138"/>
      <c r="BL383" s="138"/>
      <c r="BM383" s="138"/>
      <c r="BN383" s="138"/>
      <c r="BO383" s="138"/>
      <c r="BP383" s="138"/>
      <c r="BQ383" s="138"/>
      <c r="BR383" s="138"/>
      <c r="BS383" s="138"/>
      <c r="BT383" s="138"/>
      <c r="BU383" s="138"/>
      <c r="BV383" s="138"/>
      <c r="BW383" s="138"/>
      <c r="BX383" s="138"/>
      <c r="BY383" s="138"/>
      <c r="BZ383" s="138"/>
      <c r="CA383" s="138"/>
      <c r="CB383" s="138"/>
      <c r="CC383" s="138"/>
      <c r="CD383" s="138"/>
      <c r="CE383" s="138"/>
    </row>
    <row r="384" spans="1:83" ht="12" customHeight="1">
      <c r="A384" s="455"/>
      <c r="B384" s="455"/>
      <c r="C384" s="455"/>
      <c r="D384" s="454"/>
      <c r="E384" s="454"/>
      <c r="F384" s="454"/>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row>
    <row r="385" spans="1:83" ht="12" customHeight="1">
      <c r="A385" s="455"/>
      <c r="B385" s="455"/>
      <c r="C385" s="455"/>
      <c r="D385" s="454"/>
      <c r="E385" s="454" t="s">
        <v>180</v>
      </c>
      <c r="F385" s="454"/>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38"/>
      <c r="BB385" s="138"/>
      <c r="BC385" s="138"/>
      <c r="BD385" s="138"/>
      <c r="BE385" s="138"/>
      <c r="BF385" s="138"/>
      <c r="BG385" s="138"/>
      <c r="BH385" s="138"/>
      <c r="BI385" s="138"/>
      <c r="BJ385" s="138"/>
      <c r="BK385" s="138"/>
      <c r="BL385" s="138"/>
      <c r="BM385" s="138"/>
      <c r="BN385" s="138"/>
      <c r="BO385" s="138"/>
      <c r="BP385" s="138"/>
      <c r="BQ385" s="138"/>
      <c r="BR385" s="138"/>
      <c r="BS385" s="138"/>
      <c r="BT385" s="138"/>
      <c r="BU385" s="138"/>
      <c r="BV385" s="138"/>
      <c r="BW385" s="138"/>
      <c r="BX385" s="138"/>
      <c r="BY385" s="138"/>
      <c r="BZ385" s="138"/>
      <c r="CA385" s="138"/>
      <c r="CB385" s="138"/>
      <c r="CC385" s="138"/>
      <c r="CD385" s="138"/>
      <c r="CE385" s="138"/>
    </row>
    <row r="386" spans="1:83" ht="12" customHeight="1">
      <c r="A386" s="455"/>
      <c r="B386" s="138"/>
      <c r="C386" s="138"/>
      <c r="D386" s="22"/>
      <c r="E386" s="22" t="s">
        <v>179</v>
      </c>
      <c r="F386" s="22"/>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38"/>
      <c r="BB386" s="138"/>
      <c r="BC386" s="138"/>
      <c r="BD386" s="138"/>
      <c r="BE386" s="138"/>
      <c r="BF386" s="138"/>
      <c r="BG386" s="138"/>
      <c r="BH386" s="138"/>
      <c r="BI386" s="138"/>
      <c r="BJ386" s="138"/>
      <c r="BK386" s="138"/>
      <c r="BL386" s="138"/>
      <c r="BM386" s="138"/>
      <c r="BN386" s="138"/>
      <c r="BO386" s="138"/>
      <c r="BP386" s="138"/>
      <c r="BQ386" s="138"/>
      <c r="BR386" s="138"/>
      <c r="BS386" s="138"/>
      <c r="BT386" s="138"/>
      <c r="BU386" s="138"/>
      <c r="BV386" s="138"/>
      <c r="BW386" s="138"/>
      <c r="BX386" s="138"/>
      <c r="BY386" s="138"/>
      <c r="BZ386" s="138"/>
      <c r="CA386" s="138"/>
      <c r="CB386" s="138"/>
      <c r="CC386" s="138"/>
      <c r="CD386" s="138"/>
      <c r="CE386" s="138"/>
    </row>
    <row r="387" spans="1:83" ht="12" customHeight="1">
      <c r="A387" s="455"/>
      <c r="B387" s="138"/>
      <c r="C387" s="138"/>
      <c r="D387" s="22"/>
      <c r="E387" s="22" t="s">
        <v>178</v>
      </c>
      <c r="F387" s="22"/>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38"/>
      <c r="BB387" s="138"/>
      <c r="BC387" s="138"/>
      <c r="BD387" s="138"/>
      <c r="BE387" s="138"/>
      <c r="BF387" s="138"/>
      <c r="BG387" s="138"/>
      <c r="BH387" s="138"/>
      <c r="BI387" s="138"/>
      <c r="BJ387" s="138"/>
      <c r="BK387" s="138"/>
      <c r="BL387" s="138"/>
      <c r="BM387" s="138"/>
      <c r="BN387" s="138"/>
      <c r="BO387" s="138"/>
      <c r="BP387" s="138"/>
      <c r="BQ387" s="138"/>
      <c r="BR387" s="138"/>
      <c r="BS387" s="138"/>
      <c r="BT387" s="138"/>
      <c r="BU387" s="138"/>
      <c r="BV387" s="138"/>
      <c r="BW387" s="138"/>
      <c r="BX387" s="138"/>
      <c r="BY387" s="138"/>
      <c r="BZ387" s="138"/>
      <c r="CA387" s="138"/>
      <c r="CB387" s="138"/>
      <c r="CC387" s="138"/>
      <c r="CD387" s="138"/>
      <c r="CE387" s="138"/>
    </row>
    <row r="388" spans="1:83" ht="12" customHeight="1">
      <c r="A388" s="455"/>
      <c r="B388" s="138"/>
      <c r="C388" s="138"/>
      <c r="D388" s="22"/>
      <c r="E388" s="22" t="s">
        <v>177</v>
      </c>
      <c r="F388" s="22"/>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38"/>
      <c r="BB388" s="138"/>
      <c r="BC388" s="138"/>
      <c r="BD388" s="138"/>
      <c r="BE388" s="138"/>
      <c r="BF388" s="138"/>
      <c r="BG388" s="138"/>
      <c r="BH388" s="138"/>
      <c r="BI388" s="138"/>
      <c r="BJ388" s="138"/>
      <c r="BK388" s="138"/>
      <c r="BL388" s="138"/>
      <c r="BM388" s="138"/>
      <c r="BN388" s="138"/>
      <c r="BO388" s="138"/>
      <c r="BP388" s="138"/>
      <c r="BQ388" s="138"/>
      <c r="BR388" s="138"/>
      <c r="BS388" s="138"/>
      <c r="BT388" s="138"/>
      <c r="BU388" s="138"/>
      <c r="BV388" s="138"/>
      <c r="BW388" s="138"/>
      <c r="BX388" s="138"/>
      <c r="BY388" s="138"/>
      <c r="BZ388" s="138"/>
      <c r="CA388" s="138"/>
      <c r="CB388" s="138"/>
      <c r="CC388" s="138"/>
      <c r="CD388" s="138"/>
      <c r="CE388" s="138"/>
    </row>
    <row r="389" spans="1:83" ht="12" customHeight="1">
      <c r="A389" s="455"/>
      <c r="B389" s="138"/>
      <c r="C389" s="138"/>
      <c r="D389" s="22"/>
      <c r="E389" s="22"/>
      <c r="F389" s="22"/>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c r="AS389" s="138"/>
      <c r="AT389" s="138"/>
      <c r="AU389" s="138"/>
      <c r="AV389" s="138"/>
      <c r="AW389" s="138"/>
      <c r="AX389" s="138"/>
      <c r="AY389" s="138"/>
      <c r="AZ389" s="138"/>
      <c r="BA389" s="138"/>
      <c r="BB389" s="138"/>
      <c r="BC389" s="138"/>
      <c r="BD389" s="138"/>
      <c r="BE389" s="138"/>
      <c r="BF389" s="138"/>
      <c r="BG389" s="138"/>
      <c r="BH389" s="138"/>
      <c r="BI389" s="138"/>
      <c r="BJ389" s="138"/>
      <c r="BK389" s="138"/>
      <c r="BL389" s="138"/>
      <c r="BM389" s="138"/>
      <c r="BN389" s="138"/>
      <c r="BO389" s="138"/>
      <c r="BP389" s="138"/>
      <c r="BQ389" s="138"/>
      <c r="BR389" s="138"/>
      <c r="BS389" s="138"/>
      <c r="BT389" s="138"/>
      <c r="BU389" s="138"/>
      <c r="BV389" s="138"/>
      <c r="BW389" s="138"/>
      <c r="BX389" s="138"/>
      <c r="BY389" s="138"/>
      <c r="BZ389" s="138"/>
      <c r="CA389" s="138"/>
      <c r="CB389" s="138"/>
      <c r="CC389" s="138"/>
      <c r="CD389" s="138"/>
      <c r="CE389" s="138"/>
    </row>
    <row r="390" spans="1:83" ht="12" customHeight="1">
      <c r="A390" s="454"/>
      <c r="B390" s="22"/>
      <c r="C390" s="22"/>
      <c r="D390" s="22"/>
      <c r="E390" s="22" t="s">
        <v>176</v>
      </c>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row>
    <row r="391" spans="1:83" ht="12" customHeight="1">
      <c r="A391" s="454"/>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row>
    <row r="392" spans="1:83" ht="12" customHeight="1">
      <c r="A392" s="454"/>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row>
    <row r="393" spans="1:83" ht="12" customHeight="1">
      <c r="A393" s="454"/>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row>
    <row r="394" spans="1:83" ht="12" customHeight="1">
      <c r="A394" s="454"/>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row>
    <row r="395" spans="1:83" ht="12" customHeight="1">
      <c r="A395" s="454"/>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row>
    <row r="396" spans="1:83" ht="12" customHeight="1">
      <c r="A396" s="454"/>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row>
    <row r="397" spans="1:83" ht="12" customHeight="1">
      <c r="A397" s="454"/>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row>
    <row r="398" spans="1:83" ht="12" customHeight="1">
      <c r="A398" s="454"/>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row>
    <row r="399" spans="1:83" ht="12" customHeight="1">
      <c r="A399" s="454"/>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row>
    <row r="400" spans="1:83" ht="12" customHeight="1">
      <c r="A400" s="454"/>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row>
    <row r="401" spans="1:83" ht="12" customHeight="1">
      <c r="A401" s="454"/>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row>
    <row r="402" spans="1:83" ht="12" customHeight="1">
      <c r="A402" s="454"/>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row>
    <row r="403" spans="1:83" ht="12" customHeight="1">
      <c r="A403" s="454"/>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row>
    <row r="404" spans="1:83" ht="12" customHeight="1">
      <c r="A404" s="454"/>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row>
    <row r="405" spans="1:83" ht="12" customHeight="1">
      <c r="A405" s="454"/>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row>
    <row r="406" spans="1:83" ht="12" customHeight="1">
      <c r="A406" s="454"/>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row>
    <row r="407" spans="1:83" ht="12" customHeight="1">
      <c r="A407" s="454"/>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row>
    <row r="408" spans="1:83" ht="12" customHeight="1">
      <c r="A408" s="454"/>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row>
    <row r="409" spans="1:83" ht="12" customHeight="1">
      <c r="A409" s="454"/>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row>
    <row r="410" spans="1:83" ht="12" customHeight="1">
      <c r="A410" s="454"/>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row>
    <row r="411" spans="1:83" ht="12" customHeight="1">
      <c r="A411" s="454"/>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c r="CA411" s="22"/>
      <c r="CB411" s="22"/>
      <c r="CC411" s="22"/>
      <c r="CD411" s="22"/>
      <c r="CE411" s="22"/>
    </row>
    <row r="412" spans="1:83" ht="12" customHeight="1">
      <c r="A412" s="454"/>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c r="CA412" s="22"/>
      <c r="CB412" s="22"/>
      <c r="CC412" s="22"/>
      <c r="CD412" s="22"/>
      <c r="CE412" s="22"/>
    </row>
    <row r="413" spans="1:83" ht="12" customHeight="1">
      <c r="A413" s="454"/>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c r="CA413" s="22"/>
      <c r="CB413" s="22"/>
      <c r="CC413" s="22"/>
      <c r="CD413" s="22"/>
      <c r="CE413" s="22"/>
    </row>
    <row r="414" spans="1:83" ht="12" customHeight="1">
      <c r="A414" s="454"/>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c r="CA414" s="22"/>
      <c r="CB414" s="22"/>
      <c r="CC414" s="22"/>
      <c r="CD414" s="22"/>
      <c r="CE414" s="22"/>
    </row>
    <row r="415" spans="1:83" ht="12" customHeight="1">
      <c r="A415" s="454"/>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c r="CA415" s="22"/>
      <c r="CB415" s="22"/>
      <c r="CC415" s="22"/>
      <c r="CD415" s="22"/>
      <c r="CE415" s="22"/>
    </row>
    <row r="416" spans="1:83" ht="12" customHeight="1">
      <c r="A416" s="454"/>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c r="CA416" s="22"/>
      <c r="CB416" s="22"/>
      <c r="CC416" s="22"/>
      <c r="CD416" s="22"/>
      <c r="CE416" s="22"/>
    </row>
    <row r="417" spans="1:83" ht="12" customHeight="1">
      <c r="A417" s="454"/>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row>
    <row r="418" spans="1:83" ht="12" customHeight="1">
      <c r="A418" s="454"/>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c r="BZ418" s="22"/>
      <c r="CA418" s="22"/>
      <c r="CB418" s="22"/>
      <c r="CC418" s="22"/>
      <c r="CD418" s="22"/>
      <c r="CE418" s="22"/>
    </row>
    <row r="419" spans="1:83" ht="12" customHeight="1">
      <c r="A419" s="454"/>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c r="CA419" s="22"/>
      <c r="CB419" s="22"/>
      <c r="CC419" s="22"/>
      <c r="CD419" s="22"/>
      <c r="CE419" s="22"/>
    </row>
    <row r="420" spans="1:83" ht="12" customHeight="1">
      <c r="A420" s="454"/>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c r="CA420" s="22"/>
      <c r="CB420" s="22"/>
      <c r="CC420" s="22"/>
      <c r="CD420" s="22"/>
      <c r="CE420" s="22"/>
    </row>
    <row r="421" spans="1:83" ht="12" customHeight="1">
      <c r="A421" s="454"/>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c r="CA421" s="22"/>
      <c r="CB421" s="22"/>
      <c r="CC421" s="22"/>
      <c r="CD421" s="22"/>
      <c r="CE421" s="22"/>
    </row>
    <row r="422" spans="1:83" ht="12" customHeight="1">
      <c r="A422" s="454"/>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c r="CA422" s="22"/>
      <c r="CB422" s="22"/>
      <c r="CC422" s="22"/>
      <c r="CD422" s="22"/>
      <c r="CE422" s="22"/>
    </row>
    <row r="423" spans="1:83" ht="12" customHeight="1">
      <c r="A423" s="454"/>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c r="BZ423" s="22"/>
      <c r="CA423" s="22"/>
      <c r="CB423" s="22"/>
      <c r="CC423" s="22"/>
      <c r="CD423" s="22"/>
      <c r="CE423" s="22"/>
    </row>
    <row r="424" spans="1:83" ht="12" customHeight="1">
      <c r="A424" s="454"/>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c r="BZ424" s="22"/>
      <c r="CA424" s="22"/>
      <c r="CB424" s="22"/>
      <c r="CC424" s="22"/>
      <c r="CD424" s="22"/>
      <c r="CE424" s="22"/>
    </row>
    <row r="425" spans="1:83" ht="12" customHeight="1">
      <c r="A425" s="455"/>
      <c r="B425" s="455"/>
      <c r="C425" s="455"/>
      <c r="D425" s="454" t="s">
        <v>1140</v>
      </c>
      <c r="E425" s="454"/>
      <c r="F425" s="454"/>
      <c r="G425" s="455"/>
      <c r="H425" s="455"/>
      <c r="I425" s="455"/>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c r="CA425" s="138"/>
      <c r="CB425" s="138"/>
      <c r="CC425" s="138"/>
      <c r="CD425" s="138"/>
      <c r="CE425" s="138"/>
    </row>
    <row r="426" spans="1:83" ht="12" customHeight="1">
      <c r="A426" s="455"/>
      <c r="B426" s="455"/>
      <c r="C426" s="455"/>
      <c r="D426" s="454"/>
      <c r="E426" s="454"/>
      <c r="F426" s="454"/>
      <c r="G426" s="455"/>
      <c r="H426" s="455"/>
      <c r="I426" s="455"/>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38"/>
      <c r="BB426" s="138"/>
      <c r="BC426" s="138"/>
      <c r="BD426" s="138"/>
      <c r="BE426" s="138"/>
      <c r="BF426" s="138"/>
      <c r="BG426" s="138"/>
      <c r="BH426" s="138"/>
      <c r="BI426" s="138"/>
      <c r="BJ426" s="138"/>
      <c r="BK426" s="138"/>
      <c r="BL426" s="138"/>
      <c r="BM426" s="138"/>
      <c r="BN426" s="138"/>
      <c r="BO426" s="138"/>
      <c r="BP426" s="138"/>
      <c r="BQ426" s="138"/>
      <c r="BR426" s="138"/>
      <c r="BS426" s="138"/>
      <c r="BT426" s="138"/>
      <c r="BU426" s="138"/>
      <c r="BV426" s="138"/>
      <c r="BW426" s="138"/>
      <c r="BX426" s="138"/>
      <c r="BY426" s="138"/>
      <c r="BZ426" s="138"/>
      <c r="CA426" s="138"/>
      <c r="CB426" s="138"/>
      <c r="CC426" s="138"/>
      <c r="CD426" s="138"/>
      <c r="CE426" s="138"/>
    </row>
    <row r="427" spans="1:83" ht="12" customHeight="1">
      <c r="A427" s="455"/>
      <c r="B427" s="455"/>
      <c r="C427" s="455"/>
      <c r="D427" s="454"/>
      <c r="E427" s="454" t="s">
        <v>175</v>
      </c>
      <c r="F427" s="454"/>
      <c r="G427" s="455"/>
      <c r="H427" s="455"/>
      <c r="I427" s="455"/>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row>
    <row r="428" spans="1:83" ht="12" customHeight="1">
      <c r="A428" s="455"/>
      <c r="B428" s="455"/>
      <c r="C428" s="455"/>
      <c r="D428" s="454"/>
      <c r="E428" s="454"/>
      <c r="F428" s="454"/>
      <c r="G428" s="455"/>
      <c r="H428" s="455"/>
      <c r="I428" s="455"/>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38"/>
      <c r="BB428" s="138"/>
      <c r="BC428" s="138"/>
      <c r="BD428" s="138"/>
      <c r="BE428" s="138"/>
      <c r="BF428" s="138"/>
      <c r="BG428" s="138"/>
      <c r="BH428" s="138"/>
      <c r="BI428" s="138"/>
      <c r="BJ428" s="138"/>
      <c r="BK428" s="138"/>
      <c r="BL428" s="138"/>
      <c r="BM428" s="138"/>
      <c r="BN428" s="138"/>
      <c r="BO428" s="138"/>
      <c r="BP428" s="138"/>
      <c r="BQ428" s="138"/>
      <c r="BR428" s="138"/>
      <c r="BS428" s="138"/>
      <c r="BT428" s="138"/>
      <c r="BU428" s="138"/>
      <c r="BV428" s="138"/>
      <c r="BW428" s="138"/>
      <c r="BX428" s="138"/>
      <c r="BY428" s="138"/>
      <c r="BZ428" s="138"/>
      <c r="CA428" s="138"/>
      <c r="CB428" s="138"/>
      <c r="CC428" s="138"/>
      <c r="CD428" s="138"/>
      <c r="CE428" s="138"/>
    </row>
    <row r="429" spans="1:83" ht="12" customHeight="1">
      <c r="A429" s="455"/>
      <c r="B429" s="455"/>
      <c r="C429" s="455"/>
      <c r="D429" s="454"/>
      <c r="E429" s="454"/>
      <c r="F429" s="454" t="s">
        <v>1141</v>
      </c>
      <c r="G429" s="455"/>
      <c r="H429" s="455"/>
      <c r="I429" s="455"/>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38"/>
      <c r="BB429" s="138"/>
      <c r="BC429" s="138"/>
      <c r="BD429" s="138"/>
      <c r="BE429" s="138"/>
      <c r="BF429" s="138"/>
      <c r="BG429" s="138"/>
      <c r="BH429" s="138"/>
      <c r="BI429" s="138"/>
      <c r="BJ429" s="138"/>
      <c r="BK429" s="138"/>
      <c r="BL429" s="138"/>
      <c r="BM429" s="138"/>
      <c r="BN429" s="138"/>
      <c r="BO429" s="138"/>
      <c r="BP429" s="138"/>
      <c r="BQ429" s="138"/>
      <c r="BR429" s="138"/>
      <c r="BS429" s="138"/>
      <c r="BT429" s="138"/>
      <c r="BU429" s="138"/>
      <c r="BV429" s="138"/>
      <c r="BW429" s="138"/>
      <c r="BX429" s="138"/>
      <c r="BY429" s="138"/>
      <c r="BZ429" s="138"/>
      <c r="CA429" s="138"/>
      <c r="CB429" s="138"/>
      <c r="CC429" s="138"/>
      <c r="CD429" s="138"/>
      <c r="CE429" s="138"/>
    </row>
    <row r="430" spans="1:83" ht="12" customHeight="1">
      <c r="A430" s="455"/>
      <c r="B430" s="455"/>
      <c r="C430" s="455"/>
      <c r="D430" s="454"/>
      <c r="E430" s="454"/>
      <c r="F430" s="454" t="s">
        <v>174</v>
      </c>
      <c r="G430" s="455"/>
      <c r="H430" s="455"/>
      <c r="I430" s="455"/>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38"/>
      <c r="BB430" s="138"/>
      <c r="BC430" s="138"/>
      <c r="BD430" s="138"/>
      <c r="BE430" s="138"/>
      <c r="BF430" s="138"/>
      <c r="BG430" s="138"/>
      <c r="BH430" s="138"/>
      <c r="BI430" s="138"/>
      <c r="BJ430" s="138"/>
      <c r="BK430" s="138"/>
      <c r="BL430" s="138"/>
      <c r="BM430" s="138"/>
      <c r="BN430" s="138"/>
      <c r="BO430" s="138"/>
      <c r="BP430" s="138"/>
      <c r="BQ430" s="138"/>
      <c r="BR430" s="138"/>
      <c r="BS430" s="138"/>
      <c r="BT430" s="138"/>
      <c r="BU430" s="138"/>
      <c r="BV430" s="138"/>
      <c r="BW430" s="138"/>
      <c r="BX430" s="138"/>
      <c r="BY430" s="138"/>
      <c r="BZ430" s="138"/>
      <c r="CA430" s="138"/>
      <c r="CB430" s="138"/>
      <c r="CC430" s="138"/>
      <c r="CD430" s="138"/>
      <c r="CE430" s="138"/>
    </row>
    <row r="431" spans="1:83" ht="12" customHeight="1">
      <c r="A431" s="455"/>
      <c r="B431" s="455"/>
      <c r="C431" s="455"/>
      <c r="D431" s="454"/>
      <c r="E431" s="455"/>
      <c r="F431" s="454" t="s">
        <v>173</v>
      </c>
      <c r="G431" s="455"/>
      <c r="H431" s="455"/>
      <c r="I431" s="455"/>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38"/>
      <c r="BB431" s="138"/>
      <c r="BC431" s="138"/>
      <c r="BD431" s="138"/>
      <c r="BE431" s="138"/>
      <c r="BF431" s="138"/>
      <c r="BG431" s="138"/>
      <c r="BH431" s="138"/>
      <c r="BI431" s="138"/>
      <c r="BJ431" s="138"/>
      <c r="BK431" s="138"/>
      <c r="BL431" s="138"/>
      <c r="BM431" s="138"/>
      <c r="BN431" s="138"/>
      <c r="BO431" s="138"/>
      <c r="BP431" s="138"/>
      <c r="BQ431" s="138"/>
      <c r="BR431" s="138"/>
      <c r="BS431" s="138"/>
      <c r="BT431" s="138"/>
      <c r="BU431" s="138"/>
      <c r="BV431" s="138"/>
      <c r="BW431" s="138"/>
      <c r="BX431" s="138"/>
      <c r="BY431" s="138"/>
      <c r="BZ431" s="138"/>
      <c r="CA431" s="138"/>
      <c r="CB431" s="138"/>
      <c r="CC431" s="138"/>
      <c r="CD431" s="138"/>
      <c r="CE431" s="138"/>
    </row>
    <row r="432" spans="1:83" ht="12" customHeight="1">
      <c r="A432" s="455"/>
      <c r="B432" s="455"/>
      <c r="C432" s="455"/>
      <c r="D432" s="455"/>
      <c r="E432" s="455"/>
      <c r="F432" s="454" t="s">
        <v>665</v>
      </c>
      <c r="G432" s="455"/>
      <c r="H432" s="455"/>
      <c r="I432" s="455"/>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38"/>
      <c r="BB432" s="138"/>
      <c r="BC432" s="138"/>
      <c r="BD432" s="138"/>
      <c r="BE432" s="138"/>
      <c r="BF432" s="138"/>
      <c r="BG432" s="138"/>
      <c r="BH432" s="138"/>
      <c r="BI432" s="138"/>
      <c r="BJ432" s="138"/>
      <c r="BK432" s="138"/>
      <c r="BL432" s="138"/>
      <c r="BM432" s="138"/>
      <c r="BN432" s="138"/>
      <c r="BO432" s="138"/>
      <c r="BP432" s="138"/>
      <c r="BQ432" s="138"/>
      <c r="BR432" s="138"/>
      <c r="BS432" s="138"/>
      <c r="BT432" s="138"/>
      <c r="BU432" s="138"/>
      <c r="BV432" s="138"/>
      <c r="BW432" s="138"/>
      <c r="BX432" s="138"/>
      <c r="BY432" s="138"/>
      <c r="BZ432" s="138"/>
      <c r="CA432" s="138"/>
      <c r="CB432" s="138"/>
      <c r="CC432" s="138"/>
      <c r="CD432" s="138"/>
      <c r="CE432" s="138"/>
    </row>
    <row r="433" spans="1:83" ht="12" customHeight="1">
      <c r="A433" s="455"/>
      <c r="B433" s="138"/>
      <c r="C433" s="138"/>
      <c r="D433" s="138"/>
      <c r="E433" s="138"/>
      <c r="F433" s="22" t="s">
        <v>666</v>
      </c>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c r="CA433" s="138"/>
      <c r="CB433" s="138"/>
      <c r="CC433" s="138"/>
      <c r="CD433" s="138"/>
      <c r="CE433" s="138"/>
    </row>
    <row r="434" spans="1:83" ht="12" customHeight="1">
      <c r="A434" s="455"/>
      <c r="B434" s="138"/>
      <c r="C434" s="138"/>
      <c r="D434" s="138"/>
      <c r="E434" s="138"/>
      <c r="F434" s="22" t="s">
        <v>699</v>
      </c>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38"/>
      <c r="BB434" s="138"/>
      <c r="BC434" s="138"/>
      <c r="BD434" s="138"/>
      <c r="BE434" s="138"/>
      <c r="BF434" s="138"/>
      <c r="BG434" s="138"/>
      <c r="BH434" s="138"/>
      <c r="BI434" s="138"/>
      <c r="BJ434" s="138"/>
      <c r="BK434" s="138"/>
      <c r="BL434" s="138"/>
      <c r="BM434" s="138"/>
      <c r="BN434" s="138"/>
      <c r="BO434" s="138"/>
      <c r="BP434" s="138"/>
      <c r="BQ434" s="138"/>
      <c r="BR434" s="138"/>
      <c r="BS434" s="138"/>
      <c r="BT434" s="138"/>
      <c r="BU434" s="138"/>
      <c r="BV434" s="138"/>
      <c r="BW434" s="138"/>
      <c r="BX434" s="138"/>
      <c r="BY434" s="138"/>
      <c r="BZ434" s="138"/>
      <c r="CA434" s="138"/>
      <c r="CB434" s="138"/>
      <c r="CC434" s="138"/>
      <c r="CD434" s="138"/>
      <c r="CE434" s="138"/>
    </row>
    <row r="435" spans="1:83" ht="12" customHeight="1">
      <c r="A435" s="455"/>
      <c r="B435" s="138"/>
      <c r="C435" s="138"/>
      <c r="D435" s="138"/>
      <c r="E435" s="138"/>
      <c r="F435" s="22" t="s">
        <v>700</v>
      </c>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row>
    <row r="436" spans="1:83" ht="12" customHeight="1">
      <c r="A436" s="455"/>
      <c r="B436" s="138"/>
      <c r="C436" s="138"/>
      <c r="D436" s="138"/>
      <c r="E436" s="138"/>
      <c r="F436" s="22" t="s">
        <v>172</v>
      </c>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38"/>
      <c r="BB436" s="138"/>
      <c r="BC436" s="138"/>
      <c r="BD436" s="138"/>
      <c r="BE436" s="138"/>
      <c r="BF436" s="138"/>
      <c r="BG436" s="138"/>
      <c r="BH436" s="138"/>
      <c r="BI436" s="138"/>
      <c r="BJ436" s="138"/>
      <c r="BK436" s="138"/>
      <c r="BL436" s="138"/>
      <c r="BM436" s="138"/>
      <c r="BN436" s="138"/>
      <c r="BO436" s="138"/>
      <c r="BP436" s="138"/>
      <c r="BQ436" s="138"/>
      <c r="BR436" s="138"/>
      <c r="BS436" s="138"/>
      <c r="BT436" s="138"/>
      <c r="BU436" s="138"/>
      <c r="BV436" s="138"/>
      <c r="BW436" s="138"/>
      <c r="BX436" s="138"/>
      <c r="BY436" s="138"/>
      <c r="BZ436" s="138"/>
      <c r="CA436" s="138"/>
      <c r="CB436" s="138"/>
      <c r="CC436" s="138"/>
      <c r="CD436" s="138"/>
      <c r="CE436" s="138"/>
    </row>
    <row r="437" spans="1:83" ht="12" customHeight="1">
      <c r="A437" s="455"/>
      <c r="B437" s="138"/>
      <c r="C437" s="138"/>
      <c r="D437" s="138"/>
      <c r="E437" s="138"/>
      <c r="F437" s="22" t="s">
        <v>667</v>
      </c>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38"/>
      <c r="BB437" s="138"/>
      <c r="BC437" s="138"/>
      <c r="BD437" s="138"/>
      <c r="BE437" s="138"/>
      <c r="BF437" s="138"/>
      <c r="BG437" s="138"/>
      <c r="BH437" s="138"/>
      <c r="BI437" s="138"/>
      <c r="BJ437" s="138"/>
      <c r="BK437" s="138"/>
      <c r="BL437" s="138"/>
      <c r="BM437" s="138"/>
      <c r="BN437" s="138"/>
      <c r="BO437" s="138"/>
      <c r="BP437" s="138"/>
      <c r="BQ437" s="138"/>
      <c r="BR437" s="138"/>
      <c r="BS437" s="138"/>
      <c r="BT437" s="138"/>
      <c r="BU437" s="138"/>
      <c r="BV437" s="138"/>
      <c r="BW437" s="138"/>
      <c r="BX437" s="138"/>
      <c r="BY437" s="138"/>
      <c r="BZ437" s="138"/>
      <c r="CA437" s="138"/>
      <c r="CB437" s="138"/>
      <c r="CC437" s="138"/>
      <c r="CD437" s="138"/>
      <c r="CE437" s="138"/>
    </row>
    <row r="438" spans="1:83" ht="12" customHeight="1">
      <c r="A438" s="455"/>
      <c r="B438" s="138"/>
      <c r="C438" s="138"/>
      <c r="D438" s="138"/>
      <c r="E438" s="138"/>
      <c r="F438" s="22" t="s">
        <v>668</v>
      </c>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38"/>
      <c r="BB438" s="138"/>
      <c r="BC438" s="138"/>
      <c r="BD438" s="138"/>
      <c r="BE438" s="138"/>
      <c r="BF438" s="138"/>
      <c r="BG438" s="138"/>
      <c r="BH438" s="138"/>
      <c r="BI438" s="138"/>
      <c r="BJ438" s="138"/>
      <c r="BK438" s="138"/>
      <c r="BL438" s="138"/>
      <c r="BM438" s="138"/>
      <c r="BN438" s="138"/>
      <c r="BO438" s="138"/>
      <c r="BP438" s="138"/>
      <c r="BQ438" s="138"/>
      <c r="BR438" s="138"/>
      <c r="BS438" s="138"/>
      <c r="BT438" s="138"/>
      <c r="BU438" s="138"/>
      <c r="BV438" s="138"/>
      <c r="BW438" s="138"/>
      <c r="BX438" s="138"/>
      <c r="BY438" s="138"/>
      <c r="BZ438" s="138"/>
      <c r="CA438" s="138"/>
      <c r="CB438" s="138"/>
      <c r="CC438" s="138"/>
      <c r="CD438" s="138"/>
      <c r="CE438" s="138"/>
    </row>
    <row r="439" spans="1:83" ht="12" customHeight="1">
      <c r="A439" s="455"/>
      <c r="B439" s="138"/>
      <c r="C439" s="138"/>
      <c r="D439" s="138"/>
      <c r="E439" s="138"/>
      <c r="F439" s="22"/>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c r="CA439" s="138"/>
      <c r="CB439" s="138"/>
      <c r="CC439" s="138"/>
      <c r="CD439" s="138"/>
      <c r="CE439" s="138"/>
    </row>
    <row r="440" spans="1:83" ht="12" customHeight="1">
      <c r="A440" s="455"/>
      <c r="B440" s="138"/>
      <c r="C440" s="138"/>
      <c r="D440" s="138"/>
      <c r="E440" s="138"/>
      <c r="F440" s="22"/>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38"/>
      <c r="BB440" s="138"/>
      <c r="BC440" s="138"/>
      <c r="BD440" s="138"/>
      <c r="BE440" s="138"/>
      <c r="BF440" s="138"/>
      <c r="BG440" s="138"/>
      <c r="BH440" s="138"/>
      <c r="BI440" s="138"/>
      <c r="BJ440" s="138"/>
      <c r="BK440" s="138"/>
      <c r="BL440" s="138"/>
      <c r="BM440" s="138"/>
      <c r="BN440" s="138"/>
      <c r="BO440" s="138"/>
      <c r="BP440" s="138"/>
      <c r="BQ440" s="138"/>
      <c r="BR440" s="138"/>
      <c r="BS440" s="138"/>
      <c r="BT440" s="138"/>
      <c r="BU440" s="138"/>
      <c r="BV440" s="138"/>
      <c r="BW440" s="138"/>
      <c r="BX440" s="138"/>
      <c r="BY440" s="138"/>
      <c r="BZ440" s="138"/>
      <c r="CA440" s="138"/>
      <c r="CB440" s="138"/>
      <c r="CC440" s="138"/>
      <c r="CD440" s="138"/>
      <c r="CE440" s="138"/>
    </row>
    <row r="441" spans="1:83" ht="12" customHeight="1">
      <c r="A441" s="455"/>
      <c r="B441" s="455"/>
      <c r="C441" s="455"/>
      <c r="D441" s="454" t="s">
        <v>1142</v>
      </c>
      <c r="E441" s="455"/>
      <c r="F441" s="455"/>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row>
    <row r="442" spans="1:83" ht="12" customHeight="1">
      <c r="A442" s="455"/>
      <c r="B442" s="138"/>
      <c r="C442" s="138"/>
      <c r="D442" s="22"/>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38"/>
      <c r="BB442" s="138"/>
      <c r="BC442" s="138"/>
      <c r="BD442" s="138"/>
      <c r="BE442" s="138"/>
      <c r="BF442" s="138"/>
      <c r="BG442" s="138"/>
      <c r="BH442" s="138"/>
      <c r="BI442" s="138"/>
      <c r="BJ442" s="138"/>
      <c r="BK442" s="138"/>
      <c r="BL442" s="138"/>
      <c r="BM442" s="138"/>
      <c r="BN442" s="138"/>
      <c r="BO442" s="138"/>
      <c r="BP442" s="138"/>
      <c r="BQ442" s="138"/>
      <c r="BR442" s="138"/>
      <c r="BS442" s="138"/>
      <c r="BT442" s="138"/>
      <c r="BU442" s="138"/>
      <c r="BV442" s="138"/>
      <c r="BW442" s="138"/>
      <c r="BX442" s="138"/>
      <c r="BY442" s="138"/>
      <c r="BZ442" s="138"/>
      <c r="CA442" s="138"/>
      <c r="CB442" s="138"/>
      <c r="CC442" s="138"/>
      <c r="CD442" s="138"/>
      <c r="CE442" s="138"/>
    </row>
    <row r="443" spans="1:83" ht="12" customHeight="1">
      <c r="A443" s="455"/>
      <c r="B443" s="138"/>
      <c r="C443" s="138"/>
      <c r="D443" s="22"/>
      <c r="E443" s="22" t="s">
        <v>171</v>
      </c>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38"/>
      <c r="BB443" s="138"/>
      <c r="BC443" s="138"/>
      <c r="BD443" s="138"/>
      <c r="BE443" s="138"/>
      <c r="BF443" s="138"/>
      <c r="BG443" s="138"/>
      <c r="BH443" s="138"/>
      <c r="BI443" s="138"/>
      <c r="BJ443" s="138"/>
      <c r="BK443" s="138"/>
      <c r="BL443" s="138"/>
      <c r="BM443" s="138"/>
      <c r="BN443" s="138"/>
      <c r="BO443" s="138"/>
      <c r="BP443" s="138"/>
      <c r="BQ443" s="138"/>
      <c r="BR443" s="138"/>
      <c r="BS443" s="138"/>
      <c r="BT443" s="138"/>
      <c r="BU443" s="138"/>
      <c r="BV443" s="138"/>
      <c r="BW443" s="138"/>
      <c r="BX443" s="138"/>
      <c r="BY443" s="138"/>
      <c r="BZ443" s="138"/>
      <c r="CA443" s="138"/>
      <c r="CB443" s="138"/>
      <c r="CC443" s="138"/>
      <c r="CD443" s="138"/>
      <c r="CE443" s="138"/>
    </row>
    <row r="444" spans="1:83" ht="12" customHeight="1">
      <c r="A444" s="455"/>
      <c r="B444" s="138"/>
      <c r="C444" s="138"/>
      <c r="D444" s="22"/>
      <c r="E444" s="22"/>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38"/>
      <c r="BB444" s="138"/>
      <c r="BC444" s="138"/>
      <c r="BD444" s="138"/>
      <c r="BE444" s="138"/>
      <c r="BF444" s="138"/>
      <c r="BG444" s="138"/>
      <c r="BH444" s="138"/>
      <c r="BI444" s="138"/>
      <c r="BJ444" s="138"/>
      <c r="BK444" s="138"/>
      <c r="BL444" s="138"/>
      <c r="BM444" s="138"/>
      <c r="BN444" s="138"/>
      <c r="BO444" s="138"/>
      <c r="BP444" s="138"/>
      <c r="BQ444" s="138"/>
      <c r="BR444" s="138"/>
      <c r="BS444" s="138"/>
      <c r="BT444" s="138"/>
      <c r="BU444" s="138"/>
      <c r="BV444" s="138"/>
      <c r="BW444" s="138"/>
      <c r="BX444" s="138"/>
      <c r="BY444" s="138"/>
      <c r="BZ444" s="138"/>
      <c r="CA444" s="138"/>
      <c r="CB444" s="138"/>
      <c r="CC444" s="138"/>
      <c r="CD444" s="138"/>
      <c r="CE444" s="138"/>
    </row>
    <row r="445" spans="1:83" ht="12" customHeight="1">
      <c r="A445" s="455"/>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c r="CA445" s="138"/>
      <c r="CB445" s="138"/>
      <c r="CC445" s="138"/>
      <c r="CD445" s="138"/>
      <c r="CE445" s="138"/>
    </row>
    <row r="446" spans="1:83" ht="12" customHeight="1">
      <c r="A446" s="455"/>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38"/>
      <c r="BB446" s="138"/>
      <c r="BC446" s="138"/>
      <c r="BD446" s="138"/>
      <c r="BE446" s="138"/>
      <c r="BF446" s="138"/>
      <c r="BG446" s="138"/>
      <c r="BH446" s="138"/>
      <c r="BI446" s="138"/>
      <c r="BJ446" s="138"/>
      <c r="BK446" s="138"/>
      <c r="BL446" s="138"/>
      <c r="BM446" s="138"/>
      <c r="BN446" s="138"/>
      <c r="BO446" s="138"/>
      <c r="BP446" s="138"/>
      <c r="BQ446" s="138"/>
      <c r="BR446" s="138"/>
      <c r="BS446" s="138"/>
      <c r="BT446" s="138"/>
      <c r="BU446" s="138"/>
      <c r="BV446" s="138"/>
      <c r="BW446" s="138"/>
      <c r="BX446" s="138"/>
      <c r="BY446" s="138"/>
      <c r="BZ446" s="138"/>
      <c r="CA446" s="138"/>
      <c r="CB446" s="138"/>
      <c r="CC446" s="138"/>
      <c r="CD446" s="138"/>
      <c r="CE446" s="138"/>
    </row>
    <row r="447" spans="1:83" ht="12" customHeight="1">
      <c r="A447" s="455"/>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row>
    <row r="448" spans="1:83" ht="12" customHeight="1">
      <c r="A448" s="455"/>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38"/>
      <c r="BB448" s="138"/>
      <c r="BC448" s="138"/>
      <c r="BD448" s="138"/>
      <c r="BE448" s="138"/>
      <c r="BF448" s="138"/>
      <c r="BG448" s="138"/>
      <c r="BH448" s="138"/>
      <c r="BI448" s="138"/>
      <c r="BJ448" s="138"/>
      <c r="BK448" s="138"/>
      <c r="BL448" s="138"/>
      <c r="BM448" s="138"/>
      <c r="BN448" s="138"/>
      <c r="BO448" s="138"/>
      <c r="BP448" s="138"/>
      <c r="BQ448" s="138"/>
      <c r="BR448" s="138"/>
      <c r="BS448" s="138"/>
      <c r="BT448" s="138"/>
      <c r="BU448" s="138"/>
      <c r="BV448" s="138"/>
      <c r="BW448" s="138"/>
      <c r="BX448" s="138"/>
      <c r="BY448" s="138"/>
      <c r="BZ448" s="138"/>
      <c r="CA448" s="138"/>
      <c r="CB448" s="138"/>
      <c r="CC448" s="138"/>
      <c r="CD448" s="138"/>
      <c r="CE448" s="138"/>
    </row>
    <row r="449" spans="1:83" ht="12" customHeight="1">
      <c r="A449" s="455"/>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38"/>
      <c r="BB449" s="138"/>
      <c r="BC449" s="138"/>
      <c r="BD449" s="138"/>
      <c r="BE449" s="138"/>
      <c r="BF449" s="138"/>
      <c r="BG449" s="138"/>
      <c r="BH449" s="138"/>
      <c r="BI449" s="138"/>
      <c r="BJ449" s="138"/>
      <c r="BK449" s="138"/>
      <c r="BL449" s="138"/>
      <c r="BM449" s="138"/>
      <c r="BN449" s="138"/>
      <c r="BO449" s="138"/>
      <c r="BP449" s="138"/>
      <c r="BQ449" s="138"/>
      <c r="BR449" s="138"/>
      <c r="BS449" s="138"/>
      <c r="BT449" s="138"/>
      <c r="BU449" s="138"/>
      <c r="BV449" s="138"/>
      <c r="BW449" s="138"/>
      <c r="BX449" s="138"/>
      <c r="BY449" s="138"/>
      <c r="BZ449" s="138"/>
      <c r="CA449" s="138"/>
      <c r="CB449" s="138"/>
      <c r="CC449" s="138"/>
      <c r="CD449" s="138"/>
      <c r="CE449" s="138"/>
    </row>
    <row r="450" spans="1:83" ht="12" customHeight="1">
      <c r="A450" s="455"/>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38"/>
      <c r="BB450" s="138"/>
      <c r="BC450" s="138"/>
      <c r="BD450" s="138"/>
      <c r="BE450" s="138"/>
      <c r="BF450" s="138"/>
      <c r="BG450" s="138"/>
      <c r="BH450" s="138"/>
      <c r="BI450" s="138"/>
      <c r="BJ450" s="138"/>
      <c r="BK450" s="138"/>
      <c r="BL450" s="138"/>
      <c r="BM450" s="138"/>
      <c r="BN450" s="138"/>
      <c r="BO450" s="138"/>
      <c r="BP450" s="138"/>
      <c r="BQ450" s="138"/>
      <c r="BR450" s="138"/>
      <c r="BS450" s="138"/>
      <c r="BT450" s="138"/>
      <c r="BU450" s="138"/>
      <c r="BV450" s="138"/>
      <c r="BW450" s="138"/>
      <c r="BX450" s="138"/>
      <c r="BY450" s="138"/>
      <c r="BZ450" s="138"/>
      <c r="CA450" s="138"/>
      <c r="CB450" s="138"/>
      <c r="CC450" s="138"/>
      <c r="CD450" s="138"/>
      <c r="CE450" s="138"/>
    </row>
    <row r="451" spans="1:83" ht="12" customHeight="1">
      <c r="A451" s="455"/>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c r="CA451" s="138"/>
      <c r="CB451" s="138"/>
      <c r="CC451" s="138"/>
      <c r="CD451" s="138"/>
      <c r="CE451" s="138"/>
    </row>
    <row r="452" spans="1:83" ht="12" customHeight="1">
      <c r="A452" s="455"/>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38"/>
      <c r="BB452" s="138"/>
      <c r="BC452" s="138"/>
      <c r="BD452" s="138"/>
      <c r="BE452" s="138"/>
      <c r="BF452" s="138"/>
      <c r="BG452" s="138"/>
      <c r="BH452" s="138"/>
      <c r="BI452" s="138"/>
      <c r="BJ452" s="138"/>
      <c r="BK452" s="138"/>
      <c r="BL452" s="138"/>
      <c r="BM452" s="138"/>
      <c r="BN452" s="138"/>
      <c r="BO452" s="138"/>
      <c r="BP452" s="138"/>
      <c r="BQ452" s="138"/>
      <c r="BR452" s="138"/>
      <c r="BS452" s="138"/>
      <c r="BT452" s="138"/>
      <c r="BU452" s="138"/>
      <c r="BV452" s="138"/>
      <c r="BW452" s="138"/>
      <c r="BX452" s="138"/>
      <c r="BY452" s="138"/>
      <c r="BZ452" s="138"/>
      <c r="CA452" s="138"/>
      <c r="CB452" s="138"/>
      <c r="CC452" s="138"/>
      <c r="CD452" s="138"/>
      <c r="CE452" s="138"/>
    </row>
    <row r="453" spans="1:83" ht="12" customHeight="1">
      <c r="A453" s="455"/>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row>
    <row r="454" spans="1:83" ht="12" customHeight="1">
      <c r="A454" s="455"/>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38"/>
      <c r="BB454" s="138"/>
      <c r="BC454" s="138"/>
      <c r="BD454" s="138"/>
      <c r="BE454" s="138"/>
      <c r="BF454" s="138"/>
      <c r="BG454" s="138"/>
      <c r="BH454" s="138"/>
      <c r="BI454" s="138"/>
      <c r="BJ454" s="138"/>
      <c r="BK454" s="138"/>
      <c r="BL454" s="138"/>
      <c r="BM454" s="138"/>
      <c r="BN454" s="138"/>
      <c r="BO454" s="138"/>
      <c r="BP454" s="138"/>
      <c r="BQ454" s="138"/>
      <c r="BR454" s="138"/>
      <c r="BS454" s="138"/>
      <c r="BT454" s="138"/>
      <c r="BU454" s="138"/>
      <c r="BV454" s="138"/>
      <c r="BW454" s="138"/>
      <c r="BX454" s="138"/>
      <c r="BY454" s="138"/>
      <c r="BZ454" s="138"/>
      <c r="CA454" s="138"/>
      <c r="CB454" s="138"/>
      <c r="CC454" s="138"/>
      <c r="CD454" s="138"/>
      <c r="CE454" s="138"/>
    </row>
    <row r="455" spans="1:83" ht="12" customHeight="1">
      <c r="A455" s="455"/>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38"/>
      <c r="BB455" s="138"/>
      <c r="BC455" s="138"/>
      <c r="BD455" s="138"/>
      <c r="BE455" s="138"/>
      <c r="BF455" s="138"/>
      <c r="BG455" s="138"/>
      <c r="BH455" s="138"/>
      <c r="BI455" s="138"/>
      <c r="BJ455" s="138"/>
      <c r="BK455" s="138"/>
      <c r="BL455" s="138"/>
      <c r="BM455" s="138"/>
      <c r="BN455" s="138"/>
      <c r="BO455" s="138"/>
      <c r="BP455" s="138"/>
      <c r="BQ455" s="138"/>
      <c r="BR455" s="138"/>
      <c r="BS455" s="138"/>
      <c r="BT455" s="138"/>
      <c r="BU455" s="138"/>
      <c r="BV455" s="138"/>
      <c r="BW455" s="138"/>
      <c r="BX455" s="138"/>
      <c r="BY455" s="138"/>
      <c r="BZ455" s="138"/>
      <c r="CA455" s="138"/>
      <c r="CB455" s="138"/>
      <c r="CC455" s="138"/>
      <c r="CD455" s="138"/>
      <c r="CE455" s="138"/>
    </row>
    <row r="456" spans="1:83" ht="12" customHeight="1">
      <c r="A456" s="455"/>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38"/>
      <c r="BB456" s="138"/>
      <c r="BC456" s="138"/>
      <c r="BD456" s="138"/>
      <c r="BE456" s="138"/>
      <c r="BF456" s="138"/>
      <c r="BG456" s="138"/>
      <c r="BH456" s="138"/>
      <c r="BI456" s="138"/>
      <c r="BJ456" s="138"/>
      <c r="BK456" s="138"/>
      <c r="BL456" s="138"/>
      <c r="BM456" s="138"/>
      <c r="BN456" s="138"/>
      <c r="BO456" s="138"/>
      <c r="BP456" s="138"/>
      <c r="BQ456" s="138"/>
      <c r="BR456" s="138"/>
      <c r="BS456" s="138"/>
      <c r="BT456" s="138"/>
      <c r="BU456" s="138"/>
      <c r="BV456" s="138"/>
      <c r="BW456" s="138"/>
      <c r="BX456" s="138"/>
      <c r="BY456" s="138"/>
      <c r="BZ456" s="138"/>
      <c r="CA456" s="138"/>
      <c r="CB456" s="138"/>
      <c r="CC456" s="138"/>
      <c r="CD456" s="138"/>
      <c r="CE456" s="138"/>
    </row>
    <row r="457" spans="1:83" ht="12" customHeight="1">
      <c r="A457" s="455"/>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c r="CA457" s="138"/>
      <c r="CB457" s="138"/>
      <c r="CC457" s="138"/>
      <c r="CD457" s="138"/>
      <c r="CE457" s="138"/>
    </row>
    <row r="458" spans="1:83" ht="12" customHeight="1">
      <c r="A458" s="455"/>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38"/>
      <c r="BB458" s="138"/>
      <c r="BC458" s="138"/>
      <c r="BD458" s="138"/>
      <c r="BE458" s="138"/>
      <c r="BF458" s="138"/>
      <c r="BG458" s="138"/>
      <c r="BH458" s="138"/>
      <c r="BI458" s="138"/>
      <c r="BJ458" s="138"/>
      <c r="BK458" s="138"/>
      <c r="BL458" s="138"/>
      <c r="BM458" s="138"/>
      <c r="BN458" s="138"/>
      <c r="BO458" s="138"/>
      <c r="BP458" s="138"/>
      <c r="BQ458" s="138"/>
      <c r="BR458" s="138"/>
      <c r="BS458" s="138"/>
      <c r="BT458" s="138"/>
      <c r="BU458" s="138"/>
      <c r="BV458" s="138"/>
      <c r="BW458" s="138"/>
      <c r="BX458" s="138"/>
      <c r="BY458" s="138"/>
      <c r="BZ458" s="138"/>
      <c r="CA458" s="138"/>
      <c r="CB458" s="138"/>
      <c r="CC458" s="138"/>
      <c r="CD458" s="138"/>
      <c r="CE458" s="138"/>
    </row>
    <row r="459" spans="1:83" ht="12" customHeight="1">
      <c r="A459" s="455"/>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row>
    <row r="460" spans="1:83" ht="12" customHeight="1">
      <c r="A460" s="455"/>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38"/>
      <c r="BB460" s="138"/>
      <c r="BC460" s="138"/>
      <c r="BD460" s="138"/>
      <c r="BE460" s="138"/>
      <c r="BF460" s="138"/>
      <c r="BG460" s="138"/>
      <c r="BH460" s="138"/>
      <c r="BI460" s="138"/>
      <c r="BJ460" s="138"/>
      <c r="BK460" s="138"/>
      <c r="BL460" s="138"/>
      <c r="BM460" s="138"/>
      <c r="BN460" s="138"/>
      <c r="BO460" s="138"/>
      <c r="BP460" s="138"/>
      <c r="BQ460" s="138"/>
      <c r="BR460" s="138"/>
      <c r="BS460" s="138"/>
      <c r="BT460" s="138"/>
      <c r="BU460" s="138"/>
      <c r="BV460" s="138"/>
      <c r="BW460" s="138"/>
      <c r="BX460" s="138"/>
      <c r="BY460" s="138"/>
      <c r="BZ460" s="138"/>
      <c r="CA460" s="138"/>
      <c r="CB460" s="138"/>
      <c r="CC460" s="138"/>
      <c r="CD460" s="138"/>
      <c r="CE460" s="138"/>
    </row>
    <row r="461" spans="1:83" ht="12" customHeight="1">
      <c r="A461" s="455"/>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38"/>
      <c r="BB461" s="138"/>
      <c r="BC461" s="138"/>
      <c r="BD461" s="138"/>
      <c r="BE461" s="138"/>
      <c r="BF461" s="138"/>
      <c r="BG461" s="138"/>
      <c r="BH461" s="138"/>
      <c r="BI461" s="138"/>
      <c r="BJ461" s="138"/>
      <c r="BK461" s="138"/>
      <c r="BL461" s="138"/>
      <c r="BM461" s="138"/>
      <c r="BN461" s="138"/>
      <c r="BO461" s="138"/>
      <c r="BP461" s="138"/>
      <c r="BQ461" s="138"/>
      <c r="BR461" s="138"/>
      <c r="BS461" s="138"/>
      <c r="BT461" s="138"/>
      <c r="BU461" s="138"/>
      <c r="BV461" s="138"/>
      <c r="BW461" s="138"/>
      <c r="BX461" s="138"/>
      <c r="BY461" s="138"/>
      <c r="BZ461" s="138"/>
      <c r="CA461" s="138"/>
      <c r="CB461" s="138"/>
      <c r="CC461" s="138"/>
      <c r="CD461" s="138"/>
      <c r="CE461" s="138"/>
    </row>
    <row r="462" spans="1:83" ht="12" customHeight="1">
      <c r="A462" s="455"/>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38"/>
      <c r="BB462" s="138"/>
      <c r="BC462" s="138"/>
      <c r="BD462" s="138"/>
      <c r="BE462" s="138"/>
      <c r="BF462" s="138"/>
      <c r="BG462" s="138"/>
      <c r="BH462" s="138"/>
      <c r="BI462" s="138"/>
      <c r="BJ462" s="138"/>
      <c r="BK462" s="138"/>
      <c r="BL462" s="138"/>
      <c r="BM462" s="138"/>
      <c r="BN462" s="138"/>
      <c r="BO462" s="138"/>
      <c r="BP462" s="138"/>
      <c r="BQ462" s="138"/>
      <c r="BR462" s="138"/>
      <c r="BS462" s="138"/>
      <c r="BT462" s="138"/>
      <c r="BU462" s="138"/>
      <c r="BV462" s="138"/>
      <c r="BW462" s="138"/>
      <c r="BX462" s="138"/>
      <c r="BY462" s="138"/>
      <c r="BZ462" s="138"/>
      <c r="CA462" s="138"/>
      <c r="CB462" s="138"/>
      <c r="CC462" s="138"/>
      <c r="CD462" s="138"/>
      <c r="CE462" s="138"/>
    </row>
    <row r="463" spans="1:83" ht="12" customHeight="1">
      <c r="A463" s="455"/>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c r="CA463" s="138"/>
      <c r="CB463" s="138"/>
      <c r="CC463" s="138"/>
      <c r="CD463" s="138"/>
      <c r="CE463" s="138"/>
    </row>
    <row r="464" spans="1:83" ht="12" customHeight="1">
      <c r="A464" s="455"/>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38"/>
      <c r="BB464" s="138"/>
      <c r="BC464" s="138"/>
      <c r="BD464" s="138"/>
      <c r="BE464" s="138"/>
      <c r="BF464" s="138"/>
      <c r="BG464" s="138"/>
      <c r="BH464" s="138"/>
      <c r="BI464" s="138"/>
      <c r="BJ464" s="138"/>
      <c r="BK464" s="138"/>
      <c r="BL464" s="138"/>
      <c r="BM464" s="138"/>
      <c r="BN464" s="138"/>
      <c r="BO464" s="138"/>
      <c r="BP464" s="138"/>
      <c r="BQ464" s="138"/>
      <c r="BR464" s="138"/>
      <c r="BS464" s="138"/>
      <c r="BT464" s="138"/>
      <c r="BU464" s="138"/>
      <c r="BV464" s="138"/>
      <c r="BW464" s="138"/>
      <c r="BX464" s="138"/>
      <c r="BY464" s="138"/>
      <c r="BZ464" s="138"/>
      <c r="CA464" s="138"/>
      <c r="CB464" s="138"/>
      <c r="CC464" s="138"/>
      <c r="CD464" s="138"/>
      <c r="CE464" s="138"/>
    </row>
    <row r="465" spans="1:83" ht="12" customHeight="1">
      <c r="A465" s="455"/>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row>
    <row r="466" spans="1:83" ht="12" customHeight="1">
      <c r="A466" s="455"/>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38"/>
      <c r="BB466" s="138"/>
      <c r="BC466" s="138"/>
      <c r="BD466" s="138"/>
      <c r="BE466" s="138"/>
      <c r="BF466" s="138"/>
      <c r="BG466" s="138"/>
      <c r="BH466" s="138"/>
      <c r="BI466" s="138"/>
      <c r="BJ466" s="138"/>
      <c r="BK466" s="138"/>
      <c r="BL466" s="138"/>
      <c r="BM466" s="138"/>
      <c r="BN466" s="138"/>
      <c r="BO466" s="138"/>
      <c r="BP466" s="138"/>
      <c r="BQ466" s="138"/>
      <c r="BR466" s="138"/>
      <c r="BS466" s="138"/>
      <c r="BT466" s="138"/>
      <c r="BU466" s="138"/>
      <c r="BV466" s="138"/>
      <c r="BW466" s="138"/>
      <c r="BX466" s="138"/>
      <c r="BY466" s="138"/>
      <c r="BZ466" s="138"/>
      <c r="CA466" s="138"/>
      <c r="CB466" s="138"/>
      <c r="CC466" s="138"/>
      <c r="CD466" s="138"/>
      <c r="CE466" s="138"/>
    </row>
    <row r="467" spans="1:83" ht="12" customHeight="1">
      <c r="A467" s="455"/>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38"/>
      <c r="BB467" s="138"/>
      <c r="BC467" s="138"/>
      <c r="BD467" s="138"/>
      <c r="BE467" s="138"/>
      <c r="BF467" s="138"/>
      <c r="BG467" s="138"/>
      <c r="BH467" s="138"/>
      <c r="BI467" s="138"/>
      <c r="BJ467" s="138"/>
      <c r="BK467" s="138"/>
      <c r="BL467" s="138"/>
      <c r="BM467" s="138"/>
      <c r="BN467" s="138"/>
      <c r="BO467" s="138"/>
      <c r="BP467" s="138"/>
      <c r="BQ467" s="138"/>
      <c r="BR467" s="138"/>
      <c r="BS467" s="138"/>
      <c r="BT467" s="138"/>
      <c r="BU467" s="138"/>
      <c r="BV467" s="138"/>
      <c r="BW467" s="138"/>
      <c r="BX467" s="138"/>
      <c r="BY467" s="138"/>
      <c r="BZ467" s="138"/>
      <c r="CA467" s="138"/>
      <c r="CB467" s="138"/>
      <c r="CC467" s="138"/>
      <c r="CD467" s="138"/>
      <c r="CE467" s="138"/>
    </row>
    <row r="468" spans="1:83" ht="12" customHeight="1">
      <c r="A468" s="455"/>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38"/>
      <c r="BB468" s="138"/>
      <c r="BC468" s="138"/>
      <c r="BD468" s="138"/>
      <c r="BE468" s="138"/>
      <c r="BF468" s="138"/>
      <c r="BG468" s="138"/>
      <c r="BH468" s="138"/>
      <c r="BI468" s="138"/>
      <c r="BJ468" s="138"/>
      <c r="BK468" s="138"/>
      <c r="BL468" s="138"/>
      <c r="BM468" s="138"/>
      <c r="BN468" s="138"/>
      <c r="BO468" s="138"/>
      <c r="BP468" s="138"/>
      <c r="BQ468" s="138"/>
      <c r="BR468" s="138"/>
      <c r="BS468" s="138"/>
      <c r="BT468" s="138"/>
      <c r="BU468" s="138"/>
      <c r="BV468" s="138"/>
      <c r="BW468" s="138"/>
      <c r="BX468" s="138"/>
      <c r="BY468" s="138"/>
      <c r="BZ468" s="138"/>
      <c r="CA468" s="138"/>
      <c r="CB468" s="138"/>
      <c r="CC468" s="138"/>
      <c r="CD468" s="138"/>
      <c r="CE468" s="138"/>
    </row>
    <row r="469" spans="1:83" ht="12" customHeight="1">
      <c r="A469" s="455"/>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c r="CA469" s="138"/>
      <c r="CB469" s="138"/>
      <c r="CC469" s="138"/>
      <c r="CD469" s="138"/>
      <c r="CE469" s="138"/>
    </row>
    <row r="470" spans="1:83" ht="12" customHeight="1">
      <c r="A470" s="455"/>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38"/>
      <c r="BB470" s="138"/>
      <c r="BC470" s="138"/>
      <c r="BD470" s="138"/>
      <c r="BE470" s="138"/>
      <c r="BF470" s="138"/>
      <c r="BG470" s="138"/>
      <c r="BH470" s="138"/>
      <c r="BI470" s="138"/>
      <c r="BJ470" s="138"/>
      <c r="BK470" s="138"/>
      <c r="BL470" s="138"/>
      <c r="BM470" s="138"/>
      <c r="BN470" s="138"/>
      <c r="BO470" s="138"/>
      <c r="BP470" s="138"/>
      <c r="BQ470" s="138"/>
      <c r="BR470" s="138"/>
      <c r="BS470" s="138"/>
      <c r="BT470" s="138"/>
      <c r="BU470" s="138"/>
      <c r="BV470" s="138"/>
      <c r="BW470" s="138"/>
      <c r="BX470" s="138"/>
      <c r="BY470" s="138"/>
      <c r="BZ470" s="138"/>
      <c r="CA470" s="138"/>
      <c r="CB470" s="138"/>
      <c r="CC470" s="138"/>
      <c r="CD470" s="138"/>
      <c r="CE470" s="138"/>
    </row>
    <row r="471" spans="1:83" ht="12" customHeight="1">
      <c r="A471" s="455"/>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row>
    <row r="472" spans="1:83" ht="12" customHeight="1">
      <c r="A472" s="455"/>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38"/>
      <c r="BB472" s="138"/>
      <c r="BC472" s="138"/>
      <c r="BD472" s="138"/>
      <c r="BE472" s="138"/>
      <c r="BF472" s="138"/>
      <c r="BG472" s="138"/>
      <c r="BH472" s="138"/>
      <c r="BI472" s="138"/>
      <c r="BJ472" s="138"/>
      <c r="BK472" s="138"/>
      <c r="BL472" s="138"/>
      <c r="BM472" s="138"/>
      <c r="BN472" s="138"/>
      <c r="BO472" s="138"/>
      <c r="BP472" s="138"/>
      <c r="BQ472" s="138"/>
      <c r="BR472" s="138"/>
      <c r="BS472" s="138"/>
      <c r="BT472" s="138"/>
      <c r="BU472" s="138"/>
      <c r="BV472" s="138"/>
      <c r="BW472" s="138"/>
      <c r="BX472" s="138"/>
      <c r="BY472" s="138"/>
      <c r="BZ472" s="138"/>
      <c r="CA472" s="138"/>
      <c r="CB472" s="138"/>
      <c r="CC472" s="138"/>
      <c r="CD472" s="138"/>
      <c r="CE472" s="138"/>
    </row>
    <row r="473" spans="1:83" ht="12" customHeight="1">
      <c r="A473" s="455"/>
      <c r="B473" s="138"/>
      <c r="C473" s="138"/>
      <c r="D473" s="22"/>
      <c r="E473" s="22"/>
      <c r="F473" s="22"/>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38"/>
      <c r="BB473" s="138"/>
      <c r="BC473" s="138"/>
      <c r="BD473" s="138"/>
      <c r="BE473" s="138"/>
      <c r="BF473" s="138"/>
      <c r="BG473" s="138"/>
      <c r="BH473" s="138"/>
      <c r="BI473" s="138"/>
      <c r="BJ473" s="138"/>
      <c r="BK473" s="138"/>
      <c r="BL473" s="138"/>
      <c r="BM473" s="138"/>
      <c r="BN473" s="138"/>
      <c r="BO473" s="138"/>
      <c r="BP473" s="138"/>
      <c r="BQ473" s="138"/>
      <c r="BR473" s="138"/>
      <c r="BS473" s="138"/>
      <c r="BT473" s="138"/>
      <c r="BU473" s="138"/>
      <c r="BV473" s="138"/>
      <c r="BW473" s="138"/>
      <c r="BX473" s="138"/>
      <c r="BY473" s="138"/>
      <c r="BZ473" s="138"/>
      <c r="CA473" s="138"/>
      <c r="CB473" s="138"/>
      <c r="CC473" s="138"/>
      <c r="CD473" s="138"/>
      <c r="CE473" s="138"/>
    </row>
    <row r="474" spans="1:83" ht="12" customHeight="1">
      <c r="A474" s="455"/>
      <c r="B474" s="138"/>
      <c r="C474" s="138"/>
      <c r="D474" s="22"/>
      <c r="E474" s="22"/>
      <c r="F474" s="22"/>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38"/>
      <c r="BB474" s="138"/>
      <c r="BC474" s="138"/>
      <c r="BD474" s="138"/>
      <c r="BE474" s="138"/>
      <c r="BF474" s="138"/>
      <c r="BG474" s="138"/>
      <c r="BH474" s="138"/>
      <c r="BI474" s="138"/>
      <c r="BJ474" s="138"/>
      <c r="BK474" s="138"/>
      <c r="BL474" s="138"/>
      <c r="BM474" s="138"/>
      <c r="BN474" s="138"/>
      <c r="BO474" s="138"/>
      <c r="BP474" s="138"/>
      <c r="BQ474" s="138"/>
      <c r="BR474" s="138"/>
      <c r="BS474" s="138"/>
      <c r="BT474" s="138"/>
      <c r="BU474" s="138"/>
      <c r="BV474" s="138"/>
      <c r="BW474" s="138"/>
      <c r="BX474" s="138"/>
      <c r="BY474" s="138"/>
      <c r="BZ474" s="138"/>
      <c r="CA474" s="138"/>
      <c r="CB474" s="138"/>
      <c r="CC474" s="138"/>
      <c r="CD474" s="138"/>
      <c r="CE474" s="138"/>
    </row>
    <row r="475" spans="1:83" ht="12" customHeight="1">
      <c r="A475" s="455"/>
      <c r="B475" s="138"/>
      <c r="C475" s="138"/>
      <c r="D475" s="22"/>
      <c r="E475" s="22"/>
      <c r="F475" s="22"/>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c r="CA475" s="138"/>
      <c r="CB475" s="138"/>
      <c r="CC475" s="138"/>
      <c r="CD475" s="138"/>
      <c r="CE475" s="138"/>
    </row>
    <row r="476" spans="1:83" ht="12" customHeight="1">
      <c r="A476" s="455"/>
      <c r="B476" s="138"/>
      <c r="C476" s="138"/>
      <c r="D476" s="22"/>
      <c r="E476" s="22"/>
      <c r="F476" s="22"/>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38"/>
      <c r="BB476" s="138"/>
      <c r="BC476" s="138"/>
      <c r="BD476" s="138"/>
      <c r="BE476" s="138"/>
      <c r="BF476" s="138"/>
      <c r="BG476" s="138"/>
      <c r="BH476" s="138"/>
      <c r="BI476" s="138"/>
      <c r="BJ476" s="138"/>
      <c r="BK476" s="138"/>
      <c r="BL476" s="138"/>
      <c r="BM476" s="138"/>
      <c r="BN476" s="138"/>
      <c r="BO476" s="138"/>
      <c r="BP476" s="138"/>
      <c r="BQ476" s="138"/>
      <c r="BR476" s="138"/>
      <c r="BS476" s="138"/>
      <c r="BT476" s="138"/>
      <c r="BU476" s="138"/>
      <c r="BV476" s="138"/>
      <c r="BW476" s="138"/>
      <c r="BX476" s="138"/>
      <c r="BY476" s="138"/>
      <c r="BZ476" s="138"/>
      <c r="CA476" s="138"/>
      <c r="CB476" s="138"/>
      <c r="CC476" s="138"/>
      <c r="CD476" s="138"/>
      <c r="CE476" s="138"/>
    </row>
    <row r="477" spans="1:83" ht="12" customHeight="1">
      <c r="A477" s="455"/>
      <c r="B477" s="138"/>
      <c r="C477" s="138"/>
      <c r="D477" s="22"/>
      <c r="E477" s="22"/>
      <c r="F477" s="22"/>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row>
    <row r="478" spans="1:83" ht="12" customHeight="1">
      <c r="A478" s="455"/>
      <c r="B478" s="138"/>
      <c r="C478" s="138"/>
      <c r="D478" s="22"/>
      <c r="E478" s="22"/>
      <c r="F478" s="22"/>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38"/>
      <c r="BB478" s="138"/>
      <c r="BC478" s="138"/>
      <c r="BD478" s="138"/>
      <c r="BE478" s="138"/>
      <c r="BF478" s="138"/>
      <c r="BG478" s="138"/>
      <c r="BH478" s="138"/>
      <c r="BI478" s="138"/>
      <c r="BJ478" s="138"/>
      <c r="BK478" s="138"/>
      <c r="BL478" s="138"/>
      <c r="BM478" s="138"/>
      <c r="BN478" s="138"/>
      <c r="BO478" s="138"/>
      <c r="BP478" s="138"/>
      <c r="BQ478" s="138"/>
      <c r="BR478" s="138"/>
      <c r="BS478" s="138"/>
      <c r="BT478" s="138"/>
      <c r="BU478" s="138"/>
      <c r="BV478" s="138"/>
      <c r="BW478" s="138"/>
      <c r="BX478" s="138"/>
      <c r="BY478" s="138"/>
      <c r="BZ478" s="138"/>
      <c r="CA478" s="138"/>
      <c r="CB478" s="138"/>
      <c r="CC478" s="138"/>
      <c r="CD478" s="138"/>
      <c r="CE478" s="138"/>
    </row>
    <row r="479" spans="1:83" ht="12" customHeight="1">
      <c r="A479" s="455"/>
      <c r="B479" s="138"/>
      <c r="C479" s="138"/>
      <c r="D479" s="22"/>
      <c r="E479" s="22"/>
      <c r="F479" s="22"/>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38"/>
      <c r="BB479" s="138"/>
      <c r="BC479" s="138"/>
      <c r="BD479" s="138"/>
      <c r="BE479" s="138"/>
      <c r="BF479" s="138"/>
      <c r="BG479" s="138"/>
      <c r="BH479" s="138"/>
      <c r="BI479" s="138"/>
      <c r="BJ479" s="138"/>
      <c r="BK479" s="138"/>
      <c r="BL479" s="138"/>
      <c r="BM479" s="138"/>
      <c r="BN479" s="138"/>
      <c r="BO479" s="138"/>
      <c r="BP479" s="138"/>
      <c r="BQ479" s="138"/>
      <c r="BR479" s="138"/>
      <c r="BS479" s="138"/>
      <c r="BT479" s="138"/>
      <c r="BU479" s="138"/>
      <c r="BV479" s="138"/>
      <c r="BW479" s="138"/>
      <c r="BX479" s="138"/>
      <c r="BY479" s="138"/>
      <c r="BZ479" s="138"/>
      <c r="CA479" s="138"/>
      <c r="CB479" s="138"/>
      <c r="CC479" s="138"/>
      <c r="CD479" s="138"/>
      <c r="CE479" s="138"/>
    </row>
    <row r="480" spans="1:83" ht="12" customHeight="1">
      <c r="A480" s="455"/>
      <c r="B480" s="138"/>
      <c r="C480" s="138"/>
      <c r="D480" s="22"/>
      <c r="E480" s="22"/>
      <c r="F480" s="22"/>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38"/>
      <c r="BB480" s="138"/>
      <c r="BC480" s="138"/>
      <c r="BD480" s="138"/>
      <c r="BE480" s="138"/>
      <c r="BF480" s="138"/>
      <c r="BG480" s="138"/>
      <c r="BH480" s="138"/>
      <c r="BI480" s="138"/>
      <c r="BJ480" s="138"/>
      <c r="BK480" s="138"/>
      <c r="BL480" s="138"/>
      <c r="BM480" s="138"/>
      <c r="BN480" s="138"/>
      <c r="BO480" s="138"/>
      <c r="BP480" s="138"/>
      <c r="BQ480" s="138"/>
      <c r="BR480" s="138"/>
      <c r="BS480" s="138"/>
      <c r="BT480" s="138"/>
      <c r="BU480" s="138"/>
      <c r="BV480" s="138"/>
      <c r="BW480" s="138"/>
      <c r="BX480" s="138"/>
      <c r="BY480" s="138"/>
      <c r="BZ480" s="138"/>
      <c r="CA480" s="138"/>
      <c r="CB480" s="138"/>
      <c r="CC480" s="138"/>
      <c r="CD480" s="138"/>
      <c r="CE480" s="138"/>
    </row>
    <row r="481" spans="1:83" ht="12" customHeight="1">
      <c r="A481" s="455"/>
      <c r="B481" s="138"/>
      <c r="C481" s="138"/>
      <c r="D481" s="22"/>
      <c r="E481" s="22"/>
      <c r="F481" s="22"/>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c r="CA481" s="138"/>
      <c r="CB481" s="138"/>
      <c r="CC481" s="138"/>
      <c r="CD481" s="138"/>
      <c r="CE481" s="138"/>
    </row>
    <row r="482" spans="1:83" ht="12" customHeight="1">
      <c r="A482" s="455"/>
      <c r="B482" s="138"/>
      <c r="C482" s="138"/>
      <c r="D482" s="22"/>
      <c r="E482" s="22"/>
      <c r="F482" s="22"/>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38"/>
      <c r="BB482" s="138"/>
      <c r="BC482" s="138"/>
      <c r="BD482" s="138"/>
      <c r="BE482" s="138"/>
      <c r="BF482" s="138"/>
      <c r="BG482" s="138"/>
      <c r="BH482" s="138"/>
      <c r="BI482" s="138"/>
      <c r="BJ482" s="138"/>
      <c r="BK482" s="138"/>
      <c r="BL482" s="138"/>
      <c r="BM482" s="138"/>
      <c r="BN482" s="138"/>
      <c r="BO482" s="138"/>
      <c r="BP482" s="138"/>
      <c r="BQ482" s="138"/>
      <c r="BR482" s="138"/>
      <c r="BS482" s="138"/>
      <c r="BT482" s="138"/>
      <c r="BU482" s="138"/>
      <c r="BV482" s="138"/>
      <c r="BW482" s="138"/>
      <c r="BX482" s="138"/>
      <c r="BY482" s="138"/>
      <c r="BZ482" s="138"/>
      <c r="CA482" s="138"/>
      <c r="CB482" s="138"/>
      <c r="CC482" s="138"/>
      <c r="CD482" s="138"/>
      <c r="CE482" s="138"/>
    </row>
    <row r="483" spans="1:83" ht="12" customHeight="1">
      <c r="A483" s="455"/>
      <c r="B483" s="138"/>
      <c r="C483" s="138"/>
      <c r="D483" s="22"/>
      <c r="E483" s="22"/>
      <c r="F483" s="22"/>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row>
    <row r="484" spans="1:83" ht="12" customHeight="1">
      <c r="A484" s="455"/>
      <c r="B484" s="138"/>
      <c r="C484" s="138"/>
      <c r="D484" s="22"/>
      <c r="E484" s="22"/>
      <c r="F484" s="22"/>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c r="AS484" s="138"/>
      <c r="AT484" s="138"/>
      <c r="AU484" s="138"/>
      <c r="AV484" s="138"/>
      <c r="AW484" s="138"/>
      <c r="AX484" s="138"/>
      <c r="AY484" s="138"/>
      <c r="AZ484" s="138"/>
      <c r="BA484" s="138"/>
      <c r="BB484" s="138"/>
      <c r="BC484" s="138"/>
      <c r="BD484" s="138"/>
      <c r="BE484" s="138"/>
      <c r="BF484" s="138"/>
      <c r="BG484" s="138"/>
      <c r="BH484" s="138"/>
      <c r="BI484" s="138"/>
      <c r="BJ484" s="138"/>
      <c r="BK484" s="138"/>
      <c r="BL484" s="138"/>
      <c r="BM484" s="138"/>
      <c r="BN484" s="138"/>
      <c r="BO484" s="138"/>
      <c r="BP484" s="138"/>
      <c r="BQ484" s="138"/>
      <c r="BR484" s="138"/>
      <c r="BS484" s="138"/>
      <c r="BT484" s="138"/>
      <c r="BU484" s="138"/>
      <c r="BV484" s="138"/>
      <c r="BW484" s="138"/>
      <c r="BX484" s="138"/>
      <c r="BY484" s="138"/>
      <c r="BZ484" s="138"/>
      <c r="CA484" s="138"/>
      <c r="CB484" s="138"/>
      <c r="CC484" s="138"/>
      <c r="CD484" s="138"/>
      <c r="CE484" s="138"/>
    </row>
    <row r="485" spans="1:83" ht="12" customHeight="1">
      <c r="A485" s="455"/>
      <c r="B485" s="138"/>
      <c r="C485" s="138"/>
      <c r="D485" s="22"/>
      <c r="E485" s="22"/>
      <c r="F485" s="22"/>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c r="AS485" s="138"/>
      <c r="AT485" s="138"/>
      <c r="AU485" s="138"/>
      <c r="AV485" s="138"/>
      <c r="AW485" s="138"/>
      <c r="AX485" s="138"/>
      <c r="AY485" s="138"/>
      <c r="AZ485" s="138"/>
      <c r="BA485" s="138"/>
      <c r="BB485" s="138"/>
      <c r="BC485" s="138"/>
      <c r="BD485" s="138"/>
      <c r="BE485" s="138"/>
      <c r="BF485" s="138"/>
      <c r="BG485" s="138"/>
      <c r="BH485" s="138"/>
      <c r="BI485" s="138"/>
      <c r="BJ485" s="138"/>
      <c r="BK485" s="138"/>
      <c r="BL485" s="138"/>
      <c r="BM485" s="138"/>
      <c r="BN485" s="138"/>
      <c r="BO485" s="138"/>
      <c r="BP485" s="138"/>
      <c r="BQ485" s="138"/>
      <c r="BR485" s="138"/>
      <c r="BS485" s="138"/>
      <c r="BT485" s="138"/>
      <c r="BU485" s="138"/>
      <c r="BV485" s="138"/>
      <c r="BW485" s="138"/>
      <c r="BX485" s="138"/>
      <c r="BY485" s="138"/>
      <c r="BZ485" s="138"/>
      <c r="CA485" s="138"/>
      <c r="CB485" s="138"/>
      <c r="CC485" s="138"/>
      <c r="CD485" s="138"/>
      <c r="CE485" s="13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3" manualBreakCount="13">
    <brk id="44" max="16383" man="1"/>
    <brk id="62" max="16383" man="1"/>
    <brk id="103" max="16383" man="1"/>
    <brk id="140" max="16383" man="1"/>
    <brk id="157" max="16383" man="1"/>
    <brk id="197" max="16383" man="1"/>
    <brk id="239" max="16383" man="1"/>
    <brk id="270" max="16383" man="1"/>
    <brk id="318" max="16383" man="1"/>
    <brk id="365" max="16383" man="1"/>
    <brk id="379" max="16383" man="1"/>
    <brk id="423" max="16383" man="1"/>
    <brk id="4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C666"/>
  <sheetViews>
    <sheetView showGridLines="0" view="pageBreakPreview" zoomScale="85" zoomScaleNormal="100" zoomScaleSheetLayoutView="85" workbookViewId="0">
      <selection sqref="A1:CE1"/>
    </sheetView>
  </sheetViews>
  <sheetFormatPr defaultColWidth="1.625" defaultRowHeight="12" customHeight="1"/>
  <cols>
    <col min="1" max="1" width="1.625" style="1" customWidth="1"/>
    <col min="2" max="4" width="1.625" style="1"/>
    <col min="5" max="5" width="1.625" style="1" customWidth="1"/>
    <col min="6" max="16384" width="1.625" style="1"/>
  </cols>
  <sheetData>
    <row r="1" spans="1:83" ht="17.25" customHeight="1">
      <c r="A1" s="613" t="s">
        <v>429</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83" ht="4.5" customHeight="1"/>
    <row r="3" spans="1:83" ht="12" customHeight="1">
      <c r="A3" s="592" t="s">
        <v>8</v>
      </c>
      <c r="B3" s="592"/>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t="s">
        <v>1</v>
      </c>
      <c r="AE3" s="592"/>
      <c r="AF3" s="592"/>
      <c r="AG3" s="592"/>
      <c r="AH3" s="592"/>
      <c r="AI3" s="592"/>
      <c r="AJ3" s="592"/>
      <c r="AK3" s="592"/>
      <c r="AL3" s="592"/>
      <c r="AM3" s="723" t="s">
        <v>701</v>
      </c>
      <c r="AN3" s="724"/>
      <c r="AO3" s="724"/>
      <c r="AP3" s="724"/>
      <c r="AQ3" s="724"/>
      <c r="AR3" s="724"/>
      <c r="AS3" s="724"/>
      <c r="AT3" s="724"/>
      <c r="AU3" s="724"/>
      <c r="AV3" s="724"/>
      <c r="AW3" s="724"/>
      <c r="AX3" s="724"/>
      <c r="AY3" s="724"/>
      <c r="AZ3" s="724"/>
      <c r="BA3" s="724"/>
      <c r="BB3" s="724"/>
      <c r="BC3" s="724"/>
      <c r="BD3" s="724"/>
      <c r="BE3" s="724"/>
      <c r="BF3" s="724"/>
      <c r="BG3" s="724"/>
      <c r="BH3" s="724"/>
      <c r="BI3" s="724"/>
      <c r="BJ3" s="724"/>
      <c r="BK3" s="724"/>
      <c r="BL3" s="724"/>
      <c r="BM3" s="724"/>
      <c r="BN3" s="724"/>
      <c r="BO3" s="724"/>
      <c r="BP3" s="724"/>
      <c r="BQ3" s="725"/>
      <c r="BR3" s="693" t="s">
        <v>6</v>
      </c>
      <c r="BS3" s="693"/>
      <c r="BT3" s="601" t="s">
        <v>757</v>
      </c>
      <c r="BU3" s="593"/>
      <c r="BV3" s="593"/>
      <c r="BW3" s="593"/>
      <c r="BX3" s="593"/>
      <c r="BY3" s="693" t="s">
        <v>7</v>
      </c>
      <c r="BZ3" s="693"/>
      <c r="CA3" s="601" t="s">
        <v>756</v>
      </c>
      <c r="CB3" s="593"/>
      <c r="CC3" s="593"/>
      <c r="CD3" s="593"/>
      <c r="CE3" s="593"/>
    </row>
    <row r="4" spans="1:83" ht="12" customHeight="1">
      <c r="A4" s="592" t="s">
        <v>9</v>
      </c>
      <c r="B4" s="592"/>
      <c r="C4" s="592"/>
      <c r="D4" s="592"/>
      <c r="E4" s="592"/>
      <c r="F4" s="592"/>
      <c r="G4" s="592"/>
      <c r="H4" s="592"/>
      <c r="I4" s="591" t="s">
        <v>683</v>
      </c>
      <c r="J4" s="592"/>
      <c r="K4" s="592"/>
      <c r="L4" s="592"/>
      <c r="M4" s="592"/>
      <c r="N4" s="592"/>
      <c r="O4" s="592"/>
      <c r="P4" s="592"/>
      <c r="Q4" s="592"/>
      <c r="R4" s="592"/>
      <c r="S4" s="592"/>
      <c r="T4" s="592"/>
      <c r="U4" s="592"/>
      <c r="V4" s="592"/>
      <c r="W4" s="592"/>
      <c r="X4" s="592"/>
      <c r="Y4" s="592"/>
      <c r="Z4" s="592"/>
      <c r="AA4" s="592"/>
      <c r="AB4" s="592"/>
      <c r="AC4" s="592"/>
      <c r="AD4" s="592" t="s">
        <v>0</v>
      </c>
      <c r="AE4" s="592"/>
      <c r="AF4" s="592"/>
      <c r="AG4" s="592"/>
      <c r="AH4" s="592"/>
      <c r="AI4" s="592"/>
      <c r="AJ4" s="592"/>
      <c r="AK4" s="592"/>
      <c r="AL4" s="592"/>
      <c r="AM4" s="723" t="s">
        <v>702</v>
      </c>
      <c r="AN4" s="724"/>
      <c r="AO4" s="724"/>
      <c r="AP4" s="724"/>
      <c r="AQ4" s="724"/>
      <c r="AR4" s="724"/>
      <c r="AS4" s="724"/>
      <c r="AT4" s="724"/>
      <c r="AU4" s="724"/>
      <c r="AV4" s="724"/>
      <c r="AW4" s="724"/>
      <c r="AX4" s="724"/>
      <c r="AY4" s="724"/>
      <c r="AZ4" s="724"/>
      <c r="BA4" s="724"/>
      <c r="BB4" s="724"/>
      <c r="BC4" s="724"/>
      <c r="BD4" s="724"/>
      <c r="BE4" s="724"/>
      <c r="BF4" s="724"/>
      <c r="BG4" s="724"/>
      <c r="BH4" s="724"/>
      <c r="BI4" s="724"/>
      <c r="BJ4" s="724"/>
      <c r="BK4" s="724"/>
      <c r="BL4" s="724"/>
      <c r="BM4" s="724"/>
      <c r="BN4" s="724"/>
      <c r="BO4" s="724"/>
      <c r="BP4" s="724"/>
      <c r="BQ4" s="725"/>
      <c r="BR4" s="693"/>
      <c r="BS4" s="693"/>
      <c r="BT4" s="593"/>
      <c r="BU4" s="593"/>
      <c r="BV4" s="593"/>
      <c r="BW4" s="593"/>
      <c r="BX4" s="593"/>
      <c r="BY4" s="693"/>
      <c r="BZ4" s="693"/>
      <c r="CA4" s="593"/>
      <c r="CB4" s="593"/>
      <c r="CC4" s="593"/>
      <c r="CD4" s="593"/>
      <c r="CE4" s="593"/>
    </row>
    <row r="5" spans="1:83" ht="12" customHeight="1">
      <c r="A5" s="592"/>
      <c r="B5" s="592"/>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t="s">
        <v>2</v>
      </c>
      <c r="AE5" s="592"/>
      <c r="AF5" s="592"/>
      <c r="AG5" s="592"/>
      <c r="AH5" s="604">
        <v>43503</v>
      </c>
      <c r="AI5" s="604"/>
      <c r="AJ5" s="604"/>
      <c r="AK5" s="604"/>
      <c r="AL5" s="604"/>
      <c r="AM5" s="604"/>
      <c r="AN5" s="604"/>
      <c r="AO5" s="592" t="s">
        <v>3</v>
      </c>
      <c r="AP5" s="592"/>
      <c r="AQ5" s="592"/>
      <c r="AR5" s="592"/>
      <c r="AS5" s="692"/>
      <c r="AT5" s="692"/>
      <c r="AU5" s="692"/>
      <c r="AV5" s="692"/>
      <c r="AW5" s="692"/>
      <c r="AX5" s="692"/>
      <c r="AY5" s="692"/>
      <c r="AZ5" s="592" t="s">
        <v>4</v>
      </c>
      <c r="BA5" s="592"/>
      <c r="BB5" s="592"/>
      <c r="BC5" s="592"/>
      <c r="BD5" s="692"/>
      <c r="BE5" s="692"/>
      <c r="BF5" s="692"/>
      <c r="BG5" s="692"/>
      <c r="BH5" s="692"/>
      <c r="BI5" s="692"/>
      <c r="BJ5" s="692"/>
      <c r="BK5" s="592" t="s">
        <v>5</v>
      </c>
      <c r="BL5" s="592"/>
      <c r="BM5" s="592"/>
      <c r="BN5" s="691"/>
      <c r="BO5" s="691"/>
      <c r="BP5" s="691"/>
      <c r="BQ5" s="691"/>
      <c r="BR5" s="693"/>
      <c r="BS5" s="693"/>
      <c r="BT5" s="593"/>
      <c r="BU5" s="593"/>
      <c r="BV5" s="593"/>
      <c r="BW5" s="593"/>
      <c r="BX5" s="593"/>
      <c r="BY5" s="693"/>
      <c r="BZ5" s="693"/>
      <c r="CA5" s="593"/>
      <c r="CB5" s="593"/>
      <c r="CC5" s="593"/>
      <c r="CD5" s="593"/>
      <c r="CE5" s="593"/>
    </row>
    <row r="6" spans="1:83" ht="5.0999999999999996" customHeight="1"/>
    <row r="7" spans="1:83" ht="12"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row>
    <row r="8" spans="1:83" ht="12" customHeight="1">
      <c r="A8" s="454"/>
      <c r="B8" s="454" t="s">
        <v>1143</v>
      </c>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row>
    <row r="9" spans="1:83" ht="12" customHeight="1">
      <c r="A9" s="454"/>
      <c r="B9" s="454"/>
      <c r="C9" s="456"/>
      <c r="D9" s="456"/>
      <c r="E9" s="456"/>
      <c r="F9" s="456"/>
      <c r="G9" s="456"/>
      <c r="H9" s="456"/>
      <c r="I9" s="456"/>
      <c r="J9" s="456"/>
      <c r="K9" s="456"/>
      <c r="L9" s="456"/>
      <c r="M9" s="456"/>
      <c r="N9" s="456"/>
      <c r="O9" s="456"/>
      <c r="P9" s="456"/>
      <c r="Q9" s="456"/>
      <c r="R9" s="456"/>
      <c r="S9" s="456"/>
      <c r="T9" s="456"/>
      <c r="U9" s="456"/>
      <c r="V9" s="456"/>
      <c r="W9" s="456"/>
      <c r="X9" s="456"/>
      <c r="Y9" s="456"/>
      <c r="Z9" s="456"/>
      <c r="AA9" s="456"/>
      <c r="AB9" s="456"/>
      <c r="AC9" s="456"/>
      <c r="AD9" s="456"/>
      <c r="AE9" s="456"/>
      <c r="AF9" s="456"/>
      <c r="AG9" s="456"/>
      <c r="AH9" s="456"/>
      <c r="AI9" s="456"/>
      <c r="AJ9" s="456"/>
      <c r="AK9" s="456"/>
      <c r="AL9" s="456"/>
      <c r="AM9" s="456"/>
      <c r="AN9" s="456"/>
      <c r="AO9" s="456"/>
      <c r="AP9" s="456"/>
      <c r="AQ9" s="456"/>
      <c r="AR9" s="456"/>
      <c r="AS9" s="456"/>
      <c r="AT9" s="456"/>
      <c r="AU9" s="456"/>
      <c r="AV9" s="456"/>
      <c r="AW9" s="456"/>
      <c r="AX9" s="456"/>
      <c r="AY9" s="456"/>
      <c r="AZ9" s="456"/>
      <c r="BA9" s="456"/>
      <c r="BB9" s="456"/>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row>
    <row r="10" spans="1:83" ht="12" customHeight="1">
      <c r="A10" s="454"/>
      <c r="B10" s="454"/>
      <c r="C10" s="456" t="s">
        <v>1144</v>
      </c>
      <c r="D10" s="456"/>
      <c r="E10" s="456"/>
      <c r="F10" s="456"/>
      <c r="G10" s="456"/>
      <c r="H10" s="456"/>
      <c r="I10" s="456"/>
      <c r="J10" s="456"/>
      <c r="K10" s="456"/>
      <c r="L10" s="456"/>
      <c r="M10" s="456"/>
      <c r="N10" s="456"/>
      <c r="O10" s="456"/>
      <c r="P10" s="456"/>
      <c r="Q10" s="456"/>
      <c r="R10" s="456"/>
      <c r="S10" s="456"/>
      <c r="T10" s="456"/>
      <c r="U10" s="456"/>
      <c r="V10" s="456"/>
      <c r="W10" s="456"/>
      <c r="X10" s="456"/>
      <c r="Y10" s="456"/>
      <c r="Z10" s="456"/>
      <c r="AA10" s="456"/>
      <c r="AB10" s="456"/>
      <c r="AC10" s="456"/>
      <c r="AD10" s="456"/>
      <c r="AE10" s="456"/>
      <c r="AF10" s="456"/>
      <c r="AG10" s="456"/>
      <c r="AH10" s="456"/>
      <c r="AI10" s="456"/>
      <c r="AJ10" s="456"/>
      <c r="AK10" s="456"/>
      <c r="AL10" s="456"/>
      <c r="AM10" s="456"/>
      <c r="AN10" s="456"/>
      <c r="AO10" s="456"/>
      <c r="AP10" s="456"/>
      <c r="AQ10" s="456"/>
      <c r="AR10" s="456"/>
      <c r="AS10" s="456"/>
      <c r="AT10" s="456"/>
      <c r="AU10" s="456"/>
      <c r="AV10" s="456"/>
      <c r="AW10" s="456"/>
      <c r="AX10" s="456"/>
      <c r="AY10" s="456"/>
      <c r="AZ10" s="456"/>
      <c r="BA10" s="456"/>
      <c r="BB10" s="456"/>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row>
    <row r="11" spans="1:83" ht="12" customHeight="1">
      <c r="A11" s="454"/>
      <c r="B11" s="454"/>
      <c r="C11" s="456"/>
      <c r="D11" s="456"/>
      <c r="E11" s="456"/>
      <c r="F11" s="456"/>
      <c r="G11" s="456"/>
      <c r="H11" s="456"/>
      <c r="I11" s="456"/>
      <c r="J11" s="456"/>
      <c r="K11" s="456"/>
      <c r="L11" s="456"/>
      <c r="M11" s="456"/>
      <c r="N11" s="456"/>
      <c r="O11" s="456"/>
      <c r="P11" s="456"/>
      <c r="Q11" s="456"/>
      <c r="R11" s="456"/>
      <c r="S11" s="456"/>
      <c r="T11" s="456"/>
      <c r="U11" s="456"/>
      <c r="V11" s="456"/>
      <c r="W11" s="456"/>
      <c r="X11" s="456"/>
      <c r="Y11" s="456"/>
      <c r="Z11" s="456"/>
      <c r="AA11" s="456"/>
      <c r="AB11" s="456"/>
      <c r="AC11" s="456"/>
      <c r="AD11" s="456"/>
      <c r="AE11" s="456"/>
      <c r="AF11" s="456"/>
      <c r="AG11" s="456"/>
      <c r="AH11" s="456"/>
      <c r="AI11" s="456"/>
      <c r="AJ11" s="456"/>
      <c r="AK11" s="456"/>
      <c r="AL11" s="456"/>
      <c r="AM11" s="456"/>
      <c r="AN11" s="456"/>
      <c r="AO11" s="456"/>
      <c r="AP11" s="456"/>
      <c r="AQ11" s="456"/>
      <c r="AR11" s="456"/>
      <c r="AS11" s="456"/>
      <c r="AT11" s="456"/>
      <c r="AU11" s="456"/>
      <c r="AV11" s="456"/>
      <c r="AW11" s="456"/>
      <c r="AX11" s="456"/>
      <c r="AY11" s="456"/>
      <c r="AZ11" s="456"/>
      <c r="BA11" s="456"/>
      <c r="BB11" s="456"/>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row>
    <row r="12" spans="1:83" ht="12" customHeight="1">
      <c r="A12" s="454"/>
      <c r="B12" s="454"/>
      <c r="C12" s="456"/>
      <c r="D12" s="456" t="s">
        <v>1145</v>
      </c>
      <c r="E12" s="456"/>
      <c r="F12" s="456"/>
      <c r="G12" s="456"/>
      <c r="H12" s="456"/>
      <c r="I12" s="456"/>
      <c r="J12" s="456"/>
      <c r="K12" s="456"/>
      <c r="L12" s="456"/>
      <c r="M12" s="456"/>
      <c r="N12" s="456"/>
      <c r="O12" s="456"/>
      <c r="P12" s="456"/>
      <c r="Q12" s="456"/>
      <c r="R12" s="456"/>
      <c r="S12" s="456"/>
      <c r="T12" s="456"/>
      <c r="U12" s="456"/>
      <c r="V12" s="456"/>
      <c r="W12" s="456"/>
      <c r="X12" s="456"/>
      <c r="Y12" s="456"/>
      <c r="Z12" s="456"/>
      <c r="AA12" s="456"/>
      <c r="AB12" s="456"/>
      <c r="AC12" s="456"/>
      <c r="AD12" s="456"/>
      <c r="AE12" s="456"/>
      <c r="AF12" s="456"/>
      <c r="AG12" s="456"/>
      <c r="AH12" s="456"/>
      <c r="AI12" s="456"/>
      <c r="AJ12" s="456"/>
      <c r="AK12" s="456"/>
      <c r="AL12" s="456"/>
      <c r="AM12" s="456"/>
      <c r="AN12" s="456"/>
      <c r="AO12" s="456"/>
      <c r="AP12" s="456"/>
      <c r="AQ12" s="456"/>
      <c r="AR12" s="456"/>
      <c r="AS12" s="456"/>
      <c r="AT12" s="456"/>
      <c r="AU12" s="456"/>
      <c r="AV12" s="456"/>
      <c r="AW12" s="456"/>
      <c r="AX12" s="456"/>
      <c r="AY12" s="456"/>
      <c r="AZ12" s="456"/>
      <c r="BA12" s="456"/>
      <c r="BB12" s="456"/>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row>
    <row r="13" spans="1:83" ht="12" customHeight="1">
      <c r="A13" s="454"/>
      <c r="B13" s="454"/>
      <c r="C13" s="456"/>
      <c r="D13" s="456"/>
      <c r="E13" s="456"/>
      <c r="F13" s="456"/>
      <c r="G13" s="456"/>
      <c r="H13" s="456"/>
      <c r="I13" s="456"/>
      <c r="J13" s="456"/>
      <c r="K13" s="456"/>
      <c r="L13" s="456"/>
      <c r="M13" s="456"/>
      <c r="N13" s="456"/>
      <c r="O13" s="456"/>
      <c r="P13" s="456"/>
      <c r="Q13" s="456"/>
      <c r="R13" s="456"/>
      <c r="S13" s="456"/>
      <c r="T13" s="456"/>
      <c r="U13" s="456"/>
      <c r="V13" s="456"/>
      <c r="W13" s="456"/>
      <c r="X13" s="456"/>
      <c r="Y13" s="456"/>
      <c r="Z13" s="456"/>
      <c r="AA13" s="456"/>
      <c r="AB13" s="456"/>
      <c r="AC13" s="456"/>
      <c r="AD13" s="456"/>
      <c r="AE13" s="456"/>
      <c r="AF13" s="456"/>
      <c r="AG13" s="456"/>
      <c r="AH13" s="456"/>
      <c r="AI13" s="456"/>
      <c r="AJ13" s="456"/>
      <c r="AK13" s="456"/>
      <c r="AL13" s="456"/>
      <c r="AM13" s="456"/>
      <c r="AN13" s="456"/>
      <c r="AO13" s="456"/>
      <c r="AP13" s="456"/>
      <c r="AQ13" s="456"/>
      <c r="AR13" s="456"/>
      <c r="AS13" s="456"/>
      <c r="AT13" s="456"/>
      <c r="AU13" s="456"/>
      <c r="AV13" s="456"/>
      <c r="AW13" s="456"/>
      <c r="AX13" s="456"/>
      <c r="AY13" s="456"/>
      <c r="AZ13" s="456"/>
      <c r="BA13" s="456"/>
      <c r="BB13" s="456"/>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row>
    <row r="14" spans="1:83" ht="12" customHeight="1">
      <c r="A14" s="454"/>
      <c r="B14" s="454"/>
      <c r="C14" s="456"/>
      <c r="D14" s="456"/>
      <c r="E14" s="456" t="s">
        <v>254</v>
      </c>
      <c r="F14" s="456"/>
      <c r="G14" s="456"/>
      <c r="H14" s="456"/>
      <c r="I14" s="456"/>
      <c r="J14" s="456"/>
      <c r="K14" s="456"/>
      <c r="L14" s="456"/>
      <c r="M14" s="456"/>
      <c r="N14" s="456"/>
      <c r="O14" s="456"/>
      <c r="P14" s="456"/>
      <c r="Q14" s="456"/>
      <c r="R14" s="456"/>
      <c r="S14" s="456"/>
      <c r="T14" s="456"/>
      <c r="U14" s="456"/>
      <c r="V14" s="456"/>
      <c r="W14" s="456"/>
      <c r="X14" s="456"/>
      <c r="Y14" s="456"/>
      <c r="Z14" s="456"/>
      <c r="AA14" s="456"/>
      <c r="AB14" s="456"/>
      <c r="AC14" s="456"/>
      <c r="AD14" s="456"/>
      <c r="AE14" s="456"/>
      <c r="AF14" s="456"/>
      <c r="AG14" s="456"/>
      <c r="AH14" s="456"/>
      <c r="AI14" s="456"/>
      <c r="AJ14" s="456"/>
      <c r="AK14" s="456"/>
      <c r="AL14" s="456"/>
      <c r="AM14" s="456"/>
      <c r="AN14" s="456"/>
      <c r="AO14" s="456"/>
      <c r="AP14" s="456"/>
      <c r="AQ14" s="456"/>
      <c r="AR14" s="456"/>
      <c r="AS14" s="456"/>
      <c r="AT14" s="456"/>
      <c r="AU14" s="456"/>
      <c r="AV14" s="456"/>
      <c r="AW14" s="456"/>
      <c r="AX14" s="456"/>
      <c r="AY14" s="456"/>
      <c r="AZ14" s="456"/>
      <c r="BA14" s="456"/>
      <c r="BB14" s="456"/>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row>
    <row r="15" spans="1:83" ht="12" customHeight="1">
      <c r="A15" s="454"/>
      <c r="B15" s="454"/>
      <c r="C15" s="456"/>
      <c r="D15" s="456"/>
      <c r="E15" s="456" t="s">
        <v>253</v>
      </c>
      <c r="F15" s="456"/>
      <c r="G15" s="456"/>
      <c r="H15" s="456"/>
      <c r="I15" s="456"/>
      <c r="J15" s="456"/>
      <c r="K15" s="456"/>
      <c r="L15" s="456"/>
      <c r="M15" s="456"/>
      <c r="N15" s="456"/>
      <c r="O15" s="456"/>
      <c r="P15" s="456"/>
      <c r="Q15" s="456"/>
      <c r="R15" s="456"/>
      <c r="S15" s="456"/>
      <c r="T15" s="456"/>
      <c r="U15" s="456"/>
      <c r="V15" s="456"/>
      <c r="W15" s="456"/>
      <c r="X15" s="456"/>
      <c r="Y15" s="456"/>
      <c r="Z15" s="456"/>
      <c r="AA15" s="456"/>
      <c r="AB15" s="456"/>
      <c r="AC15" s="456"/>
      <c r="AD15" s="456"/>
      <c r="AE15" s="456"/>
      <c r="AF15" s="456"/>
      <c r="AG15" s="456"/>
      <c r="AH15" s="456"/>
      <c r="AI15" s="456"/>
      <c r="AJ15" s="456"/>
      <c r="AK15" s="456"/>
      <c r="AL15" s="456"/>
      <c r="AM15" s="456"/>
      <c r="AN15" s="456"/>
      <c r="AO15" s="456"/>
      <c r="AP15" s="456"/>
      <c r="AQ15" s="456"/>
      <c r="AR15" s="456"/>
      <c r="AS15" s="456"/>
      <c r="AT15" s="456"/>
      <c r="AU15" s="456"/>
      <c r="AV15" s="456"/>
      <c r="AW15" s="456"/>
      <c r="AX15" s="456"/>
      <c r="AY15" s="456"/>
      <c r="AZ15" s="456"/>
      <c r="BA15" s="456"/>
      <c r="BB15" s="456"/>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row>
    <row r="16" spans="1:83" ht="12" customHeight="1">
      <c r="A16" s="454"/>
      <c r="B16" s="454"/>
      <c r="C16" s="456"/>
      <c r="D16" s="456"/>
      <c r="E16" s="456"/>
      <c r="F16" s="456"/>
      <c r="G16" s="456"/>
      <c r="H16" s="456"/>
      <c r="I16" s="456"/>
      <c r="J16" s="456"/>
      <c r="K16" s="456"/>
      <c r="L16" s="456"/>
      <c r="M16" s="456"/>
      <c r="N16" s="456"/>
      <c r="O16" s="456"/>
      <c r="P16" s="456"/>
      <c r="Q16" s="456"/>
      <c r="R16" s="456"/>
      <c r="S16" s="456"/>
      <c r="T16" s="456"/>
      <c r="U16" s="456"/>
      <c r="V16" s="456"/>
      <c r="W16" s="456"/>
      <c r="X16" s="456"/>
      <c r="Y16" s="456"/>
      <c r="Z16" s="456"/>
      <c r="AA16" s="456"/>
      <c r="AB16" s="456"/>
      <c r="AC16" s="456"/>
      <c r="AD16" s="456"/>
      <c r="AE16" s="456"/>
      <c r="AF16" s="456"/>
      <c r="AG16" s="456"/>
      <c r="AH16" s="456"/>
      <c r="AI16" s="456"/>
      <c r="AJ16" s="456"/>
      <c r="AK16" s="456"/>
      <c r="AL16" s="456"/>
      <c r="AM16" s="456"/>
      <c r="AN16" s="456"/>
      <c r="AO16" s="456"/>
      <c r="AP16" s="456"/>
      <c r="AQ16" s="456"/>
      <c r="AR16" s="456"/>
      <c r="AS16" s="456"/>
      <c r="AT16" s="456"/>
      <c r="AU16" s="456"/>
      <c r="AV16" s="456"/>
      <c r="AW16" s="456"/>
      <c r="AX16" s="456"/>
      <c r="AY16" s="456"/>
      <c r="AZ16" s="456"/>
      <c r="BA16" s="456"/>
      <c r="BB16" s="456"/>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row>
    <row r="17" spans="1:107" ht="12" customHeight="1">
      <c r="A17" s="454"/>
      <c r="B17" s="454"/>
      <c r="C17" s="456"/>
      <c r="D17" s="456" t="s">
        <v>1146</v>
      </c>
      <c r="E17" s="456"/>
      <c r="F17" s="456"/>
      <c r="G17" s="456"/>
      <c r="H17" s="456"/>
      <c r="I17" s="456"/>
      <c r="J17" s="456"/>
      <c r="K17" s="456"/>
      <c r="L17" s="456"/>
      <c r="M17" s="456"/>
      <c r="N17" s="456"/>
      <c r="O17" s="456"/>
      <c r="P17" s="456"/>
      <c r="Q17" s="456"/>
      <c r="R17" s="456"/>
      <c r="S17" s="456"/>
      <c r="T17" s="456"/>
      <c r="U17" s="456"/>
      <c r="V17" s="456"/>
      <c r="W17" s="456"/>
      <c r="X17" s="456"/>
      <c r="Y17" s="456"/>
      <c r="Z17" s="456"/>
      <c r="AA17" s="456"/>
      <c r="AB17" s="456"/>
      <c r="AC17" s="456"/>
      <c r="AD17" s="456"/>
      <c r="AE17" s="456"/>
      <c r="AF17" s="456"/>
      <c r="AG17" s="456"/>
      <c r="AH17" s="456"/>
      <c r="AI17" s="456"/>
      <c r="AJ17" s="456"/>
      <c r="AK17" s="456"/>
      <c r="AL17" s="456"/>
      <c r="AM17" s="456"/>
      <c r="AN17" s="456"/>
      <c r="AO17" s="456"/>
      <c r="AP17" s="456"/>
      <c r="AQ17" s="456"/>
      <c r="AR17" s="456"/>
      <c r="AS17" s="456"/>
      <c r="AT17" s="456"/>
      <c r="AU17" s="456"/>
      <c r="AV17" s="456"/>
      <c r="AW17" s="456"/>
      <c r="AX17" s="456"/>
      <c r="AY17" s="456"/>
      <c r="AZ17" s="456"/>
      <c r="BA17" s="456"/>
      <c r="BB17" s="456"/>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row>
    <row r="18" spans="1:107" ht="12" customHeight="1">
      <c r="A18" s="454"/>
      <c r="B18" s="454"/>
      <c r="C18" s="456"/>
      <c r="D18" s="456"/>
      <c r="E18" s="456"/>
      <c r="F18" s="456"/>
      <c r="G18" s="456"/>
      <c r="H18" s="456"/>
      <c r="I18" s="456"/>
      <c r="J18" s="456"/>
      <c r="K18" s="456"/>
      <c r="L18" s="456"/>
      <c r="M18" s="456"/>
      <c r="N18" s="456"/>
      <c r="O18" s="456"/>
      <c r="P18" s="456"/>
      <c r="Q18" s="456"/>
      <c r="R18" s="456"/>
      <c r="S18" s="456"/>
      <c r="T18" s="456"/>
      <c r="U18" s="456"/>
      <c r="V18" s="456"/>
      <c r="W18" s="456"/>
      <c r="X18" s="456"/>
      <c r="Y18" s="456"/>
      <c r="Z18" s="456"/>
      <c r="AA18" s="456"/>
      <c r="AB18" s="456"/>
      <c r="AC18" s="456"/>
      <c r="AD18" s="456"/>
      <c r="AE18" s="456"/>
      <c r="AF18" s="456"/>
      <c r="AG18" s="456"/>
      <c r="AH18" s="456"/>
      <c r="AI18" s="456"/>
      <c r="AJ18" s="456"/>
      <c r="AK18" s="456"/>
      <c r="AL18" s="456"/>
      <c r="AM18" s="456"/>
      <c r="AN18" s="456"/>
      <c r="AO18" s="456"/>
      <c r="AP18" s="456"/>
      <c r="AQ18" s="456"/>
      <c r="AR18" s="456"/>
      <c r="AS18" s="456"/>
      <c r="AT18" s="456"/>
      <c r="AU18" s="456"/>
      <c r="AV18" s="456"/>
      <c r="AW18" s="456"/>
      <c r="AX18" s="456"/>
      <c r="AY18" s="456"/>
      <c r="AZ18" s="456"/>
      <c r="BA18" s="456"/>
      <c r="BB18" s="456"/>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row>
    <row r="19" spans="1:107" ht="12" customHeight="1">
      <c r="A19" s="454"/>
      <c r="B19" s="454"/>
      <c r="C19" s="456"/>
      <c r="D19" s="456"/>
      <c r="E19" s="456"/>
      <c r="F19" s="456" t="s">
        <v>252</v>
      </c>
      <c r="G19" s="456"/>
      <c r="H19" s="456"/>
      <c r="I19" s="456"/>
      <c r="J19" s="456"/>
      <c r="K19" s="456"/>
      <c r="L19" s="456"/>
      <c r="M19" s="456"/>
      <c r="N19" s="456"/>
      <c r="O19" s="456"/>
      <c r="P19" s="456"/>
      <c r="Q19" s="456"/>
      <c r="R19" s="456"/>
      <c r="S19" s="456"/>
      <c r="T19" s="456"/>
      <c r="U19" s="456"/>
      <c r="V19" s="456"/>
      <c r="W19" s="456"/>
      <c r="X19" s="456"/>
      <c r="Y19" s="456"/>
      <c r="Z19" s="456"/>
      <c r="AA19" s="456"/>
      <c r="AB19" s="456"/>
      <c r="AC19" s="456"/>
      <c r="AD19" s="456"/>
      <c r="AE19" s="456"/>
      <c r="AF19" s="456"/>
      <c r="AG19" s="456"/>
      <c r="AH19" s="456"/>
      <c r="AI19" s="456"/>
      <c r="AJ19" s="456"/>
      <c r="AK19" s="456"/>
      <c r="AL19" s="456"/>
      <c r="AM19" s="456"/>
      <c r="AN19" s="456"/>
      <c r="AO19" s="456"/>
      <c r="AP19" s="456"/>
      <c r="AQ19" s="456"/>
      <c r="AR19" s="456"/>
      <c r="AS19" s="456"/>
      <c r="AT19" s="456"/>
      <c r="AU19" s="456"/>
      <c r="AV19" s="456"/>
      <c r="AW19" s="456"/>
      <c r="AX19" s="456"/>
      <c r="AY19" s="456"/>
      <c r="AZ19" s="456"/>
      <c r="BA19" s="456"/>
      <c r="BB19" s="456"/>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row>
    <row r="20" spans="1:107" ht="12" customHeight="1">
      <c r="A20" s="454"/>
      <c r="B20" s="454"/>
      <c r="C20" s="456"/>
      <c r="D20" s="456"/>
      <c r="E20" s="456"/>
      <c r="F20" s="456"/>
      <c r="G20" s="456"/>
      <c r="H20" s="456"/>
      <c r="I20" s="456"/>
      <c r="J20" s="456"/>
      <c r="K20" s="456"/>
      <c r="L20" s="456"/>
      <c r="M20" s="456"/>
      <c r="N20" s="456"/>
      <c r="O20" s="456"/>
      <c r="P20" s="456"/>
      <c r="Q20" s="456"/>
      <c r="R20" s="456"/>
      <c r="S20" s="456"/>
      <c r="T20" s="456"/>
      <c r="U20" s="456"/>
      <c r="V20" s="456"/>
      <c r="W20" s="456"/>
      <c r="X20" s="456"/>
      <c r="Y20" s="456"/>
      <c r="Z20" s="456"/>
      <c r="AA20" s="456"/>
      <c r="AB20" s="456"/>
      <c r="AC20" s="456"/>
      <c r="AD20" s="456"/>
      <c r="AE20" s="456"/>
      <c r="AF20" s="456"/>
      <c r="AG20" s="456"/>
      <c r="AH20" s="456"/>
      <c r="AI20" s="456"/>
      <c r="AJ20" s="456"/>
      <c r="AK20" s="456"/>
      <c r="AL20" s="456"/>
      <c r="AM20" s="456"/>
      <c r="AN20" s="456"/>
      <c r="AO20" s="456"/>
      <c r="AP20" s="456"/>
      <c r="AQ20" s="456"/>
      <c r="AR20" s="456"/>
      <c r="AS20" s="456"/>
      <c r="AT20" s="456"/>
      <c r="AU20" s="456"/>
      <c r="AV20" s="456"/>
      <c r="AW20" s="456"/>
      <c r="AX20" s="456"/>
      <c r="AY20" s="456"/>
      <c r="AZ20" s="456"/>
      <c r="BA20" s="456"/>
      <c r="BB20" s="456"/>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row>
    <row r="21" spans="1:107" ht="12" customHeight="1">
      <c r="A21" s="454"/>
      <c r="B21" s="454"/>
      <c r="C21" s="456"/>
      <c r="D21" s="456"/>
      <c r="E21" s="456"/>
      <c r="F21" s="738" t="s">
        <v>251</v>
      </c>
      <c r="G21" s="739"/>
      <c r="H21" s="739"/>
      <c r="I21" s="739"/>
      <c r="J21" s="739"/>
      <c r="K21" s="739"/>
      <c r="L21" s="739"/>
      <c r="M21" s="739"/>
      <c r="N21" s="739"/>
      <c r="O21" s="740"/>
      <c r="P21" s="741" t="s">
        <v>250</v>
      </c>
      <c r="Q21" s="742"/>
      <c r="R21" s="742"/>
      <c r="S21" s="742"/>
      <c r="T21" s="742"/>
      <c r="U21" s="742"/>
      <c r="V21" s="742"/>
      <c r="W21" s="742"/>
      <c r="X21" s="742"/>
      <c r="Y21" s="742"/>
      <c r="Z21" s="742"/>
      <c r="AA21" s="742"/>
      <c r="AB21" s="742"/>
      <c r="AC21" s="742"/>
      <c r="AD21" s="742"/>
      <c r="AE21" s="742"/>
      <c r="AF21" s="742"/>
      <c r="AG21" s="742"/>
      <c r="AH21" s="742"/>
      <c r="AI21" s="742"/>
      <c r="AJ21" s="742"/>
      <c r="AK21" s="742"/>
      <c r="AL21" s="742"/>
      <c r="AM21" s="742"/>
      <c r="AN21" s="742"/>
      <c r="AO21" s="742"/>
      <c r="AP21" s="742"/>
      <c r="AQ21" s="742"/>
      <c r="AR21" s="742"/>
      <c r="AS21" s="742"/>
      <c r="AT21" s="742"/>
      <c r="AU21" s="742"/>
      <c r="AV21" s="742"/>
      <c r="AW21" s="742"/>
      <c r="AX21" s="742"/>
      <c r="AY21" s="742"/>
      <c r="AZ21" s="742"/>
      <c r="BA21" s="742"/>
      <c r="BB21" s="743"/>
      <c r="BC21" s="744" t="s">
        <v>670</v>
      </c>
      <c r="BD21" s="745"/>
      <c r="BE21" s="745"/>
      <c r="BF21" s="745"/>
      <c r="BG21" s="745"/>
      <c r="BH21" s="745"/>
      <c r="BI21" s="745"/>
      <c r="BJ21" s="746"/>
      <c r="BK21" s="747" t="s">
        <v>249</v>
      </c>
      <c r="BL21" s="748"/>
      <c r="BM21" s="748"/>
      <c r="BN21" s="748"/>
      <c r="BO21" s="748"/>
      <c r="BP21" s="748"/>
      <c r="BQ21" s="748"/>
      <c r="BR21" s="748"/>
      <c r="BS21" s="748"/>
      <c r="BT21" s="748"/>
      <c r="BU21" s="748"/>
      <c r="BV21" s="748"/>
      <c r="BW21" s="748"/>
      <c r="BX21" s="748"/>
      <c r="BY21" s="748"/>
      <c r="BZ21" s="749"/>
      <c r="CA21" s="22"/>
      <c r="CB21" s="22"/>
      <c r="CC21" s="22"/>
      <c r="CD21" s="22"/>
    </row>
    <row r="22" spans="1:107" ht="12" customHeight="1">
      <c r="A22" s="454"/>
      <c r="B22" s="454"/>
      <c r="C22" s="456"/>
      <c r="D22" s="456"/>
      <c r="E22" s="456"/>
      <c r="F22" s="729" t="s">
        <v>703</v>
      </c>
      <c r="G22" s="730"/>
      <c r="H22" s="730"/>
      <c r="I22" s="730"/>
      <c r="J22" s="730"/>
      <c r="K22" s="730"/>
      <c r="L22" s="730"/>
      <c r="M22" s="730"/>
      <c r="N22" s="730"/>
      <c r="O22" s="731"/>
      <c r="P22" s="729" t="s">
        <v>422</v>
      </c>
      <c r="Q22" s="730"/>
      <c r="R22" s="730"/>
      <c r="S22" s="730"/>
      <c r="T22" s="730"/>
      <c r="U22" s="730"/>
      <c r="V22" s="730"/>
      <c r="W22" s="730"/>
      <c r="X22" s="730"/>
      <c r="Y22" s="730"/>
      <c r="Z22" s="730"/>
      <c r="AA22" s="730"/>
      <c r="AB22" s="730"/>
      <c r="AC22" s="730"/>
      <c r="AD22" s="730"/>
      <c r="AE22" s="730"/>
      <c r="AF22" s="730"/>
      <c r="AG22" s="730"/>
      <c r="AH22" s="730"/>
      <c r="AI22" s="730"/>
      <c r="AJ22" s="730"/>
      <c r="AK22" s="730"/>
      <c r="AL22" s="730"/>
      <c r="AM22" s="730"/>
      <c r="AN22" s="730"/>
      <c r="AO22" s="730"/>
      <c r="AP22" s="730"/>
      <c r="AQ22" s="730"/>
      <c r="AR22" s="730"/>
      <c r="AS22" s="730"/>
      <c r="AT22" s="730"/>
      <c r="AU22" s="730"/>
      <c r="AV22" s="730"/>
      <c r="AW22" s="730"/>
      <c r="AX22" s="730"/>
      <c r="AY22" s="730"/>
      <c r="AZ22" s="730"/>
      <c r="BA22" s="730"/>
      <c r="BB22" s="731"/>
      <c r="BC22" s="732" t="s">
        <v>704</v>
      </c>
      <c r="BD22" s="733"/>
      <c r="BE22" s="733"/>
      <c r="BF22" s="733"/>
      <c r="BG22" s="733"/>
      <c r="BH22" s="733"/>
      <c r="BI22" s="733"/>
      <c r="BJ22" s="734"/>
      <c r="BK22" s="735" t="s">
        <v>706</v>
      </c>
      <c r="BL22" s="736"/>
      <c r="BM22" s="736"/>
      <c r="BN22" s="736"/>
      <c r="BO22" s="736"/>
      <c r="BP22" s="736"/>
      <c r="BQ22" s="736"/>
      <c r="BR22" s="736"/>
      <c r="BS22" s="736"/>
      <c r="BT22" s="736"/>
      <c r="BU22" s="736"/>
      <c r="BV22" s="736"/>
      <c r="BW22" s="736"/>
      <c r="BX22" s="736"/>
      <c r="BY22" s="736"/>
      <c r="BZ22" s="737"/>
      <c r="CA22" s="22"/>
      <c r="CB22" s="22"/>
      <c r="CC22" s="22"/>
      <c r="CD22" s="22"/>
    </row>
    <row r="23" spans="1:107" ht="12" customHeight="1">
      <c r="A23" s="454"/>
      <c r="B23" s="454"/>
      <c r="C23" s="456"/>
      <c r="D23" s="456"/>
      <c r="E23" s="456"/>
      <c r="F23" s="726" t="s">
        <v>707</v>
      </c>
      <c r="G23" s="727"/>
      <c r="H23" s="727"/>
      <c r="I23" s="727"/>
      <c r="J23" s="727"/>
      <c r="K23" s="727"/>
      <c r="L23" s="727"/>
      <c r="M23" s="727"/>
      <c r="N23" s="727"/>
      <c r="O23" s="728"/>
      <c r="P23" s="729" t="s">
        <v>248</v>
      </c>
      <c r="Q23" s="730"/>
      <c r="R23" s="730"/>
      <c r="S23" s="730"/>
      <c r="T23" s="730"/>
      <c r="U23" s="730"/>
      <c r="V23" s="730"/>
      <c r="W23" s="730"/>
      <c r="X23" s="730"/>
      <c r="Y23" s="730"/>
      <c r="Z23" s="730"/>
      <c r="AA23" s="730"/>
      <c r="AB23" s="730"/>
      <c r="AC23" s="730"/>
      <c r="AD23" s="730"/>
      <c r="AE23" s="730"/>
      <c r="AF23" s="730"/>
      <c r="AG23" s="730"/>
      <c r="AH23" s="730"/>
      <c r="AI23" s="730"/>
      <c r="AJ23" s="730"/>
      <c r="AK23" s="730"/>
      <c r="AL23" s="730"/>
      <c r="AM23" s="730"/>
      <c r="AN23" s="730"/>
      <c r="AO23" s="730"/>
      <c r="AP23" s="730"/>
      <c r="AQ23" s="730"/>
      <c r="AR23" s="730"/>
      <c r="AS23" s="730"/>
      <c r="AT23" s="730"/>
      <c r="AU23" s="730"/>
      <c r="AV23" s="730"/>
      <c r="AW23" s="730"/>
      <c r="AX23" s="730"/>
      <c r="AY23" s="730"/>
      <c r="AZ23" s="730"/>
      <c r="BA23" s="730"/>
      <c r="BB23" s="731"/>
      <c r="BC23" s="732" t="s">
        <v>708</v>
      </c>
      <c r="BD23" s="733"/>
      <c r="BE23" s="733"/>
      <c r="BF23" s="733"/>
      <c r="BG23" s="733"/>
      <c r="BH23" s="733"/>
      <c r="BI23" s="733"/>
      <c r="BJ23" s="734"/>
      <c r="BK23" s="735" t="s">
        <v>705</v>
      </c>
      <c r="BL23" s="736"/>
      <c r="BM23" s="736"/>
      <c r="BN23" s="736"/>
      <c r="BO23" s="736"/>
      <c r="BP23" s="736"/>
      <c r="BQ23" s="736"/>
      <c r="BR23" s="736"/>
      <c r="BS23" s="736"/>
      <c r="BT23" s="736"/>
      <c r="BU23" s="736"/>
      <c r="BV23" s="736"/>
      <c r="BW23" s="736"/>
      <c r="BX23" s="736"/>
      <c r="BY23" s="736"/>
      <c r="BZ23" s="737"/>
      <c r="CA23" s="22"/>
      <c r="CB23" s="22"/>
      <c r="CC23" s="22"/>
      <c r="CD23" s="22"/>
      <c r="CE23" s="3"/>
    </row>
    <row r="24" spans="1:107" ht="12" customHeight="1">
      <c r="A24" s="454"/>
      <c r="B24" s="454"/>
      <c r="C24" s="456"/>
      <c r="D24" s="456"/>
      <c r="E24" s="456"/>
      <c r="F24" s="729" t="s">
        <v>709</v>
      </c>
      <c r="G24" s="730"/>
      <c r="H24" s="730"/>
      <c r="I24" s="730"/>
      <c r="J24" s="730"/>
      <c r="K24" s="730"/>
      <c r="L24" s="730"/>
      <c r="M24" s="730"/>
      <c r="N24" s="730"/>
      <c r="O24" s="731"/>
      <c r="P24" s="729" t="s">
        <v>247</v>
      </c>
      <c r="Q24" s="730"/>
      <c r="R24" s="730"/>
      <c r="S24" s="730"/>
      <c r="T24" s="730"/>
      <c r="U24" s="730"/>
      <c r="V24" s="730"/>
      <c r="W24" s="730"/>
      <c r="X24" s="730"/>
      <c r="Y24" s="730"/>
      <c r="Z24" s="730"/>
      <c r="AA24" s="730"/>
      <c r="AB24" s="730"/>
      <c r="AC24" s="730"/>
      <c r="AD24" s="730"/>
      <c r="AE24" s="730"/>
      <c r="AF24" s="730"/>
      <c r="AG24" s="730"/>
      <c r="AH24" s="730"/>
      <c r="AI24" s="730"/>
      <c r="AJ24" s="730"/>
      <c r="AK24" s="730"/>
      <c r="AL24" s="730"/>
      <c r="AM24" s="730"/>
      <c r="AN24" s="730"/>
      <c r="AO24" s="730"/>
      <c r="AP24" s="730"/>
      <c r="AQ24" s="730"/>
      <c r="AR24" s="730"/>
      <c r="AS24" s="730"/>
      <c r="AT24" s="730"/>
      <c r="AU24" s="730"/>
      <c r="AV24" s="730"/>
      <c r="AW24" s="730"/>
      <c r="AX24" s="730"/>
      <c r="AY24" s="730"/>
      <c r="AZ24" s="730"/>
      <c r="BA24" s="730"/>
      <c r="BB24" s="731"/>
      <c r="BC24" s="732" t="s">
        <v>710</v>
      </c>
      <c r="BD24" s="733"/>
      <c r="BE24" s="733"/>
      <c r="BF24" s="733"/>
      <c r="BG24" s="733"/>
      <c r="BH24" s="733"/>
      <c r="BI24" s="733"/>
      <c r="BJ24" s="734"/>
      <c r="BK24" s="735" t="s">
        <v>711</v>
      </c>
      <c r="BL24" s="736"/>
      <c r="BM24" s="736"/>
      <c r="BN24" s="736"/>
      <c r="BO24" s="736"/>
      <c r="BP24" s="736"/>
      <c r="BQ24" s="736"/>
      <c r="BR24" s="736"/>
      <c r="BS24" s="736"/>
      <c r="BT24" s="736"/>
      <c r="BU24" s="736"/>
      <c r="BV24" s="736"/>
      <c r="BW24" s="736"/>
      <c r="BX24" s="736"/>
      <c r="BY24" s="736"/>
      <c r="BZ24" s="737"/>
      <c r="CA24" s="22"/>
      <c r="CB24" s="22"/>
      <c r="CC24" s="22"/>
      <c r="CD24" s="22"/>
      <c r="CE24" s="3"/>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07" ht="11.25" customHeight="1">
      <c r="A25" s="454"/>
      <c r="B25" s="454"/>
      <c r="C25" s="456"/>
      <c r="D25" s="456"/>
      <c r="E25" s="456"/>
      <c r="F25" s="750" t="s">
        <v>712</v>
      </c>
      <c r="G25" s="751"/>
      <c r="H25" s="751"/>
      <c r="I25" s="751"/>
      <c r="J25" s="751"/>
      <c r="K25" s="751"/>
      <c r="L25" s="751"/>
      <c r="M25" s="751"/>
      <c r="N25" s="751"/>
      <c r="O25" s="752"/>
      <c r="P25" s="750" t="s">
        <v>463</v>
      </c>
      <c r="Q25" s="751"/>
      <c r="R25" s="751"/>
      <c r="S25" s="751"/>
      <c r="T25" s="751"/>
      <c r="U25" s="751"/>
      <c r="V25" s="751"/>
      <c r="W25" s="751"/>
      <c r="X25" s="751"/>
      <c r="Y25" s="751"/>
      <c r="Z25" s="751"/>
      <c r="AA25" s="751"/>
      <c r="AB25" s="751"/>
      <c r="AC25" s="751"/>
      <c r="AD25" s="751"/>
      <c r="AE25" s="751"/>
      <c r="AF25" s="751"/>
      <c r="AG25" s="751"/>
      <c r="AH25" s="751"/>
      <c r="AI25" s="751"/>
      <c r="AJ25" s="751"/>
      <c r="AK25" s="751"/>
      <c r="AL25" s="751"/>
      <c r="AM25" s="751"/>
      <c r="AN25" s="751"/>
      <c r="AO25" s="751"/>
      <c r="AP25" s="751"/>
      <c r="AQ25" s="751"/>
      <c r="AR25" s="751"/>
      <c r="AS25" s="751"/>
      <c r="AT25" s="751"/>
      <c r="AU25" s="751"/>
      <c r="AV25" s="751"/>
      <c r="AW25" s="751"/>
      <c r="AX25" s="751"/>
      <c r="AY25" s="751"/>
      <c r="AZ25" s="751"/>
      <c r="BA25" s="751"/>
      <c r="BB25" s="752"/>
      <c r="BC25" s="759" t="s">
        <v>713</v>
      </c>
      <c r="BD25" s="760"/>
      <c r="BE25" s="760"/>
      <c r="BF25" s="760"/>
      <c r="BG25" s="760"/>
      <c r="BH25" s="760"/>
      <c r="BI25" s="760"/>
      <c r="BJ25" s="761"/>
      <c r="BK25" s="759" t="s">
        <v>714</v>
      </c>
      <c r="BL25" s="760"/>
      <c r="BM25" s="760"/>
      <c r="BN25" s="760"/>
      <c r="BO25" s="760"/>
      <c r="BP25" s="760"/>
      <c r="BQ25" s="760"/>
      <c r="BR25" s="760"/>
      <c r="BS25" s="760"/>
      <c r="BT25" s="760"/>
      <c r="BU25" s="760"/>
      <c r="BV25" s="760"/>
      <c r="BW25" s="760"/>
      <c r="BX25" s="760"/>
      <c r="BY25" s="760"/>
      <c r="BZ25" s="761"/>
      <c r="CA25" s="22"/>
      <c r="CB25" s="22"/>
      <c r="CC25" s="22"/>
      <c r="CD25" s="22"/>
      <c r="CE25" s="3"/>
      <c r="CF25" s="2"/>
      <c r="CG25" s="2"/>
      <c r="CH25" s="2"/>
      <c r="CI25" s="2"/>
      <c r="CJ25" s="2"/>
      <c r="CK25" s="2"/>
      <c r="CL25" s="2"/>
      <c r="CM25" s="2"/>
      <c r="CN25" s="2"/>
      <c r="CO25" s="2"/>
      <c r="CP25" s="2"/>
      <c r="CQ25" s="2"/>
      <c r="CR25" s="2"/>
      <c r="CS25" s="2"/>
      <c r="CT25" s="2"/>
      <c r="CU25" s="2"/>
      <c r="CV25" s="2"/>
      <c r="CW25" s="2"/>
      <c r="CX25" s="2"/>
      <c r="CY25" s="2"/>
      <c r="CZ25" s="2"/>
      <c r="DA25" s="2"/>
      <c r="DB25" s="2"/>
      <c r="DC25" s="2"/>
    </row>
    <row r="26" spans="1:107" ht="11.25" customHeight="1">
      <c r="A26" s="454"/>
      <c r="B26" s="454"/>
      <c r="C26" s="456"/>
      <c r="D26" s="456"/>
      <c r="E26" s="456"/>
      <c r="F26" s="753"/>
      <c r="G26" s="754"/>
      <c r="H26" s="754"/>
      <c r="I26" s="754"/>
      <c r="J26" s="754"/>
      <c r="K26" s="754"/>
      <c r="L26" s="754"/>
      <c r="M26" s="754"/>
      <c r="N26" s="754"/>
      <c r="O26" s="755"/>
      <c r="P26" s="457" t="s">
        <v>597</v>
      </c>
      <c r="Q26" s="458"/>
      <c r="R26" s="458"/>
      <c r="S26" s="458"/>
      <c r="T26" s="458"/>
      <c r="U26" s="458"/>
      <c r="V26" s="458"/>
      <c r="W26" s="458"/>
      <c r="X26" s="458"/>
      <c r="Y26" s="458"/>
      <c r="Z26" s="458"/>
      <c r="AA26" s="458"/>
      <c r="AB26" s="458"/>
      <c r="AC26" s="458"/>
      <c r="AD26" s="458"/>
      <c r="AE26" s="458"/>
      <c r="AF26" s="458"/>
      <c r="AG26" s="458"/>
      <c r="AH26" s="458"/>
      <c r="AI26" s="458"/>
      <c r="AJ26" s="458"/>
      <c r="AK26" s="458"/>
      <c r="AL26" s="458"/>
      <c r="AM26" s="458"/>
      <c r="AN26" s="458"/>
      <c r="AO26" s="458"/>
      <c r="AP26" s="458"/>
      <c r="AQ26" s="458"/>
      <c r="AR26" s="458"/>
      <c r="AS26" s="458"/>
      <c r="AT26" s="458"/>
      <c r="AU26" s="458"/>
      <c r="AV26" s="458"/>
      <c r="AW26" s="458"/>
      <c r="AX26" s="458"/>
      <c r="AY26" s="458"/>
      <c r="AZ26" s="458"/>
      <c r="BA26" s="458"/>
      <c r="BB26" s="459"/>
      <c r="BC26" s="762"/>
      <c r="BD26" s="763"/>
      <c r="BE26" s="763"/>
      <c r="BF26" s="763"/>
      <c r="BG26" s="763"/>
      <c r="BH26" s="763"/>
      <c r="BI26" s="763"/>
      <c r="BJ26" s="764"/>
      <c r="BK26" s="762"/>
      <c r="BL26" s="763"/>
      <c r="BM26" s="763"/>
      <c r="BN26" s="763"/>
      <c r="BO26" s="763"/>
      <c r="BP26" s="763"/>
      <c r="BQ26" s="763"/>
      <c r="BR26" s="763"/>
      <c r="BS26" s="763"/>
      <c r="BT26" s="763"/>
      <c r="BU26" s="763"/>
      <c r="BV26" s="763"/>
      <c r="BW26" s="763"/>
      <c r="BX26" s="763"/>
      <c r="BY26" s="763"/>
      <c r="BZ26" s="764"/>
      <c r="CA26" s="22"/>
      <c r="CB26" s="22"/>
      <c r="CC26" s="22"/>
      <c r="CD26" s="22"/>
      <c r="CE26" s="3"/>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07" ht="11.45" customHeight="1">
      <c r="A27" s="454"/>
      <c r="B27" s="454"/>
      <c r="C27" s="456"/>
      <c r="D27" s="456"/>
      <c r="E27" s="456"/>
      <c r="F27" s="756"/>
      <c r="G27" s="757"/>
      <c r="H27" s="757"/>
      <c r="I27" s="757"/>
      <c r="J27" s="757"/>
      <c r="K27" s="757"/>
      <c r="L27" s="757"/>
      <c r="M27" s="757"/>
      <c r="N27" s="757"/>
      <c r="O27" s="758"/>
      <c r="P27" s="756" t="s">
        <v>715</v>
      </c>
      <c r="Q27" s="757"/>
      <c r="R27" s="757"/>
      <c r="S27" s="757"/>
      <c r="T27" s="757"/>
      <c r="U27" s="757"/>
      <c r="V27" s="757"/>
      <c r="W27" s="757"/>
      <c r="X27" s="757"/>
      <c r="Y27" s="757"/>
      <c r="Z27" s="757"/>
      <c r="AA27" s="757"/>
      <c r="AB27" s="757"/>
      <c r="AC27" s="757"/>
      <c r="AD27" s="757"/>
      <c r="AE27" s="757"/>
      <c r="AF27" s="757"/>
      <c r="AG27" s="757"/>
      <c r="AH27" s="757"/>
      <c r="AI27" s="757"/>
      <c r="AJ27" s="757"/>
      <c r="AK27" s="757"/>
      <c r="AL27" s="757"/>
      <c r="AM27" s="757"/>
      <c r="AN27" s="757"/>
      <c r="AO27" s="757"/>
      <c r="AP27" s="757"/>
      <c r="AQ27" s="757"/>
      <c r="AR27" s="757"/>
      <c r="AS27" s="757"/>
      <c r="AT27" s="757"/>
      <c r="AU27" s="757"/>
      <c r="AV27" s="757"/>
      <c r="AW27" s="757"/>
      <c r="AX27" s="757"/>
      <c r="AY27" s="757"/>
      <c r="AZ27" s="757"/>
      <c r="BA27" s="757"/>
      <c r="BB27" s="758"/>
      <c r="BC27" s="765"/>
      <c r="BD27" s="766"/>
      <c r="BE27" s="766"/>
      <c r="BF27" s="766"/>
      <c r="BG27" s="766"/>
      <c r="BH27" s="766"/>
      <c r="BI27" s="766"/>
      <c r="BJ27" s="767"/>
      <c r="BK27" s="765"/>
      <c r="BL27" s="766"/>
      <c r="BM27" s="766"/>
      <c r="BN27" s="766"/>
      <c r="BO27" s="766"/>
      <c r="BP27" s="766"/>
      <c r="BQ27" s="766"/>
      <c r="BR27" s="766"/>
      <c r="BS27" s="766"/>
      <c r="BT27" s="766"/>
      <c r="BU27" s="766"/>
      <c r="BV27" s="766"/>
      <c r="BW27" s="766"/>
      <c r="BX27" s="766"/>
      <c r="BY27" s="766"/>
      <c r="BZ27" s="767"/>
      <c r="CA27" s="22"/>
      <c r="CB27" s="22"/>
      <c r="CC27" s="22"/>
      <c r="CD27" s="22"/>
      <c r="CE27" s="3"/>
      <c r="CF27" s="2"/>
      <c r="CG27" s="2"/>
      <c r="CH27" s="2"/>
      <c r="CI27" s="2"/>
      <c r="CJ27" s="2"/>
      <c r="CK27" s="2"/>
      <c r="CL27" s="2"/>
      <c r="CM27" s="2"/>
      <c r="CN27" s="2"/>
      <c r="CO27" s="2"/>
      <c r="CP27" s="2"/>
      <c r="CQ27" s="2"/>
      <c r="CR27" s="2"/>
      <c r="CS27" s="2"/>
      <c r="CT27" s="2"/>
      <c r="CU27" s="2"/>
      <c r="CV27" s="2"/>
      <c r="CW27" s="2"/>
      <c r="CX27" s="2"/>
      <c r="CY27" s="2"/>
      <c r="CZ27" s="2"/>
      <c r="DA27" s="2"/>
      <c r="DB27" s="2"/>
      <c r="DC27" s="2"/>
    </row>
    <row r="28" spans="1:107" ht="11.45" customHeight="1">
      <c r="A28" s="454"/>
      <c r="B28" s="454"/>
      <c r="C28" s="456"/>
      <c r="D28" s="456"/>
      <c r="E28" s="456"/>
      <c r="F28" s="458" t="s">
        <v>598</v>
      </c>
      <c r="G28" s="458"/>
      <c r="H28" s="458"/>
      <c r="I28" s="458"/>
      <c r="J28" s="458"/>
      <c r="K28" s="458"/>
      <c r="L28" s="458"/>
      <c r="M28" s="458"/>
      <c r="N28" s="458"/>
      <c r="O28" s="458"/>
      <c r="P28" s="458"/>
      <c r="Q28" s="458"/>
      <c r="R28" s="458"/>
      <c r="S28" s="458"/>
      <c r="T28" s="458"/>
      <c r="U28" s="458"/>
      <c r="V28" s="458"/>
      <c r="W28" s="458"/>
      <c r="X28" s="458"/>
      <c r="Y28" s="458"/>
      <c r="Z28" s="458"/>
      <c r="AA28" s="458"/>
      <c r="AB28" s="458"/>
      <c r="AC28" s="458"/>
      <c r="AD28" s="458"/>
      <c r="AE28" s="458"/>
      <c r="AF28" s="458"/>
      <c r="AG28" s="458"/>
      <c r="AH28" s="458"/>
      <c r="AI28" s="458"/>
      <c r="AJ28" s="458"/>
      <c r="AK28" s="458"/>
      <c r="AL28" s="458"/>
      <c r="AM28" s="458"/>
      <c r="AN28" s="458"/>
      <c r="AO28" s="458"/>
      <c r="AP28" s="458"/>
      <c r="AQ28" s="458"/>
      <c r="AR28" s="458"/>
      <c r="AS28" s="458"/>
      <c r="AT28" s="458"/>
      <c r="AU28" s="458"/>
      <c r="AV28" s="458"/>
      <c r="AW28" s="458"/>
      <c r="AX28" s="458"/>
      <c r="AY28" s="458"/>
      <c r="AZ28" s="458"/>
      <c r="BA28" s="458"/>
      <c r="BB28" s="458"/>
      <c r="BC28" s="214"/>
      <c r="BD28" s="251"/>
      <c r="BE28" s="251"/>
      <c r="BF28" s="251"/>
      <c r="BG28" s="251"/>
      <c r="BH28" s="251"/>
      <c r="BI28" s="251"/>
      <c r="BJ28" s="279"/>
      <c r="BK28" s="279"/>
      <c r="BL28" s="279"/>
      <c r="BM28" s="279"/>
      <c r="BN28" s="279"/>
      <c r="BO28" s="279"/>
      <c r="BP28" s="279"/>
      <c r="BQ28" s="279"/>
      <c r="BR28" s="279"/>
      <c r="BS28" s="279"/>
      <c r="BT28" s="279"/>
      <c r="BU28" s="279"/>
      <c r="BV28" s="279"/>
      <c r="BW28" s="279"/>
      <c r="BX28" s="279"/>
      <c r="BY28" s="279"/>
      <c r="BZ28" s="22"/>
      <c r="CA28" s="22"/>
      <c r="CB28" s="22"/>
      <c r="CC28" s="22"/>
      <c r="CD28" s="3"/>
      <c r="CE28" s="2"/>
      <c r="CF28" s="2"/>
      <c r="CG28" s="2"/>
      <c r="CH28" s="2"/>
      <c r="CI28" s="2"/>
      <c r="CJ28" s="2"/>
      <c r="CK28" s="2"/>
      <c r="CL28" s="2"/>
      <c r="CM28" s="2"/>
      <c r="CN28" s="2"/>
      <c r="CO28" s="2"/>
      <c r="CP28" s="2"/>
      <c r="CQ28" s="2"/>
      <c r="CR28" s="2"/>
      <c r="CS28" s="2"/>
      <c r="CT28" s="2"/>
      <c r="CU28" s="2"/>
      <c r="CV28" s="2"/>
      <c r="CW28" s="2"/>
      <c r="CX28" s="2"/>
      <c r="CY28" s="2"/>
      <c r="CZ28" s="2"/>
      <c r="DA28" s="2"/>
      <c r="DB28" s="2"/>
    </row>
    <row r="29" spans="1:107" ht="11.45" customHeight="1">
      <c r="A29" s="454"/>
      <c r="B29" s="454"/>
      <c r="C29" s="456"/>
      <c r="D29" s="456"/>
      <c r="E29" s="456"/>
      <c r="F29" s="458" t="s">
        <v>605</v>
      </c>
      <c r="G29" s="458"/>
      <c r="H29" s="458"/>
      <c r="I29" s="458"/>
      <c r="J29" s="458"/>
      <c r="K29" s="458"/>
      <c r="L29" s="458"/>
      <c r="M29" s="458"/>
      <c r="N29" s="458"/>
      <c r="O29" s="458"/>
      <c r="P29" s="458"/>
      <c r="Q29" s="458"/>
      <c r="R29" s="458"/>
      <c r="S29" s="458"/>
      <c r="T29" s="458"/>
      <c r="U29" s="458"/>
      <c r="V29" s="458"/>
      <c r="W29" s="458"/>
      <c r="X29" s="458"/>
      <c r="Y29" s="458"/>
      <c r="Z29" s="458"/>
      <c r="AA29" s="458"/>
      <c r="AB29" s="458"/>
      <c r="AC29" s="458"/>
      <c r="AD29" s="458"/>
      <c r="AE29" s="458"/>
      <c r="AF29" s="458"/>
      <c r="AG29" s="458"/>
      <c r="AH29" s="458"/>
      <c r="AI29" s="458"/>
      <c r="AJ29" s="458"/>
      <c r="AK29" s="458"/>
      <c r="AL29" s="458"/>
      <c r="AM29" s="458"/>
      <c r="AN29" s="458"/>
      <c r="AO29" s="458"/>
      <c r="AP29" s="458"/>
      <c r="AQ29" s="458"/>
      <c r="AR29" s="458"/>
      <c r="AS29" s="458"/>
      <c r="AT29" s="458"/>
      <c r="AU29" s="458"/>
      <c r="AV29" s="458"/>
      <c r="AW29" s="458"/>
      <c r="AX29" s="458"/>
      <c r="AY29" s="458"/>
      <c r="AZ29" s="458"/>
      <c r="BA29" s="458"/>
      <c r="BB29" s="458"/>
      <c r="BC29" s="214"/>
      <c r="BD29" s="251"/>
      <c r="BE29" s="251"/>
      <c r="BF29" s="251"/>
      <c r="BG29" s="251"/>
      <c r="BH29" s="251"/>
      <c r="BI29" s="251"/>
      <c r="BJ29" s="279"/>
      <c r="BK29" s="279"/>
      <c r="BL29" s="279"/>
      <c r="BM29" s="279"/>
      <c r="BN29" s="279"/>
      <c r="BO29" s="279"/>
      <c r="BP29" s="279"/>
      <c r="BQ29" s="279"/>
      <c r="BR29" s="279"/>
      <c r="BS29" s="279"/>
      <c r="BT29" s="279"/>
      <c r="BU29" s="279"/>
      <c r="BV29" s="279"/>
      <c r="BW29" s="279"/>
      <c r="BX29" s="279"/>
      <c r="BY29" s="279"/>
      <c r="BZ29" s="22"/>
      <c r="CA29" s="22"/>
      <c r="CB29" s="22"/>
      <c r="CC29" s="22"/>
      <c r="CD29" s="3"/>
      <c r="CE29" s="2"/>
      <c r="CF29" s="2"/>
      <c r="CG29" s="2"/>
      <c r="CH29" s="2"/>
      <c r="CI29" s="2"/>
      <c r="CJ29" s="2"/>
      <c r="CK29" s="2"/>
      <c r="CL29" s="2"/>
      <c r="CM29" s="2"/>
      <c r="CN29" s="2"/>
      <c r="CO29" s="2"/>
      <c r="CP29" s="2"/>
      <c r="CQ29" s="2"/>
      <c r="CR29" s="2"/>
      <c r="CS29" s="2"/>
      <c r="CT29" s="2"/>
      <c r="CU29" s="2"/>
      <c r="CV29" s="2"/>
      <c r="CW29" s="2"/>
      <c r="CX29" s="2"/>
      <c r="CY29" s="2"/>
      <c r="CZ29" s="2"/>
      <c r="DA29" s="2"/>
      <c r="DB29" s="2"/>
    </row>
    <row r="30" spans="1:107" ht="12" customHeight="1">
      <c r="A30" s="454"/>
      <c r="B30" s="454"/>
      <c r="C30" s="456"/>
      <c r="D30" s="456"/>
      <c r="E30" s="456"/>
      <c r="F30" s="456"/>
      <c r="G30" s="456"/>
      <c r="H30" s="456"/>
      <c r="I30" s="456"/>
      <c r="J30" s="456"/>
      <c r="K30" s="456"/>
      <c r="L30" s="456"/>
      <c r="M30" s="456"/>
      <c r="N30" s="456"/>
      <c r="O30" s="456"/>
      <c r="P30" s="456"/>
      <c r="Q30" s="456"/>
      <c r="R30" s="456"/>
      <c r="S30" s="456"/>
      <c r="T30" s="456"/>
      <c r="U30" s="456"/>
      <c r="V30" s="456"/>
      <c r="W30" s="456"/>
      <c r="X30" s="456"/>
      <c r="Y30" s="456"/>
      <c r="Z30" s="456"/>
      <c r="AA30" s="456"/>
      <c r="AB30" s="456"/>
      <c r="AC30" s="456"/>
      <c r="AD30" s="456"/>
      <c r="AE30" s="456"/>
      <c r="AF30" s="456"/>
      <c r="AG30" s="456"/>
      <c r="AH30" s="456"/>
      <c r="AI30" s="456"/>
      <c r="AJ30" s="456"/>
      <c r="AK30" s="456"/>
      <c r="AL30" s="456"/>
      <c r="AM30" s="456"/>
      <c r="AN30" s="456"/>
      <c r="AO30" s="456"/>
      <c r="AP30" s="456"/>
      <c r="AQ30" s="456"/>
      <c r="AR30" s="456"/>
      <c r="AS30" s="456"/>
      <c r="AT30" s="456"/>
      <c r="AU30" s="456"/>
      <c r="AV30" s="456"/>
      <c r="AW30" s="456"/>
      <c r="AX30" s="456"/>
      <c r="AY30" s="456"/>
      <c r="AZ30" s="456"/>
      <c r="BA30" s="456"/>
      <c r="BB30" s="456"/>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
      <c r="CG30" s="2"/>
      <c r="CH30" s="2"/>
      <c r="CI30" s="2"/>
      <c r="CJ30" s="2"/>
      <c r="CK30" s="2"/>
      <c r="CL30" s="2"/>
      <c r="CM30" s="2"/>
      <c r="CN30" s="2"/>
      <c r="CO30" s="2"/>
      <c r="CP30" s="2"/>
      <c r="CQ30" s="2"/>
      <c r="CR30" s="2"/>
      <c r="CS30" s="2"/>
      <c r="CT30" s="2"/>
      <c r="CU30" s="2"/>
      <c r="CV30" s="2"/>
      <c r="CW30" s="2"/>
      <c r="CX30" s="2"/>
      <c r="CY30" s="2"/>
      <c r="CZ30" s="2"/>
      <c r="DA30" s="2"/>
      <c r="DB30" s="2"/>
      <c r="DC30" s="2"/>
    </row>
    <row r="31" spans="1:107" ht="12" customHeight="1">
      <c r="A31" s="454"/>
      <c r="B31" s="454"/>
      <c r="C31" s="456" t="s">
        <v>1147</v>
      </c>
      <c r="D31" s="456"/>
      <c r="E31" s="456"/>
      <c r="F31" s="456"/>
      <c r="G31" s="456"/>
      <c r="H31" s="456"/>
      <c r="I31" s="456"/>
      <c r="J31" s="456"/>
      <c r="K31" s="456"/>
      <c r="L31" s="456"/>
      <c r="M31" s="456"/>
      <c r="N31" s="456"/>
      <c r="O31" s="456"/>
      <c r="P31" s="456"/>
      <c r="Q31" s="456"/>
      <c r="R31" s="456"/>
      <c r="S31" s="456"/>
      <c r="T31" s="456"/>
      <c r="U31" s="456"/>
      <c r="V31" s="456"/>
      <c r="W31" s="456"/>
      <c r="X31" s="456"/>
      <c r="Y31" s="456"/>
      <c r="Z31" s="456"/>
      <c r="AA31" s="456"/>
      <c r="AB31" s="456"/>
      <c r="AC31" s="456"/>
      <c r="AD31" s="456"/>
      <c r="AE31" s="456"/>
      <c r="AF31" s="456"/>
      <c r="AG31" s="456"/>
      <c r="AH31" s="456"/>
      <c r="AI31" s="456"/>
      <c r="AJ31" s="456"/>
      <c r="AK31" s="456"/>
      <c r="AL31" s="456"/>
      <c r="AM31" s="456"/>
      <c r="AN31" s="456"/>
      <c r="AO31" s="456"/>
      <c r="AP31" s="456"/>
      <c r="AQ31" s="456"/>
      <c r="AR31" s="456"/>
      <c r="AS31" s="456"/>
      <c r="AT31" s="456"/>
      <c r="AU31" s="456"/>
      <c r="AV31" s="456"/>
      <c r="AW31" s="456"/>
      <c r="AX31" s="456"/>
      <c r="AY31" s="456"/>
      <c r="AZ31" s="456"/>
      <c r="BA31" s="456"/>
      <c r="BB31" s="456"/>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
      <c r="CG31" s="2"/>
      <c r="CH31" s="2"/>
      <c r="CI31" s="2"/>
      <c r="CJ31" s="2"/>
      <c r="CK31" s="2"/>
      <c r="CL31" s="2"/>
      <c r="CM31" s="2"/>
      <c r="CN31" s="2"/>
      <c r="CO31" s="2"/>
      <c r="CP31" s="2"/>
      <c r="CQ31" s="2"/>
      <c r="CR31" s="2"/>
      <c r="CS31" s="2"/>
      <c r="CT31" s="2"/>
      <c r="CU31" s="2"/>
      <c r="CV31" s="2"/>
      <c r="CW31" s="2"/>
      <c r="CX31" s="2"/>
      <c r="CY31" s="2"/>
      <c r="CZ31" s="2"/>
      <c r="DA31" s="2"/>
      <c r="DB31" s="2"/>
      <c r="DC31" s="2"/>
    </row>
    <row r="32" spans="1:107" ht="12" customHeight="1">
      <c r="A32" s="454"/>
      <c r="B32" s="454"/>
      <c r="C32" s="456"/>
      <c r="D32" s="456"/>
      <c r="E32" s="456"/>
      <c r="F32" s="456"/>
      <c r="G32" s="456"/>
      <c r="H32" s="456"/>
      <c r="I32" s="456"/>
      <c r="J32" s="456"/>
      <c r="K32" s="456"/>
      <c r="L32" s="456"/>
      <c r="M32" s="456"/>
      <c r="N32" s="456"/>
      <c r="O32" s="456"/>
      <c r="P32" s="456"/>
      <c r="Q32" s="456"/>
      <c r="R32" s="456"/>
      <c r="S32" s="456"/>
      <c r="T32" s="456"/>
      <c r="U32" s="456"/>
      <c r="V32" s="456"/>
      <c r="W32" s="456"/>
      <c r="X32" s="456"/>
      <c r="Y32" s="456"/>
      <c r="Z32" s="456"/>
      <c r="AA32" s="456"/>
      <c r="AB32" s="456"/>
      <c r="AC32" s="456"/>
      <c r="AD32" s="456"/>
      <c r="AE32" s="456"/>
      <c r="AF32" s="456"/>
      <c r="AG32" s="456"/>
      <c r="AH32" s="456"/>
      <c r="AI32" s="456"/>
      <c r="AJ32" s="456"/>
      <c r="AK32" s="456"/>
      <c r="AL32" s="456"/>
      <c r="AM32" s="456"/>
      <c r="AN32" s="456"/>
      <c r="AO32" s="456"/>
      <c r="AP32" s="456"/>
      <c r="AQ32" s="456"/>
      <c r="AR32" s="456"/>
      <c r="AS32" s="456"/>
      <c r="AT32" s="456"/>
      <c r="AU32" s="456"/>
      <c r="AV32" s="456"/>
      <c r="AW32" s="456"/>
      <c r="AX32" s="456"/>
      <c r="AY32" s="456"/>
      <c r="AZ32" s="456"/>
      <c r="BA32" s="456"/>
      <c r="BB32" s="456"/>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
      <c r="CG32" s="2"/>
      <c r="CH32" s="2"/>
      <c r="CI32" s="2"/>
      <c r="CJ32" s="2"/>
      <c r="CK32" s="2"/>
      <c r="CL32" s="2"/>
      <c r="CM32" s="2"/>
      <c r="CN32" s="2"/>
      <c r="CO32" s="2"/>
      <c r="CP32" s="2"/>
      <c r="CQ32" s="2"/>
      <c r="CR32" s="2"/>
      <c r="CS32" s="2"/>
      <c r="CT32" s="2"/>
      <c r="CU32" s="2"/>
      <c r="CV32" s="2"/>
      <c r="CW32" s="2"/>
      <c r="CX32" s="2"/>
      <c r="CY32" s="2"/>
      <c r="CZ32" s="2"/>
      <c r="DA32" s="2"/>
      <c r="DB32" s="2"/>
      <c r="DC32" s="2"/>
    </row>
    <row r="33" spans="1:107" ht="12" customHeight="1">
      <c r="A33" s="454"/>
      <c r="B33" s="454"/>
      <c r="C33" s="456"/>
      <c r="D33" s="456" t="s">
        <v>1148</v>
      </c>
      <c r="E33" s="456"/>
      <c r="F33" s="456"/>
      <c r="G33" s="456"/>
      <c r="H33" s="456"/>
      <c r="I33" s="456"/>
      <c r="J33" s="456"/>
      <c r="K33" s="456"/>
      <c r="L33" s="456"/>
      <c r="M33" s="456"/>
      <c r="N33" s="456"/>
      <c r="O33" s="456"/>
      <c r="P33" s="456"/>
      <c r="Q33" s="456"/>
      <c r="R33" s="456"/>
      <c r="S33" s="456"/>
      <c r="T33" s="456"/>
      <c r="U33" s="456"/>
      <c r="V33" s="456"/>
      <c r="W33" s="456"/>
      <c r="X33" s="456"/>
      <c r="Y33" s="456"/>
      <c r="Z33" s="456"/>
      <c r="AA33" s="456"/>
      <c r="AB33" s="456"/>
      <c r="AC33" s="456"/>
      <c r="AD33" s="456"/>
      <c r="AE33" s="456"/>
      <c r="AF33" s="456"/>
      <c r="AG33" s="456"/>
      <c r="AH33" s="456"/>
      <c r="AI33" s="456"/>
      <c r="AJ33" s="456"/>
      <c r="AK33" s="456"/>
      <c r="AL33" s="456"/>
      <c r="AM33" s="456"/>
      <c r="AN33" s="456"/>
      <c r="AO33" s="456"/>
      <c r="AP33" s="456"/>
      <c r="AQ33" s="456"/>
      <c r="AR33" s="456"/>
      <c r="AS33" s="456"/>
      <c r="AT33" s="456"/>
      <c r="AU33" s="456"/>
      <c r="AV33" s="456"/>
      <c r="AW33" s="456"/>
      <c r="AX33" s="456"/>
      <c r="AY33" s="456"/>
      <c r="AZ33" s="456"/>
      <c r="BA33" s="456"/>
      <c r="BB33" s="456"/>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
      <c r="CG33" s="2"/>
      <c r="CH33" s="2"/>
      <c r="CI33" s="2"/>
      <c r="CJ33" s="2"/>
      <c r="CK33" s="2"/>
      <c r="CL33" s="2"/>
      <c r="CM33" s="2"/>
      <c r="CN33" s="2"/>
      <c r="CO33" s="2"/>
      <c r="CP33" s="2"/>
      <c r="CQ33" s="2"/>
      <c r="CR33" s="2"/>
      <c r="CS33" s="2"/>
      <c r="CT33" s="2"/>
      <c r="CU33" s="2"/>
      <c r="CV33" s="2"/>
      <c r="CW33" s="2"/>
      <c r="CX33" s="2"/>
      <c r="CY33" s="2"/>
      <c r="CZ33" s="2"/>
      <c r="DA33" s="2"/>
      <c r="DB33" s="2"/>
      <c r="DC33" s="2"/>
    </row>
    <row r="34" spans="1:107" ht="12" customHeight="1">
      <c r="A34" s="454"/>
      <c r="B34" s="454"/>
      <c r="C34" s="456"/>
      <c r="D34" s="456"/>
      <c r="E34" s="456"/>
      <c r="F34" s="456"/>
      <c r="G34" s="456"/>
      <c r="H34" s="456"/>
      <c r="I34" s="456"/>
      <c r="J34" s="456"/>
      <c r="K34" s="456"/>
      <c r="L34" s="456"/>
      <c r="M34" s="456"/>
      <c r="N34" s="456"/>
      <c r="O34" s="456"/>
      <c r="P34" s="456"/>
      <c r="Q34" s="456"/>
      <c r="R34" s="456"/>
      <c r="S34" s="456"/>
      <c r="T34" s="456"/>
      <c r="U34" s="456"/>
      <c r="V34" s="456"/>
      <c r="W34" s="456"/>
      <c r="X34" s="456"/>
      <c r="Y34" s="456"/>
      <c r="Z34" s="456"/>
      <c r="AA34" s="456"/>
      <c r="AB34" s="456"/>
      <c r="AC34" s="456"/>
      <c r="AD34" s="456"/>
      <c r="AE34" s="456"/>
      <c r="AF34" s="456"/>
      <c r="AG34" s="456"/>
      <c r="AH34" s="456"/>
      <c r="AI34" s="456"/>
      <c r="AJ34" s="456"/>
      <c r="AK34" s="456"/>
      <c r="AL34" s="456"/>
      <c r="AM34" s="456"/>
      <c r="AN34" s="456"/>
      <c r="AO34" s="456"/>
      <c r="AP34" s="456"/>
      <c r="AQ34" s="456"/>
      <c r="AR34" s="456"/>
      <c r="AS34" s="456"/>
      <c r="AT34" s="456"/>
      <c r="AU34" s="456"/>
      <c r="AV34" s="456"/>
      <c r="AW34" s="456"/>
      <c r="AX34" s="456"/>
      <c r="AY34" s="456"/>
      <c r="AZ34" s="456"/>
      <c r="BA34" s="456"/>
      <c r="BB34" s="456"/>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3"/>
    </row>
    <row r="35" spans="1:107" ht="12" customHeight="1">
      <c r="A35" s="454"/>
      <c r="B35" s="454"/>
      <c r="C35" s="456"/>
      <c r="D35" s="456"/>
      <c r="E35" s="456" t="s">
        <v>1026</v>
      </c>
      <c r="F35" s="456"/>
      <c r="G35" s="456"/>
      <c r="H35" s="456"/>
      <c r="I35" s="456"/>
      <c r="J35" s="456"/>
      <c r="K35" s="456"/>
      <c r="L35" s="456"/>
      <c r="M35" s="456"/>
      <c r="N35" s="456"/>
      <c r="O35" s="456"/>
      <c r="P35" s="456"/>
      <c r="Q35" s="456"/>
      <c r="R35" s="456"/>
      <c r="S35" s="456"/>
      <c r="T35" s="456"/>
      <c r="U35" s="456"/>
      <c r="V35" s="456"/>
      <c r="W35" s="456"/>
      <c r="X35" s="456"/>
      <c r="Y35" s="456"/>
      <c r="Z35" s="456"/>
      <c r="AA35" s="456"/>
      <c r="AB35" s="456"/>
      <c r="AC35" s="456"/>
      <c r="AD35" s="456"/>
      <c r="AE35" s="456"/>
      <c r="AF35" s="456"/>
      <c r="AG35" s="456"/>
      <c r="AH35" s="456"/>
      <c r="AI35" s="456"/>
      <c r="AJ35" s="456"/>
      <c r="AK35" s="456"/>
      <c r="AL35" s="456"/>
      <c r="AM35" s="456"/>
      <c r="AN35" s="456"/>
      <c r="AO35" s="456"/>
      <c r="AP35" s="456"/>
      <c r="AQ35" s="456"/>
      <c r="AR35" s="456"/>
      <c r="AS35" s="456"/>
      <c r="AT35" s="456"/>
      <c r="AU35" s="456"/>
      <c r="AV35" s="456"/>
      <c r="AW35" s="456"/>
      <c r="AX35" s="456"/>
      <c r="AY35" s="456"/>
      <c r="AZ35" s="456"/>
      <c r="BA35" s="456"/>
      <c r="BB35" s="456"/>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3"/>
    </row>
    <row r="36" spans="1:107" ht="12" customHeight="1">
      <c r="A36" s="22"/>
      <c r="B36" s="456"/>
      <c r="C36" s="456"/>
      <c r="D36" s="456"/>
      <c r="E36" s="456"/>
      <c r="F36" s="456"/>
      <c r="G36" s="456"/>
      <c r="H36" s="456"/>
      <c r="I36" s="456"/>
      <c r="J36" s="456"/>
      <c r="K36" s="456"/>
      <c r="L36" s="456"/>
      <c r="M36" s="456"/>
      <c r="N36" s="456"/>
      <c r="O36" s="456"/>
      <c r="P36" s="456"/>
      <c r="Q36" s="456"/>
      <c r="R36" s="456"/>
      <c r="S36" s="456"/>
      <c r="T36" s="456"/>
      <c r="U36" s="456"/>
      <c r="V36" s="456"/>
      <c r="W36" s="456"/>
      <c r="X36" s="456"/>
      <c r="Y36" s="456"/>
      <c r="Z36" s="456"/>
      <c r="AA36" s="456"/>
      <c r="AB36" s="456"/>
      <c r="AC36" s="456"/>
      <c r="AD36" s="456"/>
      <c r="AE36" s="456"/>
      <c r="AF36" s="456"/>
      <c r="AG36" s="456"/>
      <c r="AH36" s="456"/>
      <c r="AI36" s="456"/>
      <c r="AJ36" s="456"/>
      <c r="AK36" s="456"/>
      <c r="AL36" s="456"/>
      <c r="AM36" s="456"/>
      <c r="AN36" s="456"/>
      <c r="AO36" s="456"/>
      <c r="AP36" s="456"/>
      <c r="AQ36" s="456"/>
      <c r="AR36" s="456"/>
      <c r="AS36" s="456"/>
      <c r="AT36" s="456"/>
      <c r="AU36" s="456"/>
      <c r="AV36" s="456"/>
      <c r="AW36" s="456"/>
      <c r="AX36" s="456"/>
      <c r="AY36" s="456"/>
      <c r="AZ36" s="456"/>
      <c r="BA36" s="456"/>
      <c r="BB36" s="456"/>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41"/>
      <c r="CG36" s="3"/>
      <c r="CH36" s="3"/>
      <c r="CI36" s="3"/>
      <c r="CJ36" s="3"/>
      <c r="CK36" s="3"/>
      <c r="CL36" s="3"/>
      <c r="CM36" s="3"/>
      <c r="CN36" s="3"/>
      <c r="CO36" s="3"/>
      <c r="CP36" s="3"/>
    </row>
    <row r="37" spans="1:107" ht="12" customHeight="1">
      <c r="A37" s="22"/>
      <c r="B37" s="22"/>
      <c r="C37" s="22"/>
      <c r="D37" s="22"/>
      <c r="E37" s="22"/>
      <c r="F37" s="22" t="s">
        <v>423</v>
      </c>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41"/>
      <c r="CG37" s="3"/>
      <c r="CH37" s="3"/>
      <c r="CI37" s="3"/>
      <c r="CJ37" s="3"/>
      <c r="CK37" s="3"/>
      <c r="CL37" s="3"/>
      <c r="CM37" s="3"/>
      <c r="CN37" s="3"/>
      <c r="CO37" s="3"/>
      <c r="CP37" s="3"/>
    </row>
    <row r="38" spans="1:107" ht="12" customHeight="1">
      <c r="A38" s="22"/>
      <c r="B38" s="22"/>
      <c r="C38" s="22"/>
      <c r="D38" s="22"/>
      <c r="E38" s="22"/>
      <c r="F38" s="22" t="s">
        <v>424</v>
      </c>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41"/>
      <c r="CG38" s="3"/>
      <c r="CH38" s="3"/>
      <c r="CI38" s="3"/>
      <c r="CJ38" s="3"/>
      <c r="CK38" s="3"/>
      <c r="CL38" s="3"/>
      <c r="CM38" s="3"/>
      <c r="CN38" s="3"/>
      <c r="CO38" s="3"/>
      <c r="CP38" s="3"/>
    </row>
    <row r="39" spans="1:107" ht="12" customHeight="1">
      <c r="A39" s="22"/>
      <c r="B39" s="22"/>
      <c r="C39" s="22"/>
      <c r="D39" s="22"/>
      <c r="E39" s="22"/>
      <c r="F39" s="22"/>
      <c r="G39" s="22" t="s">
        <v>716</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41"/>
      <c r="CG39" s="3"/>
      <c r="CH39" s="3"/>
      <c r="CI39" s="3"/>
      <c r="CJ39" s="3"/>
      <c r="CK39" s="3"/>
      <c r="CL39" s="3"/>
      <c r="CM39" s="3"/>
      <c r="CN39" s="3"/>
      <c r="CO39" s="3"/>
      <c r="CP39" s="3"/>
    </row>
    <row r="40" spans="1:107" ht="12" customHeight="1">
      <c r="A40" s="22"/>
      <c r="B40" s="22"/>
      <c r="C40" s="22"/>
      <c r="D40" s="22"/>
      <c r="E40" s="22"/>
      <c r="F40" s="22"/>
      <c r="G40" s="22" t="s">
        <v>717</v>
      </c>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41"/>
      <c r="CG40" s="3"/>
      <c r="CH40" s="3"/>
      <c r="CI40" s="3"/>
      <c r="CJ40" s="3"/>
      <c r="CK40" s="3"/>
      <c r="CL40" s="3"/>
      <c r="CM40" s="3"/>
      <c r="CN40" s="3"/>
      <c r="CO40" s="3"/>
      <c r="CP40" s="3"/>
    </row>
    <row r="41" spans="1:107" ht="12"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row>
    <row r="42" spans="1:107" ht="12" customHeight="1">
      <c r="A42" s="22"/>
      <c r="B42" s="22"/>
      <c r="C42" s="22"/>
      <c r="D42" s="22"/>
      <c r="E42" s="22" t="s">
        <v>1025</v>
      </c>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
      <c r="CG42" s="2"/>
      <c r="CH42" s="2"/>
      <c r="CI42" s="2"/>
      <c r="CJ42" s="2"/>
      <c r="CK42" s="2"/>
      <c r="CL42" s="2"/>
      <c r="CM42" s="2"/>
      <c r="CN42" s="2"/>
      <c r="CO42" s="2"/>
      <c r="CP42" s="2"/>
      <c r="CQ42" s="2"/>
      <c r="CR42" s="2"/>
      <c r="CS42" s="2"/>
      <c r="CT42" s="2"/>
      <c r="CU42" s="2"/>
      <c r="CV42" s="2"/>
      <c r="CW42" s="2"/>
      <c r="CX42" s="2"/>
      <c r="CY42" s="2"/>
      <c r="CZ42" s="2"/>
      <c r="DA42" s="2"/>
      <c r="DB42" s="2"/>
      <c r="DC42" s="2"/>
    </row>
    <row r="43" spans="1:107" ht="12"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
      <c r="CG43" s="2"/>
      <c r="CH43" s="2"/>
      <c r="CI43" s="2"/>
      <c r="CJ43" s="2"/>
      <c r="CK43" s="2"/>
      <c r="CL43" s="2"/>
      <c r="CM43" s="2"/>
      <c r="CN43" s="2"/>
      <c r="CO43" s="2"/>
      <c r="CP43" s="2"/>
      <c r="CQ43" s="2"/>
      <c r="CR43" s="2"/>
      <c r="CS43" s="2"/>
      <c r="CT43" s="2"/>
      <c r="CU43" s="2"/>
      <c r="CV43" s="2"/>
      <c r="CW43" s="2"/>
      <c r="CX43" s="2"/>
      <c r="CY43" s="2"/>
      <c r="CZ43" s="2"/>
      <c r="DA43" s="2"/>
      <c r="DB43" s="2"/>
      <c r="DC43" s="2"/>
    </row>
    <row r="44" spans="1:107" ht="12" customHeight="1">
      <c r="A44" s="22"/>
      <c r="B44" s="22"/>
      <c r="C44" s="22"/>
      <c r="D44" s="22"/>
      <c r="E44" s="22"/>
      <c r="F44" s="22" t="s">
        <v>246</v>
      </c>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3"/>
    </row>
    <row r="45" spans="1:107" ht="12"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3"/>
    </row>
    <row r="46" spans="1:107" ht="12" customHeight="1">
      <c r="A46" s="22"/>
      <c r="B46" s="22"/>
      <c r="C46" s="22"/>
      <c r="D46" s="22"/>
      <c r="E46" s="22"/>
      <c r="G46" s="208" t="s">
        <v>245</v>
      </c>
      <c r="H46" s="209"/>
      <c r="I46" s="209"/>
      <c r="J46" s="209"/>
      <c r="K46" s="209"/>
      <c r="L46" s="209"/>
      <c r="M46" s="209"/>
      <c r="N46" s="209"/>
      <c r="O46" s="209"/>
      <c r="P46" s="209"/>
      <c r="Q46" s="209"/>
      <c r="R46" s="209"/>
      <c r="S46" s="209"/>
      <c r="T46" s="209"/>
      <c r="U46" s="209"/>
      <c r="V46" s="209"/>
      <c r="W46" s="209"/>
      <c r="X46" s="209"/>
      <c r="Y46" s="209"/>
      <c r="Z46" s="209"/>
      <c r="AA46" s="209"/>
      <c r="AB46" s="208" t="s">
        <v>244</v>
      </c>
      <c r="AC46" s="209"/>
      <c r="AD46" s="209"/>
      <c r="AE46" s="209"/>
      <c r="AF46" s="209"/>
      <c r="AG46" s="209"/>
      <c r="AH46" s="209"/>
      <c r="AI46" s="209"/>
      <c r="AJ46" s="209"/>
      <c r="AK46" s="209"/>
      <c r="AL46" s="209"/>
      <c r="AM46" s="209"/>
      <c r="AN46" s="209"/>
      <c r="AO46" s="209"/>
      <c r="AP46" s="209"/>
      <c r="AQ46" s="209"/>
      <c r="AR46" s="209"/>
      <c r="AS46" s="209"/>
      <c r="AT46" s="209"/>
      <c r="AU46" s="209"/>
      <c r="AV46" s="210"/>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3"/>
    </row>
    <row r="47" spans="1:107" ht="12" customHeight="1">
      <c r="A47" s="22"/>
      <c r="B47" s="22"/>
      <c r="C47" s="22"/>
      <c r="D47" s="22"/>
      <c r="E47" s="22"/>
      <c r="G47" s="213" t="s">
        <v>718</v>
      </c>
      <c r="H47" s="22"/>
      <c r="I47" s="22"/>
      <c r="J47" s="22"/>
      <c r="K47" s="22"/>
      <c r="L47" s="22"/>
      <c r="M47" s="22"/>
      <c r="N47" s="22"/>
      <c r="O47" s="22"/>
      <c r="P47" s="22"/>
      <c r="Q47" s="22"/>
      <c r="R47" s="22"/>
      <c r="S47" s="22"/>
      <c r="T47" s="22"/>
      <c r="U47" s="22"/>
      <c r="V47" s="22"/>
      <c r="W47" s="22"/>
      <c r="X47" s="22"/>
      <c r="Y47" s="22"/>
      <c r="Z47" s="22"/>
      <c r="AA47" s="22"/>
      <c r="AB47" s="213" t="s">
        <v>243</v>
      </c>
      <c r="AC47" s="22"/>
      <c r="AD47" s="22"/>
      <c r="AE47" s="22"/>
      <c r="AF47" s="22"/>
      <c r="AG47" s="22"/>
      <c r="AH47" s="22"/>
      <c r="AI47" s="22"/>
      <c r="AJ47" s="22"/>
      <c r="AK47" s="22"/>
      <c r="AL47" s="22"/>
      <c r="AM47" s="22"/>
      <c r="AN47" s="22"/>
      <c r="AO47" s="22"/>
      <c r="AP47" s="22"/>
      <c r="AQ47" s="22"/>
      <c r="AR47" s="22"/>
      <c r="AS47" s="22"/>
      <c r="AT47" s="22"/>
      <c r="AU47" s="22"/>
      <c r="AV47" s="44"/>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3"/>
    </row>
    <row r="48" spans="1:107" ht="12" customHeight="1">
      <c r="A48" s="22"/>
      <c r="B48" s="22"/>
      <c r="C48" s="22"/>
      <c r="D48" s="22"/>
      <c r="E48" s="22"/>
      <c r="G48" s="280" t="s">
        <v>719</v>
      </c>
      <c r="H48" s="281"/>
      <c r="I48" s="281"/>
      <c r="J48" s="281"/>
      <c r="K48" s="281"/>
      <c r="L48" s="281"/>
      <c r="M48" s="281"/>
      <c r="N48" s="281"/>
      <c r="O48" s="281"/>
      <c r="P48" s="281"/>
      <c r="Q48" s="281"/>
      <c r="R48" s="281"/>
      <c r="S48" s="281"/>
      <c r="T48" s="281"/>
      <c r="U48" s="281"/>
      <c r="V48" s="281"/>
      <c r="W48" s="281"/>
      <c r="X48" s="281"/>
      <c r="Y48" s="281"/>
      <c r="Z48" s="281"/>
      <c r="AA48" s="281"/>
      <c r="AB48" s="280" t="s">
        <v>720</v>
      </c>
      <c r="AC48" s="281"/>
      <c r="AD48" s="281"/>
      <c r="AE48" s="281"/>
      <c r="AF48" s="281"/>
      <c r="AG48" s="281"/>
      <c r="AH48" s="281"/>
      <c r="AI48" s="281"/>
      <c r="AJ48" s="281"/>
      <c r="AK48" s="281"/>
      <c r="AL48" s="281"/>
      <c r="AM48" s="281"/>
      <c r="AN48" s="281"/>
      <c r="AO48" s="281"/>
      <c r="AP48" s="281"/>
      <c r="AQ48" s="281"/>
      <c r="AR48" s="281"/>
      <c r="AS48" s="281"/>
      <c r="AT48" s="281"/>
      <c r="AU48" s="281"/>
      <c r="AV48" s="28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3"/>
    </row>
    <row r="49" spans="1:83" ht="12" customHeight="1">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c r="CA49" s="138"/>
      <c r="CB49" s="138"/>
      <c r="CC49" s="138"/>
      <c r="CD49" s="138"/>
      <c r="CE49" s="138"/>
    </row>
    <row r="50" spans="1:83" ht="12" customHeight="1">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38"/>
      <c r="BU50" s="138"/>
      <c r="BV50" s="138"/>
      <c r="BW50" s="138"/>
      <c r="BX50" s="138"/>
      <c r="BY50" s="138"/>
      <c r="BZ50" s="138"/>
      <c r="CA50" s="138"/>
      <c r="CB50" s="138"/>
      <c r="CC50" s="138"/>
      <c r="CD50" s="138"/>
      <c r="CE50" s="138"/>
    </row>
    <row r="51" spans="1:83" ht="12" customHeight="1">
      <c r="A51" s="455"/>
      <c r="B51" s="455"/>
      <c r="C51" s="454"/>
      <c r="D51" s="454" t="s">
        <v>1149</v>
      </c>
      <c r="E51" s="455"/>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row>
    <row r="52" spans="1:83" ht="12" customHeight="1">
      <c r="A52" s="455"/>
      <c r="B52" s="455"/>
      <c r="C52" s="455"/>
      <c r="D52" s="455"/>
      <c r="E52" s="455"/>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c r="CA52" s="138"/>
      <c r="CB52" s="138"/>
      <c r="CC52" s="138"/>
      <c r="CD52" s="138"/>
      <c r="CE52" s="138"/>
    </row>
    <row r="53" spans="1:83" ht="12" customHeight="1">
      <c r="A53" s="455"/>
      <c r="B53" s="455"/>
      <c r="C53" s="454"/>
      <c r="D53" s="454"/>
      <c r="E53" s="454" t="s">
        <v>1026</v>
      </c>
      <c r="F53" s="22"/>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138"/>
    </row>
    <row r="54" spans="1:83" ht="12" customHeight="1">
      <c r="A54" s="138"/>
      <c r="B54" s="138"/>
      <c r="C54" s="138"/>
      <c r="D54" s="22"/>
      <c r="E54" s="22"/>
      <c r="F54" s="22"/>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c r="CA54" s="138"/>
      <c r="CB54" s="138"/>
      <c r="CC54" s="138"/>
      <c r="CD54" s="138"/>
      <c r="CE54" s="138"/>
    </row>
    <row r="55" spans="1:83" ht="12" customHeight="1">
      <c r="A55" s="138"/>
      <c r="B55" s="138"/>
      <c r="C55" s="138"/>
      <c r="D55" s="22"/>
      <c r="E55" s="22"/>
      <c r="F55" s="22" t="s">
        <v>242</v>
      </c>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BR55" s="138"/>
      <c r="BS55" s="138"/>
      <c r="BT55" s="138"/>
      <c r="BU55" s="138"/>
      <c r="BV55" s="138"/>
      <c r="BW55" s="138"/>
      <c r="BX55" s="138"/>
      <c r="BY55" s="138"/>
      <c r="BZ55" s="138"/>
      <c r="CA55" s="138"/>
      <c r="CB55" s="138"/>
      <c r="CC55" s="138"/>
      <c r="CD55" s="138"/>
      <c r="CE55" s="138"/>
    </row>
    <row r="56" spans="1:83" ht="12" customHeight="1">
      <c r="A56" s="138"/>
      <c r="B56" s="138"/>
      <c r="C56" s="138"/>
      <c r="D56" s="22"/>
      <c r="E56" s="22"/>
      <c r="F56" s="22" t="s">
        <v>599</v>
      </c>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c r="BZ56" s="138"/>
      <c r="CA56" s="138"/>
      <c r="CB56" s="138"/>
      <c r="CC56" s="138"/>
      <c r="CD56" s="138"/>
      <c r="CE56" s="138"/>
    </row>
    <row r="57" spans="1:83" ht="12" customHeight="1">
      <c r="A57" s="138"/>
      <c r="B57" s="138"/>
      <c r="C57" s="138"/>
      <c r="D57" s="22"/>
      <c r="E57" s="22"/>
      <c r="F57" s="22" t="s">
        <v>721</v>
      </c>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138"/>
    </row>
    <row r="58" spans="1:83" ht="12" customHeight="1">
      <c r="A58" s="138"/>
      <c r="B58" s="138"/>
      <c r="C58" s="138"/>
      <c r="D58" s="22"/>
      <c r="E58" s="22"/>
      <c r="F58" s="22" t="s">
        <v>722</v>
      </c>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c r="CA58" s="138"/>
      <c r="CB58" s="138"/>
      <c r="CC58" s="138"/>
      <c r="CD58" s="138"/>
      <c r="CE58" s="138"/>
    </row>
    <row r="59" spans="1:83" ht="12" customHeight="1">
      <c r="A59" s="138"/>
      <c r="B59" s="138"/>
      <c r="C59" s="138"/>
      <c r="D59" s="22"/>
      <c r="E59" s="22"/>
      <c r="F59" s="22" t="s">
        <v>723</v>
      </c>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c r="CA59" s="138"/>
      <c r="CB59" s="138"/>
      <c r="CC59" s="138"/>
      <c r="CD59" s="138"/>
      <c r="CE59" s="138"/>
    </row>
    <row r="60" spans="1:83" ht="12" customHeight="1">
      <c r="A60" s="138"/>
      <c r="B60" s="138"/>
      <c r="C60" s="138"/>
      <c r="D60" s="22"/>
      <c r="E60" s="22"/>
      <c r="F60" s="22"/>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8"/>
      <c r="BG60" s="138"/>
      <c r="BH60" s="138"/>
      <c r="BI60" s="138"/>
      <c r="BJ60" s="138"/>
      <c r="BK60" s="138"/>
      <c r="BL60" s="138"/>
      <c r="BM60" s="138"/>
      <c r="BN60" s="138"/>
      <c r="BO60" s="138"/>
      <c r="BP60" s="138"/>
      <c r="BQ60" s="138"/>
      <c r="BR60" s="138"/>
      <c r="BS60" s="138"/>
      <c r="BT60" s="138"/>
      <c r="BU60" s="138"/>
      <c r="BV60" s="138"/>
      <c r="BW60" s="138"/>
      <c r="BX60" s="138"/>
      <c r="BY60" s="138"/>
      <c r="BZ60" s="138"/>
      <c r="CA60" s="138"/>
      <c r="CB60" s="138"/>
      <c r="CC60" s="138"/>
      <c r="CD60" s="138"/>
      <c r="CE60" s="138"/>
    </row>
    <row r="61" spans="1:83" ht="12" customHeight="1">
      <c r="A61" s="138"/>
      <c r="B61" s="138"/>
      <c r="C61" s="138"/>
      <c r="D61" s="22"/>
      <c r="E61" s="22" t="s">
        <v>1079</v>
      </c>
      <c r="F61" s="22"/>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8"/>
      <c r="BP61" s="138"/>
      <c r="BQ61" s="138"/>
      <c r="BR61" s="138"/>
      <c r="BS61" s="138"/>
      <c r="BT61" s="138"/>
      <c r="BU61" s="138"/>
      <c r="BV61" s="138"/>
      <c r="BW61" s="138"/>
      <c r="BX61" s="138"/>
      <c r="BY61" s="138"/>
      <c r="BZ61" s="138"/>
      <c r="CA61" s="138"/>
      <c r="CB61" s="138"/>
      <c r="CC61" s="138"/>
      <c r="CD61" s="138"/>
      <c r="CE61" s="138"/>
    </row>
    <row r="62" spans="1:83" ht="12" customHeight="1">
      <c r="A62" s="138"/>
      <c r="B62" s="138"/>
      <c r="C62" s="138"/>
      <c r="D62" s="22"/>
      <c r="E62" s="22"/>
      <c r="F62" s="22"/>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c r="CA62" s="138"/>
      <c r="CB62" s="138"/>
      <c r="CC62" s="138"/>
      <c r="CD62" s="138"/>
      <c r="CE62" s="138"/>
    </row>
    <row r="63" spans="1:83" ht="12" customHeight="1">
      <c r="A63" s="138"/>
      <c r="B63" s="138"/>
      <c r="C63" s="138"/>
      <c r="D63" s="22"/>
      <c r="E63" s="22"/>
      <c r="F63" s="22" t="s">
        <v>241</v>
      </c>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c r="CA63" s="138"/>
      <c r="CB63" s="138"/>
      <c r="CC63" s="138"/>
      <c r="CD63" s="138"/>
      <c r="CE63" s="138"/>
    </row>
    <row r="64" spans="1:83" ht="12" customHeight="1">
      <c r="A64" s="138"/>
      <c r="B64" s="138"/>
      <c r="C64" s="138"/>
      <c r="D64" s="22"/>
      <c r="E64" s="22"/>
      <c r="F64" s="22"/>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38"/>
      <c r="BG64" s="138"/>
      <c r="BH64" s="138"/>
      <c r="BI64" s="138"/>
      <c r="BJ64" s="138"/>
      <c r="BK64" s="138"/>
      <c r="BL64" s="138"/>
      <c r="BM64" s="138"/>
      <c r="BN64" s="138"/>
      <c r="BO64" s="138"/>
      <c r="BP64" s="138"/>
      <c r="BQ64" s="138"/>
      <c r="BR64" s="138"/>
      <c r="BS64" s="138"/>
      <c r="BT64" s="138"/>
      <c r="BU64" s="138"/>
      <c r="BV64" s="138"/>
      <c r="BW64" s="138"/>
      <c r="BX64" s="138"/>
      <c r="BY64" s="138"/>
      <c r="BZ64" s="138"/>
      <c r="CA64" s="138"/>
      <c r="CB64" s="138"/>
      <c r="CC64" s="138"/>
      <c r="CD64" s="138"/>
      <c r="CE64" s="138"/>
    </row>
    <row r="65" spans="1:71" ht="12" customHeight="1">
      <c r="A65" s="138"/>
      <c r="B65" s="138"/>
      <c r="C65" s="138"/>
      <c r="D65" s="138"/>
      <c r="E65" s="22"/>
      <c r="F65" s="768" t="s">
        <v>240</v>
      </c>
      <c r="G65" s="769"/>
      <c r="H65" s="769"/>
      <c r="I65" s="769"/>
      <c r="J65" s="769"/>
      <c r="K65" s="769"/>
      <c r="L65" s="769"/>
      <c r="M65" s="769"/>
      <c r="N65" s="769"/>
      <c r="O65" s="769"/>
      <c r="P65" s="769"/>
      <c r="Q65" s="769"/>
      <c r="R65" s="769"/>
      <c r="S65" s="769"/>
      <c r="T65" s="769"/>
      <c r="U65" s="769"/>
      <c r="V65" s="769"/>
      <c r="W65" s="769"/>
      <c r="X65" s="769"/>
      <c r="Y65" s="769"/>
      <c r="Z65" s="770"/>
      <c r="AA65" s="768" t="s">
        <v>239</v>
      </c>
      <c r="AB65" s="769"/>
      <c r="AC65" s="769"/>
      <c r="AD65" s="769"/>
      <c r="AE65" s="769"/>
      <c r="AF65" s="769"/>
      <c r="AG65" s="769"/>
      <c r="AH65" s="769"/>
      <c r="AI65" s="769"/>
      <c r="AJ65" s="769"/>
      <c r="AK65" s="769"/>
      <c r="AL65" s="769"/>
      <c r="AM65" s="769"/>
      <c r="AN65" s="770"/>
      <c r="AO65" s="768" t="s">
        <v>238</v>
      </c>
      <c r="AP65" s="769"/>
      <c r="AQ65" s="769"/>
      <c r="AR65" s="769"/>
      <c r="AS65" s="769"/>
      <c r="AT65" s="769"/>
      <c r="AU65" s="769"/>
      <c r="AV65" s="769"/>
      <c r="AW65" s="769"/>
      <c r="AX65" s="769"/>
      <c r="AY65" s="769"/>
      <c r="AZ65" s="769"/>
      <c r="BA65" s="769"/>
      <c r="BB65" s="769"/>
      <c r="BC65" s="769"/>
      <c r="BD65" s="769"/>
      <c r="BE65" s="770"/>
      <c r="BF65" s="768" t="s">
        <v>724</v>
      </c>
      <c r="BG65" s="769"/>
      <c r="BH65" s="769"/>
      <c r="BI65" s="770"/>
      <c r="BJ65" s="777" t="s">
        <v>725</v>
      </c>
      <c r="BK65" s="778"/>
      <c r="BL65" s="778"/>
      <c r="BM65" s="778"/>
      <c r="BN65" s="778"/>
      <c r="BO65" s="778"/>
      <c r="BP65" s="778"/>
      <c r="BQ65" s="778"/>
      <c r="BR65" s="778"/>
      <c r="BS65" s="779"/>
    </row>
    <row r="66" spans="1:71" ht="12" customHeight="1">
      <c r="A66" s="138"/>
      <c r="B66" s="138"/>
      <c r="C66" s="138"/>
      <c r="D66" s="138"/>
      <c r="E66" s="22"/>
      <c r="F66" s="771"/>
      <c r="G66" s="772"/>
      <c r="H66" s="772"/>
      <c r="I66" s="772"/>
      <c r="J66" s="772"/>
      <c r="K66" s="772"/>
      <c r="L66" s="772"/>
      <c r="M66" s="772"/>
      <c r="N66" s="772"/>
      <c r="O66" s="772"/>
      <c r="P66" s="772"/>
      <c r="Q66" s="772"/>
      <c r="R66" s="772"/>
      <c r="S66" s="772"/>
      <c r="T66" s="772"/>
      <c r="U66" s="772"/>
      <c r="V66" s="772"/>
      <c r="W66" s="772"/>
      <c r="X66" s="772"/>
      <c r="Y66" s="772"/>
      <c r="Z66" s="773"/>
      <c r="AA66" s="771"/>
      <c r="AB66" s="772"/>
      <c r="AC66" s="772"/>
      <c r="AD66" s="772"/>
      <c r="AE66" s="772"/>
      <c r="AF66" s="772"/>
      <c r="AG66" s="772"/>
      <c r="AH66" s="772"/>
      <c r="AI66" s="772"/>
      <c r="AJ66" s="772"/>
      <c r="AK66" s="772"/>
      <c r="AL66" s="772"/>
      <c r="AM66" s="772"/>
      <c r="AN66" s="773"/>
      <c r="AO66" s="771"/>
      <c r="AP66" s="772"/>
      <c r="AQ66" s="772"/>
      <c r="AR66" s="772"/>
      <c r="AS66" s="772"/>
      <c r="AT66" s="772"/>
      <c r="AU66" s="772"/>
      <c r="AV66" s="772"/>
      <c r="AW66" s="772"/>
      <c r="AX66" s="772"/>
      <c r="AY66" s="772"/>
      <c r="AZ66" s="772"/>
      <c r="BA66" s="772"/>
      <c r="BB66" s="772"/>
      <c r="BC66" s="772"/>
      <c r="BD66" s="772"/>
      <c r="BE66" s="773"/>
      <c r="BF66" s="771"/>
      <c r="BG66" s="772"/>
      <c r="BH66" s="772"/>
      <c r="BI66" s="773"/>
      <c r="BJ66" s="783" t="s">
        <v>726</v>
      </c>
      <c r="BK66" s="784"/>
      <c r="BL66" s="787" t="s">
        <v>727</v>
      </c>
      <c r="BM66" s="784" t="s">
        <v>728</v>
      </c>
      <c r="BN66" s="787" t="s">
        <v>729</v>
      </c>
      <c r="BO66" s="784" t="s">
        <v>730</v>
      </c>
      <c r="BP66" s="787" t="s">
        <v>730</v>
      </c>
      <c r="BQ66" s="784" t="s">
        <v>237</v>
      </c>
      <c r="BR66" s="787" t="s">
        <v>237</v>
      </c>
      <c r="BS66" s="784" t="s">
        <v>237</v>
      </c>
    </row>
    <row r="67" spans="1:71" ht="12" customHeight="1">
      <c r="A67" s="138"/>
      <c r="B67" s="138"/>
      <c r="C67" s="138"/>
      <c r="D67" s="138"/>
      <c r="E67" s="22"/>
      <c r="F67" s="771"/>
      <c r="G67" s="772"/>
      <c r="H67" s="772"/>
      <c r="I67" s="772"/>
      <c r="J67" s="772"/>
      <c r="K67" s="772"/>
      <c r="L67" s="772"/>
      <c r="M67" s="772"/>
      <c r="N67" s="772"/>
      <c r="O67" s="772"/>
      <c r="P67" s="772"/>
      <c r="Q67" s="772"/>
      <c r="R67" s="772"/>
      <c r="S67" s="772"/>
      <c r="T67" s="772"/>
      <c r="U67" s="772"/>
      <c r="V67" s="772"/>
      <c r="W67" s="772"/>
      <c r="X67" s="772"/>
      <c r="Y67" s="772"/>
      <c r="Z67" s="773"/>
      <c r="AA67" s="771"/>
      <c r="AB67" s="772"/>
      <c r="AC67" s="772"/>
      <c r="AD67" s="772"/>
      <c r="AE67" s="772"/>
      <c r="AF67" s="772"/>
      <c r="AG67" s="772"/>
      <c r="AH67" s="772"/>
      <c r="AI67" s="772"/>
      <c r="AJ67" s="772"/>
      <c r="AK67" s="772"/>
      <c r="AL67" s="772"/>
      <c r="AM67" s="772"/>
      <c r="AN67" s="773"/>
      <c r="AO67" s="771"/>
      <c r="AP67" s="772"/>
      <c r="AQ67" s="772"/>
      <c r="AR67" s="772"/>
      <c r="AS67" s="772"/>
      <c r="AT67" s="772"/>
      <c r="AU67" s="772"/>
      <c r="AV67" s="772"/>
      <c r="AW67" s="772"/>
      <c r="AX67" s="772"/>
      <c r="AY67" s="772"/>
      <c r="AZ67" s="772"/>
      <c r="BA67" s="772"/>
      <c r="BB67" s="772"/>
      <c r="BC67" s="772"/>
      <c r="BD67" s="772"/>
      <c r="BE67" s="773"/>
      <c r="BF67" s="771"/>
      <c r="BG67" s="772"/>
      <c r="BH67" s="772"/>
      <c r="BI67" s="773"/>
      <c r="BJ67" s="783"/>
      <c r="BK67" s="784"/>
      <c r="BL67" s="787"/>
      <c r="BM67" s="784"/>
      <c r="BN67" s="787"/>
      <c r="BO67" s="784"/>
      <c r="BP67" s="787"/>
      <c r="BQ67" s="784"/>
      <c r="BR67" s="787"/>
      <c r="BS67" s="784"/>
    </row>
    <row r="68" spans="1:71" ht="12" customHeight="1">
      <c r="A68" s="138"/>
      <c r="B68" s="138"/>
      <c r="C68" s="138"/>
      <c r="D68" s="138"/>
      <c r="E68" s="22"/>
      <c r="F68" s="771"/>
      <c r="G68" s="772"/>
      <c r="H68" s="772"/>
      <c r="I68" s="772"/>
      <c r="J68" s="772"/>
      <c r="K68" s="772"/>
      <c r="L68" s="772"/>
      <c r="M68" s="772"/>
      <c r="N68" s="772"/>
      <c r="O68" s="772"/>
      <c r="P68" s="772"/>
      <c r="Q68" s="772"/>
      <c r="R68" s="772"/>
      <c r="S68" s="772"/>
      <c r="T68" s="772"/>
      <c r="U68" s="772"/>
      <c r="V68" s="772"/>
      <c r="W68" s="772"/>
      <c r="X68" s="772"/>
      <c r="Y68" s="772"/>
      <c r="Z68" s="773"/>
      <c r="AA68" s="771"/>
      <c r="AB68" s="772"/>
      <c r="AC68" s="772"/>
      <c r="AD68" s="772"/>
      <c r="AE68" s="772"/>
      <c r="AF68" s="772"/>
      <c r="AG68" s="772"/>
      <c r="AH68" s="772"/>
      <c r="AI68" s="772"/>
      <c r="AJ68" s="772"/>
      <c r="AK68" s="772"/>
      <c r="AL68" s="772"/>
      <c r="AM68" s="772"/>
      <c r="AN68" s="773"/>
      <c r="AO68" s="771"/>
      <c r="AP68" s="772"/>
      <c r="AQ68" s="772"/>
      <c r="AR68" s="772"/>
      <c r="AS68" s="772"/>
      <c r="AT68" s="772"/>
      <c r="AU68" s="772"/>
      <c r="AV68" s="772"/>
      <c r="AW68" s="772"/>
      <c r="AX68" s="772"/>
      <c r="AY68" s="772"/>
      <c r="AZ68" s="772"/>
      <c r="BA68" s="772"/>
      <c r="BB68" s="772"/>
      <c r="BC68" s="772"/>
      <c r="BD68" s="772"/>
      <c r="BE68" s="773"/>
      <c r="BF68" s="771"/>
      <c r="BG68" s="772"/>
      <c r="BH68" s="772"/>
      <c r="BI68" s="773"/>
      <c r="BJ68" s="783"/>
      <c r="BK68" s="784"/>
      <c r="BL68" s="787"/>
      <c r="BM68" s="784"/>
      <c r="BN68" s="787"/>
      <c r="BO68" s="784"/>
      <c r="BP68" s="787"/>
      <c r="BQ68" s="784"/>
      <c r="BR68" s="787"/>
      <c r="BS68" s="784"/>
    </row>
    <row r="69" spans="1:71" ht="12" customHeight="1">
      <c r="A69" s="138"/>
      <c r="B69" s="138"/>
      <c r="C69" s="138"/>
      <c r="D69" s="138"/>
      <c r="E69" s="22"/>
      <c r="F69" s="771"/>
      <c r="G69" s="772"/>
      <c r="H69" s="772"/>
      <c r="I69" s="772"/>
      <c r="J69" s="772"/>
      <c r="K69" s="772"/>
      <c r="L69" s="772"/>
      <c r="M69" s="772"/>
      <c r="N69" s="772"/>
      <c r="O69" s="772"/>
      <c r="P69" s="772"/>
      <c r="Q69" s="772"/>
      <c r="R69" s="772"/>
      <c r="S69" s="772"/>
      <c r="T69" s="772"/>
      <c r="U69" s="772"/>
      <c r="V69" s="772"/>
      <c r="W69" s="772"/>
      <c r="X69" s="772"/>
      <c r="Y69" s="772"/>
      <c r="Z69" s="773"/>
      <c r="AA69" s="771"/>
      <c r="AB69" s="772"/>
      <c r="AC69" s="772"/>
      <c r="AD69" s="772"/>
      <c r="AE69" s="772"/>
      <c r="AF69" s="772"/>
      <c r="AG69" s="772"/>
      <c r="AH69" s="772"/>
      <c r="AI69" s="772"/>
      <c r="AJ69" s="772"/>
      <c r="AK69" s="772"/>
      <c r="AL69" s="772"/>
      <c r="AM69" s="772"/>
      <c r="AN69" s="773"/>
      <c r="AO69" s="771"/>
      <c r="AP69" s="772"/>
      <c r="AQ69" s="772"/>
      <c r="AR69" s="772"/>
      <c r="AS69" s="772"/>
      <c r="AT69" s="772"/>
      <c r="AU69" s="772"/>
      <c r="AV69" s="772"/>
      <c r="AW69" s="772"/>
      <c r="AX69" s="772"/>
      <c r="AY69" s="772"/>
      <c r="AZ69" s="772"/>
      <c r="BA69" s="772"/>
      <c r="BB69" s="772"/>
      <c r="BC69" s="772"/>
      <c r="BD69" s="772"/>
      <c r="BE69" s="773"/>
      <c r="BF69" s="771"/>
      <c r="BG69" s="772"/>
      <c r="BH69" s="772"/>
      <c r="BI69" s="773"/>
      <c r="BJ69" s="783"/>
      <c r="BK69" s="784"/>
      <c r="BL69" s="787"/>
      <c r="BM69" s="784"/>
      <c r="BN69" s="787"/>
      <c r="BO69" s="784"/>
      <c r="BP69" s="787"/>
      <c r="BQ69" s="784"/>
      <c r="BR69" s="787"/>
      <c r="BS69" s="784"/>
    </row>
    <row r="70" spans="1:71" ht="12" customHeight="1">
      <c r="A70" s="138"/>
      <c r="B70" s="138"/>
      <c r="C70" s="138"/>
      <c r="D70" s="138"/>
      <c r="E70" s="22"/>
      <c r="F70" s="774"/>
      <c r="G70" s="775"/>
      <c r="H70" s="775"/>
      <c r="I70" s="775"/>
      <c r="J70" s="775"/>
      <c r="K70" s="775"/>
      <c r="L70" s="775"/>
      <c r="M70" s="775"/>
      <c r="N70" s="775"/>
      <c r="O70" s="775"/>
      <c r="P70" s="775"/>
      <c r="Q70" s="775"/>
      <c r="R70" s="775"/>
      <c r="S70" s="775"/>
      <c r="T70" s="775"/>
      <c r="U70" s="775"/>
      <c r="V70" s="775"/>
      <c r="W70" s="775"/>
      <c r="X70" s="775"/>
      <c r="Y70" s="775"/>
      <c r="Z70" s="776"/>
      <c r="AA70" s="774"/>
      <c r="AB70" s="775"/>
      <c r="AC70" s="775"/>
      <c r="AD70" s="775"/>
      <c r="AE70" s="775"/>
      <c r="AF70" s="775"/>
      <c r="AG70" s="775"/>
      <c r="AH70" s="775"/>
      <c r="AI70" s="775"/>
      <c r="AJ70" s="775"/>
      <c r="AK70" s="775"/>
      <c r="AL70" s="775"/>
      <c r="AM70" s="775"/>
      <c r="AN70" s="776"/>
      <c r="AO70" s="774"/>
      <c r="AP70" s="775"/>
      <c r="AQ70" s="775"/>
      <c r="AR70" s="775"/>
      <c r="AS70" s="775"/>
      <c r="AT70" s="775"/>
      <c r="AU70" s="775"/>
      <c r="AV70" s="775"/>
      <c r="AW70" s="775"/>
      <c r="AX70" s="775"/>
      <c r="AY70" s="775"/>
      <c r="AZ70" s="775"/>
      <c r="BA70" s="775"/>
      <c r="BB70" s="775"/>
      <c r="BC70" s="775"/>
      <c r="BD70" s="775"/>
      <c r="BE70" s="776"/>
      <c r="BF70" s="774"/>
      <c r="BG70" s="775"/>
      <c r="BH70" s="775"/>
      <c r="BI70" s="776"/>
      <c r="BJ70" s="785"/>
      <c r="BK70" s="786"/>
      <c r="BL70" s="788"/>
      <c r="BM70" s="786"/>
      <c r="BN70" s="788"/>
      <c r="BO70" s="786"/>
      <c r="BP70" s="788"/>
      <c r="BQ70" s="786"/>
      <c r="BR70" s="788"/>
      <c r="BS70" s="786"/>
    </row>
    <row r="71" spans="1:71" ht="12" customHeight="1">
      <c r="A71" s="138"/>
      <c r="B71" s="138"/>
      <c r="C71" s="138"/>
      <c r="D71" s="138"/>
      <c r="E71" s="22"/>
      <c r="F71" s="289" t="s">
        <v>731</v>
      </c>
      <c r="G71" s="290"/>
      <c r="H71" s="290"/>
      <c r="I71" s="290"/>
      <c r="J71" s="290"/>
      <c r="K71" s="290"/>
      <c r="L71" s="290"/>
      <c r="M71" s="290"/>
      <c r="N71" s="290"/>
      <c r="O71" s="296"/>
      <c r="P71" s="296"/>
      <c r="Q71" s="296"/>
      <c r="R71" s="296"/>
      <c r="S71" s="296"/>
      <c r="T71" s="296"/>
      <c r="U71" s="296"/>
      <c r="V71" s="296"/>
      <c r="W71" s="296"/>
      <c r="X71" s="296"/>
      <c r="Y71" s="296"/>
      <c r="Z71" s="297"/>
      <c r="AA71" s="211" t="s">
        <v>236</v>
      </c>
      <c r="AB71" s="211"/>
      <c r="AC71" s="211"/>
      <c r="AD71" s="211"/>
      <c r="AE71" s="211"/>
      <c r="AF71" s="211"/>
      <c r="AG71" s="211"/>
      <c r="AH71" s="211"/>
      <c r="AI71" s="211"/>
      <c r="AJ71" s="211"/>
      <c r="AK71" s="211"/>
      <c r="AL71" s="211"/>
      <c r="AM71" s="211"/>
      <c r="AN71" s="212"/>
      <c r="AO71" s="295" t="s">
        <v>732</v>
      </c>
      <c r="AP71" s="296"/>
      <c r="AQ71" s="296"/>
      <c r="AR71" s="296"/>
      <c r="AS71" s="296"/>
      <c r="AT71" s="296"/>
      <c r="AU71" s="296"/>
      <c r="AV71" s="296"/>
      <c r="AW71" s="296"/>
      <c r="AX71" s="296"/>
      <c r="AY71" s="296"/>
      <c r="AZ71" s="296"/>
      <c r="BA71" s="296"/>
      <c r="BB71" s="296"/>
      <c r="BC71" s="296"/>
      <c r="BD71" s="296"/>
      <c r="BE71" s="297"/>
      <c r="BF71" s="780" t="s">
        <v>213</v>
      </c>
      <c r="BG71" s="782"/>
      <c r="BH71" s="782"/>
      <c r="BI71" s="781"/>
      <c r="BJ71" s="780" t="s">
        <v>733</v>
      </c>
      <c r="BK71" s="781"/>
      <c r="BL71" s="780" t="s">
        <v>733</v>
      </c>
      <c r="BM71" s="781"/>
      <c r="BN71" s="780" t="s">
        <v>734</v>
      </c>
      <c r="BO71" s="781"/>
      <c r="BP71" s="780" t="s">
        <v>735</v>
      </c>
      <c r="BQ71" s="781"/>
      <c r="BR71" s="780" t="s">
        <v>736</v>
      </c>
      <c r="BS71" s="781"/>
    </row>
    <row r="72" spans="1:71" ht="12" customHeight="1">
      <c r="A72" s="138"/>
      <c r="B72" s="138"/>
      <c r="C72" s="138"/>
      <c r="D72" s="138"/>
      <c r="E72" s="22"/>
      <c r="F72" s="289" t="s">
        <v>737</v>
      </c>
      <c r="G72" s="290"/>
      <c r="H72" s="290"/>
      <c r="I72" s="290"/>
      <c r="J72" s="290"/>
      <c r="K72" s="290"/>
      <c r="L72" s="290"/>
      <c r="M72" s="290"/>
      <c r="N72" s="291"/>
      <c r="O72" s="295" t="s">
        <v>234</v>
      </c>
      <c r="P72" s="296"/>
      <c r="Q72" s="296"/>
      <c r="R72" s="296"/>
      <c r="S72" s="296"/>
      <c r="T72" s="296"/>
      <c r="U72" s="296"/>
      <c r="V72" s="296"/>
      <c r="W72" s="296"/>
      <c r="X72" s="296"/>
      <c r="Y72" s="296"/>
      <c r="Z72" s="297"/>
      <c r="AA72" s="211" t="s">
        <v>233</v>
      </c>
      <c r="AB72" s="211"/>
      <c r="AC72" s="211"/>
      <c r="AD72" s="211"/>
      <c r="AE72" s="211"/>
      <c r="AF72" s="211"/>
      <c r="AG72" s="211"/>
      <c r="AH72" s="211"/>
      <c r="AI72" s="211"/>
      <c r="AJ72" s="211"/>
      <c r="AK72" s="211"/>
      <c r="AL72" s="211"/>
      <c r="AM72" s="211"/>
      <c r="AN72" s="212"/>
      <c r="AO72" s="295" t="s">
        <v>232</v>
      </c>
      <c r="AP72" s="296"/>
      <c r="AQ72" s="296"/>
      <c r="AR72" s="296"/>
      <c r="AS72" s="296"/>
      <c r="AT72" s="296"/>
      <c r="AU72" s="296"/>
      <c r="AV72" s="296"/>
      <c r="AW72" s="296"/>
      <c r="AX72" s="296"/>
      <c r="AY72" s="296"/>
      <c r="AZ72" s="296"/>
      <c r="BA72" s="296"/>
      <c r="BB72" s="296"/>
      <c r="BC72" s="296"/>
      <c r="BD72" s="296"/>
      <c r="BE72" s="297"/>
      <c r="BF72" s="780" t="s">
        <v>213</v>
      </c>
      <c r="BG72" s="782"/>
      <c r="BH72" s="782"/>
      <c r="BI72" s="781"/>
      <c r="BJ72" s="780" t="s">
        <v>735</v>
      </c>
      <c r="BK72" s="781"/>
      <c r="BL72" s="780" t="s">
        <v>738</v>
      </c>
      <c r="BM72" s="781"/>
      <c r="BN72" s="780" t="s">
        <v>739</v>
      </c>
      <c r="BO72" s="781"/>
      <c r="BP72" s="780" t="s">
        <v>739</v>
      </c>
      <c r="BQ72" s="781"/>
      <c r="BR72" s="780" t="s">
        <v>738</v>
      </c>
      <c r="BS72" s="781"/>
    </row>
    <row r="73" spans="1:71" ht="12" customHeight="1">
      <c r="A73" s="138"/>
      <c r="B73" s="138"/>
      <c r="C73" s="138"/>
      <c r="D73" s="138"/>
      <c r="E73" s="22"/>
      <c r="F73" s="45"/>
      <c r="G73" s="22"/>
      <c r="H73" s="22"/>
      <c r="I73" s="22"/>
      <c r="J73" s="22"/>
      <c r="K73" s="22"/>
      <c r="L73" s="22"/>
      <c r="M73" s="22"/>
      <c r="N73" s="44"/>
      <c r="O73" s="295" t="s">
        <v>231</v>
      </c>
      <c r="P73" s="296"/>
      <c r="Q73" s="296"/>
      <c r="R73" s="296"/>
      <c r="S73" s="296"/>
      <c r="T73" s="296"/>
      <c r="U73" s="296"/>
      <c r="V73" s="296"/>
      <c r="W73" s="296"/>
      <c r="X73" s="296"/>
      <c r="Y73" s="296"/>
      <c r="Z73" s="297"/>
      <c r="AA73" s="211" t="s">
        <v>230</v>
      </c>
      <c r="AB73" s="211"/>
      <c r="AC73" s="211"/>
      <c r="AD73" s="211"/>
      <c r="AE73" s="211"/>
      <c r="AF73" s="211"/>
      <c r="AG73" s="211"/>
      <c r="AH73" s="211"/>
      <c r="AI73" s="211"/>
      <c r="AJ73" s="211"/>
      <c r="AK73" s="211"/>
      <c r="AL73" s="211"/>
      <c r="AM73" s="211"/>
      <c r="AN73" s="212"/>
      <c r="AO73" s="295" t="s">
        <v>229</v>
      </c>
      <c r="AP73" s="296"/>
      <c r="AQ73" s="296"/>
      <c r="AR73" s="296"/>
      <c r="AS73" s="296"/>
      <c r="AT73" s="296"/>
      <c r="AU73" s="296"/>
      <c r="AV73" s="296"/>
      <c r="AW73" s="296"/>
      <c r="AX73" s="296"/>
      <c r="AY73" s="296"/>
      <c r="AZ73" s="296"/>
      <c r="BA73" s="296"/>
      <c r="BB73" s="296"/>
      <c r="BC73" s="296"/>
      <c r="BD73" s="296"/>
      <c r="BE73" s="297"/>
      <c r="BF73" s="780" t="s">
        <v>213</v>
      </c>
      <c r="BG73" s="782"/>
      <c r="BH73" s="782"/>
      <c r="BI73" s="781"/>
      <c r="BJ73" s="780" t="s">
        <v>735</v>
      </c>
      <c r="BK73" s="781"/>
      <c r="BL73" s="780" t="s">
        <v>738</v>
      </c>
      <c r="BM73" s="781"/>
      <c r="BN73" s="780" t="s">
        <v>739</v>
      </c>
      <c r="BO73" s="781"/>
      <c r="BP73" s="780" t="s">
        <v>739</v>
      </c>
      <c r="BQ73" s="781"/>
      <c r="BR73" s="780" t="s">
        <v>739</v>
      </c>
      <c r="BS73" s="781"/>
    </row>
    <row r="74" spans="1:71" ht="12" customHeight="1">
      <c r="A74" s="138"/>
      <c r="B74" s="138"/>
      <c r="C74" s="138"/>
      <c r="D74" s="138"/>
      <c r="E74" s="22"/>
      <c r="F74" s="45"/>
      <c r="G74" s="22"/>
      <c r="H74" s="22"/>
      <c r="I74" s="22"/>
      <c r="J74" s="22"/>
      <c r="K74" s="22"/>
      <c r="L74" s="22"/>
      <c r="M74" s="22"/>
      <c r="N74" s="44"/>
      <c r="O74" s="295" t="s">
        <v>228</v>
      </c>
      <c r="P74" s="296"/>
      <c r="Q74" s="296"/>
      <c r="R74" s="296"/>
      <c r="S74" s="296"/>
      <c r="T74" s="296"/>
      <c r="U74" s="296"/>
      <c r="V74" s="296"/>
      <c r="W74" s="296"/>
      <c r="X74" s="296"/>
      <c r="Y74" s="296"/>
      <c r="Z74" s="297"/>
      <c r="AA74" s="211" t="s">
        <v>227</v>
      </c>
      <c r="AB74" s="211"/>
      <c r="AC74" s="211"/>
      <c r="AD74" s="211"/>
      <c r="AE74" s="211"/>
      <c r="AF74" s="211"/>
      <c r="AG74" s="211"/>
      <c r="AH74" s="211"/>
      <c r="AI74" s="211"/>
      <c r="AJ74" s="211"/>
      <c r="AK74" s="211"/>
      <c r="AL74" s="211"/>
      <c r="AM74" s="211"/>
      <c r="AN74" s="212"/>
      <c r="AO74" s="295" t="s">
        <v>226</v>
      </c>
      <c r="AP74" s="296"/>
      <c r="AQ74" s="296"/>
      <c r="AR74" s="296"/>
      <c r="AS74" s="296"/>
      <c r="AT74" s="296"/>
      <c r="AU74" s="296"/>
      <c r="AV74" s="296"/>
      <c r="AW74" s="296"/>
      <c r="AX74" s="296"/>
      <c r="AY74" s="296"/>
      <c r="AZ74" s="296"/>
      <c r="BA74" s="296"/>
      <c r="BB74" s="296"/>
      <c r="BC74" s="296"/>
      <c r="BD74" s="296"/>
      <c r="BE74" s="297"/>
      <c r="BF74" s="780" t="s">
        <v>213</v>
      </c>
      <c r="BG74" s="782"/>
      <c r="BH74" s="782"/>
      <c r="BI74" s="781"/>
      <c r="BJ74" s="780" t="s">
        <v>740</v>
      </c>
      <c r="BK74" s="781"/>
      <c r="BL74" s="780" t="s">
        <v>735</v>
      </c>
      <c r="BM74" s="781"/>
      <c r="BN74" s="780" t="s">
        <v>740</v>
      </c>
      <c r="BO74" s="781"/>
      <c r="BP74" s="780" t="s">
        <v>740</v>
      </c>
      <c r="BQ74" s="781"/>
      <c r="BR74" s="780" t="s">
        <v>739</v>
      </c>
      <c r="BS74" s="781"/>
    </row>
    <row r="75" spans="1:71" ht="12" customHeight="1">
      <c r="A75" s="138"/>
      <c r="B75" s="138"/>
      <c r="C75" s="138"/>
      <c r="D75" s="138"/>
      <c r="E75" s="22"/>
      <c r="F75" s="45"/>
      <c r="G75" s="22"/>
      <c r="H75" s="22"/>
      <c r="I75" s="22"/>
      <c r="J75" s="22"/>
      <c r="K75" s="22"/>
      <c r="L75" s="22"/>
      <c r="M75" s="22"/>
      <c r="N75" s="44"/>
      <c r="O75" s="791" t="s">
        <v>225</v>
      </c>
      <c r="P75" s="707"/>
      <c r="Q75" s="707"/>
      <c r="R75" s="707"/>
      <c r="S75" s="707"/>
      <c r="T75" s="707"/>
      <c r="U75" s="707"/>
      <c r="V75" s="707"/>
      <c r="W75" s="707"/>
      <c r="X75" s="707"/>
      <c r="Y75" s="707"/>
      <c r="Z75" s="792"/>
      <c r="AA75" s="703" t="s">
        <v>741</v>
      </c>
      <c r="AB75" s="704"/>
      <c r="AC75" s="704"/>
      <c r="AD75" s="704"/>
      <c r="AE75" s="704"/>
      <c r="AF75" s="704"/>
      <c r="AG75" s="704"/>
      <c r="AH75" s="704"/>
      <c r="AI75" s="704"/>
      <c r="AJ75" s="704"/>
      <c r="AK75" s="704"/>
      <c r="AL75" s="704"/>
      <c r="AM75" s="704"/>
      <c r="AN75" s="793"/>
      <c r="AO75" s="703" t="s">
        <v>742</v>
      </c>
      <c r="AP75" s="704"/>
      <c r="AQ75" s="704"/>
      <c r="AR75" s="704"/>
      <c r="AS75" s="704"/>
      <c r="AT75" s="704"/>
      <c r="AU75" s="704"/>
      <c r="AV75" s="704"/>
      <c r="AW75" s="704"/>
      <c r="AX75" s="704"/>
      <c r="AY75" s="704"/>
      <c r="AZ75" s="704"/>
      <c r="BA75" s="704"/>
      <c r="BB75" s="704"/>
      <c r="BC75" s="704"/>
      <c r="BD75" s="704"/>
      <c r="BE75" s="793"/>
      <c r="BF75" s="789" t="s">
        <v>213</v>
      </c>
      <c r="BG75" s="794"/>
      <c r="BH75" s="794"/>
      <c r="BI75" s="790"/>
      <c r="BJ75" s="789" t="s">
        <v>739</v>
      </c>
      <c r="BK75" s="790"/>
      <c r="BL75" s="789" t="s">
        <v>735</v>
      </c>
      <c r="BM75" s="790"/>
      <c r="BN75" s="789" t="s">
        <v>738</v>
      </c>
      <c r="BO75" s="790"/>
      <c r="BP75" s="789" t="s">
        <v>740</v>
      </c>
      <c r="BQ75" s="790"/>
      <c r="BR75" s="789" t="s">
        <v>739</v>
      </c>
      <c r="BS75" s="790"/>
    </row>
    <row r="76" spans="1:71" ht="12" customHeight="1">
      <c r="A76" s="138"/>
      <c r="B76" s="138"/>
      <c r="C76" s="138"/>
      <c r="D76" s="138"/>
      <c r="E76" s="22"/>
      <c r="F76" s="45"/>
      <c r="G76" s="22"/>
      <c r="H76" s="22"/>
      <c r="I76" s="22"/>
      <c r="J76" s="22"/>
      <c r="K76" s="22"/>
      <c r="L76" s="22"/>
      <c r="M76" s="22"/>
      <c r="N76" s="44"/>
      <c r="O76" s="791" t="s">
        <v>743</v>
      </c>
      <c r="P76" s="707"/>
      <c r="Q76" s="707"/>
      <c r="R76" s="707"/>
      <c r="S76" s="707"/>
      <c r="T76" s="707"/>
      <c r="U76" s="707"/>
      <c r="V76" s="707"/>
      <c r="W76" s="707"/>
      <c r="X76" s="707"/>
      <c r="Y76" s="707"/>
      <c r="Z76" s="792"/>
      <c r="AA76" s="703" t="s">
        <v>744</v>
      </c>
      <c r="AB76" s="704"/>
      <c r="AC76" s="704"/>
      <c r="AD76" s="704"/>
      <c r="AE76" s="704"/>
      <c r="AF76" s="704"/>
      <c r="AG76" s="704"/>
      <c r="AH76" s="704"/>
      <c r="AI76" s="704"/>
      <c r="AJ76" s="704"/>
      <c r="AK76" s="704"/>
      <c r="AL76" s="704"/>
      <c r="AM76" s="704"/>
      <c r="AN76" s="793"/>
      <c r="AO76" s="703" t="s">
        <v>464</v>
      </c>
      <c r="AP76" s="704"/>
      <c r="AQ76" s="704"/>
      <c r="AR76" s="704"/>
      <c r="AS76" s="704"/>
      <c r="AT76" s="704"/>
      <c r="AU76" s="704"/>
      <c r="AV76" s="704"/>
      <c r="AW76" s="704"/>
      <c r="AX76" s="704"/>
      <c r="AY76" s="704"/>
      <c r="AZ76" s="704"/>
      <c r="BA76" s="704"/>
      <c r="BB76" s="704"/>
      <c r="BC76" s="704"/>
      <c r="BD76" s="704"/>
      <c r="BE76" s="793"/>
      <c r="BF76" s="789" t="s">
        <v>213</v>
      </c>
      <c r="BG76" s="794"/>
      <c r="BH76" s="794"/>
      <c r="BI76" s="790"/>
      <c r="BJ76" s="789" t="s">
        <v>745</v>
      </c>
      <c r="BK76" s="790"/>
      <c r="BL76" s="789" t="s">
        <v>735</v>
      </c>
      <c r="BM76" s="790"/>
      <c r="BN76" s="789" t="s">
        <v>738</v>
      </c>
      <c r="BO76" s="790"/>
      <c r="BP76" s="789" t="s">
        <v>746</v>
      </c>
      <c r="BQ76" s="790"/>
      <c r="BR76" s="789" t="s">
        <v>738</v>
      </c>
      <c r="BS76" s="790"/>
    </row>
    <row r="77" spans="1:71" ht="12" customHeight="1">
      <c r="A77" s="138"/>
      <c r="B77" s="138"/>
      <c r="C77" s="138"/>
      <c r="D77" s="138"/>
      <c r="E77" s="22"/>
      <c r="F77" s="45"/>
      <c r="G77" s="22"/>
      <c r="H77" s="22"/>
      <c r="I77" s="22"/>
      <c r="J77" s="22"/>
      <c r="K77" s="22"/>
      <c r="L77" s="22"/>
      <c r="M77" s="22"/>
      <c r="N77" s="44"/>
      <c r="O77" s="295" t="s">
        <v>747</v>
      </c>
      <c r="P77" s="296"/>
      <c r="Q77" s="296"/>
      <c r="R77" s="296"/>
      <c r="S77" s="296"/>
      <c r="T77" s="296"/>
      <c r="U77" s="296"/>
      <c r="V77" s="296"/>
      <c r="W77" s="296"/>
      <c r="X77" s="296"/>
      <c r="Y77" s="296"/>
      <c r="Z77" s="297"/>
      <c r="AA77" s="211" t="s">
        <v>224</v>
      </c>
      <c r="AB77" s="211"/>
      <c r="AC77" s="211"/>
      <c r="AD77" s="211"/>
      <c r="AE77" s="211"/>
      <c r="AF77" s="211"/>
      <c r="AG77" s="211"/>
      <c r="AH77" s="211"/>
      <c r="AI77" s="211"/>
      <c r="AJ77" s="211"/>
      <c r="AK77" s="211"/>
      <c r="AL77" s="211"/>
      <c r="AM77" s="211"/>
      <c r="AN77" s="212"/>
      <c r="AO77" s="295" t="s">
        <v>223</v>
      </c>
      <c r="AP77" s="296"/>
      <c r="AQ77" s="296"/>
      <c r="AR77" s="296"/>
      <c r="AS77" s="296"/>
      <c r="AT77" s="296"/>
      <c r="AU77" s="296"/>
      <c r="AV77" s="296"/>
      <c r="AW77" s="296"/>
      <c r="AX77" s="296"/>
      <c r="AY77" s="296"/>
      <c r="AZ77" s="296"/>
      <c r="BA77" s="296"/>
      <c r="BB77" s="296"/>
      <c r="BC77" s="296"/>
      <c r="BD77" s="296"/>
      <c r="BE77" s="297"/>
      <c r="BF77" s="780" t="s">
        <v>213</v>
      </c>
      <c r="BG77" s="782"/>
      <c r="BH77" s="782"/>
      <c r="BI77" s="781"/>
      <c r="BJ77" s="780" t="s">
        <v>740</v>
      </c>
      <c r="BK77" s="781"/>
      <c r="BL77" s="780" t="s">
        <v>739</v>
      </c>
      <c r="BM77" s="781"/>
      <c r="BN77" s="780" t="s">
        <v>735</v>
      </c>
      <c r="BO77" s="781"/>
      <c r="BP77" s="780" t="s">
        <v>733</v>
      </c>
      <c r="BQ77" s="781"/>
      <c r="BR77" s="789" t="s">
        <v>739</v>
      </c>
      <c r="BS77" s="790"/>
    </row>
    <row r="78" spans="1:71" ht="12" customHeight="1">
      <c r="A78" s="138"/>
      <c r="B78" s="138"/>
      <c r="C78" s="138"/>
      <c r="D78" s="138"/>
      <c r="E78" s="22"/>
      <c r="F78" s="45"/>
      <c r="G78" s="22"/>
      <c r="H78" s="22"/>
      <c r="I78" s="22"/>
      <c r="J78" s="22"/>
      <c r="K78" s="22"/>
      <c r="L78" s="22"/>
      <c r="M78" s="22"/>
      <c r="N78" s="44"/>
      <c r="O78" s="795" t="s">
        <v>222</v>
      </c>
      <c r="P78" s="796"/>
      <c r="Q78" s="796"/>
      <c r="R78" s="796"/>
      <c r="S78" s="796"/>
      <c r="T78" s="796"/>
      <c r="U78" s="796"/>
      <c r="V78" s="796"/>
      <c r="W78" s="796"/>
      <c r="X78" s="796"/>
      <c r="Y78" s="796"/>
      <c r="Z78" s="797"/>
      <c r="AA78" s="798" t="s">
        <v>221</v>
      </c>
      <c r="AB78" s="799"/>
      <c r="AC78" s="799"/>
      <c r="AD78" s="799"/>
      <c r="AE78" s="799"/>
      <c r="AF78" s="799"/>
      <c r="AG78" s="799"/>
      <c r="AH78" s="799"/>
      <c r="AI78" s="799"/>
      <c r="AJ78" s="799"/>
      <c r="AK78" s="799"/>
      <c r="AL78" s="799"/>
      <c r="AM78" s="799"/>
      <c r="AN78" s="800"/>
      <c r="AO78" s="795" t="s">
        <v>220</v>
      </c>
      <c r="AP78" s="796"/>
      <c r="AQ78" s="796"/>
      <c r="AR78" s="796"/>
      <c r="AS78" s="796"/>
      <c r="AT78" s="796"/>
      <c r="AU78" s="796"/>
      <c r="AV78" s="796"/>
      <c r="AW78" s="796"/>
      <c r="AX78" s="796"/>
      <c r="AY78" s="796"/>
      <c r="AZ78" s="796"/>
      <c r="BA78" s="796"/>
      <c r="BB78" s="796"/>
      <c r="BC78" s="796"/>
      <c r="BD78" s="796"/>
      <c r="BE78" s="797"/>
      <c r="BF78" s="789" t="s">
        <v>213</v>
      </c>
      <c r="BG78" s="794"/>
      <c r="BH78" s="794"/>
      <c r="BI78" s="790"/>
      <c r="BJ78" s="789" t="s">
        <v>738</v>
      </c>
      <c r="BK78" s="790"/>
      <c r="BL78" s="789" t="s">
        <v>738</v>
      </c>
      <c r="BM78" s="790"/>
      <c r="BN78" s="789" t="s">
        <v>733</v>
      </c>
      <c r="BO78" s="790"/>
      <c r="BP78" s="789" t="s">
        <v>748</v>
      </c>
      <c r="BQ78" s="790"/>
      <c r="BR78" s="789" t="s">
        <v>748</v>
      </c>
      <c r="BS78" s="790"/>
    </row>
    <row r="79" spans="1:71" ht="12" customHeight="1">
      <c r="A79" s="138"/>
      <c r="B79" s="138"/>
      <c r="C79" s="138"/>
      <c r="D79" s="138"/>
      <c r="E79" s="22"/>
      <c r="F79" s="292"/>
      <c r="G79" s="293"/>
      <c r="H79" s="293"/>
      <c r="I79" s="293"/>
      <c r="J79" s="293"/>
      <c r="K79" s="293"/>
      <c r="L79" s="293"/>
      <c r="M79" s="293"/>
      <c r="N79" s="294"/>
      <c r="O79" s="292" t="s">
        <v>405</v>
      </c>
      <c r="P79" s="293"/>
      <c r="Q79" s="293"/>
      <c r="R79" s="293"/>
      <c r="S79" s="293"/>
      <c r="T79" s="293"/>
      <c r="U79" s="293"/>
      <c r="V79" s="293"/>
      <c r="W79" s="293"/>
      <c r="X79" s="293"/>
      <c r="Y79" s="293"/>
      <c r="Z79" s="294"/>
      <c r="AA79" s="141" t="s">
        <v>406</v>
      </c>
      <c r="AB79" s="141"/>
      <c r="AC79" s="141"/>
      <c r="AD79" s="141"/>
      <c r="AE79" s="141"/>
      <c r="AF79" s="141"/>
      <c r="AG79" s="141"/>
      <c r="AH79" s="141"/>
      <c r="AI79" s="141"/>
      <c r="AJ79" s="141"/>
      <c r="AK79" s="141"/>
      <c r="AL79" s="141"/>
      <c r="AM79" s="141"/>
      <c r="AN79" s="142"/>
      <c r="AO79" s="292" t="s">
        <v>235</v>
      </c>
      <c r="AP79" s="293"/>
      <c r="AQ79" s="293"/>
      <c r="AR79" s="293"/>
      <c r="AS79" s="293"/>
      <c r="AT79" s="293"/>
      <c r="AU79" s="293"/>
      <c r="AV79" s="293"/>
      <c r="AW79" s="293"/>
      <c r="AX79" s="293"/>
      <c r="AY79" s="293"/>
      <c r="AZ79" s="293"/>
      <c r="BA79" s="293"/>
      <c r="BB79" s="293"/>
      <c r="BC79" s="293"/>
      <c r="BD79" s="293"/>
      <c r="BE79" s="294"/>
      <c r="BF79" s="780" t="s">
        <v>213</v>
      </c>
      <c r="BG79" s="782"/>
      <c r="BH79" s="782"/>
      <c r="BI79" s="781"/>
      <c r="BJ79" s="780" t="s">
        <v>748</v>
      </c>
      <c r="BK79" s="781"/>
      <c r="BL79" s="780" t="s">
        <v>738</v>
      </c>
      <c r="BM79" s="781"/>
      <c r="BN79" s="780" t="s">
        <v>739</v>
      </c>
      <c r="BO79" s="781"/>
      <c r="BP79" s="780" t="s">
        <v>739</v>
      </c>
      <c r="BQ79" s="781"/>
      <c r="BR79" s="780" t="s">
        <v>735</v>
      </c>
      <c r="BS79" s="781"/>
    </row>
    <row r="80" spans="1:71" ht="12" customHeight="1">
      <c r="A80" s="138"/>
      <c r="B80" s="138"/>
      <c r="C80" s="138"/>
      <c r="D80" s="138"/>
      <c r="E80" s="22"/>
      <c r="F80" s="45" t="s">
        <v>219</v>
      </c>
      <c r="G80" s="22"/>
      <c r="H80" s="22"/>
      <c r="I80" s="22"/>
      <c r="J80" s="22"/>
      <c r="K80" s="22"/>
      <c r="L80" s="22"/>
      <c r="M80" s="22"/>
      <c r="N80" s="22"/>
      <c r="O80" s="22"/>
      <c r="P80" s="22"/>
      <c r="Q80" s="22"/>
      <c r="R80" s="22"/>
      <c r="S80" s="22"/>
      <c r="T80" s="22"/>
      <c r="U80" s="22"/>
      <c r="V80" s="22"/>
      <c r="W80" s="22"/>
      <c r="X80" s="22"/>
      <c r="Y80" s="22"/>
      <c r="Z80" s="44"/>
      <c r="AA80" s="798" t="s">
        <v>218</v>
      </c>
      <c r="AB80" s="799"/>
      <c r="AC80" s="799"/>
      <c r="AD80" s="799"/>
      <c r="AE80" s="799"/>
      <c r="AF80" s="799"/>
      <c r="AG80" s="799"/>
      <c r="AH80" s="799"/>
      <c r="AI80" s="799"/>
      <c r="AJ80" s="799"/>
      <c r="AK80" s="799"/>
      <c r="AL80" s="799"/>
      <c r="AM80" s="799"/>
      <c r="AN80" s="800"/>
      <c r="AO80" s="295" t="s">
        <v>217</v>
      </c>
      <c r="AP80" s="296"/>
      <c r="AQ80" s="296"/>
      <c r="AR80" s="296"/>
      <c r="AS80" s="296"/>
      <c r="AT80" s="296"/>
      <c r="AU80" s="296"/>
      <c r="AV80" s="296"/>
      <c r="AW80" s="296"/>
      <c r="AX80" s="296"/>
      <c r="AY80" s="296"/>
      <c r="AZ80" s="296"/>
      <c r="BA80" s="296"/>
      <c r="BB80" s="296"/>
      <c r="BC80" s="296"/>
      <c r="BD80" s="296"/>
      <c r="BE80" s="297"/>
      <c r="BF80" s="780" t="s">
        <v>213</v>
      </c>
      <c r="BG80" s="782"/>
      <c r="BH80" s="782"/>
      <c r="BI80" s="781"/>
      <c r="BJ80" s="780" t="s">
        <v>749</v>
      </c>
      <c r="BK80" s="781"/>
      <c r="BL80" s="780" t="s">
        <v>733</v>
      </c>
      <c r="BM80" s="781"/>
      <c r="BN80" s="780" t="s">
        <v>749</v>
      </c>
      <c r="BO80" s="781"/>
      <c r="BP80" s="780" t="s">
        <v>735</v>
      </c>
      <c r="BQ80" s="781"/>
      <c r="BR80" s="801" t="s">
        <v>738</v>
      </c>
      <c r="BS80" s="802"/>
    </row>
    <row r="81" spans="1:71" ht="12" customHeight="1">
      <c r="A81" s="138"/>
      <c r="B81" s="138"/>
      <c r="C81" s="138"/>
      <c r="D81" s="138"/>
      <c r="E81" s="22"/>
      <c r="F81" s="364" t="s">
        <v>216</v>
      </c>
      <c r="G81" s="365"/>
      <c r="H81" s="365"/>
      <c r="I81" s="365"/>
      <c r="J81" s="365"/>
      <c r="K81" s="365"/>
      <c r="L81" s="365"/>
      <c r="M81" s="365"/>
      <c r="N81" s="366"/>
      <c r="O81" s="798" t="s">
        <v>1027</v>
      </c>
      <c r="P81" s="799"/>
      <c r="Q81" s="799"/>
      <c r="R81" s="799"/>
      <c r="S81" s="799"/>
      <c r="T81" s="799"/>
      <c r="U81" s="799"/>
      <c r="V81" s="799"/>
      <c r="W81" s="799"/>
      <c r="X81" s="799"/>
      <c r="Y81" s="799"/>
      <c r="Z81" s="800"/>
      <c r="AA81" s="211" t="s">
        <v>215</v>
      </c>
      <c r="AB81" s="211"/>
      <c r="AC81" s="211"/>
      <c r="AD81" s="211"/>
      <c r="AE81" s="211"/>
      <c r="AF81" s="211"/>
      <c r="AG81" s="211"/>
      <c r="AH81" s="211"/>
      <c r="AI81" s="211"/>
      <c r="AJ81" s="211"/>
      <c r="AK81" s="211"/>
      <c r="AL81" s="211"/>
      <c r="AM81" s="211"/>
      <c r="AN81" s="212"/>
      <c r="AO81" s="798" t="s">
        <v>751</v>
      </c>
      <c r="AP81" s="799"/>
      <c r="AQ81" s="799"/>
      <c r="AR81" s="799"/>
      <c r="AS81" s="799"/>
      <c r="AT81" s="799"/>
      <c r="AU81" s="799"/>
      <c r="AV81" s="799"/>
      <c r="AW81" s="799"/>
      <c r="AX81" s="799"/>
      <c r="AY81" s="799"/>
      <c r="AZ81" s="799"/>
      <c r="BA81" s="799"/>
      <c r="BB81" s="799"/>
      <c r="BC81" s="799"/>
      <c r="BD81" s="799"/>
      <c r="BE81" s="800"/>
      <c r="BF81" s="780" t="s">
        <v>213</v>
      </c>
      <c r="BG81" s="782"/>
      <c r="BH81" s="782"/>
      <c r="BI81" s="781"/>
      <c r="BJ81" s="780" t="s">
        <v>733</v>
      </c>
      <c r="BK81" s="781"/>
      <c r="BL81" s="780" t="s">
        <v>739</v>
      </c>
      <c r="BM81" s="781"/>
      <c r="BN81" s="780" t="s">
        <v>738</v>
      </c>
      <c r="BO81" s="781"/>
      <c r="BP81" s="780" t="s">
        <v>738</v>
      </c>
      <c r="BQ81" s="781"/>
      <c r="BR81" s="780" t="s">
        <v>739</v>
      </c>
      <c r="BS81" s="781"/>
    </row>
    <row r="82" spans="1:71" ht="12" customHeight="1">
      <c r="A82" s="138"/>
      <c r="B82" s="138"/>
      <c r="C82" s="138"/>
      <c r="D82" s="138"/>
      <c r="E82" s="22"/>
      <c r="F82" s="45"/>
      <c r="G82" s="22"/>
      <c r="H82" s="22"/>
      <c r="I82" s="22"/>
      <c r="J82" s="22"/>
      <c r="K82" s="22"/>
      <c r="L82" s="22"/>
      <c r="M82" s="22"/>
      <c r="N82" s="44"/>
      <c r="O82" s="295" t="s">
        <v>1028</v>
      </c>
      <c r="P82" s="296"/>
      <c r="Q82" s="296"/>
      <c r="R82" s="296"/>
      <c r="S82" s="296"/>
      <c r="T82" s="296"/>
      <c r="U82" s="296"/>
      <c r="V82" s="296"/>
      <c r="W82" s="296"/>
      <c r="X82" s="296"/>
      <c r="Y82" s="296"/>
      <c r="Z82" s="297"/>
      <c r="AA82" s="141" t="s">
        <v>214</v>
      </c>
      <c r="AB82" s="141"/>
      <c r="AC82" s="141"/>
      <c r="AD82" s="141"/>
      <c r="AE82" s="141"/>
      <c r="AF82" s="141"/>
      <c r="AG82" s="141"/>
      <c r="AH82" s="141"/>
      <c r="AI82" s="141"/>
      <c r="AJ82" s="141"/>
      <c r="AK82" s="141"/>
      <c r="AL82" s="141"/>
      <c r="AM82" s="141"/>
      <c r="AN82" s="142"/>
      <c r="AO82" s="803" t="s">
        <v>750</v>
      </c>
      <c r="AP82" s="804"/>
      <c r="AQ82" s="804"/>
      <c r="AR82" s="804"/>
      <c r="AS82" s="804"/>
      <c r="AT82" s="804"/>
      <c r="AU82" s="804"/>
      <c r="AV82" s="804"/>
      <c r="AW82" s="804"/>
      <c r="AX82" s="804"/>
      <c r="AY82" s="804"/>
      <c r="AZ82" s="804"/>
      <c r="BA82" s="804"/>
      <c r="BB82" s="804"/>
      <c r="BC82" s="804"/>
      <c r="BD82" s="804"/>
      <c r="BE82" s="805"/>
      <c r="BF82" s="801" t="s">
        <v>213</v>
      </c>
      <c r="BG82" s="806"/>
      <c r="BH82" s="806"/>
      <c r="BI82" s="802"/>
      <c r="BJ82" s="801" t="s">
        <v>738</v>
      </c>
      <c r="BK82" s="802"/>
      <c r="BL82" s="801" t="s">
        <v>735</v>
      </c>
      <c r="BM82" s="802"/>
      <c r="BN82" s="801" t="s">
        <v>738</v>
      </c>
      <c r="BO82" s="802"/>
      <c r="BP82" s="801" t="s">
        <v>739</v>
      </c>
      <c r="BQ82" s="802"/>
      <c r="BR82" s="801" t="s">
        <v>738</v>
      </c>
      <c r="BS82" s="802"/>
    </row>
    <row r="83" spans="1:71" ht="12" customHeight="1">
      <c r="A83" s="300"/>
      <c r="B83" s="138"/>
      <c r="C83" s="138"/>
      <c r="D83" s="138"/>
      <c r="E83" s="22"/>
      <c r="F83" s="292"/>
      <c r="G83" s="293"/>
      <c r="H83" s="293"/>
      <c r="I83" s="293"/>
      <c r="J83" s="293"/>
      <c r="K83" s="293"/>
      <c r="L83" s="293"/>
      <c r="M83" s="293"/>
      <c r="N83" s="294"/>
      <c r="O83" s="795" t="s">
        <v>465</v>
      </c>
      <c r="P83" s="796"/>
      <c r="Q83" s="796"/>
      <c r="R83" s="796"/>
      <c r="S83" s="796"/>
      <c r="T83" s="796"/>
      <c r="U83" s="796"/>
      <c r="V83" s="796"/>
      <c r="W83" s="796"/>
      <c r="X83" s="796"/>
      <c r="Y83" s="796"/>
      <c r="Z83" s="797"/>
      <c r="AA83" s="798" t="s">
        <v>466</v>
      </c>
      <c r="AB83" s="799"/>
      <c r="AC83" s="799"/>
      <c r="AD83" s="799"/>
      <c r="AE83" s="799"/>
      <c r="AF83" s="799"/>
      <c r="AG83" s="799"/>
      <c r="AH83" s="799"/>
      <c r="AI83" s="799"/>
      <c r="AJ83" s="799"/>
      <c r="AK83" s="799"/>
      <c r="AL83" s="799"/>
      <c r="AM83" s="799"/>
      <c r="AN83" s="800"/>
      <c r="AO83" s="798" t="s">
        <v>752</v>
      </c>
      <c r="AP83" s="799"/>
      <c r="AQ83" s="799"/>
      <c r="AR83" s="799"/>
      <c r="AS83" s="799"/>
      <c r="AT83" s="799"/>
      <c r="AU83" s="799"/>
      <c r="AV83" s="799"/>
      <c r="AW83" s="799"/>
      <c r="AX83" s="799"/>
      <c r="AY83" s="799"/>
      <c r="AZ83" s="799"/>
      <c r="BA83" s="799"/>
      <c r="BB83" s="799"/>
      <c r="BC83" s="799"/>
      <c r="BD83" s="799"/>
      <c r="BE83" s="800"/>
      <c r="BF83" s="780" t="s">
        <v>467</v>
      </c>
      <c r="BG83" s="782"/>
      <c r="BH83" s="782"/>
      <c r="BI83" s="781"/>
      <c r="BJ83" s="780" t="s">
        <v>753</v>
      </c>
      <c r="BK83" s="781"/>
      <c r="BL83" s="780" t="s">
        <v>753</v>
      </c>
      <c r="BM83" s="781"/>
      <c r="BN83" s="780" t="s">
        <v>754</v>
      </c>
      <c r="BO83" s="781"/>
      <c r="BP83" s="780" t="s">
        <v>753</v>
      </c>
      <c r="BQ83" s="781"/>
      <c r="BR83" s="780" t="s">
        <v>755</v>
      </c>
      <c r="BS83" s="781"/>
    </row>
    <row r="84" spans="1:71" ht="12" customHeight="1">
      <c r="A84" s="138"/>
      <c r="B84" s="138"/>
      <c r="C84" s="138"/>
      <c r="D84" s="138"/>
      <c r="E84" s="22"/>
      <c r="F84" s="22"/>
      <c r="G84" s="22"/>
      <c r="H84" s="22"/>
      <c r="I84" s="22"/>
      <c r="J84" s="22"/>
      <c r="K84" s="22"/>
      <c r="L84" s="22"/>
      <c r="M84" s="22"/>
      <c r="N84" s="22"/>
      <c r="O84" s="22"/>
      <c r="P84" s="22"/>
      <c r="Q84" s="22"/>
      <c r="R84" s="22"/>
      <c r="S84" s="22"/>
      <c r="T84" s="22"/>
      <c r="U84" s="22"/>
      <c r="V84" s="22"/>
      <c r="W84" s="22"/>
      <c r="X84" s="22"/>
      <c r="Y84" s="22"/>
      <c r="Z84" s="22"/>
      <c r="AA84" s="143"/>
      <c r="AB84" s="143"/>
      <c r="AC84" s="143"/>
      <c r="AD84" s="143"/>
      <c r="AE84" s="143"/>
      <c r="AF84" s="143"/>
      <c r="AG84" s="143"/>
      <c r="AH84" s="143"/>
      <c r="AI84" s="143"/>
      <c r="AJ84" s="143"/>
      <c r="AK84" s="143"/>
      <c r="AL84" s="143"/>
      <c r="AM84" s="143"/>
      <c r="AN84" s="143"/>
      <c r="AO84" s="215"/>
      <c r="AP84" s="215"/>
      <c r="AQ84" s="215"/>
      <c r="AR84" s="215"/>
      <c r="AS84" s="215"/>
      <c r="AT84" s="215"/>
      <c r="AU84" s="215"/>
      <c r="AV84" s="215"/>
      <c r="AW84" s="215"/>
      <c r="AX84" s="215"/>
      <c r="AY84" s="215"/>
      <c r="AZ84" s="215"/>
      <c r="BA84" s="215"/>
      <c r="BB84" s="215"/>
      <c r="BC84" s="215"/>
      <c r="BD84" s="215"/>
      <c r="BE84" s="215"/>
      <c r="BF84" s="216"/>
      <c r="BG84" s="216"/>
      <c r="BH84" s="216"/>
      <c r="BI84" s="216"/>
      <c r="BJ84" s="216"/>
      <c r="BK84" s="216"/>
      <c r="BL84" s="216"/>
      <c r="BM84" s="216"/>
      <c r="BN84" s="216"/>
      <c r="BO84" s="216"/>
      <c r="BP84" s="216"/>
      <c r="BQ84" s="216"/>
      <c r="BR84" s="216"/>
      <c r="BS84" s="216"/>
    </row>
    <row r="85" spans="1:71" ht="12" customHeight="1">
      <c r="A85" s="138"/>
      <c r="B85" s="138"/>
      <c r="C85" s="138"/>
      <c r="D85" s="138"/>
      <c r="E85" s="22"/>
      <c r="F85" s="22"/>
      <c r="G85" s="22"/>
      <c r="H85" s="22"/>
      <c r="I85" s="22"/>
      <c r="J85" s="22"/>
      <c r="K85" s="22"/>
      <c r="L85" s="22"/>
      <c r="M85" s="22"/>
      <c r="N85" s="22"/>
      <c r="O85" s="22"/>
      <c r="P85" s="22"/>
      <c r="Q85" s="22"/>
      <c r="R85" s="22"/>
      <c r="S85" s="22"/>
      <c r="T85" s="22"/>
      <c r="U85" s="22"/>
      <c r="V85" s="22"/>
      <c r="W85" s="22"/>
      <c r="X85" s="22"/>
      <c r="Y85" s="22"/>
      <c r="Z85" s="22"/>
      <c r="AA85" s="143"/>
      <c r="AB85" s="143"/>
      <c r="AC85" s="143"/>
      <c r="AD85" s="143"/>
      <c r="AE85" s="143"/>
      <c r="AF85" s="143"/>
      <c r="AG85" s="143"/>
      <c r="AH85" s="143"/>
      <c r="AI85" s="143"/>
      <c r="AJ85" s="143"/>
      <c r="AK85" s="143"/>
      <c r="AL85" s="143"/>
      <c r="AM85" s="143"/>
      <c r="AN85" s="143"/>
      <c r="AO85" s="215"/>
      <c r="AP85" s="215"/>
      <c r="AQ85" s="215"/>
      <c r="AR85" s="215"/>
      <c r="AS85" s="215"/>
      <c r="AT85" s="215"/>
      <c r="AU85" s="215"/>
      <c r="AV85" s="215"/>
      <c r="AW85" s="215"/>
      <c r="AX85" s="215"/>
      <c r="AY85" s="215"/>
      <c r="AZ85" s="215"/>
      <c r="BA85" s="215"/>
      <c r="BB85" s="215"/>
      <c r="BC85" s="215"/>
      <c r="BD85" s="215"/>
      <c r="BE85" s="215"/>
      <c r="BF85" s="216"/>
      <c r="BG85" s="216"/>
      <c r="BH85" s="216"/>
      <c r="BI85" s="216"/>
      <c r="BJ85" s="216"/>
      <c r="BK85" s="216"/>
      <c r="BL85" s="216"/>
      <c r="BM85" s="216"/>
      <c r="BN85" s="216"/>
      <c r="BO85" s="216"/>
      <c r="BP85" s="216"/>
      <c r="BQ85" s="216"/>
      <c r="BR85" s="216"/>
      <c r="BS85" s="216"/>
    </row>
    <row r="86" spans="1:71" ht="12" customHeight="1">
      <c r="A86" s="138"/>
      <c r="B86" s="138"/>
      <c r="C86" s="138"/>
      <c r="D86" s="138"/>
      <c r="E86" s="22"/>
      <c r="F86" s="22"/>
      <c r="G86" s="22"/>
      <c r="H86" s="22"/>
      <c r="I86" s="22"/>
      <c r="J86" s="22"/>
      <c r="K86" s="22"/>
      <c r="L86" s="22"/>
      <c r="M86" s="22"/>
      <c r="N86" s="22"/>
      <c r="O86" s="22"/>
      <c r="P86" s="22"/>
      <c r="Q86" s="22"/>
      <c r="R86" s="22"/>
      <c r="S86" s="22"/>
      <c r="T86" s="22"/>
      <c r="U86" s="22"/>
      <c r="V86" s="22"/>
      <c r="W86" s="22"/>
      <c r="X86" s="22"/>
      <c r="Y86" s="22"/>
      <c r="Z86" s="22"/>
      <c r="AA86" s="143"/>
      <c r="AB86" s="143"/>
      <c r="AC86" s="143"/>
      <c r="AD86" s="143"/>
      <c r="AE86" s="143"/>
      <c r="AF86" s="143"/>
      <c r="AG86" s="143"/>
      <c r="AH86" s="143"/>
      <c r="AI86" s="143"/>
      <c r="AJ86" s="143"/>
      <c r="AK86" s="143"/>
      <c r="AL86" s="143"/>
      <c r="AM86" s="143"/>
      <c r="AN86" s="143"/>
      <c r="AO86" s="215"/>
      <c r="AP86" s="215"/>
      <c r="AQ86" s="215"/>
      <c r="AR86" s="215"/>
      <c r="AS86" s="215"/>
      <c r="AT86" s="215"/>
      <c r="AU86" s="215"/>
      <c r="AV86" s="215"/>
      <c r="AW86" s="215"/>
      <c r="AX86" s="215"/>
      <c r="AY86" s="215"/>
      <c r="AZ86" s="215"/>
      <c r="BA86" s="215"/>
      <c r="BB86" s="215"/>
      <c r="BC86" s="215"/>
      <c r="BD86" s="215"/>
      <c r="BE86" s="215"/>
      <c r="BF86" s="216"/>
      <c r="BG86" s="216"/>
      <c r="BH86" s="216"/>
      <c r="BI86" s="216"/>
      <c r="BJ86" s="216"/>
      <c r="BK86" s="216"/>
      <c r="BL86" s="216"/>
      <c r="BM86" s="216"/>
      <c r="BN86" s="216"/>
      <c r="BO86" s="216"/>
      <c r="BP86" s="216"/>
      <c r="BQ86" s="216"/>
      <c r="BR86" s="216"/>
      <c r="BS86" s="216"/>
    </row>
    <row r="87" spans="1:71" ht="12" customHeight="1">
      <c r="A87" s="138"/>
      <c r="B87" s="138"/>
      <c r="C87" s="138"/>
      <c r="D87" s="138"/>
      <c r="E87" s="22"/>
      <c r="F87" s="22"/>
      <c r="G87" s="22"/>
      <c r="H87" s="22"/>
      <c r="I87" s="22"/>
      <c r="J87" s="22"/>
      <c r="K87" s="22"/>
      <c r="L87" s="22"/>
      <c r="M87" s="22"/>
      <c r="N87" s="22"/>
      <c r="O87" s="22"/>
      <c r="P87" s="22"/>
      <c r="Q87" s="22"/>
      <c r="R87" s="22"/>
      <c r="S87" s="22"/>
      <c r="T87" s="22"/>
      <c r="U87" s="22"/>
      <c r="V87" s="22"/>
      <c r="W87" s="22"/>
      <c r="X87" s="22"/>
      <c r="Y87" s="22"/>
      <c r="Z87" s="22"/>
      <c r="AA87" s="143"/>
      <c r="AB87" s="143"/>
      <c r="AC87" s="143"/>
      <c r="AD87" s="143"/>
      <c r="AE87" s="143"/>
      <c r="AF87" s="143"/>
      <c r="AG87" s="143"/>
      <c r="AH87" s="143"/>
      <c r="AI87" s="143"/>
      <c r="AJ87" s="143"/>
      <c r="AK87" s="143"/>
      <c r="AL87" s="143"/>
      <c r="AM87" s="143"/>
      <c r="AN87" s="143"/>
      <c r="AO87" s="215"/>
      <c r="AP87" s="215"/>
      <c r="AQ87" s="215"/>
      <c r="AR87" s="215"/>
      <c r="AS87" s="215"/>
      <c r="AT87" s="215"/>
      <c r="AU87" s="215"/>
      <c r="AV87" s="215"/>
      <c r="AW87" s="215"/>
      <c r="AX87" s="215"/>
      <c r="AY87" s="215"/>
      <c r="AZ87" s="215"/>
      <c r="BA87" s="215"/>
      <c r="BB87" s="215"/>
      <c r="BC87" s="215"/>
      <c r="BD87" s="215"/>
      <c r="BE87" s="215"/>
      <c r="BF87" s="216"/>
      <c r="BG87" s="216"/>
      <c r="BH87" s="216"/>
      <c r="BI87" s="216"/>
      <c r="BJ87" s="216"/>
      <c r="BK87" s="216"/>
      <c r="BL87" s="216"/>
      <c r="BM87" s="216"/>
      <c r="BN87" s="216"/>
      <c r="BO87" s="216"/>
      <c r="BP87" s="216"/>
      <c r="BQ87" s="216"/>
      <c r="BR87" s="216"/>
      <c r="BS87" s="216"/>
    </row>
    <row r="88" spans="1:71" ht="12" customHeight="1">
      <c r="A88" s="138"/>
      <c r="B88" s="138"/>
      <c r="C88" s="138"/>
      <c r="D88" s="138"/>
      <c r="E88" s="22"/>
      <c r="F88" s="22"/>
      <c r="G88" s="22"/>
      <c r="H88" s="22"/>
      <c r="I88" s="22"/>
      <c r="J88" s="22"/>
      <c r="K88" s="22"/>
      <c r="L88" s="22"/>
      <c r="M88" s="22"/>
      <c r="N88" s="22"/>
      <c r="O88" s="22"/>
      <c r="P88" s="22"/>
      <c r="Q88" s="22"/>
      <c r="R88" s="22"/>
      <c r="S88" s="22"/>
      <c r="T88" s="22"/>
      <c r="U88" s="22"/>
      <c r="V88" s="22"/>
      <c r="W88" s="22"/>
      <c r="X88" s="22"/>
      <c r="Y88" s="22"/>
      <c r="Z88" s="22"/>
      <c r="AA88" s="143"/>
      <c r="AB88" s="143"/>
      <c r="AC88" s="143"/>
      <c r="AD88" s="143"/>
      <c r="AE88" s="143"/>
      <c r="AF88" s="143"/>
      <c r="AG88" s="143"/>
      <c r="AH88" s="143"/>
      <c r="AI88" s="143"/>
      <c r="AJ88" s="143"/>
      <c r="AK88" s="143"/>
      <c r="AL88" s="143"/>
      <c r="AM88" s="143"/>
      <c r="AN88" s="143"/>
      <c r="AO88" s="215"/>
      <c r="AP88" s="215"/>
      <c r="AQ88" s="215"/>
      <c r="AR88" s="215"/>
      <c r="AS88" s="215"/>
      <c r="AT88" s="215"/>
      <c r="AU88" s="215"/>
      <c r="AV88" s="215"/>
      <c r="AW88" s="215"/>
      <c r="AX88" s="215"/>
      <c r="AY88" s="215"/>
      <c r="AZ88" s="215"/>
      <c r="BA88" s="215"/>
      <c r="BB88" s="215"/>
      <c r="BC88" s="215"/>
      <c r="BD88" s="215"/>
      <c r="BE88" s="215"/>
      <c r="BF88" s="216"/>
      <c r="BG88" s="216"/>
      <c r="BH88" s="216"/>
      <c r="BI88" s="216"/>
      <c r="BJ88" s="216"/>
      <c r="BK88" s="216"/>
      <c r="BL88" s="216"/>
      <c r="BM88" s="216"/>
      <c r="BN88" s="216"/>
      <c r="BO88" s="216"/>
      <c r="BP88" s="216"/>
      <c r="BQ88" s="216"/>
      <c r="BR88" s="216"/>
      <c r="BS88" s="216"/>
    </row>
    <row r="89" spans="1:71" ht="12" customHeight="1">
      <c r="A89" s="138"/>
      <c r="B89" s="138"/>
      <c r="C89" s="138"/>
      <c r="D89" s="138"/>
      <c r="E89" s="22"/>
      <c r="F89" s="22"/>
      <c r="G89" s="22"/>
      <c r="H89" s="22"/>
      <c r="I89" s="22"/>
      <c r="J89" s="22"/>
      <c r="K89" s="22"/>
      <c r="L89" s="22"/>
      <c r="M89" s="22"/>
      <c r="N89" s="22"/>
      <c r="O89" s="22"/>
      <c r="P89" s="22"/>
      <c r="Q89" s="22"/>
      <c r="R89" s="22"/>
      <c r="S89" s="22"/>
      <c r="T89" s="22"/>
      <c r="U89" s="22"/>
      <c r="V89" s="22"/>
      <c r="W89" s="22"/>
      <c r="X89" s="22"/>
      <c r="Y89" s="22"/>
      <c r="Z89" s="22"/>
      <c r="AA89" s="143"/>
      <c r="AB89" s="143"/>
      <c r="AC89" s="143"/>
      <c r="AD89" s="143"/>
      <c r="AE89" s="143"/>
      <c r="AF89" s="143"/>
      <c r="AG89" s="143"/>
      <c r="AH89" s="143"/>
      <c r="AI89" s="143"/>
      <c r="AJ89" s="143"/>
      <c r="AK89" s="143"/>
      <c r="AL89" s="143"/>
      <c r="AM89" s="143"/>
      <c r="AN89" s="143"/>
      <c r="AO89" s="215"/>
      <c r="AP89" s="215"/>
      <c r="AQ89" s="215"/>
      <c r="AR89" s="215"/>
      <c r="AS89" s="215"/>
      <c r="AT89" s="215"/>
      <c r="AU89" s="215"/>
      <c r="AV89" s="215"/>
      <c r="AW89" s="215"/>
      <c r="AX89" s="215"/>
      <c r="AY89" s="215"/>
      <c r="AZ89" s="215"/>
      <c r="BA89" s="215"/>
      <c r="BB89" s="215"/>
      <c r="BC89" s="215"/>
      <c r="BD89" s="215"/>
      <c r="BE89" s="215"/>
      <c r="BF89" s="216"/>
      <c r="BG89" s="216"/>
      <c r="BH89" s="216"/>
      <c r="BI89" s="216"/>
      <c r="BJ89" s="216"/>
      <c r="BK89" s="216"/>
      <c r="BL89" s="216"/>
      <c r="BM89" s="216"/>
      <c r="BN89" s="216"/>
      <c r="BO89" s="216"/>
      <c r="BP89" s="216"/>
      <c r="BQ89" s="216"/>
      <c r="BR89" s="216"/>
      <c r="BS89" s="216"/>
    </row>
    <row r="90" spans="1:71" ht="12" customHeight="1">
      <c r="A90" s="138"/>
      <c r="B90" s="138"/>
      <c r="C90" s="138"/>
      <c r="D90" s="138"/>
      <c r="E90" s="22"/>
      <c r="F90" s="22"/>
      <c r="G90" s="22"/>
      <c r="H90" s="22"/>
      <c r="I90" s="22"/>
      <c r="J90" s="22"/>
      <c r="K90" s="22"/>
      <c r="L90" s="22"/>
      <c r="M90" s="22"/>
      <c r="N90" s="22"/>
      <c r="O90" s="22"/>
      <c r="P90" s="22"/>
      <c r="Q90" s="22"/>
      <c r="R90" s="22"/>
      <c r="S90" s="22"/>
      <c r="T90" s="22"/>
      <c r="U90" s="22"/>
      <c r="V90" s="22"/>
      <c r="W90" s="22"/>
      <c r="X90" s="22"/>
      <c r="Y90" s="22"/>
      <c r="Z90" s="22"/>
      <c r="AA90" s="143"/>
      <c r="AB90" s="143"/>
      <c r="AC90" s="143"/>
      <c r="AD90" s="143"/>
      <c r="AE90" s="143"/>
      <c r="AF90" s="143"/>
      <c r="AG90" s="143"/>
      <c r="AH90" s="143"/>
      <c r="AI90" s="143"/>
      <c r="AJ90" s="143"/>
      <c r="AK90" s="143"/>
      <c r="AL90" s="143"/>
      <c r="AM90" s="143"/>
      <c r="AN90" s="143"/>
      <c r="AO90" s="215"/>
      <c r="AP90" s="215"/>
      <c r="AQ90" s="215"/>
      <c r="AR90" s="215"/>
      <c r="AS90" s="215"/>
      <c r="AT90" s="215"/>
      <c r="AU90" s="215"/>
      <c r="AV90" s="215"/>
      <c r="AW90" s="215"/>
      <c r="AX90" s="215"/>
      <c r="AY90" s="215"/>
      <c r="AZ90" s="215"/>
      <c r="BA90" s="215"/>
      <c r="BB90" s="215"/>
      <c r="BC90" s="215"/>
      <c r="BD90" s="215"/>
      <c r="BE90" s="215"/>
      <c r="BF90" s="216"/>
      <c r="BG90" s="216"/>
      <c r="BH90" s="216"/>
      <c r="BI90" s="216"/>
      <c r="BJ90" s="216"/>
      <c r="BK90" s="216"/>
      <c r="BL90" s="216"/>
      <c r="BM90" s="216"/>
      <c r="BN90" s="216"/>
      <c r="BO90" s="216"/>
      <c r="BP90" s="216"/>
      <c r="BQ90" s="216"/>
      <c r="BR90" s="216"/>
      <c r="BS90" s="216"/>
    </row>
    <row r="91" spans="1:71" ht="12" customHeight="1">
      <c r="A91" s="138"/>
      <c r="B91" s="138"/>
      <c r="C91" s="138"/>
      <c r="D91" s="138"/>
      <c r="E91" s="22"/>
      <c r="F91" s="22"/>
      <c r="G91" s="22"/>
      <c r="H91" s="22"/>
      <c r="I91" s="22"/>
      <c r="J91" s="22"/>
      <c r="K91" s="22"/>
      <c r="L91" s="22"/>
      <c r="M91" s="22"/>
      <c r="N91" s="22"/>
      <c r="O91" s="22"/>
      <c r="P91" s="22"/>
      <c r="Q91" s="22"/>
      <c r="R91" s="22"/>
      <c r="S91" s="22"/>
      <c r="T91" s="22"/>
      <c r="U91" s="22"/>
      <c r="V91" s="22"/>
      <c r="W91" s="22"/>
      <c r="X91" s="22"/>
      <c r="Y91" s="22"/>
      <c r="Z91" s="22"/>
      <c r="AA91" s="143"/>
      <c r="AB91" s="143"/>
      <c r="AC91" s="143"/>
      <c r="AD91" s="143"/>
      <c r="AE91" s="143"/>
      <c r="AF91" s="143"/>
      <c r="AG91" s="143"/>
      <c r="AH91" s="143"/>
      <c r="AI91" s="143"/>
      <c r="AJ91" s="143"/>
      <c r="AK91" s="143"/>
      <c r="AL91" s="143"/>
      <c r="AM91" s="143"/>
      <c r="AN91" s="143"/>
      <c r="AO91" s="215"/>
      <c r="AP91" s="215"/>
      <c r="AQ91" s="215"/>
      <c r="AR91" s="215"/>
      <c r="AS91" s="215"/>
      <c r="AT91" s="215"/>
      <c r="AU91" s="215"/>
      <c r="AV91" s="215"/>
      <c r="AW91" s="215"/>
      <c r="AX91" s="215"/>
      <c r="AY91" s="215"/>
      <c r="AZ91" s="215"/>
      <c r="BA91" s="215"/>
      <c r="BB91" s="215"/>
      <c r="BC91" s="215"/>
      <c r="BD91" s="215"/>
      <c r="BE91" s="215"/>
      <c r="BF91" s="216"/>
      <c r="BG91" s="216"/>
      <c r="BH91" s="216"/>
      <c r="BI91" s="216"/>
      <c r="BJ91" s="216"/>
      <c r="BK91" s="216"/>
      <c r="BL91" s="216"/>
      <c r="BM91" s="216"/>
      <c r="BN91" s="216"/>
      <c r="BO91" s="216"/>
      <c r="BP91" s="216"/>
      <c r="BQ91" s="216"/>
      <c r="BR91" s="216"/>
      <c r="BS91" s="216"/>
    </row>
    <row r="92" spans="1:71" ht="12" customHeight="1">
      <c r="A92" s="138"/>
      <c r="B92" s="138"/>
      <c r="C92" s="138"/>
      <c r="D92" s="138"/>
      <c r="E92" s="22"/>
      <c r="F92" s="22"/>
      <c r="G92" s="22"/>
      <c r="H92" s="22"/>
      <c r="I92" s="22"/>
      <c r="J92" s="22"/>
      <c r="K92" s="22"/>
      <c r="L92" s="22"/>
      <c r="M92" s="22"/>
      <c r="N92" s="22"/>
      <c r="O92" s="22"/>
      <c r="P92" s="22"/>
      <c r="Q92" s="22"/>
      <c r="R92" s="22"/>
      <c r="S92" s="22"/>
      <c r="T92" s="22"/>
      <c r="U92" s="22"/>
      <c r="V92" s="22"/>
      <c r="W92" s="22"/>
      <c r="X92" s="22"/>
      <c r="Y92" s="22"/>
      <c r="Z92" s="22"/>
      <c r="AA92" s="143"/>
      <c r="AB92" s="143"/>
      <c r="AC92" s="143"/>
      <c r="AD92" s="143"/>
      <c r="AE92" s="143"/>
      <c r="AF92" s="143"/>
      <c r="AG92" s="143"/>
      <c r="AH92" s="143"/>
      <c r="AI92" s="143"/>
      <c r="AJ92" s="143"/>
      <c r="AK92" s="143"/>
      <c r="AL92" s="143"/>
      <c r="AM92" s="143"/>
      <c r="AN92" s="143"/>
      <c r="AO92" s="215"/>
      <c r="AP92" s="215"/>
      <c r="AQ92" s="215"/>
      <c r="AR92" s="215"/>
      <c r="AS92" s="215"/>
      <c r="AT92" s="215"/>
      <c r="AU92" s="215"/>
      <c r="AV92" s="215"/>
      <c r="AW92" s="215"/>
      <c r="AX92" s="215"/>
      <c r="AY92" s="215"/>
      <c r="AZ92" s="215"/>
      <c r="BA92" s="215"/>
      <c r="BB92" s="215"/>
      <c r="BC92" s="215"/>
      <c r="BD92" s="215"/>
      <c r="BE92" s="215"/>
      <c r="BF92" s="216"/>
      <c r="BG92" s="216"/>
      <c r="BH92" s="216"/>
      <c r="BI92" s="216"/>
      <c r="BJ92" s="216"/>
      <c r="BK92" s="216"/>
      <c r="BL92" s="216"/>
      <c r="BM92" s="216"/>
      <c r="BN92" s="216"/>
      <c r="BO92" s="216"/>
      <c r="BP92" s="216"/>
      <c r="BQ92" s="216"/>
      <c r="BR92" s="216"/>
      <c r="BS92" s="216"/>
    </row>
    <row r="93" spans="1:71" ht="12" customHeight="1">
      <c r="A93" s="138"/>
      <c r="B93" s="138"/>
      <c r="C93" s="138"/>
      <c r="D93" s="138"/>
      <c r="E93" s="22"/>
      <c r="F93" s="22"/>
      <c r="G93" s="22"/>
      <c r="H93" s="22"/>
      <c r="I93" s="22"/>
      <c r="J93" s="22"/>
      <c r="K93" s="22"/>
      <c r="L93" s="22"/>
      <c r="M93" s="22"/>
      <c r="N93" s="22"/>
      <c r="O93" s="22"/>
      <c r="P93" s="22"/>
      <c r="Q93" s="22"/>
      <c r="R93" s="22"/>
      <c r="S93" s="22"/>
      <c r="T93" s="22"/>
      <c r="U93" s="22"/>
      <c r="V93" s="22"/>
      <c r="W93" s="22"/>
      <c r="X93" s="22"/>
      <c r="Y93" s="22"/>
      <c r="Z93" s="22"/>
      <c r="AA93" s="143"/>
      <c r="AB93" s="143"/>
      <c r="AC93" s="143"/>
      <c r="AD93" s="143"/>
      <c r="AE93" s="143"/>
      <c r="AF93" s="143"/>
      <c r="AG93" s="143"/>
      <c r="AH93" s="143"/>
      <c r="AI93" s="143"/>
      <c r="AJ93" s="143"/>
      <c r="AK93" s="143"/>
      <c r="AL93" s="143"/>
      <c r="AM93" s="143"/>
      <c r="AN93" s="143"/>
      <c r="AO93" s="215"/>
      <c r="AP93" s="215"/>
      <c r="AQ93" s="215"/>
      <c r="AR93" s="215"/>
      <c r="AS93" s="215"/>
      <c r="AT93" s="215"/>
      <c r="AU93" s="215"/>
      <c r="AV93" s="215"/>
      <c r="AW93" s="215"/>
      <c r="AX93" s="215"/>
      <c r="AY93" s="215"/>
      <c r="AZ93" s="215"/>
      <c r="BA93" s="215"/>
      <c r="BB93" s="215"/>
      <c r="BC93" s="215"/>
      <c r="BD93" s="215"/>
      <c r="BE93" s="215"/>
      <c r="BF93" s="216"/>
      <c r="BG93" s="216"/>
      <c r="BH93" s="216"/>
      <c r="BI93" s="216"/>
      <c r="BJ93" s="216"/>
      <c r="BK93" s="216"/>
      <c r="BL93" s="216"/>
      <c r="BM93" s="216"/>
      <c r="BN93" s="216"/>
      <c r="BO93" s="216"/>
      <c r="BP93" s="216"/>
      <c r="BQ93" s="216"/>
      <c r="BR93" s="216"/>
      <c r="BS93" s="216"/>
    </row>
    <row r="94" spans="1:71" ht="12" customHeight="1">
      <c r="A94" s="138"/>
      <c r="B94" s="138"/>
      <c r="C94" s="138"/>
      <c r="D94" s="138"/>
      <c r="E94" s="22"/>
      <c r="F94" s="22"/>
      <c r="G94" s="22"/>
      <c r="H94" s="22"/>
      <c r="I94" s="22"/>
      <c r="J94" s="22"/>
      <c r="K94" s="22"/>
      <c r="L94" s="22"/>
      <c r="M94" s="22"/>
      <c r="N94" s="22"/>
      <c r="O94" s="22"/>
      <c r="P94" s="22"/>
      <c r="Q94" s="22"/>
      <c r="R94" s="22"/>
      <c r="S94" s="22"/>
      <c r="T94" s="22"/>
      <c r="U94" s="22"/>
      <c r="V94" s="22"/>
      <c r="W94" s="22"/>
      <c r="X94" s="22"/>
      <c r="Y94" s="22"/>
      <c r="Z94" s="22"/>
      <c r="AA94" s="143"/>
      <c r="AB94" s="143"/>
      <c r="AC94" s="143"/>
      <c r="AD94" s="143"/>
      <c r="AE94" s="143"/>
      <c r="AF94" s="143"/>
      <c r="AG94" s="143"/>
      <c r="AH94" s="143"/>
      <c r="AI94" s="143"/>
      <c r="AJ94" s="143"/>
      <c r="AK94" s="143"/>
      <c r="AL94" s="143"/>
      <c r="AM94" s="143"/>
      <c r="AN94" s="143"/>
      <c r="AO94" s="215"/>
      <c r="AP94" s="215"/>
      <c r="AQ94" s="215"/>
      <c r="AR94" s="215"/>
      <c r="AS94" s="215"/>
      <c r="AT94" s="215"/>
      <c r="AU94" s="215"/>
      <c r="AV94" s="215"/>
      <c r="AW94" s="215"/>
      <c r="AX94" s="215"/>
      <c r="AY94" s="215"/>
      <c r="AZ94" s="215"/>
      <c r="BA94" s="215"/>
      <c r="BB94" s="215"/>
      <c r="BC94" s="215"/>
      <c r="BD94" s="215"/>
      <c r="BE94" s="215"/>
      <c r="BF94" s="216"/>
      <c r="BG94" s="216"/>
      <c r="BH94" s="216"/>
      <c r="BI94" s="216"/>
      <c r="BJ94" s="216"/>
      <c r="BK94" s="216"/>
      <c r="BL94" s="216"/>
      <c r="BM94" s="216"/>
      <c r="BN94" s="216"/>
      <c r="BO94" s="216"/>
      <c r="BP94" s="216"/>
      <c r="BQ94" s="216"/>
      <c r="BR94" s="216"/>
      <c r="BS94" s="216"/>
    </row>
    <row r="95" spans="1:71" ht="12" customHeight="1">
      <c r="A95" s="138"/>
      <c r="B95" s="138"/>
      <c r="C95" s="138"/>
      <c r="D95" s="138"/>
      <c r="E95" s="22"/>
      <c r="F95" s="22"/>
      <c r="G95" s="22"/>
      <c r="H95" s="22"/>
      <c r="I95" s="22"/>
      <c r="J95" s="22"/>
      <c r="K95" s="22"/>
      <c r="L95" s="22"/>
      <c r="M95" s="22"/>
      <c r="N95" s="22"/>
      <c r="O95" s="22"/>
      <c r="P95" s="22"/>
      <c r="Q95" s="22"/>
      <c r="R95" s="22"/>
      <c r="S95" s="22"/>
      <c r="T95" s="22"/>
      <c r="U95" s="22"/>
      <c r="V95" s="22"/>
      <c r="W95" s="22"/>
      <c r="X95" s="22"/>
      <c r="Y95" s="22"/>
      <c r="Z95" s="22"/>
      <c r="AA95" s="143"/>
      <c r="AB95" s="143"/>
      <c r="AC95" s="143"/>
      <c r="AD95" s="143"/>
      <c r="AE95" s="143"/>
      <c r="AF95" s="143"/>
      <c r="AG95" s="143"/>
      <c r="AH95" s="143"/>
      <c r="AI95" s="143"/>
      <c r="AJ95" s="143"/>
      <c r="AK95" s="143"/>
      <c r="AL95" s="143"/>
      <c r="AM95" s="143"/>
      <c r="AN95" s="143"/>
      <c r="AO95" s="215"/>
      <c r="AP95" s="215"/>
      <c r="AQ95" s="215"/>
      <c r="AR95" s="215"/>
      <c r="AS95" s="215"/>
      <c r="AT95" s="215"/>
      <c r="AU95" s="215"/>
      <c r="AV95" s="215"/>
      <c r="AW95" s="215"/>
      <c r="AX95" s="215"/>
      <c r="AY95" s="215"/>
      <c r="AZ95" s="215"/>
      <c r="BA95" s="215"/>
      <c r="BB95" s="215"/>
      <c r="BC95" s="215"/>
      <c r="BD95" s="215"/>
      <c r="BE95" s="215"/>
      <c r="BF95" s="216"/>
      <c r="BG95" s="216"/>
      <c r="BH95" s="216"/>
      <c r="BI95" s="216"/>
      <c r="BJ95" s="216"/>
      <c r="BK95" s="216"/>
      <c r="BL95" s="216"/>
      <c r="BM95" s="216"/>
      <c r="BN95" s="216"/>
      <c r="BO95" s="216"/>
      <c r="BP95" s="216"/>
      <c r="BQ95" s="216"/>
      <c r="BR95" s="216"/>
      <c r="BS95" s="216"/>
    </row>
    <row r="96" spans="1:71" ht="12" customHeight="1">
      <c r="A96" s="138"/>
      <c r="B96" s="138"/>
      <c r="C96" s="138"/>
      <c r="D96" s="138"/>
      <c r="E96" s="22"/>
      <c r="F96" s="22"/>
      <c r="G96" s="22"/>
      <c r="H96" s="22"/>
      <c r="I96" s="22"/>
      <c r="J96" s="22"/>
      <c r="K96" s="22"/>
      <c r="L96" s="22"/>
      <c r="M96" s="22"/>
      <c r="N96" s="22"/>
      <c r="O96" s="22"/>
      <c r="P96" s="22"/>
      <c r="Q96" s="22"/>
      <c r="R96" s="22"/>
      <c r="S96" s="22"/>
      <c r="T96" s="22"/>
      <c r="U96" s="22"/>
      <c r="V96" s="22"/>
      <c r="W96" s="22"/>
      <c r="X96" s="22"/>
      <c r="Y96" s="22"/>
      <c r="Z96" s="22"/>
      <c r="AA96" s="143"/>
      <c r="AB96" s="143"/>
      <c r="AC96" s="143"/>
      <c r="AD96" s="143"/>
      <c r="AE96" s="143"/>
      <c r="AF96" s="143"/>
      <c r="AG96" s="143"/>
      <c r="AH96" s="143"/>
      <c r="AI96" s="143"/>
      <c r="AJ96" s="143"/>
      <c r="AK96" s="143"/>
      <c r="AL96" s="143"/>
      <c r="AM96" s="143"/>
      <c r="AN96" s="143"/>
      <c r="AO96" s="215"/>
      <c r="AP96" s="215"/>
      <c r="AQ96" s="215"/>
      <c r="AR96" s="215"/>
      <c r="AS96" s="215"/>
      <c r="AT96" s="215"/>
      <c r="AU96" s="215"/>
      <c r="AV96" s="215"/>
      <c r="AW96" s="215"/>
      <c r="AX96" s="215"/>
      <c r="AY96" s="215"/>
      <c r="AZ96" s="215"/>
      <c r="BA96" s="215"/>
      <c r="BB96" s="215"/>
      <c r="BC96" s="215"/>
      <c r="BD96" s="215"/>
      <c r="BE96" s="215"/>
      <c r="BF96" s="216"/>
      <c r="BG96" s="216"/>
      <c r="BH96" s="216"/>
      <c r="BI96" s="216"/>
      <c r="BJ96" s="216"/>
      <c r="BK96" s="216"/>
      <c r="BL96" s="216"/>
      <c r="BM96" s="216"/>
      <c r="BN96" s="216"/>
      <c r="BO96" s="216"/>
      <c r="BP96" s="216"/>
      <c r="BQ96" s="216"/>
      <c r="BR96" s="216"/>
      <c r="BS96" s="216"/>
    </row>
    <row r="97" spans="1:83" ht="12" customHeight="1">
      <c r="A97" s="138"/>
      <c r="B97" s="138"/>
      <c r="C97" s="138"/>
      <c r="D97" s="22"/>
      <c r="E97" s="22"/>
      <c r="F97" s="22"/>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c r="CA97" s="138"/>
      <c r="CB97" s="138"/>
      <c r="CC97" s="138"/>
      <c r="CD97" s="138"/>
      <c r="CE97" s="138"/>
    </row>
    <row r="98" spans="1:83" ht="12" customHeight="1">
      <c r="A98" s="138"/>
      <c r="B98" s="138"/>
      <c r="C98" s="138"/>
      <c r="D98" s="22"/>
      <c r="E98" s="22"/>
      <c r="F98" s="22"/>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138"/>
    </row>
    <row r="99" spans="1:83" ht="12" customHeight="1">
      <c r="A99" s="138"/>
      <c r="B99" s="138"/>
      <c r="C99" s="138"/>
      <c r="D99" s="22"/>
      <c r="E99" s="22"/>
      <c r="F99" s="22"/>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138"/>
    </row>
    <row r="100" spans="1:83" ht="12" customHeight="1">
      <c r="A100" s="138"/>
      <c r="B100" s="138"/>
      <c r="C100" s="138"/>
      <c r="D100" s="22"/>
      <c r="E100" s="22"/>
      <c r="F100" s="22"/>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c r="BG100" s="138"/>
      <c r="BH100" s="138"/>
      <c r="BI100" s="138"/>
      <c r="BJ100" s="138"/>
      <c r="BK100" s="138"/>
      <c r="BL100" s="138"/>
      <c r="BM100" s="138"/>
      <c r="BN100" s="138"/>
      <c r="BO100" s="138"/>
      <c r="BP100" s="138"/>
      <c r="BQ100" s="138"/>
      <c r="BR100" s="138"/>
      <c r="BS100" s="138"/>
      <c r="BT100" s="138"/>
      <c r="BU100" s="138"/>
      <c r="BV100" s="138"/>
      <c r="BW100" s="138"/>
      <c r="BX100" s="138"/>
      <c r="BY100" s="138"/>
      <c r="BZ100" s="138"/>
      <c r="CA100" s="138"/>
      <c r="CB100" s="138"/>
      <c r="CC100" s="138"/>
      <c r="CD100" s="138"/>
      <c r="CE100" s="138"/>
    </row>
    <row r="101" spans="1:83" ht="12" customHeight="1">
      <c r="A101" s="138"/>
      <c r="B101" s="138"/>
      <c r="C101" s="138"/>
      <c r="D101" s="22"/>
      <c r="E101" s="22"/>
      <c r="F101" s="22"/>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row>
    <row r="102" spans="1:83" ht="12" customHeight="1">
      <c r="A102" s="138"/>
      <c r="B102" s="138"/>
      <c r="C102" s="138"/>
      <c r="D102" s="22"/>
      <c r="E102" s="22"/>
      <c r="F102" s="22"/>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8"/>
      <c r="BG102" s="138"/>
      <c r="BH102" s="138"/>
      <c r="BI102" s="138"/>
      <c r="BJ102" s="138"/>
      <c r="BK102" s="138"/>
      <c r="BL102" s="138"/>
      <c r="BM102" s="138"/>
      <c r="BN102" s="138"/>
      <c r="BO102" s="138"/>
      <c r="BP102" s="138"/>
      <c r="BQ102" s="138"/>
      <c r="BR102" s="138"/>
      <c r="BS102" s="138"/>
      <c r="BT102" s="138"/>
      <c r="BU102" s="138"/>
      <c r="BV102" s="138"/>
      <c r="BW102" s="138"/>
      <c r="BX102" s="138"/>
      <c r="BY102" s="138"/>
      <c r="BZ102" s="138"/>
      <c r="CA102" s="138"/>
      <c r="CB102" s="138"/>
      <c r="CC102" s="138"/>
      <c r="CD102" s="138"/>
      <c r="CE102" s="138"/>
    </row>
    <row r="103" spans="1:83" ht="12" customHeight="1">
      <c r="A103" s="138"/>
      <c r="B103" s="138"/>
      <c r="C103" s="138"/>
      <c r="D103" s="22"/>
      <c r="E103" s="22"/>
      <c r="F103" s="22"/>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38"/>
      <c r="BC103" s="138"/>
      <c r="BD103" s="138"/>
      <c r="BE103" s="138"/>
      <c r="BF103" s="138"/>
      <c r="BG103" s="138"/>
      <c r="BH103" s="138"/>
      <c r="BI103" s="138"/>
      <c r="BJ103" s="138"/>
      <c r="BK103" s="138"/>
      <c r="BL103" s="138"/>
      <c r="BM103" s="138"/>
      <c r="BN103" s="138"/>
      <c r="BO103" s="138"/>
      <c r="BP103" s="138"/>
      <c r="BQ103" s="138"/>
      <c r="BR103" s="138"/>
      <c r="BS103" s="138"/>
      <c r="BT103" s="138"/>
      <c r="BU103" s="138"/>
      <c r="BV103" s="138"/>
      <c r="BW103" s="138"/>
      <c r="BX103" s="138"/>
      <c r="BY103" s="138"/>
      <c r="BZ103" s="138"/>
      <c r="CA103" s="138"/>
      <c r="CB103" s="138"/>
      <c r="CC103" s="138"/>
      <c r="CD103" s="138"/>
      <c r="CE103" s="138"/>
    </row>
    <row r="104" spans="1:83" ht="12" customHeight="1">
      <c r="A104" s="138"/>
      <c r="B104" s="138"/>
      <c r="C104" s="138"/>
      <c r="D104" s="22"/>
      <c r="E104" s="22"/>
      <c r="F104" s="22"/>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8"/>
      <c r="BG104" s="138"/>
      <c r="BH104" s="138"/>
      <c r="BI104" s="138"/>
      <c r="BJ104" s="138"/>
      <c r="BK104" s="138"/>
      <c r="BL104" s="138"/>
      <c r="BM104" s="138"/>
      <c r="BN104" s="138"/>
      <c r="BO104" s="138"/>
      <c r="BP104" s="138"/>
      <c r="BQ104" s="138"/>
      <c r="BR104" s="138"/>
      <c r="BS104" s="138"/>
      <c r="BT104" s="138"/>
      <c r="BU104" s="138"/>
      <c r="BV104" s="138"/>
      <c r="BW104" s="138"/>
      <c r="BX104" s="138"/>
      <c r="BY104" s="138"/>
      <c r="BZ104" s="138"/>
      <c r="CA104" s="138"/>
      <c r="CB104" s="138"/>
      <c r="CC104" s="138"/>
      <c r="CD104" s="138"/>
      <c r="CE104" s="138"/>
    </row>
    <row r="105" spans="1:83" ht="12" customHeight="1">
      <c r="A105" s="138"/>
      <c r="B105" s="138"/>
      <c r="C105" s="138"/>
      <c r="D105" s="22"/>
      <c r="E105" s="22"/>
      <c r="F105" s="22"/>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38"/>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c r="CA105" s="138"/>
      <c r="CB105" s="138"/>
      <c r="CC105" s="138"/>
      <c r="CD105" s="138"/>
      <c r="CE105" s="138"/>
    </row>
    <row r="106" spans="1:83" ht="12" customHeight="1">
      <c r="A106" s="138"/>
      <c r="B106" s="138"/>
      <c r="C106" s="138"/>
      <c r="D106" s="22"/>
      <c r="E106" s="22"/>
      <c r="F106" s="22"/>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8"/>
      <c r="BY106" s="138"/>
      <c r="BZ106" s="138"/>
      <c r="CA106" s="138"/>
      <c r="CB106" s="138"/>
      <c r="CC106" s="138"/>
      <c r="CD106" s="138"/>
      <c r="CE106" s="138"/>
    </row>
    <row r="107" spans="1:83" ht="12" customHeight="1">
      <c r="A107" s="138"/>
      <c r="B107" s="138"/>
      <c r="C107" s="138"/>
      <c r="D107" s="22"/>
      <c r="E107" s="22"/>
      <c r="F107" s="22"/>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row>
    <row r="108" spans="1:83" ht="12" customHeight="1">
      <c r="A108" s="138"/>
      <c r="B108" s="138"/>
      <c r="C108" s="138"/>
      <c r="D108" s="22"/>
      <c r="E108" s="22"/>
      <c r="F108" s="22"/>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138"/>
    </row>
    <row r="109" spans="1:83" ht="12" customHeight="1">
      <c r="A109" s="138"/>
      <c r="B109" s="138"/>
      <c r="C109" s="138"/>
      <c r="D109" s="22"/>
      <c r="E109" s="22"/>
      <c r="F109" s="22"/>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c r="CA109" s="138"/>
      <c r="CB109" s="138"/>
      <c r="CC109" s="138"/>
      <c r="CD109" s="138"/>
      <c r="CE109" s="138"/>
    </row>
    <row r="110" spans="1:83" ht="12" customHeight="1">
      <c r="A110" s="138"/>
      <c r="B110" s="138"/>
      <c r="C110" s="138"/>
      <c r="D110" s="22"/>
      <c r="E110" s="22"/>
      <c r="F110" s="22"/>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c r="CA110" s="138"/>
      <c r="CB110" s="138"/>
      <c r="CC110" s="138"/>
      <c r="CD110" s="138"/>
      <c r="CE110" s="138"/>
    </row>
    <row r="111" spans="1:83" ht="12" customHeight="1">
      <c r="A111" s="138"/>
      <c r="B111" s="138"/>
      <c r="C111" s="138"/>
      <c r="D111" s="22"/>
      <c r="E111" s="22"/>
      <c r="F111" s="22"/>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c r="CA111" s="138"/>
      <c r="CB111" s="138"/>
      <c r="CC111" s="138"/>
      <c r="CD111" s="138"/>
      <c r="CE111" s="138"/>
    </row>
    <row r="112" spans="1:83" ht="12" customHeight="1">
      <c r="A112" s="138"/>
      <c r="B112" s="138"/>
      <c r="C112" s="138"/>
      <c r="D112" s="22"/>
      <c r="E112" s="22"/>
      <c r="F112" s="22"/>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8"/>
      <c r="BG112" s="138"/>
      <c r="BH112" s="138"/>
      <c r="BI112" s="138"/>
      <c r="BJ112" s="138"/>
      <c r="BK112" s="138"/>
      <c r="BL112" s="138"/>
      <c r="BM112" s="138"/>
      <c r="BN112" s="138"/>
      <c r="BO112" s="138"/>
      <c r="BP112" s="138"/>
      <c r="BQ112" s="138"/>
      <c r="BR112" s="138"/>
      <c r="BS112" s="138"/>
      <c r="BT112" s="138"/>
      <c r="BU112" s="138"/>
      <c r="BV112" s="138"/>
      <c r="BW112" s="138"/>
      <c r="BX112" s="138"/>
      <c r="BY112" s="138"/>
      <c r="BZ112" s="138"/>
      <c r="CA112" s="138"/>
      <c r="CB112" s="138"/>
      <c r="CC112" s="138"/>
      <c r="CD112" s="138"/>
      <c r="CE112" s="138"/>
    </row>
    <row r="113" spans="1:83" ht="12" customHeight="1">
      <c r="A113" s="138"/>
      <c r="B113" s="138"/>
      <c r="C113" s="138"/>
      <c r="D113" s="22"/>
      <c r="E113" s="22"/>
      <c r="F113" s="22"/>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row>
    <row r="114" spans="1:83" ht="12" customHeight="1">
      <c r="A114" s="138"/>
      <c r="B114" s="138"/>
      <c r="C114" s="138"/>
      <c r="D114" s="22"/>
      <c r="E114" s="22"/>
      <c r="F114" s="22"/>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8"/>
      <c r="BG114" s="138"/>
      <c r="BH114" s="138"/>
      <c r="BI114" s="138"/>
      <c r="BJ114" s="138"/>
      <c r="BK114" s="138"/>
      <c r="BL114" s="138"/>
      <c r="BM114" s="138"/>
      <c r="BN114" s="138"/>
      <c r="BO114" s="138"/>
      <c r="BP114" s="138"/>
      <c r="BQ114" s="138"/>
      <c r="BR114" s="138"/>
      <c r="BS114" s="138"/>
      <c r="BT114" s="138"/>
      <c r="BU114" s="138"/>
      <c r="BV114" s="138"/>
      <c r="BW114" s="138"/>
      <c r="BX114" s="138"/>
      <c r="BY114" s="138"/>
      <c r="BZ114" s="138"/>
      <c r="CA114" s="138"/>
      <c r="CB114" s="138"/>
      <c r="CC114" s="138"/>
      <c r="CD114" s="138"/>
      <c r="CE114" s="138"/>
    </row>
    <row r="115" spans="1:83" ht="12" customHeight="1">
      <c r="A115" s="138"/>
      <c r="B115" s="138"/>
      <c r="C115" s="138"/>
      <c r="D115" s="22"/>
      <c r="E115" s="22"/>
      <c r="F115" s="22"/>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38"/>
      <c r="BC115" s="138"/>
      <c r="BD115" s="138"/>
      <c r="BE115" s="138"/>
      <c r="BF115" s="138"/>
      <c r="BG115" s="138"/>
      <c r="BH115" s="138"/>
      <c r="BI115" s="138"/>
      <c r="BJ115" s="138"/>
      <c r="BK115" s="138"/>
      <c r="BL115" s="138"/>
      <c r="BM115" s="138"/>
      <c r="BN115" s="138"/>
      <c r="BO115" s="138"/>
      <c r="BP115" s="138"/>
      <c r="BQ115" s="138"/>
      <c r="BR115" s="138"/>
      <c r="BS115" s="138"/>
      <c r="BT115" s="138"/>
      <c r="BU115" s="138"/>
      <c r="BV115" s="138"/>
      <c r="BW115" s="138"/>
      <c r="BX115" s="138"/>
      <c r="BY115" s="138"/>
      <c r="BZ115" s="138"/>
      <c r="CA115" s="138"/>
      <c r="CB115" s="138"/>
      <c r="CC115" s="138"/>
      <c r="CD115" s="138"/>
      <c r="CE115" s="138"/>
    </row>
    <row r="116" spans="1:83" ht="12" customHeight="1">
      <c r="A116" s="138"/>
      <c r="B116" s="138"/>
      <c r="C116" s="22"/>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c r="BZ116" s="138"/>
      <c r="CA116" s="138"/>
      <c r="CB116" s="138"/>
      <c r="CC116" s="138"/>
      <c r="CD116" s="138"/>
      <c r="CE116" s="138"/>
    </row>
    <row r="117" spans="1:83" ht="12" customHeight="1">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38"/>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c r="CA117" s="138"/>
      <c r="CB117" s="138"/>
      <c r="CC117" s="138"/>
      <c r="CD117" s="138"/>
      <c r="CE117" s="138"/>
    </row>
    <row r="118" spans="1:83" ht="12" customHeight="1">
      <c r="A118" s="138"/>
      <c r="B118" s="138"/>
      <c r="C118" s="22"/>
      <c r="D118" s="22"/>
      <c r="E118" s="22"/>
      <c r="F118" s="22"/>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8"/>
      <c r="BB118" s="138"/>
      <c r="BC118" s="138"/>
      <c r="BD118" s="138"/>
      <c r="BE118" s="138"/>
      <c r="BF118" s="138"/>
      <c r="BG118" s="138"/>
      <c r="BH118" s="138"/>
      <c r="BI118" s="138"/>
      <c r="BJ118" s="138"/>
      <c r="BK118" s="138"/>
      <c r="BL118" s="138"/>
      <c r="BM118" s="138"/>
      <c r="BN118" s="138"/>
      <c r="BO118" s="138"/>
      <c r="BP118" s="138"/>
      <c r="BQ118" s="138"/>
      <c r="BR118" s="138"/>
      <c r="BS118" s="138"/>
      <c r="BT118" s="138"/>
      <c r="BU118" s="138"/>
      <c r="BV118" s="138"/>
      <c r="BW118" s="138"/>
      <c r="BX118" s="138"/>
      <c r="BY118" s="138"/>
      <c r="BZ118" s="138"/>
      <c r="CA118" s="138"/>
      <c r="CB118" s="138"/>
      <c r="CC118" s="138"/>
      <c r="CD118" s="138"/>
      <c r="CE118" s="138"/>
    </row>
    <row r="119" spans="1:83" ht="12" customHeight="1">
      <c r="A119" s="138"/>
      <c r="B119" s="138"/>
      <c r="C119" s="138"/>
      <c r="D119" s="22"/>
      <c r="E119" s="22"/>
      <c r="F119" s="22"/>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38"/>
      <c r="BB119" s="138"/>
      <c r="BC119" s="138"/>
      <c r="BD119" s="138"/>
      <c r="BE119" s="138"/>
      <c r="BF119" s="138"/>
      <c r="BG119" s="138"/>
      <c r="BH119" s="138"/>
      <c r="BI119" s="138"/>
      <c r="BJ119" s="138"/>
      <c r="BK119" s="138"/>
      <c r="BL119" s="138"/>
      <c r="BM119" s="138"/>
      <c r="BN119" s="138"/>
      <c r="BO119" s="138"/>
      <c r="BP119" s="138"/>
      <c r="BQ119" s="138"/>
      <c r="BR119" s="138"/>
      <c r="BS119" s="138"/>
      <c r="BT119" s="138"/>
      <c r="BU119" s="138"/>
      <c r="BV119" s="138"/>
      <c r="BW119" s="138"/>
      <c r="BX119" s="138"/>
      <c r="BY119" s="138"/>
      <c r="BZ119" s="138"/>
      <c r="CA119" s="138"/>
      <c r="CB119" s="138"/>
      <c r="CC119" s="138"/>
      <c r="CD119" s="138"/>
      <c r="CE119" s="138"/>
    </row>
    <row r="120" spans="1:83" ht="12" customHeight="1">
      <c r="A120" s="138"/>
      <c r="B120" s="138"/>
      <c r="C120" s="138"/>
      <c r="D120" s="22"/>
      <c r="E120" s="22"/>
      <c r="F120" s="22"/>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38"/>
      <c r="CB120" s="138"/>
      <c r="CC120" s="138"/>
      <c r="CD120" s="138"/>
      <c r="CE120" s="138"/>
    </row>
    <row r="121" spans="1:83" ht="12" customHeight="1">
      <c r="A121" s="138"/>
      <c r="B121" s="138"/>
      <c r="C121" s="138"/>
      <c r="D121" s="22"/>
      <c r="E121" s="22"/>
      <c r="F121" s="22"/>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38"/>
      <c r="BA121" s="138"/>
      <c r="BB121" s="138"/>
      <c r="BC121" s="138"/>
      <c r="BD121" s="138"/>
      <c r="BE121" s="138"/>
      <c r="BF121" s="138"/>
      <c r="BG121" s="138"/>
      <c r="BH121" s="138"/>
      <c r="BI121" s="138"/>
      <c r="BJ121" s="138"/>
      <c r="BK121" s="138"/>
      <c r="BL121" s="138"/>
      <c r="BM121" s="138"/>
      <c r="BN121" s="138"/>
      <c r="BO121" s="138"/>
      <c r="BP121" s="138"/>
      <c r="BQ121" s="138"/>
      <c r="BR121" s="138"/>
      <c r="BS121" s="138"/>
      <c r="BT121" s="138"/>
      <c r="BU121" s="138"/>
      <c r="BV121" s="138"/>
      <c r="BW121" s="138"/>
      <c r="BX121" s="138"/>
      <c r="BY121" s="138"/>
      <c r="BZ121" s="138"/>
      <c r="CA121" s="138"/>
      <c r="CB121" s="138"/>
      <c r="CC121" s="138"/>
      <c r="CD121" s="138"/>
      <c r="CE121" s="138"/>
    </row>
    <row r="122" spans="1:83" ht="12" customHeight="1">
      <c r="A122" s="138"/>
      <c r="B122" s="138"/>
      <c r="C122" s="138"/>
      <c r="D122" s="22"/>
      <c r="E122" s="22"/>
      <c r="F122" s="22"/>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38"/>
      <c r="BB122" s="138"/>
      <c r="BC122" s="138"/>
      <c r="BD122" s="138"/>
      <c r="BE122" s="138"/>
      <c r="BF122" s="138"/>
      <c r="BG122" s="138"/>
      <c r="BH122" s="138"/>
      <c r="BI122" s="138"/>
      <c r="BJ122" s="138"/>
      <c r="BK122" s="138"/>
      <c r="BL122" s="138"/>
      <c r="BM122" s="138"/>
      <c r="BN122" s="138"/>
      <c r="BO122" s="138"/>
      <c r="BP122" s="138"/>
      <c r="BQ122" s="138"/>
      <c r="BR122" s="138"/>
      <c r="BS122" s="138"/>
      <c r="BT122" s="138"/>
      <c r="BU122" s="138"/>
      <c r="BV122" s="138"/>
      <c r="BW122" s="138"/>
      <c r="BX122" s="138"/>
      <c r="BY122" s="138"/>
      <c r="BZ122" s="138"/>
      <c r="CA122" s="138"/>
      <c r="CB122" s="138"/>
      <c r="CC122" s="138"/>
      <c r="CD122" s="138"/>
      <c r="CE122" s="138"/>
    </row>
    <row r="123" spans="1:83" ht="12" customHeight="1">
      <c r="A123" s="138"/>
      <c r="B123" s="138"/>
      <c r="C123" s="138"/>
      <c r="D123" s="22"/>
      <c r="E123" s="22"/>
      <c r="F123" s="22"/>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8"/>
      <c r="BB123" s="138"/>
      <c r="BC123" s="138"/>
      <c r="BD123" s="138"/>
      <c r="BE123" s="138"/>
      <c r="BF123" s="138"/>
      <c r="BG123" s="138"/>
      <c r="BH123" s="138"/>
      <c r="BI123" s="138"/>
      <c r="BJ123" s="138"/>
      <c r="BK123" s="138"/>
      <c r="BL123" s="138"/>
      <c r="BM123" s="138"/>
      <c r="BN123" s="138"/>
      <c r="BO123" s="138"/>
      <c r="BP123" s="138"/>
      <c r="BQ123" s="138"/>
      <c r="BR123" s="138"/>
      <c r="BS123" s="138"/>
      <c r="BT123" s="138"/>
      <c r="BU123" s="138"/>
      <c r="BV123" s="138"/>
      <c r="BW123" s="138"/>
      <c r="BX123" s="138"/>
      <c r="BY123" s="138"/>
      <c r="BZ123" s="138"/>
      <c r="CA123" s="138"/>
      <c r="CB123" s="138"/>
      <c r="CC123" s="138"/>
      <c r="CD123" s="138"/>
      <c r="CE123" s="138"/>
    </row>
    <row r="124" spans="1:83" ht="12" customHeight="1">
      <c r="A124" s="138"/>
      <c r="B124" s="138"/>
      <c r="C124" s="138"/>
      <c r="D124" s="22"/>
      <c r="E124" s="22"/>
      <c r="F124" s="22"/>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38"/>
      <c r="BC124" s="138"/>
      <c r="BD124" s="138"/>
      <c r="BE124" s="138"/>
      <c r="BF124" s="138"/>
      <c r="BG124" s="138"/>
      <c r="BH124" s="138"/>
      <c r="BI124" s="138"/>
      <c r="BJ124" s="138"/>
      <c r="BK124" s="138"/>
      <c r="BL124" s="138"/>
      <c r="BM124" s="138"/>
      <c r="BN124" s="138"/>
      <c r="BO124" s="138"/>
      <c r="BP124" s="138"/>
      <c r="BQ124" s="138"/>
      <c r="BR124" s="138"/>
      <c r="BS124" s="138"/>
      <c r="BT124" s="138"/>
      <c r="BU124" s="138"/>
      <c r="BV124" s="138"/>
      <c r="BW124" s="138"/>
      <c r="BX124" s="138"/>
      <c r="BY124" s="138"/>
      <c r="BZ124" s="138"/>
      <c r="CA124" s="138"/>
      <c r="CB124" s="138"/>
      <c r="CC124" s="138"/>
      <c r="CD124" s="138"/>
      <c r="CE124" s="138"/>
    </row>
    <row r="125" spans="1:83" ht="12" customHeight="1">
      <c r="A125" s="138"/>
      <c r="B125" s="138"/>
      <c r="C125" s="138"/>
      <c r="D125" s="22"/>
      <c r="E125" s="22"/>
      <c r="F125" s="22"/>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38"/>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c r="CA125" s="138"/>
      <c r="CB125" s="138"/>
      <c r="CC125" s="138"/>
      <c r="CD125" s="138"/>
      <c r="CE125" s="138"/>
    </row>
    <row r="126" spans="1:83" ht="12" customHeight="1">
      <c r="A126" s="138"/>
      <c r="B126" s="138"/>
      <c r="C126" s="138"/>
      <c r="D126" s="22"/>
      <c r="E126" s="22"/>
      <c r="F126" s="22"/>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138"/>
    </row>
    <row r="127" spans="1:83" ht="12" customHeight="1">
      <c r="A127" s="138"/>
      <c r="B127" s="138"/>
      <c r="C127" s="138"/>
      <c r="D127" s="22"/>
      <c r="E127" s="22"/>
      <c r="F127" s="22"/>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8"/>
      <c r="BB127" s="138"/>
      <c r="BC127" s="138"/>
      <c r="BD127" s="138"/>
      <c r="BE127" s="138"/>
      <c r="BF127" s="138"/>
      <c r="BG127" s="138"/>
      <c r="BH127" s="138"/>
      <c r="BI127" s="138"/>
      <c r="BJ127" s="138"/>
      <c r="BK127" s="138"/>
      <c r="BL127" s="138"/>
      <c r="BM127" s="138"/>
      <c r="BN127" s="138"/>
      <c r="BO127" s="138"/>
      <c r="BP127" s="138"/>
      <c r="BQ127" s="138"/>
      <c r="BR127" s="138"/>
      <c r="BS127" s="138"/>
      <c r="BT127" s="138"/>
      <c r="BU127" s="138"/>
      <c r="BV127" s="138"/>
      <c r="BW127" s="138"/>
      <c r="BX127" s="138"/>
      <c r="BY127" s="138"/>
      <c r="BZ127" s="138"/>
      <c r="CA127" s="138"/>
      <c r="CB127" s="138"/>
      <c r="CC127" s="138"/>
      <c r="CD127" s="138"/>
      <c r="CE127" s="138"/>
    </row>
    <row r="128" spans="1:83" ht="12" customHeight="1">
      <c r="A128" s="138"/>
      <c r="B128" s="138"/>
      <c r="C128" s="138"/>
      <c r="D128" s="22"/>
      <c r="E128" s="22"/>
      <c r="F128" s="22"/>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38"/>
      <c r="BC128" s="138"/>
      <c r="BD128" s="138"/>
      <c r="BE128" s="138"/>
      <c r="BF128" s="138"/>
      <c r="BG128" s="138"/>
      <c r="BH128" s="138"/>
      <c r="BI128" s="138"/>
      <c r="BJ128" s="138"/>
      <c r="BK128" s="138"/>
      <c r="BL128" s="138"/>
      <c r="BM128" s="138"/>
      <c r="BN128" s="138"/>
      <c r="BO128" s="138"/>
      <c r="BP128" s="138"/>
      <c r="BQ128" s="138"/>
      <c r="BR128" s="138"/>
      <c r="BS128" s="138"/>
      <c r="BT128" s="138"/>
      <c r="BU128" s="138"/>
      <c r="BV128" s="138"/>
      <c r="BW128" s="138"/>
      <c r="BX128" s="138"/>
      <c r="BY128" s="138"/>
      <c r="BZ128" s="138"/>
      <c r="CA128" s="138"/>
      <c r="CB128" s="138"/>
      <c r="CC128" s="138"/>
      <c r="CD128" s="138"/>
      <c r="CE128" s="138"/>
    </row>
    <row r="129" spans="1:83" ht="12" customHeight="1">
      <c r="A129" s="138"/>
      <c r="B129" s="138"/>
      <c r="C129" s="138"/>
      <c r="D129" s="22"/>
      <c r="E129" s="22"/>
      <c r="F129" s="22"/>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38"/>
      <c r="BB129" s="138"/>
      <c r="BC129" s="138"/>
      <c r="BD129" s="138"/>
      <c r="BE129" s="138"/>
      <c r="BF129" s="138"/>
      <c r="BG129" s="138"/>
      <c r="BH129" s="138"/>
      <c r="BI129" s="138"/>
      <c r="BJ129" s="138"/>
      <c r="BK129" s="138"/>
      <c r="BL129" s="138"/>
      <c r="BM129" s="138"/>
      <c r="BN129" s="138"/>
      <c r="BO129" s="138"/>
      <c r="BP129" s="138"/>
      <c r="BQ129" s="138"/>
      <c r="BR129" s="138"/>
      <c r="BS129" s="138"/>
      <c r="BT129" s="138"/>
      <c r="BU129" s="138"/>
      <c r="BV129" s="138"/>
      <c r="BW129" s="138"/>
      <c r="BX129" s="138"/>
      <c r="BY129" s="138"/>
      <c r="BZ129" s="138"/>
      <c r="CA129" s="138"/>
      <c r="CB129" s="138"/>
      <c r="CC129" s="138"/>
      <c r="CD129" s="138"/>
      <c r="CE129" s="138"/>
    </row>
    <row r="130" spans="1:83" ht="12" customHeight="1">
      <c r="A130" s="138"/>
      <c r="B130" s="138"/>
      <c r="C130" s="138"/>
      <c r="D130" s="22"/>
      <c r="E130" s="138"/>
      <c r="F130" s="22"/>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38"/>
      <c r="BB130" s="138"/>
      <c r="BC130" s="138"/>
      <c r="BD130" s="138"/>
      <c r="BE130" s="138"/>
      <c r="BF130" s="138"/>
      <c r="BG130" s="138"/>
      <c r="BH130" s="138"/>
      <c r="BI130" s="138"/>
      <c r="BJ130" s="138"/>
      <c r="BK130" s="138"/>
      <c r="BL130" s="138"/>
      <c r="BM130" s="138"/>
      <c r="BN130" s="138"/>
      <c r="BO130" s="138"/>
      <c r="BP130" s="138"/>
      <c r="BQ130" s="138"/>
      <c r="BR130" s="138"/>
      <c r="BS130" s="138"/>
      <c r="BT130" s="138"/>
      <c r="BU130" s="138"/>
      <c r="BV130" s="138"/>
      <c r="BW130" s="138"/>
      <c r="BX130" s="138"/>
      <c r="BY130" s="138"/>
      <c r="BZ130" s="138"/>
      <c r="CA130" s="138"/>
      <c r="CB130" s="138"/>
      <c r="CC130" s="138"/>
      <c r="CD130" s="138"/>
      <c r="CE130" s="138"/>
    </row>
    <row r="131" spans="1:83" ht="12" customHeight="1">
      <c r="A131" s="138"/>
      <c r="B131" s="138"/>
      <c r="C131" s="138"/>
      <c r="D131" s="138"/>
      <c r="E131" s="138"/>
      <c r="F131" s="22"/>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38"/>
      <c r="BA131" s="138"/>
      <c r="BB131" s="138"/>
      <c r="BC131" s="138"/>
      <c r="BD131" s="138"/>
      <c r="BE131" s="138"/>
      <c r="BF131" s="138"/>
      <c r="BG131" s="138"/>
      <c r="BH131" s="138"/>
      <c r="BI131" s="138"/>
      <c r="BJ131" s="138"/>
      <c r="BK131" s="138"/>
      <c r="BL131" s="138"/>
      <c r="BM131" s="138"/>
      <c r="BN131" s="138"/>
      <c r="BO131" s="138"/>
      <c r="BP131" s="138"/>
      <c r="BQ131" s="138"/>
      <c r="BR131" s="138"/>
      <c r="BS131" s="138"/>
      <c r="BT131" s="138"/>
      <c r="BU131" s="138"/>
      <c r="BV131" s="138"/>
      <c r="BW131" s="138"/>
      <c r="BX131" s="138"/>
      <c r="BY131" s="138"/>
      <c r="BZ131" s="138"/>
      <c r="CA131" s="138"/>
      <c r="CB131" s="138"/>
      <c r="CC131" s="138"/>
      <c r="CD131" s="138"/>
      <c r="CE131" s="138"/>
    </row>
    <row r="132" spans="1:83" ht="12" customHeight="1">
      <c r="A132" s="138"/>
      <c r="B132" s="138"/>
      <c r="C132" s="138"/>
      <c r="D132" s="138"/>
      <c r="E132" s="138"/>
      <c r="F132" s="22"/>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c r="CA132" s="138"/>
      <c r="CB132" s="138"/>
      <c r="CC132" s="138"/>
      <c r="CD132" s="138"/>
      <c r="CE132" s="138"/>
    </row>
    <row r="133" spans="1:83" ht="12" customHeight="1">
      <c r="A133" s="138"/>
      <c r="B133" s="138"/>
      <c r="C133" s="138"/>
      <c r="D133" s="138"/>
      <c r="E133" s="138"/>
      <c r="F133" s="22"/>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38"/>
      <c r="BB133" s="138"/>
      <c r="BC133" s="138"/>
      <c r="BD133" s="138"/>
      <c r="BE133" s="138"/>
      <c r="BF133" s="138"/>
      <c r="BG133" s="138"/>
      <c r="BH133" s="138"/>
      <c r="BI133" s="138"/>
      <c r="BJ133" s="138"/>
      <c r="BK133" s="138"/>
      <c r="BL133" s="138"/>
      <c r="BM133" s="138"/>
      <c r="BN133" s="138"/>
      <c r="BO133" s="138"/>
      <c r="BP133" s="138"/>
      <c r="BQ133" s="138"/>
      <c r="BR133" s="138"/>
      <c r="BS133" s="138"/>
      <c r="BT133" s="138"/>
      <c r="BU133" s="138"/>
      <c r="BV133" s="138"/>
      <c r="BW133" s="138"/>
      <c r="BX133" s="138"/>
      <c r="BY133" s="138"/>
      <c r="BZ133" s="138"/>
      <c r="CA133" s="138"/>
      <c r="CB133" s="138"/>
      <c r="CC133" s="138"/>
      <c r="CD133" s="138"/>
      <c r="CE133" s="138"/>
    </row>
    <row r="134" spans="1:83" ht="12" customHeight="1">
      <c r="A134" s="138"/>
      <c r="B134" s="138"/>
      <c r="C134" s="138"/>
      <c r="D134" s="138"/>
      <c r="E134" s="138"/>
      <c r="F134" s="22"/>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38"/>
      <c r="BC134" s="138"/>
      <c r="BD134" s="138"/>
      <c r="BE134" s="138"/>
      <c r="BF134" s="138"/>
      <c r="BG134" s="138"/>
      <c r="BH134" s="138"/>
      <c r="BI134" s="138"/>
      <c r="BJ134" s="138"/>
      <c r="BK134" s="138"/>
      <c r="BL134" s="138"/>
      <c r="BM134" s="138"/>
      <c r="BN134" s="138"/>
      <c r="BO134" s="138"/>
      <c r="BP134" s="138"/>
      <c r="BQ134" s="138"/>
      <c r="BR134" s="138"/>
      <c r="BS134" s="138"/>
      <c r="BT134" s="138"/>
      <c r="BU134" s="138"/>
      <c r="BV134" s="138"/>
      <c r="BW134" s="138"/>
      <c r="BX134" s="138"/>
      <c r="BY134" s="138"/>
      <c r="BZ134" s="138"/>
      <c r="CA134" s="138"/>
      <c r="CB134" s="138"/>
      <c r="CC134" s="138"/>
      <c r="CD134" s="138"/>
      <c r="CE134" s="138"/>
    </row>
    <row r="135" spans="1:83" ht="12" customHeight="1">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38"/>
      <c r="BC135" s="138"/>
      <c r="BD135" s="138"/>
      <c r="BE135" s="138"/>
      <c r="BF135" s="138"/>
      <c r="BG135" s="138"/>
      <c r="BH135" s="138"/>
      <c r="BI135" s="138"/>
      <c r="BJ135" s="138"/>
      <c r="BK135" s="138"/>
      <c r="BL135" s="138"/>
      <c r="BM135" s="138"/>
      <c r="BN135" s="138"/>
      <c r="BO135" s="138"/>
      <c r="BP135" s="138"/>
      <c r="BQ135" s="138"/>
      <c r="BR135" s="138"/>
      <c r="BS135" s="138"/>
      <c r="BT135" s="138"/>
      <c r="BU135" s="138"/>
      <c r="BV135" s="138"/>
      <c r="BW135" s="138"/>
      <c r="BX135" s="138"/>
      <c r="BY135" s="138"/>
      <c r="BZ135" s="138"/>
      <c r="CA135" s="138"/>
      <c r="CB135" s="138"/>
      <c r="CC135" s="138"/>
      <c r="CD135" s="138"/>
      <c r="CE135" s="138"/>
    </row>
    <row r="136" spans="1:83" ht="12" customHeight="1">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38"/>
      <c r="BC136" s="138"/>
      <c r="BD136" s="138"/>
      <c r="BE136" s="138"/>
      <c r="BF136" s="138"/>
      <c r="BG136" s="138"/>
      <c r="BH136" s="138"/>
      <c r="BI136" s="138"/>
      <c r="BJ136" s="138"/>
      <c r="BK136" s="138"/>
      <c r="BL136" s="138"/>
      <c r="BM136" s="138"/>
      <c r="BN136" s="138"/>
      <c r="BO136" s="138"/>
      <c r="BP136" s="138"/>
      <c r="BQ136" s="138"/>
      <c r="BR136" s="138"/>
      <c r="BS136" s="138"/>
      <c r="BT136" s="138"/>
      <c r="BU136" s="138"/>
      <c r="BV136" s="138"/>
      <c r="BW136" s="138"/>
      <c r="BX136" s="138"/>
      <c r="BY136" s="138"/>
      <c r="BZ136" s="138"/>
      <c r="CA136" s="138"/>
      <c r="CB136" s="138"/>
      <c r="CC136" s="138"/>
      <c r="CD136" s="138"/>
      <c r="CE136" s="138"/>
    </row>
    <row r="137" spans="1:83" ht="12" customHeight="1">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38"/>
      <c r="BC137" s="138"/>
      <c r="BD137" s="138"/>
      <c r="BE137" s="138"/>
      <c r="BF137" s="138"/>
      <c r="BG137" s="138"/>
      <c r="BH137" s="138"/>
      <c r="BI137" s="138"/>
      <c r="BJ137" s="138"/>
      <c r="BK137" s="138"/>
      <c r="BL137" s="138"/>
      <c r="BM137" s="138"/>
      <c r="BN137" s="138"/>
      <c r="BO137" s="138"/>
      <c r="BP137" s="138"/>
      <c r="BQ137" s="138"/>
      <c r="BR137" s="138"/>
      <c r="BS137" s="138"/>
      <c r="BT137" s="138"/>
      <c r="BU137" s="138"/>
      <c r="BV137" s="138"/>
      <c r="BW137" s="138"/>
      <c r="BX137" s="138"/>
      <c r="BY137" s="138"/>
      <c r="BZ137" s="138"/>
      <c r="CA137" s="138"/>
      <c r="CB137" s="138"/>
      <c r="CC137" s="138"/>
      <c r="CD137" s="138"/>
      <c r="CE137" s="138"/>
    </row>
    <row r="138" spans="1:83" ht="12" customHeight="1">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138"/>
    </row>
    <row r="139" spans="1:83" ht="12" customHeight="1">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8"/>
      <c r="BB139" s="138"/>
      <c r="BC139" s="138"/>
      <c r="BD139" s="138"/>
      <c r="BE139" s="138"/>
      <c r="BF139" s="138"/>
      <c r="BG139" s="138"/>
      <c r="BH139" s="138"/>
      <c r="BI139" s="138"/>
      <c r="BJ139" s="138"/>
      <c r="BK139" s="138"/>
      <c r="BL139" s="138"/>
      <c r="BM139" s="138"/>
      <c r="BN139" s="138"/>
      <c r="BO139" s="138"/>
      <c r="BP139" s="138"/>
      <c r="BQ139" s="138"/>
      <c r="BR139" s="138"/>
      <c r="BS139" s="138"/>
      <c r="BT139" s="138"/>
      <c r="BU139" s="138"/>
      <c r="BV139" s="138"/>
      <c r="BW139" s="138"/>
      <c r="BX139" s="138"/>
      <c r="BY139" s="138"/>
      <c r="BZ139" s="138"/>
      <c r="CA139" s="138"/>
      <c r="CB139" s="138"/>
      <c r="CC139" s="138"/>
      <c r="CD139" s="138"/>
      <c r="CE139" s="138"/>
    </row>
    <row r="140" spans="1:83" ht="12" customHeight="1">
      <c r="A140" s="138"/>
      <c r="B140" s="138"/>
      <c r="C140" s="138"/>
      <c r="D140" s="22"/>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38"/>
      <c r="BB140" s="138"/>
      <c r="BC140" s="138"/>
      <c r="BD140" s="138"/>
      <c r="BE140" s="138"/>
      <c r="BF140" s="138"/>
      <c r="BG140" s="138"/>
      <c r="BH140" s="138"/>
      <c r="BI140" s="138"/>
      <c r="BJ140" s="138"/>
      <c r="BK140" s="138"/>
      <c r="BL140" s="138"/>
      <c r="BM140" s="138"/>
      <c r="BN140" s="138"/>
      <c r="BO140" s="138"/>
      <c r="BP140" s="138"/>
      <c r="BQ140" s="138"/>
      <c r="BR140" s="138"/>
      <c r="BS140" s="138"/>
      <c r="BT140" s="138"/>
      <c r="BU140" s="138"/>
      <c r="BV140" s="138"/>
      <c r="BW140" s="138"/>
      <c r="BX140" s="138"/>
      <c r="BY140" s="138"/>
      <c r="BZ140" s="138"/>
      <c r="CA140" s="138"/>
      <c r="CB140" s="138"/>
      <c r="CC140" s="138"/>
      <c r="CD140" s="138"/>
      <c r="CE140" s="138"/>
    </row>
    <row r="141" spans="1:83" ht="12" customHeight="1">
      <c r="A141" s="138"/>
      <c r="B141" s="138"/>
      <c r="C141" s="138"/>
      <c r="D141" s="22"/>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c r="AG141" s="138"/>
      <c r="AH141" s="138"/>
      <c r="AI141" s="138"/>
      <c r="AJ141" s="138"/>
      <c r="AK141" s="138"/>
      <c r="AL141" s="138"/>
      <c r="AM141" s="138"/>
      <c r="AN141" s="138"/>
      <c r="AO141" s="138"/>
      <c r="AP141" s="138"/>
      <c r="AQ141" s="138"/>
      <c r="AR141" s="138"/>
      <c r="AS141" s="138"/>
      <c r="AT141" s="138"/>
      <c r="AU141" s="138"/>
      <c r="AV141" s="138"/>
      <c r="AW141" s="138"/>
      <c r="AX141" s="138"/>
      <c r="AY141" s="138"/>
      <c r="AZ141" s="138"/>
      <c r="BA141" s="138"/>
      <c r="BB141" s="138"/>
      <c r="BC141" s="138"/>
      <c r="BD141" s="138"/>
      <c r="BE141" s="138"/>
      <c r="BF141" s="138"/>
      <c r="BG141" s="138"/>
      <c r="BH141" s="138"/>
      <c r="BI141" s="138"/>
      <c r="BJ141" s="138"/>
      <c r="BK141" s="138"/>
      <c r="BL141" s="138"/>
      <c r="BM141" s="138"/>
      <c r="BN141" s="138"/>
      <c r="BO141" s="138"/>
      <c r="BP141" s="138"/>
      <c r="BQ141" s="138"/>
      <c r="BR141" s="138"/>
      <c r="BS141" s="138"/>
      <c r="BT141" s="138"/>
      <c r="BU141" s="138"/>
      <c r="BV141" s="138"/>
      <c r="BW141" s="138"/>
      <c r="BX141" s="138"/>
      <c r="BY141" s="138"/>
      <c r="BZ141" s="138"/>
      <c r="CA141" s="138"/>
      <c r="CB141" s="138"/>
      <c r="CC141" s="138"/>
      <c r="CD141" s="138"/>
      <c r="CE141" s="138"/>
    </row>
    <row r="142" spans="1:83" ht="12" customHeight="1">
      <c r="A142" s="138"/>
      <c r="B142" s="138"/>
      <c r="C142" s="138"/>
      <c r="D142" s="22"/>
      <c r="E142" s="22"/>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8"/>
      <c r="BB142" s="138"/>
      <c r="BC142" s="138"/>
      <c r="BD142" s="138"/>
      <c r="BE142" s="138"/>
      <c r="BF142" s="138"/>
      <c r="BG142" s="138"/>
      <c r="BH142" s="138"/>
      <c r="BI142" s="138"/>
      <c r="BJ142" s="138"/>
      <c r="BK142" s="138"/>
      <c r="BL142" s="138"/>
      <c r="BM142" s="138"/>
      <c r="BN142" s="138"/>
      <c r="BO142" s="138"/>
      <c r="BP142" s="138"/>
      <c r="BQ142" s="138"/>
      <c r="BR142" s="138"/>
      <c r="BS142" s="138"/>
      <c r="BT142" s="138"/>
      <c r="BU142" s="138"/>
      <c r="BV142" s="138"/>
      <c r="BW142" s="138"/>
      <c r="BX142" s="138"/>
      <c r="BY142" s="138"/>
      <c r="BZ142" s="138"/>
      <c r="CA142" s="138"/>
      <c r="CB142" s="138"/>
      <c r="CC142" s="138"/>
      <c r="CD142" s="138"/>
      <c r="CE142" s="138"/>
    </row>
    <row r="143" spans="1:83" ht="12" customHeight="1">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38"/>
      <c r="CB143" s="138"/>
      <c r="CC143" s="138"/>
      <c r="CD143" s="138"/>
      <c r="CE143" s="138"/>
    </row>
    <row r="144" spans="1:83" ht="12" customHeight="1">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38"/>
      <c r="BB144" s="138"/>
      <c r="BC144" s="138"/>
      <c r="BD144" s="138"/>
      <c r="BE144" s="138"/>
      <c r="BF144" s="138"/>
      <c r="BG144" s="138"/>
      <c r="BH144" s="138"/>
      <c r="BI144" s="138"/>
      <c r="BJ144" s="138"/>
      <c r="BK144" s="138"/>
      <c r="BL144" s="138"/>
      <c r="BM144" s="138"/>
      <c r="BN144" s="138"/>
      <c r="BO144" s="138"/>
      <c r="BP144" s="138"/>
      <c r="BQ144" s="138"/>
      <c r="BR144" s="138"/>
      <c r="BS144" s="138"/>
      <c r="BT144" s="138"/>
      <c r="BU144" s="138"/>
      <c r="BV144" s="138"/>
      <c r="BW144" s="138"/>
      <c r="BX144" s="138"/>
      <c r="BY144" s="138"/>
      <c r="BZ144" s="138"/>
      <c r="CA144" s="138"/>
      <c r="CB144" s="138"/>
      <c r="CC144" s="138"/>
      <c r="CD144" s="138"/>
      <c r="CE144" s="138"/>
    </row>
    <row r="145" spans="1:83" ht="12" customHeight="1">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row>
    <row r="146" spans="1:83" ht="12" customHeight="1">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8"/>
      <c r="BB146" s="138"/>
      <c r="BC146" s="138"/>
      <c r="BD146" s="138"/>
      <c r="BE146" s="138"/>
      <c r="BF146" s="138"/>
      <c r="BG146" s="138"/>
      <c r="BH146" s="138"/>
      <c r="BI146" s="138"/>
      <c r="BJ146" s="138"/>
      <c r="BK146" s="138"/>
      <c r="BL146" s="138"/>
      <c r="BM146" s="138"/>
      <c r="BN146" s="138"/>
      <c r="BO146" s="138"/>
      <c r="BP146" s="138"/>
      <c r="BQ146" s="138"/>
      <c r="BR146" s="138"/>
      <c r="BS146" s="138"/>
      <c r="BT146" s="138"/>
      <c r="BU146" s="138"/>
      <c r="BV146" s="138"/>
      <c r="BW146" s="138"/>
      <c r="BX146" s="138"/>
      <c r="BY146" s="138"/>
      <c r="BZ146" s="138"/>
      <c r="CA146" s="138"/>
      <c r="CB146" s="138"/>
      <c r="CC146" s="138"/>
      <c r="CD146" s="138"/>
      <c r="CE146" s="138"/>
    </row>
    <row r="147" spans="1:83" ht="12" customHeight="1">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38"/>
      <c r="BB147" s="138"/>
      <c r="BC147" s="138"/>
      <c r="BD147" s="138"/>
      <c r="BE147" s="138"/>
      <c r="BF147" s="138"/>
      <c r="BG147" s="138"/>
      <c r="BH147" s="138"/>
      <c r="BI147" s="138"/>
      <c r="BJ147" s="138"/>
      <c r="BK147" s="138"/>
      <c r="BL147" s="138"/>
      <c r="BM147" s="138"/>
      <c r="BN147" s="138"/>
      <c r="BO147" s="138"/>
      <c r="BP147" s="138"/>
      <c r="BQ147" s="138"/>
      <c r="BR147" s="138"/>
      <c r="BS147" s="138"/>
      <c r="BT147" s="138"/>
      <c r="BU147" s="138"/>
      <c r="BV147" s="138"/>
      <c r="BW147" s="138"/>
      <c r="BX147" s="138"/>
      <c r="BY147" s="138"/>
      <c r="BZ147" s="138"/>
      <c r="CA147" s="138"/>
      <c r="CB147" s="138"/>
      <c r="CC147" s="138"/>
      <c r="CD147" s="138"/>
      <c r="CE147" s="138"/>
    </row>
    <row r="148" spans="1:83" ht="12" customHeight="1">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38"/>
      <c r="BC148" s="138"/>
      <c r="BD148" s="138"/>
      <c r="BE148" s="138"/>
      <c r="BF148" s="138"/>
      <c r="BG148" s="138"/>
      <c r="BH148" s="138"/>
      <c r="BI148" s="138"/>
      <c r="BJ148" s="138"/>
      <c r="BK148" s="138"/>
      <c r="BL148" s="138"/>
      <c r="BM148" s="138"/>
      <c r="BN148" s="138"/>
      <c r="BO148" s="138"/>
      <c r="BP148" s="138"/>
      <c r="BQ148" s="138"/>
      <c r="BR148" s="138"/>
      <c r="BS148" s="138"/>
      <c r="BT148" s="138"/>
      <c r="BU148" s="138"/>
      <c r="BV148" s="138"/>
      <c r="BW148" s="138"/>
      <c r="BX148" s="138"/>
      <c r="BY148" s="138"/>
      <c r="BZ148" s="138"/>
      <c r="CA148" s="138"/>
      <c r="CB148" s="138"/>
      <c r="CC148" s="138"/>
      <c r="CD148" s="138"/>
      <c r="CE148" s="138"/>
    </row>
    <row r="149" spans="1:83" ht="12" customHeight="1">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38"/>
      <c r="BC149" s="138"/>
      <c r="BD149" s="138"/>
      <c r="BE149" s="138"/>
      <c r="BF149" s="138"/>
      <c r="BG149" s="138"/>
      <c r="BH149" s="138"/>
      <c r="BI149" s="138"/>
      <c r="BJ149" s="138"/>
      <c r="BK149" s="138"/>
      <c r="BL149" s="138"/>
      <c r="BM149" s="138"/>
      <c r="BN149" s="138"/>
      <c r="BO149" s="138"/>
      <c r="BP149" s="138"/>
      <c r="BQ149" s="138"/>
      <c r="BR149" s="138"/>
      <c r="BS149" s="138"/>
      <c r="BT149" s="138"/>
      <c r="BU149" s="138"/>
      <c r="BV149" s="138"/>
      <c r="BW149" s="138"/>
      <c r="BX149" s="138"/>
      <c r="BY149" s="138"/>
      <c r="BZ149" s="138"/>
      <c r="CA149" s="138"/>
      <c r="CB149" s="138"/>
      <c r="CC149" s="138"/>
      <c r="CD149" s="138"/>
      <c r="CE149" s="138"/>
    </row>
    <row r="150" spans="1:83" ht="12" customHeight="1">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38"/>
      <c r="BC150" s="138"/>
      <c r="BD150" s="138"/>
      <c r="BE150" s="138"/>
      <c r="BF150" s="138"/>
      <c r="BG150" s="138"/>
      <c r="BH150" s="138"/>
      <c r="BI150" s="138"/>
      <c r="BJ150" s="138"/>
      <c r="BK150" s="138"/>
      <c r="BL150" s="138"/>
      <c r="BM150" s="138"/>
      <c r="BN150" s="138"/>
      <c r="BO150" s="138"/>
      <c r="BP150" s="138"/>
      <c r="BQ150" s="138"/>
      <c r="BR150" s="138"/>
      <c r="BS150" s="138"/>
      <c r="BT150" s="138"/>
      <c r="BU150" s="138"/>
      <c r="BV150" s="138"/>
      <c r="BW150" s="138"/>
      <c r="BX150" s="138"/>
      <c r="BY150" s="138"/>
      <c r="BZ150" s="138"/>
      <c r="CA150" s="138"/>
      <c r="CB150" s="138"/>
      <c r="CC150" s="138"/>
      <c r="CD150" s="138"/>
      <c r="CE150" s="138"/>
    </row>
    <row r="151" spans="1:83" ht="12" customHeight="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row>
    <row r="152" spans="1:83" ht="12" customHeight="1">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38"/>
      <c r="BC152" s="138"/>
      <c r="BD152" s="138"/>
      <c r="BE152" s="138"/>
      <c r="BF152" s="138"/>
      <c r="BG152" s="138"/>
      <c r="BH152" s="138"/>
      <c r="BI152" s="138"/>
      <c r="BJ152" s="138"/>
      <c r="BK152" s="138"/>
      <c r="BL152" s="138"/>
      <c r="BM152" s="138"/>
      <c r="BN152" s="138"/>
      <c r="BO152" s="138"/>
      <c r="BP152" s="138"/>
      <c r="BQ152" s="138"/>
      <c r="BR152" s="138"/>
      <c r="BS152" s="138"/>
      <c r="BT152" s="138"/>
      <c r="BU152" s="138"/>
      <c r="BV152" s="138"/>
      <c r="BW152" s="138"/>
      <c r="BX152" s="138"/>
      <c r="BY152" s="138"/>
      <c r="BZ152" s="138"/>
      <c r="CA152" s="138"/>
      <c r="CB152" s="138"/>
      <c r="CC152" s="138"/>
      <c r="CD152" s="138"/>
      <c r="CE152" s="138"/>
    </row>
    <row r="153" spans="1:83" ht="12" customHeight="1">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c r="CA153" s="138"/>
      <c r="CB153" s="138"/>
      <c r="CC153" s="138"/>
      <c r="CD153" s="138"/>
      <c r="CE153" s="138"/>
    </row>
    <row r="154" spans="1:83" ht="12" customHeight="1">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c r="CA154" s="138"/>
      <c r="CB154" s="138"/>
      <c r="CC154" s="138"/>
      <c r="CD154" s="138"/>
      <c r="CE154" s="138"/>
    </row>
    <row r="155" spans="1:83" ht="12" customHeight="1">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c r="CA155" s="138"/>
      <c r="CB155" s="138"/>
      <c r="CC155" s="138"/>
      <c r="CD155" s="138"/>
      <c r="CE155" s="138"/>
    </row>
    <row r="156" spans="1:83" ht="12" customHeight="1">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row>
    <row r="157" spans="1:83" ht="12" customHeight="1">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row>
    <row r="158" spans="1:83" ht="12" customHeight="1">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row>
    <row r="159" spans="1:83" ht="12" customHeight="1">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c r="CA159" s="138"/>
      <c r="CB159" s="138"/>
      <c r="CC159" s="138"/>
      <c r="CD159" s="138"/>
      <c r="CE159" s="138"/>
    </row>
    <row r="160" spans="1:83" ht="12" customHeight="1">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row>
    <row r="161" spans="1:83" ht="12" customHeight="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row>
    <row r="162" spans="1:83" ht="12" customHeight="1">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c r="CA162" s="138"/>
      <c r="CB162" s="138"/>
      <c r="CC162" s="138"/>
      <c r="CD162" s="138"/>
      <c r="CE162" s="138"/>
    </row>
    <row r="163" spans="1:83" ht="12" customHeight="1">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row>
    <row r="164" spans="1:83" ht="12" customHeight="1">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row>
    <row r="165" spans="1:83" ht="12" customHeight="1">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row>
    <row r="166" spans="1:83" ht="12" customHeight="1">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row>
    <row r="167" spans="1:83" ht="12" customHeight="1">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row>
    <row r="168" spans="1:83" ht="12" customHeight="1">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row>
    <row r="169" spans="1:83" ht="12" customHeight="1">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row>
    <row r="170" spans="1:83" ht="12" customHeight="1">
      <c r="A170" s="138"/>
      <c r="B170" s="138"/>
      <c r="C170" s="22"/>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row>
    <row r="171" spans="1:83" ht="12" customHeight="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row>
    <row r="172" spans="1:83" ht="12" customHeight="1">
      <c r="A172" s="138"/>
      <c r="B172" s="138"/>
      <c r="C172" s="22"/>
      <c r="D172" s="22"/>
      <c r="E172" s="22"/>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row>
    <row r="173" spans="1:83" ht="12" customHeight="1">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row>
    <row r="174" spans="1:83" ht="12" customHeight="1">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row>
    <row r="175" spans="1:83" ht="12" customHeight="1">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row>
    <row r="176" spans="1:83" ht="12" customHeight="1">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row>
    <row r="177" spans="1:83" ht="12" customHeight="1">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row>
    <row r="178" spans="1:83" ht="12" customHeight="1">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row>
    <row r="179" spans="1:83" ht="12" customHeight="1">
      <c r="A179" s="138"/>
      <c r="B179" s="138"/>
      <c r="C179" s="138"/>
      <c r="D179" s="22"/>
      <c r="E179" s="22"/>
      <c r="F179" s="22"/>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row>
    <row r="180" spans="1:83" ht="12" customHeight="1">
      <c r="A180" s="138"/>
      <c r="B180" s="138"/>
      <c r="C180" s="138"/>
      <c r="D180" s="22"/>
      <c r="E180" s="22"/>
      <c r="F180" s="22"/>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row>
    <row r="181" spans="1:83" ht="12" customHeight="1">
      <c r="A181" s="138"/>
      <c r="B181" s="138"/>
      <c r="C181" s="138"/>
      <c r="D181" s="22"/>
      <c r="E181" s="22"/>
      <c r="F181" s="22"/>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row>
    <row r="182" spans="1:83" ht="12" customHeight="1">
      <c r="A182" s="138"/>
      <c r="B182" s="138"/>
      <c r="C182" s="138"/>
      <c r="D182" s="22"/>
      <c r="E182" s="22"/>
      <c r="F182" s="22"/>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row>
    <row r="183" spans="1:83" ht="12" customHeight="1">
      <c r="A183" s="138"/>
      <c r="B183" s="138"/>
      <c r="C183" s="138"/>
      <c r="D183" s="22"/>
      <c r="E183" s="22"/>
      <c r="F183" s="22"/>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row>
    <row r="184" spans="1:83" ht="12" customHeight="1">
      <c r="A184" s="138"/>
      <c r="B184" s="138"/>
      <c r="C184" s="138"/>
      <c r="D184" s="138"/>
      <c r="E184" s="138"/>
      <c r="F184" s="22"/>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row>
    <row r="185" spans="1:83" ht="12" customHeight="1">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row>
    <row r="186" spans="1:83" ht="12" customHeight="1">
      <c r="A186" s="138"/>
      <c r="B186" s="138"/>
      <c r="C186" s="138"/>
      <c r="D186" s="22"/>
      <c r="E186" s="22"/>
      <c r="F186" s="22"/>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row>
    <row r="187" spans="1:83" ht="12" customHeight="1">
      <c r="A187" s="138"/>
      <c r="B187" s="138"/>
      <c r="C187" s="138"/>
      <c r="D187" s="22"/>
      <c r="E187" s="22"/>
      <c r="F187" s="22"/>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row>
    <row r="188" spans="1:83" ht="12" customHeight="1">
      <c r="A188" s="138"/>
      <c r="B188" s="138"/>
      <c r="C188" s="138"/>
      <c r="D188" s="22"/>
      <c r="E188" s="22"/>
      <c r="F188" s="22"/>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row>
    <row r="189" spans="1:83" ht="12" customHeight="1">
      <c r="A189" s="138"/>
      <c r="B189" s="138"/>
      <c r="C189" s="138"/>
      <c r="D189" s="22"/>
      <c r="E189" s="22"/>
      <c r="F189" s="22"/>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row>
    <row r="190" spans="1:83" ht="12" customHeight="1">
      <c r="A190" s="138"/>
      <c r="B190" s="138"/>
      <c r="C190" s="138"/>
      <c r="D190" s="22"/>
      <c r="E190" s="22"/>
      <c r="F190" s="22"/>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row>
    <row r="191" spans="1:83" ht="12" customHeight="1">
      <c r="A191" s="138"/>
      <c r="B191" s="138"/>
      <c r="C191" s="138"/>
      <c r="D191" s="22"/>
      <c r="E191" s="22"/>
      <c r="F191" s="22"/>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row>
    <row r="192" spans="1:83" ht="12" customHeight="1">
      <c r="A192" s="138"/>
      <c r="B192" s="138"/>
      <c r="C192" s="138"/>
      <c r="D192" s="22"/>
      <c r="E192" s="22"/>
      <c r="F192" s="22"/>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c r="CA192" s="138"/>
      <c r="CB192" s="138"/>
      <c r="CC192" s="138"/>
      <c r="CD192" s="138"/>
      <c r="CE192" s="138"/>
    </row>
    <row r="193" spans="1:83" ht="12" customHeight="1">
      <c r="A193" s="138"/>
      <c r="B193" s="138"/>
      <c r="C193" s="138"/>
      <c r="D193" s="22"/>
      <c r="E193" s="22"/>
      <c r="F193" s="22"/>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38"/>
      <c r="CB193" s="138"/>
      <c r="CC193" s="138"/>
      <c r="CD193" s="138"/>
      <c r="CE193" s="138"/>
    </row>
    <row r="194" spans="1:83" ht="12" customHeight="1">
      <c r="A194" s="138"/>
      <c r="B194" s="138"/>
      <c r="C194" s="138"/>
      <c r="D194" s="22"/>
      <c r="E194" s="22"/>
      <c r="F194" s="22"/>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38"/>
      <c r="CB194" s="138"/>
      <c r="CC194" s="138"/>
      <c r="CD194" s="138"/>
      <c r="CE194" s="138"/>
    </row>
    <row r="195" spans="1:83" ht="12" customHeight="1">
      <c r="A195" s="138"/>
      <c r="B195" s="138"/>
      <c r="C195" s="138"/>
      <c r="D195" s="22"/>
      <c r="E195" s="22"/>
      <c r="F195" s="22"/>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38"/>
      <c r="CB195" s="138"/>
      <c r="CC195" s="138"/>
      <c r="CD195" s="138"/>
      <c r="CE195" s="138"/>
    </row>
    <row r="196" spans="1:83" ht="12" customHeight="1">
      <c r="A196" s="138"/>
      <c r="B196" s="138"/>
      <c r="C196" s="138"/>
      <c r="D196" s="22"/>
      <c r="E196" s="22"/>
      <c r="F196" s="22"/>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row>
    <row r="197" spans="1:83" ht="12" customHeight="1">
      <c r="A197" s="138"/>
      <c r="B197" s="138"/>
      <c r="C197" s="138"/>
      <c r="D197" s="22"/>
      <c r="E197" s="22"/>
      <c r="F197" s="22"/>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38"/>
      <c r="BB197" s="138"/>
      <c r="BC197" s="138"/>
      <c r="BD197" s="138"/>
      <c r="BE197" s="138"/>
      <c r="BF197" s="138"/>
      <c r="BG197" s="138"/>
      <c r="BH197" s="138"/>
      <c r="BI197" s="138"/>
      <c r="BJ197" s="138"/>
      <c r="BK197" s="138"/>
      <c r="BL197" s="138"/>
      <c r="BM197" s="138"/>
      <c r="BN197" s="138"/>
      <c r="BO197" s="138"/>
      <c r="BP197" s="138"/>
      <c r="BQ197" s="138"/>
      <c r="BR197" s="138"/>
      <c r="BS197" s="138"/>
      <c r="BT197" s="138"/>
      <c r="BU197" s="138"/>
      <c r="BV197" s="138"/>
      <c r="BW197" s="138"/>
      <c r="BX197" s="138"/>
      <c r="BY197" s="138"/>
      <c r="BZ197" s="138"/>
      <c r="CA197" s="138"/>
      <c r="CB197" s="138"/>
      <c r="CC197" s="138"/>
      <c r="CD197" s="138"/>
      <c r="CE197" s="138"/>
    </row>
    <row r="198" spans="1:83" ht="12" customHeight="1">
      <c r="A198" s="138"/>
      <c r="B198" s="138"/>
      <c r="C198" s="138"/>
      <c r="D198" s="22"/>
      <c r="E198" s="22"/>
      <c r="F198" s="22"/>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8"/>
      <c r="CE198" s="138"/>
    </row>
    <row r="199" spans="1:83" ht="12" customHeight="1">
      <c r="A199" s="138"/>
      <c r="B199" s="138"/>
      <c r="C199" s="138"/>
      <c r="D199" s="22"/>
      <c r="E199" s="22"/>
      <c r="F199" s="22"/>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38"/>
      <c r="BB199" s="138"/>
      <c r="BC199" s="138"/>
      <c r="BD199" s="138"/>
      <c r="BE199" s="138"/>
      <c r="BF199" s="138"/>
      <c r="BG199" s="138"/>
      <c r="BH199" s="138"/>
      <c r="BI199" s="138"/>
      <c r="BJ199" s="138"/>
      <c r="BK199" s="138"/>
      <c r="BL199" s="138"/>
      <c r="BM199" s="138"/>
      <c r="BN199" s="138"/>
      <c r="BO199" s="138"/>
      <c r="BP199" s="138"/>
      <c r="BQ199" s="138"/>
      <c r="BR199" s="138"/>
      <c r="BS199" s="138"/>
      <c r="BT199" s="138"/>
      <c r="BU199" s="138"/>
      <c r="BV199" s="138"/>
      <c r="BW199" s="138"/>
      <c r="BX199" s="138"/>
      <c r="BY199" s="138"/>
      <c r="BZ199" s="138"/>
      <c r="CA199" s="138"/>
      <c r="CB199" s="138"/>
      <c r="CC199" s="138"/>
      <c r="CD199" s="138"/>
      <c r="CE199" s="138"/>
    </row>
    <row r="200" spans="1:83" ht="12" customHeight="1">
      <c r="A200" s="138"/>
      <c r="B200" s="138"/>
      <c r="C200" s="138"/>
      <c r="D200" s="22"/>
      <c r="E200" s="22"/>
      <c r="F200" s="22"/>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row>
    <row r="201" spans="1:83" ht="12" customHeight="1">
      <c r="A201" s="138"/>
      <c r="B201" s="138"/>
      <c r="C201" s="138"/>
      <c r="D201" s="22"/>
      <c r="E201" s="22"/>
      <c r="F201" s="22"/>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row>
    <row r="202" spans="1:83" ht="12" customHeight="1">
      <c r="A202" s="138"/>
      <c r="B202" s="138"/>
      <c r="C202" s="138"/>
      <c r="D202" s="22"/>
      <c r="E202" s="22"/>
      <c r="F202" s="22"/>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row>
    <row r="203" spans="1:83" ht="12" customHeight="1">
      <c r="A203" s="138"/>
      <c r="B203" s="138"/>
      <c r="C203" s="138"/>
      <c r="D203" s="22"/>
      <c r="E203" s="22"/>
      <c r="F203" s="22"/>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38"/>
      <c r="BB203" s="138"/>
      <c r="BC203" s="138"/>
      <c r="BD203" s="138"/>
      <c r="BE203" s="138"/>
      <c r="BF203" s="138"/>
      <c r="BG203" s="138"/>
      <c r="BH203" s="138"/>
      <c r="BI203" s="138"/>
      <c r="BJ203" s="138"/>
      <c r="BK203" s="138"/>
      <c r="BL203" s="138"/>
      <c r="BM203" s="138"/>
      <c r="BN203" s="138"/>
      <c r="BO203" s="138"/>
      <c r="BP203" s="138"/>
      <c r="BQ203" s="138"/>
      <c r="BR203" s="138"/>
      <c r="BS203" s="138"/>
      <c r="BT203" s="138"/>
      <c r="BU203" s="138"/>
      <c r="BV203" s="138"/>
      <c r="BW203" s="138"/>
      <c r="BX203" s="138"/>
      <c r="BY203" s="138"/>
      <c r="BZ203" s="138"/>
      <c r="CA203" s="138"/>
      <c r="CB203" s="138"/>
      <c r="CC203" s="138"/>
      <c r="CD203" s="138"/>
      <c r="CE203" s="138"/>
    </row>
    <row r="204" spans="1:83" ht="12" customHeight="1">
      <c r="A204" s="138"/>
      <c r="B204" s="138"/>
      <c r="C204" s="138"/>
      <c r="D204" s="22"/>
      <c r="E204" s="22"/>
      <c r="F204" s="22"/>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38"/>
      <c r="BB204" s="138"/>
      <c r="BC204" s="138"/>
      <c r="BD204" s="138"/>
      <c r="BE204" s="138"/>
      <c r="BF204" s="138"/>
      <c r="BG204" s="138"/>
      <c r="BH204" s="138"/>
      <c r="BI204" s="138"/>
      <c r="BJ204" s="138"/>
      <c r="BK204" s="138"/>
      <c r="BL204" s="138"/>
      <c r="BM204" s="138"/>
      <c r="BN204" s="138"/>
      <c r="BO204" s="138"/>
      <c r="BP204" s="138"/>
      <c r="BQ204" s="138"/>
      <c r="BR204" s="138"/>
      <c r="BS204" s="138"/>
      <c r="BT204" s="138"/>
      <c r="BU204" s="138"/>
      <c r="BV204" s="138"/>
      <c r="BW204" s="138"/>
      <c r="BX204" s="138"/>
      <c r="BY204" s="138"/>
      <c r="BZ204" s="138"/>
      <c r="CA204" s="138"/>
      <c r="CB204" s="138"/>
      <c r="CC204" s="138"/>
      <c r="CD204" s="138"/>
      <c r="CE204" s="138"/>
    </row>
    <row r="205" spans="1:83" ht="12" customHeight="1">
      <c r="A205" s="138"/>
      <c r="B205" s="138"/>
      <c r="C205" s="138"/>
      <c r="D205" s="22"/>
      <c r="E205" s="22"/>
      <c r="F205" s="22"/>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c r="BU205" s="138"/>
      <c r="BV205" s="138"/>
      <c r="BW205" s="138"/>
      <c r="BX205" s="138"/>
      <c r="BY205" s="138"/>
      <c r="BZ205" s="138"/>
      <c r="CA205" s="138"/>
      <c r="CB205" s="138"/>
      <c r="CC205" s="138"/>
      <c r="CD205" s="138"/>
      <c r="CE205" s="138"/>
    </row>
    <row r="206" spans="1:83" ht="12" customHeight="1">
      <c r="A206" s="138"/>
      <c r="B206" s="138"/>
      <c r="C206" s="138"/>
      <c r="D206" s="22"/>
      <c r="E206" s="22"/>
      <c r="F206" s="22"/>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38"/>
      <c r="BB206" s="138"/>
      <c r="BC206" s="138"/>
      <c r="BD206" s="138"/>
      <c r="BE206" s="138"/>
      <c r="BF206" s="138"/>
      <c r="BG206" s="138"/>
      <c r="BH206" s="138"/>
      <c r="BI206" s="138"/>
      <c r="BJ206" s="138"/>
      <c r="BK206" s="138"/>
      <c r="BL206" s="138"/>
      <c r="BM206" s="138"/>
      <c r="BN206" s="138"/>
      <c r="BO206" s="138"/>
      <c r="BP206" s="138"/>
      <c r="BQ206" s="138"/>
      <c r="BR206" s="138"/>
      <c r="BS206" s="138"/>
      <c r="BT206" s="138"/>
      <c r="BU206" s="138"/>
      <c r="BV206" s="138"/>
      <c r="BW206" s="138"/>
      <c r="BX206" s="138"/>
      <c r="BY206" s="138"/>
      <c r="BZ206" s="138"/>
      <c r="CA206" s="138"/>
      <c r="CB206" s="138"/>
      <c r="CC206" s="138"/>
      <c r="CD206" s="138"/>
      <c r="CE206" s="138"/>
    </row>
    <row r="207" spans="1:83" ht="12" customHeight="1">
      <c r="A207" s="138"/>
      <c r="B207" s="138"/>
      <c r="C207" s="138"/>
      <c r="D207" s="22"/>
      <c r="E207" s="22"/>
      <c r="F207" s="22"/>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38"/>
      <c r="BB207" s="138"/>
      <c r="BC207" s="138"/>
      <c r="BD207" s="138"/>
      <c r="BE207" s="138"/>
      <c r="BF207" s="138"/>
      <c r="BG207" s="138"/>
      <c r="BH207" s="138"/>
      <c r="BI207" s="138"/>
      <c r="BJ207" s="138"/>
      <c r="BK207" s="138"/>
      <c r="BL207" s="138"/>
      <c r="BM207" s="138"/>
      <c r="BN207" s="138"/>
      <c r="BO207" s="138"/>
      <c r="BP207" s="138"/>
      <c r="BQ207" s="138"/>
      <c r="BR207" s="138"/>
      <c r="BS207" s="138"/>
      <c r="BT207" s="138"/>
      <c r="BU207" s="138"/>
      <c r="BV207" s="138"/>
      <c r="BW207" s="138"/>
      <c r="BX207" s="138"/>
      <c r="BY207" s="138"/>
      <c r="BZ207" s="138"/>
      <c r="CA207" s="138"/>
      <c r="CB207" s="138"/>
      <c r="CC207" s="138"/>
      <c r="CD207" s="138"/>
      <c r="CE207" s="138"/>
    </row>
    <row r="208" spans="1:83" ht="12" customHeight="1">
      <c r="A208" s="138"/>
      <c r="B208" s="138"/>
      <c r="C208" s="138"/>
      <c r="D208" s="22"/>
      <c r="E208" s="22"/>
      <c r="F208" s="22"/>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38"/>
      <c r="CB208" s="138"/>
      <c r="CC208" s="138"/>
      <c r="CD208" s="138"/>
      <c r="CE208" s="138"/>
    </row>
    <row r="209" spans="1:83" ht="12" customHeight="1">
      <c r="A209" s="138"/>
      <c r="B209" s="138"/>
      <c r="C209" s="138"/>
      <c r="D209" s="22"/>
      <c r="E209" s="22"/>
      <c r="F209" s="22"/>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M209" s="138"/>
      <c r="AN209" s="138"/>
      <c r="AO209" s="138"/>
      <c r="AP209" s="138"/>
      <c r="AQ209" s="138"/>
      <c r="AR209" s="138"/>
      <c r="AS209" s="138"/>
      <c r="AT209" s="138"/>
      <c r="AU209" s="138"/>
      <c r="AV209" s="138"/>
      <c r="AW209" s="138"/>
      <c r="AX209" s="138"/>
      <c r="AY209" s="138"/>
      <c r="AZ209" s="138"/>
      <c r="BA209" s="138"/>
      <c r="BB209" s="138"/>
      <c r="BC209" s="138"/>
      <c r="BD209" s="138"/>
      <c r="BE209" s="138"/>
      <c r="BF209" s="138"/>
      <c r="BG209" s="138"/>
      <c r="BH209" s="138"/>
      <c r="BI209" s="138"/>
      <c r="BJ209" s="138"/>
      <c r="BK209" s="138"/>
      <c r="BL209" s="138"/>
      <c r="BM209" s="138"/>
      <c r="BN209" s="138"/>
      <c r="BO209" s="138"/>
      <c r="BP209" s="138"/>
      <c r="BQ209" s="138"/>
      <c r="BR209" s="138"/>
      <c r="BS209" s="138"/>
      <c r="BT209" s="138"/>
      <c r="BU209" s="138"/>
      <c r="BV209" s="138"/>
      <c r="BW209" s="138"/>
      <c r="BX209" s="138"/>
      <c r="BY209" s="138"/>
      <c r="BZ209" s="138"/>
      <c r="CA209" s="138"/>
      <c r="CB209" s="138"/>
      <c r="CC209" s="138"/>
      <c r="CD209" s="138"/>
      <c r="CE209" s="138"/>
    </row>
    <row r="210" spans="1:83" ht="12" customHeight="1">
      <c r="A210" s="138"/>
      <c r="B210" s="138"/>
      <c r="C210" s="138"/>
      <c r="D210" s="22"/>
      <c r="E210" s="22"/>
      <c r="F210" s="22"/>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M210" s="138"/>
      <c r="AN210" s="138"/>
      <c r="AO210" s="138"/>
      <c r="AP210" s="138"/>
      <c r="AQ210" s="138"/>
      <c r="AR210" s="138"/>
      <c r="AS210" s="138"/>
      <c r="AT210" s="138"/>
      <c r="AU210" s="138"/>
      <c r="AV210" s="138"/>
      <c r="AW210" s="138"/>
      <c r="AX210" s="138"/>
      <c r="AY210" s="138"/>
      <c r="AZ210" s="138"/>
      <c r="BA210" s="138"/>
      <c r="BB210" s="138"/>
      <c r="BC210" s="138"/>
      <c r="BD210" s="138"/>
      <c r="BE210" s="138"/>
      <c r="BF210" s="138"/>
      <c r="BG210" s="138"/>
      <c r="BH210" s="138"/>
      <c r="BI210" s="138"/>
      <c r="BJ210" s="138"/>
      <c r="BK210" s="138"/>
      <c r="BL210" s="138"/>
      <c r="BM210" s="138"/>
      <c r="BN210" s="138"/>
      <c r="BO210" s="138"/>
      <c r="BP210" s="138"/>
      <c r="BQ210" s="138"/>
      <c r="BR210" s="138"/>
      <c r="BS210" s="138"/>
      <c r="BT210" s="138"/>
      <c r="BU210" s="138"/>
      <c r="BV210" s="138"/>
      <c r="BW210" s="138"/>
      <c r="BX210" s="138"/>
      <c r="BY210" s="138"/>
      <c r="BZ210" s="138"/>
      <c r="CA210" s="138"/>
      <c r="CB210" s="138"/>
      <c r="CC210" s="138"/>
      <c r="CD210" s="138"/>
      <c r="CE210" s="138"/>
    </row>
    <row r="211" spans="1:83" ht="12" customHeight="1">
      <c r="A211" s="138"/>
      <c r="B211" s="138"/>
      <c r="C211" s="22"/>
      <c r="D211" s="138"/>
      <c r="E211" s="138"/>
      <c r="F211" s="22"/>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M211" s="138"/>
      <c r="AN211" s="138"/>
      <c r="AO211" s="138"/>
      <c r="AP211" s="138"/>
      <c r="AQ211" s="138"/>
      <c r="AR211" s="138"/>
      <c r="AS211" s="138"/>
      <c r="AT211" s="138"/>
      <c r="AU211" s="138"/>
      <c r="AV211" s="138"/>
      <c r="AW211" s="138"/>
      <c r="AX211" s="138"/>
      <c r="AY211" s="138"/>
      <c r="AZ211" s="138"/>
      <c r="BA211" s="138"/>
      <c r="BB211" s="138"/>
      <c r="BC211" s="138"/>
      <c r="BD211" s="138"/>
      <c r="BE211" s="138"/>
      <c r="BF211" s="138"/>
      <c r="BG211" s="138"/>
      <c r="BH211" s="138"/>
      <c r="BI211" s="138"/>
      <c r="BJ211" s="138"/>
      <c r="BK211" s="138"/>
      <c r="BL211" s="138"/>
      <c r="BM211" s="138"/>
      <c r="BN211" s="138"/>
      <c r="BO211" s="138"/>
      <c r="BP211" s="138"/>
      <c r="BQ211" s="138"/>
      <c r="BR211" s="138"/>
      <c r="BS211" s="138"/>
      <c r="BT211" s="138"/>
      <c r="BU211" s="138"/>
      <c r="BV211" s="138"/>
      <c r="BW211" s="138"/>
      <c r="BX211" s="138"/>
      <c r="BY211" s="138"/>
      <c r="BZ211" s="138"/>
      <c r="CA211" s="138"/>
      <c r="CB211" s="138"/>
      <c r="CC211" s="138"/>
      <c r="CD211" s="138"/>
      <c r="CE211" s="138"/>
    </row>
    <row r="212" spans="1:83" ht="12" customHeight="1">
      <c r="A212" s="138"/>
      <c r="B212" s="138"/>
      <c r="C212" s="138"/>
      <c r="D212" s="138"/>
      <c r="E212" s="138"/>
      <c r="F212" s="22"/>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138"/>
      <c r="AN212" s="138"/>
      <c r="AO212" s="138"/>
      <c r="AP212" s="138"/>
      <c r="AQ212" s="138"/>
      <c r="AR212" s="138"/>
      <c r="AS212" s="138"/>
      <c r="AT212" s="138"/>
      <c r="AU212" s="138"/>
      <c r="AV212" s="138"/>
      <c r="AW212" s="138"/>
      <c r="AX212" s="138"/>
      <c r="AY212" s="138"/>
      <c r="AZ212" s="138"/>
      <c r="BA212" s="138"/>
      <c r="BB212" s="138"/>
      <c r="BC212" s="138"/>
      <c r="BD212" s="138"/>
      <c r="BE212" s="138"/>
      <c r="BF212" s="138"/>
      <c r="BG212" s="138"/>
      <c r="BH212" s="138"/>
      <c r="BI212" s="138"/>
      <c r="BJ212" s="138"/>
      <c r="BK212" s="138"/>
      <c r="BL212" s="138"/>
      <c r="BM212" s="138"/>
      <c r="BN212" s="138"/>
      <c r="BO212" s="138"/>
      <c r="BP212" s="138"/>
      <c r="BQ212" s="138"/>
      <c r="BR212" s="138"/>
      <c r="BS212" s="138"/>
      <c r="BT212" s="138"/>
      <c r="BU212" s="138"/>
      <c r="BV212" s="138"/>
      <c r="BW212" s="138"/>
      <c r="BX212" s="138"/>
      <c r="BY212" s="138"/>
      <c r="BZ212" s="138"/>
      <c r="CA212" s="138"/>
      <c r="CB212" s="138"/>
      <c r="CC212" s="138"/>
      <c r="CD212" s="138"/>
      <c r="CE212" s="138"/>
    </row>
    <row r="213" spans="1:83" ht="12" customHeight="1">
      <c r="A213" s="138"/>
      <c r="B213" s="138"/>
      <c r="C213" s="22"/>
      <c r="D213" s="22"/>
      <c r="E213" s="22"/>
      <c r="F213" s="22"/>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c r="AN213" s="138"/>
      <c r="AO213" s="138"/>
      <c r="AP213" s="138"/>
      <c r="AQ213" s="138"/>
      <c r="AR213" s="138"/>
      <c r="AS213" s="138"/>
      <c r="AT213" s="138"/>
      <c r="AU213" s="138"/>
      <c r="AV213" s="138"/>
      <c r="AW213" s="138"/>
      <c r="AX213" s="138"/>
      <c r="AY213" s="138"/>
      <c r="AZ213" s="138"/>
      <c r="BA213" s="138"/>
      <c r="BB213" s="138"/>
      <c r="BC213" s="138"/>
      <c r="BD213" s="138"/>
      <c r="BE213" s="138"/>
      <c r="BF213" s="138"/>
      <c r="BG213" s="138"/>
      <c r="BH213" s="138"/>
      <c r="BI213" s="138"/>
      <c r="BJ213" s="138"/>
      <c r="BK213" s="138"/>
      <c r="BL213" s="138"/>
      <c r="BM213" s="138"/>
      <c r="BN213" s="138"/>
      <c r="BO213" s="138"/>
      <c r="BP213" s="138"/>
      <c r="BQ213" s="138"/>
      <c r="BR213" s="138"/>
      <c r="BS213" s="138"/>
      <c r="BT213" s="138"/>
      <c r="BU213" s="138"/>
      <c r="BV213" s="138"/>
      <c r="BW213" s="138"/>
      <c r="BX213" s="138"/>
      <c r="BY213" s="138"/>
      <c r="BZ213" s="138"/>
      <c r="CA213" s="138"/>
      <c r="CB213" s="138"/>
      <c r="CC213" s="138"/>
      <c r="CD213" s="138"/>
      <c r="CE213" s="138"/>
    </row>
    <row r="214" spans="1:83" ht="12" customHeight="1">
      <c r="A214" s="138"/>
      <c r="B214" s="138"/>
      <c r="C214" s="138"/>
      <c r="D214" s="138"/>
      <c r="E214" s="138"/>
      <c r="F214" s="22"/>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38"/>
      <c r="BB214" s="138"/>
      <c r="BC214" s="138"/>
      <c r="BD214" s="138"/>
      <c r="BE214" s="138"/>
      <c r="BF214" s="138"/>
      <c r="BG214" s="138"/>
      <c r="BH214" s="138"/>
      <c r="BI214" s="138"/>
      <c r="BJ214" s="138"/>
      <c r="BK214" s="138"/>
      <c r="BL214" s="138"/>
      <c r="BM214" s="138"/>
      <c r="BN214" s="138"/>
      <c r="BO214" s="138"/>
      <c r="BP214" s="138"/>
      <c r="BQ214" s="138"/>
      <c r="BR214" s="138"/>
      <c r="BS214" s="138"/>
      <c r="BT214" s="138"/>
      <c r="BU214" s="138"/>
      <c r="BV214" s="138"/>
      <c r="BW214" s="138"/>
      <c r="BX214" s="138"/>
      <c r="BY214" s="138"/>
      <c r="BZ214" s="138"/>
      <c r="CA214" s="138"/>
      <c r="CB214" s="138"/>
      <c r="CC214" s="138"/>
      <c r="CD214" s="138"/>
      <c r="CE214" s="138"/>
    </row>
    <row r="215" spans="1:83" ht="12" customHeight="1">
      <c r="A215" s="138"/>
      <c r="B215" s="138"/>
      <c r="C215" s="138"/>
      <c r="D215" s="138"/>
      <c r="E215" s="138"/>
      <c r="F215" s="22"/>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38"/>
      <c r="CB215" s="138"/>
      <c r="CC215" s="138"/>
      <c r="CD215" s="138"/>
      <c r="CE215" s="138"/>
    </row>
    <row r="216" spans="1:83" ht="12" customHeight="1">
      <c r="A216" s="138"/>
      <c r="B216" s="138"/>
      <c r="C216" s="138"/>
      <c r="D216" s="22"/>
      <c r="E216" s="22"/>
      <c r="F216" s="22"/>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38"/>
      <c r="BB216" s="138"/>
      <c r="BC216" s="138"/>
      <c r="BD216" s="138"/>
      <c r="BE216" s="138"/>
      <c r="BF216" s="138"/>
      <c r="BG216" s="138"/>
      <c r="BH216" s="138"/>
      <c r="BI216" s="138"/>
      <c r="BJ216" s="138"/>
      <c r="BK216" s="138"/>
      <c r="BL216" s="138"/>
      <c r="BM216" s="138"/>
      <c r="BN216" s="138"/>
      <c r="BO216" s="138"/>
      <c r="BP216" s="138"/>
      <c r="BQ216" s="138"/>
      <c r="BR216" s="138"/>
      <c r="BS216" s="138"/>
      <c r="BT216" s="138"/>
      <c r="BU216" s="138"/>
      <c r="BV216" s="138"/>
      <c r="BW216" s="138"/>
      <c r="BX216" s="138"/>
      <c r="BY216" s="138"/>
      <c r="BZ216" s="138"/>
      <c r="CA216" s="138"/>
      <c r="CB216" s="138"/>
      <c r="CC216" s="138"/>
      <c r="CD216" s="138"/>
      <c r="CE216" s="138"/>
    </row>
    <row r="217" spans="1:83" ht="12" customHeight="1">
      <c r="A217" s="138"/>
      <c r="B217" s="138"/>
      <c r="C217" s="138"/>
      <c r="D217" s="22"/>
      <c r="E217" s="22"/>
      <c r="F217" s="22"/>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M217" s="138"/>
      <c r="AN217" s="138"/>
      <c r="AO217" s="138"/>
      <c r="AP217" s="138"/>
      <c r="AQ217" s="138"/>
      <c r="AR217" s="138"/>
      <c r="AS217" s="138"/>
      <c r="AT217" s="138"/>
      <c r="AU217" s="138"/>
      <c r="AV217" s="138"/>
      <c r="AW217" s="138"/>
      <c r="AX217" s="138"/>
      <c r="AY217" s="138"/>
      <c r="AZ217" s="138"/>
      <c r="BA217" s="138"/>
      <c r="BB217" s="138"/>
      <c r="BC217" s="138"/>
      <c r="BD217" s="138"/>
      <c r="BE217" s="138"/>
      <c r="BF217" s="138"/>
      <c r="BG217" s="138"/>
      <c r="BH217" s="138"/>
      <c r="BI217" s="138"/>
      <c r="BJ217" s="138"/>
      <c r="BK217" s="138"/>
      <c r="BL217" s="138"/>
      <c r="BM217" s="138"/>
      <c r="BN217" s="138"/>
      <c r="BO217" s="138"/>
      <c r="BP217" s="138"/>
      <c r="BQ217" s="138"/>
      <c r="BR217" s="138"/>
      <c r="BS217" s="138"/>
      <c r="BT217" s="138"/>
      <c r="BU217" s="138"/>
      <c r="BV217" s="138"/>
      <c r="BW217" s="138"/>
      <c r="BX217" s="138"/>
      <c r="BY217" s="138"/>
      <c r="BZ217" s="138"/>
      <c r="CA217" s="138"/>
      <c r="CB217" s="138"/>
      <c r="CC217" s="138"/>
      <c r="CD217" s="138"/>
      <c r="CE217" s="138"/>
    </row>
    <row r="218" spans="1:83" ht="12" customHeight="1">
      <c r="A218" s="138"/>
      <c r="B218" s="138"/>
      <c r="C218" s="138"/>
      <c r="D218" s="22"/>
      <c r="E218" s="22"/>
      <c r="F218" s="22"/>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38"/>
      <c r="BB218" s="138"/>
      <c r="BC218" s="138"/>
      <c r="BD218" s="138"/>
      <c r="BE218" s="138"/>
      <c r="BF218" s="138"/>
      <c r="BG218" s="138"/>
      <c r="BH218" s="138"/>
      <c r="BI218" s="138"/>
      <c r="BJ218" s="138"/>
      <c r="BK218" s="138"/>
      <c r="BL218" s="138"/>
      <c r="BM218" s="138"/>
      <c r="BN218" s="138"/>
      <c r="BO218" s="138"/>
      <c r="BP218" s="138"/>
      <c r="BQ218" s="138"/>
      <c r="BR218" s="138"/>
      <c r="BS218" s="138"/>
      <c r="BT218" s="138"/>
      <c r="BU218" s="138"/>
      <c r="BV218" s="138"/>
      <c r="BW218" s="138"/>
      <c r="BX218" s="138"/>
      <c r="BY218" s="138"/>
      <c r="BZ218" s="138"/>
      <c r="CA218" s="138"/>
      <c r="CB218" s="138"/>
      <c r="CC218" s="138"/>
      <c r="CD218" s="138"/>
      <c r="CE218" s="138"/>
    </row>
    <row r="219" spans="1:83" ht="12" customHeight="1">
      <c r="A219" s="138"/>
      <c r="B219" s="138"/>
      <c r="C219" s="138"/>
      <c r="D219" s="22"/>
      <c r="E219" s="22"/>
      <c r="F219" s="22"/>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M219" s="138"/>
      <c r="AN219" s="138"/>
      <c r="AO219" s="138"/>
      <c r="AP219" s="138"/>
      <c r="AQ219" s="138"/>
      <c r="AR219" s="138"/>
      <c r="AS219" s="138"/>
      <c r="AT219" s="138"/>
      <c r="AU219" s="138"/>
      <c r="AV219" s="138"/>
      <c r="AW219" s="138"/>
      <c r="AX219" s="138"/>
      <c r="AY219" s="138"/>
      <c r="AZ219" s="138"/>
      <c r="BA219" s="138"/>
      <c r="BB219" s="138"/>
      <c r="BC219" s="138"/>
      <c r="BD219" s="138"/>
      <c r="BE219" s="138"/>
      <c r="BF219" s="138"/>
      <c r="BG219" s="138"/>
      <c r="BH219" s="138"/>
      <c r="BI219" s="138"/>
      <c r="BJ219" s="138"/>
      <c r="BK219" s="138"/>
      <c r="BL219" s="138"/>
      <c r="BM219" s="138"/>
      <c r="BN219" s="138"/>
      <c r="BO219" s="138"/>
      <c r="BP219" s="138"/>
      <c r="BQ219" s="138"/>
      <c r="BR219" s="138"/>
      <c r="BS219" s="138"/>
      <c r="BT219" s="138"/>
      <c r="BU219" s="138"/>
      <c r="BV219" s="138"/>
      <c r="BW219" s="138"/>
      <c r="BX219" s="138"/>
      <c r="BY219" s="138"/>
      <c r="BZ219" s="138"/>
      <c r="CA219" s="138"/>
      <c r="CB219" s="138"/>
      <c r="CC219" s="138"/>
      <c r="CD219" s="138"/>
      <c r="CE219" s="138"/>
    </row>
    <row r="220" spans="1:83" ht="12" customHeight="1">
      <c r="A220" s="138"/>
      <c r="B220" s="138"/>
      <c r="C220" s="138"/>
      <c r="D220" s="22"/>
      <c r="E220" s="22"/>
      <c r="F220" s="22"/>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38"/>
      <c r="BB220" s="138"/>
      <c r="BC220" s="138"/>
      <c r="BD220" s="138"/>
      <c r="BE220" s="138"/>
      <c r="BF220" s="138"/>
      <c r="BG220" s="138"/>
      <c r="BH220" s="138"/>
      <c r="BI220" s="138"/>
      <c r="BJ220" s="138"/>
      <c r="BK220" s="138"/>
      <c r="BL220" s="138"/>
      <c r="BM220" s="138"/>
      <c r="BN220" s="138"/>
      <c r="BO220" s="138"/>
      <c r="BP220" s="138"/>
      <c r="BQ220" s="138"/>
      <c r="BR220" s="138"/>
      <c r="BS220" s="138"/>
      <c r="BT220" s="138"/>
      <c r="BU220" s="138"/>
      <c r="BV220" s="138"/>
      <c r="BW220" s="138"/>
      <c r="BX220" s="138"/>
      <c r="BY220" s="138"/>
      <c r="BZ220" s="138"/>
      <c r="CA220" s="138"/>
      <c r="CB220" s="138"/>
      <c r="CC220" s="138"/>
      <c r="CD220" s="138"/>
      <c r="CE220" s="138"/>
    </row>
    <row r="221" spans="1:83" ht="12" customHeight="1">
      <c r="A221" s="138"/>
      <c r="B221" s="138"/>
      <c r="C221" s="138"/>
      <c r="D221" s="22"/>
      <c r="E221" s="22"/>
      <c r="F221" s="22"/>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38"/>
      <c r="CB221" s="138"/>
      <c r="CC221" s="138"/>
      <c r="CD221" s="138"/>
      <c r="CE221" s="138"/>
    </row>
    <row r="222" spans="1:83" ht="12" customHeight="1">
      <c r="A222" s="138"/>
      <c r="B222" s="138"/>
      <c r="C222" s="138"/>
      <c r="D222" s="22"/>
      <c r="E222" s="22"/>
      <c r="F222" s="22"/>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38"/>
      <c r="BB222" s="138"/>
      <c r="BC222" s="138"/>
      <c r="BD222" s="138"/>
      <c r="BE222" s="138"/>
      <c r="BF222" s="138"/>
      <c r="BG222" s="138"/>
      <c r="BH222" s="138"/>
      <c r="BI222" s="138"/>
      <c r="BJ222" s="138"/>
      <c r="BK222" s="138"/>
      <c r="BL222" s="138"/>
      <c r="BM222" s="138"/>
      <c r="BN222" s="138"/>
      <c r="BO222" s="138"/>
      <c r="BP222" s="138"/>
      <c r="BQ222" s="138"/>
      <c r="BR222" s="138"/>
      <c r="BS222" s="138"/>
      <c r="BT222" s="138"/>
      <c r="BU222" s="138"/>
      <c r="BV222" s="138"/>
      <c r="BW222" s="138"/>
      <c r="BX222" s="138"/>
      <c r="BY222" s="138"/>
      <c r="BZ222" s="138"/>
      <c r="CA222" s="138"/>
      <c r="CB222" s="138"/>
      <c r="CC222" s="138"/>
      <c r="CD222" s="138"/>
      <c r="CE222" s="138"/>
    </row>
    <row r="223" spans="1:83" ht="12" customHeight="1">
      <c r="A223" s="138"/>
      <c r="B223" s="138"/>
      <c r="C223" s="138"/>
      <c r="D223" s="22"/>
      <c r="E223" s="22"/>
      <c r="F223" s="22"/>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38"/>
      <c r="BB223" s="138"/>
      <c r="BC223" s="138"/>
      <c r="BD223" s="138"/>
      <c r="BE223" s="138"/>
      <c r="BF223" s="138"/>
      <c r="BG223" s="138"/>
      <c r="BH223" s="138"/>
      <c r="BI223" s="138"/>
      <c r="BJ223" s="138"/>
      <c r="BK223" s="138"/>
      <c r="BL223" s="138"/>
      <c r="BM223" s="138"/>
      <c r="BN223" s="138"/>
      <c r="BO223" s="138"/>
      <c r="BP223" s="138"/>
      <c r="BQ223" s="138"/>
      <c r="BR223" s="138"/>
      <c r="BS223" s="138"/>
      <c r="BT223" s="138"/>
      <c r="BU223" s="138"/>
      <c r="BV223" s="138"/>
      <c r="BW223" s="138"/>
      <c r="BX223" s="138"/>
      <c r="BY223" s="138"/>
      <c r="BZ223" s="138"/>
      <c r="CA223" s="138"/>
      <c r="CB223" s="138"/>
      <c r="CC223" s="138"/>
      <c r="CD223" s="138"/>
      <c r="CE223" s="138"/>
    </row>
    <row r="224" spans="1:83" ht="12" customHeight="1">
      <c r="A224" s="138"/>
      <c r="B224" s="138"/>
      <c r="C224" s="138"/>
      <c r="D224" s="22"/>
      <c r="E224" s="22"/>
      <c r="F224" s="22"/>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38"/>
      <c r="BB224" s="138"/>
      <c r="BC224" s="138"/>
      <c r="BD224" s="138"/>
      <c r="BE224" s="138"/>
      <c r="BF224" s="138"/>
      <c r="BG224" s="138"/>
      <c r="BH224" s="138"/>
      <c r="BI224" s="138"/>
      <c r="BJ224" s="138"/>
      <c r="BK224" s="138"/>
      <c r="BL224" s="138"/>
      <c r="BM224" s="138"/>
      <c r="BN224" s="138"/>
      <c r="BO224" s="138"/>
      <c r="BP224" s="138"/>
      <c r="BQ224" s="138"/>
      <c r="BR224" s="138"/>
      <c r="BS224" s="138"/>
      <c r="BT224" s="138"/>
      <c r="BU224" s="138"/>
      <c r="BV224" s="138"/>
      <c r="BW224" s="138"/>
      <c r="BX224" s="138"/>
      <c r="BY224" s="138"/>
      <c r="BZ224" s="138"/>
      <c r="CA224" s="138"/>
      <c r="CB224" s="138"/>
      <c r="CC224" s="138"/>
      <c r="CD224" s="138"/>
      <c r="CE224" s="138"/>
    </row>
    <row r="225" spans="1:83" ht="12" customHeight="1">
      <c r="A225" s="138"/>
      <c r="B225" s="138"/>
      <c r="C225" s="138"/>
      <c r="D225" s="22"/>
      <c r="E225" s="22"/>
      <c r="F225" s="22"/>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38"/>
      <c r="BB225" s="138"/>
      <c r="BC225" s="138"/>
      <c r="BD225" s="138"/>
      <c r="BE225" s="138"/>
      <c r="BF225" s="138"/>
      <c r="BG225" s="138"/>
      <c r="BH225" s="138"/>
      <c r="BI225" s="138"/>
      <c r="BJ225" s="138"/>
      <c r="BK225" s="138"/>
      <c r="BL225" s="138"/>
      <c r="BM225" s="138"/>
      <c r="BN225" s="138"/>
      <c r="BO225" s="138"/>
      <c r="BP225" s="138"/>
      <c r="BQ225" s="138"/>
      <c r="BR225" s="138"/>
      <c r="BS225" s="138"/>
      <c r="BT225" s="138"/>
      <c r="BU225" s="138"/>
      <c r="BV225" s="138"/>
      <c r="BW225" s="138"/>
      <c r="BX225" s="138"/>
      <c r="BY225" s="138"/>
      <c r="BZ225" s="138"/>
      <c r="CA225" s="138"/>
      <c r="CB225" s="138"/>
      <c r="CC225" s="138"/>
      <c r="CD225" s="138"/>
      <c r="CE225" s="138"/>
    </row>
    <row r="226" spans="1:83" ht="12" customHeight="1">
      <c r="A226" s="138"/>
      <c r="B226" s="138"/>
      <c r="C226" s="138"/>
      <c r="D226" s="22"/>
      <c r="E226" s="22"/>
      <c r="F226" s="22"/>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38"/>
      <c r="BB226" s="138"/>
      <c r="BC226" s="138"/>
      <c r="BD226" s="138"/>
      <c r="BE226" s="138"/>
      <c r="BF226" s="138"/>
      <c r="BG226" s="138"/>
      <c r="BH226" s="138"/>
      <c r="BI226" s="138"/>
      <c r="BJ226" s="138"/>
      <c r="BK226" s="138"/>
      <c r="BL226" s="138"/>
      <c r="BM226" s="138"/>
      <c r="BN226" s="138"/>
      <c r="BO226" s="138"/>
      <c r="BP226" s="138"/>
      <c r="BQ226" s="138"/>
      <c r="BR226" s="138"/>
      <c r="BS226" s="138"/>
      <c r="BT226" s="138"/>
      <c r="BU226" s="138"/>
      <c r="BV226" s="138"/>
      <c r="BW226" s="138"/>
      <c r="BX226" s="138"/>
      <c r="BY226" s="138"/>
      <c r="BZ226" s="138"/>
      <c r="CA226" s="138"/>
      <c r="CB226" s="138"/>
      <c r="CC226" s="138"/>
      <c r="CD226" s="138"/>
      <c r="CE226" s="138"/>
    </row>
    <row r="227" spans="1:83" ht="12" customHeight="1">
      <c r="A227" s="138"/>
      <c r="B227" s="138"/>
      <c r="C227" s="138"/>
      <c r="D227" s="22"/>
      <c r="E227" s="22"/>
      <c r="F227" s="22"/>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row>
    <row r="228" spans="1:83" ht="12" customHeight="1">
      <c r="A228" s="138"/>
      <c r="B228" s="138"/>
      <c r="C228" s="138"/>
      <c r="D228" s="22"/>
      <c r="E228" s="22"/>
      <c r="F228" s="22"/>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38"/>
      <c r="BB228" s="138"/>
      <c r="BC228" s="138"/>
      <c r="BD228" s="138"/>
      <c r="BE228" s="138"/>
      <c r="BF228" s="138"/>
      <c r="BG228" s="138"/>
      <c r="BH228" s="138"/>
      <c r="BI228" s="138"/>
      <c r="BJ228" s="138"/>
      <c r="BK228" s="138"/>
      <c r="BL228" s="138"/>
      <c r="BM228" s="138"/>
      <c r="BN228" s="138"/>
      <c r="BO228" s="138"/>
      <c r="BP228" s="138"/>
      <c r="BQ228" s="138"/>
      <c r="BR228" s="138"/>
      <c r="BS228" s="138"/>
      <c r="BT228" s="138"/>
      <c r="BU228" s="138"/>
      <c r="BV228" s="138"/>
      <c r="BW228" s="138"/>
      <c r="BX228" s="138"/>
      <c r="BY228" s="138"/>
      <c r="BZ228" s="138"/>
      <c r="CA228" s="138"/>
      <c r="CB228" s="138"/>
      <c r="CC228" s="138"/>
      <c r="CD228" s="138"/>
      <c r="CE228" s="138"/>
    </row>
    <row r="229" spans="1:83" ht="12" customHeight="1">
      <c r="A229" s="138"/>
      <c r="B229" s="138"/>
      <c r="C229" s="138"/>
      <c r="D229" s="22"/>
      <c r="E229" s="22"/>
      <c r="F229" s="22"/>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38"/>
      <c r="BB229" s="138"/>
      <c r="BC229" s="138"/>
      <c r="BD229" s="138"/>
      <c r="BE229" s="138"/>
      <c r="BF229" s="138"/>
      <c r="BG229" s="138"/>
      <c r="BH229" s="138"/>
      <c r="BI229" s="138"/>
      <c r="BJ229" s="138"/>
      <c r="BK229" s="138"/>
      <c r="BL229" s="138"/>
      <c r="BM229" s="138"/>
      <c r="BN229" s="138"/>
      <c r="BO229" s="138"/>
      <c r="BP229" s="138"/>
      <c r="BQ229" s="138"/>
      <c r="BR229" s="138"/>
      <c r="BS229" s="138"/>
      <c r="BT229" s="138"/>
      <c r="BU229" s="138"/>
      <c r="BV229" s="138"/>
      <c r="BW229" s="138"/>
      <c r="BX229" s="138"/>
      <c r="BY229" s="138"/>
      <c r="BZ229" s="138"/>
      <c r="CA229" s="138"/>
      <c r="CB229" s="138"/>
      <c r="CC229" s="138"/>
      <c r="CD229" s="138"/>
      <c r="CE229" s="138"/>
    </row>
    <row r="230" spans="1:83" ht="12" customHeight="1">
      <c r="A230" s="138"/>
      <c r="B230" s="138"/>
      <c r="C230" s="138"/>
      <c r="D230" s="22"/>
      <c r="E230" s="22"/>
      <c r="F230" s="22"/>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38"/>
      <c r="BB230" s="138"/>
      <c r="BC230" s="138"/>
      <c r="BD230" s="138"/>
      <c r="BE230" s="138"/>
      <c r="BF230" s="138"/>
      <c r="BG230" s="138"/>
      <c r="BH230" s="138"/>
      <c r="BI230" s="138"/>
      <c r="BJ230" s="138"/>
      <c r="BK230" s="138"/>
      <c r="BL230" s="138"/>
      <c r="BM230" s="138"/>
      <c r="BN230" s="138"/>
      <c r="BO230" s="138"/>
      <c r="BP230" s="138"/>
      <c r="BQ230" s="138"/>
      <c r="BR230" s="138"/>
      <c r="BS230" s="138"/>
      <c r="BT230" s="138"/>
      <c r="BU230" s="138"/>
      <c r="BV230" s="138"/>
      <c r="BW230" s="138"/>
      <c r="BX230" s="138"/>
      <c r="BY230" s="138"/>
      <c r="BZ230" s="138"/>
      <c r="CA230" s="138"/>
      <c r="CB230" s="138"/>
      <c r="CC230" s="138"/>
      <c r="CD230" s="138"/>
      <c r="CE230" s="138"/>
    </row>
    <row r="231" spans="1:83" ht="12" customHeight="1">
      <c r="A231" s="138"/>
      <c r="B231" s="138"/>
      <c r="C231" s="138"/>
      <c r="D231" s="22"/>
      <c r="E231" s="22"/>
      <c r="F231" s="22"/>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c r="AR231" s="138"/>
      <c r="AS231" s="138"/>
      <c r="AT231" s="138"/>
      <c r="AU231" s="138"/>
      <c r="AV231" s="138"/>
      <c r="AW231" s="138"/>
      <c r="AX231" s="138"/>
      <c r="AY231" s="138"/>
      <c r="AZ231" s="138"/>
      <c r="BA231" s="138"/>
      <c r="BB231" s="138"/>
      <c r="BC231" s="138"/>
      <c r="BD231" s="138"/>
      <c r="BE231" s="138"/>
      <c r="BF231" s="138"/>
      <c r="BG231" s="138"/>
      <c r="BH231" s="138"/>
      <c r="BI231" s="138"/>
      <c r="BJ231" s="138"/>
      <c r="BK231" s="138"/>
      <c r="BL231" s="138"/>
      <c r="BM231" s="138"/>
      <c r="BN231" s="138"/>
      <c r="BO231" s="138"/>
      <c r="BP231" s="138"/>
      <c r="BQ231" s="138"/>
      <c r="BR231" s="138"/>
      <c r="BS231" s="138"/>
      <c r="BT231" s="138"/>
      <c r="BU231" s="138"/>
      <c r="BV231" s="138"/>
      <c r="BW231" s="138"/>
      <c r="BX231" s="138"/>
      <c r="BY231" s="138"/>
      <c r="BZ231" s="138"/>
      <c r="CA231" s="138"/>
      <c r="CB231" s="138"/>
      <c r="CC231" s="138"/>
      <c r="CD231" s="138"/>
      <c r="CE231" s="138"/>
    </row>
    <row r="232" spans="1:83" ht="12" customHeight="1">
      <c r="A232" s="138"/>
      <c r="B232" s="138"/>
      <c r="C232" s="138"/>
      <c r="D232" s="22"/>
      <c r="E232" s="22"/>
      <c r="F232" s="22"/>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38"/>
      <c r="BB232" s="138"/>
      <c r="BC232" s="138"/>
      <c r="BD232" s="138"/>
      <c r="BE232" s="138"/>
      <c r="BF232" s="138"/>
      <c r="BG232" s="138"/>
      <c r="BH232" s="138"/>
      <c r="BI232" s="138"/>
      <c r="BJ232" s="138"/>
      <c r="BK232" s="138"/>
      <c r="BL232" s="138"/>
      <c r="BM232" s="138"/>
      <c r="BN232" s="138"/>
      <c r="BO232" s="138"/>
      <c r="BP232" s="138"/>
      <c r="BQ232" s="138"/>
      <c r="BR232" s="138"/>
      <c r="BS232" s="138"/>
      <c r="BT232" s="138"/>
      <c r="BU232" s="138"/>
      <c r="BV232" s="138"/>
      <c r="BW232" s="138"/>
      <c r="BX232" s="138"/>
      <c r="BY232" s="138"/>
      <c r="BZ232" s="138"/>
      <c r="CA232" s="138"/>
      <c r="CB232" s="138"/>
      <c r="CC232" s="138"/>
      <c r="CD232" s="138"/>
      <c r="CE232" s="138"/>
    </row>
    <row r="233" spans="1:83" ht="12" customHeight="1">
      <c r="A233" s="138"/>
      <c r="B233" s="138"/>
      <c r="C233" s="138"/>
      <c r="D233" s="22"/>
      <c r="E233" s="22"/>
      <c r="F233" s="22"/>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38"/>
      <c r="CB233" s="138"/>
      <c r="CC233" s="138"/>
      <c r="CD233" s="138"/>
      <c r="CE233" s="138"/>
    </row>
    <row r="234" spans="1:83" ht="12" customHeight="1">
      <c r="A234" s="138"/>
      <c r="B234" s="138"/>
      <c r="C234" s="138"/>
      <c r="D234" s="22"/>
      <c r="E234" s="22"/>
      <c r="F234" s="22"/>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c r="AS234" s="138"/>
      <c r="AT234" s="138"/>
      <c r="AU234" s="138"/>
      <c r="AV234" s="138"/>
      <c r="AW234" s="138"/>
      <c r="AX234" s="138"/>
      <c r="AY234" s="138"/>
      <c r="AZ234" s="138"/>
      <c r="BA234" s="138"/>
      <c r="BB234" s="138"/>
      <c r="BC234" s="138"/>
      <c r="BD234" s="138"/>
      <c r="BE234" s="138"/>
      <c r="BF234" s="138"/>
      <c r="BG234" s="138"/>
      <c r="BH234" s="138"/>
      <c r="BI234" s="138"/>
      <c r="BJ234" s="138"/>
      <c r="BK234" s="138"/>
      <c r="BL234" s="138"/>
      <c r="BM234" s="138"/>
      <c r="BN234" s="138"/>
      <c r="BO234" s="138"/>
      <c r="BP234" s="138"/>
      <c r="BQ234" s="138"/>
      <c r="BR234" s="138"/>
      <c r="BS234" s="138"/>
      <c r="BT234" s="138"/>
      <c r="BU234" s="138"/>
      <c r="BV234" s="138"/>
      <c r="BW234" s="138"/>
      <c r="BX234" s="138"/>
      <c r="BY234" s="138"/>
      <c r="BZ234" s="138"/>
      <c r="CA234" s="138"/>
      <c r="CB234" s="138"/>
      <c r="CC234" s="138"/>
      <c r="CD234" s="138"/>
      <c r="CE234" s="138"/>
    </row>
    <row r="235" spans="1:83" ht="12" customHeight="1">
      <c r="A235" s="138"/>
      <c r="B235" s="138"/>
      <c r="C235" s="138"/>
      <c r="D235" s="22"/>
      <c r="E235" s="22"/>
      <c r="F235" s="22"/>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38"/>
      <c r="BB235" s="138"/>
      <c r="BC235" s="138"/>
      <c r="BD235" s="138"/>
      <c r="BE235" s="138"/>
      <c r="BF235" s="138"/>
      <c r="BG235" s="138"/>
      <c r="BH235" s="138"/>
      <c r="BI235" s="138"/>
      <c r="BJ235" s="138"/>
      <c r="BK235" s="138"/>
      <c r="BL235" s="138"/>
      <c r="BM235" s="138"/>
      <c r="BN235" s="138"/>
      <c r="BO235" s="138"/>
      <c r="BP235" s="138"/>
      <c r="BQ235" s="138"/>
      <c r="BR235" s="138"/>
      <c r="BS235" s="138"/>
      <c r="BT235" s="138"/>
      <c r="BU235" s="138"/>
      <c r="BV235" s="138"/>
      <c r="BW235" s="138"/>
      <c r="BX235" s="138"/>
      <c r="BY235" s="138"/>
      <c r="BZ235" s="138"/>
      <c r="CA235" s="138"/>
      <c r="CB235" s="138"/>
      <c r="CC235" s="138"/>
      <c r="CD235" s="138"/>
      <c r="CE235" s="138"/>
    </row>
    <row r="236" spans="1:83" ht="12" customHeight="1">
      <c r="A236" s="138"/>
      <c r="B236" s="138"/>
      <c r="C236" s="138"/>
      <c r="D236" s="22"/>
      <c r="E236" s="22"/>
      <c r="F236" s="22"/>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c r="AN236" s="138"/>
      <c r="AO236" s="138"/>
      <c r="AP236" s="138"/>
      <c r="AQ236" s="138"/>
      <c r="AR236" s="138"/>
      <c r="AS236" s="138"/>
      <c r="AT236" s="138"/>
      <c r="AU236" s="138"/>
      <c r="AV236" s="138"/>
      <c r="AW236" s="138"/>
      <c r="AX236" s="138"/>
      <c r="AY236" s="138"/>
      <c r="AZ236" s="138"/>
      <c r="BA236" s="138"/>
      <c r="BB236" s="138"/>
      <c r="BC236" s="138"/>
      <c r="BD236" s="138"/>
      <c r="BE236" s="138"/>
      <c r="BF236" s="138"/>
      <c r="BG236" s="138"/>
      <c r="BH236" s="138"/>
      <c r="BI236" s="138"/>
      <c r="BJ236" s="138"/>
      <c r="BK236" s="138"/>
      <c r="BL236" s="138"/>
      <c r="BM236" s="138"/>
      <c r="BN236" s="138"/>
      <c r="BO236" s="138"/>
      <c r="BP236" s="138"/>
      <c r="BQ236" s="138"/>
      <c r="BR236" s="138"/>
      <c r="BS236" s="138"/>
      <c r="BT236" s="138"/>
      <c r="BU236" s="138"/>
      <c r="BV236" s="138"/>
      <c r="BW236" s="138"/>
      <c r="BX236" s="138"/>
      <c r="BY236" s="138"/>
      <c r="BZ236" s="138"/>
      <c r="CA236" s="138"/>
      <c r="CB236" s="138"/>
      <c r="CC236" s="138"/>
      <c r="CD236" s="138"/>
      <c r="CE236" s="138"/>
    </row>
    <row r="237" spans="1:83" ht="12" customHeight="1">
      <c r="A237" s="138"/>
      <c r="B237" s="138"/>
      <c r="C237" s="138"/>
      <c r="D237" s="22"/>
      <c r="E237" s="22"/>
      <c r="F237" s="22"/>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B237" s="138"/>
      <c r="BC237" s="138"/>
      <c r="BD237" s="138"/>
      <c r="BE237" s="138"/>
      <c r="BF237" s="138"/>
      <c r="BG237" s="138"/>
      <c r="BH237" s="138"/>
      <c r="BI237" s="138"/>
      <c r="BJ237" s="138"/>
      <c r="BK237" s="138"/>
      <c r="BL237" s="138"/>
      <c r="BM237" s="138"/>
      <c r="BN237" s="138"/>
      <c r="BO237" s="138"/>
      <c r="BP237" s="138"/>
      <c r="BQ237" s="138"/>
      <c r="BR237" s="138"/>
      <c r="BS237" s="138"/>
      <c r="BT237" s="138"/>
      <c r="BU237" s="138"/>
      <c r="BV237" s="138"/>
      <c r="BW237" s="138"/>
      <c r="BX237" s="138"/>
      <c r="BY237" s="138"/>
      <c r="BZ237" s="138"/>
      <c r="CA237" s="138"/>
      <c r="CB237" s="138"/>
      <c r="CC237" s="138"/>
      <c r="CD237" s="138"/>
      <c r="CE237" s="138"/>
    </row>
    <row r="238" spans="1:83" ht="12" customHeight="1">
      <c r="A238" s="138"/>
      <c r="B238" s="138"/>
      <c r="C238" s="138"/>
      <c r="D238" s="22"/>
      <c r="E238" s="22"/>
      <c r="F238" s="22"/>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38"/>
      <c r="BB238" s="138"/>
      <c r="BC238" s="138"/>
      <c r="BD238" s="138"/>
      <c r="BE238" s="138"/>
      <c r="BF238" s="138"/>
      <c r="BG238" s="138"/>
      <c r="BH238" s="138"/>
      <c r="BI238" s="138"/>
      <c r="BJ238" s="138"/>
      <c r="BK238" s="138"/>
      <c r="BL238" s="138"/>
      <c r="BM238" s="138"/>
      <c r="BN238" s="138"/>
      <c r="BO238" s="138"/>
      <c r="BP238" s="138"/>
      <c r="BQ238" s="138"/>
      <c r="BR238" s="138"/>
      <c r="BS238" s="138"/>
      <c r="BT238" s="138"/>
      <c r="BU238" s="138"/>
      <c r="BV238" s="138"/>
      <c r="BW238" s="138"/>
      <c r="BX238" s="138"/>
      <c r="BY238" s="138"/>
      <c r="BZ238" s="138"/>
      <c r="CA238" s="138"/>
      <c r="CB238" s="138"/>
      <c r="CC238" s="138"/>
      <c r="CD238" s="138"/>
      <c r="CE238" s="138"/>
    </row>
    <row r="239" spans="1:83" ht="12" customHeight="1">
      <c r="A239" s="138"/>
      <c r="B239" s="138"/>
      <c r="C239" s="138"/>
      <c r="D239" s="22"/>
      <c r="E239" s="22"/>
      <c r="F239" s="22"/>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38"/>
      <c r="CB239" s="138"/>
      <c r="CC239" s="138"/>
      <c r="CD239" s="138"/>
      <c r="CE239" s="138"/>
    </row>
    <row r="240" spans="1:83" ht="12" customHeight="1">
      <c r="A240" s="138"/>
      <c r="B240" s="138"/>
      <c r="C240" s="138"/>
      <c r="D240" s="22"/>
      <c r="E240" s="22"/>
      <c r="F240" s="22"/>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38"/>
      <c r="BB240" s="138"/>
      <c r="BC240" s="138"/>
      <c r="BD240" s="138"/>
      <c r="BE240" s="138"/>
      <c r="BF240" s="138"/>
      <c r="BG240" s="138"/>
      <c r="BH240" s="138"/>
      <c r="BI240" s="138"/>
      <c r="BJ240" s="138"/>
      <c r="BK240" s="138"/>
      <c r="BL240" s="138"/>
      <c r="BM240" s="138"/>
      <c r="BN240" s="138"/>
      <c r="BO240" s="138"/>
      <c r="BP240" s="138"/>
      <c r="BQ240" s="138"/>
      <c r="BR240" s="138"/>
      <c r="BS240" s="138"/>
      <c r="BT240" s="138"/>
      <c r="BU240" s="138"/>
      <c r="BV240" s="138"/>
      <c r="BW240" s="138"/>
      <c r="BX240" s="138"/>
      <c r="BY240" s="138"/>
      <c r="BZ240" s="138"/>
      <c r="CA240" s="138"/>
      <c r="CB240" s="138"/>
      <c r="CC240" s="138"/>
      <c r="CD240" s="138"/>
      <c r="CE240" s="138"/>
    </row>
    <row r="241" spans="1:83" ht="12" customHeight="1">
      <c r="A241" s="138"/>
      <c r="B241" s="138"/>
      <c r="C241" s="138"/>
      <c r="D241" s="22"/>
      <c r="E241" s="22"/>
      <c r="F241" s="22"/>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38"/>
      <c r="BB241" s="138"/>
      <c r="BC241" s="138"/>
      <c r="BD241" s="138"/>
      <c r="BE241" s="138"/>
      <c r="BF241" s="138"/>
      <c r="BG241" s="138"/>
      <c r="BH241" s="138"/>
      <c r="BI241" s="138"/>
      <c r="BJ241" s="138"/>
      <c r="BK241" s="138"/>
      <c r="BL241" s="138"/>
      <c r="BM241" s="138"/>
      <c r="BN241" s="138"/>
      <c r="BO241" s="138"/>
      <c r="BP241" s="138"/>
      <c r="BQ241" s="138"/>
      <c r="BR241" s="138"/>
      <c r="BS241" s="138"/>
      <c r="BT241" s="138"/>
      <c r="BU241" s="138"/>
      <c r="BV241" s="138"/>
      <c r="BW241" s="138"/>
      <c r="BX241" s="138"/>
      <c r="BY241" s="138"/>
      <c r="BZ241" s="138"/>
      <c r="CA241" s="138"/>
      <c r="CB241" s="138"/>
      <c r="CC241" s="138"/>
      <c r="CD241" s="138"/>
      <c r="CE241" s="138"/>
    </row>
    <row r="242" spans="1:83" ht="12" customHeight="1">
      <c r="A242" s="138"/>
      <c r="B242" s="138"/>
      <c r="C242" s="138"/>
      <c r="D242" s="22"/>
      <c r="E242" s="22"/>
      <c r="F242" s="22"/>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8"/>
      <c r="BX242" s="138"/>
      <c r="BY242" s="138"/>
      <c r="BZ242" s="138"/>
      <c r="CA242" s="138"/>
      <c r="CB242" s="138"/>
      <c r="CC242" s="138"/>
      <c r="CD242" s="138"/>
      <c r="CE242" s="138"/>
    </row>
    <row r="243" spans="1:83" ht="12" customHeight="1">
      <c r="A243" s="138"/>
      <c r="B243" s="138"/>
      <c r="C243" s="138"/>
      <c r="D243" s="22"/>
      <c r="E243" s="22"/>
      <c r="F243" s="22"/>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8"/>
      <c r="BX243" s="138"/>
      <c r="BY243" s="138"/>
      <c r="BZ243" s="138"/>
      <c r="CA243" s="138"/>
      <c r="CB243" s="138"/>
      <c r="CC243" s="138"/>
      <c r="CD243" s="138"/>
      <c r="CE243" s="138"/>
    </row>
    <row r="244" spans="1:83" ht="12" customHeight="1">
      <c r="A244" s="138"/>
      <c r="B244" s="138"/>
      <c r="C244" s="138"/>
      <c r="D244" s="22"/>
      <c r="E244" s="22"/>
      <c r="F244" s="22"/>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38"/>
      <c r="BU244" s="138"/>
      <c r="BV244" s="138"/>
      <c r="BW244" s="138"/>
      <c r="BX244" s="138"/>
      <c r="BY244" s="138"/>
      <c r="BZ244" s="138"/>
      <c r="CA244" s="138"/>
      <c r="CB244" s="138"/>
      <c r="CC244" s="138"/>
      <c r="CD244" s="138"/>
      <c r="CE244" s="138"/>
    </row>
    <row r="245" spans="1:83" ht="12" customHeight="1">
      <c r="A245" s="138"/>
      <c r="B245" s="138"/>
      <c r="C245" s="138"/>
      <c r="D245" s="22"/>
      <c r="E245" s="22"/>
      <c r="F245" s="22"/>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row>
    <row r="246" spans="1:83" ht="12" customHeight="1">
      <c r="A246" s="138"/>
      <c r="B246" s="138"/>
      <c r="C246" s="138"/>
      <c r="D246" s="22"/>
      <c r="E246" s="22"/>
      <c r="F246" s="22"/>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38"/>
      <c r="BB246" s="138"/>
      <c r="BC246" s="138"/>
      <c r="BD246" s="138"/>
      <c r="BE246" s="138"/>
      <c r="BF246" s="138"/>
      <c r="BG246" s="138"/>
      <c r="BH246" s="138"/>
      <c r="BI246" s="138"/>
      <c r="BJ246" s="138"/>
      <c r="BK246" s="138"/>
      <c r="BL246" s="138"/>
      <c r="BM246" s="138"/>
      <c r="BN246" s="138"/>
      <c r="BO246" s="138"/>
      <c r="BP246" s="138"/>
      <c r="BQ246" s="138"/>
      <c r="BR246" s="138"/>
      <c r="BS246" s="138"/>
      <c r="BT246" s="138"/>
      <c r="BU246" s="138"/>
      <c r="BV246" s="138"/>
      <c r="BW246" s="138"/>
      <c r="BX246" s="138"/>
      <c r="BY246" s="138"/>
      <c r="BZ246" s="138"/>
      <c r="CA246" s="138"/>
      <c r="CB246" s="138"/>
      <c r="CC246" s="138"/>
      <c r="CD246" s="138"/>
      <c r="CE246" s="138"/>
    </row>
    <row r="247" spans="1:83" ht="12" customHeight="1">
      <c r="A247" s="138"/>
      <c r="B247" s="138"/>
      <c r="C247" s="138"/>
      <c r="D247" s="22"/>
      <c r="E247" s="22"/>
      <c r="F247" s="22"/>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38"/>
      <c r="CB247" s="138"/>
      <c r="CC247" s="138"/>
      <c r="CD247" s="138"/>
      <c r="CE247" s="138"/>
    </row>
    <row r="248" spans="1:83" ht="12" customHeight="1">
      <c r="A248" s="138"/>
      <c r="B248" s="138"/>
      <c r="C248" s="138"/>
      <c r="D248" s="22"/>
      <c r="E248" s="22"/>
      <c r="F248" s="22"/>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8"/>
      <c r="BX248" s="138"/>
      <c r="BY248" s="138"/>
      <c r="BZ248" s="138"/>
      <c r="CA248" s="138"/>
      <c r="CB248" s="138"/>
      <c r="CC248" s="138"/>
      <c r="CD248" s="138"/>
      <c r="CE248" s="138"/>
    </row>
    <row r="249" spans="1:83" ht="12" customHeight="1">
      <c r="A249" s="138"/>
      <c r="B249" s="138"/>
      <c r="C249" s="138"/>
      <c r="D249" s="22"/>
      <c r="E249" s="22"/>
      <c r="F249" s="22"/>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c r="AN249" s="138"/>
      <c r="AO249" s="138"/>
      <c r="AP249" s="138"/>
      <c r="AQ249" s="138"/>
      <c r="AR249" s="138"/>
      <c r="AS249" s="138"/>
      <c r="AT249" s="138"/>
      <c r="AU249" s="138"/>
      <c r="AV249" s="138"/>
      <c r="AW249" s="138"/>
      <c r="AX249" s="138"/>
      <c r="AY249" s="138"/>
      <c r="AZ249" s="138"/>
      <c r="BA249" s="138"/>
      <c r="BB249" s="138"/>
      <c r="BC249" s="138"/>
      <c r="BD249" s="138"/>
      <c r="BE249" s="138"/>
      <c r="BF249" s="138"/>
      <c r="BG249" s="138"/>
      <c r="BH249" s="138"/>
      <c r="BI249" s="138"/>
      <c r="BJ249" s="138"/>
      <c r="BK249" s="138"/>
      <c r="BL249" s="138"/>
      <c r="BM249" s="138"/>
      <c r="BN249" s="138"/>
      <c r="BO249" s="138"/>
      <c r="BP249" s="138"/>
      <c r="BQ249" s="138"/>
      <c r="BR249" s="138"/>
      <c r="BS249" s="138"/>
      <c r="BT249" s="138"/>
      <c r="BU249" s="138"/>
      <c r="BV249" s="138"/>
      <c r="BW249" s="138"/>
      <c r="BX249" s="138"/>
      <c r="BY249" s="138"/>
      <c r="BZ249" s="138"/>
      <c r="CA249" s="138"/>
      <c r="CB249" s="138"/>
      <c r="CC249" s="138"/>
      <c r="CD249" s="138"/>
      <c r="CE249" s="138"/>
    </row>
    <row r="250" spans="1:83" ht="12" customHeight="1">
      <c r="A250" s="138"/>
      <c r="B250" s="138"/>
      <c r="C250" s="138"/>
      <c r="D250" s="22"/>
      <c r="E250" s="22"/>
      <c r="F250" s="22"/>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8"/>
      <c r="BX250" s="138"/>
      <c r="BY250" s="138"/>
      <c r="BZ250" s="138"/>
      <c r="CA250" s="138"/>
      <c r="CB250" s="138"/>
      <c r="CC250" s="138"/>
      <c r="CD250" s="138"/>
      <c r="CE250" s="138"/>
    </row>
    <row r="251" spans="1:83" ht="12" customHeight="1">
      <c r="A251" s="138"/>
      <c r="B251" s="138"/>
      <c r="C251" s="138"/>
      <c r="D251" s="22"/>
      <c r="E251" s="22"/>
      <c r="F251" s="22"/>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row>
    <row r="252" spans="1:83" ht="12" customHeight="1">
      <c r="A252" s="138"/>
      <c r="B252" s="138"/>
      <c r="C252" s="138"/>
      <c r="D252" s="22"/>
      <c r="E252" s="22"/>
      <c r="F252" s="22"/>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8"/>
      <c r="BX252" s="138"/>
      <c r="BY252" s="138"/>
      <c r="BZ252" s="138"/>
      <c r="CA252" s="138"/>
      <c r="CB252" s="138"/>
      <c r="CC252" s="138"/>
      <c r="CD252" s="138"/>
      <c r="CE252" s="138"/>
    </row>
    <row r="253" spans="1:83" ht="12" customHeight="1">
      <c r="A253" s="138"/>
      <c r="B253" s="138"/>
      <c r="C253" s="138"/>
      <c r="D253" s="22"/>
      <c r="E253" s="22"/>
      <c r="F253" s="22"/>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8"/>
      <c r="BX253" s="138"/>
      <c r="BY253" s="138"/>
      <c r="BZ253" s="138"/>
      <c r="CA253" s="138"/>
      <c r="CB253" s="138"/>
      <c r="CC253" s="138"/>
      <c r="CD253" s="138"/>
      <c r="CE253" s="138"/>
    </row>
    <row r="254" spans="1:83" ht="12" customHeight="1">
      <c r="A254" s="138"/>
      <c r="B254" s="138"/>
      <c r="C254" s="138"/>
      <c r="D254" s="22"/>
      <c r="E254" s="22"/>
      <c r="F254" s="22"/>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38"/>
      <c r="BB254" s="138"/>
      <c r="BC254" s="138"/>
      <c r="BD254" s="138"/>
      <c r="BE254" s="138"/>
      <c r="BF254" s="138"/>
      <c r="BG254" s="138"/>
      <c r="BH254" s="138"/>
      <c r="BI254" s="138"/>
      <c r="BJ254" s="138"/>
      <c r="BK254" s="138"/>
      <c r="BL254" s="138"/>
      <c r="BM254" s="138"/>
      <c r="BN254" s="138"/>
      <c r="BO254" s="138"/>
      <c r="BP254" s="138"/>
      <c r="BQ254" s="138"/>
      <c r="BR254" s="138"/>
      <c r="BS254" s="138"/>
      <c r="BT254" s="138"/>
      <c r="BU254" s="138"/>
      <c r="BV254" s="138"/>
      <c r="BW254" s="138"/>
      <c r="BX254" s="138"/>
      <c r="BY254" s="138"/>
      <c r="BZ254" s="138"/>
      <c r="CA254" s="138"/>
      <c r="CB254" s="138"/>
      <c r="CC254" s="138"/>
      <c r="CD254" s="138"/>
      <c r="CE254" s="138"/>
    </row>
    <row r="255" spans="1:83" ht="12" customHeight="1">
      <c r="A255" s="138"/>
      <c r="B255" s="138"/>
      <c r="C255" s="138"/>
      <c r="D255" s="22"/>
      <c r="E255" s="22"/>
      <c r="F255" s="22"/>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38"/>
      <c r="CB255" s="138"/>
      <c r="CC255" s="138"/>
      <c r="CD255" s="138"/>
      <c r="CE255" s="138"/>
    </row>
    <row r="256" spans="1:83" ht="12" customHeight="1">
      <c r="A256" s="138"/>
      <c r="B256" s="138"/>
      <c r="C256" s="138"/>
      <c r="D256" s="22"/>
      <c r="E256" s="22"/>
      <c r="F256" s="22"/>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8"/>
      <c r="BB256" s="138"/>
      <c r="BC256" s="138"/>
      <c r="BD256" s="138"/>
      <c r="BE256" s="138"/>
      <c r="BF256" s="138"/>
      <c r="BG256" s="138"/>
      <c r="BH256" s="138"/>
      <c r="BI256" s="138"/>
      <c r="BJ256" s="138"/>
      <c r="BK256" s="138"/>
      <c r="BL256" s="138"/>
      <c r="BM256" s="138"/>
      <c r="BN256" s="138"/>
      <c r="BO256" s="138"/>
      <c r="BP256" s="138"/>
      <c r="BQ256" s="138"/>
      <c r="BR256" s="138"/>
      <c r="BS256" s="138"/>
      <c r="BT256" s="138"/>
      <c r="BU256" s="138"/>
      <c r="BV256" s="138"/>
      <c r="BW256" s="138"/>
      <c r="BX256" s="138"/>
      <c r="BY256" s="138"/>
      <c r="BZ256" s="138"/>
      <c r="CA256" s="138"/>
      <c r="CB256" s="138"/>
      <c r="CC256" s="138"/>
      <c r="CD256" s="138"/>
      <c r="CE256" s="138"/>
    </row>
    <row r="257" spans="1:83" ht="12" customHeight="1">
      <c r="A257" s="138"/>
      <c r="B257" s="138"/>
      <c r="C257" s="138"/>
      <c r="D257" s="22"/>
      <c r="E257" s="22"/>
      <c r="F257" s="22"/>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8"/>
      <c r="BX257" s="138"/>
      <c r="BY257" s="138"/>
      <c r="BZ257" s="138"/>
      <c r="CA257" s="138"/>
      <c r="CB257" s="138"/>
      <c r="CC257" s="138"/>
      <c r="CD257" s="138"/>
      <c r="CE257" s="138"/>
    </row>
    <row r="258" spans="1:83" ht="12" customHeight="1">
      <c r="A258" s="138"/>
      <c r="B258" s="138"/>
      <c r="C258" s="138"/>
      <c r="D258" s="22"/>
      <c r="E258" s="22"/>
      <c r="F258" s="22"/>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row>
    <row r="259" spans="1:83" ht="12" customHeight="1">
      <c r="A259" s="138"/>
      <c r="B259" s="138"/>
      <c r="C259" s="138"/>
      <c r="D259" s="22"/>
      <c r="E259" s="22"/>
      <c r="F259" s="22"/>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8"/>
      <c r="BX259" s="138"/>
      <c r="BY259" s="138"/>
      <c r="BZ259" s="138"/>
      <c r="CA259" s="138"/>
      <c r="CB259" s="138"/>
      <c r="CC259" s="138"/>
      <c r="CD259" s="138"/>
      <c r="CE259" s="138"/>
    </row>
    <row r="260" spans="1:83" ht="12" customHeight="1">
      <c r="A260" s="138"/>
      <c r="B260" s="138"/>
      <c r="C260" s="138"/>
      <c r="D260" s="22"/>
      <c r="E260" s="22"/>
      <c r="F260" s="22"/>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8"/>
      <c r="BB260" s="138"/>
      <c r="BC260" s="138"/>
      <c r="BD260" s="138"/>
      <c r="BE260" s="138"/>
      <c r="BF260" s="138"/>
      <c r="BG260" s="138"/>
      <c r="BH260" s="138"/>
      <c r="BI260" s="138"/>
      <c r="BJ260" s="138"/>
      <c r="BK260" s="138"/>
      <c r="BL260" s="138"/>
      <c r="BM260" s="138"/>
      <c r="BN260" s="138"/>
      <c r="BO260" s="138"/>
      <c r="BP260" s="138"/>
      <c r="BQ260" s="138"/>
      <c r="BR260" s="138"/>
      <c r="BS260" s="138"/>
      <c r="BT260" s="138"/>
      <c r="BU260" s="138"/>
      <c r="BV260" s="138"/>
      <c r="BW260" s="138"/>
      <c r="BX260" s="138"/>
      <c r="BY260" s="138"/>
      <c r="BZ260" s="138"/>
      <c r="CA260" s="138"/>
      <c r="CB260" s="138"/>
      <c r="CC260" s="138"/>
      <c r="CD260" s="138"/>
      <c r="CE260" s="138"/>
    </row>
    <row r="261" spans="1:83" ht="12" customHeight="1">
      <c r="A261" s="138"/>
      <c r="B261" s="138"/>
      <c r="C261" s="138"/>
      <c r="D261" s="22"/>
      <c r="E261" s="22"/>
      <c r="F261" s="22"/>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8"/>
      <c r="BB261" s="138"/>
      <c r="BC261" s="138"/>
      <c r="BD261" s="138"/>
      <c r="BE261" s="138"/>
      <c r="BF261" s="138"/>
      <c r="BG261" s="138"/>
      <c r="BH261" s="138"/>
      <c r="BI261" s="138"/>
      <c r="BJ261" s="138"/>
      <c r="BK261" s="138"/>
      <c r="BL261" s="138"/>
      <c r="BM261" s="138"/>
      <c r="BN261" s="138"/>
      <c r="BO261" s="138"/>
      <c r="BP261" s="138"/>
      <c r="BQ261" s="138"/>
      <c r="BR261" s="138"/>
      <c r="BS261" s="138"/>
      <c r="BT261" s="138"/>
      <c r="BU261" s="138"/>
      <c r="BV261" s="138"/>
      <c r="BW261" s="138"/>
      <c r="BX261" s="138"/>
      <c r="BY261" s="138"/>
      <c r="BZ261" s="138"/>
      <c r="CA261" s="138"/>
      <c r="CB261" s="138"/>
      <c r="CC261" s="138"/>
      <c r="CD261" s="138"/>
      <c r="CE261" s="138"/>
    </row>
    <row r="262" spans="1:83" ht="12" customHeight="1">
      <c r="A262" s="138"/>
      <c r="B262" s="138"/>
      <c r="C262" s="138"/>
      <c r="D262" s="22"/>
      <c r="E262" s="22"/>
      <c r="F262" s="22"/>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38"/>
      <c r="BB262" s="138"/>
      <c r="BC262" s="138"/>
      <c r="BD262" s="138"/>
      <c r="BE262" s="138"/>
      <c r="BF262" s="138"/>
      <c r="BG262" s="138"/>
      <c r="BH262" s="138"/>
      <c r="BI262" s="138"/>
      <c r="BJ262" s="138"/>
      <c r="BK262" s="138"/>
      <c r="BL262" s="138"/>
      <c r="BM262" s="138"/>
      <c r="BN262" s="138"/>
      <c r="BO262" s="138"/>
      <c r="BP262" s="138"/>
      <c r="BQ262" s="138"/>
      <c r="BR262" s="138"/>
      <c r="BS262" s="138"/>
      <c r="BT262" s="138"/>
      <c r="BU262" s="138"/>
      <c r="BV262" s="138"/>
      <c r="BW262" s="138"/>
      <c r="BX262" s="138"/>
      <c r="BY262" s="138"/>
      <c r="BZ262" s="138"/>
      <c r="CA262" s="138"/>
      <c r="CB262" s="138"/>
      <c r="CC262" s="138"/>
      <c r="CD262" s="138"/>
      <c r="CE262" s="138"/>
    </row>
    <row r="263" spans="1:83" ht="12" customHeight="1">
      <c r="A263" s="138"/>
      <c r="B263" s="138"/>
      <c r="C263" s="138"/>
      <c r="D263" s="22"/>
      <c r="E263" s="42"/>
      <c r="F263" s="22"/>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8"/>
      <c r="BB263" s="138"/>
      <c r="BC263" s="138"/>
      <c r="BD263" s="138"/>
      <c r="BE263" s="138"/>
      <c r="BF263" s="138"/>
      <c r="BG263" s="138"/>
      <c r="BH263" s="138"/>
      <c r="BI263" s="138"/>
      <c r="BJ263" s="138"/>
      <c r="BK263" s="138"/>
      <c r="BL263" s="138"/>
      <c r="BM263" s="138"/>
      <c r="BN263" s="138"/>
      <c r="BO263" s="138"/>
      <c r="BP263" s="138"/>
      <c r="BQ263" s="138"/>
      <c r="BR263" s="138"/>
      <c r="BS263" s="138"/>
      <c r="BT263" s="138"/>
      <c r="BU263" s="138"/>
      <c r="BV263" s="138"/>
      <c r="BW263" s="138"/>
      <c r="BX263" s="138"/>
      <c r="BY263" s="138"/>
      <c r="BZ263" s="138"/>
      <c r="CA263" s="138"/>
      <c r="CB263" s="138"/>
      <c r="CC263" s="138"/>
      <c r="CD263" s="138"/>
      <c r="CE263" s="138"/>
    </row>
    <row r="264" spans="1:83" ht="12" customHeight="1">
      <c r="A264" s="138"/>
      <c r="B264" s="138"/>
      <c r="C264" s="138"/>
      <c r="D264" s="22"/>
      <c r="E264" s="22"/>
      <c r="F264" s="22"/>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row>
    <row r="265" spans="1:83" ht="12" customHeight="1">
      <c r="A265" s="138"/>
      <c r="B265" s="138"/>
      <c r="C265" s="138"/>
      <c r="D265" s="22"/>
      <c r="E265" s="22"/>
      <c r="F265" s="22"/>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8"/>
      <c r="BX265" s="138"/>
      <c r="BY265" s="138"/>
      <c r="BZ265" s="138"/>
      <c r="CA265" s="138"/>
      <c r="CB265" s="138"/>
      <c r="CC265" s="138"/>
      <c r="CD265" s="138"/>
      <c r="CE265" s="138"/>
    </row>
    <row r="266" spans="1:83" ht="12" customHeight="1">
      <c r="A266" s="138"/>
      <c r="B266" s="138"/>
      <c r="C266" s="138"/>
      <c r="D266" s="22"/>
      <c r="E266" s="22"/>
      <c r="F266" s="22"/>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38"/>
      <c r="BB266" s="138"/>
      <c r="BC266" s="138"/>
      <c r="BD266" s="138"/>
      <c r="BE266" s="138"/>
      <c r="BF266" s="138"/>
      <c r="BG266" s="138"/>
      <c r="BH266" s="138"/>
      <c r="BI266" s="138"/>
      <c r="BJ266" s="138"/>
      <c r="BK266" s="138"/>
      <c r="BL266" s="138"/>
      <c r="BM266" s="138"/>
      <c r="BN266" s="138"/>
      <c r="BO266" s="138"/>
      <c r="BP266" s="138"/>
      <c r="BQ266" s="138"/>
      <c r="BR266" s="138"/>
      <c r="BS266" s="138"/>
      <c r="BT266" s="138"/>
      <c r="BU266" s="138"/>
      <c r="BV266" s="138"/>
      <c r="BW266" s="138"/>
      <c r="BX266" s="138"/>
      <c r="BY266" s="138"/>
      <c r="BZ266" s="138"/>
      <c r="CA266" s="138"/>
      <c r="CB266" s="138"/>
      <c r="CC266" s="138"/>
      <c r="CD266" s="138"/>
      <c r="CE266" s="138"/>
    </row>
    <row r="267" spans="1:83" ht="12" customHeight="1">
      <c r="A267" s="138"/>
      <c r="B267" s="138"/>
      <c r="C267" s="138"/>
      <c r="D267" s="22"/>
      <c r="E267" s="22"/>
      <c r="F267" s="22"/>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8"/>
      <c r="BX267" s="138"/>
      <c r="BY267" s="138"/>
      <c r="BZ267" s="138"/>
      <c r="CA267" s="138"/>
      <c r="CB267" s="138"/>
      <c r="CC267" s="138"/>
      <c r="CD267" s="138"/>
      <c r="CE267" s="138"/>
    </row>
    <row r="268" spans="1:83" ht="12" customHeight="1">
      <c r="A268" s="138"/>
      <c r="B268" s="138"/>
      <c r="C268" s="138"/>
      <c r="D268" s="22"/>
      <c r="E268" s="22"/>
      <c r="F268" s="22"/>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38"/>
      <c r="BB268" s="138"/>
      <c r="BC268" s="138"/>
      <c r="BD268" s="138"/>
      <c r="BE268" s="138"/>
      <c r="BF268" s="138"/>
      <c r="BG268" s="138"/>
      <c r="BH268" s="138"/>
      <c r="BI268" s="138"/>
      <c r="BJ268" s="138"/>
      <c r="BK268" s="138"/>
      <c r="BL268" s="138"/>
      <c r="BM268" s="138"/>
      <c r="BN268" s="138"/>
      <c r="BO268" s="138"/>
      <c r="BP268" s="138"/>
      <c r="BQ268" s="138"/>
      <c r="BR268" s="138"/>
      <c r="BS268" s="138"/>
      <c r="BT268" s="138"/>
      <c r="BU268" s="138"/>
      <c r="BV268" s="138"/>
      <c r="BW268" s="138"/>
      <c r="BX268" s="138"/>
      <c r="BY268" s="138"/>
      <c r="BZ268" s="138"/>
      <c r="CA268" s="138"/>
      <c r="CB268" s="138"/>
      <c r="CC268" s="138"/>
      <c r="CD268" s="138"/>
      <c r="CE268" s="138"/>
    </row>
    <row r="269" spans="1:83" ht="12" customHeight="1">
      <c r="A269" s="138"/>
      <c r="B269" s="138"/>
      <c r="C269" s="138"/>
      <c r="D269" s="22"/>
      <c r="E269" s="22"/>
      <c r="F269" s="22"/>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8"/>
      <c r="BX269" s="138"/>
      <c r="BY269" s="138"/>
      <c r="BZ269" s="138"/>
      <c r="CA269" s="138"/>
      <c r="CB269" s="138"/>
      <c r="CC269" s="138"/>
      <c r="CD269" s="138"/>
      <c r="CE269" s="138"/>
    </row>
    <row r="270" spans="1:83" ht="12" customHeight="1">
      <c r="A270" s="138"/>
      <c r="B270" s="138"/>
      <c r="C270" s="138"/>
      <c r="D270" s="22"/>
      <c r="E270" s="42"/>
      <c r="F270" s="22"/>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38"/>
      <c r="BB270" s="138"/>
      <c r="BC270" s="138"/>
      <c r="BD270" s="138"/>
      <c r="BE270" s="138"/>
      <c r="BF270" s="138"/>
      <c r="BG270" s="138"/>
      <c r="BH270" s="138"/>
      <c r="BI270" s="138"/>
      <c r="BJ270" s="138"/>
      <c r="BK270" s="138"/>
      <c r="BL270" s="138"/>
      <c r="BM270" s="138"/>
      <c r="BN270" s="138"/>
      <c r="BO270" s="138"/>
      <c r="BP270" s="138"/>
      <c r="BQ270" s="138"/>
      <c r="BR270" s="138"/>
      <c r="BS270" s="138"/>
      <c r="BT270" s="138"/>
      <c r="BU270" s="138"/>
      <c r="BV270" s="138"/>
      <c r="BW270" s="138"/>
      <c r="BX270" s="138"/>
      <c r="BY270" s="138"/>
      <c r="BZ270" s="138"/>
      <c r="CA270" s="138"/>
      <c r="CB270" s="138"/>
      <c r="CC270" s="138"/>
      <c r="CD270" s="138"/>
      <c r="CE270" s="138"/>
    </row>
    <row r="271" spans="1:83" ht="12" customHeight="1">
      <c r="A271" s="138"/>
      <c r="B271" s="138"/>
      <c r="C271" s="138"/>
      <c r="D271" s="22"/>
      <c r="E271" s="22"/>
      <c r="F271" s="22"/>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row>
    <row r="272" spans="1:83" ht="12" customHeight="1">
      <c r="A272" s="138"/>
      <c r="B272" s="138"/>
      <c r="C272" s="138"/>
      <c r="D272" s="22"/>
      <c r="E272" s="22"/>
      <c r="F272" s="22"/>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38"/>
      <c r="BB272" s="138"/>
      <c r="BC272" s="138"/>
      <c r="BD272" s="138"/>
      <c r="BE272" s="138"/>
      <c r="BF272" s="138"/>
      <c r="BG272" s="138"/>
      <c r="BH272" s="138"/>
      <c r="BI272" s="138"/>
      <c r="BJ272" s="138"/>
      <c r="BK272" s="138"/>
      <c r="BL272" s="138"/>
      <c r="BM272" s="138"/>
      <c r="BN272" s="138"/>
      <c r="BO272" s="138"/>
      <c r="BP272" s="138"/>
      <c r="BQ272" s="138"/>
      <c r="BR272" s="138"/>
      <c r="BS272" s="138"/>
      <c r="BT272" s="138"/>
      <c r="BU272" s="138"/>
      <c r="BV272" s="138"/>
      <c r="BW272" s="138"/>
      <c r="BX272" s="138"/>
      <c r="BY272" s="138"/>
      <c r="BZ272" s="138"/>
      <c r="CA272" s="138"/>
      <c r="CB272" s="138"/>
      <c r="CC272" s="138"/>
      <c r="CD272" s="138"/>
      <c r="CE272" s="138"/>
    </row>
    <row r="273" spans="1:83" ht="12" customHeight="1">
      <c r="A273" s="138"/>
      <c r="B273" s="138"/>
      <c r="C273" s="138"/>
      <c r="D273" s="22"/>
      <c r="E273" s="22"/>
      <c r="F273" s="22"/>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8"/>
      <c r="BX273" s="138"/>
      <c r="BY273" s="138"/>
      <c r="BZ273" s="138"/>
      <c r="CA273" s="138"/>
      <c r="CB273" s="138"/>
      <c r="CC273" s="138"/>
      <c r="CD273" s="138"/>
      <c r="CE273" s="138"/>
    </row>
    <row r="274" spans="1:83" ht="12" customHeight="1">
      <c r="A274" s="138"/>
      <c r="B274" s="138"/>
      <c r="C274" s="138"/>
      <c r="D274" s="22"/>
      <c r="E274" s="22"/>
      <c r="F274" s="22"/>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38"/>
      <c r="BB274" s="138"/>
      <c r="BC274" s="138"/>
      <c r="BD274" s="138"/>
      <c r="BE274" s="138"/>
      <c r="BF274" s="138"/>
      <c r="BG274" s="138"/>
      <c r="BH274" s="138"/>
      <c r="BI274" s="138"/>
      <c r="BJ274" s="138"/>
      <c r="BK274" s="138"/>
      <c r="BL274" s="138"/>
      <c r="BM274" s="138"/>
      <c r="BN274" s="138"/>
      <c r="BO274" s="138"/>
      <c r="BP274" s="138"/>
      <c r="BQ274" s="138"/>
      <c r="BR274" s="138"/>
      <c r="BS274" s="138"/>
      <c r="BT274" s="138"/>
      <c r="BU274" s="138"/>
      <c r="BV274" s="138"/>
      <c r="BW274" s="138"/>
      <c r="BX274" s="138"/>
      <c r="BY274" s="138"/>
      <c r="BZ274" s="138"/>
      <c r="CA274" s="138"/>
      <c r="CB274" s="138"/>
      <c r="CC274" s="138"/>
      <c r="CD274" s="138"/>
      <c r="CE274" s="138"/>
    </row>
    <row r="275" spans="1:83" ht="12" customHeight="1">
      <c r="A275" s="138"/>
      <c r="B275" s="138"/>
      <c r="C275" s="138"/>
      <c r="D275" s="22"/>
      <c r="E275" s="22"/>
      <c r="F275" s="22"/>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8"/>
      <c r="BX275" s="138"/>
      <c r="BY275" s="138"/>
      <c r="BZ275" s="138"/>
      <c r="CA275" s="138"/>
      <c r="CB275" s="138"/>
      <c r="CC275" s="138"/>
      <c r="CD275" s="138"/>
      <c r="CE275" s="138"/>
    </row>
    <row r="276" spans="1:83" ht="12" customHeight="1">
      <c r="A276" s="138"/>
      <c r="B276" s="138"/>
      <c r="C276" s="138"/>
      <c r="D276" s="22"/>
      <c r="E276" s="22"/>
      <c r="F276" s="22"/>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8"/>
      <c r="BX276" s="138"/>
      <c r="BY276" s="138"/>
      <c r="BZ276" s="138"/>
      <c r="CA276" s="138"/>
      <c r="CB276" s="138"/>
      <c r="CC276" s="138"/>
      <c r="CD276" s="138"/>
      <c r="CE276" s="138"/>
    </row>
    <row r="277" spans="1:83" ht="12" customHeight="1">
      <c r="A277" s="138"/>
      <c r="B277" s="138"/>
      <c r="C277" s="138"/>
      <c r="D277" s="22"/>
      <c r="E277" s="22"/>
      <c r="F277" s="22"/>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row>
    <row r="278" spans="1:83" ht="12" customHeight="1">
      <c r="A278" s="138"/>
      <c r="B278" s="138"/>
      <c r="C278" s="138"/>
      <c r="D278" s="22"/>
      <c r="E278" s="22"/>
      <c r="F278" s="22"/>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8"/>
      <c r="BX278" s="138"/>
      <c r="BY278" s="138"/>
      <c r="BZ278" s="138"/>
      <c r="CA278" s="138"/>
      <c r="CB278" s="138"/>
      <c r="CC278" s="138"/>
      <c r="CD278" s="138"/>
      <c r="CE278" s="138"/>
    </row>
    <row r="279" spans="1:83" ht="12" customHeight="1">
      <c r="A279" s="138"/>
      <c r="B279" s="138"/>
      <c r="C279" s="138"/>
      <c r="D279" s="22"/>
      <c r="E279" s="22"/>
      <c r="F279" s="22"/>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38"/>
      <c r="BB279" s="138"/>
      <c r="BC279" s="138"/>
      <c r="BD279" s="138"/>
      <c r="BE279" s="138"/>
      <c r="BF279" s="138"/>
      <c r="BG279" s="138"/>
      <c r="BH279" s="138"/>
      <c r="BI279" s="138"/>
      <c r="BJ279" s="138"/>
      <c r="BK279" s="138"/>
      <c r="BL279" s="138"/>
      <c r="BM279" s="138"/>
      <c r="BN279" s="138"/>
      <c r="BO279" s="138"/>
      <c r="BP279" s="138"/>
      <c r="BQ279" s="138"/>
      <c r="BR279" s="138"/>
      <c r="BS279" s="138"/>
      <c r="BT279" s="138"/>
      <c r="BU279" s="138"/>
      <c r="BV279" s="138"/>
      <c r="BW279" s="138"/>
      <c r="BX279" s="138"/>
      <c r="BY279" s="138"/>
      <c r="BZ279" s="138"/>
      <c r="CA279" s="138"/>
      <c r="CB279" s="138"/>
      <c r="CC279" s="138"/>
      <c r="CD279" s="138"/>
      <c r="CE279" s="138"/>
    </row>
    <row r="280" spans="1:83" ht="12" customHeight="1">
      <c r="A280" s="138"/>
      <c r="B280" s="138"/>
      <c r="C280" s="138"/>
      <c r="D280" s="22"/>
      <c r="E280" s="22"/>
      <c r="F280" s="22"/>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c r="BA280" s="138"/>
      <c r="BB280" s="138"/>
      <c r="BC280" s="138"/>
      <c r="BD280" s="138"/>
      <c r="BE280" s="138"/>
      <c r="BF280" s="138"/>
      <c r="BG280" s="138"/>
      <c r="BH280" s="138"/>
      <c r="BI280" s="138"/>
      <c r="BJ280" s="138"/>
      <c r="BK280" s="138"/>
      <c r="BL280" s="138"/>
      <c r="BM280" s="138"/>
      <c r="BN280" s="138"/>
      <c r="BO280" s="138"/>
      <c r="BP280" s="138"/>
      <c r="BQ280" s="138"/>
      <c r="BR280" s="138"/>
      <c r="BS280" s="138"/>
      <c r="BT280" s="138"/>
      <c r="BU280" s="138"/>
      <c r="BV280" s="138"/>
      <c r="BW280" s="138"/>
      <c r="BX280" s="138"/>
      <c r="BY280" s="138"/>
      <c r="BZ280" s="138"/>
      <c r="CA280" s="138"/>
      <c r="CB280" s="138"/>
      <c r="CC280" s="138"/>
      <c r="CD280" s="138"/>
      <c r="CE280" s="138"/>
    </row>
    <row r="281" spans="1:83" ht="12" customHeight="1">
      <c r="A281" s="138"/>
      <c r="B281" s="138"/>
      <c r="C281" s="138"/>
      <c r="D281" s="22"/>
      <c r="E281" s="22"/>
      <c r="F281" s="22"/>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38"/>
      <c r="BB281" s="138"/>
      <c r="BC281" s="138"/>
      <c r="BD281" s="138"/>
      <c r="BE281" s="138"/>
      <c r="BF281" s="138"/>
      <c r="BG281" s="138"/>
      <c r="BH281" s="138"/>
      <c r="BI281" s="138"/>
      <c r="BJ281" s="138"/>
      <c r="BK281" s="138"/>
      <c r="BL281" s="138"/>
      <c r="BM281" s="138"/>
      <c r="BN281" s="138"/>
      <c r="BO281" s="138"/>
      <c r="BP281" s="138"/>
      <c r="BQ281" s="138"/>
      <c r="BR281" s="138"/>
      <c r="BS281" s="138"/>
      <c r="BT281" s="138"/>
      <c r="BU281" s="138"/>
      <c r="BV281" s="138"/>
      <c r="BW281" s="138"/>
      <c r="BX281" s="138"/>
      <c r="BY281" s="138"/>
      <c r="BZ281" s="138"/>
      <c r="CA281" s="138"/>
      <c r="CB281" s="138"/>
      <c r="CC281" s="138"/>
      <c r="CD281" s="138"/>
      <c r="CE281" s="138"/>
    </row>
    <row r="282" spans="1:83" ht="12" customHeight="1">
      <c r="A282" s="138"/>
      <c r="B282" s="138"/>
      <c r="C282" s="138"/>
      <c r="D282" s="22"/>
      <c r="E282" s="22"/>
      <c r="F282" s="22"/>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c r="BA282" s="138"/>
      <c r="BB282" s="138"/>
      <c r="BC282" s="138"/>
      <c r="BD282" s="138"/>
      <c r="BE282" s="138"/>
      <c r="BF282" s="138"/>
      <c r="BG282" s="138"/>
      <c r="BH282" s="138"/>
      <c r="BI282" s="138"/>
      <c r="BJ282" s="138"/>
      <c r="BK282" s="138"/>
      <c r="BL282" s="138"/>
      <c r="BM282" s="138"/>
      <c r="BN282" s="138"/>
      <c r="BO282" s="138"/>
      <c r="BP282" s="138"/>
      <c r="BQ282" s="138"/>
      <c r="BR282" s="138"/>
      <c r="BS282" s="138"/>
      <c r="BT282" s="138"/>
      <c r="BU282" s="138"/>
      <c r="BV282" s="138"/>
      <c r="BW282" s="138"/>
      <c r="BX282" s="138"/>
      <c r="BY282" s="138"/>
      <c r="BZ282" s="138"/>
      <c r="CA282" s="138"/>
      <c r="CB282" s="138"/>
      <c r="CC282" s="138"/>
      <c r="CD282" s="138"/>
      <c r="CE282" s="138"/>
    </row>
    <row r="283" spans="1:83" ht="12" customHeight="1">
      <c r="A283" s="138"/>
      <c r="B283" s="138"/>
      <c r="C283" s="138"/>
      <c r="D283" s="22"/>
      <c r="E283" s="22"/>
      <c r="F283" s="22"/>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c r="CA283" s="138"/>
      <c r="CB283" s="138"/>
      <c r="CC283" s="138"/>
      <c r="CD283" s="138"/>
      <c r="CE283" s="138"/>
    </row>
    <row r="284" spans="1:83" ht="12" customHeight="1">
      <c r="A284" s="138"/>
      <c r="B284" s="138"/>
      <c r="C284" s="138"/>
      <c r="D284" s="22"/>
      <c r="E284" s="22"/>
      <c r="F284" s="22"/>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row>
    <row r="285" spans="1:83" ht="12" customHeight="1">
      <c r="A285" s="138"/>
      <c r="B285" s="138"/>
      <c r="C285" s="138"/>
      <c r="D285" s="22"/>
      <c r="E285" s="22"/>
      <c r="F285" s="22"/>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c r="AN285" s="138"/>
      <c r="AO285" s="138"/>
      <c r="AP285" s="138"/>
      <c r="AQ285" s="138"/>
      <c r="AR285" s="138"/>
      <c r="AS285" s="138"/>
      <c r="AT285" s="138"/>
      <c r="AU285" s="138"/>
      <c r="AV285" s="138"/>
      <c r="AW285" s="138"/>
      <c r="AX285" s="138"/>
      <c r="AY285" s="138"/>
      <c r="AZ285" s="138"/>
      <c r="BA285" s="138"/>
      <c r="BB285" s="138"/>
      <c r="BC285" s="138"/>
      <c r="BD285" s="138"/>
      <c r="BE285" s="138"/>
      <c r="BF285" s="138"/>
      <c r="BG285" s="138"/>
      <c r="BH285" s="138"/>
      <c r="BI285" s="138"/>
      <c r="BJ285" s="138"/>
      <c r="BK285" s="138"/>
      <c r="BL285" s="138"/>
      <c r="BM285" s="138"/>
      <c r="BN285" s="138"/>
      <c r="BO285" s="138"/>
      <c r="BP285" s="138"/>
      <c r="BQ285" s="138"/>
      <c r="BR285" s="138"/>
      <c r="BS285" s="138"/>
      <c r="BT285" s="138"/>
      <c r="BU285" s="138"/>
      <c r="BV285" s="138"/>
      <c r="BW285" s="138"/>
      <c r="BX285" s="138"/>
      <c r="BY285" s="138"/>
      <c r="BZ285" s="138"/>
      <c r="CA285" s="138"/>
      <c r="CB285" s="138"/>
      <c r="CC285" s="138"/>
      <c r="CD285" s="138"/>
      <c r="CE285" s="138"/>
    </row>
    <row r="286" spans="1:83" ht="12" customHeight="1">
      <c r="A286" s="138"/>
      <c r="B286" s="138"/>
      <c r="C286" s="138"/>
      <c r="D286" s="22"/>
      <c r="E286" s="22"/>
      <c r="F286" s="22"/>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8"/>
      <c r="BX286" s="138"/>
      <c r="BY286" s="138"/>
      <c r="BZ286" s="138"/>
      <c r="CA286" s="138"/>
      <c r="CB286" s="138"/>
      <c r="CC286" s="138"/>
      <c r="CD286" s="138"/>
      <c r="CE286" s="138"/>
    </row>
    <row r="287" spans="1:83" ht="12" customHeight="1">
      <c r="A287" s="138"/>
      <c r="B287" s="138"/>
      <c r="C287" s="138"/>
      <c r="D287" s="22"/>
      <c r="E287" s="22"/>
      <c r="F287" s="22"/>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38"/>
      <c r="BB287" s="138"/>
      <c r="BC287" s="138"/>
      <c r="BD287" s="138"/>
      <c r="BE287" s="138"/>
      <c r="BF287" s="138"/>
      <c r="BG287" s="138"/>
      <c r="BH287" s="138"/>
      <c r="BI287" s="138"/>
      <c r="BJ287" s="138"/>
      <c r="BK287" s="138"/>
      <c r="BL287" s="138"/>
      <c r="BM287" s="138"/>
      <c r="BN287" s="138"/>
      <c r="BO287" s="138"/>
      <c r="BP287" s="138"/>
      <c r="BQ287" s="138"/>
      <c r="BR287" s="138"/>
      <c r="BS287" s="138"/>
      <c r="BT287" s="138"/>
      <c r="BU287" s="138"/>
      <c r="BV287" s="138"/>
      <c r="BW287" s="138"/>
      <c r="BX287" s="138"/>
      <c r="BY287" s="138"/>
      <c r="BZ287" s="138"/>
      <c r="CA287" s="138"/>
      <c r="CB287" s="138"/>
      <c r="CC287" s="138"/>
      <c r="CD287" s="138"/>
      <c r="CE287" s="138"/>
    </row>
    <row r="288" spans="1:83" ht="12" customHeight="1">
      <c r="A288" s="138"/>
      <c r="B288" s="138"/>
      <c r="C288" s="138"/>
      <c r="D288" s="22"/>
      <c r="E288" s="22"/>
      <c r="F288" s="22"/>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c r="AN288" s="138"/>
      <c r="AO288" s="138"/>
      <c r="AP288" s="138"/>
      <c r="AQ288" s="138"/>
      <c r="AR288" s="138"/>
      <c r="AS288" s="138"/>
      <c r="AT288" s="138"/>
      <c r="AU288" s="138"/>
      <c r="AV288" s="138"/>
      <c r="AW288" s="138"/>
      <c r="AX288" s="138"/>
      <c r="AY288" s="138"/>
      <c r="AZ288" s="138"/>
      <c r="BA288" s="138"/>
      <c r="BB288" s="138"/>
      <c r="BC288" s="138"/>
      <c r="BD288" s="138"/>
      <c r="BE288" s="138"/>
      <c r="BF288" s="138"/>
      <c r="BG288" s="138"/>
      <c r="BH288" s="138"/>
      <c r="BI288" s="138"/>
      <c r="BJ288" s="138"/>
      <c r="BK288" s="138"/>
      <c r="BL288" s="138"/>
      <c r="BM288" s="138"/>
      <c r="BN288" s="138"/>
      <c r="BO288" s="138"/>
      <c r="BP288" s="138"/>
      <c r="BQ288" s="138"/>
      <c r="BR288" s="138"/>
      <c r="BS288" s="138"/>
      <c r="BT288" s="138"/>
      <c r="BU288" s="138"/>
      <c r="BV288" s="138"/>
      <c r="BW288" s="138"/>
      <c r="BX288" s="138"/>
      <c r="BY288" s="138"/>
      <c r="BZ288" s="138"/>
      <c r="CA288" s="138"/>
      <c r="CB288" s="138"/>
      <c r="CC288" s="138"/>
      <c r="CD288" s="138"/>
      <c r="CE288" s="138"/>
    </row>
    <row r="289" spans="1:83" ht="12" customHeight="1">
      <c r="A289" s="138"/>
      <c r="B289" s="138"/>
      <c r="C289" s="138"/>
      <c r="D289" s="22"/>
      <c r="E289" s="22"/>
      <c r="F289" s="22"/>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8"/>
      <c r="BX289" s="138"/>
      <c r="BY289" s="138"/>
      <c r="BZ289" s="138"/>
      <c r="CA289" s="138"/>
      <c r="CB289" s="138"/>
      <c r="CC289" s="138"/>
      <c r="CD289" s="138"/>
      <c r="CE289" s="138"/>
    </row>
    <row r="290" spans="1:83" ht="12" customHeight="1">
      <c r="A290" s="138"/>
      <c r="B290" s="138"/>
      <c r="C290" s="138"/>
      <c r="D290" s="22"/>
      <c r="E290" s="22"/>
      <c r="F290" s="22"/>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row>
    <row r="291" spans="1:83" ht="12" customHeight="1">
      <c r="A291" s="138"/>
      <c r="B291" s="138"/>
      <c r="C291" s="138"/>
      <c r="D291" s="22"/>
      <c r="E291" s="22"/>
      <c r="F291" s="22"/>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c r="BA291" s="138"/>
      <c r="BB291" s="138"/>
      <c r="BC291" s="138"/>
      <c r="BD291" s="138"/>
      <c r="BE291" s="138"/>
      <c r="BF291" s="138"/>
      <c r="BG291" s="138"/>
      <c r="BH291" s="138"/>
      <c r="BI291" s="138"/>
      <c r="BJ291" s="138"/>
      <c r="BK291" s="138"/>
      <c r="BL291" s="138"/>
      <c r="BM291" s="138"/>
      <c r="BN291" s="138"/>
      <c r="BO291" s="138"/>
      <c r="BP291" s="138"/>
      <c r="BQ291" s="138"/>
      <c r="BR291" s="138"/>
      <c r="BS291" s="138"/>
      <c r="BT291" s="138"/>
      <c r="BU291" s="138"/>
      <c r="BV291" s="138"/>
      <c r="BW291" s="138"/>
      <c r="BX291" s="138"/>
      <c r="BY291" s="138"/>
      <c r="BZ291" s="138"/>
      <c r="CA291" s="138"/>
      <c r="CB291" s="138"/>
      <c r="CC291" s="138"/>
      <c r="CD291" s="138"/>
      <c r="CE291" s="138"/>
    </row>
    <row r="292" spans="1:83" ht="12" customHeight="1">
      <c r="A292" s="138"/>
      <c r="B292" s="138"/>
      <c r="C292" s="138"/>
      <c r="D292" s="22"/>
      <c r="E292" s="22"/>
      <c r="F292" s="22"/>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38"/>
      <c r="BB292" s="138"/>
      <c r="BC292" s="138"/>
      <c r="BD292" s="138"/>
      <c r="BE292" s="138"/>
      <c r="BF292" s="138"/>
      <c r="BG292" s="138"/>
      <c r="BH292" s="138"/>
      <c r="BI292" s="138"/>
      <c r="BJ292" s="138"/>
      <c r="BK292" s="138"/>
      <c r="BL292" s="138"/>
      <c r="BM292" s="138"/>
      <c r="BN292" s="138"/>
      <c r="BO292" s="138"/>
      <c r="BP292" s="138"/>
      <c r="BQ292" s="138"/>
      <c r="BR292" s="138"/>
      <c r="BS292" s="138"/>
      <c r="BT292" s="138"/>
      <c r="BU292" s="138"/>
      <c r="BV292" s="138"/>
      <c r="BW292" s="138"/>
      <c r="BX292" s="138"/>
      <c r="BY292" s="138"/>
      <c r="BZ292" s="138"/>
      <c r="CA292" s="138"/>
      <c r="CB292" s="138"/>
      <c r="CC292" s="138"/>
      <c r="CD292" s="138"/>
      <c r="CE292" s="138"/>
    </row>
    <row r="293" spans="1:83" ht="12" customHeight="1">
      <c r="A293" s="138"/>
      <c r="B293" s="138"/>
      <c r="C293" s="138"/>
      <c r="D293" s="22"/>
      <c r="E293" s="22"/>
      <c r="F293" s="22"/>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8"/>
      <c r="BX293" s="138"/>
      <c r="BY293" s="138"/>
      <c r="BZ293" s="138"/>
      <c r="CA293" s="138"/>
      <c r="CB293" s="138"/>
      <c r="CC293" s="138"/>
      <c r="CD293" s="138"/>
      <c r="CE293" s="138"/>
    </row>
    <row r="294" spans="1:83" ht="12" customHeight="1">
      <c r="A294" s="138"/>
      <c r="B294" s="138"/>
      <c r="C294" s="138"/>
      <c r="D294" s="22"/>
      <c r="E294" s="22"/>
      <c r="F294" s="22"/>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c r="CA294" s="138"/>
      <c r="CB294" s="138"/>
      <c r="CC294" s="138"/>
      <c r="CD294" s="138"/>
      <c r="CE294" s="138"/>
    </row>
    <row r="295" spans="1:83" ht="12" customHeight="1">
      <c r="A295" s="138"/>
      <c r="B295" s="138"/>
      <c r="C295" s="138"/>
      <c r="D295" s="22"/>
      <c r="E295" s="22"/>
      <c r="F295" s="22"/>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8"/>
      <c r="BX295" s="138"/>
      <c r="BY295" s="138"/>
      <c r="BZ295" s="138"/>
      <c r="CA295" s="138"/>
      <c r="CB295" s="138"/>
      <c r="CC295" s="138"/>
      <c r="CD295" s="138"/>
      <c r="CE295" s="138"/>
    </row>
    <row r="296" spans="1:83" ht="12" customHeight="1">
      <c r="A296" s="138"/>
      <c r="B296" s="138"/>
      <c r="C296" s="138"/>
      <c r="D296" s="22"/>
      <c r="E296" s="22"/>
      <c r="F296" s="22"/>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row>
    <row r="297" spans="1:83" ht="12" customHeight="1">
      <c r="A297" s="138"/>
      <c r="B297" s="138"/>
      <c r="C297" s="138"/>
      <c r="D297" s="22"/>
      <c r="E297" s="22"/>
      <c r="F297" s="22"/>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c r="BA297" s="138"/>
      <c r="BB297" s="138"/>
      <c r="BC297" s="138"/>
      <c r="BD297" s="138"/>
      <c r="BE297" s="138"/>
      <c r="BF297" s="138"/>
      <c r="BG297" s="138"/>
      <c r="BH297" s="138"/>
      <c r="BI297" s="138"/>
      <c r="BJ297" s="138"/>
      <c r="BK297" s="138"/>
      <c r="BL297" s="138"/>
      <c r="BM297" s="138"/>
      <c r="BN297" s="138"/>
      <c r="BO297" s="138"/>
      <c r="BP297" s="138"/>
      <c r="BQ297" s="138"/>
      <c r="BR297" s="138"/>
      <c r="BS297" s="138"/>
      <c r="BT297" s="138"/>
      <c r="BU297" s="138"/>
      <c r="BV297" s="138"/>
      <c r="BW297" s="138"/>
      <c r="BX297" s="138"/>
      <c r="BY297" s="138"/>
      <c r="BZ297" s="138"/>
      <c r="CA297" s="138"/>
      <c r="CB297" s="138"/>
      <c r="CC297" s="138"/>
      <c r="CD297" s="138"/>
      <c r="CE297" s="138"/>
    </row>
    <row r="298" spans="1:83" ht="12" customHeight="1">
      <c r="A298" s="138"/>
      <c r="B298" s="138"/>
      <c r="C298" s="138"/>
      <c r="D298" s="22"/>
      <c r="E298" s="22"/>
      <c r="F298" s="22"/>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38"/>
      <c r="BB298" s="138"/>
      <c r="BC298" s="138"/>
      <c r="BD298" s="138"/>
      <c r="BE298" s="138"/>
      <c r="BF298" s="138"/>
      <c r="BG298" s="138"/>
      <c r="BH298" s="138"/>
      <c r="BI298" s="138"/>
      <c r="BJ298" s="138"/>
      <c r="BK298" s="138"/>
      <c r="BL298" s="138"/>
      <c r="BM298" s="138"/>
      <c r="BN298" s="138"/>
      <c r="BO298" s="138"/>
      <c r="BP298" s="138"/>
      <c r="BQ298" s="138"/>
      <c r="BR298" s="138"/>
      <c r="BS298" s="138"/>
      <c r="BT298" s="138"/>
      <c r="BU298" s="138"/>
      <c r="BV298" s="138"/>
      <c r="BW298" s="138"/>
      <c r="BX298" s="138"/>
      <c r="BY298" s="138"/>
      <c r="BZ298" s="138"/>
      <c r="CA298" s="138"/>
      <c r="CB298" s="138"/>
      <c r="CC298" s="138"/>
      <c r="CD298" s="138"/>
      <c r="CE298" s="138"/>
    </row>
    <row r="299" spans="1:83" ht="12" customHeight="1">
      <c r="A299" s="138"/>
      <c r="B299" s="138"/>
      <c r="C299" s="138"/>
      <c r="D299" s="22"/>
      <c r="E299" s="22"/>
      <c r="F299" s="22"/>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38"/>
      <c r="BB299" s="138"/>
      <c r="BC299" s="138"/>
      <c r="BD299" s="138"/>
      <c r="BE299" s="138"/>
      <c r="BF299" s="138"/>
      <c r="BG299" s="138"/>
      <c r="BH299" s="138"/>
      <c r="BI299" s="138"/>
      <c r="BJ299" s="138"/>
      <c r="BK299" s="138"/>
      <c r="BL299" s="138"/>
      <c r="BM299" s="138"/>
      <c r="BN299" s="138"/>
      <c r="BO299" s="138"/>
      <c r="BP299" s="138"/>
      <c r="BQ299" s="138"/>
      <c r="BR299" s="138"/>
      <c r="BS299" s="138"/>
      <c r="BT299" s="138"/>
      <c r="BU299" s="138"/>
      <c r="BV299" s="138"/>
      <c r="BW299" s="138"/>
      <c r="BX299" s="138"/>
      <c r="BY299" s="138"/>
      <c r="BZ299" s="138"/>
      <c r="CA299" s="138"/>
      <c r="CB299" s="138"/>
      <c r="CC299" s="138"/>
      <c r="CD299" s="138"/>
      <c r="CE299" s="138"/>
    </row>
    <row r="300" spans="1:83" ht="12" customHeight="1">
      <c r="A300" s="138"/>
      <c r="B300" s="138"/>
      <c r="C300" s="138"/>
      <c r="D300" s="22"/>
      <c r="E300" s="22"/>
      <c r="F300" s="22"/>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c r="BA300" s="138"/>
      <c r="BB300" s="138"/>
      <c r="BC300" s="138"/>
      <c r="BD300" s="138"/>
      <c r="BE300" s="138"/>
      <c r="BF300" s="138"/>
      <c r="BG300" s="138"/>
      <c r="BH300" s="138"/>
      <c r="BI300" s="138"/>
      <c r="BJ300" s="138"/>
      <c r="BK300" s="138"/>
      <c r="BL300" s="138"/>
      <c r="BM300" s="138"/>
      <c r="BN300" s="138"/>
      <c r="BO300" s="138"/>
      <c r="BP300" s="138"/>
      <c r="BQ300" s="138"/>
      <c r="BR300" s="138"/>
      <c r="BS300" s="138"/>
      <c r="BT300" s="138"/>
      <c r="BU300" s="138"/>
      <c r="BV300" s="138"/>
      <c r="BW300" s="138"/>
      <c r="BX300" s="138"/>
      <c r="BY300" s="138"/>
      <c r="BZ300" s="138"/>
      <c r="CA300" s="138"/>
      <c r="CB300" s="138"/>
      <c r="CC300" s="138"/>
      <c r="CD300" s="138"/>
      <c r="CE300" s="138"/>
    </row>
    <row r="301" spans="1:83" ht="12" customHeight="1">
      <c r="A301" s="138"/>
      <c r="B301" s="138"/>
      <c r="C301" s="138"/>
      <c r="D301" s="22"/>
      <c r="E301" s="22"/>
      <c r="F301" s="22"/>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38"/>
      <c r="BB301" s="138"/>
      <c r="BC301" s="138"/>
      <c r="BD301" s="138"/>
      <c r="BE301" s="138"/>
      <c r="BF301" s="138"/>
      <c r="BG301" s="138"/>
      <c r="BH301" s="138"/>
      <c r="BI301" s="138"/>
      <c r="BJ301" s="138"/>
      <c r="BK301" s="138"/>
      <c r="BL301" s="138"/>
      <c r="BM301" s="138"/>
      <c r="BN301" s="138"/>
      <c r="BO301" s="138"/>
      <c r="BP301" s="138"/>
      <c r="BQ301" s="138"/>
      <c r="BR301" s="138"/>
      <c r="BS301" s="138"/>
      <c r="BT301" s="138"/>
      <c r="BU301" s="138"/>
      <c r="BV301" s="138"/>
      <c r="BW301" s="138"/>
      <c r="BX301" s="138"/>
      <c r="BY301" s="138"/>
      <c r="BZ301" s="138"/>
      <c r="CA301" s="138"/>
      <c r="CB301" s="138"/>
      <c r="CC301" s="138"/>
      <c r="CD301" s="138"/>
      <c r="CE301" s="138"/>
    </row>
    <row r="302" spans="1:83" ht="12" customHeight="1">
      <c r="A302" s="138"/>
      <c r="B302" s="138"/>
      <c r="C302" s="138"/>
      <c r="D302" s="22"/>
      <c r="E302" s="22"/>
      <c r="F302" s="22"/>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row>
    <row r="303" spans="1:83" ht="12" customHeight="1">
      <c r="A303" s="138"/>
      <c r="B303" s="138"/>
      <c r="C303" s="138"/>
      <c r="D303" s="22"/>
      <c r="E303" s="22"/>
      <c r="F303" s="22"/>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c r="AN303" s="138"/>
      <c r="AO303" s="138"/>
      <c r="AP303" s="138"/>
      <c r="AQ303" s="138"/>
      <c r="AR303" s="138"/>
      <c r="AS303" s="138"/>
      <c r="AT303" s="138"/>
      <c r="AU303" s="138"/>
      <c r="AV303" s="138"/>
      <c r="AW303" s="138"/>
      <c r="AX303" s="138"/>
      <c r="AY303" s="138"/>
      <c r="AZ303" s="138"/>
      <c r="BA303" s="138"/>
      <c r="BB303" s="138"/>
      <c r="BC303" s="138"/>
      <c r="BD303" s="138"/>
      <c r="BE303" s="138"/>
      <c r="BF303" s="138"/>
      <c r="BG303" s="138"/>
      <c r="BH303" s="138"/>
      <c r="BI303" s="138"/>
      <c r="BJ303" s="138"/>
      <c r="BK303" s="138"/>
      <c r="BL303" s="138"/>
      <c r="BM303" s="138"/>
      <c r="BN303" s="138"/>
      <c r="BO303" s="138"/>
      <c r="BP303" s="138"/>
      <c r="BQ303" s="138"/>
      <c r="BR303" s="138"/>
      <c r="BS303" s="138"/>
      <c r="BT303" s="138"/>
      <c r="BU303" s="138"/>
      <c r="BV303" s="138"/>
      <c r="BW303" s="138"/>
      <c r="BX303" s="138"/>
      <c r="BY303" s="138"/>
      <c r="BZ303" s="138"/>
      <c r="CA303" s="138"/>
      <c r="CB303" s="138"/>
      <c r="CC303" s="138"/>
      <c r="CD303" s="138"/>
      <c r="CE303" s="138"/>
    </row>
    <row r="304" spans="1:83" ht="12" customHeight="1">
      <c r="A304" s="138"/>
      <c r="B304" s="138"/>
      <c r="C304" s="138"/>
      <c r="D304" s="22"/>
      <c r="E304" s="22"/>
      <c r="F304" s="22"/>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38"/>
      <c r="BB304" s="138"/>
      <c r="BC304" s="138"/>
      <c r="BD304" s="138"/>
      <c r="BE304" s="138"/>
      <c r="BF304" s="138"/>
      <c r="BG304" s="138"/>
      <c r="BH304" s="138"/>
      <c r="BI304" s="138"/>
      <c r="BJ304" s="138"/>
      <c r="BK304" s="138"/>
      <c r="BL304" s="138"/>
      <c r="BM304" s="138"/>
      <c r="BN304" s="138"/>
      <c r="BO304" s="138"/>
      <c r="BP304" s="138"/>
      <c r="BQ304" s="138"/>
      <c r="BR304" s="138"/>
      <c r="BS304" s="138"/>
      <c r="BT304" s="138"/>
      <c r="BU304" s="138"/>
      <c r="BV304" s="138"/>
      <c r="BW304" s="138"/>
      <c r="BX304" s="138"/>
      <c r="BY304" s="138"/>
      <c r="BZ304" s="138"/>
      <c r="CA304" s="138"/>
      <c r="CB304" s="138"/>
      <c r="CC304" s="138"/>
      <c r="CD304" s="138"/>
      <c r="CE304" s="138"/>
    </row>
    <row r="305" spans="1:83" ht="12" customHeight="1">
      <c r="A305" s="138"/>
      <c r="B305" s="138"/>
      <c r="C305" s="138"/>
      <c r="D305" s="22"/>
      <c r="E305" s="22"/>
      <c r="F305" s="22"/>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8"/>
      <c r="BX305" s="138"/>
      <c r="BY305" s="138"/>
      <c r="BZ305" s="138"/>
      <c r="CA305" s="138"/>
      <c r="CB305" s="138"/>
      <c r="CC305" s="138"/>
      <c r="CD305" s="138"/>
      <c r="CE305" s="138"/>
    </row>
    <row r="306" spans="1:83" ht="12" customHeight="1">
      <c r="A306" s="138"/>
      <c r="B306" s="138"/>
      <c r="C306" s="138"/>
      <c r="D306" s="22"/>
      <c r="E306" s="22"/>
      <c r="F306" s="22"/>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c r="AN306" s="138"/>
      <c r="AO306" s="138"/>
      <c r="AP306" s="138"/>
      <c r="AQ306" s="138"/>
      <c r="AR306" s="138"/>
      <c r="AS306" s="138"/>
      <c r="AT306" s="138"/>
      <c r="AU306" s="138"/>
      <c r="AV306" s="138"/>
      <c r="AW306" s="138"/>
      <c r="AX306" s="138"/>
      <c r="AY306" s="138"/>
      <c r="AZ306" s="138"/>
      <c r="BA306" s="138"/>
      <c r="BB306" s="138"/>
      <c r="BC306" s="138"/>
      <c r="BD306" s="138"/>
      <c r="BE306" s="138"/>
      <c r="BF306" s="138"/>
      <c r="BG306" s="138"/>
      <c r="BH306" s="138"/>
      <c r="BI306" s="138"/>
      <c r="BJ306" s="138"/>
      <c r="BK306" s="138"/>
      <c r="BL306" s="138"/>
      <c r="BM306" s="138"/>
      <c r="BN306" s="138"/>
      <c r="BO306" s="138"/>
      <c r="BP306" s="138"/>
      <c r="BQ306" s="138"/>
      <c r="BR306" s="138"/>
      <c r="BS306" s="138"/>
      <c r="BT306" s="138"/>
      <c r="BU306" s="138"/>
      <c r="BV306" s="138"/>
      <c r="BW306" s="138"/>
      <c r="BX306" s="138"/>
      <c r="BY306" s="138"/>
      <c r="BZ306" s="138"/>
      <c r="CA306" s="138"/>
      <c r="CB306" s="138"/>
      <c r="CC306" s="138"/>
      <c r="CD306" s="138"/>
      <c r="CE306" s="138"/>
    </row>
    <row r="307" spans="1:83" ht="12" customHeight="1">
      <c r="A307" s="138"/>
      <c r="B307" s="138"/>
      <c r="C307" s="138"/>
      <c r="D307" s="22"/>
      <c r="E307" s="22"/>
      <c r="F307" s="22"/>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38"/>
      <c r="BB307" s="138"/>
      <c r="BC307" s="138"/>
      <c r="BD307" s="138"/>
      <c r="BE307" s="138"/>
      <c r="BF307" s="138"/>
      <c r="BG307" s="138"/>
      <c r="BH307" s="138"/>
      <c r="BI307" s="138"/>
      <c r="BJ307" s="138"/>
      <c r="BK307" s="138"/>
      <c r="BL307" s="138"/>
      <c r="BM307" s="138"/>
      <c r="BN307" s="138"/>
      <c r="BO307" s="138"/>
      <c r="BP307" s="138"/>
      <c r="BQ307" s="138"/>
      <c r="BR307" s="138"/>
      <c r="BS307" s="138"/>
      <c r="BT307" s="138"/>
      <c r="BU307" s="138"/>
      <c r="BV307" s="138"/>
      <c r="BW307" s="138"/>
      <c r="BX307" s="138"/>
      <c r="BY307" s="138"/>
      <c r="BZ307" s="138"/>
      <c r="CA307" s="138"/>
      <c r="CB307" s="138"/>
      <c r="CC307" s="138"/>
      <c r="CD307" s="138"/>
      <c r="CE307" s="138"/>
    </row>
    <row r="308" spans="1:83" ht="12" customHeight="1">
      <c r="A308" s="138"/>
      <c r="B308" s="138"/>
      <c r="C308" s="138"/>
      <c r="D308" s="22"/>
      <c r="E308" s="22"/>
      <c r="F308" s="22"/>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row>
    <row r="309" spans="1:83" ht="12" customHeight="1">
      <c r="A309" s="138"/>
      <c r="B309" s="138"/>
      <c r="C309" s="138"/>
      <c r="D309" s="22"/>
      <c r="E309" s="22"/>
      <c r="F309" s="22"/>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c r="BA309" s="138"/>
      <c r="BB309" s="138"/>
      <c r="BC309" s="138"/>
      <c r="BD309" s="138"/>
      <c r="BE309" s="138"/>
      <c r="BF309" s="138"/>
      <c r="BG309" s="138"/>
      <c r="BH309" s="138"/>
      <c r="BI309" s="138"/>
      <c r="BJ309" s="138"/>
      <c r="BK309" s="138"/>
      <c r="BL309" s="138"/>
      <c r="BM309" s="138"/>
      <c r="BN309" s="138"/>
      <c r="BO309" s="138"/>
      <c r="BP309" s="138"/>
      <c r="BQ309" s="138"/>
      <c r="BR309" s="138"/>
      <c r="BS309" s="138"/>
      <c r="BT309" s="138"/>
      <c r="BU309" s="138"/>
      <c r="BV309" s="138"/>
      <c r="BW309" s="138"/>
      <c r="BX309" s="138"/>
      <c r="BY309" s="138"/>
      <c r="BZ309" s="138"/>
      <c r="CA309" s="138"/>
      <c r="CB309" s="138"/>
      <c r="CC309" s="138"/>
      <c r="CD309" s="138"/>
      <c r="CE309" s="138"/>
    </row>
    <row r="310" spans="1:83" ht="12" customHeight="1">
      <c r="A310" s="138"/>
      <c r="B310" s="138"/>
      <c r="C310" s="138"/>
      <c r="D310" s="22"/>
      <c r="E310" s="22"/>
      <c r="F310" s="22"/>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8"/>
      <c r="BX310" s="138"/>
      <c r="BY310" s="138"/>
      <c r="BZ310" s="138"/>
      <c r="CA310" s="138"/>
      <c r="CB310" s="138"/>
      <c r="CC310" s="138"/>
      <c r="CD310" s="138"/>
      <c r="CE310" s="138"/>
    </row>
    <row r="311" spans="1:83" ht="12" customHeight="1">
      <c r="A311" s="138"/>
      <c r="B311" s="138"/>
      <c r="C311" s="138"/>
      <c r="D311" s="22"/>
      <c r="E311" s="22"/>
      <c r="F311" s="22"/>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38"/>
      <c r="BB311" s="138"/>
      <c r="BC311" s="138"/>
      <c r="BD311" s="138"/>
      <c r="BE311" s="138"/>
      <c r="BF311" s="138"/>
      <c r="BG311" s="138"/>
      <c r="BH311" s="138"/>
      <c r="BI311" s="138"/>
      <c r="BJ311" s="138"/>
      <c r="BK311" s="138"/>
      <c r="BL311" s="138"/>
      <c r="BM311" s="138"/>
      <c r="BN311" s="138"/>
      <c r="BO311" s="138"/>
      <c r="BP311" s="138"/>
      <c r="BQ311" s="138"/>
      <c r="BR311" s="138"/>
      <c r="BS311" s="138"/>
      <c r="BT311" s="138"/>
      <c r="BU311" s="138"/>
      <c r="BV311" s="138"/>
      <c r="BW311" s="138"/>
      <c r="BX311" s="138"/>
      <c r="BY311" s="138"/>
      <c r="BZ311" s="138"/>
      <c r="CA311" s="138"/>
      <c r="CB311" s="138"/>
      <c r="CC311" s="138"/>
      <c r="CD311" s="138"/>
      <c r="CE311" s="138"/>
    </row>
    <row r="312" spans="1:83" ht="12" customHeight="1">
      <c r="A312" s="138"/>
      <c r="B312" s="138"/>
      <c r="C312" s="138"/>
      <c r="D312" s="22"/>
      <c r="E312" s="22"/>
      <c r="F312" s="22"/>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c r="AN312" s="138"/>
      <c r="AO312" s="138"/>
      <c r="AP312" s="138"/>
      <c r="AQ312" s="138"/>
      <c r="AR312" s="138"/>
      <c r="AS312" s="138"/>
      <c r="AT312" s="138"/>
      <c r="AU312" s="138"/>
      <c r="AV312" s="138"/>
      <c r="AW312" s="138"/>
      <c r="AX312" s="138"/>
      <c r="AY312" s="138"/>
      <c r="AZ312" s="138"/>
      <c r="BA312" s="138"/>
      <c r="BB312" s="138"/>
      <c r="BC312" s="138"/>
      <c r="BD312" s="138"/>
      <c r="BE312" s="138"/>
      <c r="BF312" s="138"/>
      <c r="BG312" s="138"/>
      <c r="BH312" s="138"/>
      <c r="BI312" s="138"/>
      <c r="BJ312" s="138"/>
      <c r="BK312" s="138"/>
      <c r="BL312" s="138"/>
      <c r="BM312" s="138"/>
      <c r="BN312" s="138"/>
      <c r="BO312" s="138"/>
      <c r="BP312" s="138"/>
      <c r="BQ312" s="138"/>
      <c r="BR312" s="138"/>
      <c r="BS312" s="138"/>
      <c r="BT312" s="138"/>
      <c r="BU312" s="138"/>
      <c r="BV312" s="138"/>
      <c r="BW312" s="138"/>
      <c r="BX312" s="138"/>
      <c r="BY312" s="138"/>
      <c r="BZ312" s="138"/>
      <c r="CA312" s="138"/>
      <c r="CB312" s="138"/>
      <c r="CC312" s="138"/>
      <c r="CD312" s="138"/>
      <c r="CE312" s="138"/>
    </row>
    <row r="313" spans="1:83" ht="12" customHeight="1">
      <c r="A313" s="138"/>
      <c r="B313" s="138"/>
      <c r="C313" s="138"/>
      <c r="D313" s="22"/>
      <c r="E313" s="22"/>
      <c r="F313" s="22"/>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38"/>
      <c r="BB313" s="138"/>
      <c r="BC313" s="138"/>
      <c r="BD313" s="138"/>
      <c r="BE313" s="138"/>
      <c r="BF313" s="138"/>
      <c r="BG313" s="138"/>
      <c r="BH313" s="138"/>
      <c r="BI313" s="138"/>
      <c r="BJ313" s="138"/>
      <c r="BK313" s="138"/>
      <c r="BL313" s="138"/>
      <c r="BM313" s="138"/>
      <c r="BN313" s="138"/>
      <c r="BO313" s="138"/>
      <c r="BP313" s="138"/>
      <c r="BQ313" s="138"/>
      <c r="BR313" s="138"/>
      <c r="BS313" s="138"/>
      <c r="BT313" s="138"/>
      <c r="BU313" s="138"/>
      <c r="BV313" s="138"/>
      <c r="BW313" s="138"/>
      <c r="BX313" s="138"/>
      <c r="BY313" s="138"/>
      <c r="BZ313" s="138"/>
      <c r="CA313" s="138"/>
      <c r="CB313" s="138"/>
      <c r="CC313" s="138"/>
      <c r="CD313" s="138"/>
      <c r="CE313" s="138"/>
    </row>
    <row r="314" spans="1:83" ht="12" customHeight="1">
      <c r="A314" s="138"/>
      <c r="B314" s="138"/>
      <c r="C314" s="138"/>
      <c r="D314" s="22"/>
      <c r="E314" s="22"/>
      <c r="F314" s="22"/>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row>
    <row r="315" spans="1:83" ht="12" customHeight="1">
      <c r="A315" s="138"/>
      <c r="B315" s="138"/>
      <c r="C315" s="138"/>
      <c r="D315" s="22"/>
      <c r="E315" s="22"/>
      <c r="F315" s="22"/>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8"/>
      <c r="BB315" s="138"/>
      <c r="BC315" s="138"/>
      <c r="BD315" s="138"/>
      <c r="BE315" s="138"/>
      <c r="BF315" s="138"/>
      <c r="BG315" s="138"/>
      <c r="BH315" s="138"/>
      <c r="BI315" s="138"/>
      <c r="BJ315" s="138"/>
      <c r="BK315" s="138"/>
      <c r="BL315" s="138"/>
      <c r="BM315" s="138"/>
      <c r="BN315" s="138"/>
      <c r="BO315" s="138"/>
      <c r="BP315" s="138"/>
      <c r="BQ315" s="138"/>
      <c r="BR315" s="138"/>
      <c r="BS315" s="138"/>
      <c r="BT315" s="138"/>
      <c r="BU315" s="138"/>
      <c r="BV315" s="138"/>
      <c r="BW315" s="138"/>
      <c r="BX315" s="138"/>
      <c r="BY315" s="138"/>
      <c r="BZ315" s="138"/>
      <c r="CA315" s="138"/>
      <c r="CB315" s="138"/>
      <c r="CC315" s="138"/>
      <c r="CD315" s="138"/>
      <c r="CE315" s="138"/>
    </row>
    <row r="316" spans="1:83" ht="12" customHeight="1">
      <c r="A316" s="138"/>
      <c r="B316" s="138"/>
      <c r="C316" s="138"/>
      <c r="D316" s="22"/>
      <c r="E316" s="22"/>
      <c r="F316" s="22"/>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38"/>
      <c r="BB316" s="138"/>
      <c r="BC316" s="138"/>
      <c r="BD316" s="138"/>
      <c r="BE316" s="138"/>
      <c r="BF316" s="138"/>
      <c r="BG316" s="138"/>
      <c r="BH316" s="138"/>
      <c r="BI316" s="138"/>
      <c r="BJ316" s="138"/>
      <c r="BK316" s="138"/>
      <c r="BL316" s="138"/>
      <c r="BM316" s="138"/>
      <c r="BN316" s="138"/>
      <c r="BO316" s="138"/>
      <c r="BP316" s="138"/>
      <c r="BQ316" s="138"/>
      <c r="BR316" s="138"/>
      <c r="BS316" s="138"/>
      <c r="BT316" s="138"/>
      <c r="BU316" s="138"/>
      <c r="BV316" s="138"/>
      <c r="BW316" s="138"/>
      <c r="BX316" s="138"/>
      <c r="BY316" s="138"/>
      <c r="BZ316" s="138"/>
      <c r="CA316" s="138"/>
      <c r="CB316" s="138"/>
      <c r="CC316" s="138"/>
      <c r="CD316" s="138"/>
      <c r="CE316" s="138"/>
    </row>
    <row r="317" spans="1:83" ht="12" customHeight="1">
      <c r="A317" s="138"/>
      <c r="B317" s="138"/>
      <c r="C317" s="138"/>
      <c r="D317" s="22"/>
      <c r="E317" s="22"/>
      <c r="F317" s="22"/>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38"/>
      <c r="BB317" s="138"/>
      <c r="BC317" s="138"/>
      <c r="BD317" s="138"/>
      <c r="BE317" s="138"/>
      <c r="BF317" s="138"/>
      <c r="BG317" s="138"/>
      <c r="BH317" s="138"/>
      <c r="BI317" s="138"/>
      <c r="BJ317" s="138"/>
      <c r="BK317" s="138"/>
      <c r="BL317" s="138"/>
      <c r="BM317" s="138"/>
      <c r="BN317" s="138"/>
      <c r="BO317" s="138"/>
      <c r="BP317" s="138"/>
      <c r="BQ317" s="138"/>
      <c r="BR317" s="138"/>
      <c r="BS317" s="138"/>
      <c r="BT317" s="138"/>
      <c r="BU317" s="138"/>
      <c r="BV317" s="138"/>
      <c r="BW317" s="138"/>
      <c r="BX317" s="138"/>
      <c r="BY317" s="138"/>
      <c r="BZ317" s="138"/>
      <c r="CA317" s="138"/>
      <c r="CB317" s="138"/>
      <c r="CC317" s="138"/>
      <c r="CD317" s="138"/>
      <c r="CE317" s="138"/>
    </row>
    <row r="318" spans="1:83" ht="12" customHeight="1">
      <c r="A318" s="138"/>
      <c r="B318" s="138"/>
      <c r="C318" s="138"/>
      <c r="D318" s="22"/>
      <c r="E318" s="22"/>
      <c r="F318" s="22"/>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38"/>
      <c r="BB318" s="138"/>
      <c r="BC318" s="138"/>
      <c r="BD318" s="138"/>
      <c r="BE318" s="138"/>
      <c r="BF318" s="138"/>
      <c r="BG318" s="138"/>
      <c r="BH318" s="138"/>
      <c r="BI318" s="138"/>
      <c r="BJ318" s="138"/>
      <c r="BK318" s="138"/>
      <c r="BL318" s="138"/>
      <c r="BM318" s="138"/>
      <c r="BN318" s="138"/>
      <c r="BO318" s="138"/>
      <c r="BP318" s="138"/>
      <c r="BQ318" s="138"/>
      <c r="BR318" s="138"/>
      <c r="BS318" s="138"/>
      <c r="BT318" s="138"/>
      <c r="BU318" s="138"/>
      <c r="BV318" s="138"/>
      <c r="BW318" s="138"/>
      <c r="BX318" s="138"/>
      <c r="BY318" s="138"/>
      <c r="BZ318" s="138"/>
      <c r="CA318" s="138"/>
      <c r="CB318" s="138"/>
      <c r="CC318" s="138"/>
      <c r="CD318" s="138"/>
      <c r="CE318" s="138"/>
    </row>
    <row r="319" spans="1:83" ht="12" customHeight="1">
      <c r="A319" s="138"/>
      <c r="B319" s="138"/>
      <c r="C319" s="138"/>
      <c r="D319" s="22"/>
      <c r="E319" s="22"/>
      <c r="F319" s="22"/>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c r="AN319" s="138"/>
      <c r="AO319" s="138"/>
      <c r="AP319" s="138"/>
      <c r="AQ319" s="138"/>
      <c r="AR319" s="138"/>
      <c r="AS319" s="138"/>
      <c r="AT319" s="138"/>
      <c r="AU319" s="138"/>
      <c r="AV319" s="138"/>
      <c r="AW319" s="138"/>
      <c r="AX319" s="138"/>
      <c r="AY319" s="138"/>
      <c r="AZ319" s="138"/>
      <c r="BA319" s="138"/>
      <c r="BB319" s="138"/>
      <c r="BC319" s="138"/>
      <c r="BD319" s="138"/>
      <c r="BE319" s="138"/>
      <c r="BF319" s="138"/>
      <c r="BG319" s="138"/>
      <c r="BH319" s="138"/>
      <c r="BI319" s="138"/>
      <c r="BJ319" s="138"/>
      <c r="BK319" s="138"/>
      <c r="BL319" s="138"/>
      <c r="BM319" s="138"/>
      <c r="BN319" s="138"/>
      <c r="BO319" s="138"/>
      <c r="BP319" s="138"/>
      <c r="BQ319" s="138"/>
      <c r="BR319" s="138"/>
      <c r="BS319" s="138"/>
      <c r="BT319" s="138"/>
      <c r="BU319" s="138"/>
      <c r="BV319" s="138"/>
      <c r="BW319" s="138"/>
      <c r="BX319" s="138"/>
      <c r="BY319" s="138"/>
      <c r="BZ319" s="138"/>
      <c r="CA319" s="138"/>
      <c r="CB319" s="138"/>
      <c r="CC319" s="138"/>
      <c r="CD319" s="138"/>
      <c r="CE319" s="138"/>
    </row>
    <row r="320" spans="1:83" ht="12" customHeight="1">
      <c r="A320" s="138"/>
      <c r="B320" s="138"/>
      <c r="C320" s="138"/>
      <c r="D320" s="22"/>
      <c r="E320" s="22"/>
      <c r="F320" s="22"/>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row>
    <row r="321" spans="1:83" ht="12" customHeight="1">
      <c r="A321" s="138"/>
      <c r="B321" s="138"/>
      <c r="C321" s="138"/>
      <c r="D321" s="22"/>
      <c r="E321" s="22"/>
      <c r="F321" s="22"/>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38"/>
      <c r="BB321" s="138"/>
      <c r="BC321" s="138"/>
      <c r="BD321" s="138"/>
      <c r="BE321" s="138"/>
      <c r="BF321" s="138"/>
      <c r="BG321" s="138"/>
      <c r="BH321" s="138"/>
      <c r="BI321" s="138"/>
      <c r="BJ321" s="138"/>
      <c r="BK321" s="138"/>
      <c r="BL321" s="138"/>
      <c r="BM321" s="138"/>
      <c r="BN321" s="138"/>
      <c r="BO321" s="138"/>
      <c r="BP321" s="138"/>
      <c r="BQ321" s="138"/>
      <c r="BR321" s="138"/>
      <c r="BS321" s="138"/>
      <c r="BT321" s="138"/>
      <c r="BU321" s="138"/>
      <c r="BV321" s="138"/>
      <c r="BW321" s="138"/>
      <c r="BX321" s="138"/>
      <c r="BY321" s="138"/>
      <c r="BZ321" s="138"/>
      <c r="CA321" s="138"/>
      <c r="CB321" s="138"/>
      <c r="CC321" s="138"/>
      <c r="CD321" s="138"/>
      <c r="CE321" s="138"/>
    </row>
    <row r="322" spans="1:83" ht="12" customHeight="1">
      <c r="A322" s="138"/>
      <c r="B322" s="138"/>
      <c r="C322" s="138"/>
      <c r="D322" s="22"/>
      <c r="E322" s="22"/>
      <c r="F322" s="22"/>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38"/>
      <c r="BB322" s="138"/>
      <c r="BC322" s="138"/>
      <c r="BD322" s="138"/>
      <c r="BE322" s="138"/>
      <c r="BF322" s="138"/>
      <c r="BG322" s="138"/>
      <c r="BH322" s="138"/>
      <c r="BI322" s="138"/>
      <c r="BJ322" s="138"/>
      <c r="BK322" s="138"/>
      <c r="BL322" s="138"/>
      <c r="BM322" s="138"/>
      <c r="BN322" s="138"/>
      <c r="BO322" s="138"/>
      <c r="BP322" s="138"/>
      <c r="BQ322" s="138"/>
      <c r="BR322" s="138"/>
      <c r="BS322" s="138"/>
      <c r="BT322" s="138"/>
      <c r="BU322" s="138"/>
      <c r="BV322" s="138"/>
      <c r="BW322" s="138"/>
      <c r="BX322" s="138"/>
      <c r="BY322" s="138"/>
      <c r="BZ322" s="138"/>
      <c r="CA322" s="138"/>
      <c r="CB322" s="138"/>
      <c r="CC322" s="138"/>
      <c r="CD322" s="138"/>
      <c r="CE322" s="138"/>
    </row>
    <row r="323" spans="1:83" ht="12" customHeight="1">
      <c r="A323" s="138"/>
      <c r="B323" s="138"/>
      <c r="C323" s="138"/>
      <c r="D323" s="22"/>
      <c r="E323" s="22"/>
      <c r="F323" s="22"/>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38"/>
      <c r="BB323" s="138"/>
      <c r="BC323" s="138"/>
      <c r="BD323" s="138"/>
      <c r="BE323" s="138"/>
      <c r="BF323" s="138"/>
      <c r="BG323" s="138"/>
      <c r="BH323" s="138"/>
      <c r="BI323" s="138"/>
      <c r="BJ323" s="138"/>
      <c r="BK323" s="138"/>
      <c r="BL323" s="138"/>
      <c r="BM323" s="138"/>
      <c r="BN323" s="138"/>
      <c r="BO323" s="138"/>
      <c r="BP323" s="138"/>
      <c r="BQ323" s="138"/>
      <c r="BR323" s="138"/>
      <c r="BS323" s="138"/>
      <c r="BT323" s="138"/>
      <c r="BU323" s="138"/>
      <c r="BV323" s="138"/>
      <c r="BW323" s="138"/>
      <c r="BX323" s="138"/>
      <c r="BY323" s="138"/>
      <c r="BZ323" s="138"/>
      <c r="CA323" s="138"/>
      <c r="CB323" s="138"/>
      <c r="CC323" s="138"/>
      <c r="CD323" s="138"/>
      <c r="CE323" s="138"/>
    </row>
    <row r="324" spans="1:83" ht="12" customHeight="1">
      <c r="A324" s="138"/>
      <c r="B324" s="138"/>
      <c r="C324" s="138"/>
      <c r="D324" s="22"/>
      <c r="E324" s="22"/>
      <c r="F324" s="22"/>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38"/>
      <c r="BB324" s="138"/>
      <c r="BC324" s="138"/>
      <c r="BD324" s="138"/>
      <c r="BE324" s="138"/>
      <c r="BF324" s="138"/>
      <c r="BG324" s="138"/>
      <c r="BH324" s="138"/>
      <c r="BI324" s="138"/>
      <c r="BJ324" s="138"/>
      <c r="BK324" s="138"/>
      <c r="BL324" s="138"/>
      <c r="BM324" s="138"/>
      <c r="BN324" s="138"/>
      <c r="BO324" s="138"/>
      <c r="BP324" s="138"/>
      <c r="BQ324" s="138"/>
      <c r="BR324" s="138"/>
      <c r="BS324" s="138"/>
      <c r="BT324" s="138"/>
      <c r="BU324" s="138"/>
      <c r="BV324" s="138"/>
      <c r="BW324" s="138"/>
      <c r="BX324" s="138"/>
      <c r="BY324" s="138"/>
      <c r="BZ324" s="138"/>
      <c r="CA324" s="138"/>
      <c r="CB324" s="138"/>
      <c r="CC324" s="138"/>
      <c r="CD324" s="138"/>
      <c r="CE324" s="138"/>
    </row>
    <row r="325" spans="1:83" ht="12" customHeight="1">
      <c r="A325" s="138"/>
      <c r="B325" s="138"/>
      <c r="C325" s="138"/>
      <c r="D325" s="22"/>
      <c r="E325" s="22"/>
      <c r="F325" s="22"/>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8"/>
      <c r="BB325" s="138"/>
      <c r="BC325" s="138"/>
      <c r="BD325" s="138"/>
      <c r="BE325" s="138"/>
      <c r="BF325" s="138"/>
      <c r="BG325" s="138"/>
      <c r="BH325" s="138"/>
      <c r="BI325" s="138"/>
      <c r="BJ325" s="138"/>
      <c r="BK325" s="138"/>
      <c r="BL325" s="138"/>
      <c r="BM325" s="138"/>
      <c r="BN325" s="138"/>
      <c r="BO325" s="138"/>
      <c r="BP325" s="138"/>
      <c r="BQ325" s="138"/>
      <c r="BR325" s="138"/>
      <c r="BS325" s="138"/>
      <c r="BT325" s="138"/>
      <c r="BU325" s="138"/>
      <c r="BV325" s="138"/>
      <c r="BW325" s="138"/>
      <c r="BX325" s="138"/>
      <c r="BY325" s="138"/>
      <c r="BZ325" s="138"/>
      <c r="CA325" s="138"/>
      <c r="CB325" s="138"/>
      <c r="CC325" s="138"/>
      <c r="CD325" s="138"/>
      <c r="CE325" s="138"/>
    </row>
    <row r="326" spans="1:83" ht="12" customHeight="1">
      <c r="A326" s="138"/>
      <c r="B326" s="138"/>
      <c r="C326" s="138"/>
      <c r="D326" s="22"/>
      <c r="E326" s="22"/>
      <c r="F326" s="22"/>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row>
    <row r="327" spans="1:83" ht="12" customHeight="1">
      <c r="A327" s="138"/>
      <c r="B327" s="138"/>
      <c r="C327" s="138"/>
      <c r="D327" s="22"/>
      <c r="E327" s="22"/>
      <c r="F327" s="22"/>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38"/>
      <c r="BB327" s="138"/>
      <c r="BC327" s="138"/>
      <c r="BD327" s="138"/>
      <c r="BE327" s="138"/>
      <c r="BF327" s="138"/>
      <c r="BG327" s="138"/>
      <c r="BH327" s="138"/>
      <c r="BI327" s="138"/>
      <c r="BJ327" s="138"/>
      <c r="BK327" s="138"/>
      <c r="BL327" s="138"/>
      <c r="BM327" s="138"/>
      <c r="BN327" s="138"/>
      <c r="BO327" s="138"/>
      <c r="BP327" s="138"/>
      <c r="BQ327" s="138"/>
      <c r="BR327" s="138"/>
      <c r="BS327" s="138"/>
      <c r="BT327" s="138"/>
      <c r="BU327" s="138"/>
      <c r="BV327" s="138"/>
      <c r="BW327" s="138"/>
      <c r="BX327" s="138"/>
      <c r="BY327" s="138"/>
      <c r="BZ327" s="138"/>
      <c r="CA327" s="138"/>
      <c r="CB327" s="138"/>
      <c r="CC327" s="138"/>
      <c r="CD327" s="138"/>
      <c r="CE327" s="138"/>
    </row>
    <row r="328" spans="1:83" ht="12" customHeight="1">
      <c r="A328" s="138"/>
      <c r="B328" s="138"/>
      <c r="C328" s="138"/>
      <c r="D328" s="22"/>
      <c r="E328" s="22"/>
      <c r="F328" s="22"/>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38"/>
      <c r="BB328" s="138"/>
      <c r="BC328" s="138"/>
      <c r="BD328" s="138"/>
      <c r="BE328" s="138"/>
      <c r="BF328" s="138"/>
      <c r="BG328" s="138"/>
      <c r="BH328" s="138"/>
      <c r="BI328" s="138"/>
      <c r="BJ328" s="138"/>
      <c r="BK328" s="138"/>
      <c r="BL328" s="138"/>
      <c r="BM328" s="138"/>
      <c r="BN328" s="138"/>
      <c r="BO328" s="138"/>
      <c r="BP328" s="138"/>
      <c r="BQ328" s="138"/>
      <c r="BR328" s="138"/>
      <c r="BS328" s="138"/>
      <c r="BT328" s="138"/>
      <c r="BU328" s="138"/>
      <c r="BV328" s="138"/>
      <c r="BW328" s="138"/>
      <c r="BX328" s="138"/>
      <c r="BY328" s="138"/>
      <c r="BZ328" s="138"/>
      <c r="CA328" s="138"/>
      <c r="CB328" s="138"/>
      <c r="CC328" s="138"/>
      <c r="CD328" s="138"/>
      <c r="CE328" s="138"/>
    </row>
    <row r="329" spans="1:83" ht="12" customHeight="1">
      <c r="A329" s="138"/>
      <c r="B329" s="138"/>
      <c r="C329" s="138"/>
      <c r="D329" s="22"/>
      <c r="E329" s="22"/>
      <c r="F329" s="22"/>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38"/>
      <c r="BB329" s="138"/>
      <c r="BC329" s="138"/>
      <c r="BD329" s="138"/>
      <c r="BE329" s="138"/>
      <c r="BF329" s="138"/>
      <c r="BG329" s="138"/>
      <c r="BH329" s="138"/>
      <c r="BI329" s="138"/>
      <c r="BJ329" s="138"/>
      <c r="BK329" s="138"/>
      <c r="BL329" s="138"/>
      <c r="BM329" s="138"/>
      <c r="BN329" s="138"/>
      <c r="BO329" s="138"/>
      <c r="BP329" s="138"/>
      <c r="BQ329" s="138"/>
      <c r="BR329" s="138"/>
      <c r="BS329" s="138"/>
      <c r="BT329" s="138"/>
      <c r="BU329" s="138"/>
      <c r="BV329" s="138"/>
      <c r="BW329" s="138"/>
      <c r="BX329" s="138"/>
      <c r="BY329" s="138"/>
      <c r="BZ329" s="138"/>
      <c r="CA329" s="138"/>
      <c r="CB329" s="138"/>
      <c r="CC329" s="138"/>
      <c r="CD329" s="138"/>
      <c r="CE329" s="138"/>
    </row>
    <row r="330" spans="1:83" ht="12" customHeight="1">
      <c r="A330" s="138"/>
      <c r="B330" s="138"/>
      <c r="C330" s="138"/>
      <c r="D330" s="22"/>
      <c r="E330" s="22"/>
      <c r="F330" s="22"/>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8"/>
      <c r="BB330" s="138"/>
      <c r="BC330" s="138"/>
      <c r="BD330" s="138"/>
      <c r="BE330" s="138"/>
      <c r="BF330" s="138"/>
      <c r="BG330" s="138"/>
      <c r="BH330" s="138"/>
      <c r="BI330" s="138"/>
      <c r="BJ330" s="138"/>
      <c r="BK330" s="138"/>
      <c r="BL330" s="138"/>
      <c r="BM330" s="138"/>
      <c r="BN330" s="138"/>
      <c r="BO330" s="138"/>
      <c r="BP330" s="138"/>
      <c r="BQ330" s="138"/>
      <c r="BR330" s="138"/>
      <c r="BS330" s="138"/>
      <c r="BT330" s="138"/>
      <c r="BU330" s="138"/>
      <c r="BV330" s="138"/>
      <c r="BW330" s="138"/>
      <c r="BX330" s="138"/>
      <c r="BY330" s="138"/>
      <c r="BZ330" s="138"/>
      <c r="CA330" s="138"/>
      <c r="CB330" s="138"/>
      <c r="CC330" s="138"/>
      <c r="CD330" s="138"/>
      <c r="CE330" s="138"/>
    </row>
    <row r="331" spans="1:83" ht="12" customHeight="1">
      <c r="A331" s="138"/>
      <c r="B331" s="138"/>
      <c r="C331" s="138"/>
      <c r="D331" s="22"/>
      <c r="E331" s="22"/>
      <c r="F331" s="22"/>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38"/>
      <c r="BB331" s="138"/>
      <c r="BC331" s="138"/>
      <c r="BD331" s="138"/>
      <c r="BE331" s="138"/>
      <c r="BF331" s="138"/>
      <c r="BG331" s="138"/>
      <c r="BH331" s="138"/>
      <c r="BI331" s="138"/>
      <c r="BJ331" s="138"/>
      <c r="BK331" s="138"/>
      <c r="BL331" s="138"/>
      <c r="BM331" s="138"/>
      <c r="BN331" s="138"/>
      <c r="BO331" s="138"/>
      <c r="BP331" s="138"/>
      <c r="BQ331" s="138"/>
      <c r="BR331" s="138"/>
      <c r="BS331" s="138"/>
      <c r="BT331" s="138"/>
      <c r="BU331" s="138"/>
      <c r="BV331" s="138"/>
      <c r="BW331" s="138"/>
      <c r="BX331" s="138"/>
      <c r="BY331" s="138"/>
      <c r="BZ331" s="138"/>
      <c r="CA331" s="138"/>
      <c r="CB331" s="138"/>
      <c r="CC331" s="138"/>
      <c r="CD331" s="138"/>
      <c r="CE331" s="138"/>
    </row>
    <row r="332" spans="1:83" ht="12" customHeight="1">
      <c r="A332" s="138"/>
      <c r="B332" s="138"/>
      <c r="C332" s="138"/>
      <c r="D332" s="22"/>
      <c r="E332" s="22"/>
      <c r="F332" s="22"/>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row>
    <row r="333" spans="1:83" ht="12" customHeight="1">
      <c r="A333" s="138"/>
      <c r="B333" s="138"/>
      <c r="C333" s="138"/>
      <c r="D333" s="22"/>
      <c r="E333" s="22"/>
      <c r="F333" s="22"/>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8"/>
      <c r="BB333" s="138"/>
      <c r="BC333" s="138"/>
      <c r="BD333" s="138"/>
      <c r="BE333" s="138"/>
      <c r="BF333" s="138"/>
      <c r="BG333" s="138"/>
      <c r="BH333" s="138"/>
      <c r="BI333" s="138"/>
      <c r="BJ333" s="138"/>
      <c r="BK333" s="138"/>
      <c r="BL333" s="138"/>
      <c r="BM333" s="138"/>
      <c r="BN333" s="138"/>
      <c r="BO333" s="138"/>
      <c r="BP333" s="138"/>
      <c r="BQ333" s="138"/>
      <c r="BR333" s="138"/>
      <c r="BS333" s="138"/>
      <c r="BT333" s="138"/>
      <c r="BU333" s="138"/>
      <c r="BV333" s="138"/>
      <c r="BW333" s="138"/>
      <c r="BX333" s="138"/>
      <c r="BY333" s="138"/>
      <c r="BZ333" s="138"/>
      <c r="CA333" s="138"/>
      <c r="CB333" s="138"/>
      <c r="CC333" s="138"/>
      <c r="CD333" s="138"/>
      <c r="CE333" s="138"/>
    </row>
    <row r="334" spans="1:83" ht="12" customHeight="1">
      <c r="A334" s="138"/>
      <c r="B334" s="138"/>
      <c r="C334" s="138"/>
      <c r="D334" s="22"/>
      <c r="E334" s="22"/>
      <c r="F334" s="22"/>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38"/>
      <c r="BB334" s="138"/>
      <c r="BC334" s="138"/>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38"/>
      <c r="CB334" s="138"/>
      <c r="CC334" s="138"/>
      <c r="CD334" s="138"/>
      <c r="CE334" s="138"/>
    </row>
    <row r="335" spans="1:83" ht="12" customHeight="1">
      <c r="A335" s="138"/>
      <c r="B335" s="138"/>
      <c r="C335" s="138"/>
      <c r="D335" s="22"/>
      <c r="E335" s="22"/>
      <c r="F335" s="22"/>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38"/>
      <c r="BB335" s="138"/>
      <c r="BC335" s="138"/>
      <c r="BD335" s="138"/>
      <c r="BE335" s="138"/>
      <c r="BF335" s="138"/>
      <c r="BG335" s="138"/>
      <c r="BH335" s="138"/>
      <c r="BI335" s="138"/>
      <c r="BJ335" s="138"/>
      <c r="BK335" s="138"/>
      <c r="BL335" s="138"/>
      <c r="BM335" s="138"/>
      <c r="BN335" s="138"/>
      <c r="BO335" s="138"/>
      <c r="BP335" s="138"/>
      <c r="BQ335" s="138"/>
      <c r="BR335" s="138"/>
      <c r="BS335" s="138"/>
      <c r="BT335" s="138"/>
      <c r="BU335" s="138"/>
      <c r="BV335" s="138"/>
      <c r="BW335" s="138"/>
      <c r="BX335" s="138"/>
      <c r="BY335" s="138"/>
      <c r="BZ335" s="138"/>
      <c r="CA335" s="138"/>
      <c r="CB335" s="138"/>
      <c r="CC335" s="138"/>
      <c r="CD335" s="138"/>
      <c r="CE335" s="138"/>
    </row>
    <row r="336" spans="1:83" ht="12" customHeight="1">
      <c r="A336" s="138"/>
      <c r="B336" s="138"/>
      <c r="C336" s="138"/>
      <c r="D336" s="22"/>
      <c r="E336" s="22"/>
      <c r="F336" s="22"/>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38"/>
      <c r="BB336" s="138"/>
      <c r="BC336" s="138"/>
      <c r="BD336" s="138"/>
      <c r="BE336" s="138"/>
      <c r="BF336" s="138"/>
      <c r="BG336" s="138"/>
      <c r="BH336" s="138"/>
      <c r="BI336" s="138"/>
      <c r="BJ336" s="138"/>
      <c r="BK336" s="138"/>
      <c r="BL336" s="138"/>
      <c r="BM336" s="138"/>
      <c r="BN336" s="138"/>
      <c r="BO336" s="138"/>
      <c r="BP336" s="138"/>
      <c r="BQ336" s="138"/>
      <c r="BR336" s="138"/>
      <c r="BS336" s="138"/>
      <c r="BT336" s="138"/>
      <c r="BU336" s="138"/>
      <c r="BV336" s="138"/>
      <c r="BW336" s="138"/>
      <c r="BX336" s="138"/>
      <c r="BY336" s="138"/>
      <c r="BZ336" s="138"/>
      <c r="CA336" s="138"/>
      <c r="CB336" s="138"/>
      <c r="CC336" s="138"/>
      <c r="CD336" s="138"/>
      <c r="CE336" s="138"/>
    </row>
    <row r="337" spans="1:83" ht="12" customHeight="1">
      <c r="A337" s="138"/>
      <c r="B337" s="138"/>
      <c r="C337" s="138"/>
      <c r="D337" s="22"/>
      <c r="E337" s="22"/>
      <c r="F337" s="22"/>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38"/>
      <c r="BB337" s="138"/>
      <c r="BC337" s="138"/>
      <c r="BD337" s="138"/>
      <c r="BE337" s="138"/>
      <c r="BF337" s="138"/>
      <c r="BG337" s="138"/>
      <c r="BH337" s="138"/>
      <c r="BI337" s="138"/>
      <c r="BJ337" s="138"/>
      <c r="BK337" s="138"/>
      <c r="BL337" s="138"/>
      <c r="BM337" s="138"/>
      <c r="BN337" s="138"/>
      <c r="BO337" s="138"/>
      <c r="BP337" s="138"/>
      <c r="BQ337" s="138"/>
      <c r="BR337" s="138"/>
      <c r="BS337" s="138"/>
      <c r="BT337" s="138"/>
      <c r="BU337" s="138"/>
      <c r="BV337" s="138"/>
      <c r="BW337" s="138"/>
      <c r="BX337" s="138"/>
      <c r="BY337" s="138"/>
      <c r="BZ337" s="138"/>
      <c r="CA337" s="138"/>
      <c r="CB337" s="138"/>
      <c r="CC337" s="138"/>
      <c r="CD337" s="138"/>
      <c r="CE337" s="138"/>
    </row>
    <row r="338" spans="1:83" ht="12" customHeight="1">
      <c r="A338" s="138"/>
      <c r="B338" s="138"/>
      <c r="C338" s="138"/>
      <c r="D338" s="22"/>
      <c r="E338" s="22"/>
      <c r="F338" s="22"/>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row>
    <row r="339" spans="1:83" ht="12" customHeight="1">
      <c r="A339" s="138"/>
      <c r="B339" s="138"/>
      <c r="C339" s="138"/>
      <c r="D339" s="22"/>
      <c r="E339" s="22"/>
      <c r="F339" s="22"/>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38"/>
      <c r="BB339" s="138"/>
      <c r="BC339" s="138"/>
      <c r="BD339" s="138"/>
      <c r="BE339" s="138"/>
      <c r="BF339" s="138"/>
      <c r="BG339" s="138"/>
      <c r="BH339" s="138"/>
      <c r="BI339" s="138"/>
      <c r="BJ339" s="138"/>
      <c r="BK339" s="138"/>
      <c r="BL339" s="138"/>
      <c r="BM339" s="138"/>
      <c r="BN339" s="138"/>
      <c r="BO339" s="138"/>
      <c r="BP339" s="138"/>
      <c r="BQ339" s="138"/>
      <c r="BR339" s="138"/>
      <c r="BS339" s="138"/>
      <c r="BT339" s="138"/>
      <c r="BU339" s="138"/>
      <c r="BV339" s="138"/>
      <c r="BW339" s="138"/>
      <c r="BX339" s="138"/>
      <c r="BY339" s="138"/>
      <c r="BZ339" s="138"/>
      <c r="CA339" s="138"/>
      <c r="CB339" s="138"/>
      <c r="CC339" s="138"/>
      <c r="CD339" s="138"/>
      <c r="CE339" s="138"/>
    </row>
    <row r="340" spans="1:83" ht="12" customHeight="1">
      <c r="A340" s="138"/>
      <c r="B340" s="138"/>
      <c r="C340" s="138"/>
      <c r="D340" s="22"/>
      <c r="E340" s="22"/>
      <c r="F340" s="22"/>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38"/>
      <c r="BB340" s="138"/>
      <c r="BC340" s="138"/>
      <c r="BD340" s="138"/>
      <c r="BE340" s="138"/>
      <c r="BF340" s="138"/>
      <c r="BG340" s="138"/>
      <c r="BH340" s="138"/>
      <c r="BI340" s="138"/>
      <c r="BJ340" s="138"/>
      <c r="BK340" s="138"/>
      <c r="BL340" s="138"/>
      <c r="BM340" s="138"/>
      <c r="BN340" s="138"/>
      <c r="BO340" s="138"/>
      <c r="BP340" s="138"/>
      <c r="BQ340" s="138"/>
      <c r="BR340" s="138"/>
      <c r="BS340" s="138"/>
      <c r="BT340" s="138"/>
      <c r="BU340" s="138"/>
      <c r="BV340" s="138"/>
      <c r="BW340" s="138"/>
      <c r="BX340" s="138"/>
      <c r="BY340" s="138"/>
      <c r="BZ340" s="138"/>
      <c r="CA340" s="138"/>
      <c r="CB340" s="138"/>
      <c r="CC340" s="138"/>
      <c r="CD340" s="138"/>
      <c r="CE340" s="138"/>
    </row>
    <row r="341" spans="1:83" ht="12" customHeight="1">
      <c r="A341" s="138"/>
      <c r="B341" s="138"/>
      <c r="C341" s="138"/>
      <c r="D341" s="22"/>
      <c r="E341" s="22"/>
      <c r="F341" s="22"/>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38"/>
      <c r="BB341" s="138"/>
      <c r="BC341" s="138"/>
      <c r="BD341" s="138"/>
      <c r="BE341" s="138"/>
      <c r="BF341" s="138"/>
      <c r="BG341" s="138"/>
      <c r="BH341" s="138"/>
      <c r="BI341" s="138"/>
      <c r="BJ341" s="138"/>
      <c r="BK341" s="138"/>
      <c r="BL341" s="138"/>
      <c r="BM341" s="138"/>
      <c r="BN341" s="138"/>
      <c r="BO341" s="138"/>
      <c r="BP341" s="138"/>
      <c r="BQ341" s="138"/>
      <c r="BR341" s="138"/>
      <c r="BS341" s="138"/>
      <c r="BT341" s="138"/>
      <c r="BU341" s="138"/>
      <c r="BV341" s="138"/>
      <c r="BW341" s="138"/>
      <c r="BX341" s="138"/>
      <c r="BY341" s="138"/>
      <c r="BZ341" s="138"/>
      <c r="CA341" s="138"/>
      <c r="CB341" s="138"/>
      <c r="CC341" s="138"/>
      <c r="CD341" s="138"/>
      <c r="CE341" s="138"/>
    </row>
    <row r="342" spans="1:83" ht="12" customHeight="1">
      <c r="A342" s="138"/>
      <c r="B342" s="138"/>
      <c r="C342" s="138"/>
      <c r="D342" s="22"/>
      <c r="E342" s="22"/>
      <c r="F342" s="22"/>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38"/>
      <c r="BB342" s="138"/>
      <c r="BC342" s="138"/>
      <c r="BD342" s="138"/>
      <c r="BE342" s="138"/>
      <c r="BF342" s="138"/>
      <c r="BG342" s="138"/>
      <c r="BH342" s="138"/>
      <c r="BI342" s="138"/>
      <c r="BJ342" s="138"/>
      <c r="BK342" s="138"/>
      <c r="BL342" s="138"/>
      <c r="BM342" s="138"/>
      <c r="BN342" s="138"/>
      <c r="BO342" s="138"/>
      <c r="BP342" s="138"/>
      <c r="BQ342" s="138"/>
      <c r="BR342" s="138"/>
      <c r="BS342" s="138"/>
      <c r="BT342" s="138"/>
      <c r="BU342" s="138"/>
      <c r="BV342" s="138"/>
      <c r="BW342" s="138"/>
      <c r="BX342" s="138"/>
      <c r="BY342" s="138"/>
      <c r="BZ342" s="138"/>
      <c r="CA342" s="138"/>
      <c r="CB342" s="138"/>
      <c r="CC342" s="138"/>
      <c r="CD342" s="138"/>
      <c r="CE342" s="138"/>
    </row>
    <row r="343" spans="1:83" ht="12" customHeight="1">
      <c r="A343" s="138"/>
      <c r="B343" s="138"/>
      <c r="C343" s="138"/>
      <c r="D343" s="22"/>
      <c r="E343" s="22"/>
      <c r="F343" s="22"/>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38"/>
      <c r="BB343" s="138"/>
      <c r="BC343" s="138"/>
      <c r="BD343" s="138"/>
      <c r="BE343" s="138"/>
      <c r="BF343" s="138"/>
      <c r="BG343" s="138"/>
      <c r="BH343" s="138"/>
      <c r="BI343" s="138"/>
      <c r="BJ343" s="138"/>
      <c r="BK343" s="138"/>
      <c r="BL343" s="138"/>
      <c r="BM343" s="138"/>
      <c r="BN343" s="138"/>
      <c r="BO343" s="138"/>
      <c r="BP343" s="138"/>
      <c r="BQ343" s="138"/>
      <c r="BR343" s="138"/>
      <c r="BS343" s="138"/>
      <c r="BT343" s="138"/>
      <c r="BU343" s="138"/>
      <c r="BV343" s="138"/>
      <c r="BW343" s="138"/>
      <c r="BX343" s="138"/>
      <c r="BY343" s="138"/>
      <c r="BZ343" s="138"/>
      <c r="CA343" s="138"/>
      <c r="CB343" s="138"/>
      <c r="CC343" s="138"/>
      <c r="CD343" s="138"/>
      <c r="CE343" s="138"/>
    </row>
    <row r="344" spans="1:83" ht="12" customHeight="1">
      <c r="A344" s="138"/>
      <c r="B344" s="138"/>
      <c r="C344" s="138"/>
      <c r="D344" s="22"/>
      <c r="E344" s="22"/>
      <c r="F344" s="22"/>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38"/>
      <c r="BB344" s="138"/>
      <c r="BC344" s="138"/>
      <c r="BD344" s="138"/>
      <c r="BE344" s="138"/>
      <c r="BF344" s="138"/>
      <c r="BG344" s="138"/>
      <c r="BH344" s="138"/>
      <c r="BI344" s="138"/>
      <c r="BJ344" s="138"/>
      <c r="BK344" s="138"/>
      <c r="BL344" s="138"/>
      <c r="BM344" s="138"/>
      <c r="BN344" s="138"/>
      <c r="BO344" s="138"/>
      <c r="BP344" s="138"/>
      <c r="BQ344" s="138"/>
      <c r="BR344" s="138"/>
      <c r="BS344" s="138"/>
      <c r="BT344" s="138"/>
      <c r="BU344" s="138"/>
      <c r="BV344" s="138"/>
      <c r="BW344" s="138"/>
      <c r="BX344" s="138"/>
      <c r="BY344" s="138"/>
      <c r="BZ344" s="138"/>
      <c r="CA344" s="138"/>
      <c r="CB344" s="138"/>
      <c r="CC344" s="138"/>
      <c r="CD344" s="138"/>
      <c r="CE344" s="138"/>
    </row>
    <row r="345" spans="1:83" ht="12" customHeight="1">
      <c r="A345" s="138"/>
      <c r="B345" s="138"/>
      <c r="C345" s="138"/>
      <c r="D345" s="22"/>
      <c r="E345" s="22"/>
      <c r="F345" s="22"/>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row>
    <row r="346" spans="1:83" ht="12" customHeight="1">
      <c r="A346" s="138"/>
      <c r="B346" s="138"/>
      <c r="C346" s="138"/>
      <c r="D346" s="22"/>
      <c r="E346" s="22"/>
      <c r="F346" s="22"/>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38"/>
      <c r="BB346" s="138"/>
      <c r="BC346" s="138"/>
      <c r="BD346" s="138"/>
      <c r="BE346" s="138"/>
      <c r="BF346" s="138"/>
      <c r="BG346" s="138"/>
      <c r="BH346" s="138"/>
      <c r="BI346" s="138"/>
      <c r="BJ346" s="138"/>
      <c r="BK346" s="138"/>
      <c r="BL346" s="138"/>
      <c r="BM346" s="138"/>
      <c r="BN346" s="138"/>
      <c r="BO346" s="138"/>
      <c r="BP346" s="138"/>
      <c r="BQ346" s="138"/>
      <c r="BR346" s="138"/>
      <c r="BS346" s="138"/>
      <c r="BT346" s="138"/>
      <c r="BU346" s="138"/>
      <c r="BV346" s="138"/>
      <c r="BW346" s="138"/>
      <c r="BX346" s="138"/>
      <c r="BY346" s="138"/>
      <c r="BZ346" s="138"/>
      <c r="CA346" s="138"/>
      <c r="CB346" s="138"/>
      <c r="CC346" s="138"/>
      <c r="CD346" s="138"/>
      <c r="CE346" s="138"/>
    </row>
    <row r="347" spans="1:83" ht="12" customHeight="1">
      <c r="A347" s="138"/>
      <c r="B347" s="138"/>
      <c r="C347" s="138"/>
      <c r="D347" s="22"/>
      <c r="E347" s="22"/>
      <c r="F347" s="22"/>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38"/>
      <c r="BB347" s="138"/>
      <c r="BC347" s="138"/>
      <c r="BD347" s="138"/>
      <c r="BE347" s="138"/>
      <c r="BF347" s="138"/>
      <c r="BG347" s="138"/>
      <c r="BH347" s="138"/>
      <c r="BI347" s="138"/>
      <c r="BJ347" s="138"/>
      <c r="BK347" s="138"/>
      <c r="BL347" s="138"/>
      <c r="BM347" s="138"/>
      <c r="BN347" s="138"/>
      <c r="BO347" s="138"/>
      <c r="BP347" s="138"/>
      <c r="BQ347" s="138"/>
      <c r="BR347" s="138"/>
      <c r="BS347" s="138"/>
      <c r="BT347" s="138"/>
      <c r="BU347" s="138"/>
      <c r="BV347" s="138"/>
      <c r="BW347" s="138"/>
      <c r="BX347" s="138"/>
      <c r="BY347" s="138"/>
      <c r="BZ347" s="138"/>
      <c r="CA347" s="138"/>
      <c r="CB347" s="138"/>
      <c r="CC347" s="138"/>
      <c r="CD347" s="138"/>
      <c r="CE347" s="138"/>
    </row>
    <row r="348" spans="1:83" ht="12" customHeight="1">
      <c r="A348" s="138"/>
      <c r="B348" s="138"/>
      <c r="C348" s="138"/>
      <c r="D348" s="22"/>
      <c r="E348" s="22"/>
      <c r="F348" s="22"/>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38"/>
      <c r="BB348" s="138"/>
      <c r="BC348" s="138"/>
      <c r="BD348" s="138"/>
      <c r="BE348" s="138"/>
      <c r="BF348" s="138"/>
      <c r="BG348" s="138"/>
      <c r="BH348" s="138"/>
      <c r="BI348" s="138"/>
      <c r="BJ348" s="138"/>
      <c r="BK348" s="138"/>
      <c r="BL348" s="138"/>
      <c r="BM348" s="138"/>
      <c r="BN348" s="138"/>
      <c r="BO348" s="138"/>
      <c r="BP348" s="138"/>
      <c r="BQ348" s="138"/>
      <c r="BR348" s="138"/>
      <c r="BS348" s="138"/>
      <c r="BT348" s="138"/>
      <c r="BU348" s="138"/>
      <c r="BV348" s="138"/>
      <c r="BW348" s="138"/>
      <c r="BX348" s="138"/>
      <c r="BY348" s="138"/>
      <c r="BZ348" s="138"/>
      <c r="CA348" s="138"/>
      <c r="CB348" s="138"/>
      <c r="CC348" s="138"/>
      <c r="CD348" s="138"/>
      <c r="CE348" s="138"/>
    </row>
    <row r="349" spans="1:83" ht="12" customHeight="1">
      <c r="A349" s="138"/>
      <c r="B349" s="138"/>
      <c r="C349" s="138"/>
      <c r="D349" s="22"/>
      <c r="E349" s="22"/>
      <c r="F349" s="22"/>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38"/>
      <c r="BB349" s="138"/>
      <c r="BC349" s="138"/>
      <c r="BD349" s="138"/>
      <c r="BE349" s="138"/>
      <c r="BF349" s="138"/>
      <c r="BG349" s="138"/>
      <c r="BH349" s="138"/>
      <c r="BI349" s="138"/>
      <c r="BJ349" s="138"/>
      <c r="BK349" s="138"/>
      <c r="BL349" s="138"/>
      <c r="BM349" s="138"/>
      <c r="BN349" s="138"/>
      <c r="BO349" s="138"/>
      <c r="BP349" s="138"/>
      <c r="BQ349" s="138"/>
      <c r="BR349" s="138"/>
      <c r="BS349" s="138"/>
      <c r="BT349" s="138"/>
      <c r="BU349" s="138"/>
      <c r="BV349" s="138"/>
      <c r="BW349" s="138"/>
      <c r="BX349" s="138"/>
      <c r="BY349" s="138"/>
      <c r="BZ349" s="138"/>
      <c r="CA349" s="138"/>
      <c r="CB349" s="138"/>
      <c r="CC349" s="138"/>
      <c r="CD349" s="138"/>
      <c r="CE349" s="138"/>
    </row>
    <row r="350" spans="1:83" ht="12" customHeight="1">
      <c r="A350" s="138"/>
      <c r="B350" s="138"/>
      <c r="C350" s="138"/>
      <c r="D350" s="22"/>
      <c r="E350" s="22"/>
      <c r="F350" s="22"/>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38"/>
      <c r="BB350" s="138"/>
      <c r="BC350" s="138"/>
      <c r="BD350" s="138"/>
      <c r="BE350" s="138"/>
      <c r="BF350" s="138"/>
      <c r="BG350" s="138"/>
      <c r="BH350" s="138"/>
      <c r="BI350" s="138"/>
      <c r="BJ350" s="138"/>
      <c r="BK350" s="138"/>
      <c r="BL350" s="138"/>
      <c r="BM350" s="138"/>
      <c r="BN350" s="138"/>
      <c r="BO350" s="138"/>
      <c r="BP350" s="138"/>
      <c r="BQ350" s="138"/>
      <c r="BR350" s="138"/>
      <c r="BS350" s="138"/>
      <c r="BT350" s="138"/>
      <c r="BU350" s="138"/>
      <c r="BV350" s="138"/>
      <c r="BW350" s="138"/>
      <c r="BX350" s="138"/>
      <c r="BY350" s="138"/>
      <c r="BZ350" s="138"/>
      <c r="CA350" s="138"/>
      <c r="CB350" s="138"/>
      <c r="CC350" s="138"/>
      <c r="CD350" s="138"/>
      <c r="CE350" s="138"/>
    </row>
    <row r="351" spans="1:83" ht="12" customHeight="1">
      <c r="A351" s="138"/>
      <c r="B351" s="138"/>
      <c r="C351" s="138"/>
      <c r="D351" s="22"/>
      <c r="E351" s="22"/>
      <c r="F351" s="22"/>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38"/>
      <c r="BB351" s="138"/>
      <c r="BC351" s="138"/>
      <c r="BD351" s="138"/>
      <c r="BE351" s="138"/>
      <c r="BF351" s="138"/>
      <c r="BG351" s="138"/>
      <c r="BH351" s="138"/>
      <c r="BI351" s="138"/>
      <c r="BJ351" s="138"/>
      <c r="BK351" s="138"/>
      <c r="BL351" s="138"/>
      <c r="BM351" s="138"/>
      <c r="BN351" s="138"/>
      <c r="BO351" s="138"/>
      <c r="BP351" s="138"/>
      <c r="BQ351" s="138"/>
      <c r="BR351" s="138"/>
      <c r="BS351" s="138"/>
      <c r="BT351" s="138"/>
      <c r="BU351" s="138"/>
      <c r="BV351" s="138"/>
      <c r="BW351" s="138"/>
      <c r="BX351" s="138"/>
      <c r="BY351" s="138"/>
      <c r="BZ351" s="138"/>
      <c r="CA351" s="138"/>
      <c r="CB351" s="138"/>
      <c r="CC351" s="138"/>
      <c r="CD351" s="138"/>
      <c r="CE351" s="138"/>
    </row>
    <row r="352" spans="1:83" ht="12" customHeight="1">
      <c r="A352" s="138"/>
      <c r="B352" s="138"/>
      <c r="C352" s="138"/>
      <c r="D352" s="22"/>
      <c r="E352" s="22"/>
      <c r="F352" s="22"/>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38"/>
      <c r="CB352" s="138"/>
      <c r="CC352" s="138"/>
      <c r="CD352" s="138"/>
      <c r="CE352" s="138"/>
    </row>
    <row r="353" spans="1:83" ht="12" customHeight="1">
      <c r="A353" s="138"/>
      <c r="B353" s="138"/>
      <c r="C353" s="138"/>
      <c r="D353" s="22"/>
      <c r="E353" s="22"/>
      <c r="F353" s="22"/>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38"/>
      <c r="BB353" s="138"/>
      <c r="BC353" s="138"/>
      <c r="BD353" s="138"/>
      <c r="BE353" s="138"/>
      <c r="BF353" s="138"/>
      <c r="BG353" s="138"/>
      <c r="BH353" s="138"/>
      <c r="BI353" s="138"/>
      <c r="BJ353" s="138"/>
      <c r="BK353" s="138"/>
      <c r="BL353" s="138"/>
      <c r="BM353" s="138"/>
      <c r="BN353" s="138"/>
      <c r="BO353" s="138"/>
      <c r="BP353" s="138"/>
      <c r="BQ353" s="138"/>
      <c r="BR353" s="138"/>
      <c r="BS353" s="138"/>
      <c r="BT353" s="138"/>
      <c r="BU353" s="138"/>
      <c r="BV353" s="138"/>
      <c r="BW353" s="138"/>
      <c r="BX353" s="138"/>
      <c r="BY353" s="138"/>
      <c r="BZ353" s="138"/>
      <c r="CA353" s="138"/>
      <c r="CB353" s="138"/>
      <c r="CC353" s="138"/>
      <c r="CD353" s="138"/>
      <c r="CE353" s="138"/>
    </row>
    <row r="354" spans="1:83" ht="12" customHeight="1">
      <c r="A354" s="138"/>
      <c r="B354" s="138"/>
      <c r="C354" s="138"/>
      <c r="D354" s="22"/>
      <c r="E354" s="22"/>
      <c r="F354" s="22"/>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row>
    <row r="355" spans="1:83" ht="12" customHeight="1">
      <c r="A355" s="138"/>
      <c r="B355" s="138"/>
      <c r="C355" s="138"/>
      <c r="D355" s="22"/>
      <c r="E355" s="22"/>
      <c r="F355" s="22"/>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38"/>
      <c r="BB355" s="138"/>
      <c r="BC355" s="138"/>
      <c r="BD355" s="138"/>
      <c r="BE355" s="138"/>
      <c r="BF355" s="138"/>
      <c r="BG355" s="138"/>
      <c r="BH355" s="138"/>
      <c r="BI355" s="138"/>
      <c r="BJ355" s="138"/>
      <c r="BK355" s="138"/>
      <c r="BL355" s="138"/>
      <c r="BM355" s="138"/>
      <c r="BN355" s="138"/>
      <c r="BO355" s="138"/>
      <c r="BP355" s="138"/>
      <c r="BQ355" s="138"/>
      <c r="BR355" s="138"/>
      <c r="BS355" s="138"/>
      <c r="BT355" s="138"/>
      <c r="BU355" s="138"/>
      <c r="BV355" s="138"/>
      <c r="BW355" s="138"/>
      <c r="BX355" s="138"/>
      <c r="BY355" s="138"/>
      <c r="BZ355" s="138"/>
      <c r="CA355" s="138"/>
      <c r="CB355" s="138"/>
      <c r="CC355" s="138"/>
      <c r="CD355" s="138"/>
      <c r="CE355" s="138"/>
    </row>
    <row r="356" spans="1:83" ht="12" customHeight="1">
      <c r="A356" s="138"/>
      <c r="B356" s="138"/>
      <c r="C356" s="138"/>
      <c r="D356" s="22"/>
      <c r="E356" s="22"/>
      <c r="F356" s="22"/>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38"/>
      <c r="BB356" s="138"/>
      <c r="BC356" s="138"/>
      <c r="BD356" s="138"/>
      <c r="BE356" s="138"/>
      <c r="BF356" s="138"/>
      <c r="BG356" s="138"/>
      <c r="BH356" s="138"/>
      <c r="BI356" s="138"/>
      <c r="BJ356" s="138"/>
      <c r="BK356" s="138"/>
      <c r="BL356" s="138"/>
      <c r="BM356" s="138"/>
      <c r="BN356" s="138"/>
      <c r="BO356" s="138"/>
      <c r="BP356" s="138"/>
      <c r="BQ356" s="138"/>
      <c r="BR356" s="138"/>
      <c r="BS356" s="138"/>
      <c r="BT356" s="138"/>
      <c r="BU356" s="138"/>
      <c r="BV356" s="138"/>
      <c r="BW356" s="138"/>
      <c r="BX356" s="138"/>
      <c r="BY356" s="138"/>
      <c r="BZ356" s="138"/>
      <c r="CA356" s="138"/>
      <c r="CB356" s="138"/>
      <c r="CC356" s="138"/>
      <c r="CD356" s="138"/>
      <c r="CE356" s="138"/>
    </row>
    <row r="357" spans="1:83" ht="12" customHeight="1">
      <c r="A357" s="138"/>
      <c r="B357" s="138"/>
      <c r="C357" s="138"/>
      <c r="D357" s="22"/>
      <c r="E357" s="22"/>
      <c r="F357" s="22"/>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38"/>
      <c r="BB357" s="138"/>
      <c r="BC357" s="138"/>
      <c r="BD357" s="138"/>
      <c r="BE357" s="138"/>
      <c r="BF357" s="138"/>
      <c r="BG357" s="138"/>
      <c r="BH357" s="138"/>
      <c r="BI357" s="138"/>
      <c r="BJ357" s="138"/>
      <c r="BK357" s="138"/>
      <c r="BL357" s="138"/>
      <c r="BM357" s="138"/>
      <c r="BN357" s="138"/>
      <c r="BO357" s="138"/>
      <c r="BP357" s="138"/>
      <c r="BQ357" s="138"/>
      <c r="BR357" s="138"/>
      <c r="BS357" s="138"/>
      <c r="BT357" s="138"/>
      <c r="BU357" s="138"/>
      <c r="BV357" s="138"/>
      <c r="BW357" s="138"/>
      <c r="BX357" s="138"/>
      <c r="BY357" s="138"/>
      <c r="BZ357" s="138"/>
      <c r="CA357" s="138"/>
      <c r="CB357" s="138"/>
      <c r="CC357" s="138"/>
      <c r="CD357" s="138"/>
      <c r="CE357" s="138"/>
    </row>
    <row r="358" spans="1:83" ht="12" customHeight="1">
      <c r="A358" s="138"/>
      <c r="B358" s="138"/>
      <c r="C358" s="138"/>
      <c r="D358" s="22"/>
      <c r="E358" s="22"/>
      <c r="F358" s="22"/>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38"/>
      <c r="CB358" s="138"/>
      <c r="CC358" s="138"/>
      <c r="CD358" s="138"/>
      <c r="CE358" s="138"/>
    </row>
    <row r="359" spans="1:83" ht="12" customHeight="1">
      <c r="A359" s="138"/>
      <c r="B359" s="138"/>
      <c r="C359" s="138"/>
      <c r="D359" s="22"/>
      <c r="E359" s="22"/>
      <c r="F359" s="22"/>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8"/>
      <c r="BB359" s="138"/>
      <c r="BC359" s="138"/>
      <c r="BD359" s="138"/>
      <c r="BE359" s="138"/>
      <c r="BF359" s="138"/>
      <c r="BG359" s="138"/>
      <c r="BH359" s="138"/>
      <c r="BI359" s="138"/>
      <c r="BJ359" s="138"/>
      <c r="BK359" s="138"/>
      <c r="BL359" s="138"/>
      <c r="BM359" s="138"/>
      <c r="BN359" s="138"/>
      <c r="BO359" s="138"/>
      <c r="BP359" s="138"/>
      <c r="BQ359" s="138"/>
      <c r="BR359" s="138"/>
      <c r="BS359" s="138"/>
      <c r="BT359" s="138"/>
      <c r="BU359" s="138"/>
      <c r="BV359" s="138"/>
      <c r="BW359" s="138"/>
      <c r="BX359" s="138"/>
      <c r="BY359" s="138"/>
      <c r="BZ359" s="138"/>
      <c r="CA359" s="138"/>
      <c r="CB359" s="138"/>
      <c r="CC359" s="138"/>
      <c r="CD359" s="138"/>
      <c r="CE359" s="138"/>
    </row>
    <row r="360" spans="1:83" ht="12" customHeight="1">
      <c r="A360" s="138"/>
      <c r="B360" s="138"/>
      <c r="C360" s="138"/>
      <c r="D360" s="22"/>
      <c r="E360" s="22"/>
      <c r="F360" s="22"/>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row>
    <row r="361" spans="1:83" ht="12" customHeight="1">
      <c r="A361" s="138"/>
      <c r="B361" s="138"/>
      <c r="C361" s="138"/>
      <c r="D361" s="22"/>
      <c r="E361" s="22"/>
      <c r="F361" s="22"/>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38"/>
      <c r="BB361" s="138"/>
      <c r="BC361" s="138"/>
      <c r="BD361" s="138"/>
      <c r="BE361" s="138"/>
      <c r="BF361" s="138"/>
      <c r="BG361" s="138"/>
      <c r="BH361" s="138"/>
      <c r="BI361" s="138"/>
      <c r="BJ361" s="138"/>
      <c r="BK361" s="138"/>
      <c r="BL361" s="138"/>
      <c r="BM361" s="138"/>
      <c r="BN361" s="138"/>
      <c r="BO361" s="138"/>
      <c r="BP361" s="138"/>
      <c r="BQ361" s="138"/>
      <c r="BR361" s="138"/>
      <c r="BS361" s="138"/>
      <c r="BT361" s="138"/>
      <c r="BU361" s="138"/>
      <c r="BV361" s="138"/>
      <c r="BW361" s="138"/>
      <c r="BX361" s="138"/>
      <c r="BY361" s="138"/>
      <c r="BZ361" s="138"/>
      <c r="CA361" s="138"/>
      <c r="CB361" s="138"/>
      <c r="CC361" s="138"/>
      <c r="CD361" s="138"/>
      <c r="CE361" s="138"/>
    </row>
    <row r="362" spans="1:83" ht="12" customHeight="1">
      <c r="A362" s="138"/>
      <c r="B362" s="138"/>
      <c r="C362" s="138"/>
      <c r="D362" s="22"/>
      <c r="E362" s="22"/>
      <c r="F362" s="22"/>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38"/>
      <c r="BB362" s="138"/>
      <c r="BC362" s="138"/>
      <c r="BD362" s="138"/>
      <c r="BE362" s="138"/>
      <c r="BF362" s="138"/>
      <c r="BG362" s="138"/>
      <c r="BH362" s="138"/>
      <c r="BI362" s="138"/>
      <c r="BJ362" s="138"/>
      <c r="BK362" s="138"/>
      <c r="BL362" s="138"/>
      <c r="BM362" s="138"/>
      <c r="BN362" s="138"/>
      <c r="BO362" s="138"/>
      <c r="BP362" s="138"/>
      <c r="BQ362" s="138"/>
      <c r="BR362" s="138"/>
      <c r="BS362" s="138"/>
      <c r="BT362" s="138"/>
      <c r="BU362" s="138"/>
      <c r="BV362" s="138"/>
      <c r="BW362" s="138"/>
      <c r="BX362" s="138"/>
      <c r="BY362" s="138"/>
      <c r="BZ362" s="138"/>
      <c r="CA362" s="138"/>
      <c r="CB362" s="138"/>
      <c r="CC362" s="138"/>
      <c r="CD362" s="138"/>
      <c r="CE362" s="138"/>
    </row>
    <row r="363" spans="1:83" ht="12" customHeight="1">
      <c r="A363" s="138"/>
      <c r="B363" s="138"/>
      <c r="C363" s="138"/>
      <c r="D363" s="22"/>
      <c r="E363" s="22"/>
      <c r="F363" s="22"/>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38"/>
      <c r="BB363" s="138"/>
      <c r="BC363" s="138"/>
      <c r="BD363" s="138"/>
      <c r="BE363" s="138"/>
      <c r="BF363" s="138"/>
      <c r="BG363" s="138"/>
      <c r="BH363" s="138"/>
      <c r="BI363" s="138"/>
      <c r="BJ363" s="138"/>
      <c r="BK363" s="138"/>
      <c r="BL363" s="138"/>
      <c r="BM363" s="138"/>
      <c r="BN363" s="138"/>
      <c r="BO363" s="138"/>
      <c r="BP363" s="138"/>
      <c r="BQ363" s="138"/>
      <c r="BR363" s="138"/>
      <c r="BS363" s="138"/>
      <c r="BT363" s="138"/>
      <c r="BU363" s="138"/>
      <c r="BV363" s="138"/>
      <c r="BW363" s="138"/>
      <c r="BX363" s="138"/>
      <c r="BY363" s="138"/>
      <c r="BZ363" s="138"/>
      <c r="CA363" s="138"/>
      <c r="CB363" s="138"/>
      <c r="CC363" s="138"/>
      <c r="CD363" s="138"/>
      <c r="CE363" s="138"/>
    </row>
    <row r="364" spans="1:83" ht="12" customHeight="1">
      <c r="A364" s="138"/>
      <c r="B364" s="138"/>
      <c r="C364" s="138"/>
      <c r="D364" s="22"/>
      <c r="E364" s="22"/>
      <c r="F364" s="22"/>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38"/>
      <c r="CB364" s="138"/>
      <c r="CC364" s="138"/>
      <c r="CD364" s="138"/>
      <c r="CE364" s="138"/>
    </row>
    <row r="365" spans="1:83" ht="12" customHeight="1">
      <c r="A365" s="138"/>
      <c r="B365" s="138"/>
      <c r="C365" s="138"/>
      <c r="D365" s="22"/>
      <c r="E365" s="22"/>
      <c r="F365" s="22"/>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38"/>
      <c r="BB365" s="138"/>
      <c r="BC365" s="138"/>
      <c r="BD365" s="138"/>
      <c r="BE365" s="138"/>
      <c r="BF365" s="138"/>
      <c r="BG365" s="138"/>
      <c r="BH365" s="138"/>
      <c r="BI365" s="138"/>
      <c r="BJ365" s="138"/>
      <c r="BK365" s="138"/>
      <c r="BL365" s="138"/>
      <c r="BM365" s="138"/>
      <c r="BN365" s="138"/>
      <c r="BO365" s="138"/>
      <c r="BP365" s="138"/>
      <c r="BQ365" s="138"/>
      <c r="BR365" s="138"/>
      <c r="BS365" s="138"/>
      <c r="BT365" s="138"/>
      <c r="BU365" s="138"/>
      <c r="BV365" s="138"/>
      <c r="BW365" s="138"/>
      <c r="BX365" s="138"/>
      <c r="BY365" s="138"/>
      <c r="BZ365" s="138"/>
      <c r="CA365" s="138"/>
      <c r="CB365" s="138"/>
      <c r="CC365" s="138"/>
      <c r="CD365" s="138"/>
      <c r="CE365" s="138"/>
    </row>
    <row r="366" spans="1:83" ht="12" customHeight="1">
      <c r="A366" s="138"/>
      <c r="B366" s="138"/>
      <c r="C366" s="138"/>
      <c r="D366" s="22"/>
      <c r="E366" s="22"/>
      <c r="F366" s="22"/>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row>
    <row r="367" spans="1:83" ht="12" customHeight="1">
      <c r="A367" s="138"/>
      <c r="B367" s="138"/>
      <c r="C367" s="138"/>
      <c r="D367" s="22"/>
      <c r="E367" s="22"/>
      <c r="F367" s="22"/>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38"/>
      <c r="BB367" s="138"/>
      <c r="BC367" s="138"/>
      <c r="BD367" s="138"/>
      <c r="BE367" s="138"/>
      <c r="BF367" s="138"/>
      <c r="BG367" s="138"/>
      <c r="BH367" s="138"/>
      <c r="BI367" s="138"/>
      <c r="BJ367" s="138"/>
      <c r="BK367" s="138"/>
      <c r="BL367" s="138"/>
      <c r="BM367" s="138"/>
      <c r="BN367" s="138"/>
      <c r="BO367" s="138"/>
      <c r="BP367" s="138"/>
      <c r="BQ367" s="138"/>
      <c r="BR367" s="138"/>
      <c r="BS367" s="138"/>
      <c r="BT367" s="138"/>
      <c r="BU367" s="138"/>
      <c r="BV367" s="138"/>
      <c r="BW367" s="138"/>
      <c r="BX367" s="138"/>
      <c r="BY367" s="138"/>
      <c r="BZ367" s="138"/>
      <c r="CA367" s="138"/>
      <c r="CB367" s="138"/>
      <c r="CC367" s="138"/>
      <c r="CD367" s="138"/>
      <c r="CE367" s="138"/>
    </row>
    <row r="368" spans="1:83" ht="12" customHeight="1">
      <c r="A368" s="138"/>
      <c r="B368" s="138"/>
      <c r="C368" s="138"/>
      <c r="D368" s="22"/>
      <c r="E368" s="22"/>
      <c r="F368" s="22"/>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38"/>
      <c r="BB368" s="138"/>
      <c r="BC368" s="138"/>
      <c r="BD368" s="138"/>
      <c r="BE368" s="138"/>
      <c r="BF368" s="138"/>
      <c r="BG368" s="138"/>
      <c r="BH368" s="138"/>
      <c r="BI368" s="138"/>
      <c r="BJ368" s="138"/>
      <c r="BK368" s="138"/>
      <c r="BL368" s="138"/>
      <c r="BM368" s="138"/>
      <c r="BN368" s="138"/>
      <c r="BO368" s="138"/>
      <c r="BP368" s="138"/>
      <c r="BQ368" s="138"/>
      <c r="BR368" s="138"/>
      <c r="BS368" s="138"/>
      <c r="BT368" s="138"/>
      <c r="BU368" s="138"/>
      <c r="BV368" s="138"/>
      <c r="BW368" s="138"/>
      <c r="BX368" s="138"/>
      <c r="BY368" s="138"/>
      <c r="BZ368" s="138"/>
      <c r="CA368" s="138"/>
      <c r="CB368" s="138"/>
      <c r="CC368" s="138"/>
      <c r="CD368" s="138"/>
      <c r="CE368" s="138"/>
    </row>
    <row r="369" spans="1:83" ht="12" customHeight="1">
      <c r="A369" s="138"/>
      <c r="B369" s="138"/>
      <c r="C369" s="138"/>
      <c r="D369" s="22"/>
      <c r="E369" s="22"/>
      <c r="F369" s="22"/>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38"/>
      <c r="BB369" s="138"/>
      <c r="BC369" s="138"/>
      <c r="BD369" s="138"/>
      <c r="BE369" s="138"/>
      <c r="BF369" s="138"/>
      <c r="BG369" s="138"/>
      <c r="BH369" s="138"/>
      <c r="BI369" s="138"/>
      <c r="BJ369" s="138"/>
      <c r="BK369" s="138"/>
      <c r="BL369" s="138"/>
      <c r="BM369" s="138"/>
      <c r="BN369" s="138"/>
      <c r="BO369" s="138"/>
      <c r="BP369" s="138"/>
      <c r="BQ369" s="138"/>
      <c r="BR369" s="138"/>
      <c r="BS369" s="138"/>
      <c r="BT369" s="138"/>
      <c r="BU369" s="138"/>
      <c r="BV369" s="138"/>
      <c r="BW369" s="138"/>
      <c r="BX369" s="138"/>
      <c r="BY369" s="138"/>
      <c r="BZ369" s="138"/>
      <c r="CA369" s="138"/>
      <c r="CB369" s="138"/>
      <c r="CC369" s="138"/>
      <c r="CD369" s="138"/>
      <c r="CE369" s="138"/>
    </row>
    <row r="370" spans="1:83" ht="12" customHeight="1">
      <c r="A370" s="138"/>
      <c r="B370" s="138"/>
      <c r="C370" s="138"/>
      <c r="D370" s="22"/>
      <c r="E370" s="22"/>
      <c r="F370" s="22"/>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8"/>
      <c r="CE370" s="138"/>
    </row>
    <row r="371" spans="1:83" ht="12" customHeight="1">
      <c r="A371" s="138"/>
      <c r="B371" s="138"/>
      <c r="C371" s="138"/>
      <c r="D371" s="22"/>
      <c r="E371" s="22"/>
      <c r="F371" s="22"/>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38"/>
      <c r="BB371" s="138"/>
      <c r="BC371" s="138"/>
      <c r="BD371" s="138"/>
      <c r="BE371" s="138"/>
      <c r="BF371" s="138"/>
      <c r="BG371" s="138"/>
      <c r="BH371" s="138"/>
      <c r="BI371" s="138"/>
      <c r="BJ371" s="138"/>
      <c r="BK371" s="138"/>
      <c r="BL371" s="138"/>
      <c r="BM371" s="138"/>
      <c r="BN371" s="138"/>
      <c r="BO371" s="138"/>
      <c r="BP371" s="138"/>
      <c r="BQ371" s="138"/>
      <c r="BR371" s="138"/>
      <c r="BS371" s="138"/>
      <c r="BT371" s="138"/>
      <c r="BU371" s="138"/>
      <c r="BV371" s="138"/>
      <c r="BW371" s="138"/>
      <c r="BX371" s="138"/>
      <c r="BY371" s="138"/>
      <c r="BZ371" s="138"/>
      <c r="CA371" s="138"/>
      <c r="CB371" s="138"/>
      <c r="CC371" s="138"/>
      <c r="CD371" s="138"/>
      <c r="CE371" s="138"/>
    </row>
    <row r="372" spans="1:83" ht="12" customHeight="1">
      <c r="A372" s="138"/>
      <c r="B372" s="138"/>
      <c r="C372" s="138"/>
      <c r="D372" s="22"/>
      <c r="E372" s="22"/>
      <c r="F372" s="22"/>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row>
    <row r="373" spans="1:83" ht="12" customHeight="1">
      <c r="A373" s="138"/>
      <c r="B373" s="138"/>
      <c r="C373" s="138"/>
      <c r="D373" s="22"/>
      <c r="E373" s="22"/>
      <c r="F373" s="22"/>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38"/>
      <c r="BB373" s="138"/>
      <c r="BC373" s="138"/>
      <c r="BD373" s="138"/>
      <c r="BE373" s="138"/>
      <c r="BF373" s="138"/>
      <c r="BG373" s="138"/>
      <c r="BH373" s="138"/>
      <c r="BI373" s="138"/>
      <c r="BJ373" s="138"/>
      <c r="BK373" s="138"/>
      <c r="BL373" s="138"/>
      <c r="BM373" s="138"/>
      <c r="BN373" s="138"/>
      <c r="BO373" s="138"/>
      <c r="BP373" s="138"/>
      <c r="BQ373" s="138"/>
      <c r="BR373" s="138"/>
      <c r="BS373" s="138"/>
      <c r="BT373" s="138"/>
      <c r="BU373" s="138"/>
      <c r="BV373" s="138"/>
      <c r="BW373" s="138"/>
      <c r="BX373" s="138"/>
      <c r="BY373" s="138"/>
      <c r="BZ373" s="138"/>
      <c r="CA373" s="138"/>
      <c r="CB373" s="138"/>
      <c r="CC373" s="138"/>
      <c r="CD373" s="138"/>
      <c r="CE373" s="138"/>
    </row>
    <row r="374" spans="1:83" ht="12" customHeight="1">
      <c r="A374" s="138"/>
      <c r="B374" s="138"/>
      <c r="C374" s="138"/>
      <c r="D374" s="22"/>
      <c r="E374" s="22"/>
      <c r="F374" s="22"/>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38"/>
      <c r="BB374" s="138"/>
      <c r="BC374" s="138"/>
      <c r="BD374" s="138"/>
      <c r="BE374" s="138"/>
      <c r="BF374" s="138"/>
      <c r="BG374" s="138"/>
      <c r="BH374" s="138"/>
      <c r="BI374" s="138"/>
      <c r="BJ374" s="138"/>
      <c r="BK374" s="138"/>
      <c r="BL374" s="138"/>
      <c r="BM374" s="138"/>
      <c r="BN374" s="138"/>
      <c r="BO374" s="138"/>
      <c r="BP374" s="138"/>
      <c r="BQ374" s="138"/>
      <c r="BR374" s="138"/>
      <c r="BS374" s="138"/>
      <c r="BT374" s="138"/>
      <c r="BU374" s="138"/>
      <c r="BV374" s="138"/>
      <c r="BW374" s="138"/>
      <c r="BX374" s="138"/>
      <c r="BY374" s="138"/>
      <c r="BZ374" s="138"/>
      <c r="CA374" s="138"/>
      <c r="CB374" s="138"/>
      <c r="CC374" s="138"/>
      <c r="CD374" s="138"/>
      <c r="CE374" s="138"/>
    </row>
    <row r="375" spans="1:83" ht="12" customHeight="1">
      <c r="A375" s="138"/>
      <c r="B375" s="138"/>
      <c r="C375" s="138"/>
      <c r="D375" s="22"/>
      <c r="E375" s="22"/>
      <c r="F375" s="22"/>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38"/>
      <c r="BB375" s="138"/>
      <c r="BC375" s="138"/>
      <c r="BD375" s="138"/>
      <c r="BE375" s="138"/>
      <c r="BF375" s="138"/>
      <c r="BG375" s="138"/>
      <c r="BH375" s="138"/>
      <c r="BI375" s="138"/>
      <c r="BJ375" s="138"/>
      <c r="BK375" s="138"/>
      <c r="BL375" s="138"/>
      <c r="BM375" s="138"/>
      <c r="BN375" s="138"/>
      <c r="BO375" s="138"/>
      <c r="BP375" s="138"/>
      <c r="BQ375" s="138"/>
      <c r="BR375" s="138"/>
      <c r="BS375" s="138"/>
      <c r="BT375" s="138"/>
      <c r="BU375" s="138"/>
      <c r="BV375" s="138"/>
      <c r="BW375" s="138"/>
      <c r="BX375" s="138"/>
      <c r="BY375" s="138"/>
      <c r="BZ375" s="138"/>
      <c r="CA375" s="138"/>
      <c r="CB375" s="138"/>
      <c r="CC375" s="138"/>
      <c r="CD375" s="138"/>
      <c r="CE375" s="138"/>
    </row>
    <row r="376" spans="1:83" ht="12" customHeight="1">
      <c r="A376" s="138"/>
      <c r="B376" s="138"/>
      <c r="C376" s="138"/>
      <c r="D376" s="22"/>
      <c r="E376" s="22"/>
      <c r="F376" s="22"/>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38"/>
      <c r="CB376" s="138"/>
      <c r="CC376" s="138"/>
      <c r="CD376" s="138"/>
      <c r="CE376" s="138"/>
    </row>
    <row r="377" spans="1:83" ht="12" customHeight="1">
      <c r="A377" s="138"/>
      <c r="B377" s="138"/>
      <c r="C377" s="138"/>
      <c r="D377" s="22"/>
      <c r="E377" s="22"/>
      <c r="F377" s="22"/>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38"/>
      <c r="BB377" s="138"/>
      <c r="BC377" s="138"/>
      <c r="BD377" s="138"/>
      <c r="BE377" s="138"/>
      <c r="BF377" s="138"/>
      <c r="BG377" s="138"/>
      <c r="BH377" s="138"/>
      <c r="BI377" s="138"/>
      <c r="BJ377" s="138"/>
      <c r="BK377" s="138"/>
      <c r="BL377" s="138"/>
      <c r="BM377" s="138"/>
      <c r="BN377" s="138"/>
      <c r="BO377" s="138"/>
      <c r="BP377" s="138"/>
      <c r="BQ377" s="138"/>
      <c r="BR377" s="138"/>
      <c r="BS377" s="138"/>
      <c r="BT377" s="138"/>
      <c r="BU377" s="138"/>
      <c r="BV377" s="138"/>
      <c r="BW377" s="138"/>
      <c r="BX377" s="138"/>
      <c r="BY377" s="138"/>
      <c r="BZ377" s="138"/>
      <c r="CA377" s="138"/>
      <c r="CB377" s="138"/>
      <c r="CC377" s="138"/>
      <c r="CD377" s="138"/>
      <c r="CE377" s="138"/>
    </row>
    <row r="378" spans="1:83" ht="12" customHeight="1">
      <c r="A378" s="138"/>
      <c r="B378" s="138"/>
      <c r="C378" s="138"/>
      <c r="D378" s="22"/>
      <c r="E378" s="22"/>
      <c r="F378" s="22"/>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row>
    <row r="379" spans="1:83" ht="12" customHeight="1">
      <c r="A379" s="138"/>
      <c r="B379" s="138"/>
      <c r="C379" s="138"/>
      <c r="D379" s="22"/>
      <c r="E379" s="22"/>
      <c r="F379" s="22"/>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c r="BT379" s="138"/>
      <c r="BU379" s="138"/>
      <c r="BV379" s="138"/>
      <c r="BW379" s="138"/>
      <c r="BX379" s="138"/>
      <c r="BY379" s="138"/>
      <c r="BZ379" s="138"/>
      <c r="CA379" s="138"/>
      <c r="CB379" s="138"/>
      <c r="CC379" s="138"/>
      <c r="CD379" s="138"/>
      <c r="CE379" s="138"/>
    </row>
    <row r="380" spans="1:83" ht="12" customHeight="1">
      <c r="A380" s="138"/>
      <c r="B380" s="138"/>
      <c r="C380" s="138"/>
      <c r="D380" s="22"/>
      <c r="E380" s="22"/>
      <c r="F380" s="22"/>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8"/>
      <c r="AX380" s="138"/>
      <c r="AY380" s="138"/>
      <c r="AZ380" s="138"/>
      <c r="BA380" s="138"/>
      <c r="BB380" s="138"/>
      <c r="BC380" s="138"/>
      <c r="BD380" s="138"/>
      <c r="BE380" s="138"/>
      <c r="BF380" s="138"/>
      <c r="BG380" s="138"/>
      <c r="BH380" s="138"/>
      <c r="BI380" s="138"/>
      <c r="BJ380" s="138"/>
      <c r="BK380" s="138"/>
      <c r="BL380" s="138"/>
      <c r="BM380" s="138"/>
      <c r="BN380" s="138"/>
      <c r="BO380" s="138"/>
      <c r="BP380" s="138"/>
      <c r="BQ380" s="138"/>
      <c r="BR380" s="138"/>
      <c r="BS380" s="138"/>
      <c r="BT380" s="138"/>
      <c r="BU380" s="138"/>
      <c r="BV380" s="138"/>
      <c r="BW380" s="138"/>
      <c r="BX380" s="138"/>
      <c r="BY380" s="138"/>
      <c r="BZ380" s="138"/>
      <c r="CA380" s="138"/>
      <c r="CB380" s="138"/>
      <c r="CC380" s="138"/>
      <c r="CD380" s="138"/>
      <c r="CE380" s="138"/>
    </row>
    <row r="381" spans="1:83" ht="12" customHeight="1">
      <c r="A381" s="138"/>
      <c r="B381" s="138"/>
      <c r="C381" s="138"/>
      <c r="D381" s="22"/>
      <c r="E381" s="22"/>
      <c r="F381" s="22"/>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c r="BT381" s="138"/>
      <c r="BU381" s="138"/>
      <c r="BV381" s="138"/>
      <c r="BW381" s="138"/>
      <c r="BX381" s="138"/>
      <c r="BY381" s="138"/>
      <c r="BZ381" s="138"/>
      <c r="CA381" s="138"/>
      <c r="CB381" s="138"/>
      <c r="CC381" s="138"/>
      <c r="CD381" s="138"/>
      <c r="CE381" s="138"/>
    </row>
    <row r="382" spans="1:83" ht="12" customHeight="1">
      <c r="A382" s="138"/>
      <c r="B382" s="138"/>
      <c r="C382" s="138"/>
      <c r="D382" s="22"/>
      <c r="E382" s="22"/>
      <c r="F382" s="22"/>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c r="CA382" s="138"/>
      <c r="CB382" s="138"/>
      <c r="CC382" s="138"/>
      <c r="CD382" s="138"/>
      <c r="CE382" s="138"/>
    </row>
    <row r="383" spans="1:83" ht="12" customHeight="1">
      <c r="A383" s="138"/>
      <c r="B383" s="138"/>
      <c r="C383" s="138"/>
      <c r="D383" s="22"/>
      <c r="E383" s="22"/>
      <c r="F383" s="22"/>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38"/>
      <c r="BB383" s="138"/>
      <c r="BC383" s="138"/>
      <c r="BD383" s="138"/>
      <c r="BE383" s="138"/>
      <c r="BF383" s="138"/>
      <c r="BG383" s="138"/>
      <c r="BH383" s="138"/>
      <c r="BI383" s="138"/>
      <c r="BJ383" s="138"/>
      <c r="BK383" s="138"/>
      <c r="BL383" s="138"/>
      <c r="BM383" s="138"/>
      <c r="BN383" s="138"/>
      <c r="BO383" s="138"/>
      <c r="BP383" s="138"/>
      <c r="BQ383" s="138"/>
      <c r="BR383" s="138"/>
      <c r="BS383" s="138"/>
      <c r="BT383" s="138"/>
      <c r="BU383" s="138"/>
      <c r="BV383" s="138"/>
      <c r="BW383" s="138"/>
      <c r="BX383" s="138"/>
      <c r="BY383" s="138"/>
      <c r="BZ383" s="138"/>
      <c r="CA383" s="138"/>
      <c r="CB383" s="138"/>
      <c r="CC383" s="138"/>
      <c r="CD383" s="138"/>
      <c r="CE383" s="138"/>
    </row>
    <row r="384" spans="1:83" ht="12" customHeight="1">
      <c r="A384" s="138"/>
      <c r="B384" s="138"/>
      <c r="C384" s="138"/>
      <c r="D384" s="22"/>
      <c r="E384" s="22"/>
      <c r="F384" s="22"/>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row>
    <row r="385" spans="1:83" ht="12" customHeight="1">
      <c r="A385" s="138"/>
      <c r="B385" s="138"/>
      <c r="C385" s="138"/>
      <c r="D385" s="22"/>
      <c r="E385" s="22"/>
      <c r="F385" s="22"/>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38"/>
      <c r="BB385" s="138"/>
      <c r="BC385" s="138"/>
      <c r="BD385" s="138"/>
      <c r="BE385" s="138"/>
      <c r="BF385" s="138"/>
      <c r="BG385" s="138"/>
      <c r="BH385" s="138"/>
      <c r="BI385" s="138"/>
      <c r="BJ385" s="138"/>
      <c r="BK385" s="138"/>
      <c r="BL385" s="138"/>
      <c r="BM385" s="138"/>
      <c r="BN385" s="138"/>
      <c r="BO385" s="138"/>
      <c r="BP385" s="138"/>
      <c r="BQ385" s="138"/>
      <c r="BR385" s="138"/>
      <c r="BS385" s="138"/>
      <c r="BT385" s="138"/>
      <c r="BU385" s="138"/>
      <c r="BV385" s="138"/>
      <c r="BW385" s="138"/>
      <c r="BX385" s="138"/>
      <c r="BY385" s="138"/>
      <c r="BZ385" s="138"/>
      <c r="CA385" s="138"/>
      <c r="CB385" s="138"/>
      <c r="CC385" s="138"/>
      <c r="CD385" s="138"/>
      <c r="CE385" s="138"/>
    </row>
    <row r="386" spans="1:83" ht="12" customHeight="1">
      <c r="A386" s="138"/>
      <c r="B386" s="138"/>
      <c r="C386" s="138"/>
      <c r="D386" s="22"/>
      <c r="E386" s="22"/>
      <c r="F386" s="22"/>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38"/>
      <c r="BB386" s="138"/>
      <c r="BC386" s="138"/>
      <c r="BD386" s="138"/>
      <c r="BE386" s="138"/>
      <c r="BF386" s="138"/>
      <c r="BG386" s="138"/>
      <c r="BH386" s="138"/>
      <c r="BI386" s="138"/>
      <c r="BJ386" s="138"/>
      <c r="BK386" s="138"/>
      <c r="BL386" s="138"/>
      <c r="BM386" s="138"/>
      <c r="BN386" s="138"/>
      <c r="BO386" s="138"/>
      <c r="BP386" s="138"/>
      <c r="BQ386" s="138"/>
      <c r="BR386" s="138"/>
      <c r="BS386" s="138"/>
      <c r="BT386" s="138"/>
      <c r="BU386" s="138"/>
      <c r="BV386" s="138"/>
      <c r="BW386" s="138"/>
      <c r="BX386" s="138"/>
      <c r="BY386" s="138"/>
      <c r="BZ386" s="138"/>
      <c r="CA386" s="138"/>
      <c r="CB386" s="138"/>
      <c r="CC386" s="138"/>
      <c r="CD386" s="138"/>
      <c r="CE386" s="138"/>
    </row>
    <row r="387" spans="1:83" ht="12" customHeight="1">
      <c r="A387" s="138"/>
      <c r="B387" s="138"/>
      <c r="C387" s="138"/>
      <c r="D387" s="22"/>
      <c r="E387" s="22"/>
      <c r="F387" s="22"/>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38"/>
      <c r="BB387" s="138"/>
      <c r="BC387" s="138"/>
      <c r="BD387" s="138"/>
      <c r="BE387" s="138"/>
      <c r="BF387" s="138"/>
      <c r="BG387" s="138"/>
      <c r="BH387" s="138"/>
      <c r="BI387" s="138"/>
      <c r="BJ387" s="138"/>
      <c r="BK387" s="138"/>
      <c r="BL387" s="138"/>
      <c r="BM387" s="138"/>
      <c r="BN387" s="138"/>
      <c r="BO387" s="138"/>
      <c r="BP387" s="138"/>
      <c r="BQ387" s="138"/>
      <c r="BR387" s="138"/>
      <c r="BS387" s="138"/>
      <c r="BT387" s="138"/>
      <c r="BU387" s="138"/>
      <c r="BV387" s="138"/>
      <c r="BW387" s="138"/>
      <c r="BX387" s="138"/>
      <c r="BY387" s="138"/>
      <c r="BZ387" s="138"/>
      <c r="CA387" s="138"/>
      <c r="CB387" s="138"/>
      <c r="CC387" s="138"/>
      <c r="CD387" s="138"/>
      <c r="CE387" s="138"/>
    </row>
    <row r="388" spans="1:83" ht="12" customHeight="1">
      <c r="A388" s="138"/>
      <c r="B388" s="138"/>
      <c r="C388" s="138"/>
      <c r="D388" s="22"/>
      <c r="E388" s="22"/>
      <c r="F388" s="22"/>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38"/>
      <c r="BB388" s="138"/>
      <c r="BC388" s="138"/>
      <c r="BD388" s="138"/>
      <c r="BE388" s="138"/>
      <c r="BF388" s="138"/>
      <c r="BG388" s="138"/>
      <c r="BH388" s="138"/>
      <c r="BI388" s="138"/>
      <c r="BJ388" s="138"/>
      <c r="BK388" s="138"/>
      <c r="BL388" s="138"/>
      <c r="BM388" s="138"/>
      <c r="BN388" s="138"/>
      <c r="BO388" s="138"/>
      <c r="BP388" s="138"/>
      <c r="BQ388" s="138"/>
      <c r="BR388" s="138"/>
      <c r="BS388" s="138"/>
      <c r="BT388" s="138"/>
      <c r="BU388" s="138"/>
      <c r="BV388" s="138"/>
      <c r="BW388" s="138"/>
      <c r="BX388" s="138"/>
      <c r="BY388" s="138"/>
      <c r="BZ388" s="138"/>
      <c r="CA388" s="138"/>
      <c r="CB388" s="138"/>
      <c r="CC388" s="138"/>
      <c r="CD388" s="138"/>
      <c r="CE388" s="138"/>
    </row>
    <row r="389" spans="1:83" ht="12" customHeight="1">
      <c r="A389" s="138"/>
      <c r="B389" s="138"/>
      <c r="C389" s="138"/>
      <c r="D389" s="22"/>
      <c r="E389" s="22"/>
      <c r="F389" s="22"/>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c r="AS389" s="138"/>
      <c r="AT389" s="138"/>
      <c r="AU389" s="138"/>
      <c r="AV389" s="138"/>
      <c r="AW389" s="138"/>
      <c r="AX389" s="138"/>
      <c r="AY389" s="138"/>
      <c r="AZ389" s="138"/>
      <c r="BA389" s="138"/>
      <c r="BB389" s="138"/>
      <c r="BC389" s="138"/>
      <c r="BD389" s="138"/>
      <c r="BE389" s="138"/>
      <c r="BF389" s="138"/>
      <c r="BG389" s="138"/>
      <c r="BH389" s="138"/>
      <c r="BI389" s="138"/>
      <c r="BJ389" s="138"/>
      <c r="BK389" s="138"/>
      <c r="BL389" s="138"/>
      <c r="BM389" s="138"/>
      <c r="BN389" s="138"/>
      <c r="BO389" s="138"/>
      <c r="BP389" s="138"/>
      <c r="BQ389" s="138"/>
      <c r="BR389" s="138"/>
      <c r="BS389" s="138"/>
      <c r="BT389" s="138"/>
      <c r="BU389" s="138"/>
      <c r="BV389" s="138"/>
      <c r="BW389" s="138"/>
      <c r="BX389" s="138"/>
      <c r="BY389" s="138"/>
      <c r="BZ389" s="138"/>
      <c r="CA389" s="138"/>
      <c r="CB389" s="138"/>
      <c r="CC389" s="138"/>
      <c r="CD389" s="138"/>
      <c r="CE389" s="138"/>
    </row>
    <row r="390" spans="1:83" ht="12" customHeight="1">
      <c r="A390" s="138"/>
      <c r="B390" s="138"/>
      <c r="C390" s="138"/>
      <c r="D390" s="22"/>
      <c r="E390" s="22"/>
      <c r="F390" s="22"/>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38"/>
      <c r="BB390" s="138"/>
      <c r="BC390" s="138"/>
      <c r="BD390" s="138"/>
      <c r="BE390" s="138"/>
      <c r="BF390" s="138"/>
      <c r="BG390" s="138"/>
      <c r="BH390" s="138"/>
      <c r="BI390" s="138"/>
      <c r="BJ390" s="138"/>
      <c r="BK390" s="138"/>
      <c r="BL390" s="138"/>
      <c r="BM390" s="138"/>
      <c r="BN390" s="138"/>
      <c r="BO390" s="138"/>
      <c r="BP390" s="138"/>
      <c r="BQ390" s="138"/>
      <c r="BR390" s="138"/>
      <c r="BS390" s="138"/>
      <c r="BT390" s="138"/>
      <c r="BU390" s="138"/>
      <c r="BV390" s="138"/>
      <c r="BW390" s="138"/>
      <c r="BX390" s="138"/>
      <c r="BY390" s="138"/>
      <c r="BZ390" s="138"/>
      <c r="CA390" s="138"/>
      <c r="CB390" s="138"/>
      <c r="CC390" s="138"/>
      <c r="CD390" s="138"/>
      <c r="CE390" s="138"/>
    </row>
    <row r="391" spans="1:83" ht="12" customHeight="1">
      <c r="A391" s="138"/>
      <c r="B391" s="138"/>
      <c r="C391" s="138"/>
      <c r="D391" s="22"/>
      <c r="E391" s="22"/>
      <c r="F391" s="22"/>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c r="AR391" s="138"/>
      <c r="AS391" s="138"/>
      <c r="AT391" s="138"/>
      <c r="AU391" s="138"/>
      <c r="AV391" s="138"/>
      <c r="AW391" s="138"/>
      <c r="AX391" s="138"/>
      <c r="AY391" s="138"/>
      <c r="AZ391" s="138"/>
      <c r="BA391" s="138"/>
      <c r="BB391" s="138"/>
      <c r="BC391" s="138"/>
      <c r="BD391" s="138"/>
      <c r="BE391" s="138"/>
      <c r="BF391" s="138"/>
      <c r="BG391" s="138"/>
      <c r="BH391" s="138"/>
      <c r="BI391" s="138"/>
      <c r="BJ391" s="138"/>
      <c r="BK391" s="138"/>
      <c r="BL391" s="138"/>
      <c r="BM391" s="138"/>
      <c r="BN391" s="138"/>
      <c r="BO391" s="138"/>
      <c r="BP391" s="138"/>
      <c r="BQ391" s="138"/>
      <c r="BR391" s="138"/>
      <c r="BS391" s="138"/>
      <c r="BT391" s="138"/>
      <c r="BU391" s="138"/>
      <c r="BV391" s="138"/>
      <c r="BW391" s="138"/>
      <c r="BX391" s="138"/>
      <c r="BY391" s="138"/>
      <c r="BZ391" s="138"/>
      <c r="CA391" s="138"/>
      <c r="CB391" s="138"/>
      <c r="CC391" s="138"/>
      <c r="CD391" s="138"/>
      <c r="CE391" s="138"/>
    </row>
    <row r="392" spans="1:83" ht="12" customHeight="1">
      <c r="A392" s="138"/>
      <c r="B392" s="138"/>
      <c r="C392" s="138"/>
      <c r="D392" s="22"/>
      <c r="E392" s="22"/>
      <c r="F392" s="22"/>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c r="AR392" s="138"/>
      <c r="AS392" s="138"/>
      <c r="AT392" s="138"/>
      <c r="AU392" s="138"/>
      <c r="AV392" s="138"/>
      <c r="AW392" s="138"/>
      <c r="AX392" s="138"/>
      <c r="AY392" s="138"/>
      <c r="AZ392" s="138"/>
      <c r="BA392" s="138"/>
      <c r="BB392" s="138"/>
      <c r="BC392" s="138"/>
      <c r="BD392" s="138"/>
      <c r="BE392" s="138"/>
      <c r="BF392" s="138"/>
      <c r="BG392" s="138"/>
      <c r="BH392" s="138"/>
      <c r="BI392" s="138"/>
      <c r="BJ392" s="138"/>
      <c r="BK392" s="138"/>
      <c r="BL392" s="138"/>
      <c r="BM392" s="138"/>
      <c r="BN392" s="138"/>
      <c r="BO392" s="138"/>
      <c r="BP392" s="138"/>
      <c r="BQ392" s="138"/>
      <c r="BR392" s="138"/>
      <c r="BS392" s="138"/>
      <c r="BT392" s="138"/>
      <c r="BU392" s="138"/>
      <c r="BV392" s="138"/>
      <c r="BW392" s="138"/>
      <c r="BX392" s="138"/>
      <c r="BY392" s="138"/>
      <c r="BZ392" s="138"/>
      <c r="CA392" s="138"/>
      <c r="CB392" s="138"/>
      <c r="CC392" s="138"/>
      <c r="CD392" s="138"/>
      <c r="CE392" s="138"/>
    </row>
    <row r="393" spans="1:83" ht="12" customHeight="1">
      <c r="A393" s="138"/>
      <c r="B393" s="138"/>
      <c r="C393" s="138"/>
      <c r="D393" s="22"/>
      <c r="E393" s="22"/>
      <c r="F393" s="22"/>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c r="AR393" s="138"/>
      <c r="AS393" s="138"/>
      <c r="AT393" s="138"/>
      <c r="AU393" s="138"/>
      <c r="AV393" s="138"/>
      <c r="AW393" s="138"/>
      <c r="AX393" s="138"/>
      <c r="AY393" s="138"/>
      <c r="AZ393" s="138"/>
      <c r="BA393" s="138"/>
      <c r="BB393" s="138"/>
      <c r="BC393" s="138"/>
      <c r="BD393" s="138"/>
      <c r="BE393" s="138"/>
      <c r="BF393" s="138"/>
      <c r="BG393" s="138"/>
      <c r="BH393" s="138"/>
      <c r="BI393" s="138"/>
      <c r="BJ393" s="138"/>
      <c r="BK393" s="138"/>
      <c r="BL393" s="138"/>
      <c r="BM393" s="138"/>
      <c r="BN393" s="138"/>
      <c r="BO393" s="138"/>
      <c r="BP393" s="138"/>
      <c r="BQ393" s="138"/>
      <c r="BR393" s="138"/>
      <c r="BS393" s="138"/>
      <c r="BT393" s="138"/>
      <c r="BU393" s="138"/>
      <c r="BV393" s="138"/>
      <c r="BW393" s="138"/>
      <c r="BX393" s="138"/>
      <c r="BY393" s="138"/>
      <c r="BZ393" s="138"/>
      <c r="CA393" s="138"/>
      <c r="CB393" s="138"/>
      <c r="CC393" s="138"/>
      <c r="CD393" s="138"/>
      <c r="CE393" s="138"/>
    </row>
    <row r="394" spans="1:83" ht="12" customHeight="1">
      <c r="A394" s="138"/>
      <c r="B394" s="138"/>
      <c r="C394" s="138"/>
      <c r="D394" s="22"/>
      <c r="E394" s="22"/>
      <c r="F394" s="22"/>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c r="AS394" s="138"/>
      <c r="AT394" s="138"/>
      <c r="AU394" s="138"/>
      <c r="AV394" s="138"/>
      <c r="AW394" s="138"/>
      <c r="AX394" s="138"/>
      <c r="AY394" s="138"/>
      <c r="AZ394" s="138"/>
      <c r="BA394" s="138"/>
      <c r="BB394" s="138"/>
      <c r="BC394" s="138"/>
      <c r="BD394" s="138"/>
      <c r="BE394" s="138"/>
      <c r="BF394" s="138"/>
      <c r="BG394" s="138"/>
      <c r="BH394" s="138"/>
      <c r="BI394" s="138"/>
      <c r="BJ394" s="138"/>
      <c r="BK394" s="138"/>
      <c r="BL394" s="138"/>
      <c r="BM394" s="138"/>
      <c r="BN394" s="138"/>
      <c r="BO394" s="138"/>
      <c r="BP394" s="138"/>
      <c r="BQ394" s="138"/>
      <c r="BR394" s="138"/>
      <c r="BS394" s="138"/>
      <c r="BT394" s="138"/>
      <c r="BU394" s="138"/>
      <c r="BV394" s="138"/>
      <c r="BW394" s="138"/>
      <c r="BX394" s="138"/>
      <c r="BY394" s="138"/>
      <c r="BZ394" s="138"/>
      <c r="CA394" s="138"/>
      <c r="CB394" s="138"/>
      <c r="CC394" s="138"/>
      <c r="CD394" s="138"/>
      <c r="CE394" s="138"/>
    </row>
    <row r="395" spans="1:83" ht="12" customHeight="1">
      <c r="A395" s="138"/>
      <c r="B395" s="138"/>
      <c r="C395" s="138"/>
      <c r="D395" s="22"/>
      <c r="E395" s="22"/>
      <c r="F395" s="22"/>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c r="AR395" s="138"/>
      <c r="AS395" s="138"/>
      <c r="AT395" s="138"/>
      <c r="AU395" s="138"/>
      <c r="AV395" s="138"/>
      <c r="AW395" s="138"/>
      <c r="AX395" s="138"/>
      <c r="AY395" s="138"/>
      <c r="AZ395" s="138"/>
      <c r="BA395" s="138"/>
      <c r="BB395" s="138"/>
      <c r="BC395" s="138"/>
      <c r="BD395" s="138"/>
      <c r="BE395" s="138"/>
      <c r="BF395" s="138"/>
      <c r="BG395" s="138"/>
      <c r="BH395" s="138"/>
      <c r="BI395" s="138"/>
      <c r="BJ395" s="138"/>
      <c r="BK395" s="138"/>
      <c r="BL395" s="138"/>
      <c r="BM395" s="138"/>
      <c r="BN395" s="138"/>
      <c r="BO395" s="138"/>
      <c r="BP395" s="138"/>
      <c r="BQ395" s="138"/>
      <c r="BR395" s="138"/>
      <c r="BS395" s="138"/>
      <c r="BT395" s="138"/>
      <c r="BU395" s="138"/>
      <c r="BV395" s="138"/>
      <c r="BW395" s="138"/>
      <c r="BX395" s="138"/>
      <c r="BY395" s="138"/>
      <c r="BZ395" s="138"/>
      <c r="CA395" s="138"/>
      <c r="CB395" s="138"/>
      <c r="CC395" s="138"/>
      <c r="CD395" s="138"/>
      <c r="CE395" s="138"/>
    </row>
    <row r="396" spans="1:83" ht="12" customHeight="1">
      <c r="A396" s="138"/>
      <c r="B396" s="138"/>
      <c r="C396" s="138"/>
      <c r="D396" s="22"/>
      <c r="E396" s="22"/>
      <c r="F396" s="22"/>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38"/>
      <c r="BB396" s="138"/>
      <c r="BC396" s="138"/>
      <c r="BD396" s="138"/>
      <c r="BE396" s="138"/>
      <c r="BF396" s="138"/>
      <c r="BG396" s="138"/>
      <c r="BH396" s="138"/>
      <c r="BI396" s="138"/>
      <c r="BJ396" s="138"/>
      <c r="BK396" s="138"/>
      <c r="BL396" s="138"/>
      <c r="BM396" s="138"/>
      <c r="BN396" s="138"/>
      <c r="BO396" s="138"/>
      <c r="BP396" s="138"/>
      <c r="BQ396" s="138"/>
      <c r="BR396" s="138"/>
      <c r="BS396" s="138"/>
      <c r="BT396" s="138"/>
      <c r="BU396" s="138"/>
      <c r="BV396" s="138"/>
      <c r="BW396" s="138"/>
      <c r="BX396" s="138"/>
      <c r="BY396" s="138"/>
      <c r="BZ396" s="138"/>
      <c r="CA396" s="138"/>
      <c r="CB396" s="138"/>
      <c r="CC396" s="138"/>
      <c r="CD396" s="138"/>
      <c r="CE396" s="138"/>
    </row>
    <row r="397" spans="1:83" ht="12" customHeight="1">
      <c r="A397" s="138"/>
      <c r="B397" s="138"/>
      <c r="C397" s="138"/>
      <c r="D397" s="22"/>
      <c r="E397" s="22"/>
      <c r="F397" s="22"/>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c r="AR397" s="138"/>
      <c r="AS397" s="138"/>
      <c r="AT397" s="138"/>
      <c r="AU397" s="138"/>
      <c r="AV397" s="138"/>
      <c r="AW397" s="138"/>
      <c r="AX397" s="138"/>
      <c r="AY397" s="138"/>
      <c r="AZ397" s="138"/>
      <c r="BA397" s="138"/>
      <c r="BB397" s="138"/>
      <c r="BC397" s="138"/>
      <c r="BD397" s="138"/>
      <c r="BE397" s="138"/>
      <c r="BF397" s="138"/>
      <c r="BG397" s="138"/>
      <c r="BH397" s="138"/>
      <c r="BI397" s="138"/>
      <c r="BJ397" s="138"/>
      <c r="BK397" s="138"/>
      <c r="BL397" s="138"/>
      <c r="BM397" s="138"/>
      <c r="BN397" s="138"/>
      <c r="BO397" s="138"/>
      <c r="BP397" s="138"/>
      <c r="BQ397" s="138"/>
      <c r="BR397" s="138"/>
      <c r="BS397" s="138"/>
      <c r="BT397" s="138"/>
      <c r="BU397" s="138"/>
      <c r="BV397" s="138"/>
      <c r="BW397" s="138"/>
      <c r="BX397" s="138"/>
      <c r="BY397" s="138"/>
      <c r="BZ397" s="138"/>
      <c r="CA397" s="138"/>
      <c r="CB397" s="138"/>
      <c r="CC397" s="138"/>
      <c r="CD397" s="138"/>
      <c r="CE397" s="138"/>
    </row>
    <row r="398" spans="1:83" ht="12" customHeight="1">
      <c r="A398" s="138"/>
      <c r="B398" s="138"/>
      <c r="C398" s="138"/>
      <c r="D398" s="22"/>
      <c r="E398" s="22"/>
      <c r="F398" s="22"/>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c r="AR398" s="138"/>
      <c r="AS398" s="138"/>
      <c r="AT398" s="138"/>
      <c r="AU398" s="138"/>
      <c r="AV398" s="138"/>
      <c r="AW398" s="138"/>
      <c r="AX398" s="138"/>
      <c r="AY398" s="138"/>
      <c r="AZ398" s="138"/>
      <c r="BA398" s="138"/>
      <c r="BB398" s="138"/>
      <c r="BC398" s="138"/>
      <c r="BD398" s="138"/>
      <c r="BE398" s="138"/>
      <c r="BF398" s="138"/>
      <c r="BG398" s="138"/>
      <c r="BH398" s="138"/>
      <c r="BI398" s="138"/>
      <c r="BJ398" s="138"/>
      <c r="BK398" s="138"/>
      <c r="BL398" s="138"/>
      <c r="BM398" s="138"/>
      <c r="BN398" s="138"/>
      <c r="BO398" s="138"/>
      <c r="BP398" s="138"/>
      <c r="BQ398" s="138"/>
      <c r="BR398" s="138"/>
      <c r="BS398" s="138"/>
      <c r="BT398" s="138"/>
      <c r="BU398" s="138"/>
      <c r="BV398" s="138"/>
      <c r="BW398" s="138"/>
      <c r="BX398" s="138"/>
      <c r="BY398" s="138"/>
      <c r="BZ398" s="138"/>
      <c r="CA398" s="138"/>
      <c r="CB398" s="138"/>
      <c r="CC398" s="138"/>
      <c r="CD398" s="138"/>
      <c r="CE398" s="138"/>
    </row>
    <row r="399" spans="1:83" ht="12" customHeight="1">
      <c r="A399" s="138"/>
      <c r="B399" s="138"/>
      <c r="C399" s="138"/>
      <c r="D399" s="22"/>
      <c r="E399" s="22"/>
      <c r="F399" s="22"/>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c r="AR399" s="138"/>
      <c r="AS399" s="138"/>
      <c r="AT399" s="138"/>
      <c r="AU399" s="138"/>
      <c r="AV399" s="138"/>
      <c r="AW399" s="138"/>
      <c r="AX399" s="138"/>
      <c r="AY399" s="138"/>
      <c r="AZ399" s="138"/>
      <c r="BA399" s="138"/>
      <c r="BB399" s="138"/>
      <c r="BC399" s="138"/>
      <c r="BD399" s="138"/>
      <c r="BE399" s="138"/>
      <c r="BF399" s="138"/>
      <c r="BG399" s="138"/>
      <c r="BH399" s="138"/>
      <c r="BI399" s="138"/>
      <c r="BJ399" s="138"/>
      <c r="BK399" s="138"/>
      <c r="BL399" s="138"/>
      <c r="BM399" s="138"/>
      <c r="BN399" s="138"/>
      <c r="BO399" s="138"/>
      <c r="BP399" s="138"/>
      <c r="BQ399" s="138"/>
      <c r="BR399" s="138"/>
      <c r="BS399" s="138"/>
      <c r="BT399" s="138"/>
      <c r="BU399" s="138"/>
      <c r="BV399" s="138"/>
      <c r="BW399" s="138"/>
      <c r="BX399" s="138"/>
      <c r="BY399" s="138"/>
      <c r="BZ399" s="138"/>
      <c r="CA399" s="138"/>
      <c r="CB399" s="138"/>
      <c r="CC399" s="138"/>
      <c r="CD399" s="138"/>
      <c r="CE399" s="138"/>
    </row>
    <row r="400" spans="1:83" ht="12" customHeight="1">
      <c r="A400" s="138"/>
      <c r="B400" s="138"/>
      <c r="C400" s="138"/>
      <c r="D400" s="22"/>
      <c r="E400" s="22"/>
      <c r="F400" s="22"/>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c r="AS400" s="138"/>
      <c r="AT400" s="138"/>
      <c r="AU400" s="138"/>
      <c r="AV400" s="138"/>
      <c r="AW400" s="138"/>
      <c r="AX400" s="138"/>
      <c r="AY400" s="138"/>
      <c r="AZ400" s="138"/>
      <c r="BA400" s="138"/>
      <c r="BB400" s="138"/>
      <c r="BC400" s="138"/>
      <c r="BD400" s="138"/>
      <c r="BE400" s="138"/>
      <c r="BF400" s="138"/>
      <c r="BG400" s="138"/>
      <c r="BH400" s="138"/>
      <c r="BI400" s="138"/>
      <c r="BJ400" s="138"/>
      <c r="BK400" s="138"/>
      <c r="BL400" s="138"/>
      <c r="BM400" s="138"/>
      <c r="BN400" s="138"/>
      <c r="BO400" s="138"/>
      <c r="BP400" s="138"/>
      <c r="BQ400" s="138"/>
      <c r="BR400" s="138"/>
      <c r="BS400" s="138"/>
      <c r="BT400" s="138"/>
      <c r="BU400" s="138"/>
      <c r="BV400" s="138"/>
      <c r="BW400" s="138"/>
      <c r="BX400" s="138"/>
      <c r="BY400" s="138"/>
      <c r="BZ400" s="138"/>
      <c r="CA400" s="138"/>
      <c r="CB400" s="138"/>
      <c r="CC400" s="138"/>
      <c r="CD400" s="138"/>
      <c r="CE400" s="138"/>
    </row>
    <row r="401" spans="1:83" ht="12" customHeight="1">
      <c r="A401" s="138"/>
      <c r="B401" s="138"/>
      <c r="C401" s="138"/>
      <c r="D401" s="22"/>
      <c r="E401" s="22"/>
      <c r="F401" s="22"/>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c r="AR401" s="138"/>
      <c r="AS401" s="138"/>
      <c r="AT401" s="138"/>
      <c r="AU401" s="138"/>
      <c r="AV401" s="138"/>
      <c r="AW401" s="138"/>
      <c r="AX401" s="138"/>
      <c r="AY401" s="138"/>
      <c r="AZ401" s="138"/>
      <c r="BA401" s="138"/>
      <c r="BB401" s="138"/>
      <c r="BC401" s="138"/>
      <c r="BD401" s="138"/>
      <c r="BE401" s="138"/>
      <c r="BF401" s="138"/>
      <c r="BG401" s="138"/>
      <c r="BH401" s="138"/>
      <c r="BI401" s="138"/>
      <c r="BJ401" s="138"/>
      <c r="BK401" s="138"/>
      <c r="BL401" s="138"/>
      <c r="BM401" s="138"/>
      <c r="BN401" s="138"/>
      <c r="BO401" s="138"/>
      <c r="BP401" s="138"/>
      <c r="BQ401" s="138"/>
      <c r="BR401" s="138"/>
      <c r="BS401" s="138"/>
      <c r="BT401" s="138"/>
      <c r="BU401" s="138"/>
      <c r="BV401" s="138"/>
      <c r="BW401" s="138"/>
      <c r="BX401" s="138"/>
      <c r="BY401" s="138"/>
      <c r="BZ401" s="138"/>
      <c r="CA401" s="138"/>
      <c r="CB401" s="138"/>
      <c r="CC401" s="138"/>
      <c r="CD401" s="138"/>
      <c r="CE401" s="138"/>
    </row>
    <row r="402" spans="1:83" ht="12" customHeight="1">
      <c r="A402" s="138"/>
      <c r="B402" s="138"/>
      <c r="C402" s="138"/>
      <c r="D402" s="22"/>
      <c r="E402" s="22"/>
      <c r="F402" s="22"/>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c r="BT402" s="138"/>
      <c r="BU402" s="138"/>
      <c r="BV402" s="138"/>
      <c r="BW402" s="138"/>
      <c r="BX402" s="138"/>
      <c r="BY402" s="138"/>
      <c r="BZ402" s="138"/>
      <c r="CA402" s="138"/>
      <c r="CB402" s="138"/>
      <c r="CC402" s="138"/>
      <c r="CD402" s="138"/>
      <c r="CE402" s="138"/>
    </row>
    <row r="403" spans="1:83" ht="12" customHeight="1">
      <c r="A403" s="138"/>
      <c r="B403" s="138"/>
      <c r="C403" s="138"/>
      <c r="D403" s="22"/>
      <c r="E403" s="22"/>
      <c r="F403" s="22"/>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c r="AR403" s="138"/>
      <c r="AS403" s="138"/>
      <c r="AT403" s="138"/>
      <c r="AU403" s="138"/>
      <c r="AV403" s="138"/>
      <c r="AW403" s="138"/>
      <c r="AX403" s="138"/>
      <c r="AY403" s="138"/>
      <c r="AZ403" s="138"/>
      <c r="BA403" s="138"/>
      <c r="BB403" s="138"/>
      <c r="BC403" s="138"/>
      <c r="BD403" s="138"/>
      <c r="BE403" s="138"/>
      <c r="BF403" s="138"/>
      <c r="BG403" s="138"/>
      <c r="BH403" s="138"/>
      <c r="BI403" s="138"/>
      <c r="BJ403" s="138"/>
      <c r="BK403" s="138"/>
      <c r="BL403" s="138"/>
      <c r="BM403" s="138"/>
      <c r="BN403" s="138"/>
      <c r="BO403" s="138"/>
      <c r="BP403" s="138"/>
      <c r="BQ403" s="138"/>
      <c r="BR403" s="138"/>
      <c r="BS403" s="138"/>
      <c r="BT403" s="138"/>
      <c r="BU403" s="138"/>
      <c r="BV403" s="138"/>
      <c r="BW403" s="138"/>
      <c r="BX403" s="138"/>
      <c r="BY403" s="138"/>
      <c r="BZ403" s="138"/>
      <c r="CA403" s="138"/>
      <c r="CB403" s="138"/>
      <c r="CC403" s="138"/>
      <c r="CD403" s="138"/>
      <c r="CE403" s="138"/>
    </row>
    <row r="404" spans="1:83" ht="12" customHeight="1">
      <c r="A404" s="138"/>
      <c r="B404" s="138"/>
      <c r="C404" s="138"/>
      <c r="D404" s="22"/>
      <c r="E404" s="22"/>
      <c r="F404" s="22"/>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c r="AR404" s="138"/>
      <c r="AS404" s="138"/>
      <c r="AT404" s="138"/>
      <c r="AU404" s="138"/>
      <c r="AV404" s="138"/>
      <c r="AW404" s="138"/>
      <c r="AX404" s="138"/>
      <c r="AY404" s="138"/>
      <c r="AZ404" s="138"/>
      <c r="BA404" s="138"/>
      <c r="BB404" s="138"/>
      <c r="BC404" s="138"/>
      <c r="BD404" s="138"/>
      <c r="BE404" s="138"/>
      <c r="BF404" s="138"/>
      <c r="BG404" s="138"/>
      <c r="BH404" s="138"/>
      <c r="BI404" s="138"/>
      <c r="BJ404" s="138"/>
      <c r="BK404" s="138"/>
      <c r="BL404" s="138"/>
      <c r="BM404" s="138"/>
      <c r="BN404" s="138"/>
      <c r="BO404" s="138"/>
      <c r="BP404" s="138"/>
      <c r="BQ404" s="138"/>
      <c r="BR404" s="138"/>
      <c r="BS404" s="138"/>
      <c r="BT404" s="138"/>
      <c r="BU404" s="138"/>
      <c r="BV404" s="138"/>
      <c r="BW404" s="138"/>
      <c r="BX404" s="138"/>
      <c r="BY404" s="138"/>
      <c r="BZ404" s="138"/>
      <c r="CA404" s="138"/>
      <c r="CB404" s="138"/>
      <c r="CC404" s="138"/>
      <c r="CD404" s="138"/>
      <c r="CE404" s="138"/>
    </row>
    <row r="405" spans="1:83" ht="12" customHeight="1">
      <c r="A405" s="138"/>
      <c r="B405" s="138"/>
      <c r="C405" s="138"/>
      <c r="D405" s="22"/>
      <c r="E405" s="22"/>
      <c r="F405" s="22"/>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c r="AR405" s="138"/>
      <c r="AS405" s="138"/>
      <c r="AT405" s="138"/>
      <c r="AU405" s="138"/>
      <c r="AV405" s="138"/>
      <c r="AW405" s="138"/>
      <c r="AX405" s="138"/>
      <c r="AY405" s="138"/>
      <c r="AZ405" s="138"/>
      <c r="BA405" s="138"/>
      <c r="BB405" s="138"/>
      <c r="BC405" s="138"/>
      <c r="BD405" s="138"/>
      <c r="BE405" s="138"/>
      <c r="BF405" s="138"/>
      <c r="BG405" s="138"/>
      <c r="BH405" s="138"/>
      <c r="BI405" s="138"/>
      <c r="BJ405" s="138"/>
      <c r="BK405" s="138"/>
      <c r="BL405" s="138"/>
      <c r="BM405" s="138"/>
      <c r="BN405" s="138"/>
      <c r="BO405" s="138"/>
      <c r="BP405" s="138"/>
      <c r="BQ405" s="138"/>
      <c r="BR405" s="138"/>
      <c r="BS405" s="138"/>
      <c r="BT405" s="138"/>
      <c r="BU405" s="138"/>
      <c r="BV405" s="138"/>
      <c r="BW405" s="138"/>
      <c r="BX405" s="138"/>
      <c r="BY405" s="138"/>
      <c r="BZ405" s="138"/>
      <c r="CA405" s="138"/>
      <c r="CB405" s="138"/>
      <c r="CC405" s="138"/>
      <c r="CD405" s="138"/>
      <c r="CE405" s="138"/>
    </row>
    <row r="406" spans="1:83" ht="12" customHeight="1">
      <c r="A406" s="138"/>
      <c r="B406" s="138"/>
      <c r="C406" s="138"/>
      <c r="D406" s="22"/>
      <c r="E406" s="22"/>
      <c r="F406" s="22"/>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c r="AR406" s="138"/>
      <c r="AS406" s="138"/>
      <c r="AT406" s="138"/>
      <c r="AU406" s="138"/>
      <c r="AV406" s="138"/>
      <c r="AW406" s="138"/>
      <c r="AX406" s="138"/>
      <c r="AY406" s="138"/>
      <c r="AZ406" s="138"/>
      <c r="BA406" s="138"/>
      <c r="BB406" s="138"/>
      <c r="BC406" s="138"/>
      <c r="BD406" s="138"/>
      <c r="BE406" s="138"/>
      <c r="BF406" s="138"/>
      <c r="BG406" s="138"/>
      <c r="BH406" s="138"/>
      <c r="BI406" s="138"/>
      <c r="BJ406" s="138"/>
      <c r="BK406" s="138"/>
      <c r="BL406" s="138"/>
      <c r="BM406" s="138"/>
      <c r="BN406" s="138"/>
      <c r="BO406" s="138"/>
      <c r="BP406" s="138"/>
      <c r="BQ406" s="138"/>
      <c r="BR406" s="138"/>
      <c r="BS406" s="138"/>
      <c r="BT406" s="138"/>
      <c r="BU406" s="138"/>
      <c r="BV406" s="138"/>
      <c r="BW406" s="138"/>
      <c r="BX406" s="138"/>
      <c r="BY406" s="138"/>
      <c r="BZ406" s="138"/>
      <c r="CA406" s="138"/>
      <c r="CB406" s="138"/>
      <c r="CC406" s="138"/>
      <c r="CD406" s="138"/>
      <c r="CE406" s="138"/>
    </row>
    <row r="407" spans="1:83" ht="12" customHeight="1">
      <c r="A407" s="138"/>
      <c r="B407" s="138"/>
      <c r="C407" s="138"/>
      <c r="D407" s="22"/>
      <c r="E407" s="22"/>
      <c r="F407" s="22"/>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c r="AS407" s="138"/>
      <c r="AT407" s="138"/>
      <c r="AU407" s="138"/>
      <c r="AV407" s="138"/>
      <c r="AW407" s="138"/>
      <c r="AX407" s="138"/>
      <c r="AY407" s="138"/>
      <c r="AZ407" s="138"/>
      <c r="BA407" s="138"/>
      <c r="BB407" s="138"/>
      <c r="BC407" s="138"/>
      <c r="BD407" s="138"/>
      <c r="BE407" s="138"/>
      <c r="BF407" s="138"/>
      <c r="BG407" s="138"/>
      <c r="BH407" s="138"/>
      <c r="BI407" s="138"/>
      <c r="BJ407" s="138"/>
      <c r="BK407" s="138"/>
      <c r="BL407" s="138"/>
      <c r="BM407" s="138"/>
      <c r="BN407" s="138"/>
      <c r="BO407" s="138"/>
      <c r="BP407" s="138"/>
      <c r="BQ407" s="138"/>
      <c r="BR407" s="138"/>
      <c r="BS407" s="138"/>
      <c r="BT407" s="138"/>
      <c r="BU407" s="138"/>
      <c r="BV407" s="138"/>
      <c r="BW407" s="138"/>
      <c r="BX407" s="138"/>
      <c r="BY407" s="138"/>
      <c r="BZ407" s="138"/>
      <c r="CA407" s="138"/>
      <c r="CB407" s="138"/>
      <c r="CC407" s="138"/>
      <c r="CD407" s="138"/>
      <c r="CE407" s="138"/>
    </row>
    <row r="408" spans="1:83" ht="12" customHeight="1">
      <c r="A408" s="138"/>
      <c r="B408" s="138"/>
      <c r="C408" s="138"/>
      <c r="D408" s="22"/>
      <c r="E408" s="22"/>
      <c r="F408" s="22"/>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c r="AR408" s="138"/>
      <c r="AS408" s="138"/>
      <c r="AT408" s="138"/>
      <c r="AU408" s="138"/>
      <c r="AV408" s="138"/>
      <c r="AW408" s="138"/>
      <c r="AX408" s="138"/>
      <c r="AY408" s="138"/>
      <c r="AZ408" s="138"/>
      <c r="BA408" s="138"/>
      <c r="BB408" s="138"/>
      <c r="BC408" s="138"/>
      <c r="BD408" s="138"/>
      <c r="BE408" s="138"/>
      <c r="BF408" s="138"/>
      <c r="BG408" s="138"/>
      <c r="BH408" s="138"/>
      <c r="BI408" s="138"/>
      <c r="BJ408" s="138"/>
      <c r="BK408" s="138"/>
      <c r="BL408" s="138"/>
      <c r="BM408" s="138"/>
      <c r="BN408" s="138"/>
      <c r="BO408" s="138"/>
      <c r="BP408" s="138"/>
      <c r="BQ408" s="138"/>
      <c r="BR408" s="138"/>
      <c r="BS408" s="138"/>
      <c r="BT408" s="138"/>
      <c r="BU408" s="138"/>
      <c r="BV408" s="138"/>
      <c r="BW408" s="138"/>
      <c r="BX408" s="138"/>
      <c r="BY408" s="138"/>
      <c r="BZ408" s="138"/>
      <c r="CA408" s="138"/>
      <c r="CB408" s="138"/>
      <c r="CC408" s="138"/>
      <c r="CD408" s="138"/>
      <c r="CE408" s="138"/>
    </row>
    <row r="409" spans="1:83" ht="12" customHeight="1">
      <c r="A409" s="138"/>
      <c r="B409" s="138"/>
      <c r="C409" s="138"/>
      <c r="D409" s="22"/>
      <c r="E409" s="22"/>
      <c r="F409" s="22"/>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38"/>
      <c r="BB409" s="138"/>
      <c r="BC409" s="138"/>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c r="CA409" s="138"/>
      <c r="CB409" s="138"/>
      <c r="CC409" s="138"/>
      <c r="CD409" s="138"/>
      <c r="CE409" s="138"/>
    </row>
    <row r="410" spans="1:83" ht="12" customHeight="1">
      <c r="A410" s="138"/>
      <c r="B410" s="138"/>
      <c r="C410" s="138"/>
      <c r="D410" s="22"/>
      <c r="E410" s="22"/>
      <c r="F410" s="22"/>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c r="AR410" s="138"/>
      <c r="AS410" s="138"/>
      <c r="AT410" s="138"/>
      <c r="AU410" s="138"/>
      <c r="AV410" s="138"/>
      <c r="AW410" s="138"/>
      <c r="AX410" s="138"/>
      <c r="AY410" s="138"/>
      <c r="AZ410" s="138"/>
      <c r="BA410" s="138"/>
      <c r="BB410" s="138"/>
      <c r="BC410" s="138"/>
      <c r="BD410" s="138"/>
      <c r="BE410" s="138"/>
      <c r="BF410" s="138"/>
      <c r="BG410" s="138"/>
      <c r="BH410" s="138"/>
      <c r="BI410" s="138"/>
      <c r="BJ410" s="138"/>
      <c r="BK410" s="138"/>
      <c r="BL410" s="138"/>
      <c r="BM410" s="138"/>
      <c r="BN410" s="138"/>
      <c r="BO410" s="138"/>
      <c r="BP410" s="138"/>
      <c r="BQ410" s="138"/>
      <c r="BR410" s="138"/>
      <c r="BS410" s="138"/>
      <c r="BT410" s="138"/>
      <c r="BU410" s="138"/>
      <c r="BV410" s="138"/>
      <c r="BW410" s="138"/>
      <c r="BX410" s="138"/>
      <c r="BY410" s="138"/>
      <c r="BZ410" s="138"/>
      <c r="CA410" s="138"/>
      <c r="CB410" s="138"/>
      <c r="CC410" s="138"/>
      <c r="CD410" s="138"/>
      <c r="CE410" s="138"/>
    </row>
    <row r="411" spans="1:83" ht="12" customHeight="1">
      <c r="A411" s="138"/>
      <c r="B411" s="138"/>
      <c r="C411" s="138"/>
      <c r="D411" s="22"/>
      <c r="E411" s="22"/>
      <c r="F411" s="22"/>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c r="AR411" s="138"/>
      <c r="AS411" s="138"/>
      <c r="AT411" s="138"/>
      <c r="AU411" s="138"/>
      <c r="AV411" s="138"/>
      <c r="AW411" s="138"/>
      <c r="AX411" s="138"/>
      <c r="AY411" s="138"/>
      <c r="AZ411" s="138"/>
      <c r="BA411" s="138"/>
      <c r="BB411" s="138"/>
      <c r="BC411" s="138"/>
      <c r="BD411" s="138"/>
      <c r="BE411" s="138"/>
      <c r="BF411" s="138"/>
      <c r="BG411" s="138"/>
      <c r="BH411" s="138"/>
      <c r="BI411" s="138"/>
      <c r="BJ411" s="138"/>
      <c r="BK411" s="138"/>
      <c r="BL411" s="138"/>
      <c r="BM411" s="138"/>
      <c r="BN411" s="138"/>
      <c r="BO411" s="138"/>
      <c r="BP411" s="138"/>
      <c r="BQ411" s="138"/>
      <c r="BR411" s="138"/>
      <c r="BS411" s="138"/>
      <c r="BT411" s="138"/>
      <c r="BU411" s="138"/>
      <c r="BV411" s="138"/>
      <c r="BW411" s="138"/>
      <c r="BX411" s="138"/>
      <c r="BY411" s="138"/>
      <c r="BZ411" s="138"/>
      <c r="CA411" s="138"/>
      <c r="CB411" s="138"/>
      <c r="CC411" s="138"/>
      <c r="CD411" s="138"/>
      <c r="CE411" s="138"/>
    </row>
    <row r="412" spans="1:83" ht="12" customHeight="1">
      <c r="A412" s="138"/>
      <c r="B412" s="138"/>
      <c r="C412" s="138"/>
      <c r="D412" s="22"/>
      <c r="E412" s="22"/>
      <c r="F412" s="22"/>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c r="AR412" s="138"/>
      <c r="AS412" s="138"/>
      <c r="AT412" s="138"/>
      <c r="AU412" s="138"/>
      <c r="AV412" s="138"/>
      <c r="AW412" s="138"/>
      <c r="AX412" s="138"/>
      <c r="AY412" s="138"/>
      <c r="AZ412" s="138"/>
      <c r="BA412" s="138"/>
      <c r="BB412" s="138"/>
      <c r="BC412" s="138"/>
      <c r="BD412" s="138"/>
      <c r="BE412" s="138"/>
      <c r="BF412" s="138"/>
      <c r="BG412" s="138"/>
      <c r="BH412" s="138"/>
      <c r="BI412" s="138"/>
      <c r="BJ412" s="138"/>
      <c r="BK412" s="138"/>
      <c r="BL412" s="138"/>
      <c r="BM412" s="138"/>
      <c r="BN412" s="138"/>
      <c r="BO412" s="138"/>
      <c r="BP412" s="138"/>
      <c r="BQ412" s="138"/>
      <c r="BR412" s="138"/>
      <c r="BS412" s="138"/>
      <c r="BT412" s="138"/>
      <c r="BU412" s="138"/>
      <c r="BV412" s="138"/>
      <c r="BW412" s="138"/>
      <c r="BX412" s="138"/>
      <c r="BY412" s="138"/>
      <c r="BZ412" s="138"/>
      <c r="CA412" s="138"/>
      <c r="CB412" s="138"/>
      <c r="CC412" s="138"/>
      <c r="CD412" s="138"/>
      <c r="CE412" s="138"/>
    </row>
    <row r="413" spans="1:83" ht="12" customHeight="1">
      <c r="A413" s="138"/>
      <c r="B413" s="138"/>
      <c r="C413" s="138"/>
      <c r="D413" s="22"/>
      <c r="E413" s="22"/>
      <c r="F413" s="22"/>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c r="AS413" s="138"/>
      <c r="AT413" s="138"/>
      <c r="AU413" s="138"/>
      <c r="AV413" s="138"/>
      <c r="AW413" s="138"/>
      <c r="AX413" s="138"/>
      <c r="AY413" s="138"/>
      <c r="AZ413" s="138"/>
      <c r="BA413" s="138"/>
      <c r="BB413" s="138"/>
      <c r="BC413" s="138"/>
      <c r="BD413" s="138"/>
      <c r="BE413" s="138"/>
      <c r="BF413" s="138"/>
      <c r="BG413" s="138"/>
      <c r="BH413" s="138"/>
      <c r="BI413" s="138"/>
      <c r="BJ413" s="138"/>
      <c r="BK413" s="138"/>
      <c r="BL413" s="138"/>
      <c r="BM413" s="138"/>
      <c r="BN413" s="138"/>
      <c r="BO413" s="138"/>
      <c r="BP413" s="138"/>
      <c r="BQ413" s="138"/>
      <c r="BR413" s="138"/>
      <c r="BS413" s="138"/>
      <c r="BT413" s="138"/>
      <c r="BU413" s="138"/>
      <c r="BV413" s="138"/>
      <c r="BW413" s="138"/>
      <c r="BX413" s="138"/>
      <c r="BY413" s="138"/>
      <c r="BZ413" s="138"/>
      <c r="CA413" s="138"/>
      <c r="CB413" s="138"/>
      <c r="CC413" s="138"/>
      <c r="CD413" s="138"/>
      <c r="CE413" s="138"/>
    </row>
    <row r="414" spans="1:83" ht="12" customHeight="1">
      <c r="A414" s="138"/>
      <c r="B414" s="138"/>
      <c r="C414" s="138"/>
      <c r="D414" s="22"/>
      <c r="E414" s="22"/>
      <c r="F414" s="22"/>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c r="AS414" s="138"/>
      <c r="AT414" s="138"/>
      <c r="AU414" s="138"/>
      <c r="AV414" s="138"/>
      <c r="AW414" s="138"/>
      <c r="AX414" s="138"/>
      <c r="AY414" s="138"/>
      <c r="AZ414" s="138"/>
      <c r="BA414" s="138"/>
      <c r="BB414" s="138"/>
      <c r="BC414" s="138"/>
      <c r="BD414" s="138"/>
      <c r="BE414" s="138"/>
      <c r="BF414" s="138"/>
      <c r="BG414" s="138"/>
      <c r="BH414" s="138"/>
      <c r="BI414" s="138"/>
      <c r="BJ414" s="138"/>
      <c r="BK414" s="138"/>
      <c r="BL414" s="138"/>
      <c r="BM414" s="138"/>
      <c r="BN414" s="138"/>
      <c r="BO414" s="138"/>
      <c r="BP414" s="138"/>
      <c r="BQ414" s="138"/>
      <c r="BR414" s="138"/>
      <c r="BS414" s="138"/>
      <c r="BT414" s="138"/>
      <c r="BU414" s="138"/>
      <c r="BV414" s="138"/>
      <c r="BW414" s="138"/>
      <c r="BX414" s="138"/>
      <c r="BY414" s="138"/>
      <c r="BZ414" s="138"/>
      <c r="CA414" s="138"/>
      <c r="CB414" s="138"/>
      <c r="CC414" s="138"/>
      <c r="CD414" s="138"/>
      <c r="CE414" s="138"/>
    </row>
    <row r="415" spans="1:83" ht="12" customHeight="1">
      <c r="A415" s="138"/>
      <c r="B415" s="138"/>
      <c r="C415" s="138"/>
      <c r="D415" s="22"/>
      <c r="E415" s="22"/>
      <c r="F415" s="22"/>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38"/>
      <c r="BB415" s="138"/>
      <c r="BC415" s="138"/>
      <c r="BD415" s="138"/>
      <c r="BE415" s="138"/>
      <c r="BF415" s="138"/>
      <c r="BG415" s="138"/>
      <c r="BH415" s="138"/>
      <c r="BI415" s="138"/>
      <c r="BJ415" s="138"/>
      <c r="BK415" s="138"/>
      <c r="BL415" s="138"/>
      <c r="BM415" s="138"/>
      <c r="BN415" s="138"/>
      <c r="BO415" s="138"/>
      <c r="BP415" s="138"/>
      <c r="BQ415" s="138"/>
      <c r="BR415" s="138"/>
      <c r="BS415" s="138"/>
      <c r="BT415" s="138"/>
      <c r="BU415" s="138"/>
      <c r="BV415" s="138"/>
      <c r="BW415" s="138"/>
      <c r="BX415" s="138"/>
      <c r="BY415" s="138"/>
      <c r="BZ415" s="138"/>
      <c r="CA415" s="138"/>
      <c r="CB415" s="138"/>
      <c r="CC415" s="138"/>
      <c r="CD415" s="138"/>
      <c r="CE415" s="138"/>
    </row>
    <row r="416" spans="1:83" ht="12" customHeight="1">
      <c r="A416" s="138"/>
      <c r="B416" s="138"/>
      <c r="C416" s="138"/>
      <c r="D416" s="22"/>
      <c r="E416" s="22"/>
      <c r="F416" s="22"/>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c r="AR416" s="138"/>
      <c r="AS416" s="138"/>
      <c r="AT416" s="138"/>
      <c r="AU416" s="138"/>
      <c r="AV416" s="138"/>
      <c r="AW416" s="138"/>
      <c r="AX416" s="138"/>
      <c r="AY416" s="138"/>
      <c r="AZ416" s="138"/>
      <c r="BA416" s="138"/>
      <c r="BB416" s="138"/>
      <c r="BC416" s="138"/>
      <c r="BD416" s="138"/>
      <c r="BE416" s="138"/>
      <c r="BF416" s="138"/>
      <c r="BG416" s="138"/>
      <c r="BH416" s="138"/>
      <c r="BI416" s="138"/>
      <c r="BJ416" s="138"/>
      <c r="BK416" s="138"/>
      <c r="BL416" s="138"/>
      <c r="BM416" s="138"/>
      <c r="BN416" s="138"/>
      <c r="BO416" s="138"/>
      <c r="BP416" s="138"/>
      <c r="BQ416" s="138"/>
      <c r="BR416" s="138"/>
      <c r="BS416" s="138"/>
      <c r="BT416" s="138"/>
      <c r="BU416" s="138"/>
      <c r="BV416" s="138"/>
      <c r="BW416" s="138"/>
      <c r="BX416" s="138"/>
      <c r="BY416" s="138"/>
      <c r="BZ416" s="138"/>
      <c r="CA416" s="138"/>
      <c r="CB416" s="138"/>
      <c r="CC416" s="138"/>
      <c r="CD416" s="138"/>
      <c r="CE416" s="138"/>
    </row>
    <row r="417" spans="1:83" ht="12" customHeight="1">
      <c r="A417" s="138"/>
      <c r="B417" s="138"/>
      <c r="C417" s="138"/>
      <c r="D417" s="22"/>
      <c r="E417" s="22"/>
      <c r="F417" s="22"/>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c r="AR417" s="138"/>
      <c r="AS417" s="138"/>
      <c r="AT417" s="138"/>
      <c r="AU417" s="138"/>
      <c r="AV417" s="138"/>
      <c r="AW417" s="138"/>
      <c r="AX417" s="138"/>
      <c r="AY417" s="138"/>
      <c r="AZ417" s="138"/>
      <c r="BA417" s="138"/>
      <c r="BB417" s="138"/>
      <c r="BC417" s="138"/>
      <c r="BD417" s="138"/>
      <c r="BE417" s="138"/>
      <c r="BF417" s="138"/>
      <c r="BG417" s="138"/>
      <c r="BH417" s="138"/>
      <c r="BI417" s="138"/>
      <c r="BJ417" s="138"/>
      <c r="BK417" s="138"/>
      <c r="BL417" s="138"/>
      <c r="BM417" s="138"/>
      <c r="BN417" s="138"/>
      <c r="BO417" s="138"/>
      <c r="BP417" s="138"/>
      <c r="BQ417" s="138"/>
      <c r="BR417" s="138"/>
      <c r="BS417" s="138"/>
      <c r="BT417" s="138"/>
      <c r="BU417" s="138"/>
      <c r="BV417" s="138"/>
      <c r="BW417" s="138"/>
      <c r="BX417" s="138"/>
      <c r="BY417" s="138"/>
      <c r="BZ417" s="138"/>
      <c r="CA417" s="138"/>
      <c r="CB417" s="138"/>
      <c r="CC417" s="138"/>
      <c r="CD417" s="138"/>
      <c r="CE417" s="138"/>
    </row>
    <row r="418" spans="1:83" ht="12" customHeight="1">
      <c r="A418" s="138"/>
      <c r="B418" s="138"/>
      <c r="C418" s="138"/>
      <c r="D418" s="22"/>
      <c r="E418" s="22"/>
      <c r="F418" s="22"/>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c r="AR418" s="138"/>
      <c r="AS418" s="138"/>
      <c r="AT418" s="138"/>
      <c r="AU418" s="138"/>
      <c r="AV418" s="138"/>
      <c r="AW418" s="138"/>
      <c r="AX418" s="138"/>
      <c r="AY418" s="138"/>
      <c r="AZ418" s="138"/>
      <c r="BA418" s="138"/>
      <c r="BB418" s="138"/>
      <c r="BC418" s="138"/>
      <c r="BD418" s="138"/>
      <c r="BE418" s="138"/>
      <c r="BF418" s="138"/>
      <c r="BG418" s="138"/>
      <c r="BH418" s="138"/>
      <c r="BI418" s="138"/>
      <c r="BJ418" s="138"/>
      <c r="BK418" s="138"/>
      <c r="BL418" s="138"/>
      <c r="BM418" s="138"/>
      <c r="BN418" s="138"/>
      <c r="BO418" s="138"/>
      <c r="BP418" s="138"/>
      <c r="BQ418" s="138"/>
      <c r="BR418" s="138"/>
      <c r="BS418" s="138"/>
      <c r="BT418" s="138"/>
      <c r="BU418" s="138"/>
      <c r="BV418" s="138"/>
      <c r="BW418" s="138"/>
      <c r="BX418" s="138"/>
      <c r="BY418" s="138"/>
      <c r="BZ418" s="138"/>
      <c r="CA418" s="138"/>
      <c r="CB418" s="138"/>
      <c r="CC418" s="138"/>
      <c r="CD418" s="138"/>
      <c r="CE418" s="138"/>
    </row>
    <row r="419" spans="1:83" ht="12" customHeight="1">
      <c r="A419" s="138"/>
      <c r="B419" s="138"/>
      <c r="C419" s="138"/>
      <c r="D419" s="22"/>
      <c r="E419" s="22"/>
      <c r="F419" s="22"/>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c r="AS419" s="138"/>
      <c r="AT419" s="138"/>
      <c r="AU419" s="138"/>
      <c r="AV419" s="138"/>
      <c r="AW419" s="138"/>
      <c r="AX419" s="138"/>
      <c r="AY419" s="138"/>
      <c r="AZ419" s="138"/>
      <c r="BA419" s="138"/>
      <c r="BB419" s="138"/>
      <c r="BC419" s="138"/>
      <c r="BD419" s="138"/>
      <c r="BE419" s="138"/>
      <c r="BF419" s="138"/>
      <c r="BG419" s="138"/>
      <c r="BH419" s="138"/>
      <c r="BI419" s="138"/>
      <c r="BJ419" s="138"/>
      <c r="BK419" s="138"/>
      <c r="BL419" s="138"/>
      <c r="BM419" s="138"/>
      <c r="BN419" s="138"/>
      <c r="BO419" s="138"/>
      <c r="BP419" s="138"/>
      <c r="BQ419" s="138"/>
      <c r="BR419" s="138"/>
      <c r="BS419" s="138"/>
      <c r="BT419" s="138"/>
      <c r="BU419" s="138"/>
      <c r="BV419" s="138"/>
      <c r="BW419" s="138"/>
      <c r="BX419" s="138"/>
      <c r="BY419" s="138"/>
      <c r="BZ419" s="138"/>
      <c r="CA419" s="138"/>
      <c r="CB419" s="138"/>
      <c r="CC419" s="138"/>
      <c r="CD419" s="138"/>
      <c r="CE419" s="138"/>
    </row>
    <row r="420" spans="1:83" ht="12" customHeight="1">
      <c r="A420" s="138"/>
      <c r="B420" s="138"/>
      <c r="C420" s="138"/>
      <c r="D420" s="22"/>
      <c r="E420" s="22"/>
      <c r="F420" s="22"/>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c r="AR420" s="138"/>
      <c r="AS420" s="138"/>
      <c r="AT420" s="138"/>
      <c r="AU420" s="138"/>
      <c r="AV420" s="138"/>
      <c r="AW420" s="138"/>
      <c r="AX420" s="138"/>
      <c r="AY420" s="138"/>
      <c r="AZ420" s="138"/>
      <c r="BA420" s="138"/>
      <c r="BB420" s="138"/>
      <c r="BC420" s="138"/>
      <c r="BD420" s="138"/>
      <c r="BE420" s="138"/>
      <c r="BF420" s="138"/>
      <c r="BG420" s="138"/>
      <c r="BH420" s="138"/>
      <c r="BI420" s="138"/>
      <c r="BJ420" s="138"/>
      <c r="BK420" s="138"/>
      <c r="BL420" s="138"/>
      <c r="BM420" s="138"/>
      <c r="BN420" s="138"/>
      <c r="BO420" s="138"/>
      <c r="BP420" s="138"/>
      <c r="BQ420" s="138"/>
      <c r="BR420" s="138"/>
      <c r="BS420" s="138"/>
      <c r="BT420" s="138"/>
      <c r="BU420" s="138"/>
      <c r="BV420" s="138"/>
      <c r="BW420" s="138"/>
      <c r="BX420" s="138"/>
      <c r="BY420" s="138"/>
      <c r="BZ420" s="138"/>
      <c r="CA420" s="138"/>
      <c r="CB420" s="138"/>
      <c r="CC420" s="138"/>
      <c r="CD420" s="138"/>
      <c r="CE420" s="138"/>
    </row>
    <row r="421" spans="1:83" ht="12" customHeight="1">
      <c r="A421" s="138"/>
      <c r="B421" s="138"/>
      <c r="C421" s="138"/>
      <c r="D421" s="22"/>
      <c r="E421" s="22"/>
      <c r="F421" s="22"/>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38"/>
      <c r="BB421" s="138"/>
      <c r="BC421" s="138"/>
      <c r="BD421" s="138"/>
      <c r="BE421" s="138"/>
      <c r="BF421" s="138"/>
      <c r="BG421" s="138"/>
      <c r="BH421" s="138"/>
      <c r="BI421" s="138"/>
      <c r="BJ421" s="138"/>
      <c r="BK421" s="138"/>
      <c r="BL421" s="138"/>
      <c r="BM421" s="138"/>
      <c r="BN421" s="138"/>
      <c r="BO421" s="138"/>
      <c r="BP421" s="138"/>
      <c r="BQ421" s="138"/>
      <c r="BR421" s="138"/>
      <c r="BS421" s="138"/>
      <c r="BT421" s="138"/>
      <c r="BU421" s="138"/>
      <c r="BV421" s="138"/>
      <c r="BW421" s="138"/>
      <c r="BX421" s="138"/>
      <c r="BY421" s="138"/>
      <c r="BZ421" s="138"/>
      <c r="CA421" s="138"/>
      <c r="CB421" s="138"/>
      <c r="CC421" s="138"/>
      <c r="CD421" s="138"/>
      <c r="CE421" s="138"/>
    </row>
    <row r="422" spans="1:83" ht="12" customHeight="1">
      <c r="A422" s="138"/>
      <c r="B422" s="138"/>
      <c r="C422" s="138"/>
      <c r="D422" s="22"/>
      <c r="E422" s="22"/>
      <c r="F422" s="22"/>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c r="AR422" s="138"/>
      <c r="AS422" s="138"/>
      <c r="AT422" s="138"/>
      <c r="AU422" s="138"/>
      <c r="AV422" s="138"/>
      <c r="AW422" s="138"/>
      <c r="AX422" s="138"/>
      <c r="AY422" s="138"/>
      <c r="AZ422" s="138"/>
      <c r="BA422" s="138"/>
      <c r="BB422" s="138"/>
      <c r="BC422" s="138"/>
      <c r="BD422" s="138"/>
      <c r="BE422" s="138"/>
      <c r="BF422" s="138"/>
      <c r="BG422" s="138"/>
      <c r="BH422" s="138"/>
      <c r="BI422" s="138"/>
      <c r="BJ422" s="138"/>
      <c r="BK422" s="138"/>
      <c r="BL422" s="138"/>
      <c r="BM422" s="138"/>
      <c r="BN422" s="138"/>
      <c r="BO422" s="138"/>
      <c r="BP422" s="138"/>
      <c r="BQ422" s="138"/>
      <c r="BR422" s="138"/>
      <c r="BS422" s="138"/>
      <c r="BT422" s="138"/>
      <c r="BU422" s="138"/>
      <c r="BV422" s="138"/>
      <c r="BW422" s="138"/>
      <c r="BX422" s="138"/>
      <c r="BY422" s="138"/>
      <c r="BZ422" s="138"/>
      <c r="CA422" s="138"/>
      <c r="CB422" s="138"/>
      <c r="CC422" s="138"/>
      <c r="CD422" s="138"/>
      <c r="CE422" s="138"/>
    </row>
    <row r="423" spans="1:83" ht="12" customHeight="1">
      <c r="A423" s="138"/>
      <c r="B423" s="138"/>
      <c r="C423" s="138"/>
      <c r="D423" s="22"/>
      <c r="E423" s="22"/>
      <c r="F423" s="22"/>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c r="AS423" s="138"/>
      <c r="AT423" s="138"/>
      <c r="AU423" s="138"/>
      <c r="AV423" s="138"/>
      <c r="AW423" s="138"/>
      <c r="AX423" s="138"/>
      <c r="AY423" s="138"/>
      <c r="AZ423" s="138"/>
      <c r="BA423" s="138"/>
      <c r="BB423" s="138"/>
      <c r="BC423" s="138"/>
      <c r="BD423" s="138"/>
      <c r="BE423" s="138"/>
      <c r="BF423" s="138"/>
      <c r="BG423" s="138"/>
      <c r="BH423" s="138"/>
      <c r="BI423" s="138"/>
      <c r="BJ423" s="138"/>
      <c r="BK423" s="138"/>
      <c r="BL423" s="138"/>
      <c r="BM423" s="138"/>
      <c r="BN423" s="138"/>
      <c r="BO423" s="138"/>
      <c r="BP423" s="138"/>
      <c r="BQ423" s="138"/>
      <c r="BR423" s="138"/>
      <c r="BS423" s="138"/>
      <c r="BT423" s="138"/>
      <c r="BU423" s="138"/>
      <c r="BV423" s="138"/>
      <c r="BW423" s="138"/>
      <c r="BX423" s="138"/>
      <c r="BY423" s="138"/>
      <c r="BZ423" s="138"/>
      <c r="CA423" s="138"/>
      <c r="CB423" s="138"/>
      <c r="CC423" s="138"/>
      <c r="CD423" s="138"/>
      <c r="CE423" s="138"/>
    </row>
    <row r="424" spans="1:83" ht="12" customHeight="1">
      <c r="A424" s="138"/>
      <c r="B424" s="138"/>
      <c r="C424" s="138"/>
      <c r="D424" s="22"/>
      <c r="E424" s="22"/>
      <c r="F424" s="22"/>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8"/>
      <c r="AY424" s="138"/>
      <c r="AZ424" s="138"/>
      <c r="BA424" s="138"/>
      <c r="BB424" s="138"/>
      <c r="BC424" s="138"/>
      <c r="BD424" s="138"/>
      <c r="BE424" s="138"/>
      <c r="BF424" s="138"/>
      <c r="BG424" s="138"/>
      <c r="BH424" s="138"/>
      <c r="BI424" s="138"/>
      <c r="BJ424" s="138"/>
      <c r="BK424" s="138"/>
      <c r="BL424" s="138"/>
      <c r="BM424" s="138"/>
      <c r="BN424" s="138"/>
      <c r="BO424" s="138"/>
      <c r="BP424" s="138"/>
      <c r="BQ424" s="138"/>
      <c r="BR424" s="138"/>
      <c r="BS424" s="138"/>
      <c r="BT424" s="138"/>
      <c r="BU424" s="138"/>
      <c r="BV424" s="138"/>
      <c r="BW424" s="138"/>
      <c r="BX424" s="138"/>
      <c r="BY424" s="138"/>
      <c r="BZ424" s="138"/>
      <c r="CA424" s="138"/>
      <c r="CB424" s="138"/>
      <c r="CC424" s="138"/>
      <c r="CD424" s="138"/>
      <c r="CE424" s="138"/>
    </row>
    <row r="425" spans="1:83" ht="12" customHeight="1">
      <c r="A425" s="138"/>
      <c r="B425" s="138"/>
      <c r="C425" s="138"/>
      <c r="D425" s="22"/>
      <c r="E425" s="22"/>
      <c r="F425" s="22"/>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c r="CA425" s="138"/>
      <c r="CB425" s="138"/>
      <c r="CC425" s="138"/>
      <c r="CD425" s="138"/>
      <c r="CE425" s="138"/>
    </row>
    <row r="426" spans="1:83" ht="12" customHeight="1">
      <c r="A426" s="138"/>
      <c r="B426" s="138"/>
      <c r="C426" s="138"/>
      <c r="D426" s="22"/>
      <c r="E426" s="22"/>
      <c r="F426" s="22"/>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38"/>
      <c r="BB426" s="138"/>
      <c r="BC426" s="138"/>
      <c r="BD426" s="138"/>
      <c r="BE426" s="138"/>
      <c r="BF426" s="138"/>
      <c r="BG426" s="138"/>
      <c r="BH426" s="138"/>
      <c r="BI426" s="138"/>
      <c r="BJ426" s="138"/>
      <c r="BK426" s="138"/>
      <c r="BL426" s="138"/>
      <c r="BM426" s="138"/>
      <c r="BN426" s="138"/>
      <c r="BO426" s="138"/>
      <c r="BP426" s="138"/>
      <c r="BQ426" s="138"/>
      <c r="BR426" s="138"/>
      <c r="BS426" s="138"/>
      <c r="BT426" s="138"/>
      <c r="BU426" s="138"/>
      <c r="BV426" s="138"/>
      <c r="BW426" s="138"/>
      <c r="BX426" s="138"/>
      <c r="BY426" s="138"/>
      <c r="BZ426" s="138"/>
      <c r="CA426" s="138"/>
      <c r="CB426" s="138"/>
      <c r="CC426" s="138"/>
      <c r="CD426" s="138"/>
      <c r="CE426" s="138"/>
    </row>
    <row r="427" spans="1:83" ht="12" customHeight="1">
      <c r="A427" s="138"/>
      <c r="B427" s="138"/>
      <c r="C427" s="138"/>
      <c r="D427" s="22"/>
      <c r="E427" s="22"/>
      <c r="F427" s="22"/>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row>
    <row r="428" spans="1:83" ht="12" customHeight="1">
      <c r="A428" s="138"/>
      <c r="B428" s="138"/>
      <c r="C428" s="138"/>
      <c r="D428" s="22"/>
      <c r="E428" s="22"/>
      <c r="F428" s="22"/>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38"/>
      <c r="BB428" s="138"/>
      <c r="BC428" s="138"/>
      <c r="BD428" s="138"/>
      <c r="BE428" s="138"/>
      <c r="BF428" s="138"/>
      <c r="BG428" s="138"/>
      <c r="BH428" s="138"/>
      <c r="BI428" s="138"/>
      <c r="BJ428" s="138"/>
      <c r="BK428" s="138"/>
      <c r="BL428" s="138"/>
      <c r="BM428" s="138"/>
      <c r="BN428" s="138"/>
      <c r="BO428" s="138"/>
      <c r="BP428" s="138"/>
      <c r="BQ428" s="138"/>
      <c r="BR428" s="138"/>
      <c r="BS428" s="138"/>
      <c r="BT428" s="138"/>
      <c r="BU428" s="138"/>
      <c r="BV428" s="138"/>
      <c r="BW428" s="138"/>
      <c r="BX428" s="138"/>
      <c r="BY428" s="138"/>
      <c r="BZ428" s="138"/>
      <c r="CA428" s="138"/>
      <c r="CB428" s="138"/>
      <c r="CC428" s="138"/>
      <c r="CD428" s="138"/>
      <c r="CE428" s="138"/>
    </row>
    <row r="429" spans="1:83" ht="12" customHeight="1">
      <c r="A429" s="138"/>
      <c r="B429" s="138"/>
      <c r="C429" s="138"/>
      <c r="D429" s="22"/>
      <c r="E429" s="22"/>
      <c r="F429" s="22"/>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38"/>
      <c r="BB429" s="138"/>
      <c r="BC429" s="138"/>
      <c r="BD429" s="138"/>
      <c r="BE429" s="138"/>
      <c r="BF429" s="138"/>
      <c r="BG429" s="138"/>
      <c r="BH429" s="138"/>
      <c r="BI429" s="138"/>
      <c r="BJ429" s="138"/>
      <c r="BK429" s="138"/>
      <c r="BL429" s="138"/>
      <c r="BM429" s="138"/>
      <c r="BN429" s="138"/>
      <c r="BO429" s="138"/>
      <c r="BP429" s="138"/>
      <c r="BQ429" s="138"/>
      <c r="BR429" s="138"/>
      <c r="BS429" s="138"/>
      <c r="BT429" s="138"/>
      <c r="BU429" s="138"/>
      <c r="BV429" s="138"/>
      <c r="BW429" s="138"/>
      <c r="BX429" s="138"/>
      <c r="BY429" s="138"/>
      <c r="BZ429" s="138"/>
      <c r="CA429" s="138"/>
      <c r="CB429" s="138"/>
      <c r="CC429" s="138"/>
      <c r="CD429" s="138"/>
      <c r="CE429" s="138"/>
    </row>
    <row r="430" spans="1:83" ht="12" customHeight="1">
      <c r="A430" s="138"/>
      <c r="B430" s="138"/>
      <c r="C430" s="138"/>
      <c r="D430" s="22"/>
      <c r="E430" s="22"/>
      <c r="F430" s="22"/>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38"/>
      <c r="BB430" s="138"/>
      <c r="BC430" s="138"/>
      <c r="BD430" s="138"/>
      <c r="BE430" s="138"/>
      <c r="BF430" s="138"/>
      <c r="BG430" s="138"/>
      <c r="BH430" s="138"/>
      <c r="BI430" s="138"/>
      <c r="BJ430" s="138"/>
      <c r="BK430" s="138"/>
      <c r="BL430" s="138"/>
      <c r="BM430" s="138"/>
      <c r="BN430" s="138"/>
      <c r="BO430" s="138"/>
      <c r="BP430" s="138"/>
      <c r="BQ430" s="138"/>
      <c r="BR430" s="138"/>
      <c r="BS430" s="138"/>
      <c r="BT430" s="138"/>
      <c r="BU430" s="138"/>
      <c r="BV430" s="138"/>
      <c r="BW430" s="138"/>
      <c r="BX430" s="138"/>
      <c r="BY430" s="138"/>
      <c r="BZ430" s="138"/>
      <c r="CA430" s="138"/>
      <c r="CB430" s="138"/>
      <c r="CC430" s="138"/>
      <c r="CD430" s="138"/>
      <c r="CE430" s="138"/>
    </row>
    <row r="431" spans="1:83" ht="12" customHeight="1">
      <c r="A431" s="138"/>
      <c r="B431" s="138"/>
      <c r="C431" s="138"/>
      <c r="D431" s="22"/>
      <c r="E431" s="22"/>
      <c r="F431" s="22"/>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38"/>
      <c r="BB431" s="138"/>
      <c r="BC431" s="138"/>
      <c r="BD431" s="138"/>
      <c r="BE431" s="138"/>
      <c r="BF431" s="138"/>
      <c r="BG431" s="138"/>
      <c r="BH431" s="138"/>
      <c r="BI431" s="138"/>
      <c r="BJ431" s="138"/>
      <c r="BK431" s="138"/>
      <c r="BL431" s="138"/>
      <c r="BM431" s="138"/>
      <c r="BN431" s="138"/>
      <c r="BO431" s="138"/>
      <c r="BP431" s="138"/>
      <c r="BQ431" s="138"/>
      <c r="BR431" s="138"/>
      <c r="BS431" s="138"/>
      <c r="BT431" s="138"/>
      <c r="BU431" s="138"/>
      <c r="BV431" s="138"/>
      <c r="BW431" s="138"/>
      <c r="BX431" s="138"/>
      <c r="BY431" s="138"/>
      <c r="BZ431" s="138"/>
      <c r="CA431" s="138"/>
      <c r="CB431" s="138"/>
      <c r="CC431" s="138"/>
      <c r="CD431" s="138"/>
      <c r="CE431" s="138"/>
    </row>
    <row r="432" spans="1:83" ht="12" customHeight="1">
      <c r="A432" s="138"/>
      <c r="B432" s="138"/>
      <c r="C432" s="138"/>
      <c r="D432" s="22"/>
      <c r="E432" s="22"/>
      <c r="F432" s="22"/>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38"/>
      <c r="BB432" s="138"/>
      <c r="BC432" s="138"/>
      <c r="BD432" s="138"/>
      <c r="BE432" s="138"/>
      <c r="BF432" s="138"/>
      <c r="BG432" s="138"/>
      <c r="BH432" s="138"/>
      <c r="BI432" s="138"/>
      <c r="BJ432" s="138"/>
      <c r="BK432" s="138"/>
      <c r="BL432" s="138"/>
      <c r="BM432" s="138"/>
      <c r="BN432" s="138"/>
      <c r="BO432" s="138"/>
      <c r="BP432" s="138"/>
      <c r="BQ432" s="138"/>
      <c r="BR432" s="138"/>
      <c r="BS432" s="138"/>
      <c r="BT432" s="138"/>
      <c r="BU432" s="138"/>
      <c r="BV432" s="138"/>
      <c r="BW432" s="138"/>
      <c r="BX432" s="138"/>
      <c r="BY432" s="138"/>
      <c r="BZ432" s="138"/>
      <c r="CA432" s="138"/>
      <c r="CB432" s="138"/>
      <c r="CC432" s="138"/>
      <c r="CD432" s="138"/>
      <c r="CE432" s="138"/>
    </row>
    <row r="433" spans="1:83" ht="12" customHeight="1">
      <c r="A433" s="138"/>
      <c r="B433" s="138"/>
      <c r="C433" s="138"/>
      <c r="D433" s="22"/>
      <c r="E433" s="22"/>
      <c r="F433" s="22"/>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c r="CA433" s="138"/>
      <c r="CB433" s="138"/>
      <c r="CC433" s="138"/>
      <c r="CD433" s="138"/>
      <c r="CE433" s="138"/>
    </row>
    <row r="434" spans="1:83" ht="12" customHeight="1">
      <c r="A434" s="138"/>
      <c r="B434" s="138"/>
      <c r="C434" s="138"/>
      <c r="D434" s="22"/>
      <c r="E434" s="22"/>
      <c r="F434" s="22"/>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38"/>
      <c r="BB434" s="138"/>
      <c r="BC434" s="138"/>
      <c r="BD434" s="138"/>
      <c r="BE434" s="138"/>
      <c r="BF434" s="138"/>
      <c r="BG434" s="138"/>
      <c r="BH434" s="138"/>
      <c r="BI434" s="138"/>
      <c r="BJ434" s="138"/>
      <c r="BK434" s="138"/>
      <c r="BL434" s="138"/>
      <c r="BM434" s="138"/>
      <c r="BN434" s="138"/>
      <c r="BO434" s="138"/>
      <c r="BP434" s="138"/>
      <c r="BQ434" s="138"/>
      <c r="BR434" s="138"/>
      <c r="BS434" s="138"/>
      <c r="BT434" s="138"/>
      <c r="BU434" s="138"/>
      <c r="BV434" s="138"/>
      <c r="BW434" s="138"/>
      <c r="BX434" s="138"/>
      <c r="BY434" s="138"/>
      <c r="BZ434" s="138"/>
      <c r="CA434" s="138"/>
      <c r="CB434" s="138"/>
      <c r="CC434" s="138"/>
      <c r="CD434" s="138"/>
      <c r="CE434" s="138"/>
    </row>
    <row r="435" spans="1:83" ht="12" customHeight="1">
      <c r="A435" s="138"/>
      <c r="B435" s="138"/>
      <c r="C435" s="138"/>
      <c r="D435" s="22"/>
      <c r="E435" s="22"/>
      <c r="F435" s="22"/>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row>
    <row r="436" spans="1:83" ht="12" customHeight="1">
      <c r="A436" s="138"/>
      <c r="B436" s="138"/>
      <c r="C436" s="138"/>
      <c r="D436" s="22"/>
      <c r="E436" s="22"/>
      <c r="F436" s="22"/>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38"/>
      <c r="BB436" s="138"/>
      <c r="BC436" s="138"/>
      <c r="BD436" s="138"/>
      <c r="BE436" s="138"/>
      <c r="BF436" s="138"/>
      <c r="BG436" s="138"/>
      <c r="BH436" s="138"/>
      <c r="BI436" s="138"/>
      <c r="BJ436" s="138"/>
      <c r="BK436" s="138"/>
      <c r="BL436" s="138"/>
      <c r="BM436" s="138"/>
      <c r="BN436" s="138"/>
      <c r="BO436" s="138"/>
      <c r="BP436" s="138"/>
      <c r="BQ436" s="138"/>
      <c r="BR436" s="138"/>
      <c r="BS436" s="138"/>
      <c r="BT436" s="138"/>
      <c r="BU436" s="138"/>
      <c r="BV436" s="138"/>
      <c r="BW436" s="138"/>
      <c r="BX436" s="138"/>
      <c r="BY436" s="138"/>
      <c r="BZ436" s="138"/>
      <c r="CA436" s="138"/>
      <c r="CB436" s="138"/>
      <c r="CC436" s="138"/>
      <c r="CD436" s="138"/>
      <c r="CE436" s="138"/>
    </row>
    <row r="437" spans="1:83" ht="12" customHeight="1">
      <c r="A437" s="138"/>
      <c r="B437" s="138"/>
      <c r="C437" s="138"/>
      <c r="D437" s="22"/>
      <c r="E437" s="22"/>
      <c r="F437" s="22"/>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38"/>
      <c r="BB437" s="138"/>
      <c r="BC437" s="138"/>
      <c r="BD437" s="138"/>
      <c r="BE437" s="138"/>
      <c r="BF437" s="138"/>
      <c r="BG437" s="138"/>
      <c r="BH437" s="138"/>
      <c r="BI437" s="138"/>
      <c r="BJ437" s="138"/>
      <c r="BK437" s="138"/>
      <c r="BL437" s="138"/>
      <c r="BM437" s="138"/>
      <c r="BN437" s="138"/>
      <c r="BO437" s="138"/>
      <c r="BP437" s="138"/>
      <c r="BQ437" s="138"/>
      <c r="BR437" s="138"/>
      <c r="BS437" s="138"/>
      <c r="BT437" s="138"/>
      <c r="BU437" s="138"/>
      <c r="BV437" s="138"/>
      <c r="BW437" s="138"/>
      <c r="BX437" s="138"/>
      <c r="BY437" s="138"/>
      <c r="BZ437" s="138"/>
      <c r="CA437" s="138"/>
      <c r="CB437" s="138"/>
      <c r="CC437" s="138"/>
      <c r="CD437" s="138"/>
      <c r="CE437" s="138"/>
    </row>
    <row r="438" spans="1:83" ht="12" customHeight="1">
      <c r="A438" s="138"/>
      <c r="B438" s="138"/>
      <c r="C438" s="138"/>
      <c r="D438" s="22"/>
      <c r="E438" s="22"/>
      <c r="F438" s="22"/>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38"/>
      <c r="BB438" s="138"/>
      <c r="BC438" s="138"/>
      <c r="BD438" s="138"/>
      <c r="BE438" s="138"/>
      <c r="BF438" s="138"/>
      <c r="BG438" s="138"/>
      <c r="BH438" s="138"/>
      <c r="BI438" s="138"/>
      <c r="BJ438" s="138"/>
      <c r="BK438" s="138"/>
      <c r="BL438" s="138"/>
      <c r="BM438" s="138"/>
      <c r="BN438" s="138"/>
      <c r="BO438" s="138"/>
      <c r="BP438" s="138"/>
      <c r="BQ438" s="138"/>
      <c r="BR438" s="138"/>
      <c r="BS438" s="138"/>
      <c r="BT438" s="138"/>
      <c r="BU438" s="138"/>
      <c r="BV438" s="138"/>
      <c r="BW438" s="138"/>
      <c r="BX438" s="138"/>
      <c r="BY438" s="138"/>
      <c r="BZ438" s="138"/>
      <c r="CA438" s="138"/>
      <c r="CB438" s="138"/>
      <c r="CC438" s="138"/>
      <c r="CD438" s="138"/>
      <c r="CE438" s="138"/>
    </row>
    <row r="439" spans="1:83" ht="12" customHeight="1">
      <c r="A439" s="138"/>
      <c r="B439" s="138"/>
      <c r="C439" s="138"/>
      <c r="D439" s="22"/>
      <c r="E439" s="22"/>
      <c r="F439" s="22"/>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c r="CA439" s="138"/>
      <c r="CB439" s="138"/>
      <c r="CC439" s="138"/>
      <c r="CD439" s="138"/>
      <c r="CE439" s="138"/>
    </row>
    <row r="440" spans="1:83" ht="12" customHeight="1">
      <c r="A440" s="138"/>
      <c r="B440" s="138"/>
      <c r="C440" s="138"/>
      <c r="D440" s="22"/>
      <c r="E440" s="22"/>
      <c r="F440" s="22"/>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38"/>
      <c r="BB440" s="138"/>
      <c r="BC440" s="138"/>
      <c r="BD440" s="138"/>
      <c r="BE440" s="138"/>
      <c r="BF440" s="138"/>
      <c r="BG440" s="138"/>
      <c r="BH440" s="138"/>
      <c r="BI440" s="138"/>
      <c r="BJ440" s="138"/>
      <c r="BK440" s="138"/>
      <c r="BL440" s="138"/>
      <c r="BM440" s="138"/>
      <c r="BN440" s="138"/>
      <c r="BO440" s="138"/>
      <c r="BP440" s="138"/>
      <c r="BQ440" s="138"/>
      <c r="BR440" s="138"/>
      <c r="BS440" s="138"/>
      <c r="BT440" s="138"/>
      <c r="BU440" s="138"/>
      <c r="BV440" s="138"/>
      <c r="BW440" s="138"/>
      <c r="BX440" s="138"/>
      <c r="BY440" s="138"/>
      <c r="BZ440" s="138"/>
      <c r="CA440" s="138"/>
      <c r="CB440" s="138"/>
      <c r="CC440" s="138"/>
      <c r="CD440" s="138"/>
      <c r="CE440" s="138"/>
    </row>
    <row r="441" spans="1:83" ht="12" customHeight="1">
      <c r="A441" s="138"/>
      <c r="B441" s="138"/>
      <c r="C441" s="138"/>
      <c r="D441" s="22"/>
      <c r="E441" s="22"/>
      <c r="F441" s="22"/>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row>
    <row r="442" spans="1:83" ht="12" customHeight="1">
      <c r="A442" s="138"/>
      <c r="B442" s="138"/>
      <c r="C442" s="138"/>
      <c r="D442" s="22"/>
      <c r="E442" s="22"/>
      <c r="F442" s="22"/>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38"/>
      <c r="BB442" s="138"/>
      <c r="BC442" s="138"/>
      <c r="BD442" s="138"/>
      <c r="BE442" s="138"/>
      <c r="BF442" s="138"/>
      <c r="BG442" s="138"/>
      <c r="BH442" s="138"/>
      <c r="BI442" s="138"/>
      <c r="BJ442" s="138"/>
      <c r="BK442" s="138"/>
      <c r="BL442" s="138"/>
      <c r="BM442" s="138"/>
      <c r="BN442" s="138"/>
      <c r="BO442" s="138"/>
      <c r="BP442" s="138"/>
      <c r="BQ442" s="138"/>
      <c r="BR442" s="138"/>
      <c r="BS442" s="138"/>
      <c r="BT442" s="138"/>
      <c r="BU442" s="138"/>
      <c r="BV442" s="138"/>
      <c r="BW442" s="138"/>
      <c r="BX442" s="138"/>
      <c r="BY442" s="138"/>
      <c r="BZ442" s="138"/>
      <c r="CA442" s="138"/>
      <c r="CB442" s="138"/>
      <c r="CC442" s="138"/>
      <c r="CD442" s="138"/>
      <c r="CE442" s="138"/>
    </row>
    <row r="443" spans="1:83" ht="12" customHeight="1">
      <c r="A443" s="138"/>
      <c r="B443" s="138"/>
      <c r="C443" s="138"/>
      <c r="D443" s="22"/>
      <c r="E443" s="22"/>
      <c r="F443" s="22"/>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38"/>
      <c r="BB443" s="138"/>
      <c r="BC443" s="138"/>
      <c r="BD443" s="138"/>
      <c r="BE443" s="138"/>
      <c r="BF443" s="138"/>
      <c r="BG443" s="138"/>
      <c r="BH443" s="138"/>
      <c r="BI443" s="138"/>
      <c r="BJ443" s="138"/>
      <c r="BK443" s="138"/>
      <c r="BL443" s="138"/>
      <c r="BM443" s="138"/>
      <c r="BN443" s="138"/>
      <c r="BO443" s="138"/>
      <c r="BP443" s="138"/>
      <c r="BQ443" s="138"/>
      <c r="BR443" s="138"/>
      <c r="BS443" s="138"/>
      <c r="BT443" s="138"/>
      <c r="BU443" s="138"/>
      <c r="BV443" s="138"/>
      <c r="BW443" s="138"/>
      <c r="BX443" s="138"/>
      <c r="BY443" s="138"/>
      <c r="BZ443" s="138"/>
      <c r="CA443" s="138"/>
      <c r="CB443" s="138"/>
      <c r="CC443" s="138"/>
      <c r="CD443" s="138"/>
      <c r="CE443" s="138"/>
    </row>
    <row r="444" spans="1:83" ht="12" customHeight="1">
      <c r="A444" s="138"/>
      <c r="B444" s="138"/>
      <c r="C444" s="138"/>
      <c r="D444" s="22"/>
      <c r="E444" s="22"/>
      <c r="F444" s="22"/>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38"/>
      <c r="BB444" s="138"/>
      <c r="BC444" s="138"/>
      <c r="BD444" s="138"/>
      <c r="BE444" s="138"/>
      <c r="BF444" s="138"/>
      <c r="BG444" s="138"/>
      <c r="BH444" s="138"/>
      <c r="BI444" s="138"/>
      <c r="BJ444" s="138"/>
      <c r="BK444" s="138"/>
      <c r="BL444" s="138"/>
      <c r="BM444" s="138"/>
      <c r="BN444" s="138"/>
      <c r="BO444" s="138"/>
      <c r="BP444" s="138"/>
      <c r="BQ444" s="138"/>
      <c r="BR444" s="138"/>
      <c r="BS444" s="138"/>
      <c r="BT444" s="138"/>
      <c r="BU444" s="138"/>
      <c r="BV444" s="138"/>
      <c r="BW444" s="138"/>
      <c r="BX444" s="138"/>
      <c r="BY444" s="138"/>
      <c r="BZ444" s="138"/>
      <c r="CA444" s="138"/>
      <c r="CB444" s="138"/>
      <c r="CC444" s="138"/>
      <c r="CD444" s="138"/>
      <c r="CE444" s="138"/>
    </row>
    <row r="445" spans="1:83" ht="12" customHeight="1">
      <c r="A445" s="138"/>
      <c r="B445" s="138"/>
      <c r="C445" s="138"/>
      <c r="D445" s="22"/>
      <c r="E445" s="22"/>
      <c r="F445" s="22"/>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c r="CA445" s="138"/>
      <c r="CB445" s="138"/>
      <c r="CC445" s="138"/>
      <c r="CD445" s="138"/>
      <c r="CE445" s="138"/>
    </row>
    <row r="446" spans="1:83" ht="12" customHeight="1">
      <c r="A446" s="138"/>
      <c r="B446" s="138"/>
      <c r="C446" s="138"/>
      <c r="D446" s="22"/>
      <c r="E446" s="22"/>
      <c r="F446" s="22"/>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38"/>
      <c r="BB446" s="138"/>
      <c r="BC446" s="138"/>
      <c r="BD446" s="138"/>
      <c r="BE446" s="138"/>
      <c r="BF446" s="138"/>
      <c r="BG446" s="138"/>
      <c r="BH446" s="138"/>
      <c r="BI446" s="138"/>
      <c r="BJ446" s="138"/>
      <c r="BK446" s="138"/>
      <c r="BL446" s="138"/>
      <c r="BM446" s="138"/>
      <c r="BN446" s="138"/>
      <c r="BO446" s="138"/>
      <c r="BP446" s="138"/>
      <c r="BQ446" s="138"/>
      <c r="BR446" s="138"/>
      <c r="BS446" s="138"/>
      <c r="BT446" s="138"/>
      <c r="BU446" s="138"/>
      <c r="BV446" s="138"/>
      <c r="BW446" s="138"/>
      <c r="BX446" s="138"/>
      <c r="BY446" s="138"/>
      <c r="BZ446" s="138"/>
      <c r="CA446" s="138"/>
      <c r="CB446" s="138"/>
      <c r="CC446" s="138"/>
      <c r="CD446" s="138"/>
      <c r="CE446" s="138"/>
    </row>
    <row r="447" spans="1:83" ht="12" customHeight="1">
      <c r="A447" s="138"/>
      <c r="B447" s="138"/>
      <c r="C447" s="138"/>
      <c r="D447" s="22"/>
      <c r="E447" s="22"/>
      <c r="F447" s="22"/>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row>
    <row r="448" spans="1:83" ht="12" customHeight="1">
      <c r="A448" s="138"/>
      <c r="B448" s="138"/>
      <c r="C448" s="138"/>
      <c r="D448" s="22"/>
      <c r="E448" s="22"/>
      <c r="F448" s="22"/>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38"/>
      <c r="BB448" s="138"/>
      <c r="BC448" s="138"/>
      <c r="BD448" s="138"/>
      <c r="BE448" s="138"/>
      <c r="BF448" s="138"/>
      <c r="BG448" s="138"/>
      <c r="BH448" s="138"/>
      <c r="BI448" s="138"/>
      <c r="BJ448" s="138"/>
      <c r="BK448" s="138"/>
      <c r="BL448" s="138"/>
      <c r="BM448" s="138"/>
      <c r="BN448" s="138"/>
      <c r="BO448" s="138"/>
      <c r="BP448" s="138"/>
      <c r="BQ448" s="138"/>
      <c r="BR448" s="138"/>
      <c r="BS448" s="138"/>
      <c r="BT448" s="138"/>
      <c r="BU448" s="138"/>
      <c r="BV448" s="138"/>
      <c r="BW448" s="138"/>
      <c r="BX448" s="138"/>
      <c r="BY448" s="138"/>
      <c r="BZ448" s="138"/>
      <c r="CA448" s="138"/>
      <c r="CB448" s="138"/>
      <c r="CC448" s="138"/>
      <c r="CD448" s="138"/>
      <c r="CE448" s="138"/>
    </row>
    <row r="449" spans="1:83" ht="12" customHeight="1">
      <c r="A449" s="138"/>
      <c r="B449" s="138"/>
      <c r="C449" s="138"/>
      <c r="D449" s="22"/>
      <c r="E449" s="22"/>
      <c r="F449" s="22"/>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38"/>
      <c r="BB449" s="138"/>
      <c r="BC449" s="138"/>
      <c r="BD449" s="138"/>
      <c r="BE449" s="138"/>
      <c r="BF449" s="138"/>
      <c r="BG449" s="138"/>
      <c r="BH449" s="138"/>
      <c r="BI449" s="138"/>
      <c r="BJ449" s="138"/>
      <c r="BK449" s="138"/>
      <c r="BL449" s="138"/>
      <c r="BM449" s="138"/>
      <c r="BN449" s="138"/>
      <c r="BO449" s="138"/>
      <c r="BP449" s="138"/>
      <c r="BQ449" s="138"/>
      <c r="BR449" s="138"/>
      <c r="BS449" s="138"/>
      <c r="BT449" s="138"/>
      <c r="BU449" s="138"/>
      <c r="BV449" s="138"/>
      <c r="BW449" s="138"/>
      <c r="BX449" s="138"/>
      <c r="BY449" s="138"/>
      <c r="BZ449" s="138"/>
      <c r="CA449" s="138"/>
      <c r="CB449" s="138"/>
      <c r="CC449" s="138"/>
      <c r="CD449" s="138"/>
      <c r="CE449" s="138"/>
    </row>
    <row r="450" spans="1:83" ht="12" customHeight="1">
      <c r="A450" s="138"/>
      <c r="B450" s="138"/>
      <c r="C450" s="138"/>
      <c r="D450" s="22"/>
      <c r="E450" s="22"/>
      <c r="F450" s="22"/>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38"/>
      <c r="BB450" s="138"/>
      <c r="BC450" s="138"/>
      <c r="BD450" s="138"/>
      <c r="BE450" s="138"/>
      <c r="BF450" s="138"/>
      <c r="BG450" s="138"/>
      <c r="BH450" s="138"/>
      <c r="BI450" s="138"/>
      <c r="BJ450" s="138"/>
      <c r="BK450" s="138"/>
      <c r="BL450" s="138"/>
      <c r="BM450" s="138"/>
      <c r="BN450" s="138"/>
      <c r="BO450" s="138"/>
      <c r="BP450" s="138"/>
      <c r="BQ450" s="138"/>
      <c r="BR450" s="138"/>
      <c r="BS450" s="138"/>
      <c r="BT450" s="138"/>
      <c r="BU450" s="138"/>
      <c r="BV450" s="138"/>
      <c r="BW450" s="138"/>
      <c r="BX450" s="138"/>
      <c r="BY450" s="138"/>
      <c r="BZ450" s="138"/>
      <c r="CA450" s="138"/>
      <c r="CB450" s="138"/>
      <c r="CC450" s="138"/>
      <c r="CD450" s="138"/>
      <c r="CE450" s="138"/>
    </row>
    <row r="451" spans="1:83" ht="12" customHeight="1">
      <c r="A451" s="138"/>
      <c r="B451" s="138"/>
      <c r="C451" s="138"/>
      <c r="D451" s="22"/>
      <c r="E451" s="22"/>
      <c r="F451" s="22"/>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c r="CA451" s="138"/>
      <c r="CB451" s="138"/>
      <c r="CC451" s="138"/>
      <c r="CD451" s="138"/>
      <c r="CE451" s="138"/>
    </row>
    <row r="452" spans="1:83" ht="12" customHeight="1">
      <c r="A452" s="138"/>
      <c r="B452" s="138"/>
      <c r="C452" s="138"/>
      <c r="D452" s="22"/>
      <c r="E452" s="22"/>
      <c r="F452" s="22"/>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38"/>
      <c r="BB452" s="138"/>
      <c r="BC452" s="138"/>
      <c r="BD452" s="138"/>
      <c r="BE452" s="138"/>
      <c r="BF452" s="138"/>
      <c r="BG452" s="138"/>
      <c r="BH452" s="138"/>
      <c r="BI452" s="138"/>
      <c r="BJ452" s="138"/>
      <c r="BK452" s="138"/>
      <c r="BL452" s="138"/>
      <c r="BM452" s="138"/>
      <c r="BN452" s="138"/>
      <c r="BO452" s="138"/>
      <c r="BP452" s="138"/>
      <c r="BQ452" s="138"/>
      <c r="BR452" s="138"/>
      <c r="BS452" s="138"/>
      <c r="BT452" s="138"/>
      <c r="BU452" s="138"/>
      <c r="BV452" s="138"/>
      <c r="BW452" s="138"/>
      <c r="BX452" s="138"/>
      <c r="BY452" s="138"/>
      <c r="BZ452" s="138"/>
      <c r="CA452" s="138"/>
      <c r="CB452" s="138"/>
      <c r="CC452" s="138"/>
      <c r="CD452" s="138"/>
      <c r="CE452" s="138"/>
    </row>
    <row r="453" spans="1:83" ht="12" customHeight="1">
      <c r="A453" s="138"/>
      <c r="B453" s="138"/>
      <c r="C453" s="138"/>
      <c r="D453" s="22"/>
      <c r="E453" s="22"/>
      <c r="F453" s="22"/>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row>
    <row r="454" spans="1:83" ht="12" customHeight="1">
      <c r="A454" s="138"/>
      <c r="B454" s="138"/>
      <c r="C454" s="138"/>
      <c r="D454" s="22"/>
      <c r="E454" s="22"/>
      <c r="F454" s="22"/>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38"/>
      <c r="BB454" s="138"/>
      <c r="BC454" s="138"/>
      <c r="BD454" s="138"/>
      <c r="BE454" s="138"/>
      <c r="BF454" s="138"/>
      <c r="BG454" s="138"/>
      <c r="BH454" s="138"/>
      <c r="BI454" s="138"/>
      <c r="BJ454" s="138"/>
      <c r="BK454" s="138"/>
      <c r="BL454" s="138"/>
      <c r="BM454" s="138"/>
      <c r="BN454" s="138"/>
      <c r="BO454" s="138"/>
      <c r="BP454" s="138"/>
      <c r="BQ454" s="138"/>
      <c r="BR454" s="138"/>
      <c r="BS454" s="138"/>
      <c r="BT454" s="138"/>
      <c r="BU454" s="138"/>
      <c r="BV454" s="138"/>
      <c r="BW454" s="138"/>
      <c r="BX454" s="138"/>
      <c r="BY454" s="138"/>
      <c r="BZ454" s="138"/>
      <c r="CA454" s="138"/>
      <c r="CB454" s="138"/>
      <c r="CC454" s="138"/>
      <c r="CD454" s="138"/>
      <c r="CE454" s="138"/>
    </row>
    <row r="455" spans="1:83" ht="12" customHeight="1">
      <c r="A455" s="138"/>
      <c r="B455" s="138"/>
      <c r="C455" s="138"/>
      <c r="D455" s="22"/>
      <c r="E455" s="22"/>
      <c r="F455" s="22"/>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38"/>
      <c r="BB455" s="138"/>
      <c r="BC455" s="138"/>
      <c r="BD455" s="138"/>
      <c r="BE455" s="138"/>
      <c r="BF455" s="138"/>
      <c r="BG455" s="138"/>
      <c r="BH455" s="138"/>
      <c r="BI455" s="138"/>
      <c r="BJ455" s="138"/>
      <c r="BK455" s="138"/>
      <c r="BL455" s="138"/>
      <c r="BM455" s="138"/>
      <c r="BN455" s="138"/>
      <c r="BO455" s="138"/>
      <c r="BP455" s="138"/>
      <c r="BQ455" s="138"/>
      <c r="BR455" s="138"/>
      <c r="BS455" s="138"/>
      <c r="BT455" s="138"/>
      <c r="BU455" s="138"/>
      <c r="BV455" s="138"/>
      <c r="BW455" s="138"/>
      <c r="BX455" s="138"/>
      <c r="BY455" s="138"/>
      <c r="BZ455" s="138"/>
      <c r="CA455" s="138"/>
      <c r="CB455" s="138"/>
      <c r="CC455" s="138"/>
      <c r="CD455" s="138"/>
      <c r="CE455" s="138"/>
    </row>
    <row r="456" spans="1:83" ht="12" customHeight="1">
      <c r="A456" s="138"/>
      <c r="B456" s="138"/>
      <c r="C456" s="138"/>
      <c r="D456" s="22"/>
      <c r="E456" s="22"/>
      <c r="F456" s="22"/>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38"/>
      <c r="BB456" s="138"/>
      <c r="BC456" s="138"/>
      <c r="BD456" s="138"/>
      <c r="BE456" s="138"/>
      <c r="BF456" s="138"/>
      <c r="BG456" s="138"/>
      <c r="BH456" s="138"/>
      <c r="BI456" s="138"/>
      <c r="BJ456" s="138"/>
      <c r="BK456" s="138"/>
      <c r="BL456" s="138"/>
      <c r="BM456" s="138"/>
      <c r="BN456" s="138"/>
      <c r="BO456" s="138"/>
      <c r="BP456" s="138"/>
      <c r="BQ456" s="138"/>
      <c r="BR456" s="138"/>
      <c r="BS456" s="138"/>
      <c r="BT456" s="138"/>
      <c r="BU456" s="138"/>
      <c r="BV456" s="138"/>
      <c r="BW456" s="138"/>
      <c r="BX456" s="138"/>
      <c r="BY456" s="138"/>
      <c r="BZ456" s="138"/>
      <c r="CA456" s="138"/>
      <c r="CB456" s="138"/>
      <c r="CC456" s="138"/>
      <c r="CD456" s="138"/>
      <c r="CE456" s="138"/>
    </row>
    <row r="457" spans="1:83" ht="12" customHeight="1">
      <c r="A457" s="138"/>
      <c r="B457" s="138"/>
      <c r="C457" s="138"/>
      <c r="D457" s="22"/>
      <c r="E457" s="22"/>
      <c r="F457" s="22"/>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c r="CA457" s="138"/>
      <c r="CB457" s="138"/>
      <c r="CC457" s="138"/>
      <c r="CD457" s="138"/>
      <c r="CE457" s="138"/>
    </row>
    <row r="458" spans="1:83" ht="12" customHeight="1">
      <c r="A458" s="138"/>
      <c r="B458" s="138"/>
      <c r="C458" s="138"/>
      <c r="D458" s="22"/>
      <c r="E458" s="22"/>
      <c r="F458" s="22"/>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38"/>
      <c r="BB458" s="138"/>
      <c r="BC458" s="138"/>
      <c r="BD458" s="138"/>
      <c r="BE458" s="138"/>
      <c r="BF458" s="138"/>
      <c r="BG458" s="138"/>
      <c r="BH458" s="138"/>
      <c r="BI458" s="138"/>
      <c r="BJ458" s="138"/>
      <c r="BK458" s="138"/>
      <c r="BL458" s="138"/>
      <c r="BM458" s="138"/>
      <c r="BN458" s="138"/>
      <c r="BO458" s="138"/>
      <c r="BP458" s="138"/>
      <c r="BQ458" s="138"/>
      <c r="BR458" s="138"/>
      <c r="BS458" s="138"/>
      <c r="BT458" s="138"/>
      <c r="BU458" s="138"/>
      <c r="BV458" s="138"/>
      <c r="BW458" s="138"/>
      <c r="BX458" s="138"/>
      <c r="BY458" s="138"/>
      <c r="BZ458" s="138"/>
      <c r="CA458" s="138"/>
      <c r="CB458" s="138"/>
      <c r="CC458" s="138"/>
      <c r="CD458" s="138"/>
      <c r="CE458" s="138"/>
    </row>
    <row r="459" spans="1:83" ht="12" customHeight="1">
      <c r="A459" s="138"/>
      <c r="B459" s="138"/>
      <c r="C459" s="138"/>
      <c r="D459" s="22"/>
      <c r="E459" s="22"/>
      <c r="F459" s="22"/>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row>
    <row r="460" spans="1:83" ht="12" customHeight="1">
      <c r="A460" s="138"/>
      <c r="B460" s="138"/>
      <c r="C460" s="138"/>
      <c r="D460" s="22"/>
      <c r="E460" s="22"/>
      <c r="F460" s="22"/>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38"/>
      <c r="BB460" s="138"/>
      <c r="BC460" s="138"/>
      <c r="BD460" s="138"/>
      <c r="BE460" s="138"/>
      <c r="BF460" s="138"/>
      <c r="BG460" s="138"/>
      <c r="BH460" s="138"/>
      <c r="BI460" s="138"/>
      <c r="BJ460" s="138"/>
      <c r="BK460" s="138"/>
      <c r="BL460" s="138"/>
      <c r="BM460" s="138"/>
      <c r="BN460" s="138"/>
      <c r="BO460" s="138"/>
      <c r="BP460" s="138"/>
      <c r="BQ460" s="138"/>
      <c r="BR460" s="138"/>
      <c r="BS460" s="138"/>
      <c r="BT460" s="138"/>
      <c r="BU460" s="138"/>
      <c r="BV460" s="138"/>
      <c r="BW460" s="138"/>
      <c r="BX460" s="138"/>
      <c r="BY460" s="138"/>
      <c r="BZ460" s="138"/>
      <c r="CA460" s="138"/>
      <c r="CB460" s="138"/>
      <c r="CC460" s="138"/>
      <c r="CD460" s="138"/>
      <c r="CE460" s="138"/>
    </row>
    <row r="461" spans="1:83" ht="12" customHeight="1">
      <c r="A461" s="138"/>
      <c r="B461" s="138"/>
      <c r="C461" s="138"/>
      <c r="D461" s="22"/>
      <c r="E461" s="22"/>
      <c r="F461" s="22"/>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38"/>
      <c r="BB461" s="138"/>
      <c r="BC461" s="138"/>
      <c r="BD461" s="138"/>
      <c r="BE461" s="138"/>
      <c r="BF461" s="138"/>
      <c r="BG461" s="138"/>
      <c r="BH461" s="138"/>
      <c r="BI461" s="138"/>
      <c r="BJ461" s="138"/>
      <c r="BK461" s="138"/>
      <c r="BL461" s="138"/>
      <c r="BM461" s="138"/>
      <c r="BN461" s="138"/>
      <c r="BO461" s="138"/>
      <c r="BP461" s="138"/>
      <c r="BQ461" s="138"/>
      <c r="BR461" s="138"/>
      <c r="BS461" s="138"/>
      <c r="BT461" s="138"/>
      <c r="BU461" s="138"/>
      <c r="BV461" s="138"/>
      <c r="BW461" s="138"/>
      <c r="BX461" s="138"/>
      <c r="BY461" s="138"/>
      <c r="BZ461" s="138"/>
      <c r="CA461" s="138"/>
      <c r="CB461" s="138"/>
      <c r="CC461" s="138"/>
      <c r="CD461" s="138"/>
      <c r="CE461" s="138"/>
    </row>
    <row r="462" spans="1:83" ht="12" customHeight="1">
      <c r="A462" s="138"/>
      <c r="B462" s="138"/>
      <c r="C462" s="138"/>
      <c r="D462" s="22"/>
      <c r="E462" s="22"/>
      <c r="F462" s="22"/>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38"/>
      <c r="BB462" s="138"/>
      <c r="BC462" s="138"/>
      <c r="BD462" s="138"/>
      <c r="BE462" s="138"/>
      <c r="BF462" s="138"/>
      <c r="BG462" s="138"/>
      <c r="BH462" s="138"/>
      <c r="BI462" s="138"/>
      <c r="BJ462" s="138"/>
      <c r="BK462" s="138"/>
      <c r="BL462" s="138"/>
      <c r="BM462" s="138"/>
      <c r="BN462" s="138"/>
      <c r="BO462" s="138"/>
      <c r="BP462" s="138"/>
      <c r="BQ462" s="138"/>
      <c r="BR462" s="138"/>
      <c r="BS462" s="138"/>
      <c r="BT462" s="138"/>
      <c r="BU462" s="138"/>
      <c r="BV462" s="138"/>
      <c r="BW462" s="138"/>
      <c r="BX462" s="138"/>
      <c r="BY462" s="138"/>
      <c r="BZ462" s="138"/>
      <c r="CA462" s="138"/>
      <c r="CB462" s="138"/>
      <c r="CC462" s="138"/>
      <c r="CD462" s="138"/>
      <c r="CE462" s="138"/>
    </row>
    <row r="463" spans="1:83" ht="12" customHeight="1">
      <c r="A463" s="138"/>
      <c r="B463" s="138"/>
      <c r="C463" s="138"/>
      <c r="D463" s="22"/>
      <c r="E463" s="22"/>
      <c r="F463" s="22"/>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c r="CA463" s="138"/>
      <c r="CB463" s="138"/>
      <c r="CC463" s="138"/>
      <c r="CD463" s="138"/>
      <c r="CE463" s="138"/>
    </row>
    <row r="464" spans="1:83" ht="12" customHeight="1">
      <c r="A464" s="138"/>
      <c r="B464" s="138"/>
      <c r="C464" s="138"/>
      <c r="D464" s="22"/>
      <c r="E464" s="22"/>
      <c r="F464" s="22"/>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38"/>
      <c r="BB464" s="138"/>
      <c r="BC464" s="138"/>
      <c r="BD464" s="138"/>
      <c r="BE464" s="138"/>
      <c r="BF464" s="138"/>
      <c r="BG464" s="138"/>
      <c r="BH464" s="138"/>
      <c r="BI464" s="138"/>
      <c r="BJ464" s="138"/>
      <c r="BK464" s="138"/>
      <c r="BL464" s="138"/>
      <c r="BM464" s="138"/>
      <c r="BN464" s="138"/>
      <c r="BO464" s="138"/>
      <c r="BP464" s="138"/>
      <c r="BQ464" s="138"/>
      <c r="BR464" s="138"/>
      <c r="BS464" s="138"/>
      <c r="BT464" s="138"/>
      <c r="BU464" s="138"/>
      <c r="BV464" s="138"/>
      <c r="BW464" s="138"/>
      <c r="BX464" s="138"/>
      <c r="BY464" s="138"/>
      <c r="BZ464" s="138"/>
      <c r="CA464" s="138"/>
      <c r="CB464" s="138"/>
      <c r="CC464" s="138"/>
      <c r="CD464" s="138"/>
      <c r="CE464" s="138"/>
    </row>
    <row r="465" spans="1:83" ht="12" customHeight="1">
      <c r="A465" s="138"/>
      <c r="B465" s="138"/>
      <c r="C465" s="138"/>
      <c r="D465" s="22"/>
      <c r="E465" s="22"/>
      <c r="F465" s="22"/>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row>
    <row r="466" spans="1:83" ht="12" customHeight="1">
      <c r="A466" s="138"/>
      <c r="B466" s="138"/>
      <c r="C466" s="138"/>
      <c r="D466" s="22"/>
      <c r="E466" s="22"/>
      <c r="F466" s="22"/>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38"/>
      <c r="BB466" s="138"/>
      <c r="BC466" s="138"/>
      <c r="BD466" s="138"/>
      <c r="BE466" s="138"/>
      <c r="BF466" s="138"/>
      <c r="BG466" s="138"/>
      <c r="BH466" s="138"/>
      <c r="BI466" s="138"/>
      <c r="BJ466" s="138"/>
      <c r="BK466" s="138"/>
      <c r="BL466" s="138"/>
      <c r="BM466" s="138"/>
      <c r="BN466" s="138"/>
      <c r="BO466" s="138"/>
      <c r="BP466" s="138"/>
      <c r="BQ466" s="138"/>
      <c r="BR466" s="138"/>
      <c r="BS466" s="138"/>
      <c r="BT466" s="138"/>
      <c r="BU466" s="138"/>
      <c r="BV466" s="138"/>
      <c r="BW466" s="138"/>
      <c r="BX466" s="138"/>
      <c r="BY466" s="138"/>
      <c r="BZ466" s="138"/>
      <c r="CA466" s="138"/>
      <c r="CB466" s="138"/>
      <c r="CC466" s="138"/>
      <c r="CD466" s="138"/>
      <c r="CE466" s="138"/>
    </row>
    <row r="467" spans="1:83" ht="12" customHeight="1">
      <c r="A467" s="138"/>
      <c r="B467" s="138"/>
      <c r="C467" s="138"/>
      <c r="D467" s="22"/>
      <c r="E467" s="22"/>
      <c r="F467" s="22"/>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38"/>
      <c r="BB467" s="138"/>
      <c r="BC467" s="138"/>
      <c r="BD467" s="138"/>
      <c r="BE467" s="138"/>
      <c r="BF467" s="138"/>
      <c r="BG467" s="138"/>
      <c r="BH467" s="138"/>
      <c r="BI467" s="138"/>
      <c r="BJ467" s="138"/>
      <c r="BK467" s="138"/>
      <c r="BL467" s="138"/>
      <c r="BM467" s="138"/>
      <c r="BN467" s="138"/>
      <c r="BO467" s="138"/>
      <c r="BP467" s="138"/>
      <c r="BQ467" s="138"/>
      <c r="BR467" s="138"/>
      <c r="BS467" s="138"/>
      <c r="BT467" s="138"/>
      <c r="BU467" s="138"/>
      <c r="BV467" s="138"/>
      <c r="BW467" s="138"/>
      <c r="BX467" s="138"/>
      <c r="BY467" s="138"/>
      <c r="BZ467" s="138"/>
      <c r="CA467" s="138"/>
      <c r="CB467" s="138"/>
      <c r="CC467" s="138"/>
      <c r="CD467" s="138"/>
      <c r="CE467" s="138"/>
    </row>
    <row r="468" spans="1:83" ht="12" customHeight="1">
      <c r="A468" s="138"/>
      <c r="B468" s="138"/>
      <c r="C468" s="138"/>
      <c r="D468" s="22"/>
      <c r="E468" s="22"/>
      <c r="F468" s="22"/>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38"/>
      <c r="BB468" s="138"/>
      <c r="BC468" s="138"/>
      <c r="BD468" s="138"/>
      <c r="BE468" s="138"/>
      <c r="BF468" s="138"/>
      <c r="BG468" s="138"/>
      <c r="BH468" s="138"/>
      <c r="BI468" s="138"/>
      <c r="BJ468" s="138"/>
      <c r="BK468" s="138"/>
      <c r="BL468" s="138"/>
      <c r="BM468" s="138"/>
      <c r="BN468" s="138"/>
      <c r="BO468" s="138"/>
      <c r="BP468" s="138"/>
      <c r="BQ468" s="138"/>
      <c r="BR468" s="138"/>
      <c r="BS468" s="138"/>
      <c r="BT468" s="138"/>
      <c r="BU468" s="138"/>
      <c r="BV468" s="138"/>
      <c r="BW468" s="138"/>
      <c r="BX468" s="138"/>
      <c r="BY468" s="138"/>
      <c r="BZ468" s="138"/>
      <c r="CA468" s="138"/>
      <c r="CB468" s="138"/>
      <c r="CC468" s="138"/>
      <c r="CD468" s="138"/>
      <c r="CE468" s="138"/>
    </row>
    <row r="469" spans="1:83" ht="12" customHeight="1">
      <c r="A469" s="138"/>
      <c r="B469" s="138"/>
      <c r="C469" s="138"/>
      <c r="D469" s="22"/>
      <c r="E469" s="22"/>
      <c r="F469" s="22"/>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c r="CA469" s="138"/>
      <c r="CB469" s="138"/>
      <c r="CC469" s="138"/>
      <c r="CD469" s="138"/>
      <c r="CE469" s="138"/>
    </row>
    <row r="470" spans="1:83" ht="12" customHeight="1">
      <c r="A470" s="138"/>
      <c r="B470" s="138"/>
      <c r="C470" s="138"/>
      <c r="D470" s="22"/>
      <c r="E470" s="22"/>
      <c r="F470" s="22"/>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38"/>
      <c r="BB470" s="138"/>
      <c r="BC470" s="138"/>
      <c r="BD470" s="138"/>
      <c r="BE470" s="138"/>
      <c r="BF470" s="138"/>
      <c r="BG470" s="138"/>
      <c r="BH470" s="138"/>
      <c r="BI470" s="138"/>
      <c r="BJ470" s="138"/>
      <c r="BK470" s="138"/>
      <c r="BL470" s="138"/>
      <c r="BM470" s="138"/>
      <c r="BN470" s="138"/>
      <c r="BO470" s="138"/>
      <c r="BP470" s="138"/>
      <c r="BQ470" s="138"/>
      <c r="BR470" s="138"/>
      <c r="BS470" s="138"/>
      <c r="BT470" s="138"/>
      <c r="BU470" s="138"/>
      <c r="BV470" s="138"/>
      <c r="BW470" s="138"/>
      <c r="BX470" s="138"/>
      <c r="BY470" s="138"/>
      <c r="BZ470" s="138"/>
      <c r="CA470" s="138"/>
      <c r="CB470" s="138"/>
      <c r="CC470" s="138"/>
      <c r="CD470" s="138"/>
      <c r="CE470" s="138"/>
    </row>
    <row r="471" spans="1:83" ht="12" customHeight="1">
      <c r="A471" s="138"/>
      <c r="B471" s="138"/>
      <c r="C471" s="138"/>
      <c r="D471" s="22"/>
      <c r="E471" s="22"/>
      <c r="F471" s="22"/>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row>
    <row r="472" spans="1:83" ht="12" customHeight="1">
      <c r="A472" s="138"/>
      <c r="B472" s="138"/>
      <c r="C472" s="138"/>
      <c r="D472" s="22"/>
      <c r="E472" s="22"/>
      <c r="F472" s="22"/>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38"/>
      <c r="BB472" s="138"/>
      <c r="BC472" s="138"/>
      <c r="BD472" s="138"/>
      <c r="BE472" s="138"/>
      <c r="BF472" s="138"/>
      <c r="BG472" s="138"/>
      <c r="BH472" s="138"/>
      <c r="BI472" s="138"/>
      <c r="BJ472" s="138"/>
      <c r="BK472" s="138"/>
      <c r="BL472" s="138"/>
      <c r="BM472" s="138"/>
      <c r="BN472" s="138"/>
      <c r="BO472" s="138"/>
      <c r="BP472" s="138"/>
      <c r="BQ472" s="138"/>
      <c r="BR472" s="138"/>
      <c r="BS472" s="138"/>
      <c r="BT472" s="138"/>
      <c r="BU472" s="138"/>
      <c r="BV472" s="138"/>
      <c r="BW472" s="138"/>
      <c r="BX472" s="138"/>
      <c r="BY472" s="138"/>
      <c r="BZ472" s="138"/>
      <c r="CA472" s="138"/>
      <c r="CB472" s="138"/>
      <c r="CC472" s="138"/>
      <c r="CD472" s="138"/>
      <c r="CE472" s="138"/>
    </row>
    <row r="473" spans="1:83" ht="12" customHeight="1">
      <c r="A473" s="138"/>
      <c r="B473" s="138"/>
      <c r="C473" s="138"/>
      <c r="D473" s="22"/>
      <c r="E473" s="22"/>
      <c r="F473" s="22"/>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38"/>
      <c r="BB473" s="138"/>
      <c r="BC473" s="138"/>
      <c r="BD473" s="138"/>
      <c r="BE473" s="138"/>
      <c r="BF473" s="138"/>
      <c r="BG473" s="138"/>
      <c r="BH473" s="138"/>
      <c r="BI473" s="138"/>
      <c r="BJ473" s="138"/>
      <c r="BK473" s="138"/>
      <c r="BL473" s="138"/>
      <c r="BM473" s="138"/>
      <c r="BN473" s="138"/>
      <c r="BO473" s="138"/>
      <c r="BP473" s="138"/>
      <c r="BQ473" s="138"/>
      <c r="BR473" s="138"/>
      <c r="BS473" s="138"/>
      <c r="BT473" s="138"/>
      <c r="BU473" s="138"/>
      <c r="BV473" s="138"/>
      <c r="BW473" s="138"/>
      <c r="BX473" s="138"/>
      <c r="BY473" s="138"/>
      <c r="BZ473" s="138"/>
      <c r="CA473" s="138"/>
      <c r="CB473" s="138"/>
      <c r="CC473" s="138"/>
      <c r="CD473" s="138"/>
      <c r="CE473" s="138"/>
    </row>
    <row r="474" spans="1:83" ht="12" customHeight="1">
      <c r="A474" s="138"/>
      <c r="B474" s="138"/>
      <c r="C474" s="138"/>
      <c r="D474" s="22"/>
      <c r="E474" s="22"/>
      <c r="F474" s="22"/>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38"/>
      <c r="BB474" s="138"/>
      <c r="BC474" s="138"/>
      <c r="BD474" s="138"/>
      <c r="BE474" s="138"/>
      <c r="BF474" s="138"/>
      <c r="BG474" s="138"/>
      <c r="BH474" s="138"/>
      <c r="BI474" s="138"/>
      <c r="BJ474" s="138"/>
      <c r="BK474" s="138"/>
      <c r="BL474" s="138"/>
      <c r="BM474" s="138"/>
      <c r="BN474" s="138"/>
      <c r="BO474" s="138"/>
      <c r="BP474" s="138"/>
      <c r="BQ474" s="138"/>
      <c r="BR474" s="138"/>
      <c r="BS474" s="138"/>
      <c r="BT474" s="138"/>
      <c r="BU474" s="138"/>
      <c r="BV474" s="138"/>
      <c r="BW474" s="138"/>
      <c r="BX474" s="138"/>
      <c r="BY474" s="138"/>
      <c r="BZ474" s="138"/>
      <c r="CA474" s="138"/>
      <c r="CB474" s="138"/>
      <c r="CC474" s="138"/>
      <c r="CD474" s="138"/>
      <c r="CE474" s="138"/>
    </row>
    <row r="475" spans="1:83" ht="12" customHeight="1">
      <c r="A475" s="138"/>
      <c r="B475" s="138"/>
      <c r="C475" s="138"/>
      <c r="D475" s="22"/>
      <c r="E475" s="22"/>
      <c r="F475" s="22"/>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c r="CA475" s="138"/>
      <c r="CB475" s="138"/>
      <c r="CC475" s="138"/>
      <c r="CD475" s="138"/>
      <c r="CE475" s="138"/>
    </row>
    <row r="476" spans="1:83" ht="12" customHeight="1">
      <c r="A476" s="138"/>
      <c r="B476" s="138"/>
      <c r="C476" s="138"/>
      <c r="D476" s="22"/>
      <c r="E476" s="22"/>
      <c r="F476" s="22"/>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38"/>
      <c r="BB476" s="138"/>
      <c r="BC476" s="138"/>
      <c r="BD476" s="138"/>
      <c r="BE476" s="138"/>
      <c r="BF476" s="138"/>
      <c r="BG476" s="138"/>
      <c r="BH476" s="138"/>
      <c r="BI476" s="138"/>
      <c r="BJ476" s="138"/>
      <c r="BK476" s="138"/>
      <c r="BL476" s="138"/>
      <c r="BM476" s="138"/>
      <c r="BN476" s="138"/>
      <c r="BO476" s="138"/>
      <c r="BP476" s="138"/>
      <c r="BQ476" s="138"/>
      <c r="BR476" s="138"/>
      <c r="BS476" s="138"/>
      <c r="BT476" s="138"/>
      <c r="BU476" s="138"/>
      <c r="BV476" s="138"/>
      <c r="BW476" s="138"/>
      <c r="BX476" s="138"/>
      <c r="BY476" s="138"/>
      <c r="BZ476" s="138"/>
      <c r="CA476" s="138"/>
      <c r="CB476" s="138"/>
      <c r="CC476" s="138"/>
      <c r="CD476" s="138"/>
      <c r="CE476" s="138"/>
    </row>
    <row r="477" spans="1:83" ht="12" customHeight="1">
      <c r="A477" s="138"/>
      <c r="B477" s="138"/>
      <c r="C477" s="138"/>
      <c r="D477" s="22"/>
      <c r="E477" s="22"/>
      <c r="F477" s="22"/>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row>
    <row r="478" spans="1:83" ht="12" customHeight="1">
      <c r="A478" s="138"/>
      <c r="B478" s="138"/>
      <c r="C478" s="138"/>
      <c r="D478" s="22"/>
      <c r="E478" s="22"/>
      <c r="F478" s="22"/>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38"/>
      <c r="BB478" s="138"/>
      <c r="BC478" s="138"/>
      <c r="BD478" s="138"/>
      <c r="BE478" s="138"/>
      <c r="BF478" s="138"/>
      <c r="BG478" s="138"/>
      <c r="BH478" s="138"/>
      <c r="BI478" s="138"/>
      <c r="BJ478" s="138"/>
      <c r="BK478" s="138"/>
      <c r="BL478" s="138"/>
      <c r="BM478" s="138"/>
      <c r="BN478" s="138"/>
      <c r="BO478" s="138"/>
      <c r="BP478" s="138"/>
      <c r="BQ478" s="138"/>
      <c r="BR478" s="138"/>
      <c r="BS478" s="138"/>
      <c r="BT478" s="138"/>
      <c r="BU478" s="138"/>
      <c r="BV478" s="138"/>
      <c r="BW478" s="138"/>
      <c r="BX478" s="138"/>
      <c r="BY478" s="138"/>
      <c r="BZ478" s="138"/>
      <c r="CA478" s="138"/>
      <c r="CB478" s="138"/>
      <c r="CC478" s="138"/>
      <c r="CD478" s="138"/>
      <c r="CE478" s="138"/>
    </row>
    <row r="479" spans="1:83" ht="12" customHeight="1">
      <c r="A479" s="138"/>
      <c r="B479" s="138"/>
      <c r="C479" s="138"/>
      <c r="D479" s="22"/>
      <c r="E479" s="22"/>
      <c r="F479" s="22"/>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38"/>
      <c r="BB479" s="138"/>
      <c r="BC479" s="138"/>
      <c r="BD479" s="138"/>
      <c r="BE479" s="138"/>
      <c r="BF479" s="138"/>
      <c r="BG479" s="138"/>
      <c r="BH479" s="138"/>
      <c r="BI479" s="138"/>
      <c r="BJ479" s="138"/>
      <c r="BK479" s="138"/>
      <c r="BL479" s="138"/>
      <c r="BM479" s="138"/>
      <c r="BN479" s="138"/>
      <c r="BO479" s="138"/>
      <c r="BP479" s="138"/>
      <c r="BQ479" s="138"/>
      <c r="BR479" s="138"/>
      <c r="BS479" s="138"/>
      <c r="BT479" s="138"/>
      <c r="BU479" s="138"/>
      <c r="BV479" s="138"/>
      <c r="BW479" s="138"/>
      <c r="BX479" s="138"/>
      <c r="BY479" s="138"/>
      <c r="BZ479" s="138"/>
      <c r="CA479" s="138"/>
      <c r="CB479" s="138"/>
      <c r="CC479" s="138"/>
      <c r="CD479" s="138"/>
      <c r="CE479" s="138"/>
    </row>
    <row r="480" spans="1:83" ht="12" customHeight="1">
      <c r="A480" s="138"/>
      <c r="B480" s="138"/>
      <c r="C480" s="138"/>
      <c r="D480" s="22"/>
      <c r="E480" s="22"/>
      <c r="F480" s="22"/>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38"/>
      <c r="BB480" s="138"/>
      <c r="BC480" s="138"/>
      <c r="BD480" s="138"/>
      <c r="BE480" s="138"/>
      <c r="BF480" s="138"/>
      <c r="BG480" s="138"/>
      <c r="BH480" s="138"/>
      <c r="BI480" s="138"/>
      <c r="BJ480" s="138"/>
      <c r="BK480" s="138"/>
      <c r="BL480" s="138"/>
      <c r="BM480" s="138"/>
      <c r="BN480" s="138"/>
      <c r="BO480" s="138"/>
      <c r="BP480" s="138"/>
      <c r="BQ480" s="138"/>
      <c r="BR480" s="138"/>
      <c r="BS480" s="138"/>
      <c r="BT480" s="138"/>
      <c r="BU480" s="138"/>
      <c r="BV480" s="138"/>
      <c r="BW480" s="138"/>
      <c r="BX480" s="138"/>
      <c r="BY480" s="138"/>
      <c r="BZ480" s="138"/>
      <c r="CA480" s="138"/>
      <c r="CB480" s="138"/>
      <c r="CC480" s="138"/>
      <c r="CD480" s="138"/>
      <c r="CE480" s="138"/>
    </row>
    <row r="481" spans="1:83" ht="12" customHeight="1">
      <c r="A481" s="138"/>
      <c r="B481" s="138"/>
      <c r="C481" s="138"/>
      <c r="D481" s="22"/>
      <c r="E481" s="22"/>
      <c r="F481" s="22"/>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c r="CA481" s="138"/>
      <c r="CB481" s="138"/>
      <c r="CC481" s="138"/>
      <c r="CD481" s="138"/>
      <c r="CE481" s="138"/>
    </row>
    <row r="482" spans="1:83" ht="12" customHeight="1">
      <c r="A482" s="138"/>
      <c r="B482" s="138"/>
      <c r="C482" s="138"/>
      <c r="D482" s="22"/>
      <c r="E482" s="22"/>
      <c r="F482" s="22"/>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38"/>
      <c r="BB482" s="138"/>
      <c r="BC482" s="138"/>
      <c r="BD482" s="138"/>
      <c r="BE482" s="138"/>
      <c r="BF482" s="138"/>
      <c r="BG482" s="138"/>
      <c r="BH482" s="138"/>
      <c r="BI482" s="138"/>
      <c r="BJ482" s="138"/>
      <c r="BK482" s="138"/>
      <c r="BL482" s="138"/>
      <c r="BM482" s="138"/>
      <c r="BN482" s="138"/>
      <c r="BO482" s="138"/>
      <c r="BP482" s="138"/>
      <c r="BQ482" s="138"/>
      <c r="BR482" s="138"/>
      <c r="BS482" s="138"/>
      <c r="BT482" s="138"/>
      <c r="BU482" s="138"/>
      <c r="BV482" s="138"/>
      <c r="BW482" s="138"/>
      <c r="BX482" s="138"/>
      <c r="BY482" s="138"/>
      <c r="BZ482" s="138"/>
      <c r="CA482" s="138"/>
      <c r="CB482" s="138"/>
      <c r="CC482" s="138"/>
      <c r="CD482" s="138"/>
      <c r="CE482" s="138"/>
    </row>
    <row r="483" spans="1:83" ht="12" customHeight="1">
      <c r="A483" s="138"/>
      <c r="B483" s="138"/>
      <c r="C483" s="138"/>
      <c r="D483" s="22"/>
      <c r="E483" s="22"/>
      <c r="F483" s="22"/>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row>
    <row r="484" spans="1:83" ht="12" customHeight="1">
      <c r="A484" s="138"/>
      <c r="B484" s="138"/>
      <c r="C484" s="138"/>
      <c r="D484" s="22"/>
      <c r="E484" s="22"/>
      <c r="F484" s="22"/>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c r="AS484" s="138"/>
      <c r="AT484" s="138"/>
      <c r="AU484" s="138"/>
      <c r="AV484" s="138"/>
      <c r="AW484" s="138"/>
      <c r="AX484" s="138"/>
      <c r="AY484" s="138"/>
      <c r="AZ484" s="138"/>
      <c r="BA484" s="138"/>
      <c r="BB484" s="138"/>
      <c r="BC484" s="138"/>
      <c r="BD484" s="138"/>
      <c r="BE484" s="138"/>
      <c r="BF484" s="138"/>
      <c r="BG484" s="138"/>
      <c r="BH484" s="138"/>
      <c r="BI484" s="138"/>
      <c r="BJ484" s="138"/>
      <c r="BK484" s="138"/>
      <c r="BL484" s="138"/>
      <c r="BM484" s="138"/>
      <c r="BN484" s="138"/>
      <c r="BO484" s="138"/>
      <c r="BP484" s="138"/>
      <c r="BQ484" s="138"/>
      <c r="BR484" s="138"/>
      <c r="BS484" s="138"/>
      <c r="BT484" s="138"/>
      <c r="BU484" s="138"/>
      <c r="BV484" s="138"/>
      <c r="BW484" s="138"/>
      <c r="BX484" s="138"/>
      <c r="BY484" s="138"/>
      <c r="BZ484" s="138"/>
      <c r="CA484" s="138"/>
      <c r="CB484" s="138"/>
      <c r="CC484" s="138"/>
      <c r="CD484" s="138"/>
      <c r="CE484" s="138"/>
    </row>
    <row r="485" spans="1:83" ht="12" customHeight="1">
      <c r="A485" s="138"/>
      <c r="B485" s="138"/>
      <c r="C485" s="138"/>
      <c r="D485" s="22"/>
      <c r="E485" s="22"/>
      <c r="F485" s="22"/>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c r="AS485" s="138"/>
      <c r="AT485" s="138"/>
      <c r="AU485" s="138"/>
      <c r="AV485" s="138"/>
      <c r="AW485" s="138"/>
      <c r="AX485" s="138"/>
      <c r="AY485" s="138"/>
      <c r="AZ485" s="138"/>
      <c r="BA485" s="138"/>
      <c r="BB485" s="138"/>
      <c r="BC485" s="138"/>
      <c r="BD485" s="138"/>
      <c r="BE485" s="138"/>
      <c r="BF485" s="138"/>
      <c r="BG485" s="138"/>
      <c r="BH485" s="138"/>
      <c r="BI485" s="138"/>
      <c r="BJ485" s="138"/>
      <c r="BK485" s="138"/>
      <c r="BL485" s="138"/>
      <c r="BM485" s="138"/>
      <c r="BN485" s="138"/>
      <c r="BO485" s="138"/>
      <c r="BP485" s="138"/>
      <c r="BQ485" s="138"/>
      <c r="BR485" s="138"/>
      <c r="BS485" s="138"/>
      <c r="BT485" s="138"/>
      <c r="BU485" s="138"/>
      <c r="BV485" s="138"/>
      <c r="BW485" s="138"/>
      <c r="BX485" s="138"/>
      <c r="BY485" s="138"/>
      <c r="BZ485" s="138"/>
      <c r="CA485" s="138"/>
      <c r="CB485" s="138"/>
      <c r="CC485" s="138"/>
      <c r="CD485" s="138"/>
      <c r="CE485" s="138"/>
    </row>
    <row r="486" spans="1:83" ht="12" customHeight="1">
      <c r="A486" s="138"/>
      <c r="B486" s="138"/>
      <c r="C486" s="138"/>
      <c r="D486" s="22"/>
      <c r="E486" s="22"/>
      <c r="F486" s="22"/>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c r="AR486" s="138"/>
      <c r="AS486" s="138"/>
      <c r="AT486" s="138"/>
      <c r="AU486" s="138"/>
      <c r="AV486" s="138"/>
      <c r="AW486" s="138"/>
      <c r="AX486" s="138"/>
      <c r="AY486" s="138"/>
      <c r="AZ486" s="138"/>
      <c r="BA486" s="138"/>
      <c r="BB486" s="138"/>
      <c r="BC486" s="138"/>
      <c r="BD486" s="138"/>
      <c r="BE486" s="138"/>
      <c r="BF486" s="138"/>
      <c r="BG486" s="138"/>
      <c r="BH486" s="138"/>
      <c r="BI486" s="138"/>
      <c r="BJ486" s="138"/>
      <c r="BK486" s="138"/>
      <c r="BL486" s="138"/>
      <c r="BM486" s="138"/>
      <c r="BN486" s="138"/>
      <c r="BO486" s="138"/>
      <c r="BP486" s="138"/>
      <c r="BQ486" s="138"/>
      <c r="BR486" s="138"/>
      <c r="BS486" s="138"/>
      <c r="BT486" s="138"/>
      <c r="BU486" s="138"/>
      <c r="BV486" s="138"/>
      <c r="BW486" s="138"/>
      <c r="BX486" s="138"/>
      <c r="BY486" s="138"/>
      <c r="BZ486" s="138"/>
      <c r="CA486" s="138"/>
      <c r="CB486" s="138"/>
      <c r="CC486" s="138"/>
      <c r="CD486" s="138"/>
      <c r="CE486" s="138"/>
    </row>
    <row r="487" spans="1:83" ht="12" customHeight="1">
      <c r="A487" s="138"/>
      <c r="B487" s="138"/>
      <c r="C487" s="138"/>
      <c r="D487" s="22"/>
      <c r="E487" s="22"/>
      <c r="F487" s="22"/>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c r="AS487" s="138"/>
      <c r="AT487" s="138"/>
      <c r="AU487" s="138"/>
      <c r="AV487" s="138"/>
      <c r="AW487" s="138"/>
      <c r="AX487" s="138"/>
      <c r="AY487" s="138"/>
      <c r="AZ487" s="138"/>
      <c r="BA487" s="138"/>
      <c r="BB487" s="138"/>
      <c r="BC487" s="138"/>
      <c r="BD487" s="138"/>
      <c r="BE487" s="138"/>
      <c r="BF487" s="138"/>
      <c r="BG487" s="138"/>
      <c r="BH487" s="138"/>
      <c r="BI487" s="138"/>
      <c r="BJ487" s="138"/>
      <c r="BK487" s="138"/>
      <c r="BL487" s="138"/>
      <c r="BM487" s="138"/>
      <c r="BN487" s="138"/>
      <c r="BO487" s="138"/>
      <c r="BP487" s="138"/>
      <c r="BQ487" s="138"/>
      <c r="BR487" s="138"/>
      <c r="BS487" s="138"/>
      <c r="BT487" s="138"/>
      <c r="BU487" s="138"/>
      <c r="BV487" s="138"/>
      <c r="BW487" s="138"/>
      <c r="BX487" s="138"/>
      <c r="BY487" s="138"/>
      <c r="BZ487" s="138"/>
      <c r="CA487" s="138"/>
      <c r="CB487" s="138"/>
      <c r="CC487" s="138"/>
      <c r="CD487" s="138"/>
      <c r="CE487" s="138"/>
    </row>
    <row r="488" spans="1:83" ht="12" customHeight="1">
      <c r="A488" s="138"/>
      <c r="B488" s="138"/>
      <c r="C488" s="138"/>
      <c r="D488" s="22"/>
      <c r="E488" s="22"/>
      <c r="F488" s="22"/>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c r="AR488" s="138"/>
      <c r="AS488" s="138"/>
      <c r="AT488" s="138"/>
      <c r="AU488" s="138"/>
      <c r="AV488" s="138"/>
      <c r="AW488" s="138"/>
      <c r="AX488" s="138"/>
      <c r="AY488" s="138"/>
      <c r="AZ488" s="138"/>
      <c r="BA488" s="138"/>
      <c r="BB488" s="138"/>
      <c r="BC488" s="138"/>
      <c r="BD488" s="138"/>
      <c r="BE488" s="138"/>
      <c r="BF488" s="138"/>
      <c r="BG488" s="138"/>
      <c r="BH488" s="138"/>
      <c r="BI488" s="138"/>
      <c r="BJ488" s="138"/>
      <c r="BK488" s="138"/>
      <c r="BL488" s="138"/>
      <c r="BM488" s="138"/>
      <c r="BN488" s="138"/>
      <c r="BO488" s="138"/>
      <c r="BP488" s="138"/>
      <c r="BQ488" s="138"/>
      <c r="BR488" s="138"/>
      <c r="BS488" s="138"/>
      <c r="BT488" s="138"/>
      <c r="BU488" s="138"/>
      <c r="BV488" s="138"/>
      <c r="BW488" s="138"/>
      <c r="BX488" s="138"/>
      <c r="BY488" s="138"/>
      <c r="BZ488" s="138"/>
      <c r="CA488" s="138"/>
      <c r="CB488" s="138"/>
      <c r="CC488" s="138"/>
      <c r="CD488" s="138"/>
      <c r="CE488" s="138"/>
    </row>
    <row r="489" spans="1:83" ht="12" customHeight="1">
      <c r="A489" s="138"/>
      <c r="B489" s="138"/>
      <c r="C489" s="138"/>
      <c r="D489" s="22"/>
      <c r="E489" s="22"/>
      <c r="F489" s="22"/>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38"/>
      <c r="BB489" s="138"/>
      <c r="BC489" s="138"/>
      <c r="BD489" s="138"/>
      <c r="BE489" s="138"/>
      <c r="BF489" s="138"/>
      <c r="BG489" s="138"/>
      <c r="BH489" s="138"/>
      <c r="BI489" s="138"/>
      <c r="BJ489" s="138"/>
      <c r="BK489" s="138"/>
      <c r="BL489" s="138"/>
      <c r="BM489" s="138"/>
      <c r="BN489" s="138"/>
      <c r="BO489" s="138"/>
      <c r="BP489" s="138"/>
      <c r="BQ489" s="138"/>
      <c r="BR489" s="138"/>
      <c r="BS489" s="138"/>
      <c r="BT489" s="138"/>
      <c r="BU489" s="138"/>
      <c r="BV489" s="138"/>
      <c r="BW489" s="138"/>
      <c r="BX489" s="138"/>
      <c r="BY489" s="138"/>
      <c r="BZ489" s="138"/>
      <c r="CA489" s="138"/>
      <c r="CB489" s="138"/>
      <c r="CC489" s="138"/>
      <c r="CD489" s="138"/>
      <c r="CE489" s="138"/>
    </row>
    <row r="490" spans="1:83" ht="12" customHeight="1">
      <c r="A490" s="138"/>
      <c r="B490" s="138"/>
      <c r="C490" s="138"/>
      <c r="D490" s="22"/>
      <c r="E490" s="22"/>
      <c r="F490" s="22"/>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c r="AR490" s="138"/>
      <c r="AS490" s="138"/>
      <c r="AT490" s="138"/>
      <c r="AU490" s="138"/>
      <c r="AV490" s="138"/>
      <c r="AW490" s="138"/>
      <c r="AX490" s="138"/>
      <c r="AY490" s="138"/>
      <c r="AZ490" s="138"/>
      <c r="BA490" s="138"/>
      <c r="BB490" s="138"/>
      <c r="BC490" s="138"/>
      <c r="BD490" s="138"/>
      <c r="BE490" s="138"/>
      <c r="BF490" s="138"/>
      <c r="BG490" s="138"/>
      <c r="BH490" s="138"/>
      <c r="BI490" s="138"/>
      <c r="BJ490" s="138"/>
      <c r="BK490" s="138"/>
      <c r="BL490" s="138"/>
      <c r="BM490" s="138"/>
      <c r="BN490" s="138"/>
      <c r="BO490" s="138"/>
      <c r="BP490" s="138"/>
      <c r="BQ490" s="138"/>
      <c r="BR490" s="138"/>
      <c r="BS490" s="138"/>
      <c r="BT490" s="138"/>
      <c r="BU490" s="138"/>
      <c r="BV490" s="138"/>
      <c r="BW490" s="138"/>
      <c r="BX490" s="138"/>
      <c r="BY490" s="138"/>
      <c r="BZ490" s="138"/>
      <c r="CA490" s="138"/>
      <c r="CB490" s="138"/>
      <c r="CC490" s="138"/>
      <c r="CD490" s="138"/>
      <c r="CE490" s="138"/>
    </row>
    <row r="491" spans="1:83" ht="12" customHeight="1">
      <c r="A491" s="138"/>
      <c r="B491" s="138"/>
      <c r="C491" s="138"/>
      <c r="D491" s="22"/>
      <c r="E491" s="22"/>
      <c r="F491" s="22"/>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c r="AR491" s="138"/>
      <c r="AS491" s="138"/>
      <c r="AT491" s="138"/>
      <c r="AU491" s="138"/>
      <c r="AV491" s="138"/>
      <c r="AW491" s="138"/>
      <c r="AX491" s="138"/>
      <c r="AY491" s="138"/>
      <c r="AZ491" s="138"/>
      <c r="BA491" s="138"/>
      <c r="BB491" s="138"/>
      <c r="BC491" s="138"/>
      <c r="BD491" s="138"/>
      <c r="BE491" s="138"/>
      <c r="BF491" s="138"/>
      <c r="BG491" s="138"/>
      <c r="BH491" s="138"/>
      <c r="BI491" s="138"/>
      <c r="BJ491" s="138"/>
      <c r="BK491" s="138"/>
      <c r="BL491" s="138"/>
      <c r="BM491" s="138"/>
      <c r="BN491" s="138"/>
      <c r="BO491" s="138"/>
      <c r="BP491" s="138"/>
      <c r="BQ491" s="138"/>
      <c r="BR491" s="138"/>
      <c r="BS491" s="138"/>
      <c r="BT491" s="138"/>
      <c r="BU491" s="138"/>
      <c r="BV491" s="138"/>
      <c r="BW491" s="138"/>
      <c r="BX491" s="138"/>
      <c r="BY491" s="138"/>
      <c r="BZ491" s="138"/>
      <c r="CA491" s="138"/>
      <c r="CB491" s="138"/>
      <c r="CC491" s="138"/>
      <c r="CD491" s="138"/>
      <c r="CE491" s="138"/>
    </row>
    <row r="492" spans="1:83" ht="12" customHeight="1">
      <c r="A492" s="138"/>
      <c r="B492" s="138"/>
      <c r="C492" s="138"/>
      <c r="D492" s="22"/>
      <c r="E492" s="22"/>
      <c r="F492" s="22"/>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c r="AR492" s="138"/>
      <c r="AS492" s="138"/>
      <c r="AT492" s="138"/>
      <c r="AU492" s="138"/>
      <c r="AV492" s="138"/>
      <c r="AW492" s="138"/>
      <c r="AX492" s="138"/>
      <c r="AY492" s="138"/>
      <c r="AZ492" s="138"/>
      <c r="BA492" s="138"/>
      <c r="BB492" s="138"/>
      <c r="BC492" s="138"/>
      <c r="BD492" s="138"/>
      <c r="BE492" s="138"/>
      <c r="BF492" s="138"/>
      <c r="BG492" s="138"/>
      <c r="BH492" s="138"/>
      <c r="BI492" s="138"/>
      <c r="BJ492" s="138"/>
      <c r="BK492" s="138"/>
      <c r="BL492" s="138"/>
      <c r="BM492" s="138"/>
      <c r="BN492" s="138"/>
      <c r="BO492" s="138"/>
      <c r="BP492" s="138"/>
      <c r="BQ492" s="138"/>
      <c r="BR492" s="138"/>
      <c r="BS492" s="138"/>
      <c r="BT492" s="138"/>
      <c r="BU492" s="138"/>
      <c r="BV492" s="138"/>
      <c r="BW492" s="138"/>
      <c r="BX492" s="138"/>
      <c r="BY492" s="138"/>
      <c r="BZ492" s="138"/>
      <c r="CA492" s="138"/>
      <c r="CB492" s="138"/>
      <c r="CC492" s="138"/>
      <c r="CD492" s="138"/>
      <c r="CE492" s="138"/>
    </row>
    <row r="493" spans="1:83" ht="12" customHeight="1">
      <c r="A493" s="138"/>
      <c r="B493" s="138"/>
      <c r="C493" s="138"/>
      <c r="D493" s="22"/>
      <c r="E493" s="22"/>
      <c r="F493" s="22"/>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c r="AS493" s="138"/>
      <c r="AT493" s="138"/>
      <c r="AU493" s="138"/>
      <c r="AV493" s="138"/>
      <c r="AW493" s="138"/>
      <c r="AX493" s="138"/>
      <c r="AY493" s="138"/>
      <c r="AZ493" s="138"/>
      <c r="BA493" s="138"/>
      <c r="BB493" s="138"/>
      <c r="BC493" s="138"/>
      <c r="BD493" s="138"/>
      <c r="BE493" s="138"/>
      <c r="BF493" s="138"/>
      <c r="BG493" s="138"/>
      <c r="BH493" s="138"/>
      <c r="BI493" s="138"/>
      <c r="BJ493" s="138"/>
      <c r="BK493" s="138"/>
      <c r="BL493" s="138"/>
      <c r="BM493" s="138"/>
      <c r="BN493" s="138"/>
      <c r="BO493" s="138"/>
      <c r="BP493" s="138"/>
      <c r="BQ493" s="138"/>
      <c r="BR493" s="138"/>
      <c r="BS493" s="138"/>
      <c r="BT493" s="138"/>
      <c r="BU493" s="138"/>
      <c r="BV493" s="138"/>
      <c r="BW493" s="138"/>
      <c r="BX493" s="138"/>
      <c r="BY493" s="138"/>
      <c r="BZ493" s="138"/>
      <c r="CA493" s="138"/>
      <c r="CB493" s="138"/>
      <c r="CC493" s="138"/>
      <c r="CD493" s="138"/>
      <c r="CE493" s="138"/>
    </row>
    <row r="494" spans="1:83" ht="12" customHeight="1">
      <c r="A494" s="138"/>
      <c r="B494" s="138"/>
      <c r="C494" s="138"/>
      <c r="D494" s="22"/>
      <c r="E494" s="22"/>
      <c r="F494" s="22"/>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c r="AR494" s="138"/>
      <c r="AS494" s="138"/>
      <c r="AT494" s="138"/>
      <c r="AU494" s="138"/>
      <c r="AV494" s="138"/>
      <c r="AW494" s="138"/>
      <c r="AX494" s="138"/>
      <c r="AY494" s="138"/>
      <c r="AZ494" s="138"/>
      <c r="BA494" s="138"/>
      <c r="BB494" s="138"/>
      <c r="BC494" s="138"/>
      <c r="BD494" s="138"/>
      <c r="BE494" s="138"/>
      <c r="BF494" s="138"/>
      <c r="BG494" s="138"/>
      <c r="BH494" s="138"/>
      <c r="BI494" s="138"/>
      <c r="BJ494" s="138"/>
      <c r="BK494" s="138"/>
      <c r="BL494" s="138"/>
      <c r="BM494" s="138"/>
      <c r="BN494" s="138"/>
      <c r="BO494" s="138"/>
      <c r="BP494" s="138"/>
      <c r="BQ494" s="138"/>
      <c r="BR494" s="138"/>
      <c r="BS494" s="138"/>
      <c r="BT494" s="138"/>
      <c r="BU494" s="138"/>
      <c r="BV494" s="138"/>
      <c r="BW494" s="138"/>
      <c r="BX494" s="138"/>
      <c r="BY494" s="138"/>
      <c r="BZ494" s="138"/>
      <c r="CA494" s="138"/>
      <c r="CB494" s="138"/>
      <c r="CC494" s="138"/>
      <c r="CD494" s="138"/>
      <c r="CE494" s="138"/>
    </row>
    <row r="495" spans="1:83" ht="12" customHeight="1">
      <c r="A495" s="138"/>
      <c r="B495" s="138"/>
      <c r="C495" s="138"/>
      <c r="D495" s="22"/>
      <c r="E495" s="22"/>
      <c r="F495" s="22"/>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38"/>
      <c r="BB495" s="138"/>
      <c r="BC495" s="138"/>
      <c r="BD495" s="138"/>
      <c r="BE495" s="138"/>
      <c r="BF495" s="138"/>
      <c r="BG495" s="138"/>
      <c r="BH495" s="138"/>
      <c r="BI495" s="138"/>
      <c r="BJ495" s="138"/>
      <c r="BK495" s="138"/>
      <c r="BL495" s="138"/>
      <c r="BM495" s="138"/>
      <c r="BN495" s="138"/>
      <c r="BO495" s="138"/>
      <c r="BP495" s="138"/>
      <c r="BQ495" s="138"/>
      <c r="BR495" s="138"/>
      <c r="BS495" s="138"/>
      <c r="BT495" s="138"/>
      <c r="BU495" s="138"/>
      <c r="BV495" s="138"/>
      <c r="BW495" s="138"/>
      <c r="BX495" s="138"/>
      <c r="BY495" s="138"/>
      <c r="BZ495" s="138"/>
      <c r="CA495" s="138"/>
      <c r="CB495" s="138"/>
      <c r="CC495" s="138"/>
      <c r="CD495" s="138"/>
      <c r="CE495" s="138"/>
    </row>
    <row r="496" spans="1:83" ht="12" customHeight="1">
      <c r="A496" s="138"/>
      <c r="B496" s="138"/>
      <c r="C496" s="138"/>
      <c r="D496" s="22"/>
      <c r="E496" s="22"/>
      <c r="F496" s="22"/>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c r="AR496" s="138"/>
      <c r="AS496" s="138"/>
      <c r="AT496" s="138"/>
      <c r="AU496" s="138"/>
      <c r="AV496" s="138"/>
      <c r="AW496" s="138"/>
      <c r="AX496" s="138"/>
      <c r="AY496" s="138"/>
      <c r="AZ496" s="138"/>
      <c r="BA496" s="138"/>
      <c r="BB496" s="138"/>
      <c r="BC496" s="138"/>
      <c r="BD496" s="138"/>
      <c r="BE496" s="138"/>
      <c r="BF496" s="138"/>
      <c r="BG496" s="138"/>
      <c r="BH496" s="138"/>
      <c r="BI496" s="138"/>
      <c r="BJ496" s="138"/>
      <c r="BK496" s="138"/>
      <c r="BL496" s="138"/>
      <c r="BM496" s="138"/>
      <c r="BN496" s="138"/>
      <c r="BO496" s="138"/>
      <c r="BP496" s="138"/>
      <c r="BQ496" s="138"/>
      <c r="BR496" s="138"/>
      <c r="BS496" s="138"/>
      <c r="BT496" s="138"/>
      <c r="BU496" s="138"/>
      <c r="BV496" s="138"/>
      <c r="BW496" s="138"/>
      <c r="BX496" s="138"/>
      <c r="BY496" s="138"/>
      <c r="BZ496" s="138"/>
      <c r="CA496" s="138"/>
      <c r="CB496" s="138"/>
      <c r="CC496" s="138"/>
      <c r="CD496" s="138"/>
      <c r="CE496" s="138"/>
    </row>
    <row r="497" spans="1:83" ht="12" customHeight="1">
      <c r="A497" s="138"/>
      <c r="B497" s="138"/>
      <c r="C497" s="138"/>
      <c r="D497" s="22"/>
      <c r="E497" s="22"/>
      <c r="F497" s="22"/>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c r="AR497" s="138"/>
      <c r="AS497" s="138"/>
      <c r="AT497" s="138"/>
      <c r="AU497" s="138"/>
      <c r="AV497" s="138"/>
      <c r="AW497" s="138"/>
      <c r="AX497" s="138"/>
      <c r="AY497" s="138"/>
      <c r="AZ497" s="138"/>
      <c r="BA497" s="138"/>
      <c r="BB497" s="138"/>
      <c r="BC497" s="138"/>
      <c r="BD497" s="138"/>
      <c r="BE497" s="138"/>
      <c r="BF497" s="138"/>
      <c r="BG497" s="138"/>
      <c r="BH497" s="138"/>
      <c r="BI497" s="138"/>
      <c r="BJ497" s="138"/>
      <c r="BK497" s="138"/>
      <c r="BL497" s="138"/>
      <c r="BM497" s="138"/>
      <c r="BN497" s="138"/>
      <c r="BO497" s="138"/>
      <c r="BP497" s="138"/>
      <c r="BQ497" s="138"/>
      <c r="BR497" s="138"/>
      <c r="BS497" s="138"/>
      <c r="BT497" s="138"/>
      <c r="BU497" s="138"/>
      <c r="BV497" s="138"/>
      <c r="BW497" s="138"/>
      <c r="BX497" s="138"/>
      <c r="BY497" s="138"/>
      <c r="BZ497" s="138"/>
      <c r="CA497" s="138"/>
      <c r="CB497" s="138"/>
      <c r="CC497" s="138"/>
      <c r="CD497" s="138"/>
      <c r="CE497" s="138"/>
    </row>
    <row r="498" spans="1:83" ht="12" customHeight="1">
      <c r="A498" s="138"/>
      <c r="B498" s="138"/>
      <c r="C498" s="138"/>
      <c r="D498" s="22"/>
      <c r="E498" s="22"/>
      <c r="F498" s="22"/>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c r="AR498" s="138"/>
      <c r="AS498" s="138"/>
      <c r="AT498" s="138"/>
      <c r="AU498" s="138"/>
      <c r="AV498" s="138"/>
      <c r="AW498" s="138"/>
      <c r="AX498" s="138"/>
      <c r="AY498" s="138"/>
      <c r="AZ498" s="138"/>
      <c r="BA498" s="138"/>
      <c r="BB498" s="138"/>
      <c r="BC498" s="138"/>
      <c r="BD498" s="138"/>
      <c r="BE498" s="138"/>
      <c r="BF498" s="138"/>
      <c r="BG498" s="138"/>
      <c r="BH498" s="138"/>
      <c r="BI498" s="138"/>
      <c r="BJ498" s="138"/>
      <c r="BK498" s="138"/>
      <c r="BL498" s="138"/>
      <c r="BM498" s="138"/>
      <c r="BN498" s="138"/>
      <c r="BO498" s="138"/>
      <c r="BP498" s="138"/>
      <c r="BQ498" s="138"/>
      <c r="BR498" s="138"/>
      <c r="BS498" s="138"/>
      <c r="BT498" s="138"/>
      <c r="BU498" s="138"/>
      <c r="BV498" s="138"/>
      <c r="BW498" s="138"/>
      <c r="BX498" s="138"/>
      <c r="BY498" s="138"/>
      <c r="BZ498" s="138"/>
      <c r="CA498" s="138"/>
      <c r="CB498" s="138"/>
      <c r="CC498" s="138"/>
      <c r="CD498" s="138"/>
      <c r="CE498" s="138"/>
    </row>
    <row r="499" spans="1:83" ht="12" customHeight="1">
      <c r="A499" s="138"/>
      <c r="B499" s="138"/>
      <c r="C499" s="138"/>
      <c r="D499" s="22"/>
      <c r="E499" s="22"/>
      <c r="F499" s="22"/>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c r="AS499" s="138"/>
      <c r="AT499" s="138"/>
      <c r="AU499" s="138"/>
      <c r="AV499" s="138"/>
      <c r="AW499" s="138"/>
      <c r="AX499" s="138"/>
      <c r="AY499" s="138"/>
      <c r="AZ499" s="138"/>
      <c r="BA499" s="138"/>
      <c r="BB499" s="138"/>
      <c r="BC499" s="138"/>
      <c r="BD499" s="138"/>
      <c r="BE499" s="138"/>
      <c r="BF499" s="138"/>
      <c r="BG499" s="138"/>
      <c r="BH499" s="138"/>
      <c r="BI499" s="138"/>
      <c r="BJ499" s="138"/>
      <c r="BK499" s="138"/>
      <c r="BL499" s="138"/>
      <c r="BM499" s="138"/>
      <c r="BN499" s="138"/>
      <c r="BO499" s="138"/>
      <c r="BP499" s="138"/>
      <c r="BQ499" s="138"/>
      <c r="BR499" s="138"/>
      <c r="BS499" s="138"/>
      <c r="BT499" s="138"/>
      <c r="BU499" s="138"/>
      <c r="BV499" s="138"/>
      <c r="BW499" s="138"/>
      <c r="BX499" s="138"/>
      <c r="BY499" s="138"/>
      <c r="BZ499" s="138"/>
      <c r="CA499" s="138"/>
      <c r="CB499" s="138"/>
      <c r="CC499" s="138"/>
      <c r="CD499" s="138"/>
      <c r="CE499" s="138"/>
    </row>
    <row r="500" spans="1:83" ht="12" customHeight="1">
      <c r="A500" s="138"/>
      <c r="B500" s="138"/>
      <c r="C500" s="138"/>
      <c r="D500" s="22"/>
      <c r="E500" s="22"/>
      <c r="F500" s="22"/>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c r="AR500" s="138"/>
      <c r="AS500" s="138"/>
      <c r="AT500" s="138"/>
      <c r="AU500" s="138"/>
      <c r="AV500" s="138"/>
      <c r="AW500" s="138"/>
      <c r="AX500" s="138"/>
      <c r="AY500" s="138"/>
      <c r="AZ500" s="138"/>
      <c r="BA500" s="138"/>
      <c r="BB500" s="138"/>
      <c r="BC500" s="138"/>
      <c r="BD500" s="138"/>
      <c r="BE500" s="138"/>
      <c r="BF500" s="138"/>
      <c r="BG500" s="138"/>
      <c r="BH500" s="138"/>
      <c r="BI500" s="138"/>
      <c r="BJ500" s="138"/>
      <c r="BK500" s="138"/>
      <c r="BL500" s="138"/>
      <c r="BM500" s="138"/>
      <c r="BN500" s="138"/>
      <c r="BO500" s="138"/>
      <c r="BP500" s="138"/>
      <c r="BQ500" s="138"/>
      <c r="BR500" s="138"/>
      <c r="BS500" s="138"/>
      <c r="BT500" s="138"/>
      <c r="BU500" s="138"/>
      <c r="BV500" s="138"/>
      <c r="BW500" s="138"/>
      <c r="BX500" s="138"/>
      <c r="BY500" s="138"/>
      <c r="BZ500" s="138"/>
      <c r="CA500" s="138"/>
      <c r="CB500" s="138"/>
      <c r="CC500" s="138"/>
      <c r="CD500" s="138"/>
      <c r="CE500" s="138"/>
    </row>
    <row r="501" spans="1:83" ht="12" customHeight="1">
      <c r="A501" s="138"/>
      <c r="B501" s="138"/>
      <c r="C501" s="138"/>
      <c r="D501" s="22"/>
      <c r="E501" s="22"/>
      <c r="F501" s="22"/>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38"/>
      <c r="BB501" s="138"/>
      <c r="BC501" s="138"/>
      <c r="BD501" s="138"/>
      <c r="BE501" s="138"/>
      <c r="BF501" s="138"/>
      <c r="BG501" s="138"/>
      <c r="BH501" s="138"/>
      <c r="BI501" s="138"/>
      <c r="BJ501" s="138"/>
      <c r="BK501" s="138"/>
      <c r="BL501" s="138"/>
      <c r="BM501" s="138"/>
      <c r="BN501" s="138"/>
      <c r="BO501" s="138"/>
      <c r="BP501" s="138"/>
      <c r="BQ501" s="138"/>
      <c r="BR501" s="138"/>
      <c r="BS501" s="138"/>
      <c r="BT501" s="138"/>
      <c r="BU501" s="138"/>
      <c r="BV501" s="138"/>
      <c r="BW501" s="138"/>
      <c r="BX501" s="138"/>
      <c r="BY501" s="138"/>
      <c r="BZ501" s="138"/>
      <c r="CA501" s="138"/>
      <c r="CB501" s="138"/>
      <c r="CC501" s="138"/>
      <c r="CD501" s="138"/>
      <c r="CE501" s="138"/>
    </row>
    <row r="502" spans="1:83" ht="12" customHeight="1">
      <c r="A502" s="138"/>
      <c r="B502" s="138"/>
      <c r="C502" s="138"/>
      <c r="D502" s="22"/>
      <c r="E502" s="22"/>
      <c r="F502" s="22"/>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c r="AR502" s="138"/>
      <c r="AS502" s="138"/>
      <c r="AT502" s="138"/>
      <c r="AU502" s="138"/>
      <c r="AV502" s="138"/>
      <c r="AW502" s="138"/>
      <c r="AX502" s="138"/>
      <c r="AY502" s="138"/>
      <c r="AZ502" s="138"/>
      <c r="BA502" s="138"/>
      <c r="BB502" s="138"/>
      <c r="BC502" s="138"/>
      <c r="BD502" s="138"/>
      <c r="BE502" s="138"/>
      <c r="BF502" s="138"/>
      <c r="BG502" s="138"/>
      <c r="BH502" s="138"/>
      <c r="BI502" s="138"/>
      <c r="BJ502" s="138"/>
      <c r="BK502" s="138"/>
      <c r="BL502" s="138"/>
      <c r="BM502" s="138"/>
      <c r="BN502" s="138"/>
      <c r="BO502" s="138"/>
      <c r="BP502" s="138"/>
      <c r="BQ502" s="138"/>
      <c r="BR502" s="138"/>
      <c r="BS502" s="138"/>
      <c r="BT502" s="138"/>
      <c r="BU502" s="138"/>
      <c r="BV502" s="138"/>
      <c r="BW502" s="138"/>
      <c r="BX502" s="138"/>
      <c r="BY502" s="138"/>
      <c r="BZ502" s="138"/>
      <c r="CA502" s="138"/>
      <c r="CB502" s="138"/>
      <c r="CC502" s="138"/>
      <c r="CD502" s="138"/>
      <c r="CE502" s="138"/>
    </row>
    <row r="503" spans="1:83" ht="12" customHeight="1">
      <c r="A503" s="138"/>
      <c r="B503" s="138"/>
      <c r="C503" s="138"/>
      <c r="D503" s="22"/>
      <c r="E503" s="22"/>
      <c r="F503" s="22"/>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c r="AR503" s="138"/>
      <c r="AS503" s="138"/>
      <c r="AT503" s="138"/>
      <c r="AU503" s="138"/>
      <c r="AV503" s="138"/>
      <c r="AW503" s="138"/>
      <c r="AX503" s="138"/>
      <c r="AY503" s="138"/>
      <c r="AZ503" s="138"/>
      <c r="BA503" s="138"/>
      <c r="BB503" s="138"/>
      <c r="BC503" s="138"/>
      <c r="BD503" s="138"/>
      <c r="BE503" s="138"/>
      <c r="BF503" s="138"/>
      <c r="BG503" s="138"/>
      <c r="BH503" s="138"/>
      <c r="BI503" s="138"/>
      <c r="BJ503" s="138"/>
      <c r="BK503" s="138"/>
      <c r="BL503" s="138"/>
      <c r="BM503" s="138"/>
      <c r="BN503" s="138"/>
      <c r="BO503" s="138"/>
      <c r="BP503" s="138"/>
      <c r="BQ503" s="138"/>
      <c r="BR503" s="138"/>
      <c r="BS503" s="138"/>
      <c r="BT503" s="138"/>
      <c r="BU503" s="138"/>
      <c r="BV503" s="138"/>
      <c r="BW503" s="138"/>
      <c r="BX503" s="138"/>
      <c r="BY503" s="138"/>
      <c r="BZ503" s="138"/>
      <c r="CA503" s="138"/>
      <c r="CB503" s="138"/>
      <c r="CC503" s="138"/>
      <c r="CD503" s="138"/>
      <c r="CE503" s="138"/>
    </row>
    <row r="504" spans="1:83" ht="12" customHeight="1">
      <c r="A504" s="138"/>
      <c r="B504" s="138"/>
      <c r="C504" s="138"/>
      <c r="D504" s="22"/>
      <c r="E504" s="22"/>
      <c r="F504" s="22"/>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c r="AR504" s="138"/>
      <c r="AS504" s="138"/>
      <c r="AT504" s="138"/>
      <c r="AU504" s="138"/>
      <c r="AV504" s="138"/>
      <c r="AW504" s="138"/>
      <c r="AX504" s="138"/>
      <c r="AY504" s="138"/>
      <c r="AZ504" s="138"/>
      <c r="BA504" s="138"/>
      <c r="BB504" s="138"/>
      <c r="BC504" s="138"/>
      <c r="BD504" s="138"/>
      <c r="BE504" s="138"/>
      <c r="BF504" s="138"/>
      <c r="BG504" s="138"/>
      <c r="BH504" s="138"/>
      <c r="BI504" s="138"/>
      <c r="BJ504" s="138"/>
      <c r="BK504" s="138"/>
      <c r="BL504" s="138"/>
      <c r="BM504" s="138"/>
      <c r="BN504" s="138"/>
      <c r="BO504" s="138"/>
      <c r="BP504" s="138"/>
      <c r="BQ504" s="138"/>
      <c r="BR504" s="138"/>
      <c r="BS504" s="138"/>
      <c r="BT504" s="138"/>
      <c r="BU504" s="138"/>
      <c r="BV504" s="138"/>
      <c r="BW504" s="138"/>
      <c r="BX504" s="138"/>
      <c r="BY504" s="138"/>
      <c r="BZ504" s="138"/>
      <c r="CA504" s="138"/>
      <c r="CB504" s="138"/>
      <c r="CC504" s="138"/>
      <c r="CD504" s="138"/>
      <c r="CE504" s="138"/>
    </row>
    <row r="505" spans="1:83" ht="12" customHeight="1">
      <c r="A505" s="138"/>
      <c r="B505" s="138"/>
      <c r="C505" s="138"/>
      <c r="D505" s="22"/>
      <c r="E505" s="22"/>
      <c r="F505" s="22"/>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38"/>
      <c r="BB505" s="138"/>
      <c r="BC505" s="138"/>
      <c r="BD505" s="138"/>
      <c r="BE505" s="138"/>
      <c r="BF505" s="138"/>
      <c r="BG505" s="138"/>
      <c r="BH505" s="138"/>
      <c r="BI505" s="138"/>
      <c r="BJ505" s="138"/>
      <c r="BK505" s="138"/>
      <c r="BL505" s="138"/>
      <c r="BM505" s="138"/>
      <c r="BN505" s="138"/>
      <c r="BO505" s="138"/>
      <c r="BP505" s="138"/>
      <c r="BQ505" s="138"/>
      <c r="BR505" s="138"/>
      <c r="BS505" s="138"/>
      <c r="BT505" s="138"/>
      <c r="BU505" s="138"/>
      <c r="BV505" s="138"/>
      <c r="BW505" s="138"/>
      <c r="BX505" s="138"/>
      <c r="BY505" s="138"/>
      <c r="BZ505" s="138"/>
      <c r="CA505" s="138"/>
      <c r="CB505" s="138"/>
      <c r="CC505" s="138"/>
      <c r="CD505" s="138"/>
      <c r="CE505" s="138"/>
    </row>
    <row r="506" spans="1:83" ht="12" customHeight="1">
      <c r="A506" s="138"/>
      <c r="B506" s="138"/>
      <c r="C506" s="138"/>
      <c r="D506" s="22"/>
      <c r="E506" s="22"/>
      <c r="F506" s="22"/>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c r="AR506" s="138"/>
      <c r="AS506" s="138"/>
      <c r="AT506" s="138"/>
      <c r="AU506" s="138"/>
      <c r="AV506" s="138"/>
      <c r="AW506" s="138"/>
      <c r="AX506" s="138"/>
      <c r="AY506" s="138"/>
      <c r="AZ506" s="138"/>
      <c r="BA506" s="138"/>
      <c r="BB506" s="138"/>
      <c r="BC506" s="138"/>
      <c r="BD506" s="138"/>
      <c r="BE506" s="138"/>
      <c r="BF506" s="138"/>
      <c r="BG506" s="138"/>
      <c r="BH506" s="138"/>
      <c r="BI506" s="138"/>
      <c r="BJ506" s="138"/>
      <c r="BK506" s="138"/>
      <c r="BL506" s="138"/>
      <c r="BM506" s="138"/>
      <c r="BN506" s="138"/>
      <c r="BO506" s="138"/>
      <c r="BP506" s="138"/>
      <c r="BQ506" s="138"/>
      <c r="BR506" s="138"/>
      <c r="BS506" s="138"/>
      <c r="BT506" s="138"/>
      <c r="BU506" s="138"/>
      <c r="BV506" s="138"/>
      <c r="BW506" s="138"/>
      <c r="BX506" s="138"/>
      <c r="BY506" s="138"/>
      <c r="BZ506" s="138"/>
      <c r="CA506" s="138"/>
      <c r="CB506" s="138"/>
      <c r="CC506" s="138"/>
      <c r="CD506" s="138"/>
      <c r="CE506" s="138"/>
    </row>
    <row r="507" spans="1:83" ht="12" customHeight="1">
      <c r="A507" s="138"/>
      <c r="B507" s="138"/>
      <c r="C507" s="138"/>
      <c r="D507" s="22"/>
      <c r="E507" s="22"/>
      <c r="F507" s="22"/>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8"/>
      <c r="BR507" s="138"/>
      <c r="BS507" s="138"/>
      <c r="BT507" s="138"/>
      <c r="BU507" s="138"/>
      <c r="BV507" s="138"/>
      <c r="BW507" s="138"/>
      <c r="BX507" s="138"/>
      <c r="BY507" s="138"/>
      <c r="BZ507" s="138"/>
      <c r="CA507" s="138"/>
      <c r="CB507" s="138"/>
      <c r="CC507" s="138"/>
      <c r="CD507" s="138"/>
      <c r="CE507" s="138"/>
    </row>
    <row r="508" spans="1:83" ht="12" customHeight="1">
      <c r="A508" s="138"/>
      <c r="B508" s="138"/>
      <c r="C508" s="138"/>
      <c r="D508" s="22"/>
      <c r="E508" s="22"/>
      <c r="F508" s="22"/>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c r="AR508" s="138"/>
      <c r="AS508" s="138"/>
      <c r="AT508" s="138"/>
      <c r="AU508" s="138"/>
      <c r="AV508" s="138"/>
      <c r="AW508" s="138"/>
      <c r="AX508" s="138"/>
      <c r="AY508" s="138"/>
      <c r="AZ508" s="138"/>
      <c r="BA508" s="138"/>
      <c r="BB508" s="138"/>
      <c r="BC508" s="138"/>
      <c r="BD508" s="138"/>
      <c r="BE508" s="138"/>
      <c r="BF508" s="138"/>
      <c r="BG508" s="138"/>
      <c r="BH508" s="138"/>
      <c r="BI508" s="138"/>
      <c r="BJ508" s="138"/>
      <c r="BK508" s="138"/>
      <c r="BL508" s="138"/>
      <c r="BM508" s="138"/>
      <c r="BN508" s="138"/>
      <c r="BO508" s="138"/>
      <c r="BP508" s="138"/>
      <c r="BQ508" s="138"/>
      <c r="BR508" s="138"/>
      <c r="BS508" s="138"/>
      <c r="BT508" s="138"/>
      <c r="BU508" s="138"/>
      <c r="BV508" s="138"/>
      <c r="BW508" s="138"/>
      <c r="BX508" s="138"/>
      <c r="BY508" s="138"/>
      <c r="BZ508" s="138"/>
      <c r="CA508" s="138"/>
      <c r="CB508" s="138"/>
      <c r="CC508" s="138"/>
      <c r="CD508" s="138"/>
      <c r="CE508" s="138"/>
    </row>
    <row r="509" spans="1:83" ht="12" customHeight="1">
      <c r="A509" s="138"/>
      <c r="B509" s="138"/>
      <c r="C509" s="138"/>
      <c r="D509" s="22"/>
      <c r="E509" s="22"/>
      <c r="F509" s="22"/>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c r="AR509" s="138"/>
      <c r="AS509" s="138"/>
      <c r="AT509" s="138"/>
      <c r="AU509" s="138"/>
      <c r="AV509" s="138"/>
      <c r="AW509" s="138"/>
      <c r="AX509" s="138"/>
      <c r="AY509" s="138"/>
      <c r="AZ509" s="138"/>
      <c r="BA509" s="138"/>
      <c r="BB509" s="138"/>
      <c r="BC509" s="138"/>
      <c r="BD509" s="138"/>
      <c r="BE509" s="138"/>
      <c r="BF509" s="138"/>
      <c r="BG509" s="138"/>
      <c r="BH509" s="138"/>
      <c r="BI509" s="138"/>
      <c r="BJ509" s="138"/>
      <c r="BK509" s="138"/>
      <c r="BL509" s="138"/>
      <c r="BM509" s="138"/>
      <c r="BN509" s="138"/>
      <c r="BO509" s="138"/>
      <c r="BP509" s="138"/>
      <c r="BQ509" s="138"/>
      <c r="BR509" s="138"/>
      <c r="BS509" s="138"/>
      <c r="BT509" s="138"/>
      <c r="BU509" s="138"/>
      <c r="BV509" s="138"/>
      <c r="BW509" s="138"/>
      <c r="BX509" s="138"/>
      <c r="BY509" s="138"/>
      <c r="BZ509" s="138"/>
      <c r="CA509" s="138"/>
      <c r="CB509" s="138"/>
      <c r="CC509" s="138"/>
      <c r="CD509" s="138"/>
      <c r="CE509" s="138"/>
    </row>
    <row r="510" spans="1:83" ht="12" customHeight="1">
      <c r="A510" s="138"/>
      <c r="B510" s="138"/>
      <c r="C510" s="138"/>
      <c r="D510" s="22"/>
      <c r="E510" s="22"/>
      <c r="F510" s="22"/>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c r="AR510" s="138"/>
      <c r="AS510" s="138"/>
      <c r="AT510" s="138"/>
      <c r="AU510" s="138"/>
      <c r="AV510" s="138"/>
      <c r="AW510" s="138"/>
      <c r="AX510" s="138"/>
      <c r="AY510" s="138"/>
      <c r="AZ510" s="138"/>
      <c r="BA510" s="138"/>
      <c r="BB510" s="138"/>
      <c r="BC510" s="138"/>
      <c r="BD510" s="138"/>
      <c r="BE510" s="138"/>
      <c r="BF510" s="138"/>
      <c r="BG510" s="138"/>
      <c r="BH510" s="138"/>
      <c r="BI510" s="138"/>
      <c r="BJ510" s="138"/>
      <c r="BK510" s="138"/>
      <c r="BL510" s="138"/>
      <c r="BM510" s="138"/>
      <c r="BN510" s="138"/>
      <c r="BO510" s="138"/>
      <c r="BP510" s="138"/>
      <c r="BQ510" s="138"/>
      <c r="BR510" s="138"/>
      <c r="BS510" s="138"/>
      <c r="BT510" s="138"/>
      <c r="BU510" s="138"/>
      <c r="BV510" s="138"/>
      <c r="BW510" s="138"/>
      <c r="BX510" s="138"/>
      <c r="BY510" s="138"/>
      <c r="BZ510" s="138"/>
      <c r="CA510" s="138"/>
      <c r="CB510" s="138"/>
      <c r="CC510" s="138"/>
      <c r="CD510" s="138"/>
      <c r="CE510" s="138"/>
    </row>
    <row r="511" spans="1:83" ht="12" customHeight="1">
      <c r="A511" s="138"/>
      <c r="B511" s="138"/>
      <c r="C511" s="138"/>
      <c r="D511" s="22"/>
      <c r="E511" s="22"/>
      <c r="F511" s="22"/>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c r="AR511" s="138"/>
      <c r="AS511" s="138"/>
      <c r="AT511" s="138"/>
      <c r="AU511" s="138"/>
      <c r="AV511" s="138"/>
      <c r="AW511" s="138"/>
      <c r="AX511" s="138"/>
      <c r="AY511" s="138"/>
      <c r="AZ511" s="138"/>
      <c r="BA511" s="138"/>
      <c r="BB511" s="138"/>
      <c r="BC511" s="138"/>
      <c r="BD511" s="138"/>
      <c r="BE511" s="138"/>
      <c r="BF511" s="138"/>
      <c r="BG511" s="138"/>
      <c r="BH511" s="138"/>
      <c r="BI511" s="138"/>
      <c r="BJ511" s="138"/>
      <c r="BK511" s="138"/>
      <c r="BL511" s="138"/>
      <c r="BM511" s="138"/>
      <c r="BN511" s="138"/>
      <c r="BO511" s="138"/>
      <c r="BP511" s="138"/>
      <c r="BQ511" s="138"/>
      <c r="BR511" s="138"/>
      <c r="BS511" s="138"/>
      <c r="BT511" s="138"/>
      <c r="BU511" s="138"/>
      <c r="BV511" s="138"/>
      <c r="BW511" s="138"/>
      <c r="BX511" s="138"/>
      <c r="BY511" s="138"/>
      <c r="BZ511" s="138"/>
      <c r="CA511" s="138"/>
      <c r="CB511" s="138"/>
      <c r="CC511" s="138"/>
      <c r="CD511" s="138"/>
      <c r="CE511" s="138"/>
    </row>
    <row r="512" spans="1:83" ht="12" customHeight="1">
      <c r="A512" s="138"/>
      <c r="B512" s="138"/>
      <c r="C512" s="138"/>
      <c r="D512" s="22"/>
      <c r="E512" s="22"/>
      <c r="F512" s="22"/>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c r="AR512" s="138"/>
      <c r="AS512" s="138"/>
      <c r="AT512" s="138"/>
      <c r="AU512" s="138"/>
      <c r="AV512" s="138"/>
      <c r="AW512" s="138"/>
      <c r="AX512" s="138"/>
      <c r="AY512" s="138"/>
      <c r="AZ512" s="138"/>
      <c r="BA512" s="138"/>
      <c r="BB512" s="138"/>
      <c r="BC512" s="138"/>
      <c r="BD512" s="138"/>
      <c r="BE512" s="138"/>
      <c r="BF512" s="138"/>
      <c r="BG512" s="138"/>
      <c r="BH512" s="138"/>
      <c r="BI512" s="138"/>
      <c r="BJ512" s="138"/>
      <c r="BK512" s="138"/>
      <c r="BL512" s="138"/>
      <c r="BM512" s="138"/>
      <c r="BN512" s="138"/>
      <c r="BO512" s="138"/>
      <c r="BP512" s="138"/>
      <c r="BQ512" s="138"/>
      <c r="BR512" s="138"/>
      <c r="BS512" s="138"/>
      <c r="BT512" s="138"/>
      <c r="BU512" s="138"/>
      <c r="BV512" s="138"/>
      <c r="BW512" s="138"/>
      <c r="BX512" s="138"/>
      <c r="BY512" s="138"/>
      <c r="BZ512" s="138"/>
      <c r="CA512" s="138"/>
      <c r="CB512" s="138"/>
      <c r="CC512" s="138"/>
      <c r="CD512" s="138"/>
      <c r="CE512" s="138"/>
    </row>
    <row r="513" spans="1:83" ht="12" customHeight="1">
      <c r="A513" s="138"/>
      <c r="B513" s="138"/>
      <c r="C513" s="138"/>
      <c r="D513" s="22"/>
      <c r="E513" s="22"/>
      <c r="F513" s="22"/>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c r="AR513" s="138"/>
      <c r="AS513" s="138"/>
      <c r="AT513" s="138"/>
      <c r="AU513" s="138"/>
      <c r="AV513" s="138"/>
      <c r="AW513" s="138"/>
      <c r="AX513" s="138"/>
      <c r="AY513" s="138"/>
      <c r="AZ513" s="138"/>
      <c r="BA513" s="138"/>
      <c r="BB513" s="138"/>
      <c r="BC513" s="138"/>
      <c r="BD513" s="138"/>
      <c r="BE513" s="138"/>
      <c r="BF513" s="138"/>
      <c r="BG513" s="138"/>
      <c r="BH513" s="138"/>
      <c r="BI513" s="138"/>
      <c r="BJ513" s="138"/>
      <c r="BK513" s="138"/>
      <c r="BL513" s="138"/>
      <c r="BM513" s="138"/>
      <c r="BN513" s="138"/>
      <c r="BO513" s="138"/>
      <c r="BP513" s="138"/>
      <c r="BQ513" s="138"/>
      <c r="BR513" s="138"/>
      <c r="BS513" s="138"/>
      <c r="BT513" s="138"/>
      <c r="BU513" s="138"/>
      <c r="BV513" s="138"/>
      <c r="BW513" s="138"/>
      <c r="BX513" s="138"/>
      <c r="BY513" s="138"/>
      <c r="BZ513" s="138"/>
      <c r="CA513" s="138"/>
      <c r="CB513" s="138"/>
      <c r="CC513" s="138"/>
      <c r="CD513" s="138"/>
      <c r="CE513" s="138"/>
    </row>
    <row r="514" spans="1:83" ht="12" customHeight="1">
      <c r="A514" s="138"/>
      <c r="B514" s="138"/>
      <c r="C514" s="138"/>
      <c r="D514" s="22"/>
      <c r="E514" s="22"/>
      <c r="F514" s="22"/>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c r="AR514" s="138"/>
      <c r="AS514" s="138"/>
      <c r="AT514" s="138"/>
      <c r="AU514" s="138"/>
      <c r="AV514" s="138"/>
      <c r="AW514" s="138"/>
      <c r="AX514" s="138"/>
      <c r="AY514" s="138"/>
      <c r="AZ514" s="138"/>
      <c r="BA514" s="138"/>
      <c r="BB514" s="138"/>
      <c r="BC514" s="138"/>
      <c r="BD514" s="138"/>
      <c r="BE514" s="138"/>
      <c r="BF514" s="138"/>
      <c r="BG514" s="138"/>
      <c r="BH514" s="138"/>
      <c r="BI514" s="138"/>
      <c r="BJ514" s="138"/>
      <c r="BK514" s="138"/>
      <c r="BL514" s="138"/>
      <c r="BM514" s="138"/>
      <c r="BN514" s="138"/>
      <c r="BO514" s="138"/>
      <c r="BP514" s="138"/>
      <c r="BQ514" s="138"/>
      <c r="BR514" s="138"/>
      <c r="BS514" s="138"/>
      <c r="BT514" s="138"/>
      <c r="BU514" s="138"/>
      <c r="BV514" s="138"/>
      <c r="BW514" s="138"/>
      <c r="BX514" s="138"/>
      <c r="BY514" s="138"/>
      <c r="BZ514" s="138"/>
      <c r="CA514" s="138"/>
      <c r="CB514" s="138"/>
      <c r="CC514" s="138"/>
      <c r="CD514" s="138"/>
      <c r="CE514" s="138"/>
    </row>
    <row r="515" spans="1:83" ht="12" customHeight="1">
      <c r="A515" s="138"/>
      <c r="B515" s="138"/>
      <c r="C515" s="138"/>
      <c r="D515" s="22"/>
      <c r="E515" s="22"/>
      <c r="F515" s="22"/>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c r="AS515" s="138"/>
      <c r="AT515" s="138"/>
      <c r="AU515" s="138"/>
      <c r="AV515" s="138"/>
      <c r="AW515" s="138"/>
      <c r="AX515" s="138"/>
      <c r="AY515" s="138"/>
      <c r="AZ515" s="138"/>
      <c r="BA515" s="138"/>
      <c r="BB515" s="138"/>
      <c r="BC515" s="138"/>
      <c r="BD515" s="138"/>
      <c r="BE515" s="138"/>
      <c r="BF515" s="138"/>
      <c r="BG515" s="138"/>
      <c r="BH515" s="138"/>
      <c r="BI515" s="138"/>
      <c r="BJ515" s="138"/>
      <c r="BK515" s="138"/>
      <c r="BL515" s="138"/>
      <c r="BM515" s="138"/>
      <c r="BN515" s="138"/>
      <c r="BO515" s="138"/>
      <c r="BP515" s="138"/>
      <c r="BQ515" s="138"/>
      <c r="BR515" s="138"/>
      <c r="BS515" s="138"/>
      <c r="BT515" s="138"/>
      <c r="BU515" s="138"/>
      <c r="BV515" s="138"/>
      <c r="BW515" s="138"/>
      <c r="BX515" s="138"/>
      <c r="BY515" s="138"/>
      <c r="BZ515" s="138"/>
      <c r="CA515" s="138"/>
      <c r="CB515" s="138"/>
      <c r="CC515" s="138"/>
      <c r="CD515" s="138"/>
      <c r="CE515" s="138"/>
    </row>
    <row r="516" spans="1:83" ht="12" customHeight="1">
      <c r="A516" s="138"/>
      <c r="B516" s="138"/>
      <c r="C516" s="138"/>
      <c r="D516" s="22"/>
      <c r="E516" s="22"/>
      <c r="F516" s="22"/>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c r="AR516" s="138"/>
      <c r="AS516" s="138"/>
      <c r="AT516" s="138"/>
      <c r="AU516" s="138"/>
      <c r="AV516" s="138"/>
      <c r="AW516" s="138"/>
      <c r="AX516" s="138"/>
      <c r="AY516" s="138"/>
      <c r="AZ516" s="138"/>
      <c r="BA516" s="138"/>
      <c r="BB516" s="138"/>
      <c r="BC516" s="138"/>
      <c r="BD516" s="138"/>
      <c r="BE516" s="138"/>
      <c r="BF516" s="138"/>
      <c r="BG516" s="138"/>
      <c r="BH516" s="138"/>
      <c r="BI516" s="138"/>
      <c r="BJ516" s="138"/>
      <c r="BK516" s="138"/>
      <c r="BL516" s="138"/>
      <c r="BM516" s="138"/>
      <c r="BN516" s="138"/>
      <c r="BO516" s="138"/>
      <c r="BP516" s="138"/>
      <c r="BQ516" s="138"/>
      <c r="BR516" s="138"/>
      <c r="BS516" s="138"/>
      <c r="BT516" s="138"/>
      <c r="BU516" s="138"/>
      <c r="BV516" s="138"/>
      <c r="BW516" s="138"/>
      <c r="BX516" s="138"/>
      <c r="BY516" s="138"/>
      <c r="BZ516" s="138"/>
      <c r="CA516" s="138"/>
      <c r="CB516" s="138"/>
      <c r="CC516" s="138"/>
      <c r="CD516" s="138"/>
      <c r="CE516" s="138"/>
    </row>
    <row r="517" spans="1:83" ht="12" customHeight="1">
      <c r="A517" s="138"/>
      <c r="B517" s="138"/>
      <c r="C517" s="138"/>
      <c r="D517" s="22"/>
      <c r="E517" s="22"/>
      <c r="F517" s="22"/>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c r="AR517" s="138"/>
      <c r="AS517" s="138"/>
      <c r="AT517" s="138"/>
      <c r="AU517" s="138"/>
      <c r="AV517" s="138"/>
      <c r="AW517" s="138"/>
      <c r="AX517" s="138"/>
      <c r="AY517" s="138"/>
      <c r="AZ517" s="138"/>
      <c r="BA517" s="138"/>
      <c r="BB517" s="138"/>
      <c r="BC517" s="138"/>
      <c r="BD517" s="138"/>
      <c r="BE517" s="138"/>
      <c r="BF517" s="138"/>
      <c r="BG517" s="138"/>
      <c r="BH517" s="138"/>
      <c r="BI517" s="138"/>
      <c r="BJ517" s="138"/>
      <c r="BK517" s="138"/>
      <c r="BL517" s="138"/>
      <c r="BM517" s="138"/>
      <c r="BN517" s="138"/>
      <c r="BO517" s="138"/>
      <c r="BP517" s="138"/>
      <c r="BQ517" s="138"/>
      <c r="BR517" s="138"/>
      <c r="BS517" s="138"/>
      <c r="BT517" s="138"/>
      <c r="BU517" s="138"/>
      <c r="BV517" s="138"/>
      <c r="BW517" s="138"/>
      <c r="BX517" s="138"/>
      <c r="BY517" s="138"/>
      <c r="BZ517" s="138"/>
      <c r="CA517" s="138"/>
      <c r="CB517" s="138"/>
      <c r="CC517" s="138"/>
      <c r="CD517" s="138"/>
      <c r="CE517" s="138"/>
    </row>
    <row r="518" spans="1:83" ht="12" customHeight="1">
      <c r="A518" s="138"/>
      <c r="B518" s="138"/>
      <c r="C518" s="138"/>
      <c r="D518" s="22"/>
      <c r="E518" s="22"/>
      <c r="F518" s="22"/>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c r="AR518" s="138"/>
      <c r="AS518" s="138"/>
      <c r="AT518" s="138"/>
      <c r="AU518" s="138"/>
      <c r="AV518" s="138"/>
      <c r="AW518" s="138"/>
      <c r="AX518" s="138"/>
      <c r="AY518" s="138"/>
      <c r="AZ518" s="138"/>
      <c r="BA518" s="138"/>
      <c r="BB518" s="138"/>
      <c r="BC518" s="138"/>
      <c r="BD518" s="138"/>
      <c r="BE518" s="138"/>
      <c r="BF518" s="138"/>
      <c r="BG518" s="138"/>
      <c r="BH518" s="138"/>
      <c r="BI518" s="138"/>
      <c r="BJ518" s="138"/>
      <c r="BK518" s="138"/>
      <c r="BL518" s="138"/>
      <c r="BM518" s="138"/>
      <c r="BN518" s="138"/>
      <c r="BO518" s="138"/>
      <c r="BP518" s="138"/>
      <c r="BQ518" s="138"/>
      <c r="BR518" s="138"/>
      <c r="BS518" s="138"/>
      <c r="BT518" s="138"/>
      <c r="BU518" s="138"/>
      <c r="BV518" s="138"/>
      <c r="BW518" s="138"/>
      <c r="BX518" s="138"/>
      <c r="BY518" s="138"/>
      <c r="BZ518" s="138"/>
      <c r="CA518" s="138"/>
      <c r="CB518" s="138"/>
      <c r="CC518" s="138"/>
      <c r="CD518" s="138"/>
      <c r="CE518" s="138"/>
    </row>
    <row r="519" spans="1:83" ht="12" customHeight="1">
      <c r="A519" s="138"/>
      <c r="B519" s="138"/>
      <c r="C519" s="138"/>
      <c r="D519" s="22"/>
      <c r="E519" s="22"/>
      <c r="F519" s="22"/>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c r="AR519" s="138"/>
      <c r="AS519" s="138"/>
      <c r="AT519" s="138"/>
      <c r="AU519" s="138"/>
      <c r="AV519" s="138"/>
      <c r="AW519" s="138"/>
      <c r="AX519" s="138"/>
      <c r="AY519" s="138"/>
      <c r="AZ519" s="138"/>
      <c r="BA519" s="138"/>
      <c r="BB519" s="138"/>
      <c r="BC519" s="138"/>
      <c r="BD519" s="138"/>
      <c r="BE519" s="138"/>
      <c r="BF519" s="138"/>
      <c r="BG519" s="138"/>
      <c r="BH519" s="138"/>
      <c r="BI519" s="138"/>
      <c r="BJ519" s="138"/>
      <c r="BK519" s="138"/>
      <c r="BL519" s="138"/>
      <c r="BM519" s="138"/>
      <c r="BN519" s="138"/>
      <c r="BO519" s="138"/>
      <c r="BP519" s="138"/>
      <c r="BQ519" s="138"/>
      <c r="BR519" s="138"/>
      <c r="BS519" s="138"/>
      <c r="BT519" s="138"/>
      <c r="BU519" s="138"/>
      <c r="BV519" s="138"/>
      <c r="BW519" s="138"/>
      <c r="BX519" s="138"/>
      <c r="BY519" s="138"/>
      <c r="BZ519" s="138"/>
      <c r="CA519" s="138"/>
      <c r="CB519" s="138"/>
      <c r="CC519" s="138"/>
      <c r="CD519" s="138"/>
      <c r="CE519" s="138"/>
    </row>
    <row r="520" spans="1:83" ht="12" customHeight="1">
      <c r="A520" s="138"/>
      <c r="B520" s="138"/>
      <c r="C520" s="138"/>
      <c r="D520" s="22"/>
      <c r="E520" s="22"/>
      <c r="F520" s="22"/>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c r="AR520" s="138"/>
      <c r="AS520" s="138"/>
      <c r="AT520" s="138"/>
      <c r="AU520" s="138"/>
      <c r="AV520" s="138"/>
      <c r="AW520" s="138"/>
      <c r="AX520" s="138"/>
      <c r="AY520" s="138"/>
      <c r="AZ520" s="138"/>
      <c r="BA520" s="138"/>
      <c r="BB520" s="138"/>
      <c r="BC520" s="138"/>
      <c r="BD520" s="138"/>
      <c r="BE520" s="138"/>
      <c r="BF520" s="138"/>
      <c r="BG520" s="138"/>
      <c r="BH520" s="138"/>
      <c r="BI520" s="138"/>
      <c r="BJ520" s="138"/>
      <c r="BK520" s="138"/>
      <c r="BL520" s="138"/>
      <c r="BM520" s="138"/>
      <c r="BN520" s="138"/>
      <c r="BO520" s="138"/>
      <c r="BP520" s="138"/>
      <c r="BQ520" s="138"/>
      <c r="BR520" s="138"/>
      <c r="BS520" s="138"/>
      <c r="BT520" s="138"/>
      <c r="BU520" s="138"/>
      <c r="BV520" s="138"/>
      <c r="BW520" s="138"/>
      <c r="BX520" s="138"/>
      <c r="BY520" s="138"/>
      <c r="BZ520" s="138"/>
      <c r="CA520" s="138"/>
      <c r="CB520" s="138"/>
      <c r="CC520" s="138"/>
      <c r="CD520" s="138"/>
      <c r="CE520" s="138"/>
    </row>
    <row r="521" spans="1:83" ht="12" customHeight="1">
      <c r="A521" s="138"/>
      <c r="B521" s="138"/>
      <c r="C521" s="138"/>
      <c r="D521" s="22"/>
      <c r="E521" s="22"/>
      <c r="F521" s="22"/>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c r="AR521" s="138"/>
      <c r="AS521" s="138"/>
      <c r="AT521" s="138"/>
      <c r="AU521" s="138"/>
      <c r="AV521" s="138"/>
      <c r="AW521" s="138"/>
      <c r="AX521" s="138"/>
      <c r="AY521" s="138"/>
      <c r="AZ521" s="138"/>
      <c r="BA521" s="138"/>
      <c r="BB521" s="138"/>
      <c r="BC521" s="138"/>
      <c r="BD521" s="138"/>
      <c r="BE521" s="138"/>
      <c r="BF521" s="138"/>
      <c r="BG521" s="138"/>
      <c r="BH521" s="138"/>
      <c r="BI521" s="138"/>
      <c r="BJ521" s="138"/>
      <c r="BK521" s="138"/>
      <c r="BL521" s="138"/>
      <c r="BM521" s="138"/>
      <c r="BN521" s="138"/>
      <c r="BO521" s="138"/>
      <c r="BP521" s="138"/>
      <c r="BQ521" s="138"/>
      <c r="BR521" s="138"/>
      <c r="BS521" s="138"/>
      <c r="BT521" s="138"/>
      <c r="BU521" s="138"/>
      <c r="BV521" s="138"/>
      <c r="BW521" s="138"/>
      <c r="BX521" s="138"/>
      <c r="BY521" s="138"/>
      <c r="BZ521" s="138"/>
      <c r="CA521" s="138"/>
      <c r="CB521" s="138"/>
      <c r="CC521" s="138"/>
      <c r="CD521" s="138"/>
      <c r="CE521" s="138"/>
    </row>
    <row r="522" spans="1:83" ht="12" customHeight="1">
      <c r="A522" s="138"/>
      <c r="B522" s="138"/>
      <c r="C522" s="138"/>
      <c r="D522" s="22"/>
      <c r="E522" s="22"/>
      <c r="F522" s="22"/>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c r="AR522" s="138"/>
      <c r="AS522" s="138"/>
      <c r="AT522" s="138"/>
      <c r="AU522" s="138"/>
      <c r="AV522" s="138"/>
      <c r="AW522" s="138"/>
      <c r="AX522" s="138"/>
      <c r="AY522" s="138"/>
      <c r="AZ522" s="138"/>
      <c r="BA522" s="138"/>
      <c r="BB522" s="138"/>
      <c r="BC522" s="138"/>
      <c r="BD522" s="138"/>
      <c r="BE522" s="138"/>
      <c r="BF522" s="138"/>
      <c r="BG522" s="138"/>
      <c r="BH522" s="138"/>
      <c r="BI522" s="138"/>
      <c r="BJ522" s="138"/>
      <c r="BK522" s="138"/>
      <c r="BL522" s="138"/>
      <c r="BM522" s="138"/>
      <c r="BN522" s="138"/>
      <c r="BO522" s="138"/>
      <c r="BP522" s="138"/>
      <c r="BQ522" s="138"/>
      <c r="BR522" s="138"/>
      <c r="BS522" s="138"/>
      <c r="BT522" s="138"/>
      <c r="BU522" s="138"/>
      <c r="BV522" s="138"/>
      <c r="BW522" s="138"/>
      <c r="BX522" s="138"/>
      <c r="BY522" s="138"/>
      <c r="BZ522" s="138"/>
      <c r="CA522" s="138"/>
      <c r="CB522" s="138"/>
      <c r="CC522" s="138"/>
      <c r="CD522" s="138"/>
      <c r="CE522" s="138"/>
    </row>
    <row r="523" spans="1:83" ht="12" customHeight="1">
      <c r="A523" s="138"/>
      <c r="B523" s="138"/>
      <c r="C523" s="138"/>
      <c r="D523" s="22"/>
      <c r="E523" s="22"/>
      <c r="F523" s="22"/>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c r="AR523" s="138"/>
      <c r="AS523" s="138"/>
      <c r="AT523" s="138"/>
      <c r="AU523" s="138"/>
      <c r="AV523" s="138"/>
      <c r="AW523" s="138"/>
      <c r="AX523" s="138"/>
      <c r="AY523" s="138"/>
      <c r="AZ523" s="138"/>
      <c r="BA523" s="138"/>
      <c r="BB523" s="138"/>
      <c r="BC523" s="138"/>
      <c r="BD523" s="138"/>
      <c r="BE523" s="138"/>
      <c r="BF523" s="138"/>
      <c r="BG523" s="138"/>
      <c r="BH523" s="138"/>
      <c r="BI523" s="138"/>
      <c r="BJ523" s="138"/>
      <c r="BK523" s="138"/>
      <c r="BL523" s="138"/>
      <c r="BM523" s="138"/>
      <c r="BN523" s="138"/>
      <c r="BO523" s="138"/>
      <c r="BP523" s="138"/>
      <c r="BQ523" s="138"/>
      <c r="BR523" s="138"/>
      <c r="BS523" s="138"/>
      <c r="BT523" s="138"/>
      <c r="BU523" s="138"/>
      <c r="BV523" s="138"/>
      <c r="BW523" s="138"/>
      <c r="BX523" s="138"/>
      <c r="BY523" s="138"/>
      <c r="BZ523" s="138"/>
      <c r="CA523" s="138"/>
      <c r="CB523" s="138"/>
      <c r="CC523" s="138"/>
      <c r="CD523" s="138"/>
      <c r="CE523" s="138"/>
    </row>
    <row r="524" spans="1:83" ht="12" customHeight="1">
      <c r="A524" s="138"/>
      <c r="B524" s="138"/>
      <c r="C524" s="138"/>
      <c r="D524" s="22"/>
      <c r="E524" s="22"/>
      <c r="F524" s="22"/>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c r="AR524" s="138"/>
      <c r="AS524" s="138"/>
      <c r="AT524" s="138"/>
      <c r="AU524" s="138"/>
      <c r="AV524" s="138"/>
      <c r="AW524" s="138"/>
      <c r="AX524" s="138"/>
      <c r="AY524" s="138"/>
      <c r="AZ524" s="138"/>
      <c r="BA524" s="138"/>
      <c r="BB524" s="138"/>
      <c r="BC524" s="138"/>
      <c r="BD524" s="138"/>
      <c r="BE524" s="138"/>
      <c r="BF524" s="138"/>
      <c r="BG524" s="138"/>
      <c r="BH524" s="138"/>
      <c r="BI524" s="138"/>
      <c r="BJ524" s="138"/>
      <c r="BK524" s="138"/>
      <c r="BL524" s="138"/>
      <c r="BM524" s="138"/>
      <c r="BN524" s="138"/>
      <c r="BO524" s="138"/>
      <c r="BP524" s="138"/>
      <c r="BQ524" s="138"/>
      <c r="BR524" s="138"/>
      <c r="BS524" s="138"/>
      <c r="BT524" s="138"/>
      <c r="BU524" s="138"/>
      <c r="BV524" s="138"/>
      <c r="BW524" s="138"/>
      <c r="BX524" s="138"/>
      <c r="BY524" s="138"/>
      <c r="BZ524" s="138"/>
      <c r="CA524" s="138"/>
      <c r="CB524" s="138"/>
      <c r="CC524" s="138"/>
      <c r="CD524" s="138"/>
      <c r="CE524" s="138"/>
    </row>
    <row r="525" spans="1:83" ht="12" customHeight="1">
      <c r="A525" s="138"/>
      <c r="B525" s="138"/>
      <c r="C525" s="138"/>
      <c r="D525" s="22"/>
      <c r="E525" s="22"/>
      <c r="F525" s="22"/>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c r="AR525" s="138"/>
      <c r="AS525" s="138"/>
      <c r="AT525" s="138"/>
      <c r="AU525" s="138"/>
      <c r="AV525" s="138"/>
      <c r="AW525" s="138"/>
      <c r="AX525" s="138"/>
      <c r="AY525" s="138"/>
      <c r="AZ525" s="138"/>
      <c r="BA525" s="138"/>
      <c r="BB525" s="138"/>
      <c r="BC525" s="138"/>
      <c r="BD525" s="138"/>
      <c r="BE525" s="138"/>
      <c r="BF525" s="138"/>
      <c r="BG525" s="138"/>
      <c r="BH525" s="138"/>
      <c r="BI525" s="138"/>
      <c r="BJ525" s="138"/>
      <c r="BK525" s="138"/>
      <c r="BL525" s="138"/>
      <c r="BM525" s="138"/>
      <c r="BN525" s="138"/>
      <c r="BO525" s="138"/>
      <c r="BP525" s="138"/>
      <c r="BQ525" s="138"/>
      <c r="BR525" s="138"/>
      <c r="BS525" s="138"/>
      <c r="BT525" s="138"/>
      <c r="BU525" s="138"/>
      <c r="BV525" s="138"/>
      <c r="BW525" s="138"/>
      <c r="BX525" s="138"/>
      <c r="BY525" s="138"/>
      <c r="BZ525" s="138"/>
      <c r="CA525" s="138"/>
      <c r="CB525" s="138"/>
      <c r="CC525" s="138"/>
      <c r="CD525" s="138"/>
      <c r="CE525" s="138"/>
    </row>
    <row r="526" spans="1:83" ht="12" customHeight="1">
      <c r="A526" s="138"/>
      <c r="B526" s="138"/>
      <c r="C526" s="138"/>
      <c r="D526" s="22"/>
      <c r="E526" s="22"/>
      <c r="F526" s="22"/>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c r="AR526" s="138"/>
      <c r="AS526" s="138"/>
      <c r="AT526" s="138"/>
      <c r="AU526" s="138"/>
      <c r="AV526" s="138"/>
      <c r="AW526" s="138"/>
      <c r="AX526" s="138"/>
      <c r="AY526" s="138"/>
      <c r="AZ526" s="138"/>
      <c r="BA526" s="138"/>
      <c r="BB526" s="138"/>
      <c r="BC526" s="138"/>
      <c r="BD526" s="138"/>
      <c r="BE526" s="138"/>
      <c r="BF526" s="138"/>
      <c r="BG526" s="138"/>
      <c r="BH526" s="138"/>
      <c r="BI526" s="138"/>
      <c r="BJ526" s="138"/>
      <c r="BK526" s="138"/>
      <c r="BL526" s="138"/>
      <c r="BM526" s="138"/>
      <c r="BN526" s="138"/>
      <c r="BO526" s="138"/>
      <c r="BP526" s="138"/>
      <c r="BQ526" s="138"/>
      <c r="BR526" s="138"/>
      <c r="BS526" s="138"/>
      <c r="BT526" s="138"/>
      <c r="BU526" s="138"/>
      <c r="BV526" s="138"/>
      <c r="BW526" s="138"/>
      <c r="BX526" s="138"/>
      <c r="BY526" s="138"/>
      <c r="BZ526" s="138"/>
      <c r="CA526" s="138"/>
      <c r="CB526" s="138"/>
      <c r="CC526" s="138"/>
      <c r="CD526" s="138"/>
      <c r="CE526" s="138"/>
    </row>
    <row r="527" spans="1:83" ht="12" customHeight="1">
      <c r="A527" s="138"/>
      <c r="B527" s="138"/>
      <c r="C527" s="138"/>
      <c r="D527" s="22"/>
      <c r="E527" s="22"/>
      <c r="F527" s="22"/>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c r="AR527" s="138"/>
      <c r="AS527" s="138"/>
      <c r="AT527" s="138"/>
      <c r="AU527" s="138"/>
      <c r="AV527" s="138"/>
      <c r="AW527" s="138"/>
      <c r="AX527" s="138"/>
      <c r="AY527" s="138"/>
      <c r="AZ527" s="138"/>
      <c r="BA527" s="138"/>
      <c r="BB527" s="138"/>
      <c r="BC527" s="138"/>
      <c r="BD527" s="138"/>
      <c r="BE527" s="138"/>
      <c r="BF527" s="138"/>
      <c r="BG527" s="138"/>
      <c r="BH527" s="138"/>
      <c r="BI527" s="138"/>
      <c r="BJ527" s="138"/>
      <c r="BK527" s="138"/>
      <c r="BL527" s="138"/>
      <c r="BM527" s="138"/>
      <c r="BN527" s="138"/>
      <c r="BO527" s="138"/>
      <c r="BP527" s="138"/>
      <c r="BQ527" s="138"/>
      <c r="BR527" s="138"/>
      <c r="BS527" s="138"/>
      <c r="BT527" s="138"/>
      <c r="BU527" s="138"/>
      <c r="BV527" s="138"/>
      <c r="BW527" s="138"/>
      <c r="BX527" s="138"/>
      <c r="BY527" s="138"/>
      <c r="BZ527" s="138"/>
      <c r="CA527" s="138"/>
      <c r="CB527" s="138"/>
      <c r="CC527" s="138"/>
      <c r="CD527" s="138"/>
      <c r="CE527" s="138"/>
    </row>
    <row r="528" spans="1:83" ht="12" customHeight="1">
      <c r="A528" s="138"/>
      <c r="B528" s="138"/>
      <c r="C528" s="138"/>
      <c r="D528" s="22"/>
      <c r="E528" s="22"/>
      <c r="F528" s="22"/>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c r="AR528" s="138"/>
      <c r="AS528" s="138"/>
      <c r="AT528" s="138"/>
      <c r="AU528" s="138"/>
      <c r="AV528" s="138"/>
      <c r="AW528" s="138"/>
      <c r="AX528" s="138"/>
      <c r="AY528" s="138"/>
      <c r="AZ528" s="138"/>
      <c r="BA528" s="138"/>
      <c r="BB528" s="138"/>
      <c r="BC528" s="138"/>
      <c r="BD528" s="138"/>
      <c r="BE528" s="138"/>
      <c r="BF528" s="138"/>
      <c r="BG528" s="138"/>
      <c r="BH528" s="138"/>
      <c r="BI528" s="138"/>
      <c r="BJ528" s="138"/>
      <c r="BK528" s="138"/>
      <c r="BL528" s="138"/>
      <c r="BM528" s="138"/>
      <c r="BN528" s="138"/>
      <c r="BO528" s="138"/>
      <c r="BP528" s="138"/>
      <c r="BQ528" s="138"/>
      <c r="BR528" s="138"/>
      <c r="BS528" s="138"/>
      <c r="BT528" s="138"/>
      <c r="BU528" s="138"/>
      <c r="BV528" s="138"/>
      <c r="BW528" s="138"/>
      <c r="BX528" s="138"/>
      <c r="BY528" s="138"/>
      <c r="BZ528" s="138"/>
      <c r="CA528" s="138"/>
      <c r="CB528" s="138"/>
      <c r="CC528" s="138"/>
      <c r="CD528" s="138"/>
      <c r="CE528" s="138"/>
    </row>
    <row r="529" spans="1:83" ht="12" customHeight="1">
      <c r="A529" s="138"/>
      <c r="B529" s="138"/>
      <c r="C529" s="138"/>
      <c r="D529" s="22"/>
      <c r="E529" s="22"/>
      <c r="F529" s="22"/>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c r="AR529" s="138"/>
      <c r="AS529" s="138"/>
      <c r="AT529" s="138"/>
      <c r="AU529" s="138"/>
      <c r="AV529" s="138"/>
      <c r="AW529" s="138"/>
      <c r="AX529" s="138"/>
      <c r="AY529" s="138"/>
      <c r="AZ529" s="138"/>
      <c r="BA529" s="138"/>
      <c r="BB529" s="138"/>
      <c r="BC529" s="138"/>
      <c r="BD529" s="138"/>
      <c r="BE529" s="138"/>
      <c r="BF529" s="138"/>
      <c r="BG529" s="138"/>
      <c r="BH529" s="138"/>
      <c r="BI529" s="138"/>
      <c r="BJ529" s="138"/>
      <c r="BK529" s="138"/>
      <c r="BL529" s="138"/>
      <c r="BM529" s="138"/>
      <c r="BN529" s="138"/>
      <c r="BO529" s="138"/>
      <c r="BP529" s="138"/>
      <c r="BQ529" s="138"/>
      <c r="BR529" s="138"/>
      <c r="BS529" s="138"/>
      <c r="BT529" s="138"/>
      <c r="BU529" s="138"/>
      <c r="BV529" s="138"/>
      <c r="BW529" s="138"/>
      <c r="BX529" s="138"/>
      <c r="BY529" s="138"/>
      <c r="BZ529" s="138"/>
      <c r="CA529" s="138"/>
      <c r="CB529" s="138"/>
      <c r="CC529" s="138"/>
      <c r="CD529" s="138"/>
      <c r="CE529" s="138"/>
    </row>
    <row r="530" spans="1:83" ht="12" customHeight="1">
      <c r="A530" s="138"/>
      <c r="B530" s="138"/>
      <c r="C530" s="138"/>
      <c r="D530" s="22"/>
      <c r="E530" s="22"/>
      <c r="F530" s="22"/>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c r="AR530" s="138"/>
      <c r="AS530" s="138"/>
      <c r="AT530" s="138"/>
      <c r="AU530" s="138"/>
      <c r="AV530" s="138"/>
      <c r="AW530" s="138"/>
      <c r="AX530" s="138"/>
      <c r="AY530" s="138"/>
      <c r="AZ530" s="138"/>
      <c r="BA530" s="138"/>
      <c r="BB530" s="138"/>
      <c r="BC530" s="138"/>
      <c r="BD530" s="138"/>
      <c r="BE530" s="138"/>
      <c r="BF530" s="138"/>
      <c r="BG530" s="138"/>
      <c r="BH530" s="138"/>
      <c r="BI530" s="138"/>
      <c r="BJ530" s="138"/>
      <c r="BK530" s="138"/>
      <c r="BL530" s="138"/>
      <c r="BM530" s="138"/>
      <c r="BN530" s="138"/>
      <c r="BO530" s="138"/>
      <c r="BP530" s="138"/>
      <c r="BQ530" s="138"/>
      <c r="BR530" s="138"/>
      <c r="BS530" s="138"/>
      <c r="BT530" s="138"/>
      <c r="BU530" s="138"/>
      <c r="BV530" s="138"/>
      <c r="BW530" s="138"/>
      <c r="BX530" s="138"/>
      <c r="BY530" s="138"/>
      <c r="BZ530" s="138"/>
      <c r="CA530" s="138"/>
      <c r="CB530" s="138"/>
      <c r="CC530" s="138"/>
      <c r="CD530" s="138"/>
      <c r="CE530" s="138"/>
    </row>
    <row r="531" spans="1:83" ht="12" customHeight="1">
      <c r="A531" s="138"/>
      <c r="B531" s="138"/>
      <c r="C531" s="138"/>
      <c r="D531" s="22"/>
      <c r="E531" s="22"/>
      <c r="F531" s="22"/>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c r="AR531" s="138"/>
      <c r="AS531" s="138"/>
      <c r="AT531" s="138"/>
      <c r="AU531" s="138"/>
      <c r="AV531" s="138"/>
      <c r="AW531" s="138"/>
      <c r="AX531" s="138"/>
      <c r="AY531" s="138"/>
      <c r="AZ531" s="138"/>
      <c r="BA531" s="138"/>
      <c r="BB531" s="138"/>
      <c r="BC531" s="138"/>
      <c r="BD531" s="138"/>
      <c r="BE531" s="138"/>
      <c r="BF531" s="138"/>
      <c r="BG531" s="138"/>
      <c r="BH531" s="138"/>
      <c r="BI531" s="138"/>
      <c r="BJ531" s="138"/>
      <c r="BK531" s="138"/>
      <c r="BL531" s="138"/>
      <c r="BM531" s="138"/>
      <c r="BN531" s="138"/>
      <c r="BO531" s="138"/>
      <c r="BP531" s="138"/>
      <c r="BQ531" s="138"/>
      <c r="BR531" s="138"/>
      <c r="BS531" s="138"/>
      <c r="BT531" s="138"/>
      <c r="BU531" s="138"/>
      <c r="BV531" s="138"/>
      <c r="BW531" s="138"/>
      <c r="BX531" s="138"/>
      <c r="BY531" s="138"/>
      <c r="BZ531" s="138"/>
      <c r="CA531" s="138"/>
      <c r="CB531" s="138"/>
      <c r="CC531" s="138"/>
      <c r="CD531" s="138"/>
      <c r="CE531" s="138"/>
    </row>
    <row r="532" spans="1:83" ht="12" customHeight="1">
      <c r="A532" s="138"/>
      <c r="B532" s="138"/>
      <c r="C532" s="138"/>
      <c r="D532" s="22"/>
      <c r="E532" s="22"/>
      <c r="F532" s="22"/>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c r="AR532" s="138"/>
      <c r="AS532" s="138"/>
      <c r="AT532" s="138"/>
      <c r="AU532" s="138"/>
      <c r="AV532" s="138"/>
      <c r="AW532" s="138"/>
      <c r="AX532" s="138"/>
      <c r="AY532" s="138"/>
      <c r="AZ532" s="138"/>
      <c r="BA532" s="138"/>
      <c r="BB532" s="138"/>
      <c r="BC532" s="138"/>
      <c r="BD532" s="138"/>
      <c r="BE532" s="138"/>
      <c r="BF532" s="138"/>
      <c r="BG532" s="138"/>
      <c r="BH532" s="138"/>
      <c r="BI532" s="138"/>
      <c r="BJ532" s="138"/>
      <c r="BK532" s="138"/>
      <c r="BL532" s="138"/>
      <c r="BM532" s="138"/>
      <c r="BN532" s="138"/>
      <c r="BO532" s="138"/>
      <c r="BP532" s="138"/>
      <c r="BQ532" s="138"/>
      <c r="BR532" s="138"/>
      <c r="BS532" s="138"/>
      <c r="BT532" s="138"/>
      <c r="BU532" s="138"/>
      <c r="BV532" s="138"/>
      <c r="BW532" s="138"/>
      <c r="BX532" s="138"/>
      <c r="BY532" s="138"/>
      <c r="BZ532" s="138"/>
      <c r="CA532" s="138"/>
      <c r="CB532" s="138"/>
      <c r="CC532" s="138"/>
      <c r="CD532" s="138"/>
      <c r="CE532" s="138"/>
    </row>
    <row r="533" spans="1:83" ht="12" customHeight="1">
      <c r="A533" s="138"/>
      <c r="B533" s="138"/>
      <c r="C533" s="138"/>
      <c r="D533" s="22"/>
      <c r="E533" s="22"/>
      <c r="F533" s="22"/>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c r="AR533" s="138"/>
      <c r="AS533" s="138"/>
      <c r="AT533" s="138"/>
      <c r="AU533" s="138"/>
      <c r="AV533" s="138"/>
      <c r="AW533" s="138"/>
      <c r="AX533" s="138"/>
      <c r="AY533" s="138"/>
      <c r="AZ533" s="138"/>
      <c r="BA533" s="138"/>
      <c r="BB533" s="138"/>
      <c r="BC533" s="138"/>
      <c r="BD533" s="138"/>
      <c r="BE533" s="138"/>
      <c r="BF533" s="138"/>
      <c r="BG533" s="138"/>
      <c r="BH533" s="138"/>
      <c r="BI533" s="138"/>
      <c r="BJ533" s="138"/>
      <c r="BK533" s="138"/>
      <c r="BL533" s="138"/>
      <c r="BM533" s="138"/>
      <c r="BN533" s="138"/>
      <c r="BO533" s="138"/>
      <c r="BP533" s="138"/>
      <c r="BQ533" s="138"/>
      <c r="BR533" s="138"/>
      <c r="BS533" s="138"/>
      <c r="BT533" s="138"/>
      <c r="BU533" s="138"/>
      <c r="BV533" s="138"/>
      <c r="BW533" s="138"/>
      <c r="BX533" s="138"/>
      <c r="BY533" s="138"/>
      <c r="BZ533" s="138"/>
      <c r="CA533" s="138"/>
      <c r="CB533" s="138"/>
      <c r="CC533" s="138"/>
      <c r="CD533" s="138"/>
      <c r="CE533" s="138"/>
    </row>
    <row r="534" spans="1:83" ht="12" customHeight="1">
      <c r="A534" s="138"/>
      <c r="B534" s="138"/>
      <c r="C534" s="138"/>
      <c r="D534" s="22"/>
      <c r="E534" s="22"/>
      <c r="F534" s="22"/>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c r="AR534" s="138"/>
      <c r="AS534" s="138"/>
      <c r="AT534" s="138"/>
      <c r="AU534" s="138"/>
      <c r="AV534" s="138"/>
      <c r="AW534" s="138"/>
      <c r="AX534" s="138"/>
      <c r="AY534" s="138"/>
      <c r="AZ534" s="138"/>
      <c r="BA534" s="138"/>
      <c r="BB534" s="138"/>
      <c r="BC534" s="138"/>
      <c r="BD534" s="138"/>
      <c r="BE534" s="138"/>
      <c r="BF534" s="138"/>
      <c r="BG534" s="138"/>
      <c r="BH534" s="138"/>
      <c r="BI534" s="138"/>
      <c r="BJ534" s="138"/>
      <c r="BK534" s="138"/>
      <c r="BL534" s="138"/>
      <c r="BM534" s="138"/>
      <c r="BN534" s="138"/>
      <c r="BO534" s="138"/>
      <c r="BP534" s="138"/>
      <c r="BQ534" s="138"/>
      <c r="BR534" s="138"/>
      <c r="BS534" s="138"/>
      <c r="BT534" s="138"/>
      <c r="BU534" s="138"/>
      <c r="BV534" s="138"/>
      <c r="BW534" s="138"/>
      <c r="BX534" s="138"/>
      <c r="BY534" s="138"/>
      <c r="BZ534" s="138"/>
      <c r="CA534" s="138"/>
      <c r="CB534" s="138"/>
      <c r="CC534" s="138"/>
      <c r="CD534" s="138"/>
      <c r="CE534" s="138"/>
    </row>
    <row r="535" spans="1:83" ht="12" customHeight="1">
      <c r="A535" s="138"/>
      <c r="B535" s="138"/>
      <c r="C535" s="138"/>
      <c r="D535" s="22"/>
      <c r="E535" s="22"/>
      <c r="F535" s="22"/>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c r="AR535" s="138"/>
      <c r="AS535" s="138"/>
      <c r="AT535" s="138"/>
      <c r="AU535" s="138"/>
      <c r="AV535" s="138"/>
      <c r="AW535" s="138"/>
      <c r="AX535" s="138"/>
      <c r="AY535" s="138"/>
      <c r="AZ535" s="138"/>
      <c r="BA535" s="138"/>
      <c r="BB535" s="138"/>
      <c r="BC535" s="138"/>
      <c r="BD535" s="138"/>
      <c r="BE535" s="138"/>
      <c r="BF535" s="138"/>
      <c r="BG535" s="138"/>
      <c r="BH535" s="138"/>
      <c r="BI535" s="138"/>
      <c r="BJ535" s="138"/>
      <c r="BK535" s="138"/>
      <c r="BL535" s="138"/>
      <c r="BM535" s="138"/>
      <c r="BN535" s="138"/>
      <c r="BO535" s="138"/>
      <c r="BP535" s="138"/>
      <c r="BQ535" s="138"/>
      <c r="BR535" s="138"/>
      <c r="BS535" s="138"/>
      <c r="BT535" s="138"/>
      <c r="BU535" s="138"/>
      <c r="BV535" s="138"/>
      <c r="BW535" s="138"/>
      <c r="BX535" s="138"/>
      <c r="BY535" s="138"/>
      <c r="BZ535" s="138"/>
      <c r="CA535" s="138"/>
      <c r="CB535" s="138"/>
      <c r="CC535" s="138"/>
      <c r="CD535" s="138"/>
      <c r="CE535" s="138"/>
    </row>
    <row r="536" spans="1:83" ht="12" customHeight="1">
      <c r="A536" s="138"/>
      <c r="B536" s="138"/>
      <c r="C536" s="138"/>
      <c r="D536" s="22"/>
      <c r="E536" s="22"/>
      <c r="F536" s="22"/>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c r="AR536" s="138"/>
      <c r="AS536" s="138"/>
      <c r="AT536" s="138"/>
      <c r="AU536" s="138"/>
      <c r="AV536" s="138"/>
      <c r="AW536" s="138"/>
      <c r="AX536" s="138"/>
      <c r="AY536" s="138"/>
      <c r="AZ536" s="138"/>
      <c r="BA536" s="138"/>
      <c r="BB536" s="138"/>
      <c r="BC536" s="138"/>
      <c r="BD536" s="138"/>
      <c r="BE536" s="138"/>
      <c r="BF536" s="138"/>
      <c r="BG536" s="138"/>
      <c r="BH536" s="138"/>
      <c r="BI536" s="138"/>
      <c r="BJ536" s="138"/>
      <c r="BK536" s="138"/>
      <c r="BL536" s="138"/>
      <c r="BM536" s="138"/>
      <c r="BN536" s="138"/>
      <c r="BO536" s="138"/>
      <c r="BP536" s="138"/>
      <c r="BQ536" s="138"/>
      <c r="BR536" s="138"/>
      <c r="BS536" s="138"/>
      <c r="BT536" s="138"/>
      <c r="BU536" s="138"/>
      <c r="BV536" s="138"/>
      <c r="BW536" s="138"/>
      <c r="BX536" s="138"/>
      <c r="BY536" s="138"/>
      <c r="BZ536" s="138"/>
      <c r="CA536" s="138"/>
      <c r="CB536" s="138"/>
      <c r="CC536" s="138"/>
      <c r="CD536" s="138"/>
      <c r="CE536" s="138"/>
    </row>
    <row r="537" spans="1:83" ht="12" customHeight="1">
      <c r="A537" s="138"/>
      <c r="B537" s="138"/>
      <c r="C537" s="138"/>
      <c r="D537" s="22"/>
      <c r="E537" s="22"/>
      <c r="F537" s="22"/>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c r="AR537" s="138"/>
      <c r="AS537" s="138"/>
      <c r="AT537" s="138"/>
      <c r="AU537" s="138"/>
      <c r="AV537" s="138"/>
      <c r="AW537" s="138"/>
      <c r="AX537" s="138"/>
      <c r="AY537" s="138"/>
      <c r="AZ537" s="138"/>
      <c r="BA537" s="138"/>
      <c r="BB537" s="138"/>
      <c r="BC537" s="138"/>
      <c r="BD537" s="138"/>
      <c r="BE537" s="138"/>
      <c r="BF537" s="138"/>
      <c r="BG537" s="138"/>
      <c r="BH537" s="138"/>
      <c r="BI537" s="138"/>
      <c r="BJ537" s="138"/>
      <c r="BK537" s="138"/>
      <c r="BL537" s="138"/>
      <c r="BM537" s="138"/>
      <c r="BN537" s="138"/>
      <c r="BO537" s="138"/>
      <c r="BP537" s="138"/>
      <c r="BQ537" s="138"/>
      <c r="BR537" s="138"/>
      <c r="BS537" s="138"/>
      <c r="BT537" s="138"/>
      <c r="BU537" s="138"/>
      <c r="BV537" s="138"/>
      <c r="BW537" s="138"/>
      <c r="BX537" s="138"/>
      <c r="BY537" s="138"/>
      <c r="BZ537" s="138"/>
      <c r="CA537" s="138"/>
      <c r="CB537" s="138"/>
      <c r="CC537" s="138"/>
      <c r="CD537" s="138"/>
      <c r="CE537" s="138"/>
    </row>
    <row r="538" spans="1:83" ht="12" customHeight="1">
      <c r="A538" s="138"/>
      <c r="B538" s="138"/>
      <c r="C538" s="138"/>
      <c r="D538" s="22"/>
      <c r="E538" s="22"/>
      <c r="F538" s="22"/>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c r="AR538" s="138"/>
      <c r="AS538" s="138"/>
      <c r="AT538" s="138"/>
      <c r="AU538" s="138"/>
      <c r="AV538" s="138"/>
      <c r="AW538" s="138"/>
      <c r="AX538" s="138"/>
      <c r="AY538" s="138"/>
      <c r="AZ538" s="138"/>
      <c r="BA538" s="138"/>
      <c r="BB538" s="138"/>
      <c r="BC538" s="138"/>
      <c r="BD538" s="138"/>
      <c r="BE538" s="138"/>
      <c r="BF538" s="138"/>
      <c r="BG538" s="138"/>
      <c r="BH538" s="138"/>
      <c r="BI538" s="138"/>
      <c r="BJ538" s="138"/>
      <c r="BK538" s="138"/>
      <c r="BL538" s="138"/>
      <c r="BM538" s="138"/>
      <c r="BN538" s="138"/>
      <c r="BO538" s="138"/>
      <c r="BP538" s="138"/>
      <c r="BQ538" s="138"/>
      <c r="BR538" s="138"/>
      <c r="BS538" s="138"/>
      <c r="BT538" s="138"/>
      <c r="BU538" s="138"/>
      <c r="BV538" s="138"/>
      <c r="BW538" s="138"/>
      <c r="BX538" s="138"/>
      <c r="BY538" s="138"/>
      <c r="BZ538" s="138"/>
      <c r="CA538" s="138"/>
      <c r="CB538" s="138"/>
      <c r="CC538" s="138"/>
      <c r="CD538" s="138"/>
      <c r="CE538" s="138"/>
    </row>
    <row r="539" spans="1:83" ht="12" customHeight="1">
      <c r="A539" s="138"/>
      <c r="B539" s="138"/>
      <c r="C539" s="138"/>
      <c r="D539" s="22"/>
      <c r="E539" s="22"/>
      <c r="F539" s="22"/>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c r="AR539" s="138"/>
      <c r="AS539" s="138"/>
      <c r="AT539" s="138"/>
      <c r="AU539" s="138"/>
      <c r="AV539" s="138"/>
      <c r="AW539" s="138"/>
      <c r="AX539" s="138"/>
      <c r="AY539" s="138"/>
      <c r="AZ539" s="138"/>
      <c r="BA539" s="138"/>
      <c r="BB539" s="138"/>
      <c r="BC539" s="138"/>
      <c r="BD539" s="138"/>
      <c r="BE539" s="138"/>
      <c r="BF539" s="138"/>
      <c r="BG539" s="138"/>
      <c r="BH539" s="138"/>
      <c r="BI539" s="138"/>
      <c r="BJ539" s="138"/>
      <c r="BK539" s="138"/>
      <c r="BL539" s="138"/>
      <c r="BM539" s="138"/>
      <c r="BN539" s="138"/>
      <c r="BO539" s="138"/>
      <c r="BP539" s="138"/>
      <c r="BQ539" s="138"/>
      <c r="BR539" s="138"/>
      <c r="BS539" s="138"/>
      <c r="BT539" s="138"/>
      <c r="BU539" s="138"/>
      <c r="BV539" s="138"/>
      <c r="BW539" s="138"/>
      <c r="BX539" s="138"/>
      <c r="BY539" s="138"/>
      <c r="BZ539" s="138"/>
      <c r="CA539" s="138"/>
      <c r="CB539" s="138"/>
      <c r="CC539" s="138"/>
      <c r="CD539" s="138"/>
      <c r="CE539" s="138"/>
    </row>
    <row r="540" spans="1:83" ht="12" customHeight="1">
      <c r="A540" s="138"/>
      <c r="B540" s="138"/>
      <c r="C540" s="138"/>
      <c r="D540" s="22"/>
      <c r="E540" s="22"/>
      <c r="F540" s="22"/>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c r="AS540" s="138"/>
      <c r="AT540" s="138"/>
      <c r="AU540" s="138"/>
      <c r="AV540" s="138"/>
      <c r="AW540" s="138"/>
      <c r="AX540" s="138"/>
      <c r="AY540" s="138"/>
      <c r="AZ540" s="138"/>
      <c r="BA540" s="138"/>
      <c r="BB540" s="138"/>
      <c r="BC540" s="138"/>
      <c r="BD540" s="138"/>
      <c r="BE540" s="138"/>
      <c r="BF540" s="138"/>
      <c r="BG540" s="138"/>
      <c r="BH540" s="138"/>
      <c r="BI540" s="138"/>
      <c r="BJ540" s="138"/>
      <c r="BK540" s="138"/>
      <c r="BL540" s="138"/>
      <c r="BM540" s="138"/>
      <c r="BN540" s="138"/>
      <c r="BO540" s="138"/>
      <c r="BP540" s="138"/>
      <c r="BQ540" s="138"/>
      <c r="BR540" s="138"/>
      <c r="BS540" s="138"/>
      <c r="BT540" s="138"/>
      <c r="BU540" s="138"/>
      <c r="BV540" s="138"/>
      <c r="BW540" s="138"/>
      <c r="BX540" s="138"/>
      <c r="BY540" s="138"/>
      <c r="BZ540" s="138"/>
      <c r="CA540" s="138"/>
      <c r="CB540" s="138"/>
      <c r="CC540" s="138"/>
      <c r="CD540" s="138"/>
      <c r="CE540" s="138"/>
    </row>
    <row r="541" spans="1:83" ht="12" customHeight="1">
      <c r="A541" s="138"/>
      <c r="B541" s="138"/>
      <c r="C541" s="138"/>
      <c r="D541" s="22"/>
      <c r="E541" s="22"/>
      <c r="F541" s="22"/>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c r="AR541" s="138"/>
      <c r="AS541" s="138"/>
      <c r="AT541" s="138"/>
      <c r="AU541" s="138"/>
      <c r="AV541" s="138"/>
      <c r="AW541" s="138"/>
      <c r="AX541" s="138"/>
      <c r="AY541" s="138"/>
      <c r="AZ541" s="138"/>
      <c r="BA541" s="138"/>
      <c r="BB541" s="138"/>
      <c r="BC541" s="138"/>
      <c r="BD541" s="138"/>
      <c r="BE541" s="138"/>
      <c r="BF541" s="138"/>
      <c r="BG541" s="138"/>
      <c r="BH541" s="138"/>
      <c r="BI541" s="138"/>
      <c r="BJ541" s="138"/>
      <c r="BK541" s="138"/>
      <c r="BL541" s="138"/>
      <c r="BM541" s="138"/>
      <c r="BN541" s="138"/>
      <c r="BO541" s="138"/>
      <c r="BP541" s="138"/>
      <c r="BQ541" s="138"/>
      <c r="BR541" s="138"/>
      <c r="BS541" s="138"/>
      <c r="BT541" s="138"/>
      <c r="BU541" s="138"/>
      <c r="BV541" s="138"/>
      <c r="BW541" s="138"/>
      <c r="BX541" s="138"/>
      <c r="BY541" s="138"/>
      <c r="BZ541" s="138"/>
      <c r="CA541" s="138"/>
      <c r="CB541" s="138"/>
      <c r="CC541" s="138"/>
      <c r="CD541" s="138"/>
      <c r="CE541" s="138"/>
    </row>
    <row r="542" spans="1:83" ht="12" customHeight="1">
      <c r="A542" s="138"/>
      <c r="B542" s="138"/>
      <c r="C542" s="138"/>
      <c r="D542" s="22"/>
      <c r="E542" s="22"/>
      <c r="F542" s="22"/>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38"/>
      <c r="BB542" s="138"/>
      <c r="BC542" s="138"/>
      <c r="BD542" s="138"/>
      <c r="BE542" s="138"/>
      <c r="BF542" s="138"/>
      <c r="BG542" s="138"/>
      <c r="BH542" s="138"/>
      <c r="BI542" s="138"/>
      <c r="BJ542" s="138"/>
      <c r="BK542" s="138"/>
      <c r="BL542" s="138"/>
      <c r="BM542" s="138"/>
      <c r="BN542" s="138"/>
      <c r="BO542" s="138"/>
      <c r="BP542" s="138"/>
      <c r="BQ542" s="138"/>
      <c r="BR542" s="138"/>
      <c r="BS542" s="138"/>
      <c r="BT542" s="138"/>
      <c r="BU542" s="138"/>
      <c r="BV542" s="138"/>
      <c r="BW542" s="138"/>
      <c r="BX542" s="138"/>
      <c r="BY542" s="138"/>
      <c r="BZ542" s="138"/>
      <c r="CA542" s="138"/>
      <c r="CB542" s="138"/>
      <c r="CC542" s="138"/>
      <c r="CD542" s="138"/>
      <c r="CE542" s="138"/>
    </row>
    <row r="543" spans="1:83" ht="12" customHeight="1">
      <c r="A543" s="138"/>
      <c r="B543" s="138"/>
      <c r="C543" s="138"/>
      <c r="D543" s="22"/>
      <c r="E543" s="22"/>
      <c r="F543" s="22"/>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c r="AR543" s="138"/>
      <c r="AS543" s="138"/>
      <c r="AT543" s="138"/>
      <c r="AU543" s="138"/>
      <c r="AV543" s="138"/>
      <c r="AW543" s="138"/>
      <c r="AX543" s="138"/>
      <c r="AY543" s="138"/>
      <c r="AZ543" s="138"/>
      <c r="BA543" s="138"/>
      <c r="BB543" s="138"/>
      <c r="BC543" s="138"/>
      <c r="BD543" s="138"/>
      <c r="BE543" s="138"/>
      <c r="BF543" s="138"/>
      <c r="BG543" s="138"/>
      <c r="BH543" s="138"/>
      <c r="BI543" s="138"/>
      <c r="BJ543" s="138"/>
      <c r="BK543" s="138"/>
      <c r="BL543" s="138"/>
      <c r="BM543" s="138"/>
      <c r="BN543" s="138"/>
      <c r="BO543" s="138"/>
      <c r="BP543" s="138"/>
      <c r="BQ543" s="138"/>
      <c r="BR543" s="138"/>
      <c r="BS543" s="138"/>
      <c r="BT543" s="138"/>
      <c r="BU543" s="138"/>
      <c r="BV543" s="138"/>
      <c r="BW543" s="138"/>
      <c r="BX543" s="138"/>
      <c r="BY543" s="138"/>
      <c r="BZ543" s="138"/>
      <c r="CA543" s="138"/>
      <c r="CB543" s="138"/>
      <c r="CC543" s="138"/>
      <c r="CD543" s="138"/>
      <c r="CE543" s="138"/>
    </row>
    <row r="544" spans="1:83" ht="12" customHeight="1">
      <c r="A544" s="138"/>
      <c r="B544" s="138"/>
      <c r="C544" s="138"/>
      <c r="D544" s="22"/>
      <c r="E544" s="22"/>
      <c r="F544" s="22"/>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c r="AR544" s="138"/>
      <c r="AS544" s="138"/>
      <c r="AT544" s="138"/>
      <c r="AU544" s="138"/>
      <c r="AV544" s="138"/>
      <c r="AW544" s="138"/>
      <c r="AX544" s="138"/>
      <c r="AY544" s="138"/>
      <c r="AZ544" s="138"/>
      <c r="BA544" s="138"/>
      <c r="BB544" s="138"/>
      <c r="BC544" s="138"/>
      <c r="BD544" s="138"/>
      <c r="BE544" s="138"/>
      <c r="BF544" s="138"/>
      <c r="BG544" s="138"/>
      <c r="BH544" s="138"/>
      <c r="BI544" s="138"/>
      <c r="BJ544" s="138"/>
      <c r="BK544" s="138"/>
      <c r="BL544" s="138"/>
      <c r="BM544" s="138"/>
      <c r="BN544" s="138"/>
      <c r="BO544" s="138"/>
      <c r="BP544" s="138"/>
      <c r="BQ544" s="138"/>
      <c r="BR544" s="138"/>
      <c r="BS544" s="138"/>
      <c r="BT544" s="138"/>
      <c r="BU544" s="138"/>
      <c r="BV544" s="138"/>
      <c r="BW544" s="138"/>
      <c r="BX544" s="138"/>
      <c r="BY544" s="138"/>
      <c r="BZ544" s="138"/>
      <c r="CA544" s="138"/>
      <c r="CB544" s="138"/>
      <c r="CC544" s="138"/>
      <c r="CD544" s="138"/>
      <c r="CE544" s="138"/>
    </row>
    <row r="545" spans="1:83" ht="12" customHeight="1">
      <c r="A545" s="138"/>
      <c r="B545" s="138"/>
      <c r="C545" s="138"/>
      <c r="D545" s="22"/>
      <c r="E545" s="22"/>
      <c r="F545" s="22"/>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c r="AR545" s="138"/>
      <c r="AS545" s="138"/>
      <c r="AT545" s="138"/>
      <c r="AU545" s="138"/>
      <c r="AV545" s="138"/>
      <c r="AW545" s="138"/>
      <c r="AX545" s="138"/>
      <c r="AY545" s="138"/>
      <c r="AZ545" s="138"/>
      <c r="BA545" s="138"/>
      <c r="BB545" s="138"/>
      <c r="BC545" s="138"/>
      <c r="BD545" s="138"/>
      <c r="BE545" s="138"/>
      <c r="BF545" s="138"/>
      <c r="BG545" s="138"/>
      <c r="BH545" s="138"/>
      <c r="BI545" s="138"/>
      <c r="BJ545" s="138"/>
      <c r="BK545" s="138"/>
      <c r="BL545" s="138"/>
      <c r="BM545" s="138"/>
      <c r="BN545" s="138"/>
      <c r="BO545" s="138"/>
      <c r="BP545" s="138"/>
      <c r="BQ545" s="138"/>
      <c r="BR545" s="138"/>
      <c r="BS545" s="138"/>
      <c r="BT545" s="138"/>
      <c r="BU545" s="138"/>
      <c r="BV545" s="138"/>
      <c r="BW545" s="138"/>
      <c r="BX545" s="138"/>
      <c r="BY545" s="138"/>
      <c r="BZ545" s="138"/>
      <c r="CA545" s="138"/>
      <c r="CB545" s="138"/>
      <c r="CC545" s="138"/>
      <c r="CD545" s="138"/>
      <c r="CE545" s="138"/>
    </row>
    <row r="546" spans="1:83" ht="12" customHeight="1">
      <c r="A546" s="138"/>
      <c r="B546" s="138"/>
      <c r="C546" s="138"/>
      <c r="D546" s="22"/>
      <c r="E546" s="22"/>
      <c r="F546" s="22"/>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c r="AS546" s="138"/>
      <c r="AT546" s="138"/>
      <c r="AU546" s="138"/>
      <c r="AV546" s="138"/>
      <c r="AW546" s="138"/>
      <c r="AX546" s="138"/>
      <c r="AY546" s="138"/>
      <c r="AZ546" s="138"/>
      <c r="BA546" s="138"/>
      <c r="BB546" s="138"/>
      <c r="BC546" s="138"/>
      <c r="BD546" s="138"/>
      <c r="BE546" s="138"/>
      <c r="BF546" s="138"/>
      <c r="BG546" s="138"/>
      <c r="BH546" s="138"/>
      <c r="BI546" s="138"/>
      <c r="BJ546" s="138"/>
      <c r="BK546" s="138"/>
      <c r="BL546" s="138"/>
      <c r="BM546" s="138"/>
      <c r="BN546" s="138"/>
      <c r="BO546" s="138"/>
      <c r="BP546" s="138"/>
      <c r="BQ546" s="138"/>
      <c r="BR546" s="138"/>
      <c r="BS546" s="138"/>
      <c r="BT546" s="138"/>
      <c r="BU546" s="138"/>
      <c r="BV546" s="138"/>
      <c r="BW546" s="138"/>
      <c r="BX546" s="138"/>
      <c r="BY546" s="138"/>
      <c r="BZ546" s="138"/>
      <c r="CA546" s="138"/>
      <c r="CB546" s="138"/>
      <c r="CC546" s="138"/>
      <c r="CD546" s="138"/>
      <c r="CE546" s="138"/>
    </row>
    <row r="547" spans="1:83" ht="12" customHeight="1">
      <c r="A547" s="138"/>
      <c r="B547" s="138"/>
      <c r="C547" s="138"/>
      <c r="D547" s="22"/>
      <c r="E547" s="22"/>
      <c r="F547" s="22"/>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c r="AR547" s="138"/>
      <c r="AS547" s="138"/>
      <c r="AT547" s="138"/>
      <c r="AU547" s="138"/>
      <c r="AV547" s="138"/>
      <c r="AW547" s="138"/>
      <c r="AX547" s="138"/>
      <c r="AY547" s="138"/>
      <c r="AZ547" s="138"/>
      <c r="BA547" s="138"/>
      <c r="BB547" s="138"/>
      <c r="BC547" s="138"/>
      <c r="BD547" s="138"/>
      <c r="BE547" s="138"/>
      <c r="BF547" s="138"/>
      <c r="BG547" s="138"/>
      <c r="BH547" s="138"/>
      <c r="BI547" s="138"/>
      <c r="BJ547" s="138"/>
      <c r="BK547" s="138"/>
      <c r="BL547" s="138"/>
      <c r="BM547" s="138"/>
      <c r="BN547" s="138"/>
      <c r="BO547" s="138"/>
      <c r="BP547" s="138"/>
      <c r="BQ547" s="138"/>
      <c r="BR547" s="138"/>
      <c r="BS547" s="138"/>
      <c r="BT547" s="138"/>
      <c r="BU547" s="138"/>
      <c r="BV547" s="138"/>
      <c r="BW547" s="138"/>
      <c r="BX547" s="138"/>
      <c r="BY547" s="138"/>
      <c r="BZ547" s="138"/>
      <c r="CA547" s="138"/>
      <c r="CB547" s="138"/>
      <c r="CC547" s="138"/>
      <c r="CD547" s="138"/>
      <c r="CE547" s="138"/>
    </row>
    <row r="548" spans="1:83" ht="12" customHeight="1">
      <c r="A548" s="138"/>
      <c r="B548" s="138"/>
      <c r="C548" s="138"/>
      <c r="D548" s="22"/>
      <c r="E548" s="22"/>
      <c r="F548" s="22"/>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c r="AS548" s="138"/>
      <c r="AT548" s="138"/>
      <c r="AU548" s="138"/>
      <c r="AV548" s="138"/>
      <c r="AW548" s="138"/>
      <c r="AX548" s="138"/>
      <c r="AY548" s="138"/>
      <c r="AZ548" s="138"/>
      <c r="BA548" s="138"/>
      <c r="BB548" s="138"/>
      <c r="BC548" s="138"/>
      <c r="BD548" s="138"/>
      <c r="BE548" s="138"/>
      <c r="BF548" s="138"/>
      <c r="BG548" s="138"/>
      <c r="BH548" s="138"/>
      <c r="BI548" s="138"/>
      <c r="BJ548" s="138"/>
      <c r="BK548" s="138"/>
      <c r="BL548" s="138"/>
      <c r="BM548" s="138"/>
      <c r="BN548" s="138"/>
      <c r="BO548" s="138"/>
      <c r="BP548" s="138"/>
      <c r="BQ548" s="138"/>
      <c r="BR548" s="138"/>
      <c r="BS548" s="138"/>
      <c r="BT548" s="138"/>
      <c r="BU548" s="138"/>
      <c r="BV548" s="138"/>
      <c r="BW548" s="138"/>
      <c r="BX548" s="138"/>
      <c r="BY548" s="138"/>
      <c r="BZ548" s="138"/>
      <c r="CA548" s="138"/>
      <c r="CB548" s="138"/>
      <c r="CC548" s="138"/>
      <c r="CD548" s="138"/>
      <c r="CE548" s="138"/>
    </row>
    <row r="549" spans="1:83" ht="12" customHeight="1">
      <c r="A549" s="138"/>
      <c r="B549" s="138"/>
      <c r="C549" s="138"/>
      <c r="D549" s="22"/>
      <c r="E549" s="22"/>
      <c r="F549" s="22"/>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38"/>
      <c r="BB549" s="138"/>
      <c r="BC549" s="138"/>
      <c r="BD549" s="138"/>
      <c r="BE549" s="138"/>
      <c r="BF549" s="138"/>
      <c r="BG549" s="138"/>
      <c r="BH549" s="138"/>
      <c r="BI549" s="138"/>
      <c r="BJ549" s="138"/>
      <c r="BK549" s="138"/>
      <c r="BL549" s="138"/>
      <c r="BM549" s="138"/>
      <c r="BN549" s="138"/>
      <c r="BO549" s="138"/>
      <c r="BP549" s="138"/>
      <c r="BQ549" s="138"/>
      <c r="BR549" s="138"/>
      <c r="BS549" s="138"/>
      <c r="BT549" s="138"/>
      <c r="BU549" s="138"/>
      <c r="BV549" s="138"/>
      <c r="BW549" s="138"/>
      <c r="BX549" s="138"/>
      <c r="BY549" s="138"/>
      <c r="BZ549" s="138"/>
      <c r="CA549" s="138"/>
      <c r="CB549" s="138"/>
      <c r="CC549" s="138"/>
      <c r="CD549" s="138"/>
      <c r="CE549" s="138"/>
    </row>
    <row r="550" spans="1:83" ht="12" customHeight="1">
      <c r="A550" s="138"/>
      <c r="B550" s="138"/>
      <c r="C550" s="138"/>
      <c r="D550" s="22"/>
      <c r="E550" s="22"/>
      <c r="F550" s="22"/>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c r="AR550" s="138"/>
      <c r="AS550" s="138"/>
      <c r="AT550" s="138"/>
      <c r="AU550" s="138"/>
      <c r="AV550" s="138"/>
      <c r="AW550" s="138"/>
      <c r="AX550" s="138"/>
      <c r="AY550" s="138"/>
      <c r="AZ550" s="138"/>
      <c r="BA550" s="138"/>
      <c r="BB550" s="138"/>
      <c r="BC550" s="138"/>
      <c r="BD550" s="138"/>
      <c r="BE550" s="138"/>
      <c r="BF550" s="138"/>
      <c r="BG550" s="138"/>
      <c r="BH550" s="138"/>
      <c r="BI550" s="138"/>
      <c r="BJ550" s="138"/>
      <c r="BK550" s="138"/>
      <c r="BL550" s="138"/>
      <c r="BM550" s="138"/>
      <c r="BN550" s="138"/>
      <c r="BO550" s="138"/>
      <c r="BP550" s="138"/>
      <c r="BQ550" s="138"/>
      <c r="BR550" s="138"/>
      <c r="BS550" s="138"/>
      <c r="BT550" s="138"/>
      <c r="BU550" s="138"/>
      <c r="BV550" s="138"/>
      <c r="BW550" s="138"/>
      <c r="BX550" s="138"/>
      <c r="BY550" s="138"/>
      <c r="BZ550" s="138"/>
      <c r="CA550" s="138"/>
      <c r="CB550" s="138"/>
      <c r="CC550" s="138"/>
      <c r="CD550" s="138"/>
      <c r="CE550" s="138"/>
    </row>
    <row r="551" spans="1:83" ht="12" customHeight="1">
      <c r="A551" s="138"/>
      <c r="B551" s="138"/>
      <c r="C551" s="138"/>
      <c r="D551" s="22"/>
      <c r="E551" s="22"/>
      <c r="F551" s="22"/>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c r="AS551" s="138"/>
      <c r="AT551" s="138"/>
      <c r="AU551" s="138"/>
      <c r="AV551" s="138"/>
      <c r="AW551" s="138"/>
      <c r="AX551" s="138"/>
      <c r="AY551" s="138"/>
      <c r="AZ551" s="138"/>
      <c r="BA551" s="138"/>
      <c r="BB551" s="138"/>
      <c r="BC551" s="138"/>
      <c r="BD551" s="138"/>
      <c r="BE551" s="138"/>
      <c r="BF551" s="138"/>
      <c r="BG551" s="138"/>
      <c r="BH551" s="138"/>
      <c r="BI551" s="138"/>
      <c r="BJ551" s="138"/>
      <c r="BK551" s="138"/>
      <c r="BL551" s="138"/>
      <c r="BM551" s="138"/>
      <c r="BN551" s="138"/>
      <c r="BO551" s="138"/>
      <c r="BP551" s="138"/>
      <c r="BQ551" s="138"/>
      <c r="BR551" s="138"/>
      <c r="BS551" s="138"/>
      <c r="BT551" s="138"/>
      <c r="BU551" s="138"/>
      <c r="BV551" s="138"/>
      <c r="BW551" s="138"/>
      <c r="BX551" s="138"/>
      <c r="BY551" s="138"/>
      <c r="BZ551" s="138"/>
      <c r="CA551" s="138"/>
      <c r="CB551" s="138"/>
      <c r="CC551" s="138"/>
      <c r="CD551" s="138"/>
      <c r="CE551" s="138"/>
    </row>
    <row r="552" spans="1:83" ht="12" customHeight="1">
      <c r="A552" s="138"/>
      <c r="B552" s="138"/>
      <c r="C552" s="138"/>
      <c r="D552" s="22"/>
      <c r="E552" s="22"/>
      <c r="F552" s="22"/>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8"/>
      <c r="AX552" s="138"/>
      <c r="AY552" s="138"/>
      <c r="AZ552" s="138"/>
      <c r="BA552" s="138"/>
      <c r="BB552" s="138"/>
      <c r="BC552" s="138"/>
      <c r="BD552" s="138"/>
      <c r="BE552" s="138"/>
      <c r="BF552" s="138"/>
      <c r="BG552" s="138"/>
      <c r="BH552" s="138"/>
      <c r="BI552" s="138"/>
      <c r="BJ552" s="138"/>
      <c r="BK552" s="138"/>
      <c r="BL552" s="138"/>
      <c r="BM552" s="138"/>
      <c r="BN552" s="138"/>
      <c r="BO552" s="138"/>
      <c r="BP552" s="138"/>
      <c r="BQ552" s="138"/>
      <c r="BR552" s="138"/>
      <c r="BS552" s="138"/>
      <c r="BT552" s="138"/>
      <c r="BU552" s="138"/>
      <c r="BV552" s="138"/>
      <c r="BW552" s="138"/>
      <c r="BX552" s="138"/>
      <c r="BY552" s="138"/>
      <c r="BZ552" s="138"/>
      <c r="CA552" s="138"/>
      <c r="CB552" s="138"/>
      <c r="CC552" s="138"/>
      <c r="CD552" s="138"/>
      <c r="CE552" s="138"/>
    </row>
    <row r="553" spans="1:83" ht="12" customHeight="1">
      <c r="A553" s="138"/>
      <c r="B553" s="138"/>
      <c r="C553" s="138"/>
      <c r="D553" s="22"/>
      <c r="E553" s="22"/>
      <c r="F553" s="22"/>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c r="AR553" s="138"/>
      <c r="AS553" s="138"/>
      <c r="AT553" s="138"/>
      <c r="AU553" s="138"/>
      <c r="AV553" s="138"/>
      <c r="AW553" s="138"/>
      <c r="AX553" s="138"/>
      <c r="AY553" s="138"/>
      <c r="AZ553" s="138"/>
      <c r="BA553" s="138"/>
      <c r="BB553" s="138"/>
      <c r="BC553" s="138"/>
      <c r="BD553" s="138"/>
      <c r="BE553" s="138"/>
      <c r="BF553" s="138"/>
      <c r="BG553" s="138"/>
      <c r="BH553" s="138"/>
      <c r="BI553" s="138"/>
      <c r="BJ553" s="138"/>
      <c r="BK553" s="138"/>
      <c r="BL553" s="138"/>
      <c r="BM553" s="138"/>
      <c r="BN553" s="138"/>
      <c r="BO553" s="138"/>
      <c r="BP553" s="138"/>
      <c r="BQ553" s="138"/>
      <c r="BR553" s="138"/>
      <c r="BS553" s="138"/>
      <c r="BT553" s="138"/>
      <c r="BU553" s="138"/>
      <c r="BV553" s="138"/>
      <c r="BW553" s="138"/>
      <c r="BX553" s="138"/>
      <c r="BY553" s="138"/>
      <c r="BZ553" s="138"/>
      <c r="CA553" s="138"/>
      <c r="CB553" s="138"/>
      <c r="CC553" s="138"/>
      <c r="CD553" s="138"/>
      <c r="CE553" s="138"/>
    </row>
    <row r="554" spans="1:83" ht="12" customHeight="1">
      <c r="A554" s="138"/>
      <c r="B554" s="138"/>
      <c r="C554" s="138"/>
      <c r="D554" s="22"/>
      <c r="E554" s="22"/>
      <c r="F554" s="22"/>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c r="AS554" s="138"/>
      <c r="AT554" s="138"/>
      <c r="AU554" s="138"/>
      <c r="AV554" s="138"/>
      <c r="AW554" s="138"/>
      <c r="AX554" s="138"/>
      <c r="AY554" s="138"/>
      <c r="AZ554" s="138"/>
      <c r="BA554" s="138"/>
      <c r="BB554" s="138"/>
      <c r="BC554" s="138"/>
      <c r="BD554" s="138"/>
      <c r="BE554" s="138"/>
      <c r="BF554" s="138"/>
      <c r="BG554" s="138"/>
      <c r="BH554" s="138"/>
      <c r="BI554" s="138"/>
      <c r="BJ554" s="138"/>
      <c r="BK554" s="138"/>
      <c r="BL554" s="138"/>
      <c r="BM554" s="138"/>
      <c r="BN554" s="138"/>
      <c r="BO554" s="138"/>
      <c r="BP554" s="138"/>
      <c r="BQ554" s="138"/>
      <c r="BR554" s="138"/>
      <c r="BS554" s="138"/>
      <c r="BT554" s="138"/>
      <c r="BU554" s="138"/>
      <c r="BV554" s="138"/>
      <c r="BW554" s="138"/>
      <c r="BX554" s="138"/>
      <c r="BY554" s="138"/>
      <c r="BZ554" s="138"/>
      <c r="CA554" s="138"/>
      <c r="CB554" s="138"/>
      <c r="CC554" s="138"/>
      <c r="CD554" s="138"/>
      <c r="CE554" s="138"/>
    </row>
    <row r="555" spans="1:83" ht="12" customHeight="1">
      <c r="A555" s="138"/>
      <c r="B555" s="138"/>
      <c r="C555" s="138"/>
      <c r="D555" s="22"/>
      <c r="E555" s="22"/>
      <c r="F555" s="22"/>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c r="AS555" s="138"/>
      <c r="AT555" s="138"/>
      <c r="AU555" s="138"/>
      <c r="AV555" s="138"/>
      <c r="AW555" s="138"/>
      <c r="AX555" s="138"/>
      <c r="AY555" s="138"/>
      <c r="AZ555" s="138"/>
      <c r="BA555" s="138"/>
      <c r="BB555" s="138"/>
      <c r="BC555" s="138"/>
      <c r="BD555" s="138"/>
      <c r="BE555" s="138"/>
      <c r="BF555" s="138"/>
      <c r="BG555" s="138"/>
      <c r="BH555" s="138"/>
      <c r="BI555" s="138"/>
      <c r="BJ555" s="138"/>
      <c r="BK555" s="138"/>
      <c r="BL555" s="138"/>
      <c r="BM555" s="138"/>
      <c r="BN555" s="138"/>
      <c r="BO555" s="138"/>
      <c r="BP555" s="138"/>
      <c r="BQ555" s="138"/>
      <c r="BR555" s="138"/>
      <c r="BS555" s="138"/>
      <c r="BT555" s="138"/>
      <c r="BU555" s="138"/>
      <c r="BV555" s="138"/>
      <c r="BW555" s="138"/>
      <c r="BX555" s="138"/>
      <c r="BY555" s="138"/>
      <c r="BZ555" s="138"/>
      <c r="CA555" s="138"/>
      <c r="CB555" s="138"/>
      <c r="CC555" s="138"/>
      <c r="CD555" s="138"/>
      <c r="CE555" s="138"/>
    </row>
    <row r="556" spans="1:83" ht="12" customHeight="1">
      <c r="A556" s="138"/>
      <c r="B556" s="138"/>
      <c r="C556" s="138"/>
      <c r="D556" s="22"/>
      <c r="E556" s="22"/>
      <c r="F556" s="22"/>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c r="AR556" s="138"/>
      <c r="AS556" s="138"/>
      <c r="AT556" s="138"/>
      <c r="AU556" s="138"/>
      <c r="AV556" s="138"/>
      <c r="AW556" s="138"/>
      <c r="AX556" s="138"/>
      <c r="AY556" s="138"/>
      <c r="AZ556" s="138"/>
      <c r="BA556" s="138"/>
      <c r="BB556" s="138"/>
      <c r="BC556" s="138"/>
      <c r="BD556" s="138"/>
      <c r="BE556" s="138"/>
      <c r="BF556" s="138"/>
      <c r="BG556" s="138"/>
      <c r="BH556" s="138"/>
      <c r="BI556" s="138"/>
      <c r="BJ556" s="138"/>
      <c r="BK556" s="138"/>
      <c r="BL556" s="138"/>
      <c r="BM556" s="138"/>
      <c r="BN556" s="138"/>
      <c r="BO556" s="138"/>
      <c r="BP556" s="138"/>
      <c r="BQ556" s="138"/>
      <c r="BR556" s="138"/>
      <c r="BS556" s="138"/>
      <c r="BT556" s="138"/>
      <c r="BU556" s="138"/>
      <c r="BV556" s="138"/>
      <c r="BW556" s="138"/>
      <c r="BX556" s="138"/>
      <c r="BY556" s="138"/>
      <c r="BZ556" s="138"/>
      <c r="CA556" s="138"/>
      <c r="CB556" s="138"/>
      <c r="CC556" s="138"/>
      <c r="CD556" s="138"/>
      <c r="CE556" s="138"/>
    </row>
    <row r="557" spans="1:83" ht="12" customHeight="1">
      <c r="A557" s="138"/>
      <c r="B557" s="138"/>
      <c r="C557" s="138"/>
      <c r="D557" s="22"/>
      <c r="E557" s="22"/>
      <c r="F557" s="22"/>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c r="AR557" s="138"/>
      <c r="AS557" s="138"/>
      <c r="AT557" s="138"/>
      <c r="AU557" s="138"/>
      <c r="AV557" s="138"/>
      <c r="AW557" s="138"/>
      <c r="AX557" s="138"/>
      <c r="AY557" s="138"/>
      <c r="AZ557" s="138"/>
      <c r="BA557" s="138"/>
      <c r="BB557" s="138"/>
      <c r="BC557" s="138"/>
      <c r="BD557" s="138"/>
      <c r="BE557" s="138"/>
      <c r="BF557" s="138"/>
      <c r="BG557" s="138"/>
      <c r="BH557" s="138"/>
      <c r="BI557" s="138"/>
      <c r="BJ557" s="138"/>
      <c r="BK557" s="138"/>
      <c r="BL557" s="138"/>
      <c r="BM557" s="138"/>
      <c r="BN557" s="138"/>
      <c r="BO557" s="138"/>
      <c r="BP557" s="138"/>
      <c r="BQ557" s="138"/>
      <c r="BR557" s="138"/>
      <c r="BS557" s="138"/>
      <c r="BT557" s="138"/>
      <c r="BU557" s="138"/>
      <c r="BV557" s="138"/>
      <c r="BW557" s="138"/>
      <c r="BX557" s="138"/>
      <c r="BY557" s="138"/>
      <c r="BZ557" s="138"/>
      <c r="CA557" s="138"/>
      <c r="CB557" s="138"/>
      <c r="CC557" s="138"/>
      <c r="CD557" s="138"/>
      <c r="CE557" s="138"/>
    </row>
    <row r="558" spans="1:83" ht="12" customHeight="1">
      <c r="A558" s="138"/>
      <c r="B558" s="138"/>
      <c r="C558" s="138"/>
      <c r="D558" s="22"/>
      <c r="E558" s="22"/>
      <c r="F558" s="22"/>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c r="AS558" s="138"/>
      <c r="AT558" s="138"/>
      <c r="AU558" s="138"/>
      <c r="AV558" s="138"/>
      <c r="AW558" s="138"/>
      <c r="AX558" s="138"/>
      <c r="AY558" s="138"/>
      <c r="AZ558" s="138"/>
      <c r="BA558" s="138"/>
      <c r="BB558" s="138"/>
      <c r="BC558" s="138"/>
      <c r="BD558" s="138"/>
      <c r="BE558" s="138"/>
      <c r="BF558" s="138"/>
      <c r="BG558" s="138"/>
      <c r="BH558" s="138"/>
      <c r="BI558" s="138"/>
      <c r="BJ558" s="138"/>
      <c r="BK558" s="138"/>
      <c r="BL558" s="138"/>
      <c r="BM558" s="138"/>
      <c r="BN558" s="138"/>
      <c r="BO558" s="138"/>
      <c r="BP558" s="138"/>
      <c r="BQ558" s="138"/>
      <c r="BR558" s="138"/>
      <c r="BS558" s="138"/>
      <c r="BT558" s="138"/>
      <c r="BU558" s="138"/>
      <c r="BV558" s="138"/>
      <c r="BW558" s="138"/>
      <c r="BX558" s="138"/>
      <c r="BY558" s="138"/>
      <c r="BZ558" s="138"/>
      <c r="CA558" s="138"/>
      <c r="CB558" s="138"/>
      <c r="CC558" s="138"/>
      <c r="CD558" s="138"/>
      <c r="CE558" s="138"/>
    </row>
    <row r="559" spans="1:83" ht="12" customHeight="1">
      <c r="A559" s="138"/>
      <c r="B559" s="138"/>
      <c r="C559" s="138"/>
      <c r="D559" s="22"/>
      <c r="E559" s="22"/>
      <c r="F559" s="22"/>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c r="AR559" s="138"/>
      <c r="AS559" s="138"/>
      <c r="AT559" s="138"/>
      <c r="AU559" s="138"/>
      <c r="AV559" s="138"/>
      <c r="AW559" s="138"/>
      <c r="AX559" s="138"/>
      <c r="AY559" s="138"/>
      <c r="AZ559" s="138"/>
      <c r="BA559" s="138"/>
      <c r="BB559" s="138"/>
      <c r="BC559" s="138"/>
      <c r="BD559" s="138"/>
      <c r="BE559" s="138"/>
      <c r="BF559" s="138"/>
      <c r="BG559" s="138"/>
      <c r="BH559" s="138"/>
      <c r="BI559" s="138"/>
      <c r="BJ559" s="138"/>
      <c r="BK559" s="138"/>
      <c r="BL559" s="138"/>
      <c r="BM559" s="138"/>
      <c r="BN559" s="138"/>
      <c r="BO559" s="138"/>
      <c r="BP559" s="138"/>
      <c r="BQ559" s="138"/>
      <c r="BR559" s="138"/>
      <c r="BS559" s="138"/>
      <c r="BT559" s="138"/>
      <c r="BU559" s="138"/>
      <c r="BV559" s="138"/>
      <c r="BW559" s="138"/>
      <c r="BX559" s="138"/>
      <c r="BY559" s="138"/>
      <c r="BZ559" s="138"/>
      <c r="CA559" s="138"/>
      <c r="CB559" s="138"/>
      <c r="CC559" s="138"/>
      <c r="CD559" s="138"/>
      <c r="CE559" s="138"/>
    </row>
    <row r="560" spans="1:83" ht="12" customHeight="1">
      <c r="A560" s="138"/>
      <c r="B560" s="138"/>
      <c r="C560" s="138"/>
      <c r="D560" s="22"/>
      <c r="E560" s="22"/>
      <c r="F560" s="22"/>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c r="AS560" s="138"/>
      <c r="AT560" s="138"/>
      <c r="AU560" s="138"/>
      <c r="AV560" s="138"/>
      <c r="AW560" s="138"/>
      <c r="AX560" s="138"/>
      <c r="AY560" s="138"/>
      <c r="AZ560" s="138"/>
      <c r="BA560" s="138"/>
      <c r="BB560" s="138"/>
      <c r="BC560" s="138"/>
      <c r="BD560" s="138"/>
      <c r="BE560" s="138"/>
      <c r="BF560" s="138"/>
      <c r="BG560" s="138"/>
      <c r="BH560" s="138"/>
      <c r="BI560" s="138"/>
      <c r="BJ560" s="138"/>
      <c r="BK560" s="138"/>
      <c r="BL560" s="138"/>
      <c r="BM560" s="138"/>
      <c r="BN560" s="138"/>
      <c r="BO560" s="138"/>
      <c r="BP560" s="138"/>
      <c r="BQ560" s="138"/>
      <c r="BR560" s="138"/>
      <c r="BS560" s="138"/>
      <c r="BT560" s="138"/>
      <c r="BU560" s="138"/>
      <c r="BV560" s="138"/>
      <c r="BW560" s="138"/>
      <c r="BX560" s="138"/>
      <c r="BY560" s="138"/>
      <c r="BZ560" s="138"/>
      <c r="CA560" s="138"/>
      <c r="CB560" s="138"/>
      <c r="CC560" s="138"/>
      <c r="CD560" s="138"/>
      <c r="CE560" s="138"/>
    </row>
    <row r="561" spans="1:83" ht="12" customHeight="1">
      <c r="A561" s="138"/>
      <c r="B561" s="138"/>
      <c r="C561" s="138"/>
      <c r="D561" s="22"/>
      <c r="E561" s="22"/>
      <c r="F561" s="22"/>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c r="AS561" s="138"/>
      <c r="AT561" s="138"/>
      <c r="AU561" s="138"/>
      <c r="AV561" s="138"/>
      <c r="AW561" s="138"/>
      <c r="AX561" s="138"/>
      <c r="AY561" s="138"/>
      <c r="AZ561" s="138"/>
      <c r="BA561" s="138"/>
      <c r="BB561" s="138"/>
      <c r="BC561" s="138"/>
      <c r="BD561" s="138"/>
      <c r="BE561" s="138"/>
      <c r="BF561" s="138"/>
      <c r="BG561" s="138"/>
      <c r="BH561" s="138"/>
      <c r="BI561" s="138"/>
      <c r="BJ561" s="138"/>
      <c r="BK561" s="138"/>
      <c r="BL561" s="138"/>
      <c r="BM561" s="138"/>
      <c r="BN561" s="138"/>
      <c r="BO561" s="138"/>
      <c r="BP561" s="138"/>
      <c r="BQ561" s="138"/>
      <c r="BR561" s="138"/>
      <c r="BS561" s="138"/>
      <c r="BT561" s="138"/>
      <c r="BU561" s="138"/>
      <c r="BV561" s="138"/>
      <c r="BW561" s="138"/>
      <c r="BX561" s="138"/>
      <c r="BY561" s="138"/>
      <c r="BZ561" s="138"/>
      <c r="CA561" s="138"/>
      <c r="CB561" s="138"/>
      <c r="CC561" s="138"/>
      <c r="CD561" s="138"/>
      <c r="CE561" s="138"/>
    </row>
    <row r="562" spans="1:83" ht="12" customHeight="1">
      <c r="A562" s="138"/>
      <c r="B562" s="138"/>
      <c r="C562" s="138"/>
      <c r="D562" s="22"/>
      <c r="E562" s="22"/>
      <c r="F562" s="22"/>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c r="AR562" s="138"/>
      <c r="AS562" s="138"/>
      <c r="AT562" s="138"/>
      <c r="AU562" s="138"/>
      <c r="AV562" s="138"/>
      <c r="AW562" s="138"/>
      <c r="AX562" s="138"/>
      <c r="AY562" s="138"/>
      <c r="AZ562" s="138"/>
      <c r="BA562" s="138"/>
      <c r="BB562" s="138"/>
      <c r="BC562" s="138"/>
      <c r="BD562" s="138"/>
      <c r="BE562" s="138"/>
      <c r="BF562" s="138"/>
      <c r="BG562" s="138"/>
      <c r="BH562" s="138"/>
      <c r="BI562" s="138"/>
      <c r="BJ562" s="138"/>
      <c r="BK562" s="138"/>
      <c r="BL562" s="138"/>
      <c r="BM562" s="138"/>
      <c r="BN562" s="138"/>
      <c r="BO562" s="138"/>
      <c r="BP562" s="138"/>
      <c r="BQ562" s="138"/>
      <c r="BR562" s="138"/>
      <c r="BS562" s="138"/>
      <c r="BT562" s="138"/>
      <c r="BU562" s="138"/>
      <c r="BV562" s="138"/>
      <c r="BW562" s="138"/>
      <c r="BX562" s="138"/>
      <c r="BY562" s="138"/>
      <c r="BZ562" s="138"/>
      <c r="CA562" s="138"/>
      <c r="CB562" s="138"/>
      <c r="CC562" s="138"/>
      <c r="CD562" s="138"/>
      <c r="CE562" s="138"/>
    </row>
    <row r="563" spans="1:83" ht="12" customHeight="1">
      <c r="A563" s="138"/>
      <c r="B563" s="138"/>
      <c r="C563" s="138"/>
      <c r="D563" s="22"/>
      <c r="E563" s="22"/>
      <c r="F563" s="22"/>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c r="AR563" s="138"/>
      <c r="AS563" s="138"/>
      <c r="AT563" s="138"/>
      <c r="AU563" s="138"/>
      <c r="AV563" s="138"/>
      <c r="AW563" s="138"/>
      <c r="AX563" s="138"/>
      <c r="AY563" s="138"/>
      <c r="AZ563" s="138"/>
      <c r="BA563" s="138"/>
      <c r="BB563" s="138"/>
      <c r="BC563" s="138"/>
      <c r="BD563" s="138"/>
      <c r="BE563" s="138"/>
      <c r="BF563" s="138"/>
      <c r="BG563" s="138"/>
      <c r="BH563" s="138"/>
      <c r="BI563" s="138"/>
      <c r="BJ563" s="138"/>
      <c r="BK563" s="138"/>
      <c r="BL563" s="138"/>
      <c r="BM563" s="138"/>
      <c r="BN563" s="138"/>
      <c r="BO563" s="138"/>
      <c r="BP563" s="138"/>
      <c r="BQ563" s="138"/>
      <c r="BR563" s="138"/>
      <c r="BS563" s="138"/>
      <c r="BT563" s="138"/>
      <c r="BU563" s="138"/>
      <c r="BV563" s="138"/>
      <c r="BW563" s="138"/>
      <c r="BX563" s="138"/>
      <c r="BY563" s="138"/>
      <c r="BZ563" s="138"/>
      <c r="CA563" s="138"/>
      <c r="CB563" s="138"/>
      <c r="CC563" s="138"/>
      <c r="CD563" s="138"/>
      <c r="CE563" s="138"/>
    </row>
    <row r="564" spans="1:83" ht="12" customHeight="1">
      <c r="A564" s="138"/>
      <c r="B564" s="138"/>
      <c r="C564" s="138"/>
      <c r="D564" s="22"/>
      <c r="E564" s="22"/>
      <c r="F564" s="22"/>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c r="AS564" s="138"/>
      <c r="AT564" s="138"/>
      <c r="AU564" s="138"/>
      <c r="AV564" s="138"/>
      <c r="AW564" s="138"/>
      <c r="AX564" s="138"/>
      <c r="AY564" s="138"/>
      <c r="AZ564" s="138"/>
      <c r="BA564" s="138"/>
      <c r="BB564" s="138"/>
      <c r="BC564" s="138"/>
      <c r="BD564" s="138"/>
      <c r="BE564" s="138"/>
      <c r="BF564" s="138"/>
      <c r="BG564" s="138"/>
      <c r="BH564" s="138"/>
      <c r="BI564" s="138"/>
      <c r="BJ564" s="138"/>
      <c r="BK564" s="138"/>
      <c r="BL564" s="138"/>
      <c r="BM564" s="138"/>
      <c r="BN564" s="138"/>
      <c r="BO564" s="138"/>
      <c r="BP564" s="138"/>
      <c r="BQ564" s="138"/>
      <c r="BR564" s="138"/>
      <c r="BS564" s="138"/>
      <c r="BT564" s="138"/>
      <c r="BU564" s="138"/>
      <c r="BV564" s="138"/>
      <c r="BW564" s="138"/>
      <c r="BX564" s="138"/>
      <c r="BY564" s="138"/>
      <c r="BZ564" s="138"/>
      <c r="CA564" s="138"/>
      <c r="CB564" s="138"/>
      <c r="CC564" s="138"/>
      <c r="CD564" s="138"/>
      <c r="CE564" s="138"/>
    </row>
    <row r="565" spans="1:83" ht="12" customHeight="1">
      <c r="A565" s="138"/>
      <c r="B565" s="138"/>
      <c r="C565" s="138"/>
      <c r="D565" s="22"/>
      <c r="E565" s="22"/>
      <c r="F565" s="22"/>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c r="AR565" s="138"/>
      <c r="AS565" s="138"/>
      <c r="AT565" s="138"/>
      <c r="AU565" s="138"/>
      <c r="AV565" s="138"/>
      <c r="AW565" s="138"/>
      <c r="AX565" s="138"/>
      <c r="AY565" s="138"/>
      <c r="AZ565" s="138"/>
      <c r="BA565" s="138"/>
      <c r="BB565" s="138"/>
      <c r="BC565" s="138"/>
      <c r="BD565" s="138"/>
      <c r="BE565" s="138"/>
      <c r="BF565" s="138"/>
      <c r="BG565" s="138"/>
      <c r="BH565" s="138"/>
      <c r="BI565" s="138"/>
      <c r="BJ565" s="138"/>
      <c r="BK565" s="138"/>
      <c r="BL565" s="138"/>
      <c r="BM565" s="138"/>
      <c r="BN565" s="138"/>
      <c r="BO565" s="138"/>
      <c r="BP565" s="138"/>
      <c r="BQ565" s="138"/>
      <c r="BR565" s="138"/>
      <c r="BS565" s="138"/>
      <c r="BT565" s="138"/>
      <c r="BU565" s="138"/>
      <c r="BV565" s="138"/>
      <c r="BW565" s="138"/>
      <c r="BX565" s="138"/>
      <c r="BY565" s="138"/>
      <c r="BZ565" s="138"/>
      <c r="CA565" s="138"/>
      <c r="CB565" s="138"/>
      <c r="CC565" s="138"/>
      <c r="CD565" s="138"/>
      <c r="CE565" s="138"/>
    </row>
    <row r="566" spans="1:83" ht="12" customHeight="1">
      <c r="A566" s="138"/>
      <c r="B566" s="138"/>
      <c r="C566" s="138"/>
      <c r="D566" s="22"/>
      <c r="E566" s="22"/>
      <c r="F566" s="22"/>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c r="AS566" s="138"/>
      <c r="AT566" s="138"/>
      <c r="AU566" s="138"/>
      <c r="AV566" s="138"/>
      <c r="AW566" s="138"/>
      <c r="AX566" s="138"/>
      <c r="AY566" s="138"/>
      <c r="AZ566" s="138"/>
      <c r="BA566" s="138"/>
      <c r="BB566" s="138"/>
      <c r="BC566" s="138"/>
      <c r="BD566" s="138"/>
      <c r="BE566" s="138"/>
      <c r="BF566" s="138"/>
      <c r="BG566" s="138"/>
      <c r="BH566" s="138"/>
      <c r="BI566" s="138"/>
      <c r="BJ566" s="138"/>
      <c r="BK566" s="138"/>
      <c r="BL566" s="138"/>
      <c r="BM566" s="138"/>
      <c r="BN566" s="138"/>
      <c r="BO566" s="138"/>
      <c r="BP566" s="138"/>
      <c r="BQ566" s="138"/>
      <c r="BR566" s="138"/>
      <c r="BS566" s="138"/>
      <c r="BT566" s="138"/>
      <c r="BU566" s="138"/>
      <c r="BV566" s="138"/>
      <c r="BW566" s="138"/>
      <c r="BX566" s="138"/>
      <c r="BY566" s="138"/>
      <c r="BZ566" s="138"/>
      <c r="CA566" s="138"/>
      <c r="CB566" s="138"/>
      <c r="CC566" s="138"/>
      <c r="CD566" s="138"/>
      <c r="CE566" s="138"/>
    </row>
    <row r="567" spans="1:83" ht="12" customHeight="1">
      <c r="A567" s="138"/>
      <c r="B567" s="138"/>
      <c r="C567" s="138"/>
      <c r="D567" s="22"/>
      <c r="E567" s="22"/>
      <c r="F567" s="22"/>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c r="AS567" s="138"/>
      <c r="AT567" s="138"/>
      <c r="AU567" s="138"/>
      <c r="AV567" s="138"/>
      <c r="AW567" s="138"/>
      <c r="AX567" s="138"/>
      <c r="AY567" s="138"/>
      <c r="AZ567" s="138"/>
      <c r="BA567" s="138"/>
      <c r="BB567" s="138"/>
      <c r="BC567" s="138"/>
      <c r="BD567" s="138"/>
      <c r="BE567" s="138"/>
      <c r="BF567" s="138"/>
      <c r="BG567" s="138"/>
      <c r="BH567" s="138"/>
      <c r="BI567" s="138"/>
      <c r="BJ567" s="138"/>
      <c r="BK567" s="138"/>
      <c r="BL567" s="138"/>
      <c r="BM567" s="138"/>
      <c r="BN567" s="138"/>
      <c r="BO567" s="138"/>
      <c r="BP567" s="138"/>
      <c r="BQ567" s="138"/>
      <c r="BR567" s="138"/>
      <c r="BS567" s="138"/>
      <c r="BT567" s="138"/>
      <c r="BU567" s="138"/>
      <c r="BV567" s="138"/>
      <c r="BW567" s="138"/>
      <c r="BX567" s="138"/>
      <c r="BY567" s="138"/>
      <c r="BZ567" s="138"/>
      <c r="CA567" s="138"/>
      <c r="CB567" s="138"/>
      <c r="CC567" s="138"/>
      <c r="CD567" s="138"/>
      <c r="CE567" s="138"/>
    </row>
    <row r="568" spans="1:83" ht="12" customHeight="1">
      <c r="A568" s="138"/>
      <c r="B568" s="138"/>
      <c r="C568" s="138"/>
      <c r="D568" s="22"/>
      <c r="E568" s="22"/>
      <c r="F568" s="22"/>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c r="AR568" s="138"/>
      <c r="AS568" s="138"/>
      <c r="AT568" s="138"/>
      <c r="AU568" s="138"/>
      <c r="AV568" s="138"/>
      <c r="AW568" s="138"/>
      <c r="AX568" s="138"/>
      <c r="AY568" s="138"/>
      <c r="AZ568" s="138"/>
      <c r="BA568" s="138"/>
      <c r="BB568" s="138"/>
      <c r="BC568" s="138"/>
      <c r="BD568" s="138"/>
      <c r="BE568" s="138"/>
      <c r="BF568" s="138"/>
      <c r="BG568" s="138"/>
      <c r="BH568" s="138"/>
      <c r="BI568" s="138"/>
      <c r="BJ568" s="138"/>
      <c r="BK568" s="138"/>
      <c r="BL568" s="138"/>
      <c r="BM568" s="138"/>
      <c r="BN568" s="138"/>
      <c r="BO568" s="138"/>
      <c r="BP568" s="138"/>
      <c r="BQ568" s="138"/>
      <c r="BR568" s="138"/>
      <c r="BS568" s="138"/>
      <c r="BT568" s="138"/>
      <c r="BU568" s="138"/>
      <c r="BV568" s="138"/>
      <c r="BW568" s="138"/>
      <c r="BX568" s="138"/>
      <c r="BY568" s="138"/>
      <c r="BZ568" s="138"/>
      <c r="CA568" s="138"/>
      <c r="CB568" s="138"/>
      <c r="CC568" s="138"/>
      <c r="CD568" s="138"/>
      <c r="CE568" s="138"/>
    </row>
    <row r="569" spans="1:83" ht="12" customHeight="1">
      <c r="A569" s="138"/>
      <c r="B569" s="138"/>
      <c r="C569" s="138"/>
      <c r="D569" s="22"/>
      <c r="E569" s="22"/>
      <c r="F569" s="22"/>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c r="AR569" s="138"/>
      <c r="AS569" s="138"/>
      <c r="AT569" s="138"/>
      <c r="AU569" s="138"/>
      <c r="AV569" s="138"/>
      <c r="AW569" s="138"/>
      <c r="AX569" s="138"/>
      <c r="AY569" s="138"/>
      <c r="AZ569" s="138"/>
      <c r="BA569" s="138"/>
      <c r="BB569" s="138"/>
      <c r="BC569" s="138"/>
      <c r="BD569" s="138"/>
      <c r="BE569" s="138"/>
      <c r="BF569" s="138"/>
      <c r="BG569" s="138"/>
      <c r="BH569" s="138"/>
      <c r="BI569" s="138"/>
      <c r="BJ569" s="138"/>
      <c r="BK569" s="138"/>
      <c r="BL569" s="138"/>
      <c r="BM569" s="138"/>
      <c r="BN569" s="138"/>
      <c r="BO569" s="138"/>
      <c r="BP569" s="138"/>
      <c r="BQ569" s="138"/>
      <c r="BR569" s="138"/>
      <c r="BS569" s="138"/>
      <c r="BT569" s="138"/>
      <c r="BU569" s="138"/>
      <c r="BV569" s="138"/>
      <c r="BW569" s="138"/>
      <c r="BX569" s="138"/>
      <c r="BY569" s="138"/>
      <c r="BZ569" s="138"/>
      <c r="CA569" s="138"/>
      <c r="CB569" s="138"/>
      <c r="CC569" s="138"/>
      <c r="CD569" s="138"/>
      <c r="CE569" s="138"/>
    </row>
    <row r="570" spans="1:83" ht="12" customHeight="1">
      <c r="A570" s="138"/>
      <c r="B570" s="138"/>
      <c r="C570" s="138"/>
      <c r="D570" s="22"/>
      <c r="E570" s="22"/>
      <c r="F570" s="22"/>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c r="AS570" s="138"/>
      <c r="AT570" s="138"/>
      <c r="AU570" s="138"/>
      <c r="AV570" s="138"/>
      <c r="AW570" s="138"/>
      <c r="AX570" s="138"/>
      <c r="AY570" s="138"/>
      <c r="AZ570" s="138"/>
      <c r="BA570" s="138"/>
      <c r="BB570" s="138"/>
      <c r="BC570" s="138"/>
      <c r="BD570" s="138"/>
      <c r="BE570" s="138"/>
      <c r="BF570" s="138"/>
      <c r="BG570" s="138"/>
      <c r="BH570" s="138"/>
      <c r="BI570" s="138"/>
      <c r="BJ570" s="138"/>
      <c r="BK570" s="138"/>
      <c r="BL570" s="138"/>
      <c r="BM570" s="138"/>
      <c r="BN570" s="138"/>
      <c r="BO570" s="138"/>
      <c r="BP570" s="138"/>
      <c r="BQ570" s="138"/>
      <c r="BR570" s="138"/>
      <c r="BS570" s="138"/>
      <c r="BT570" s="138"/>
      <c r="BU570" s="138"/>
      <c r="BV570" s="138"/>
      <c r="BW570" s="138"/>
      <c r="BX570" s="138"/>
      <c r="BY570" s="138"/>
      <c r="BZ570" s="138"/>
      <c r="CA570" s="138"/>
      <c r="CB570" s="138"/>
      <c r="CC570" s="138"/>
      <c r="CD570" s="138"/>
      <c r="CE570" s="138"/>
    </row>
    <row r="571" spans="1:83" ht="12" customHeight="1">
      <c r="A571" s="138"/>
      <c r="B571" s="138"/>
      <c r="C571" s="138"/>
      <c r="D571" s="22"/>
      <c r="E571" s="22"/>
      <c r="F571" s="22"/>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c r="AR571" s="138"/>
      <c r="AS571" s="138"/>
      <c r="AT571" s="138"/>
      <c r="AU571" s="138"/>
      <c r="AV571" s="138"/>
      <c r="AW571" s="138"/>
      <c r="AX571" s="138"/>
      <c r="AY571" s="138"/>
      <c r="AZ571" s="138"/>
      <c r="BA571" s="138"/>
      <c r="BB571" s="138"/>
      <c r="BC571" s="138"/>
      <c r="BD571" s="138"/>
      <c r="BE571" s="138"/>
      <c r="BF571" s="138"/>
      <c r="BG571" s="138"/>
      <c r="BH571" s="138"/>
      <c r="BI571" s="138"/>
      <c r="BJ571" s="138"/>
      <c r="BK571" s="138"/>
      <c r="BL571" s="138"/>
      <c r="BM571" s="138"/>
      <c r="BN571" s="138"/>
      <c r="BO571" s="138"/>
      <c r="BP571" s="138"/>
      <c r="BQ571" s="138"/>
      <c r="BR571" s="138"/>
      <c r="BS571" s="138"/>
      <c r="BT571" s="138"/>
      <c r="BU571" s="138"/>
      <c r="BV571" s="138"/>
      <c r="BW571" s="138"/>
      <c r="BX571" s="138"/>
      <c r="BY571" s="138"/>
      <c r="BZ571" s="138"/>
      <c r="CA571" s="138"/>
      <c r="CB571" s="138"/>
      <c r="CC571" s="138"/>
      <c r="CD571" s="138"/>
      <c r="CE571" s="138"/>
    </row>
    <row r="572" spans="1:83" ht="12" customHeight="1">
      <c r="A572" s="138"/>
      <c r="B572" s="138"/>
      <c r="C572" s="138"/>
      <c r="D572" s="22"/>
      <c r="E572" s="22"/>
      <c r="F572" s="22"/>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c r="AR572" s="138"/>
      <c r="AS572" s="138"/>
      <c r="AT572" s="138"/>
      <c r="AU572" s="138"/>
      <c r="AV572" s="138"/>
      <c r="AW572" s="138"/>
      <c r="AX572" s="138"/>
      <c r="AY572" s="138"/>
      <c r="AZ572" s="138"/>
      <c r="BA572" s="138"/>
      <c r="BB572" s="138"/>
      <c r="BC572" s="138"/>
      <c r="BD572" s="138"/>
      <c r="BE572" s="138"/>
      <c r="BF572" s="138"/>
      <c r="BG572" s="138"/>
      <c r="BH572" s="138"/>
      <c r="BI572" s="138"/>
      <c r="BJ572" s="138"/>
      <c r="BK572" s="138"/>
      <c r="BL572" s="138"/>
      <c r="BM572" s="138"/>
      <c r="BN572" s="138"/>
      <c r="BO572" s="138"/>
      <c r="BP572" s="138"/>
      <c r="BQ572" s="138"/>
      <c r="BR572" s="138"/>
      <c r="BS572" s="138"/>
      <c r="BT572" s="138"/>
      <c r="BU572" s="138"/>
      <c r="BV572" s="138"/>
      <c r="BW572" s="138"/>
      <c r="BX572" s="138"/>
      <c r="BY572" s="138"/>
      <c r="BZ572" s="138"/>
      <c r="CA572" s="138"/>
      <c r="CB572" s="138"/>
      <c r="CC572" s="138"/>
      <c r="CD572" s="138"/>
      <c r="CE572" s="138"/>
    </row>
    <row r="573" spans="1:83" ht="12" customHeight="1">
      <c r="A573" s="138"/>
      <c r="B573" s="138"/>
      <c r="C573" s="138"/>
      <c r="D573" s="22"/>
      <c r="E573" s="22"/>
      <c r="F573" s="22"/>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c r="AR573" s="138"/>
      <c r="AS573" s="138"/>
      <c r="AT573" s="138"/>
      <c r="AU573" s="138"/>
      <c r="AV573" s="138"/>
      <c r="AW573" s="138"/>
      <c r="AX573" s="138"/>
      <c r="AY573" s="138"/>
      <c r="AZ573" s="138"/>
      <c r="BA573" s="138"/>
      <c r="BB573" s="138"/>
      <c r="BC573" s="138"/>
      <c r="BD573" s="138"/>
      <c r="BE573" s="138"/>
      <c r="BF573" s="138"/>
      <c r="BG573" s="138"/>
      <c r="BH573" s="138"/>
      <c r="BI573" s="138"/>
      <c r="BJ573" s="138"/>
      <c r="BK573" s="138"/>
      <c r="BL573" s="138"/>
      <c r="BM573" s="138"/>
      <c r="BN573" s="138"/>
      <c r="BO573" s="138"/>
      <c r="BP573" s="138"/>
      <c r="BQ573" s="138"/>
      <c r="BR573" s="138"/>
      <c r="BS573" s="138"/>
      <c r="BT573" s="138"/>
      <c r="BU573" s="138"/>
      <c r="BV573" s="138"/>
      <c r="BW573" s="138"/>
      <c r="BX573" s="138"/>
      <c r="BY573" s="138"/>
      <c r="BZ573" s="138"/>
      <c r="CA573" s="138"/>
      <c r="CB573" s="138"/>
      <c r="CC573" s="138"/>
      <c r="CD573" s="138"/>
      <c r="CE573" s="138"/>
    </row>
    <row r="574" spans="1:83" ht="12" customHeight="1">
      <c r="A574" s="138"/>
      <c r="B574" s="138"/>
      <c r="C574" s="138"/>
      <c r="D574" s="22"/>
      <c r="E574" s="22"/>
      <c r="F574" s="22"/>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c r="AP574" s="138"/>
      <c r="AQ574" s="138"/>
      <c r="AR574" s="138"/>
      <c r="AS574" s="138"/>
      <c r="AT574" s="138"/>
      <c r="AU574" s="138"/>
      <c r="AV574" s="138"/>
      <c r="AW574" s="138"/>
      <c r="AX574" s="138"/>
      <c r="AY574" s="138"/>
      <c r="AZ574" s="138"/>
      <c r="BA574" s="138"/>
      <c r="BB574" s="138"/>
      <c r="BC574" s="138"/>
      <c r="BD574" s="138"/>
      <c r="BE574" s="138"/>
      <c r="BF574" s="138"/>
      <c r="BG574" s="138"/>
      <c r="BH574" s="138"/>
      <c r="BI574" s="138"/>
      <c r="BJ574" s="138"/>
      <c r="BK574" s="138"/>
      <c r="BL574" s="138"/>
      <c r="BM574" s="138"/>
      <c r="BN574" s="138"/>
      <c r="BO574" s="138"/>
      <c r="BP574" s="138"/>
      <c r="BQ574" s="138"/>
      <c r="BR574" s="138"/>
      <c r="BS574" s="138"/>
      <c r="BT574" s="138"/>
      <c r="BU574" s="138"/>
      <c r="BV574" s="138"/>
      <c r="BW574" s="138"/>
      <c r="BX574" s="138"/>
      <c r="BY574" s="138"/>
      <c r="BZ574" s="138"/>
      <c r="CA574" s="138"/>
      <c r="CB574" s="138"/>
      <c r="CC574" s="138"/>
      <c r="CD574" s="138"/>
      <c r="CE574" s="138"/>
    </row>
    <row r="575" spans="1:83" ht="12" customHeight="1">
      <c r="A575" s="138"/>
      <c r="B575" s="138"/>
      <c r="C575" s="138"/>
      <c r="D575" s="22"/>
      <c r="E575" s="22"/>
      <c r="F575" s="22"/>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c r="AP575" s="138"/>
      <c r="AQ575" s="138"/>
      <c r="AR575" s="138"/>
      <c r="AS575" s="138"/>
      <c r="AT575" s="138"/>
      <c r="AU575" s="138"/>
      <c r="AV575" s="138"/>
      <c r="AW575" s="138"/>
      <c r="AX575" s="138"/>
      <c r="AY575" s="138"/>
      <c r="AZ575" s="138"/>
      <c r="BA575" s="138"/>
      <c r="BB575" s="138"/>
      <c r="BC575" s="138"/>
      <c r="BD575" s="138"/>
      <c r="BE575" s="138"/>
      <c r="BF575" s="138"/>
      <c r="BG575" s="138"/>
      <c r="BH575" s="138"/>
      <c r="BI575" s="138"/>
      <c r="BJ575" s="138"/>
      <c r="BK575" s="138"/>
      <c r="BL575" s="138"/>
      <c r="BM575" s="138"/>
      <c r="BN575" s="138"/>
      <c r="BO575" s="138"/>
      <c r="BP575" s="138"/>
      <c r="BQ575" s="138"/>
      <c r="BR575" s="138"/>
      <c r="BS575" s="138"/>
      <c r="BT575" s="138"/>
      <c r="BU575" s="138"/>
      <c r="BV575" s="138"/>
      <c r="BW575" s="138"/>
      <c r="BX575" s="138"/>
      <c r="BY575" s="138"/>
      <c r="BZ575" s="138"/>
      <c r="CA575" s="138"/>
      <c r="CB575" s="138"/>
      <c r="CC575" s="138"/>
      <c r="CD575" s="138"/>
      <c r="CE575" s="138"/>
    </row>
    <row r="576" spans="1:83" ht="12" customHeight="1">
      <c r="A576" s="138"/>
      <c r="B576" s="138"/>
      <c r="C576" s="138"/>
      <c r="D576" s="22"/>
      <c r="E576" s="22"/>
      <c r="F576" s="22"/>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c r="AR576" s="138"/>
      <c r="AS576" s="138"/>
      <c r="AT576" s="138"/>
      <c r="AU576" s="138"/>
      <c r="AV576" s="138"/>
      <c r="AW576" s="138"/>
      <c r="AX576" s="138"/>
      <c r="AY576" s="138"/>
      <c r="AZ576" s="138"/>
      <c r="BA576" s="138"/>
      <c r="BB576" s="138"/>
      <c r="BC576" s="138"/>
      <c r="BD576" s="138"/>
      <c r="BE576" s="138"/>
      <c r="BF576" s="138"/>
      <c r="BG576" s="138"/>
      <c r="BH576" s="138"/>
      <c r="BI576" s="138"/>
      <c r="BJ576" s="138"/>
      <c r="BK576" s="138"/>
      <c r="BL576" s="138"/>
      <c r="BM576" s="138"/>
      <c r="BN576" s="138"/>
      <c r="BO576" s="138"/>
      <c r="BP576" s="138"/>
      <c r="BQ576" s="138"/>
      <c r="BR576" s="138"/>
      <c r="BS576" s="138"/>
      <c r="BT576" s="138"/>
      <c r="BU576" s="138"/>
      <c r="BV576" s="138"/>
      <c r="BW576" s="138"/>
      <c r="BX576" s="138"/>
      <c r="BY576" s="138"/>
      <c r="BZ576" s="138"/>
      <c r="CA576" s="138"/>
      <c r="CB576" s="138"/>
      <c r="CC576" s="138"/>
      <c r="CD576" s="138"/>
      <c r="CE576" s="138"/>
    </row>
    <row r="577" spans="1:83" ht="12" customHeight="1">
      <c r="A577" s="138"/>
      <c r="B577" s="138"/>
      <c r="C577" s="138"/>
      <c r="D577" s="22"/>
      <c r="E577" s="22"/>
      <c r="F577" s="22"/>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c r="AP577" s="138"/>
      <c r="AQ577" s="138"/>
      <c r="AR577" s="138"/>
      <c r="AS577" s="138"/>
      <c r="AT577" s="138"/>
      <c r="AU577" s="138"/>
      <c r="AV577" s="138"/>
      <c r="AW577" s="138"/>
      <c r="AX577" s="138"/>
      <c r="AY577" s="138"/>
      <c r="AZ577" s="138"/>
      <c r="BA577" s="138"/>
      <c r="BB577" s="138"/>
      <c r="BC577" s="138"/>
      <c r="BD577" s="138"/>
      <c r="BE577" s="138"/>
      <c r="BF577" s="138"/>
      <c r="BG577" s="138"/>
      <c r="BH577" s="138"/>
      <c r="BI577" s="138"/>
      <c r="BJ577" s="138"/>
      <c r="BK577" s="138"/>
      <c r="BL577" s="138"/>
      <c r="BM577" s="138"/>
      <c r="BN577" s="138"/>
      <c r="BO577" s="138"/>
      <c r="BP577" s="138"/>
      <c r="BQ577" s="138"/>
      <c r="BR577" s="138"/>
      <c r="BS577" s="138"/>
      <c r="BT577" s="138"/>
      <c r="BU577" s="138"/>
      <c r="BV577" s="138"/>
      <c r="BW577" s="138"/>
      <c r="BX577" s="138"/>
      <c r="BY577" s="138"/>
      <c r="BZ577" s="138"/>
      <c r="CA577" s="138"/>
      <c r="CB577" s="138"/>
      <c r="CC577" s="138"/>
      <c r="CD577" s="138"/>
      <c r="CE577" s="138"/>
    </row>
    <row r="578" spans="1:83" ht="12" customHeight="1">
      <c r="A578" s="138"/>
      <c r="B578" s="138"/>
      <c r="C578" s="138"/>
      <c r="D578" s="22"/>
      <c r="E578" s="22"/>
      <c r="F578" s="22"/>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c r="AR578" s="138"/>
      <c r="AS578" s="138"/>
      <c r="AT578" s="138"/>
      <c r="AU578" s="138"/>
      <c r="AV578" s="138"/>
      <c r="AW578" s="138"/>
      <c r="AX578" s="138"/>
      <c r="AY578" s="138"/>
      <c r="AZ578" s="138"/>
      <c r="BA578" s="138"/>
      <c r="BB578" s="138"/>
      <c r="BC578" s="138"/>
      <c r="BD578" s="138"/>
      <c r="BE578" s="138"/>
      <c r="BF578" s="138"/>
      <c r="BG578" s="138"/>
      <c r="BH578" s="138"/>
      <c r="BI578" s="138"/>
      <c r="BJ578" s="138"/>
      <c r="BK578" s="138"/>
      <c r="BL578" s="138"/>
      <c r="BM578" s="138"/>
      <c r="BN578" s="138"/>
      <c r="BO578" s="138"/>
      <c r="BP578" s="138"/>
      <c r="BQ578" s="138"/>
      <c r="BR578" s="138"/>
      <c r="BS578" s="138"/>
      <c r="BT578" s="138"/>
      <c r="BU578" s="138"/>
      <c r="BV578" s="138"/>
      <c r="BW578" s="138"/>
      <c r="BX578" s="138"/>
      <c r="BY578" s="138"/>
      <c r="BZ578" s="138"/>
      <c r="CA578" s="138"/>
      <c r="CB578" s="138"/>
      <c r="CC578" s="138"/>
      <c r="CD578" s="138"/>
      <c r="CE578" s="138"/>
    </row>
    <row r="579" spans="1:83" ht="12" customHeight="1">
      <c r="A579" s="138"/>
      <c r="B579" s="138"/>
      <c r="C579" s="138"/>
      <c r="D579" s="22"/>
      <c r="E579" s="22"/>
      <c r="F579" s="22"/>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c r="AR579" s="138"/>
      <c r="AS579" s="138"/>
      <c r="AT579" s="138"/>
      <c r="AU579" s="138"/>
      <c r="AV579" s="138"/>
      <c r="AW579" s="138"/>
      <c r="AX579" s="138"/>
      <c r="AY579" s="138"/>
      <c r="AZ579" s="138"/>
      <c r="BA579" s="138"/>
      <c r="BB579" s="138"/>
      <c r="BC579" s="138"/>
      <c r="BD579" s="138"/>
      <c r="BE579" s="138"/>
      <c r="BF579" s="138"/>
      <c r="BG579" s="138"/>
      <c r="BH579" s="138"/>
      <c r="BI579" s="138"/>
      <c r="BJ579" s="138"/>
      <c r="BK579" s="138"/>
      <c r="BL579" s="138"/>
      <c r="BM579" s="138"/>
      <c r="BN579" s="138"/>
      <c r="BO579" s="138"/>
      <c r="BP579" s="138"/>
      <c r="BQ579" s="138"/>
      <c r="BR579" s="138"/>
      <c r="BS579" s="138"/>
      <c r="BT579" s="138"/>
      <c r="BU579" s="138"/>
      <c r="BV579" s="138"/>
      <c r="BW579" s="138"/>
      <c r="BX579" s="138"/>
      <c r="BY579" s="138"/>
      <c r="BZ579" s="138"/>
      <c r="CA579" s="138"/>
      <c r="CB579" s="138"/>
      <c r="CC579" s="138"/>
      <c r="CD579" s="138"/>
      <c r="CE579" s="138"/>
    </row>
    <row r="580" spans="1:83" ht="12" customHeight="1">
      <c r="A580" s="138"/>
      <c r="B580" s="138"/>
      <c r="C580" s="138"/>
      <c r="D580" s="22"/>
      <c r="E580" s="22"/>
      <c r="F580" s="22"/>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c r="AP580" s="138"/>
      <c r="AQ580" s="138"/>
      <c r="AR580" s="138"/>
      <c r="AS580" s="138"/>
      <c r="AT580" s="138"/>
      <c r="AU580" s="138"/>
      <c r="AV580" s="138"/>
      <c r="AW580" s="138"/>
      <c r="AX580" s="138"/>
      <c r="AY580" s="138"/>
      <c r="AZ580" s="138"/>
      <c r="BA580" s="138"/>
      <c r="BB580" s="138"/>
      <c r="BC580" s="138"/>
      <c r="BD580" s="138"/>
      <c r="BE580" s="138"/>
      <c r="BF580" s="138"/>
      <c r="BG580" s="138"/>
      <c r="BH580" s="138"/>
      <c r="BI580" s="138"/>
      <c r="BJ580" s="138"/>
      <c r="BK580" s="138"/>
      <c r="BL580" s="138"/>
      <c r="BM580" s="138"/>
      <c r="BN580" s="138"/>
      <c r="BO580" s="138"/>
      <c r="BP580" s="138"/>
      <c r="BQ580" s="138"/>
      <c r="BR580" s="138"/>
      <c r="BS580" s="138"/>
      <c r="BT580" s="138"/>
      <c r="BU580" s="138"/>
      <c r="BV580" s="138"/>
      <c r="BW580" s="138"/>
      <c r="BX580" s="138"/>
      <c r="BY580" s="138"/>
      <c r="BZ580" s="138"/>
      <c r="CA580" s="138"/>
      <c r="CB580" s="138"/>
      <c r="CC580" s="138"/>
      <c r="CD580" s="138"/>
      <c r="CE580" s="138"/>
    </row>
    <row r="581" spans="1:83" ht="12" customHeight="1">
      <c r="A581" s="138"/>
      <c r="B581" s="138"/>
      <c r="C581" s="138"/>
      <c r="D581" s="22"/>
      <c r="E581" s="22"/>
      <c r="F581" s="22"/>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c r="AP581" s="138"/>
      <c r="AQ581" s="138"/>
      <c r="AR581" s="138"/>
      <c r="AS581" s="138"/>
      <c r="AT581" s="138"/>
      <c r="AU581" s="138"/>
      <c r="AV581" s="138"/>
      <c r="AW581" s="138"/>
      <c r="AX581" s="138"/>
      <c r="AY581" s="138"/>
      <c r="AZ581" s="138"/>
      <c r="BA581" s="138"/>
      <c r="BB581" s="138"/>
      <c r="BC581" s="138"/>
      <c r="BD581" s="138"/>
      <c r="BE581" s="138"/>
      <c r="BF581" s="138"/>
      <c r="BG581" s="138"/>
      <c r="BH581" s="138"/>
      <c r="BI581" s="138"/>
      <c r="BJ581" s="138"/>
      <c r="BK581" s="138"/>
      <c r="BL581" s="138"/>
      <c r="BM581" s="138"/>
      <c r="BN581" s="138"/>
      <c r="BO581" s="138"/>
      <c r="BP581" s="138"/>
      <c r="BQ581" s="138"/>
      <c r="BR581" s="138"/>
      <c r="BS581" s="138"/>
      <c r="BT581" s="138"/>
      <c r="BU581" s="138"/>
      <c r="BV581" s="138"/>
      <c r="BW581" s="138"/>
      <c r="BX581" s="138"/>
      <c r="BY581" s="138"/>
      <c r="BZ581" s="138"/>
      <c r="CA581" s="138"/>
      <c r="CB581" s="138"/>
      <c r="CC581" s="138"/>
      <c r="CD581" s="138"/>
      <c r="CE581" s="138"/>
    </row>
    <row r="582" spans="1:83" ht="12" customHeight="1">
      <c r="A582" s="138"/>
      <c r="B582" s="138"/>
      <c r="C582" s="138"/>
      <c r="D582" s="22"/>
      <c r="E582" s="22"/>
      <c r="F582" s="22"/>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c r="AR582" s="138"/>
      <c r="AS582" s="138"/>
      <c r="AT582" s="138"/>
      <c r="AU582" s="138"/>
      <c r="AV582" s="138"/>
      <c r="AW582" s="138"/>
      <c r="AX582" s="138"/>
      <c r="AY582" s="138"/>
      <c r="AZ582" s="138"/>
      <c r="BA582" s="138"/>
      <c r="BB582" s="138"/>
      <c r="BC582" s="138"/>
      <c r="BD582" s="138"/>
      <c r="BE582" s="138"/>
      <c r="BF582" s="138"/>
      <c r="BG582" s="138"/>
      <c r="BH582" s="138"/>
      <c r="BI582" s="138"/>
      <c r="BJ582" s="138"/>
      <c r="BK582" s="138"/>
      <c r="BL582" s="138"/>
      <c r="BM582" s="138"/>
      <c r="BN582" s="138"/>
      <c r="BO582" s="138"/>
      <c r="BP582" s="138"/>
      <c r="BQ582" s="138"/>
      <c r="BR582" s="138"/>
      <c r="BS582" s="138"/>
      <c r="BT582" s="138"/>
      <c r="BU582" s="138"/>
      <c r="BV582" s="138"/>
      <c r="BW582" s="138"/>
      <c r="BX582" s="138"/>
      <c r="BY582" s="138"/>
      <c r="BZ582" s="138"/>
      <c r="CA582" s="138"/>
      <c r="CB582" s="138"/>
      <c r="CC582" s="138"/>
      <c r="CD582" s="138"/>
      <c r="CE582" s="138"/>
    </row>
    <row r="583" spans="1:83" ht="12" customHeight="1">
      <c r="A583" s="138"/>
      <c r="B583" s="138"/>
      <c r="C583" s="138"/>
      <c r="D583" s="22"/>
      <c r="E583" s="22"/>
      <c r="F583" s="22"/>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c r="AP583" s="138"/>
      <c r="AQ583" s="138"/>
      <c r="AR583" s="138"/>
      <c r="AS583" s="138"/>
      <c r="AT583" s="138"/>
      <c r="AU583" s="138"/>
      <c r="AV583" s="138"/>
      <c r="AW583" s="138"/>
      <c r="AX583" s="138"/>
      <c r="AY583" s="138"/>
      <c r="AZ583" s="138"/>
      <c r="BA583" s="138"/>
      <c r="BB583" s="138"/>
      <c r="BC583" s="138"/>
      <c r="BD583" s="138"/>
      <c r="BE583" s="138"/>
      <c r="BF583" s="138"/>
      <c r="BG583" s="138"/>
      <c r="BH583" s="138"/>
      <c r="BI583" s="138"/>
      <c r="BJ583" s="138"/>
      <c r="BK583" s="138"/>
      <c r="BL583" s="138"/>
      <c r="BM583" s="138"/>
      <c r="BN583" s="138"/>
      <c r="BO583" s="138"/>
      <c r="BP583" s="138"/>
      <c r="BQ583" s="138"/>
      <c r="BR583" s="138"/>
      <c r="BS583" s="138"/>
      <c r="BT583" s="138"/>
      <c r="BU583" s="138"/>
      <c r="BV583" s="138"/>
      <c r="BW583" s="138"/>
      <c r="BX583" s="138"/>
      <c r="BY583" s="138"/>
      <c r="BZ583" s="138"/>
      <c r="CA583" s="138"/>
      <c r="CB583" s="138"/>
      <c r="CC583" s="138"/>
      <c r="CD583" s="138"/>
      <c r="CE583" s="138"/>
    </row>
    <row r="584" spans="1:83" ht="12" customHeight="1">
      <c r="A584" s="138"/>
      <c r="B584" s="138"/>
      <c r="C584" s="138"/>
      <c r="D584" s="22"/>
      <c r="E584" s="22"/>
      <c r="F584" s="22"/>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c r="AS584" s="138"/>
      <c r="AT584" s="138"/>
      <c r="AU584" s="138"/>
      <c r="AV584" s="138"/>
      <c r="AW584" s="138"/>
      <c r="AX584" s="138"/>
      <c r="AY584" s="138"/>
      <c r="AZ584" s="138"/>
      <c r="BA584" s="138"/>
      <c r="BB584" s="138"/>
      <c r="BC584" s="138"/>
      <c r="BD584" s="138"/>
      <c r="BE584" s="138"/>
      <c r="BF584" s="138"/>
      <c r="BG584" s="138"/>
      <c r="BH584" s="138"/>
      <c r="BI584" s="138"/>
      <c r="BJ584" s="138"/>
      <c r="BK584" s="138"/>
      <c r="BL584" s="138"/>
      <c r="BM584" s="138"/>
      <c r="BN584" s="138"/>
      <c r="BO584" s="138"/>
      <c r="BP584" s="138"/>
      <c r="BQ584" s="138"/>
      <c r="BR584" s="138"/>
      <c r="BS584" s="138"/>
      <c r="BT584" s="138"/>
      <c r="BU584" s="138"/>
      <c r="BV584" s="138"/>
      <c r="BW584" s="138"/>
      <c r="BX584" s="138"/>
      <c r="BY584" s="138"/>
      <c r="BZ584" s="138"/>
      <c r="CA584" s="138"/>
      <c r="CB584" s="138"/>
      <c r="CC584" s="138"/>
      <c r="CD584" s="138"/>
      <c r="CE584" s="138"/>
    </row>
    <row r="585" spans="1:83" ht="12" customHeight="1">
      <c r="A585" s="138"/>
      <c r="B585" s="138"/>
      <c r="C585" s="138"/>
      <c r="D585" s="22"/>
      <c r="E585" s="22"/>
      <c r="F585" s="22"/>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c r="AR585" s="138"/>
      <c r="AS585" s="138"/>
      <c r="AT585" s="138"/>
      <c r="AU585" s="138"/>
      <c r="AV585" s="138"/>
      <c r="AW585" s="138"/>
      <c r="AX585" s="138"/>
      <c r="AY585" s="138"/>
      <c r="AZ585" s="138"/>
      <c r="BA585" s="138"/>
      <c r="BB585" s="138"/>
      <c r="BC585" s="138"/>
      <c r="BD585" s="138"/>
      <c r="BE585" s="138"/>
      <c r="BF585" s="138"/>
      <c r="BG585" s="138"/>
      <c r="BH585" s="138"/>
      <c r="BI585" s="138"/>
      <c r="BJ585" s="138"/>
      <c r="BK585" s="138"/>
      <c r="BL585" s="138"/>
      <c r="BM585" s="138"/>
      <c r="BN585" s="138"/>
      <c r="BO585" s="138"/>
      <c r="BP585" s="138"/>
      <c r="BQ585" s="138"/>
      <c r="BR585" s="138"/>
      <c r="BS585" s="138"/>
      <c r="BT585" s="138"/>
      <c r="BU585" s="138"/>
      <c r="BV585" s="138"/>
      <c r="BW585" s="138"/>
      <c r="BX585" s="138"/>
      <c r="BY585" s="138"/>
      <c r="BZ585" s="138"/>
      <c r="CA585" s="138"/>
      <c r="CB585" s="138"/>
      <c r="CC585" s="138"/>
      <c r="CD585" s="138"/>
      <c r="CE585" s="138"/>
    </row>
    <row r="586" spans="1:83" ht="12" customHeight="1">
      <c r="A586" s="138"/>
      <c r="B586" s="138"/>
      <c r="C586" s="138"/>
      <c r="D586" s="22"/>
      <c r="E586" s="22"/>
      <c r="F586" s="22"/>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c r="AP586" s="138"/>
      <c r="AQ586" s="138"/>
      <c r="AR586" s="138"/>
      <c r="AS586" s="138"/>
      <c r="AT586" s="138"/>
      <c r="AU586" s="138"/>
      <c r="AV586" s="138"/>
      <c r="AW586" s="138"/>
      <c r="AX586" s="138"/>
      <c r="AY586" s="138"/>
      <c r="AZ586" s="138"/>
      <c r="BA586" s="138"/>
      <c r="BB586" s="138"/>
      <c r="BC586" s="138"/>
      <c r="BD586" s="138"/>
      <c r="BE586" s="138"/>
      <c r="BF586" s="138"/>
      <c r="BG586" s="138"/>
      <c r="BH586" s="138"/>
      <c r="BI586" s="138"/>
      <c r="BJ586" s="138"/>
      <c r="BK586" s="138"/>
      <c r="BL586" s="138"/>
      <c r="BM586" s="138"/>
      <c r="BN586" s="138"/>
      <c r="BO586" s="138"/>
      <c r="BP586" s="138"/>
      <c r="BQ586" s="138"/>
      <c r="BR586" s="138"/>
      <c r="BS586" s="138"/>
      <c r="BT586" s="138"/>
      <c r="BU586" s="138"/>
      <c r="BV586" s="138"/>
      <c r="BW586" s="138"/>
      <c r="BX586" s="138"/>
      <c r="BY586" s="138"/>
      <c r="BZ586" s="138"/>
      <c r="CA586" s="138"/>
      <c r="CB586" s="138"/>
      <c r="CC586" s="138"/>
      <c r="CD586" s="138"/>
      <c r="CE586" s="138"/>
    </row>
    <row r="587" spans="1:83" ht="12" customHeight="1">
      <c r="A587" s="138"/>
      <c r="B587" s="138"/>
      <c r="C587" s="138"/>
      <c r="D587" s="22"/>
      <c r="E587" s="22"/>
      <c r="F587" s="22"/>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c r="AP587" s="138"/>
      <c r="AQ587" s="138"/>
      <c r="AR587" s="138"/>
      <c r="AS587" s="138"/>
      <c r="AT587" s="138"/>
      <c r="AU587" s="138"/>
      <c r="AV587" s="138"/>
      <c r="AW587" s="138"/>
      <c r="AX587" s="138"/>
      <c r="AY587" s="138"/>
      <c r="AZ587" s="138"/>
      <c r="BA587" s="138"/>
      <c r="BB587" s="138"/>
      <c r="BC587" s="138"/>
      <c r="BD587" s="138"/>
      <c r="BE587" s="138"/>
      <c r="BF587" s="138"/>
      <c r="BG587" s="138"/>
      <c r="BH587" s="138"/>
      <c r="BI587" s="138"/>
      <c r="BJ587" s="138"/>
      <c r="BK587" s="138"/>
      <c r="BL587" s="138"/>
      <c r="BM587" s="138"/>
      <c r="BN587" s="138"/>
      <c r="BO587" s="138"/>
      <c r="BP587" s="138"/>
      <c r="BQ587" s="138"/>
      <c r="BR587" s="138"/>
      <c r="BS587" s="138"/>
      <c r="BT587" s="138"/>
      <c r="BU587" s="138"/>
      <c r="BV587" s="138"/>
      <c r="BW587" s="138"/>
      <c r="BX587" s="138"/>
      <c r="BY587" s="138"/>
      <c r="BZ587" s="138"/>
      <c r="CA587" s="138"/>
      <c r="CB587" s="138"/>
      <c r="CC587" s="138"/>
      <c r="CD587" s="138"/>
      <c r="CE587" s="138"/>
    </row>
    <row r="588" spans="1:83" ht="12" customHeight="1">
      <c r="A588" s="138"/>
      <c r="B588" s="138"/>
      <c r="C588" s="138"/>
      <c r="D588" s="22"/>
      <c r="E588" s="22"/>
      <c r="F588" s="22"/>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c r="AR588" s="138"/>
      <c r="AS588" s="138"/>
      <c r="AT588" s="138"/>
      <c r="AU588" s="138"/>
      <c r="AV588" s="138"/>
      <c r="AW588" s="138"/>
      <c r="AX588" s="138"/>
      <c r="AY588" s="138"/>
      <c r="AZ588" s="138"/>
      <c r="BA588" s="138"/>
      <c r="BB588" s="138"/>
      <c r="BC588" s="138"/>
      <c r="BD588" s="138"/>
      <c r="BE588" s="138"/>
      <c r="BF588" s="138"/>
      <c r="BG588" s="138"/>
      <c r="BH588" s="138"/>
      <c r="BI588" s="138"/>
      <c r="BJ588" s="138"/>
      <c r="BK588" s="138"/>
      <c r="BL588" s="138"/>
      <c r="BM588" s="138"/>
      <c r="BN588" s="138"/>
      <c r="BO588" s="138"/>
      <c r="BP588" s="138"/>
      <c r="BQ588" s="138"/>
      <c r="BR588" s="138"/>
      <c r="BS588" s="138"/>
      <c r="BT588" s="138"/>
      <c r="BU588" s="138"/>
      <c r="BV588" s="138"/>
      <c r="BW588" s="138"/>
      <c r="BX588" s="138"/>
      <c r="BY588" s="138"/>
      <c r="BZ588" s="138"/>
      <c r="CA588" s="138"/>
      <c r="CB588" s="138"/>
      <c r="CC588" s="138"/>
      <c r="CD588" s="138"/>
      <c r="CE588" s="138"/>
    </row>
    <row r="589" spans="1:83" ht="12" customHeight="1">
      <c r="A589" s="138"/>
      <c r="B589" s="138"/>
      <c r="C589" s="138"/>
      <c r="D589" s="22"/>
      <c r="E589" s="22"/>
      <c r="F589" s="22"/>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c r="AP589" s="138"/>
      <c r="AQ589" s="138"/>
      <c r="AR589" s="138"/>
      <c r="AS589" s="138"/>
      <c r="AT589" s="138"/>
      <c r="AU589" s="138"/>
      <c r="AV589" s="138"/>
      <c r="AW589" s="138"/>
      <c r="AX589" s="138"/>
      <c r="AY589" s="138"/>
      <c r="AZ589" s="138"/>
      <c r="BA589" s="138"/>
      <c r="BB589" s="138"/>
      <c r="BC589" s="138"/>
      <c r="BD589" s="138"/>
      <c r="BE589" s="138"/>
      <c r="BF589" s="138"/>
      <c r="BG589" s="138"/>
      <c r="BH589" s="138"/>
      <c r="BI589" s="138"/>
      <c r="BJ589" s="138"/>
      <c r="BK589" s="138"/>
      <c r="BL589" s="138"/>
      <c r="BM589" s="138"/>
      <c r="BN589" s="138"/>
      <c r="BO589" s="138"/>
      <c r="BP589" s="138"/>
      <c r="BQ589" s="138"/>
      <c r="BR589" s="138"/>
      <c r="BS589" s="138"/>
      <c r="BT589" s="138"/>
      <c r="BU589" s="138"/>
      <c r="BV589" s="138"/>
      <c r="BW589" s="138"/>
      <c r="BX589" s="138"/>
      <c r="BY589" s="138"/>
      <c r="BZ589" s="138"/>
      <c r="CA589" s="138"/>
      <c r="CB589" s="138"/>
      <c r="CC589" s="138"/>
      <c r="CD589" s="138"/>
      <c r="CE589" s="138"/>
    </row>
    <row r="590" spans="1:83" ht="12" customHeight="1">
      <c r="A590" s="138"/>
      <c r="B590" s="138"/>
      <c r="C590" s="138"/>
      <c r="D590" s="22"/>
      <c r="E590" s="22"/>
      <c r="F590" s="22"/>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c r="AR590" s="138"/>
      <c r="AS590" s="138"/>
      <c r="AT590" s="138"/>
      <c r="AU590" s="138"/>
      <c r="AV590" s="138"/>
      <c r="AW590" s="138"/>
      <c r="AX590" s="138"/>
      <c r="AY590" s="138"/>
      <c r="AZ590" s="138"/>
      <c r="BA590" s="138"/>
      <c r="BB590" s="138"/>
      <c r="BC590" s="138"/>
      <c r="BD590" s="138"/>
      <c r="BE590" s="138"/>
      <c r="BF590" s="138"/>
      <c r="BG590" s="138"/>
      <c r="BH590" s="138"/>
      <c r="BI590" s="138"/>
      <c r="BJ590" s="138"/>
      <c r="BK590" s="138"/>
      <c r="BL590" s="138"/>
      <c r="BM590" s="138"/>
      <c r="BN590" s="138"/>
      <c r="BO590" s="138"/>
      <c r="BP590" s="138"/>
      <c r="BQ590" s="138"/>
      <c r="BR590" s="138"/>
      <c r="BS590" s="138"/>
      <c r="BT590" s="138"/>
      <c r="BU590" s="138"/>
      <c r="BV590" s="138"/>
      <c r="BW590" s="138"/>
      <c r="BX590" s="138"/>
      <c r="BY590" s="138"/>
      <c r="BZ590" s="138"/>
      <c r="CA590" s="138"/>
      <c r="CB590" s="138"/>
      <c r="CC590" s="138"/>
      <c r="CD590" s="138"/>
      <c r="CE590" s="138"/>
    </row>
    <row r="591" spans="1:83" ht="12" customHeight="1">
      <c r="A591" s="138"/>
      <c r="B591" s="138"/>
      <c r="C591" s="138"/>
      <c r="D591" s="22"/>
      <c r="E591" s="22"/>
      <c r="F591" s="22"/>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c r="AR591" s="138"/>
      <c r="AS591" s="138"/>
      <c r="AT591" s="138"/>
      <c r="AU591" s="138"/>
      <c r="AV591" s="138"/>
      <c r="AW591" s="138"/>
      <c r="AX591" s="138"/>
      <c r="AY591" s="138"/>
      <c r="AZ591" s="138"/>
      <c r="BA591" s="138"/>
      <c r="BB591" s="138"/>
      <c r="BC591" s="138"/>
      <c r="BD591" s="138"/>
      <c r="BE591" s="138"/>
      <c r="BF591" s="138"/>
      <c r="BG591" s="138"/>
      <c r="BH591" s="138"/>
      <c r="BI591" s="138"/>
      <c r="BJ591" s="138"/>
      <c r="BK591" s="138"/>
      <c r="BL591" s="138"/>
      <c r="BM591" s="138"/>
      <c r="BN591" s="138"/>
      <c r="BO591" s="138"/>
      <c r="BP591" s="138"/>
      <c r="BQ591" s="138"/>
      <c r="BR591" s="138"/>
      <c r="BS591" s="138"/>
      <c r="BT591" s="138"/>
      <c r="BU591" s="138"/>
      <c r="BV591" s="138"/>
      <c r="BW591" s="138"/>
      <c r="BX591" s="138"/>
      <c r="BY591" s="138"/>
      <c r="BZ591" s="138"/>
      <c r="CA591" s="138"/>
      <c r="CB591" s="138"/>
      <c r="CC591" s="138"/>
      <c r="CD591" s="138"/>
      <c r="CE591" s="138"/>
    </row>
    <row r="592" spans="1:83" ht="12" customHeight="1">
      <c r="A592" s="138"/>
      <c r="B592" s="138"/>
      <c r="C592" s="138"/>
      <c r="D592" s="22"/>
      <c r="E592" s="22"/>
      <c r="F592" s="22"/>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c r="AP592" s="138"/>
      <c r="AQ592" s="138"/>
      <c r="AR592" s="138"/>
      <c r="AS592" s="138"/>
      <c r="AT592" s="138"/>
      <c r="AU592" s="138"/>
      <c r="AV592" s="138"/>
      <c r="AW592" s="138"/>
      <c r="AX592" s="138"/>
      <c r="AY592" s="138"/>
      <c r="AZ592" s="138"/>
      <c r="BA592" s="138"/>
      <c r="BB592" s="138"/>
      <c r="BC592" s="138"/>
      <c r="BD592" s="138"/>
      <c r="BE592" s="138"/>
      <c r="BF592" s="138"/>
      <c r="BG592" s="138"/>
      <c r="BH592" s="138"/>
      <c r="BI592" s="138"/>
      <c r="BJ592" s="138"/>
      <c r="BK592" s="138"/>
      <c r="BL592" s="138"/>
      <c r="BM592" s="138"/>
      <c r="BN592" s="138"/>
      <c r="BO592" s="138"/>
      <c r="BP592" s="138"/>
      <c r="BQ592" s="138"/>
      <c r="BR592" s="138"/>
      <c r="BS592" s="138"/>
      <c r="BT592" s="138"/>
      <c r="BU592" s="138"/>
      <c r="BV592" s="138"/>
      <c r="BW592" s="138"/>
      <c r="BX592" s="138"/>
      <c r="BY592" s="138"/>
      <c r="BZ592" s="138"/>
      <c r="CA592" s="138"/>
      <c r="CB592" s="138"/>
      <c r="CC592" s="138"/>
      <c r="CD592" s="138"/>
      <c r="CE592" s="138"/>
    </row>
    <row r="593" spans="1:83" ht="12" customHeight="1">
      <c r="A593" s="138"/>
      <c r="B593" s="138"/>
      <c r="C593" s="138"/>
      <c r="D593" s="22"/>
      <c r="E593" s="22"/>
      <c r="F593" s="22"/>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c r="AP593" s="138"/>
      <c r="AQ593" s="138"/>
      <c r="AR593" s="138"/>
      <c r="AS593" s="138"/>
      <c r="AT593" s="138"/>
      <c r="AU593" s="138"/>
      <c r="AV593" s="138"/>
      <c r="AW593" s="138"/>
      <c r="AX593" s="138"/>
      <c r="AY593" s="138"/>
      <c r="AZ593" s="138"/>
      <c r="BA593" s="138"/>
      <c r="BB593" s="138"/>
      <c r="BC593" s="138"/>
      <c r="BD593" s="138"/>
      <c r="BE593" s="138"/>
      <c r="BF593" s="138"/>
      <c r="BG593" s="138"/>
      <c r="BH593" s="138"/>
      <c r="BI593" s="138"/>
      <c r="BJ593" s="138"/>
      <c r="BK593" s="138"/>
      <c r="BL593" s="138"/>
      <c r="BM593" s="138"/>
      <c r="BN593" s="138"/>
      <c r="BO593" s="138"/>
      <c r="BP593" s="138"/>
      <c r="BQ593" s="138"/>
      <c r="BR593" s="138"/>
      <c r="BS593" s="138"/>
      <c r="BT593" s="138"/>
      <c r="BU593" s="138"/>
      <c r="BV593" s="138"/>
      <c r="BW593" s="138"/>
      <c r="BX593" s="138"/>
      <c r="BY593" s="138"/>
      <c r="BZ593" s="138"/>
      <c r="CA593" s="138"/>
      <c r="CB593" s="138"/>
      <c r="CC593" s="138"/>
      <c r="CD593" s="138"/>
      <c r="CE593" s="138"/>
    </row>
    <row r="594" spans="1:83" ht="12" customHeight="1">
      <c r="A594" s="138"/>
      <c r="B594" s="138"/>
      <c r="C594" s="138"/>
      <c r="D594" s="22"/>
      <c r="E594" s="22"/>
      <c r="F594" s="22"/>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c r="AR594" s="138"/>
      <c r="AS594" s="138"/>
      <c r="AT594" s="138"/>
      <c r="AU594" s="138"/>
      <c r="AV594" s="138"/>
      <c r="AW594" s="138"/>
      <c r="AX594" s="138"/>
      <c r="AY594" s="138"/>
      <c r="AZ594" s="138"/>
      <c r="BA594" s="138"/>
      <c r="BB594" s="138"/>
      <c r="BC594" s="138"/>
      <c r="BD594" s="138"/>
      <c r="BE594" s="138"/>
      <c r="BF594" s="138"/>
      <c r="BG594" s="138"/>
      <c r="BH594" s="138"/>
      <c r="BI594" s="138"/>
      <c r="BJ594" s="138"/>
      <c r="BK594" s="138"/>
      <c r="BL594" s="138"/>
      <c r="BM594" s="138"/>
      <c r="BN594" s="138"/>
      <c r="BO594" s="138"/>
      <c r="BP594" s="138"/>
      <c r="BQ594" s="138"/>
      <c r="BR594" s="138"/>
      <c r="BS594" s="138"/>
      <c r="BT594" s="138"/>
      <c r="BU594" s="138"/>
      <c r="BV594" s="138"/>
      <c r="BW594" s="138"/>
      <c r="BX594" s="138"/>
      <c r="BY594" s="138"/>
      <c r="BZ594" s="138"/>
      <c r="CA594" s="138"/>
      <c r="CB594" s="138"/>
      <c r="CC594" s="138"/>
      <c r="CD594" s="138"/>
      <c r="CE594" s="138"/>
    </row>
    <row r="595" spans="1:83" ht="12" customHeight="1">
      <c r="A595" s="138"/>
      <c r="B595" s="138"/>
      <c r="C595" s="138"/>
      <c r="D595" s="22"/>
      <c r="E595" s="22"/>
      <c r="F595" s="22"/>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c r="AP595" s="138"/>
      <c r="AQ595" s="138"/>
      <c r="AR595" s="138"/>
      <c r="AS595" s="138"/>
      <c r="AT595" s="138"/>
      <c r="AU595" s="138"/>
      <c r="AV595" s="138"/>
      <c r="AW595" s="138"/>
      <c r="AX595" s="138"/>
      <c r="AY595" s="138"/>
      <c r="AZ595" s="138"/>
      <c r="BA595" s="138"/>
      <c r="BB595" s="138"/>
      <c r="BC595" s="138"/>
      <c r="BD595" s="138"/>
      <c r="BE595" s="138"/>
      <c r="BF595" s="138"/>
      <c r="BG595" s="138"/>
      <c r="BH595" s="138"/>
      <c r="BI595" s="138"/>
      <c r="BJ595" s="138"/>
      <c r="BK595" s="138"/>
      <c r="BL595" s="138"/>
      <c r="BM595" s="138"/>
      <c r="BN595" s="138"/>
      <c r="BO595" s="138"/>
      <c r="BP595" s="138"/>
      <c r="BQ595" s="138"/>
      <c r="BR595" s="138"/>
      <c r="BS595" s="138"/>
      <c r="BT595" s="138"/>
      <c r="BU595" s="138"/>
      <c r="BV595" s="138"/>
      <c r="BW595" s="138"/>
      <c r="BX595" s="138"/>
      <c r="BY595" s="138"/>
      <c r="BZ595" s="138"/>
      <c r="CA595" s="138"/>
      <c r="CB595" s="138"/>
      <c r="CC595" s="138"/>
      <c r="CD595" s="138"/>
      <c r="CE595" s="138"/>
    </row>
    <row r="596" spans="1:83" ht="12" customHeight="1">
      <c r="A596" s="138"/>
      <c r="B596" s="138"/>
      <c r="C596" s="138"/>
      <c r="D596" s="22"/>
      <c r="E596" s="22"/>
      <c r="F596" s="22"/>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c r="AR596" s="138"/>
      <c r="AS596" s="138"/>
      <c r="AT596" s="138"/>
      <c r="AU596" s="138"/>
      <c r="AV596" s="138"/>
      <c r="AW596" s="138"/>
      <c r="AX596" s="138"/>
      <c r="AY596" s="138"/>
      <c r="AZ596" s="138"/>
      <c r="BA596" s="138"/>
      <c r="BB596" s="138"/>
      <c r="BC596" s="138"/>
      <c r="BD596" s="138"/>
      <c r="BE596" s="138"/>
      <c r="BF596" s="138"/>
      <c r="BG596" s="138"/>
      <c r="BH596" s="138"/>
      <c r="BI596" s="138"/>
      <c r="BJ596" s="138"/>
      <c r="BK596" s="138"/>
      <c r="BL596" s="138"/>
      <c r="BM596" s="138"/>
      <c r="BN596" s="138"/>
      <c r="BO596" s="138"/>
      <c r="BP596" s="138"/>
      <c r="BQ596" s="138"/>
      <c r="BR596" s="138"/>
      <c r="BS596" s="138"/>
      <c r="BT596" s="138"/>
      <c r="BU596" s="138"/>
      <c r="BV596" s="138"/>
      <c r="BW596" s="138"/>
      <c r="BX596" s="138"/>
      <c r="BY596" s="138"/>
      <c r="BZ596" s="138"/>
      <c r="CA596" s="138"/>
      <c r="CB596" s="138"/>
      <c r="CC596" s="138"/>
      <c r="CD596" s="138"/>
      <c r="CE596" s="138"/>
    </row>
    <row r="597" spans="1:83" ht="12" customHeight="1">
      <c r="A597" s="138"/>
      <c r="B597" s="138"/>
      <c r="C597" s="138"/>
      <c r="D597" s="22"/>
      <c r="E597" s="22"/>
      <c r="F597" s="22"/>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c r="AR597" s="138"/>
      <c r="AS597" s="138"/>
      <c r="AT597" s="138"/>
      <c r="AU597" s="138"/>
      <c r="AV597" s="138"/>
      <c r="AW597" s="138"/>
      <c r="AX597" s="138"/>
      <c r="AY597" s="138"/>
      <c r="AZ597" s="138"/>
      <c r="BA597" s="138"/>
      <c r="BB597" s="138"/>
      <c r="BC597" s="138"/>
      <c r="BD597" s="138"/>
      <c r="BE597" s="138"/>
      <c r="BF597" s="138"/>
      <c r="BG597" s="138"/>
      <c r="BH597" s="138"/>
      <c r="BI597" s="138"/>
      <c r="BJ597" s="138"/>
      <c r="BK597" s="138"/>
      <c r="BL597" s="138"/>
      <c r="BM597" s="138"/>
      <c r="BN597" s="138"/>
      <c r="BO597" s="138"/>
      <c r="BP597" s="138"/>
      <c r="BQ597" s="138"/>
      <c r="BR597" s="138"/>
      <c r="BS597" s="138"/>
      <c r="BT597" s="138"/>
      <c r="BU597" s="138"/>
      <c r="BV597" s="138"/>
      <c r="BW597" s="138"/>
      <c r="BX597" s="138"/>
      <c r="BY597" s="138"/>
      <c r="BZ597" s="138"/>
      <c r="CA597" s="138"/>
      <c r="CB597" s="138"/>
      <c r="CC597" s="138"/>
      <c r="CD597" s="138"/>
      <c r="CE597" s="138"/>
    </row>
    <row r="598" spans="1:83" ht="12" customHeight="1">
      <c r="A598" s="138"/>
      <c r="B598" s="138"/>
      <c r="C598" s="138"/>
      <c r="D598" s="22"/>
      <c r="E598" s="22"/>
      <c r="F598" s="22"/>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c r="AP598" s="138"/>
      <c r="AQ598" s="138"/>
      <c r="AR598" s="138"/>
      <c r="AS598" s="138"/>
      <c r="AT598" s="138"/>
      <c r="AU598" s="138"/>
      <c r="AV598" s="138"/>
      <c r="AW598" s="138"/>
      <c r="AX598" s="138"/>
      <c r="AY598" s="138"/>
      <c r="AZ598" s="138"/>
      <c r="BA598" s="138"/>
      <c r="BB598" s="138"/>
      <c r="BC598" s="138"/>
      <c r="BD598" s="138"/>
      <c r="BE598" s="138"/>
      <c r="BF598" s="138"/>
      <c r="BG598" s="138"/>
      <c r="BH598" s="138"/>
      <c r="BI598" s="138"/>
      <c r="BJ598" s="138"/>
      <c r="BK598" s="138"/>
      <c r="BL598" s="138"/>
      <c r="BM598" s="138"/>
      <c r="BN598" s="138"/>
      <c r="BO598" s="138"/>
      <c r="BP598" s="138"/>
      <c r="BQ598" s="138"/>
      <c r="BR598" s="138"/>
      <c r="BS598" s="138"/>
      <c r="BT598" s="138"/>
      <c r="BU598" s="138"/>
      <c r="BV598" s="138"/>
      <c r="BW598" s="138"/>
      <c r="BX598" s="138"/>
      <c r="BY598" s="138"/>
      <c r="BZ598" s="138"/>
      <c r="CA598" s="138"/>
      <c r="CB598" s="138"/>
      <c r="CC598" s="138"/>
      <c r="CD598" s="138"/>
      <c r="CE598" s="138"/>
    </row>
    <row r="599" spans="1:83" ht="12" customHeight="1">
      <c r="A599" s="138"/>
      <c r="B599" s="138"/>
      <c r="C599" s="138"/>
      <c r="D599" s="22"/>
      <c r="E599" s="22"/>
      <c r="F599" s="22"/>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c r="AP599" s="138"/>
      <c r="AQ599" s="138"/>
      <c r="AR599" s="138"/>
      <c r="AS599" s="138"/>
      <c r="AT599" s="138"/>
      <c r="AU599" s="138"/>
      <c r="AV599" s="138"/>
      <c r="AW599" s="138"/>
      <c r="AX599" s="138"/>
      <c r="AY599" s="138"/>
      <c r="AZ599" s="138"/>
      <c r="BA599" s="138"/>
      <c r="BB599" s="138"/>
      <c r="BC599" s="138"/>
      <c r="BD599" s="138"/>
      <c r="BE599" s="138"/>
      <c r="BF599" s="138"/>
      <c r="BG599" s="138"/>
      <c r="BH599" s="138"/>
      <c r="BI599" s="138"/>
      <c r="BJ599" s="138"/>
      <c r="BK599" s="138"/>
      <c r="BL599" s="138"/>
      <c r="BM599" s="138"/>
      <c r="BN599" s="138"/>
      <c r="BO599" s="138"/>
      <c r="BP599" s="138"/>
      <c r="BQ599" s="138"/>
      <c r="BR599" s="138"/>
      <c r="BS599" s="138"/>
      <c r="BT599" s="138"/>
      <c r="BU599" s="138"/>
      <c r="BV599" s="138"/>
      <c r="BW599" s="138"/>
      <c r="BX599" s="138"/>
      <c r="BY599" s="138"/>
      <c r="BZ599" s="138"/>
      <c r="CA599" s="138"/>
      <c r="CB599" s="138"/>
      <c r="CC599" s="138"/>
      <c r="CD599" s="138"/>
      <c r="CE599" s="138"/>
    </row>
    <row r="600" spans="1:83" ht="12" customHeight="1">
      <c r="A600" s="138"/>
      <c r="B600" s="138"/>
      <c r="C600" s="138"/>
      <c r="D600" s="22"/>
      <c r="E600" s="22"/>
      <c r="F600" s="22"/>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c r="AP600" s="138"/>
      <c r="AQ600" s="138"/>
      <c r="AR600" s="138"/>
      <c r="AS600" s="138"/>
      <c r="AT600" s="138"/>
      <c r="AU600" s="138"/>
      <c r="AV600" s="138"/>
      <c r="AW600" s="138"/>
      <c r="AX600" s="138"/>
      <c r="AY600" s="138"/>
      <c r="AZ600" s="138"/>
      <c r="BA600" s="138"/>
      <c r="BB600" s="138"/>
      <c r="BC600" s="138"/>
      <c r="BD600" s="138"/>
      <c r="BE600" s="138"/>
      <c r="BF600" s="138"/>
      <c r="BG600" s="138"/>
      <c r="BH600" s="138"/>
      <c r="BI600" s="138"/>
      <c r="BJ600" s="138"/>
      <c r="BK600" s="138"/>
      <c r="BL600" s="138"/>
      <c r="BM600" s="138"/>
      <c r="BN600" s="138"/>
      <c r="BO600" s="138"/>
      <c r="BP600" s="138"/>
      <c r="BQ600" s="138"/>
      <c r="BR600" s="138"/>
      <c r="BS600" s="138"/>
      <c r="BT600" s="138"/>
      <c r="BU600" s="138"/>
      <c r="BV600" s="138"/>
      <c r="BW600" s="138"/>
      <c r="BX600" s="138"/>
      <c r="BY600" s="138"/>
      <c r="BZ600" s="138"/>
      <c r="CA600" s="138"/>
      <c r="CB600" s="138"/>
      <c r="CC600" s="138"/>
      <c r="CD600" s="138"/>
      <c r="CE600" s="138"/>
    </row>
    <row r="601" spans="1:83" ht="12" customHeight="1">
      <c r="A601" s="138"/>
      <c r="B601" s="138"/>
      <c r="C601" s="138"/>
      <c r="D601" s="22"/>
      <c r="E601" s="22"/>
      <c r="F601" s="22"/>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c r="AP601" s="138"/>
      <c r="AQ601" s="138"/>
      <c r="AR601" s="138"/>
      <c r="AS601" s="138"/>
      <c r="AT601" s="138"/>
      <c r="AU601" s="138"/>
      <c r="AV601" s="138"/>
      <c r="AW601" s="138"/>
      <c r="AX601" s="138"/>
      <c r="AY601" s="138"/>
      <c r="AZ601" s="138"/>
      <c r="BA601" s="138"/>
      <c r="BB601" s="138"/>
      <c r="BC601" s="138"/>
      <c r="BD601" s="138"/>
      <c r="BE601" s="138"/>
      <c r="BF601" s="138"/>
      <c r="BG601" s="138"/>
      <c r="BH601" s="138"/>
      <c r="BI601" s="138"/>
      <c r="BJ601" s="138"/>
      <c r="BK601" s="138"/>
      <c r="BL601" s="138"/>
      <c r="BM601" s="138"/>
      <c r="BN601" s="138"/>
      <c r="BO601" s="138"/>
      <c r="BP601" s="138"/>
      <c r="BQ601" s="138"/>
      <c r="BR601" s="138"/>
      <c r="BS601" s="138"/>
      <c r="BT601" s="138"/>
      <c r="BU601" s="138"/>
      <c r="BV601" s="138"/>
      <c r="BW601" s="138"/>
      <c r="BX601" s="138"/>
      <c r="BY601" s="138"/>
      <c r="BZ601" s="138"/>
      <c r="CA601" s="138"/>
      <c r="CB601" s="138"/>
      <c r="CC601" s="138"/>
      <c r="CD601" s="138"/>
      <c r="CE601" s="138"/>
    </row>
    <row r="602" spans="1:83" ht="12" customHeight="1">
      <c r="A602" s="138"/>
      <c r="B602" s="138"/>
      <c r="C602" s="138"/>
      <c r="D602" s="22"/>
      <c r="E602" s="22"/>
      <c r="F602" s="22"/>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c r="AP602" s="138"/>
      <c r="AQ602" s="138"/>
      <c r="AR602" s="138"/>
      <c r="AS602" s="138"/>
      <c r="AT602" s="138"/>
      <c r="AU602" s="138"/>
      <c r="AV602" s="138"/>
      <c r="AW602" s="138"/>
      <c r="AX602" s="138"/>
      <c r="AY602" s="138"/>
      <c r="AZ602" s="138"/>
      <c r="BA602" s="138"/>
      <c r="BB602" s="138"/>
      <c r="BC602" s="138"/>
      <c r="BD602" s="138"/>
      <c r="BE602" s="138"/>
      <c r="BF602" s="138"/>
      <c r="BG602" s="138"/>
      <c r="BH602" s="138"/>
      <c r="BI602" s="138"/>
      <c r="BJ602" s="138"/>
      <c r="BK602" s="138"/>
      <c r="BL602" s="138"/>
      <c r="BM602" s="138"/>
      <c r="BN602" s="138"/>
      <c r="BO602" s="138"/>
      <c r="BP602" s="138"/>
      <c r="BQ602" s="138"/>
      <c r="BR602" s="138"/>
      <c r="BS602" s="138"/>
      <c r="BT602" s="138"/>
      <c r="BU602" s="138"/>
      <c r="BV602" s="138"/>
      <c r="BW602" s="138"/>
      <c r="BX602" s="138"/>
      <c r="BY602" s="138"/>
      <c r="BZ602" s="138"/>
      <c r="CA602" s="138"/>
      <c r="CB602" s="138"/>
      <c r="CC602" s="138"/>
      <c r="CD602" s="138"/>
      <c r="CE602" s="138"/>
    </row>
    <row r="603" spans="1:83" ht="12" customHeight="1">
      <c r="A603" s="138"/>
      <c r="B603" s="138"/>
      <c r="C603" s="138"/>
      <c r="D603" s="22"/>
      <c r="E603" s="22"/>
      <c r="F603" s="22"/>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c r="AP603" s="138"/>
      <c r="AQ603" s="138"/>
      <c r="AR603" s="138"/>
      <c r="AS603" s="138"/>
      <c r="AT603" s="138"/>
      <c r="AU603" s="138"/>
      <c r="AV603" s="138"/>
      <c r="AW603" s="138"/>
      <c r="AX603" s="138"/>
      <c r="AY603" s="138"/>
      <c r="AZ603" s="138"/>
      <c r="BA603" s="138"/>
      <c r="BB603" s="138"/>
      <c r="BC603" s="138"/>
      <c r="BD603" s="138"/>
      <c r="BE603" s="138"/>
      <c r="BF603" s="138"/>
      <c r="BG603" s="138"/>
      <c r="BH603" s="138"/>
      <c r="BI603" s="138"/>
      <c r="BJ603" s="138"/>
      <c r="BK603" s="138"/>
      <c r="BL603" s="138"/>
      <c r="BM603" s="138"/>
      <c r="BN603" s="138"/>
      <c r="BO603" s="138"/>
      <c r="BP603" s="138"/>
      <c r="BQ603" s="138"/>
      <c r="BR603" s="138"/>
      <c r="BS603" s="138"/>
      <c r="BT603" s="138"/>
      <c r="BU603" s="138"/>
      <c r="BV603" s="138"/>
      <c r="BW603" s="138"/>
      <c r="BX603" s="138"/>
      <c r="BY603" s="138"/>
      <c r="BZ603" s="138"/>
      <c r="CA603" s="138"/>
      <c r="CB603" s="138"/>
      <c r="CC603" s="138"/>
      <c r="CD603" s="138"/>
      <c r="CE603" s="138"/>
    </row>
    <row r="604" spans="1:83" ht="12" customHeight="1">
      <c r="A604" s="138"/>
      <c r="B604" s="138"/>
      <c r="C604" s="138"/>
      <c r="D604" s="22"/>
      <c r="E604" s="22"/>
      <c r="F604" s="22"/>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c r="AP604" s="138"/>
      <c r="AQ604" s="138"/>
      <c r="AR604" s="138"/>
      <c r="AS604" s="138"/>
      <c r="AT604" s="138"/>
      <c r="AU604" s="138"/>
      <c r="AV604" s="138"/>
      <c r="AW604" s="138"/>
      <c r="AX604" s="138"/>
      <c r="AY604" s="138"/>
      <c r="AZ604" s="138"/>
      <c r="BA604" s="138"/>
      <c r="BB604" s="138"/>
      <c r="BC604" s="138"/>
      <c r="BD604" s="138"/>
      <c r="BE604" s="138"/>
      <c r="BF604" s="138"/>
      <c r="BG604" s="138"/>
      <c r="BH604" s="138"/>
      <c r="BI604" s="138"/>
      <c r="BJ604" s="138"/>
      <c r="BK604" s="138"/>
      <c r="BL604" s="138"/>
      <c r="BM604" s="138"/>
      <c r="BN604" s="138"/>
      <c r="BO604" s="138"/>
      <c r="BP604" s="138"/>
      <c r="BQ604" s="138"/>
      <c r="BR604" s="138"/>
      <c r="BS604" s="138"/>
      <c r="BT604" s="138"/>
      <c r="BU604" s="138"/>
      <c r="BV604" s="138"/>
      <c r="BW604" s="138"/>
      <c r="BX604" s="138"/>
      <c r="BY604" s="138"/>
      <c r="BZ604" s="138"/>
      <c r="CA604" s="138"/>
      <c r="CB604" s="138"/>
      <c r="CC604" s="138"/>
      <c r="CD604" s="138"/>
      <c r="CE604" s="138"/>
    </row>
    <row r="605" spans="1:83" ht="12" customHeight="1">
      <c r="A605" s="138"/>
      <c r="B605" s="138"/>
      <c r="C605" s="138"/>
      <c r="D605" s="22"/>
      <c r="E605" s="22"/>
      <c r="F605" s="22"/>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c r="AP605" s="138"/>
      <c r="AQ605" s="138"/>
      <c r="AR605" s="138"/>
      <c r="AS605" s="138"/>
      <c r="AT605" s="138"/>
      <c r="AU605" s="138"/>
      <c r="AV605" s="138"/>
      <c r="AW605" s="138"/>
      <c r="AX605" s="138"/>
      <c r="AY605" s="138"/>
      <c r="AZ605" s="138"/>
      <c r="BA605" s="138"/>
      <c r="BB605" s="138"/>
      <c r="BC605" s="138"/>
      <c r="BD605" s="138"/>
      <c r="BE605" s="138"/>
      <c r="BF605" s="138"/>
      <c r="BG605" s="138"/>
      <c r="BH605" s="138"/>
      <c r="BI605" s="138"/>
      <c r="BJ605" s="138"/>
      <c r="BK605" s="138"/>
      <c r="BL605" s="138"/>
      <c r="BM605" s="138"/>
      <c r="BN605" s="138"/>
      <c r="BO605" s="138"/>
      <c r="BP605" s="138"/>
      <c r="BQ605" s="138"/>
      <c r="BR605" s="138"/>
      <c r="BS605" s="138"/>
      <c r="BT605" s="138"/>
      <c r="BU605" s="138"/>
      <c r="BV605" s="138"/>
      <c r="BW605" s="138"/>
      <c r="BX605" s="138"/>
      <c r="BY605" s="138"/>
      <c r="BZ605" s="138"/>
      <c r="CA605" s="138"/>
      <c r="CB605" s="138"/>
      <c r="CC605" s="138"/>
      <c r="CD605" s="138"/>
      <c r="CE605" s="138"/>
    </row>
    <row r="606" spans="1:83" ht="12" customHeight="1">
      <c r="A606" s="138"/>
      <c r="B606" s="138"/>
      <c r="C606" s="138"/>
      <c r="D606" s="22"/>
      <c r="E606" s="22"/>
      <c r="F606" s="22"/>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c r="AP606" s="138"/>
      <c r="AQ606" s="138"/>
      <c r="AR606" s="138"/>
      <c r="AS606" s="138"/>
      <c r="AT606" s="138"/>
      <c r="AU606" s="138"/>
      <c r="AV606" s="138"/>
      <c r="AW606" s="138"/>
      <c r="AX606" s="138"/>
      <c r="AY606" s="138"/>
      <c r="AZ606" s="138"/>
      <c r="BA606" s="138"/>
      <c r="BB606" s="138"/>
      <c r="BC606" s="138"/>
      <c r="BD606" s="138"/>
      <c r="BE606" s="138"/>
      <c r="BF606" s="138"/>
      <c r="BG606" s="138"/>
      <c r="BH606" s="138"/>
      <c r="BI606" s="138"/>
      <c r="BJ606" s="138"/>
      <c r="BK606" s="138"/>
      <c r="BL606" s="138"/>
      <c r="BM606" s="138"/>
      <c r="BN606" s="138"/>
      <c r="BO606" s="138"/>
      <c r="BP606" s="138"/>
      <c r="BQ606" s="138"/>
      <c r="BR606" s="138"/>
      <c r="BS606" s="138"/>
      <c r="BT606" s="138"/>
      <c r="BU606" s="138"/>
      <c r="BV606" s="138"/>
      <c r="BW606" s="138"/>
      <c r="BX606" s="138"/>
      <c r="BY606" s="138"/>
      <c r="BZ606" s="138"/>
      <c r="CA606" s="138"/>
      <c r="CB606" s="138"/>
      <c r="CC606" s="138"/>
      <c r="CD606" s="138"/>
      <c r="CE606" s="138"/>
    </row>
    <row r="607" spans="1:83" ht="12" customHeight="1">
      <c r="A607" s="138"/>
      <c r="B607" s="138"/>
      <c r="C607" s="138"/>
      <c r="D607" s="22"/>
      <c r="E607" s="22"/>
      <c r="F607" s="22"/>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c r="AP607" s="138"/>
      <c r="AQ607" s="138"/>
      <c r="AR607" s="138"/>
      <c r="AS607" s="138"/>
      <c r="AT607" s="138"/>
      <c r="AU607" s="138"/>
      <c r="AV607" s="138"/>
      <c r="AW607" s="138"/>
      <c r="AX607" s="138"/>
      <c r="AY607" s="138"/>
      <c r="AZ607" s="138"/>
      <c r="BA607" s="138"/>
      <c r="BB607" s="138"/>
      <c r="BC607" s="138"/>
      <c r="BD607" s="138"/>
      <c r="BE607" s="138"/>
      <c r="BF607" s="138"/>
      <c r="BG607" s="138"/>
      <c r="BH607" s="138"/>
      <c r="BI607" s="138"/>
      <c r="BJ607" s="138"/>
      <c r="BK607" s="138"/>
      <c r="BL607" s="138"/>
      <c r="BM607" s="138"/>
      <c r="BN607" s="138"/>
      <c r="BO607" s="138"/>
      <c r="BP607" s="138"/>
      <c r="BQ607" s="138"/>
      <c r="BR607" s="138"/>
      <c r="BS607" s="138"/>
      <c r="BT607" s="138"/>
      <c r="BU607" s="138"/>
      <c r="BV607" s="138"/>
      <c r="BW607" s="138"/>
      <c r="BX607" s="138"/>
      <c r="BY607" s="138"/>
      <c r="BZ607" s="138"/>
      <c r="CA607" s="138"/>
      <c r="CB607" s="138"/>
      <c r="CC607" s="138"/>
      <c r="CD607" s="138"/>
      <c r="CE607" s="138"/>
    </row>
    <row r="608" spans="1:83" ht="12" customHeight="1">
      <c r="A608" s="138"/>
      <c r="B608" s="138"/>
      <c r="C608" s="138"/>
      <c r="D608" s="22"/>
      <c r="E608" s="22"/>
      <c r="F608" s="22"/>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M608" s="138"/>
      <c r="AN608" s="138"/>
      <c r="AO608" s="138"/>
      <c r="AP608" s="138"/>
      <c r="AQ608" s="138"/>
      <c r="AR608" s="138"/>
      <c r="AS608" s="138"/>
      <c r="AT608" s="138"/>
      <c r="AU608" s="138"/>
      <c r="AV608" s="138"/>
      <c r="AW608" s="138"/>
      <c r="AX608" s="138"/>
      <c r="AY608" s="138"/>
      <c r="AZ608" s="138"/>
      <c r="BA608" s="138"/>
      <c r="BB608" s="138"/>
      <c r="BC608" s="138"/>
      <c r="BD608" s="138"/>
      <c r="BE608" s="138"/>
      <c r="BF608" s="138"/>
      <c r="BG608" s="138"/>
      <c r="BH608" s="138"/>
      <c r="BI608" s="138"/>
      <c r="BJ608" s="138"/>
      <c r="BK608" s="138"/>
      <c r="BL608" s="138"/>
      <c r="BM608" s="138"/>
      <c r="BN608" s="138"/>
      <c r="BO608" s="138"/>
      <c r="BP608" s="138"/>
      <c r="BQ608" s="138"/>
      <c r="BR608" s="138"/>
      <c r="BS608" s="138"/>
      <c r="BT608" s="138"/>
      <c r="BU608" s="138"/>
      <c r="BV608" s="138"/>
      <c r="BW608" s="138"/>
      <c r="BX608" s="138"/>
      <c r="BY608" s="138"/>
      <c r="BZ608" s="138"/>
      <c r="CA608" s="138"/>
      <c r="CB608" s="138"/>
      <c r="CC608" s="138"/>
      <c r="CD608" s="138"/>
      <c r="CE608" s="138"/>
    </row>
    <row r="609" spans="1:83" ht="12" customHeight="1">
      <c r="A609" s="138"/>
      <c r="B609" s="138"/>
      <c r="C609" s="138"/>
      <c r="D609" s="22"/>
      <c r="E609" s="22"/>
      <c r="F609" s="22"/>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M609" s="138"/>
      <c r="AN609" s="138"/>
      <c r="AO609" s="138"/>
      <c r="AP609" s="138"/>
      <c r="AQ609" s="138"/>
      <c r="AR609" s="138"/>
      <c r="AS609" s="138"/>
      <c r="AT609" s="138"/>
      <c r="AU609" s="138"/>
      <c r="AV609" s="138"/>
      <c r="AW609" s="138"/>
      <c r="AX609" s="138"/>
      <c r="AY609" s="138"/>
      <c r="AZ609" s="138"/>
      <c r="BA609" s="138"/>
      <c r="BB609" s="138"/>
      <c r="BC609" s="138"/>
      <c r="BD609" s="138"/>
      <c r="BE609" s="138"/>
      <c r="BF609" s="138"/>
      <c r="BG609" s="138"/>
      <c r="BH609" s="138"/>
      <c r="BI609" s="138"/>
      <c r="BJ609" s="138"/>
      <c r="BK609" s="138"/>
      <c r="BL609" s="138"/>
      <c r="BM609" s="138"/>
      <c r="BN609" s="138"/>
      <c r="BO609" s="138"/>
      <c r="BP609" s="138"/>
      <c r="BQ609" s="138"/>
      <c r="BR609" s="138"/>
      <c r="BS609" s="138"/>
      <c r="BT609" s="138"/>
      <c r="BU609" s="138"/>
      <c r="BV609" s="138"/>
      <c r="BW609" s="138"/>
      <c r="BX609" s="138"/>
      <c r="BY609" s="138"/>
      <c r="BZ609" s="138"/>
      <c r="CA609" s="138"/>
      <c r="CB609" s="138"/>
      <c r="CC609" s="138"/>
      <c r="CD609" s="138"/>
      <c r="CE609" s="138"/>
    </row>
    <row r="610" spans="1:83" ht="12" customHeight="1">
      <c r="A610" s="138"/>
      <c r="B610" s="138"/>
      <c r="C610" s="138"/>
      <c r="D610" s="22"/>
      <c r="E610" s="22"/>
      <c r="F610" s="22"/>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M610" s="138"/>
      <c r="AN610" s="138"/>
      <c r="AO610" s="138"/>
      <c r="AP610" s="138"/>
      <c r="AQ610" s="138"/>
      <c r="AR610" s="138"/>
      <c r="AS610" s="138"/>
      <c r="AT610" s="138"/>
      <c r="AU610" s="138"/>
      <c r="AV610" s="138"/>
      <c r="AW610" s="138"/>
      <c r="AX610" s="138"/>
      <c r="AY610" s="138"/>
      <c r="AZ610" s="138"/>
      <c r="BA610" s="138"/>
      <c r="BB610" s="138"/>
      <c r="BC610" s="138"/>
      <c r="BD610" s="138"/>
      <c r="BE610" s="138"/>
      <c r="BF610" s="138"/>
      <c r="BG610" s="138"/>
      <c r="BH610" s="138"/>
      <c r="BI610" s="138"/>
      <c r="BJ610" s="138"/>
      <c r="BK610" s="138"/>
      <c r="BL610" s="138"/>
      <c r="BM610" s="138"/>
      <c r="BN610" s="138"/>
      <c r="BO610" s="138"/>
      <c r="BP610" s="138"/>
      <c r="BQ610" s="138"/>
      <c r="BR610" s="138"/>
      <c r="BS610" s="138"/>
      <c r="BT610" s="138"/>
      <c r="BU610" s="138"/>
      <c r="BV610" s="138"/>
      <c r="BW610" s="138"/>
      <c r="BX610" s="138"/>
      <c r="BY610" s="138"/>
      <c r="BZ610" s="138"/>
      <c r="CA610" s="138"/>
      <c r="CB610" s="138"/>
      <c r="CC610" s="138"/>
      <c r="CD610" s="138"/>
      <c r="CE610" s="138"/>
    </row>
    <row r="611" spans="1:83" ht="12" customHeight="1">
      <c r="A611" s="138"/>
      <c r="B611" s="138"/>
      <c r="C611" s="138"/>
      <c r="D611" s="22"/>
      <c r="E611" s="22"/>
      <c r="F611" s="22"/>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M611" s="138"/>
      <c r="AN611" s="138"/>
      <c r="AO611" s="138"/>
      <c r="AP611" s="138"/>
      <c r="AQ611" s="138"/>
      <c r="AR611" s="138"/>
      <c r="AS611" s="138"/>
      <c r="AT611" s="138"/>
      <c r="AU611" s="138"/>
      <c r="AV611" s="138"/>
      <c r="AW611" s="138"/>
      <c r="AX611" s="138"/>
      <c r="AY611" s="138"/>
      <c r="AZ611" s="138"/>
      <c r="BA611" s="138"/>
      <c r="BB611" s="138"/>
      <c r="BC611" s="138"/>
      <c r="BD611" s="138"/>
      <c r="BE611" s="138"/>
      <c r="BF611" s="138"/>
      <c r="BG611" s="138"/>
      <c r="BH611" s="138"/>
      <c r="BI611" s="138"/>
      <c r="BJ611" s="138"/>
      <c r="BK611" s="138"/>
      <c r="BL611" s="138"/>
      <c r="BM611" s="138"/>
      <c r="BN611" s="138"/>
      <c r="BO611" s="138"/>
      <c r="BP611" s="138"/>
      <c r="BQ611" s="138"/>
      <c r="BR611" s="138"/>
      <c r="BS611" s="138"/>
      <c r="BT611" s="138"/>
      <c r="BU611" s="138"/>
      <c r="BV611" s="138"/>
      <c r="BW611" s="138"/>
      <c r="BX611" s="138"/>
      <c r="BY611" s="138"/>
      <c r="BZ611" s="138"/>
      <c r="CA611" s="138"/>
      <c r="CB611" s="138"/>
      <c r="CC611" s="138"/>
      <c r="CD611" s="138"/>
      <c r="CE611" s="138"/>
    </row>
    <row r="612" spans="1:83" ht="12" customHeight="1">
      <c r="A612" s="138"/>
      <c r="B612" s="138"/>
      <c r="C612" s="138"/>
      <c r="D612" s="22"/>
      <c r="E612" s="22"/>
      <c r="F612" s="22"/>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M612" s="138"/>
      <c r="AN612" s="138"/>
      <c r="AO612" s="138"/>
      <c r="AP612" s="138"/>
      <c r="AQ612" s="138"/>
      <c r="AR612" s="138"/>
      <c r="AS612" s="138"/>
      <c r="AT612" s="138"/>
      <c r="AU612" s="138"/>
      <c r="AV612" s="138"/>
      <c r="AW612" s="138"/>
      <c r="AX612" s="138"/>
      <c r="AY612" s="138"/>
      <c r="AZ612" s="138"/>
      <c r="BA612" s="138"/>
      <c r="BB612" s="138"/>
      <c r="BC612" s="138"/>
      <c r="BD612" s="138"/>
      <c r="BE612" s="138"/>
      <c r="BF612" s="138"/>
      <c r="BG612" s="138"/>
      <c r="BH612" s="138"/>
      <c r="BI612" s="138"/>
      <c r="BJ612" s="138"/>
      <c r="BK612" s="138"/>
      <c r="BL612" s="138"/>
      <c r="BM612" s="138"/>
      <c r="BN612" s="138"/>
      <c r="BO612" s="138"/>
      <c r="BP612" s="138"/>
      <c r="BQ612" s="138"/>
      <c r="BR612" s="138"/>
      <c r="BS612" s="138"/>
      <c r="BT612" s="138"/>
      <c r="BU612" s="138"/>
      <c r="BV612" s="138"/>
      <c r="BW612" s="138"/>
      <c r="BX612" s="138"/>
      <c r="BY612" s="138"/>
      <c r="BZ612" s="138"/>
      <c r="CA612" s="138"/>
      <c r="CB612" s="138"/>
      <c r="CC612" s="138"/>
      <c r="CD612" s="138"/>
      <c r="CE612" s="138"/>
    </row>
    <row r="613" spans="1:83" ht="12" customHeight="1">
      <c r="A613" s="138"/>
      <c r="B613" s="138"/>
      <c r="C613" s="138"/>
      <c r="D613" s="22"/>
      <c r="E613" s="22"/>
      <c r="F613" s="22"/>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M613" s="138"/>
      <c r="AN613" s="138"/>
      <c r="AO613" s="138"/>
      <c r="AP613" s="138"/>
      <c r="AQ613" s="138"/>
      <c r="AR613" s="138"/>
      <c r="AS613" s="138"/>
      <c r="AT613" s="138"/>
      <c r="AU613" s="138"/>
      <c r="AV613" s="138"/>
      <c r="AW613" s="138"/>
      <c r="AX613" s="138"/>
      <c r="AY613" s="138"/>
      <c r="AZ613" s="138"/>
      <c r="BA613" s="138"/>
      <c r="BB613" s="138"/>
      <c r="BC613" s="138"/>
      <c r="BD613" s="138"/>
      <c r="BE613" s="138"/>
      <c r="BF613" s="138"/>
      <c r="BG613" s="138"/>
      <c r="BH613" s="138"/>
      <c r="BI613" s="138"/>
      <c r="BJ613" s="138"/>
      <c r="BK613" s="138"/>
      <c r="BL613" s="138"/>
      <c r="BM613" s="138"/>
      <c r="BN613" s="138"/>
      <c r="BO613" s="138"/>
      <c r="BP613" s="138"/>
      <c r="BQ613" s="138"/>
      <c r="BR613" s="138"/>
      <c r="BS613" s="138"/>
      <c r="BT613" s="138"/>
      <c r="BU613" s="138"/>
      <c r="BV613" s="138"/>
      <c r="BW613" s="138"/>
      <c r="BX613" s="138"/>
      <c r="BY613" s="138"/>
      <c r="BZ613" s="138"/>
      <c r="CA613" s="138"/>
      <c r="CB613" s="138"/>
      <c r="CC613" s="138"/>
      <c r="CD613" s="138"/>
      <c r="CE613" s="138"/>
    </row>
    <row r="614" spans="1:83" ht="12" customHeight="1">
      <c r="A614" s="138"/>
      <c r="B614" s="138"/>
      <c r="C614" s="138"/>
      <c r="D614" s="22"/>
      <c r="E614" s="22"/>
      <c r="F614" s="22"/>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M614" s="138"/>
      <c r="AN614" s="138"/>
      <c r="AO614" s="138"/>
      <c r="AP614" s="138"/>
      <c r="AQ614" s="138"/>
      <c r="AR614" s="138"/>
      <c r="AS614" s="138"/>
      <c r="AT614" s="138"/>
      <c r="AU614" s="138"/>
      <c r="AV614" s="138"/>
      <c r="AW614" s="138"/>
      <c r="AX614" s="138"/>
      <c r="AY614" s="138"/>
      <c r="AZ614" s="138"/>
      <c r="BA614" s="138"/>
      <c r="BB614" s="138"/>
      <c r="BC614" s="138"/>
      <c r="BD614" s="138"/>
      <c r="BE614" s="138"/>
      <c r="BF614" s="138"/>
      <c r="BG614" s="138"/>
      <c r="BH614" s="138"/>
      <c r="BI614" s="138"/>
      <c r="BJ614" s="138"/>
      <c r="BK614" s="138"/>
      <c r="BL614" s="138"/>
      <c r="BM614" s="138"/>
      <c r="BN614" s="138"/>
      <c r="BO614" s="138"/>
      <c r="BP614" s="138"/>
      <c r="BQ614" s="138"/>
      <c r="BR614" s="138"/>
      <c r="BS614" s="138"/>
      <c r="BT614" s="138"/>
      <c r="BU614" s="138"/>
      <c r="BV614" s="138"/>
      <c r="BW614" s="138"/>
      <c r="BX614" s="138"/>
      <c r="BY614" s="138"/>
      <c r="BZ614" s="138"/>
      <c r="CA614" s="138"/>
      <c r="CB614" s="138"/>
      <c r="CC614" s="138"/>
      <c r="CD614" s="138"/>
      <c r="CE614" s="138"/>
    </row>
    <row r="615" spans="1:83" ht="12" customHeight="1">
      <c r="A615" s="138"/>
      <c r="B615" s="138"/>
      <c r="C615" s="138"/>
      <c r="D615" s="22"/>
      <c r="E615" s="22"/>
      <c r="F615" s="22"/>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M615" s="138"/>
      <c r="AN615" s="138"/>
      <c r="AO615" s="138"/>
      <c r="AP615" s="138"/>
      <c r="AQ615" s="138"/>
      <c r="AR615" s="138"/>
      <c r="AS615" s="138"/>
      <c r="AT615" s="138"/>
      <c r="AU615" s="138"/>
      <c r="AV615" s="138"/>
      <c r="AW615" s="138"/>
      <c r="AX615" s="138"/>
      <c r="AY615" s="138"/>
      <c r="AZ615" s="138"/>
      <c r="BA615" s="138"/>
      <c r="BB615" s="138"/>
      <c r="BC615" s="138"/>
      <c r="BD615" s="138"/>
      <c r="BE615" s="138"/>
      <c r="BF615" s="138"/>
      <c r="BG615" s="138"/>
      <c r="BH615" s="138"/>
      <c r="BI615" s="138"/>
      <c r="BJ615" s="138"/>
      <c r="BK615" s="138"/>
      <c r="BL615" s="138"/>
      <c r="BM615" s="138"/>
      <c r="BN615" s="138"/>
      <c r="BO615" s="138"/>
      <c r="BP615" s="138"/>
      <c r="BQ615" s="138"/>
      <c r="BR615" s="138"/>
      <c r="BS615" s="138"/>
      <c r="BT615" s="138"/>
      <c r="BU615" s="138"/>
      <c r="BV615" s="138"/>
      <c r="BW615" s="138"/>
      <c r="BX615" s="138"/>
      <c r="BY615" s="138"/>
      <c r="BZ615" s="138"/>
      <c r="CA615" s="138"/>
      <c r="CB615" s="138"/>
      <c r="CC615" s="138"/>
      <c r="CD615" s="138"/>
      <c r="CE615" s="138"/>
    </row>
    <row r="616" spans="1:83" ht="12" customHeight="1">
      <c r="A616" s="138"/>
      <c r="B616" s="138"/>
      <c r="C616" s="138"/>
      <c r="D616" s="22"/>
      <c r="E616" s="22"/>
      <c r="F616" s="22"/>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M616" s="138"/>
      <c r="AN616" s="138"/>
      <c r="AO616" s="138"/>
      <c r="AP616" s="138"/>
      <c r="AQ616" s="138"/>
      <c r="AR616" s="138"/>
      <c r="AS616" s="138"/>
      <c r="AT616" s="138"/>
      <c r="AU616" s="138"/>
      <c r="AV616" s="138"/>
      <c r="AW616" s="138"/>
      <c r="AX616" s="138"/>
      <c r="AY616" s="138"/>
      <c r="AZ616" s="138"/>
      <c r="BA616" s="138"/>
      <c r="BB616" s="138"/>
      <c r="BC616" s="138"/>
      <c r="BD616" s="138"/>
      <c r="BE616" s="138"/>
      <c r="BF616" s="138"/>
      <c r="BG616" s="138"/>
      <c r="BH616" s="138"/>
      <c r="BI616" s="138"/>
      <c r="BJ616" s="138"/>
      <c r="BK616" s="138"/>
      <c r="BL616" s="138"/>
      <c r="BM616" s="138"/>
      <c r="BN616" s="138"/>
      <c r="BO616" s="138"/>
      <c r="BP616" s="138"/>
      <c r="BQ616" s="138"/>
      <c r="BR616" s="138"/>
      <c r="BS616" s="138"/>
      <c r="BT616" s="138"/>
      <c r="BU616" s="138"/>
      <c r="BV616" s="138"/>
      <c r="BW616" s="138"/>
      <c r="BX616" s="138"/>
      <c r="BY616" s="138"/>
      <c r="BZ616" s="138"/>
      <c r="CA616" s="138"/>
      <c r="CB616" s="138"/>
      <c r="CC616" s="138"/>
      <c r="CD616" s="138"/>
      <c r="CE616" s="138"/>
    </row>
    <row r="617" spans="1:83" ht="12" customHeight="1">
      <c r="A617" s="138"/>
      <c r="B617" s="138"/>
      <c r="C617" s="138"/>
      <c r="D617" s="22"/>
      <c r="E617" s="22"/>
      <c r="F617" s="22"/>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M617" s="138"/>
      <c r="AN617" s="138"/>
      <c r="AO617" s="138"/>
      <c r="AP617" s="138"/>
      <c r="AQ617" s="138"/>
      <c r="AR617" s="138"/>
      <c r="AS617" s="138"/>
      <c r="AT617" s="138"/>
      <c r="AU617" s="138"/>
      <c r="AV617" s="138"/>
      <c r="AW617" s="138"/>
      <c r="AX617" s="138"/>
      <c r="AY617" s="138"/>
      <c r="AZ617" s="138"/>
      <c r="BA617" s="138"/>
      <c r="BB617" s="138"/>
      <c r="BC617" s="138"/>
      <c r="BD617" s="138"/>
      <c r="BE617" s="138"/>
      <c r="BF617" s="138"/>
      <c r="BG617" s="138"/>
      <c r="BH617" s="138"/>
      <c r="BI617" s="138"/>
      <c r="BJ617" s="138"/>
      <c r="BK617" s="138"/>
      <c r="BL617" s="138"/>
      <c r="BM617" s="138"/>
      <c r="BN617" s="138"/>
      <c r="BO617" s="138"/>
      <c r="BP617" s="138"/>
      <c r="BQ617" s="138"/>
      <c r="BR617" s="138"/>
      <c r="BS617" s="138"/>
      <c r="BT617" s="138"/>
      <c r="BU617" s="138"/>
      <c r="BV617" s="138"/>
      <c r="BW617" s="138"/>
      <c r="BX617" s="138"/>
      <c r="BY617" s="138"/>
      <c r="BZ617" s="138"/>
      <c r="CA617" s="138"/>
      <c r="CB617" s="138"/>
      <c r="CC617" s="138"/>
      <c r="CD617" s="138"/>
      <c r="CE617" s="138"/>
    </row>
    <row r="618" spans="1:83" ht="12" customHeight="1">
      <c r="A618" s="138"/>
      <c r="B618" s="138"/>
      <c r="C618" s="138"/>
      <c r="D618" s="22"/>
      <c r="E618" s="22"/>
      <c r="F618" s="22"/>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M618" s="138"/>
      <c r="AN618" s="138"/>
      <c r="AO618" s="138"/>
      <c r="AP618" s="138"/>
      <c r="AQ618" s="138"/>
      <c r="AR618" s="138"/>
      <c r="AS618" s="138"/>
      <c r="AT618" s="138"/>
      <c r="AU618" s="138"/>
      <c r="AV618" s="138"/>
      <c r="AW618" s="138"/>
      <c r="AX618" s="138"/>
      <c r="AY618" s="138"/>
      <c r="AZ618" s="138"/>
      <c r="BA618" s="138"/>
      <c r="BB618" s="138"/>
      <c r="BC618" s="138"/>
      <c r="BD618" s="138"/>
      <c r="BE618" s="138"/>
      <c r="BF618" s="138"/>
      <c r="BG618" s="138"/>
      <c r="BH618" s="138"/>
      <c r="BI618" s="138"/>
      <c r="BJ618" s="138"/>
      <c r="BK618" s="138"/>
      <c r="BL618" s="138"/>
      <c r="BM618" s="138"/>
      <c r="BN618" s="138"/>
      <c r="BO618" s="138"/>
      <c r="BP618" s="138"/>
      <c r="BQ618" s="138"/>
      <c r="BR618" s="138"/>
      <c r="BS618" s="138"/>
      <c r="BT618" s="138"/>
      <c r="BU618" s="138"/>
      <c r="BV618" s="138"/>
      <c r="BW618" s="138"/>
      <c r="BX618" s="138"/>
      <c r="BY618" s="138"/>
      <c r="BZ618" s="138"/>
      <c r="CA618" s="138"/>
      <c r="CB618" s="138"/>
      <c r="CC618" s="138"/>
      <c r="CD618" s="138"/>
      <c r="CE618" s="138"/>
    </row>
    <row r="619" spans="1:83" ht="12" customHeight="1">
      <c r="A619" s="138"/>
      <c r="B619" s="138"/>
      <c r="C619" s="138"/>
      <c r="D619" s="22"/>
      <c r="E619" s="22"/>
      <c r="F619" s="22"/>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M619" s="138"/>
      <c r="AN619" s="138"/>
      <c r="AO619" s="138"/>
      <c r="AP619" s="138"/>
      <c r="AQ619" s="138"/>
      <c r="AR619" s="138"/>
      <c r="AS619" s="138"/>
      <c r="AT619" s="138"/>
      <c r="AU619" s="138"/>
      <c r="AV619" s="138"/>
      <c r="AW619" s="138"/>
      <c r="AX619" s="138"/>
      <c r="AY619" s="138"/>
      <c r="AZ619" s="138"/>
      <c r="BA619" s="138"/>
      <c r="BB619" s="138"/>
      <c r="BC619" s="138"/>
      <c r="BD619" s="138"/>
      <c r="BE619" s="138"/>
      <c r="BF619" s="138"/>
      <c r="BG619" s="138"/>
      <c r="BH619" s="138"/>
      <c r="BI619" s="138"/>
      <c r="BJ619" s="138"/>
      <c r="BK619" s="138"/>
      <c r="BL619" s="138"/>
      <c r="BM619" s="138"/>
      <c r="BN619" s="138"/>
      <c r="BO619" s="138"/>
      <c r="BP619" s="138"/>
      <c r="BQ619" s="138"/>
      <c r="BR619" s="138"/>
      <c r="BS619" s="138"/>
      <c r="BT619" s="138"/>
      <c r="BU619" s="138"/>
      <c r="BV619" s="138"/>
      <c r="BW619" s="138"/>
      <c r="BX619" s="138"/>
      <c r="BY619" s="138"/>
      <c r="BZ619" s="138"/>
      <c r="CA619" s="138"/>
      <c r="CB619" s="138"/>
      <c r="CC619" s="138"/>
      <c r="CD619" s="138"/>
      <c r="CE619" s="138"/>
    </row>
    <row r="620" spans="1:83" ht="12" customHeight="1">
      <c r="A620" s="138"/>
      <c r="B620" s="138"/>
      <c r="C620" s="138"/>
      <c r="D620" s="22"/>
      <c r="E620" s="22"/>
      <c r="F620" s="22"/>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M620" s="138"/>
      <c r="AN620" s="138"/>
      <c r="AO620" s="138"/>
      <c r="AP620" s="138"/>
      <c r="AQ620" s="138"/>
      <c r="AR620" s="138"/>
      <c r="AS620" s="138"/>
      <c r="AT620" s="138"/>
      <c r="AU620" s="138"/>
      <c r="AV620" s="138"/>
      <c r="AW620" s="138"/>
      <c r="AX620" s="138"/>
      <c r="AY620" s="138"/>
      <c r="AZ620" s="138"/>
      <c r="BA620" s="138"/>
      <c r="BB620" s="138"/>
      <c r="BC620" s="138"/>
      <c r="BD620" s="138"/>
      <c r="BE620" s="138"/>
      <c r="BF620" s="138"/>
      <c r="BG620" s="138"/>
      <c r="BH620" s="138"/>
      <c r="BI620" s="138"/>
      <c r="BJ620" s="138"/>
      <c r="BK620" s="138"/>
      <c r="BL620" s="138"/>
      <c r="BM620" s="138"/>
      <c r="BN620" s="138"/>
      <c r="BO620" s="138"/>
      <c r="BP620" s="138"/>
      <c r="BQ620" s="138"/>
      <c r="BR620" s="138"/>
      <c r="BS620" s="138"/>
      <c r="BT620" s="138"/>
      <c r="BU620" s="138"/>
      <c r="BV620" s="138"/>
      <c r="BW620" s="138"/>
      <c r="BX620" s="138"/>
      <c r="BY620" s="138"/>
      <c r="BZ620" s="138"/>
      <c r="CA620" s="138"/>
      <c r="CB620" s="138"/>
      <c r="CC620" s="138"/>
      <c r="CD620" s="138"/>
      <c r="CE620" s="138"/>
    </row>
    <row r="621" spans="1:83" ht="12" customHeight="1">
      <c r="A621" s="138"/>
      <c r="B621" s="138"/>
      <c r="C621" s="138"/>
      <c r="D621" s="22"/>
      <c r="E621" s="22"/>
      <c r="F621" s="22"/>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M621" s="138"/>
      <c r="AN621" s="138"/>
      <c r="AO621" s="138"/>
      <c r="AP621" s="138"/>
      <c r="AQ621" s="138"/>
      <c r="AR621" s="138"/>
      <c r="AS621" s="138"/>
      <c r="AT621" s="138"/>
      <c r="AU621" s="138"/>
      <c r="AV621" s="138"/>
      <c r="AW621" s="138"/>
      <c r="AX621" s="138"/>
      <c r="AY621" s="138"/>
      <c r="AZ621" s="138"/>
      <c r="BA621" s="138"/>
      <c r="BB621" s="138"/>
      <c r="BC621" s="138"/>
      <c r="BD621" s="138"/>
      <c r="BE621" s="138"/>
      <c r="BF621" s="138"/>
      <c r="BG621" s="138"/>
      <c r="BH621" s="138"/>
      <c r="BI621" s="138"/>
      <c r="BJ621" s="138"/>
      <c r="BK621" s="138"/>
      <c r="BL621" s="138"/>
      <c r="BM621" s="138"/>
      <c r="BN621" s="138"/>
      <c r="BO621" s="138"/>
      <c r="BP621" s="138"/>
      <c r="BQ621" s="138"/>
      <c r="BR621" s="138"/>
      <c r="BS621" s="138"/>
      <c r="BT621" s="138"/>
      <c r="BU621" s="138"/>
      <c r="BV621" s="138"/>
      <c r="BW621" s="138"/>
      <c r="BX621" s="138"/>
      <c r="BY621" s="138"/>
      <c r="BZ621" s="138"/>
      <c r="CA621" s="138"/>
      <c r="CB621" s="138"/>
      <c r="CC621" s="138"/>
      <c r="CD621" s="138"/>
      <c r="CE621" s="138"/>
    </row>
    <row r="622" spans="1:83" ht="12" customHeight="1">
      <c r="A622" s="138"/>
      <c r="B622" s="138"/>
      <c r="C622" s="138"/>
      <c r="D622" s="22"/>
      <c r="E622" s="22"/>
      <c r="F622" s="22"/>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138"/>
      <c r="AN622" s="138"/>
      <c r="AO622" s="138"/>
      <c r="AP622" s="138"/>
      <c r="AQ622" s="138"/>
      <c r="AR622" s="138"/>
      <c r="AS622" s="138"/>
      <c r="AT622" s="138"/>
      <c r="AU622" s="138"/>
      <c r="AV622" s="138"/>
      <c r="AW622" s="138"/>
      <c r="AX622" s="138"/>
      <c r="AY622" s="138"/>
      <c r="AZ622" s="138"/>
      <c r="BA622" s="138"/>
      <c r="BB622" s="138"/>
      <c r="BC622" s="138"/>
      <c r="BD622" s="138"/>
      <c r="BE622" s="138"/>
      <c r="BF622" s="138"/>
      <c r="BG622" s="138"/>
      <c r="BH622" s="138"/>
      <c r="BI622" s="138"/>
      <c r="BJ622" s="138"/>
      <c r="BK622" s="138"/>
      <c r="BL622" s="138"/>
      <c r="BM622" s="138"/>
      <c r="BN622" s="138"/>
      <c r="BO622" s="138"/>
      <c r="BP622" s="138"/>
      <c r="BQ622" s="138"/>
      <c r="BR622" s="138"/>
      <c r="BS622" s="138"/>
      <c r="BT622" s="138"/>
      <c r="BU622" s="138"/>
      <c r="BV622" s="138"/>
      <c r="BW622" s="138"/>
      <c r="BX622" s="138"/>
      <c r="BY622" s="138"/>
      <c r="BZ622" s="138"/>
      <c r="CA622" s="138"/>
      <c r="CB622" s="138"/>
      <c r="CC622" s="138"/>
      <c r="CD622" s="138"/>
      <c r="CE622" s="138"/>
    </row>
    <row r="623" spans="1:83" ht="12" customHeight="1">
      <c r="A623" s="138"/>
      <c r="B623" s="138"/>
      <c r="C623" s="138"/>
      <c r="D623" s="22"/>
      <c r="E623" s="22"/>
      <c r="F623" s="22"/>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M623" s="138"/>
      <c r="AN623" s="138"/>
      <c r="AO623" s="138"/>
      <c r="AP623" s="138"/>
      <c r="AQ623" s="138"/>
      <c r="AR623" s="138"/>
      <c r="AS623" s="138"/>
      <c r="AT623" s="138"/>
      <c r="AU623" s="138"/>
      <c r="AV623" s="138"/>
      <c r="AW623" s="138"/>
      <c r="AX623" s="138"/>
      <c r="AY623" s="138"/>
      <c r="AZ623" s="138"/>
      <c r="BA623" s="138"/>
      <c r="BB623" s="138"/>
      <c r="BC623" s="138"/>
      <c r="BD623" s="138"/>
      <c r="BE623" s="138"/>
      <c r="BF623" s="138"/>
      <c r="BG623" s="138"/>
      <c r="BH623" s="138"/>
      <c r="BI623" s="138"/>
      <c r="BJ623" s="138"/>
      <c r="BK623" s="138"/>
      <c r="BL623" s="138"/>
      <c r="BM623" s="138"/>
      <c r="BN623" s="138"/>
      <c r="BO623" s="138"/>
      <c r="BP623" s="138"/>
      <c r="BQ623" s="138"/>
      <c r="BR623" s="138"/>
      <c r="BS623" s="138"/>
      <c r="BT623" s="138"/>
      <c r="BU623" s="138"/>
      <c r="BV623" s="138"/>
      <c r="BW623" s="138"/>
      <c r="BX623" s="138"/>
      <c r="BY623" s="138"/>
      <c r="BZ623" s="138"/>
      <c r="CA623" s="138"/>
      <c r="CB623" s="138"/>
      <c r="CC623" s="138"/>
      <c r="CD623" s="138"/>
      <c r="CE623" s="138"/>
    </row>
    <row r="624" spans="1:83" ht="12" customHeight="1">
      <c r="A624" s="138"/>
      <c r="B624" s="138"/>
      <c r="C624" s="138"/>
      <c r="D624" s="22"/>
      <c r="E624" s="22"/>
      <c r="F624" s="22"/>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M624" s="138"/>
      <c r="AN624" s="138"/>
      <c r="AO624" s="138"/>
      <c r="AP624" s="138"/>
      <c r="AQ624" s="138"/>
      <c r="AR624" s="138"/>
      <c r="AS624" s="138"/>
      <c r="AT624" s="138"/>
      <c r="AU624" s="138"/>
      <c r="AV624" s="138"/>
      <c r="AW624" s="138"/>
      <c r="AX624" s="138"/>
      <c r="AY624" s="138"/>
      <c r="AZ624" s="138"/>
      <c r="BA624" s="138"/>
      <c r="BB624" s="138"/>
      <c r="BC624" s="138"/>
      <c r="BD624" s="138"/>
      <c r="BE624" s="138"/>
      <c r="BF624" s="138"/>
      <c r="BG624" s="138"/>
      <c r="BH624" s="138"/>
      <c r="BI624" s="138"/>
      <c r="BJ624" s="138"/>
      <c r="BK624" s="138"/>
      <c r="BL624" s="138"/>
      <c r="BM624" s="138"/>
      <c r="BN624" s="138"/>
      <c r="BO624" s="138"/>
      <c r="BP624" s="138"/>
      <c r="BQ624" s="138"/>
      <c r="BR624" s="138"/>
      <c r="BS624" s="138"/>
      <c r="BT624" s="138"/>
      <c r="BU624" s="138"/>
      <c r="BV624" s="138"/>
      <c r="BW624" s="138"/>
      <c r="BX624" s="138"/>
      <c r="BY624" s="138"/>
      <c r="BZ624" s="138"/>
      <c r="CA624" s="138"/>
      <c r="CB624" s="138"/>
      <c r="CC624" s="138"/>
      <c r="CD624" s="138"/>
      <c r="CE624" s="138"/>
    </row>
    <row r="625" spans="1:83" ht="12" customHeight="1">
      <c r="A625" s="138"/>
      <c r="B625" s="138"/>
      <c r="C625" s="138"/>
      <c r="D625" s="22"/>
      <c r="E625" s="22"/>
      <c r="F625" s="22"/>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M625" s="138"/>
      <c r="AN625" s="138"/>
      <c r="AO625" s="138"/>
      <c r="AP625" s="138"/>
      <c r="AQ625" s="138"/>
      <c r="AR625" s="138"/>
      <c r="AS625" s="138"/>
      <c r="AT625" s="138"/>
      <c r="AU625" s="138"/>
      <c r="AV625" s="138"/>
      <c r="AW625" s="138"/>
      <c r="AX625" s="138"/>
      <c r="AY625" s="138"/>
      <c r="AZ625" s="138"/>
      <c r="BA625" s="138"/>
      <c r="BB625" s="138"/>
      <c r="BC625" s="138"/>
      <c r="BD625" s="138"/>
      <c r="BE625" s="138"/>
      <c r="BF625" s="138"/>
      <c r="BG625" s="138"/>
      <c r="BH625" s="138"/>
      <c r="BI625" s="138"/>
      <c r="BJ625" s="138"/>
      <c r="BK625" s="138"/>
      <c r="BL625" s="138"/>
      <c r="BM625" s="138"/>
      <c r="BN625" s="138"/>
      <c r="BO625" s="138"/>
      <c r="BP625" s="138"/>
      <c r="BQ625" s="138"/>
      <c r="BR625" s="138"/>
      <c r="BS625" s="138"/>
      <c r="BT625" s="138"/>
      <c r="BU625" s="138"/>
      <c r="BV625" s="138"/>
      <c r="BW625" s="138"/>
      <c r="BX625" s="138"/>
      <c r="BY625" s="138"/>
      <c r="BZ625" s="138"/>
      <c r="CA625" s="138"/>
      <c r="CB625" s="138"/>
      <c r="CC625" s="138"/>
      <c r="CD625" s="138"/>
      <c r="CE625" s="138"/>
    </row>
    <row r="626" spans="1:83" ht="12" customHeight="1">
      <c r="A626" s="138"/>
      <c r="B626" s="138"/>
      <c r="C626" s="138"/>
      <c r="D626" s="22"/>
      <c r="E626" s="22"/>
      <c r="F626" s="22"/>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M626" s="138"/>
      <c r="AN626" s="138"/>
      <c r="AO626" s="138"/>
      <c r="AP626" s="138"/>
      <c r="AQ626" s="138"/>
      <c r="AR626" s="138"/>
      <c r="AS626" s="138"/>
      <c r="AT626" s="138"/>
      <c r="AU626" s="138"/>
      <c r="AV626" s="138"/>
      <c r="AW626" s="138"/>
      <c r="AX626" s="138"/>
      <c r="AY626" s="138"/>
      <c r="AZ626" s="138"/>
      <c r="BA626" s="138"/>
      <c r="BB626" s="138"/>
      <c r="BC626" s="138"/>
      <c r="BD626" s="138"/>
      <c r="BE626" s="138"/>
      <c r="BF626" s="138"/>
      <c r="BG626" s="138"/>
      <c r="BH626" s="138"/>
      <c r="BI626" s="138"/>
      <c r="BJ626" s="138"/>
      <c r="BK626" s="138"/>
      <c r="BL626" s="138"/>
      <c r="BM626" s="138"/>
      <c r="BN626" s="138"/>
      <c r="BO626" s="138"/>
      <c r="BP626" s="138"/>
      <c r="BQ626" s="138"/>
      <c r="BR626" s="138"/>
      <c r="BS626" s="138"/>
      <c r="BT626" s="138"/>
      <c r="BU626" s="138"/>
      <c r="BV626" s="138"/>
      <c r="BW626" s="138"/>
      <c r="BX626" s="138"/>
      <c r="BY626" s="138"/>
      <c r="BZ626" s="138"/>
      <c r="CA626" s="138"/>
      <c r="CB626" s="138"/>
      <c r="CC626" s="138"/>
      <c r="CD626" s="138"/>
      <c r="CE626" s="138"/>
    </row>
    <row r="627" spans="1:83" ht="12" customHeight="1">
      <c r="A627" s="138"/>
      <c r="B627" s="138"/>
      <c r="C627" s="138"/>
      <c r="D627" s="22"/>
      <c r="E627" s="22"/>
      <c r="F627" s="22"/>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M627" s="138"/>
      <c r="AN627" s="138"/>
      <c r="AO627" s="138"/>
      <c r="AP627" s="138"/>
      <c r="AQ627" s="138"/>
      <c r="AR627" s="138"/>
      <c r="AS627" s="138"/>
      <c r="AT627" s="138"/>
      <c r="AU627" s="138"/>
      <c r="AV627" s="138"/>
      <c r="AW627" s="138"/>
      <c r="AX627" s="138"/>
      <c r="AY627" s="138"/>
      <c r="AZ627" s="138"/>
      <c r="BA627" s="138"/>
      <c r="BB627" s="138"/>
      <c r="BC627" s="138"/>
      <c r="BD627" s="138"/>
      <c r="BE627" s="138"/>
      <c r="BF627" s="138"/>
      <c r="BG627" s="138"/>
      <c r="BH627" s="138"/>
      <c r="BI627" s="138"/>
      <c r="BJ627" s="138"/>
      <c r="BK627" s="138"/>
      <c r="BL627" s="138"/>
      <c r="BM627" s="138"/>
      <c r="BN627" s="138"/>
      <c r="BO627" s="138"/>
      <c r="BP627" s="138"/>
      <c r="BQ627" s="138"/>
      <c r="BR627" s="138"/>
      <c r="BS627" s="138"/>
      <c r="BT627" s="138"/>
      <c r="BU627" s="138"/>
      <c r="BV627" s="138"/>
      <c r="BW627" s="138"/>
      <c r="BX627" s="138"/>
      <c r="BY627" s="138"/>
      <c r="BZ627" s="138"/>
      <c r="CA627" s="138"/>
      <c r="CB627" s="138"/>
      <c r="CC627" s="138"/>
      <c r="CD627" s="138"/>
      <c r="CE627" s="138"/>
    </row>
    <row r="628" spans="1:83" ht="12" customHeight="1">
      <c r="A628" s="138"/>
      <c r="B628" s="138"/>
      <c r="C628" s="138"/>
      <c r="D628" s="22"/>
      <c r="E628" s="22"/>
      <c r="F628" s="22"/>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M628" s="138"/>
      <c r="AN628" s="138"/>
      <c r="AO628" s="138"/>
      <c r="AP628" s="138"/>
      <c r="AQ628" s="138"/>
      <c r="AR628" s="138"/>
      <c r="AS628" s="138"/>
      <c r="AT628" s="138"/>
      <c r="AU628" s="138"/>
      <c r="AV628" s="138"/>
      <c r="AW628" s="138"/>
      <c r="AX628" s="138"/>
      <c r="AY628" s="138"/>
      <c r="AZ628" s="138"/>
      <c r="BA628" s="138"/>
      <c r="BB628" s="138"/>
      <c r="BC628" s="138"/>
      <c r="BD628" s="138"/>
      <c r="BE628" s="138"/>
      <c r="BF628" s="138"/>
      <c r="BG628" s="138"/>
      <c r="BH628" s="138"/>
      <c r="BI628" s="138"/>
      <c r="BJ628" s="138"/>
      <c r="BK628" s="138"/>
      <c r="BL628" s="138"/>
      <c r="BM628" s="138"/>
      <c r="BN628" s="138"/>
      <c r="BO628" s="138"/>
      <c r="BP628" s="138"/>
      <c r="BQ628" s="138"/>
      <c r="BR628" s="138"/>
      <c r="BS628" s="138"/>
      <c r="BT628" s="138"/>
      <c r="BU628" s="138"/>
      <c r="BV628" s="138"/>
      <c r="BW628" s="138"/>
      <c r="BX628" s="138"/>
      <c r="BY628" s="138"/>
      <c r="BZ628" s="138"/>
      <c r="CA628" s="138"/>
      <c r="CB628" s="138"/>
      <c r="CC628" s="138"/>
      <c r="CD628" s="138"/>
      <c r="CE628" s="138"/>
    </row>
    <row r="629" spans="1:83" ht="12" customHeight="1">
      <c r="A629" s="138"/>
      <c r="B629" s="138"/>
      <c r="C629" s="138"/>
      <c r="D629" s="22"/>
      <c r="E629" s="22"/>
      <c r="F629" s="22"/>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M629" s="138"/>
      <c r="AN629" s="138"/>
      <c r="AO629" s="138"/>
      <c r="AP629" s="138"/>
      <c r="AQ629" s="138"/>
      <c r="AR629" s="138"/>
      <c r="AS629" s="138"/>
      <c r="AT629" s="138"/>
      <c r="AU629" s="138"/>
      <c r="AV629" s="138"/>
      <c r="AW629" s="138"/>
      <c r="AX629" s="138"/>
      <c r="AY629" s="138"/>
      <c r="AZ629" s="138"/>
      <c r="BA629" s="138"/>
      <c r="BB629" s="138"/>
      <c r="BC629" s="138"/>
      <c r="BD629" s="138"/>
      <c r="BE629" s="138"/>
      <c r="BF629" s="138"/>
      <c r="BG629" s="138"/>
      <c r="BH629" s="138"/>
      <c r="BI629" s="138"/>
      <c r="BJ629" s="138"/>
      <c r="BK629" s="138"/>
      <c r="BL629" s="138"/>
      <c r="BM629" s="138"/>
      <c r="BN629" s="138"/>
      <c r="BO629" s="138"/>
      <c r="BP629" s="138"/>
      <c r="BQ629" s="138"/>
      <c r="BR629" s="138"/>
      <c r="BS629" s="138"/>
      <c r="BT629" s="138"/>
      <c r="BU629" s="138"/>
      <c r="BV629" s="138"/>
      <c r="BW629" s="138"/>
      <c r="BX629" s="138"/>
      <c r="BY629" s="138"/>
      <c r="BZ629" s="138"/>
      <c r="CA629" s="138"/>
      <c r="CB629" s="138"/>
      <c r="CC629" s="138"/>
      <c r="CD629" s="138"/>
      <c r="CE629" s="138"/>
    </row>
    <row r="630" spans="1:83" ht="12" customHeight="1">
      <c r="A630" s="138"/>
      <c r="B630" s="138"/>
      <c r="C630" s="138"/>
      <c r="D630" s="22"/>
      <c r="E630" s="22"/>
      <c r="F630" s="22"/>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M630" s="138"/>
      <c r="AN630" s="138"/>
      <c r="AO630" s="138"/>
      <c r="AP630" s="138"/>
      <c r="AQ630" s="138"/>
      <c r="AR630" s="138"/>
      <c r="AS630" s="138"/>
      <c r="AT630" s="138"/>
      <c r="AU630" s="138"/>
      <c r="AV630" s="138"/>
      <c r="AW630" s="138"/>
      <c r="AX630" s="138"/>
      <c r="AY630" s="138"/>
      <c r="AZ630" s="138"/>
      <c r="BA630" s="138"/>
      <c r="BB630" s="138"/>
      <c r="BC630" s="138"/>
      <c r="BD630" s="138"/>
      <c r="BE630" s="138"/>
      <c r="BF630" s="138"/>
      <c r="BG630" s="138"/>
      <c r="BH630" s="138"/>
      <c r="BI630" s="138"/>
      <c r="BJ630" s="138"/>
      <c r="BK630" s="138"/>
      <c r="BL630" s="138"/>
      <c r="BM630" s="138"/>
      <c r="BN630" s="138"/>
      <c r="BO630" s="138"/>
      <c r="BP630" s="138"/>
      <c r="BQ630" s="138"/>
      <c r="BR630" s="138"/>
      <c r="BS630" s="138"/>
      <c r="BT630" s="138"/>
      <c r="BU630" s="138"/>
      <c r="BV630" s="138"/>
      <c r="BW630" s="138"/>
      <c r="BX630" s="138"/>
      <c r="BY630" s="138"/>
      <c r="BZ630" s="138"/>
      <c r="CA630" s="138"/>
      <c r="CB630" s="138"/>
      <c r="CC630" s="138"/>
      <c r="CD630" s="138"/>
      <c r="CE630" s="138"/>
    </row>
    <row r="631" spans="1:83" ht="12" customHeight="1">
      <c r="A631" s="138"/>
      <c r="B631" s="138"/>
      <c r="C631" s="138"/>
      <c r="D631" s="22"/>
      <c r="E631" s="22"/>
      <c r="F631" s="22"/>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M631" s="138"/>
      <c r="AN631" s="138"/>
      <c r="AO631" s="138"/>
      <c r="AP631" s="138"/>
      <c r="AQ631" s="138"/>
      <c r="AR631" s="138"/>
      <c r="AS631" s="138"/>
      <c r="AT631" s="138"/>
      <c r="AU631" s="138"/>
      <c r="AV631" s="138"/>
      <c r="AW631" s="138"/>
      <c r="AX631" s="138"/>
      <c r="AY631" s="138"/>
      <c r="AZ631" s="138"/>
      <c r="BA631" s="138"/>
      <c r="BB631" s="138"/>
      <c r="BC631" s="138"/>
      <c r="BD631" s="138"/>
      <c r="BE631" s="138"/>
      <c r="BF631" s="138"/>
      <c r="BG631" s="138"/>
      <c r="BH631" s="138"/>
      <c r="BI631" s="138"/>
      <c r="BJ631" s="138"/>
      <c r="BK631" s="138"/>
      <c r="BL631" s="138"/>
      <c r="BM631" s="138"/>
      <c r="BN631" s="138"/>
      <c r="BO631" s="138"/>
      <c r="BP631" s="138"/>
      <c r="BQ631" s="138"/>
      <c r="BR631" s="138"/>
      <c r="BS631" s="138"/>
      <c r="BT631" s="138"/>
      <c r="BU631" s="138"/>
      <c r="BV631" s="138"/>
      <c r="BW631" s="138"/>
      <c r="BX631" s="138"/>
      <c r="BY631" s="138"/>
      <c r="BZ631" s="138"/>
      <c r="CA631" s="138"/>
      <c r="CB631" s="138"/>
      <c r="CC631" s="138"/>
      <c r="CD631" s="138"/>
      <c r="CE631" s="138"/>
    </row>
    <row r="632" spans="1:83" ht="12" customHeight="1">
      <c r="A632" s="138"/>
      <c r="B632" s="138"/>
      <c r="C632" s="138"/>
      <c r="D632" s="22"/>
      <c r="E632" s="22"/>
      <c r="F632" s="22"/>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M632" s="138"/>
      <c r="AN632" s="138"/>
      <c r="AO632" s="138"/>
      <c r="AP632" s="138"/>
      <c r="AQ632" s="138"/>
      <c r="AR632" s="138"/>
      <c r="AS632" s="138"/>
      <c r="AT632" s="138"/>
      <c r="AU632" s="138"/>
      <c r="AV632" s="138"/>
      <c r="AW632" s="138"/>
      <c r="AX632" s="138"/>
      <c r="AY632" s="138"/>
      <c r="AZ632" s="138"/>
      <c r="BA632" s="138"/>
      <c r="BB632" s="138"/>
      <c r="BC632" s="138"/>
      <c r="BD632" s="138"/>
      <c r="BE632" s="138"/>
      <c r="BF632" s="138"/>
      <c r="BG632" s="138"/>
      <c r="BH632" s="138"/>
      <c r="BI632" s="138"/>
      <c r="BJ632" s="138"/>
      <c r="BK632" s="138"/>
      <c r="BL632" s="138"/>
      <c r="BM632" s="138"/>
      <c r="BN632" s="138"/>
      <c r="BO632" s="138"/>
      <c r="BP632" s="138"/>
      <c r="BQ632" s="138"/>
      <c r="BR632" s="138"/>
      <c r="BS632" s="138"/>
      <c r="BT632" s="138"/>
      <c r="BU632" s="138"/>
      <c r="BV632" s="138"/>
      <c r="BW632" s="138"/>
      <c r="BX632" s="138"/>
      <c r="BY632" s="138"/>
      <c r="BZ632" s="138"/>
      <c r="CA632" s="138"/>
      <c r="CB632" s="138"/>
      <c r="CC632" s="138"/>
      <c r="CD632" s="138"/>
      <c r="CE632" s="138"/>
    </row>
    <row r="633" spans="1:83" ht="12" customHeight="1">
      <c r="A633" s="138"/>
      <c r="B633" s="138"/>
      <c r="C633" s="138"/>
      <c r="D633" s="22"/>
      <c r="E633" s="22"/>
      <c r="F633" s="22"/>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M633" s="138"/>
      <c r="AN633" s="138"/>
      <c r="AO633" s="138"/>
      <c r="AP633" s="138"/>
      <c r="AQ633" s="138"/>
      <c r="AR633" s="138"/>
      <c r="AS633" s="138"/>
      <c r="AT633" s="138"/>
      <c r="AU633" s="138"/>
      <c r="AV633" s="138"/>
      <c r="AW633" s="138"/>
      <c r="AX633" s="138"/>
      <c r="AY633" s="138"/>
      <c r="AZ633" s="138"/>
      <c r="BA633" s="138"/>
      <c r="BB633" s="138"/>
      <c r="BC633" s="138"/>
      <c r="BD633" s="138"/>
      <c r="BE633" s="138"/>
      <c r="BF633" s="138"/>
      <c r="BG633" s="138"/>
      <c r="BH633" s="138"/>
      <c r="BI633" s="138"/>
      <c r="BJ633" s="138"/>
      <c r="BK633" s="138"/>
      <c r="BL633" s="138"/>
      <c r="BM633" s="138"/>
      <c r="BN633" s="138"/>
      <c r="BO633" s="138"/>
      <c r="BP633" s="138"/>
      <c r="BQ633" s="138"/>
      <c r="BR633" s="138"/>
      <c r="BS633" s="138"/>
      <c r="BT633" s="138"/>
      <c r="BU633" s="138"/>
      <c r="BV633" s="138"/>
      <c r="BW633" s="138"/>
      <c r="BX633" s="138"/>
      <c r="BY633" s="138"/>
      <c r="BZ633" s="138"/>
      <c r="CA633" s="138"/>
      <c r="CB633" s="138"/>
      <c r="CC633" s="138"/>
      <c r="CD633" s="138"/>
      <c r="CE633" s="138"/>
    </row>
    <row r="634" spans="1:83" ht="12" customHeight="1">
      <c r="A634" s="138"/>
      <c r="B634" s="138"/>
      <c r="C634" s="138"/>
      <c r="D634" s="22"/>
      <c r="E634" s="22"/>
      <c r="F634" s="22"/>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M634" s="138"/>
      <c r="AN634" s="138"/>
      <c r="AO634" s="138"/>
      <c r="AP634" s="138"/>
      <c r="AQ634" s="138"/>
      <c r="AR634" s="138"/>
      <c r="AS634" s="138"/>
      <c r="AT634" s="138"/>
      <c r="AU634" s="138"/>
      <c r="AV634" s="138"/>
      <c r="AW634" s="138"/>
      <c r="AX634" s="138"/>
      <c r="AY634" s="138"/>
      <c r="AZ634" s="138"/>
      <c r="BA634" s="138"/>
      <c r="BB634" s="138"/>
      <c r="BC634" s="138"/>
      <c r="BD634" s="138"/>
      <c r="BE634" s="138"/>
      <c r="BF634" s="138"/>
      <c r="BG634" s="138"/>
      <c r="BH634" s="138"/>
      <c r="BI634" s="138"/>
      <c r="BJ634" s="138"/>
      <c r="BK634" s="138"/>
      <c r="BL634" s="138"/>
      <c r="BM634" s="138"/>
      <c r="BN634" s="138"/>
      <c r="BO634" s="138"/>
      <c r="BP634" s="138"/>
      <c r="BQ634" s="138"/>
      <c r="BR634" s="138"/>
      <c r="BS634" s="138"/>
      <c r="BT634" s="138"/>
      <c r="BU634" s="138"/>
      <c r="BV634" s="138"/>
      <c r="BW634" s="138"/>
      <c r="BX634" s="138"/>
      <c r="BY634" s="138"/>
      <c r="BZ634" s="138"/>
      <c r="CA634" s="138"/>
      <c r="CB634" s="138"/>
      <c r="CC634" s="138"/>
      <c r="CD634" s="138"/>
      <c r="CE634" s="138"/>
    </row>
    <row r="635" spans="1:83" ht="12" customHeight="1">
      <c r="A635" s="138"/>
      <c r="B635" s="138"/>
      <c r="C635" s="138"/>
      <c r="D635" s="22"/>
      <c r="E635" s="22"/>
      <c r="F635" s="22"/>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M635" s="138"/>
      <c r="AN635" s="138"/>
      <c r="AO635" s="138"/>
      <c r="AP635" s="138"/>
      <c r="AQ635" s="138"/>
      <c r="AR635" s="138"/>
      <c r="AS635" s="138"/>
      <c r="AT635" s="138"/>
      <c r="AU635" s="138"/>
      <c r="AV635" s="138"/>
      <c r="AW635" s="138"/>
      <c r="AX635" s="138"/>
      <c r="AY635" s="138"/>
      <c r="AZ635" s="138"/>
      <c r="BA635" s="138"/>
      <c r="BB635" s="138"/>
      <c r="BC635" s="138"/>
      <c r="BD635" s="138"/>
      <c r="BE635" s="138"/>
      <c r="BF635" s="138"/>
      <c r="BG635" s="138"/>
      <c r="BH635" s="138"/>
      <c r="BI635" s="138"/>
      <c r="BJ635" s="138"/>
      <c r="BK635" s="138"/>
      <c r="BL635" s="138"/>
      <c r="BM635" s="138"/>
      <c r="BN635" s="138"/>
      <c r="BO635" s="138"/>
      <c r="BP635" s="138"/>
      <c r="BQ635" s="138"/>
      <c r="BR635" s="138"/>
      <c r="BS635" s="138"/>
      <c r="BT635" s="138"/>
      <c r="BU635" s="138"/>
      <c r="BV635" s="138"/>
      <c r="BW635" s="138"/>
      <c r="BX635" s="138"/>
      <c r="BY635" s="138"/>
      <c r="BZ635" s="138"/>
      <c r="CA635" s="138"/>
      <c r="CB635" s="138"/>
      <c r="CC635" s="138"/>
      <c r="CD635" s="138"/>
      <c r="CE635" s="138"/>
    </row>
    <row r="636" spans="1:83" ht="12" customHeight="1">
      <c r="A636" s="138"/>
      <c r="B636" s="138"/>
      <c r="C636" s="138"/>
      <c r="D636" s="22"/>
      <c r="E636" s="22"/>
      <c r="F636" s="22"/>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M636" s="138"/>
      <c r="AN636" s="138"/>
      <c r="AO636" s="138"/>
      <c r="AP636" s="138"/>
      <c r="AQ636" s="138"/>
      <c r="AR636" s="138"/>
      <c r="AS636" s="138"/>
      <c r="AT636" s="138"/>
      <c r="AU636" s="138"/>
      <c r="AV636" s="138"/>
      <c r="AW636" s="138"/>
      <c r="AX636" s="138"/>
      <c r="AY636" s="138"/>
      <c r="AZ636" s="138"/>
      <c r="BA636" s="138"/>
      <c r="BB636" s="138"/>
      <c r="BC636" s="138"/>
      <c r="BD636" s="138"/>
      <c r="BE636" s="138"/>
      <c r="BF636" s="138"/>
      <c r="BG636" s="138"/>
      <c r="BH636" s="138"/>
      <c r="BI636" s="138"/>
      <c r="BJ636" s="138"/>
      <c r="BK636" s="138"/>
      <c r="BL636" s="138"/>
      <c r="BM636" s="138"/>
      <c r="BN636" s="138"/>
      <c r="BO636" s="138"/>
      <c r="BP636" s="138"/>
      <c r="BQ636" s="138"/>
      <c r="BR636" s="138"/>
      <c r="BS636" s="138"/>
      <c r="BT636" s="138"/>
      <c r="BU636" s="138"/>
      <c r="BV636" s="138"/>
      <c r="BW636" s="138"/>
      <c r="BX636" s="138"/>
      <c r="BY636" s="138"/>
      <c r="BZ636" s="138"/>
      <c r="CA636" s="138"/>
      <c r="CB636" s="138"/>
      <c r="CC636" s="138"/>
      <c r="CD636" s="138"/>
      <c r="CE636" s="138"/>
    </row>
    <row r="637" spans="1:83" ht="12" customHeight="1">
      <c r="A637" s="138"/>
      <c r="B637" s="138"/>
      <c r="C637" s="138"/>
      <c r="D637" s="22"/>
      <c r="E637" s="22"/>
      <c r="F637" s="22"/>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M637" s="138"/>
      <c r="AN637" s="138"/>
      <c r="AO637" s="138"/>
      <c r="AP637" s="138"/>
      <c r="AQ637" s="138"/>
      <c r="AR637" s="138"/>
      <c r="AS637" s="138"/>
      <c r="AT637" s="138"/>
      <c r="AU637" s="138"/>
      <c r="AV637" s="138"/>
      <c r="AW637" s="138"/>
      <c r="AX637" s="138"/>
      <c r="AY637" s="138"/>
      <c r="AZ637" s="138"/>
      <c r="BA637" s="138"/>
      <c r="BB637" s="138"/>
      <c r="BC637" s="138"/>
      <c r="BD637" s="138"/>
      <c r="BE637" s="138"/>
      <c r="BF637" s="138"/>
      <c r="BG637" s="138"/>
      <c r="BH637" s="138"/>
      <c r="BI637" s="138"/>
      <c r="BJ637" s="138"/>
      <c r="BK637" s="138"/>
      <c r="BL637" s="138"/>
      <c r="BM637" s="138"/>
      <c r="BN637" s="138"/>
      <c r="BO637" s="138"/>
      <c r="BP637" s="138"/>
      <c r="BQ637" s="138"/>
      <c r="BR637" s="138"/>
      <c r="BS637" s="138"/>
      <c r="BT637" s="138"/>
      <c r="BU637" s="138"/>
      <c r="BV637" s="138"/>
      <c r="BW637" s="138"/>
      <c r="BX637" s="138"/>
      <c r="BY637" s="138"/>
      <c r="BZ637" s="138"/>
      <c r="CA637" s="138"/>
      <c r="CB637" s="138"/>
      <c r="CC637" s="138"/>
      <c r="CD637" s="138"/>
      <c r="CE637" s="138"/>
    </row>
    <row r="638" spans="1:83" ht="12" customHeight="1">
      <c r="A638" s="138"/>
      <c r="B638" s="138"/>
      <c r="C638" s="138"/>
      <c r="D638" s="22"/>
      <c r="E638" s="22"/>
      <c r="F638" s="22"/>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M638" s="138"/>
      <c r="AN638" s="138"/>
      <c r="AO638" s="138"/>
      <c r="AP638" s="138"/>
      <c r="AQ638" s="138"/>
      <c r="AR638" s="138"/>
      <c r="AS638" s="138"/>
      <c r="AT638" s="138"/>
      <c r="AU638" s="138"/>
      <c r="AV638" s="138"/>
      <c r="AW638" s="138"/>
      <c r="AX638" s="138"/>
      <c r="AY638" s="138"/>
      <c r="AZ638" s="138"/>
      <c r="BA638" s="138"/>
      <c r="BB638" s="138"/>
      <c r="BC638" s="138"/>
      <c r="BD638" s="138"/>
      <c r="BE638" s="138"/>
      <c r="BF638" s="138"/>
      <c r="BG638" s="138"/>
      <c r="BH638" s="138"/>
      <c r="BI638" s="138"/>
      <c r="BJ638" s="138"/>
      <c r="BK638" s="138"/>
      <c r="BL638" s="138"/>
      <c r="BM638" s="138"/>
      <c r="BN638" s="138"/>
      <c r="BO638" s="138"/>
      <c r="BP638" s="138"/>
      <c r="BQ638" s="138"/>
      <c r="BR638" s="138"/>
      <c r="BS638" s="138"/>
      <c r="BT638" s="138"/>
      <c r="BU638" s="138"/>
      <c r="BV638" s="138"/>
      <c r="BW638" s="138"/>
      <c r="BX638" s="138"/>
      <c r="BY638" s="138"/>
      <c r="BZ638" s="138"/>
      <c r="CA638" s="138"/>
      <c r="CB638" s="138"/>
      <c r="CC638" s="138"/>
      <c r="CD638" s="138"/>
      <c r="CE638" s="138"/>
    </row>
    <row r="639" spans="1:83" ht="12" customHeight="1">
      <c r="A639" s="138"/>
      <c r="B639" s="138"/>
      <c r="C639" s="138"/>
      <c r="D639" s="22"/>
      <c r="E639" s="22"/>
      <c r="F639" s="22"/>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M639" s="138"/>
      <c r="AN639" s="138"/>
      <c r="AO639" s="138"/>
      <c r="AP639" s="138"/>
      <c r="AQ639" s="138"/>
      <c r="AR639" s="138"/>
      <c r="AS639" s="138"/>
      <c r="AT639" s="138"/>
      <c r="AU639" s="138"/>
      <c r="AV639" s="138"/>
      <c r="AW639" s="138"/>
      <c r="AX639" s="138"/>
      <c r="AY639" s="138"/>
      <c r="AZ639" s="138"/>
      <c r="BA639" s="138"/>
      <c r="BB639" s="138"/>
      <c r="BC639" s="138"/>
      <c r="BD639" s="138"/>
      <c r="BE639" s="138"/>
      <c r="BF639" s="138"/>
      <c r="BG639" s="138"/>
      <c r="BH639" s="138"/>
      <c r="BI639" s="138"/>
      <c r="BJ639" s="138"/>
      <c r="BK639" s="138"/>
      <c r="BL639" s="138"/>
      <c r="BM639" s="138"/>
      <c r="BN639" s="138"/>
      <c r="BO639" s="138"/>
      <c r="BP639" s="138"/>
      <c r="BQ639" s="138"/>
      <c r="BR639" s="138"/>
      <c r="BS639" s="138"/>
      <c r="BT639" s="138"/>
      <c r="BU639" s="138"/>
      <c r="BV639" s="138"/>
      <c r="BW639" s="138"/>
      <c r="BX639" s="138"/>
      <c r="BY639" s="138"/>
      <c r="BZ639" s="138"/>
      <c r="CA639" s="138"/>
      <c r="CB639" s="138"/>
      <c r="CC639" s="138"/>
      <c r="CD639" s="138"/>
      <c r="CE639" s="138"/>
    </row>
    <row r="640" spans="1:83" ht="12" customHeight="1">
      <c r="A640" s="138"/>
      <c r="B640" s="138"/>
      <c r="C640" s="138"/>
      <c r="D640" s="22"/>
      <c r="E640" s="22"/>
      <c r="F640" s="22"/>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M640" s="138"/>
      <c r="AN640" s="138"/>
      <c r="AO640" s="138"/>
      <c r="AP640" s="138"/>
      <c r="AQ640" s="138"/>
      <c r="AR640" s="138"/>
      <c r="AS640" s="138"/>
      <c r="AT640" s="138"/>
      <c r="AU640" s="138"/>
      <c r="AV640" s="138"/>
      <c r="AW640" s="138"/>
      <c r="AX640" s="138"/>
      <c r="AY640" s="138"/>
      <c r="AZ640" s="138"/>
      <c r="BA640" s="138"/>
      <c r="BB640" s="138"/>
      <c r="BC640" s="138"/>
      <c r="BD640" s="138"/>
      <c r="BE640" s="138"/>
      <c r="BF640" s="138"/>
      <c r="BG640" s="138"/>
      <c r="BH640" s="138"/>
      <c r="BI640" s="138"/>
      <c r="BJ640" s="138"/>
      <c r="BK640" s="138"/>
      <c r="BL640" s="138"/>
      <c r="BM640" s="138"/>
      <c r="BN640" s="138"/>
      <c r="BO640" s="138"/>
      <c r="BP640" s="138"/>
      <c r="BQ640" s="138"/>
      <c r="BR640" s="138"/>
      <c r="BS640" s="138"/>
      <c r="BT640" s="138"/>
      <c r="BU640" s="138"/>
      <c r="BV640" s="138"/>
      <c r="BW640" s="138"/>
      <c r="BX640" s="138"/>
      <c r="BY640" s="138"/>
      <c r="BZ640" s="138"/>
      <c r="CA640" s="138"/>
      <c r="CB640" s="138"/>
      <c r="CC640" s="138"/>
      <c r="CD640" s="138"/>
      <c r="CE640" s="138"/>
    </row>
    <row r="641" spans="1:83" ht="12" customHeight="1">
      <c r="A641" s="138"/>
      <c r="B641" s="138"/>
      <c r="C641" s="138"/>
      <c r="D641" s="22"/>
      <c r="E641" s="22"/>
      <c r="F641" s="22"/>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M641" s="138"/>
      <c r="AN641" s="138"/>
      <c r="AO641" s="138"/>
      <c r="AP641" s="138"/>
      <c r="AQ641" s="138"/>
      <c r="AR641" s="138"/>
      <c r="AS641" s="138"/>
      <c r="AT641" s="138"/>
      <c r="AU641" s="138"/>
      <c r="AV641" s="138"/>
      <c r="AW641" s="138"/>
      <c r="AX641" s="138"/>
      <c r="AY641" s="138"/>
      <c r="AZ641" s="138"/>
      <c r="BA641" s="138"/>
      <c r="BB641" s="138"/>
      <c r="BC641" s="138"/>
      <c r="BD641" s="138"/>
      <c r="BE641" s="138"/>
      <c r="BF641" s="138"/>
      <c r="BG641" s="138"/>
      <c r="BH641" s="138"/>
      <c r="BI641" s="138"/>
      <c r="BJ641" s="138"/>
      <c r="BK641" s="138"/>
      <c r="BL641" s="138"/>
      <c r="BM641" s="138"/>
      <c r="BN641" s="138"/>
      <c r="BO641" s="138"/>
      <c r="BP641" s="138"/>
      <c r="BQ641" s="138"/>
      <c r="BR641" s="138"/>
      <c r="BS641" s="138"/>
      <c r="BT641" s="138"/>
      <c r="BU641" s="138"/>
      <c r="BV641" s="138"/>
      <c r="BW641" s="138"/>
      <c r="BX641" s="138"/>
      <c r="BY641" s="138"/>
      <c r="BZ641" s="138"/>
      <c r="CA641" s="138"/>
      <c r="CB641" s="138"/>
      <c r="CC641" s="138"/>
      <c r="CD641" s="138"/>
      <c r="CE641" s="138"/>
    </row>
    <row r="642" spans="1:83" ht="12" customHeight="1">
      <c r="A642" s="138"/>
      <c r="B642" s="138"/>
      <c r="C642" s="138"/>
      <c r="D642" s="22"/>
      <c r="E642" s="22"/>
      <c r="F642" s="22"/>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M642" s="138"/>
      <c r="AN642" s="138"/>
      <c r="AO642" s="138"/>
      <c r="AP642" s="138"/>
      <c r="AQ642" s="138"/>
      <c r="AR642" s="138"/>
      <c r="AS642" s="138"/>
      <c r="AT642" s="138"/>
      <c r="AU642" s="138"/>
      <c r="AV642" s="138"/>
      <c r="AW642" s="138"/>
      <c r="AX642" s="138"/>
      <c r="AY642" s="138"/>
      <c r="AZ642" s="138"/>
      <c r="BA642" s="138"/>
      <c r="BB642" s="138"/>
      <c r="BC642" s="138"/>
      <c r="BD642" s="138"/>
      <c r="BE642" s="138"/>
      <c r="BF642" s="138"/>
      <c r="BG642" s="138"/>
      <c r="BH642" s="138"/>
      <c r="BI642" s="138"/>
      <c r="BJ642" s="138"/>
      <c r="BK642" s="138"/>
      <c r="BL642" s="138"/>
      <c r="BM642" s="138"/>
      <c r="BN642" s="138"/>
      <c r="BO642" s="138"/>
      <c r="BP642" s="138"/>
      <c r="BQ642" s="138"/>
      <c r="BR642" s="138"/>
      <c r="BS642" s="138"/>
      <c r="BT642" s="138"/>
      <c r="BU642" s="138"/>
      <c r="BV642" s="138"/>
      <c r="BW642" s="138"/>
      <c r="BX642" s="138"/>
      <c r="BY642" s="138"/>
      <c r="BZ642" s="138"/>
      <c r="CA642" s="138"/>
      <c r="CB642" s="138"/>
      <c r="CC642" s="138"/>
      <c r="CD642" s="138"/>
      <c r="CE642" s="138"/>
    </row>
    <row r="643" spans="1:83" ht="12" customHeight="1">
      <c r="A643" s="138"/>
      <c r="B643" s="138"/>
      <c r="C643" s="138"/>
      <c r="D643" s="22"/>
      <c r="E643" s="22"/>
      <c r="F643" s="22"/>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M643" s="138"/>
      <c r="AN643" s="138"/>
      <c r="AO643" s="138"/>
      <c r="AP643" s="138"/>
      <c r="AQ643" s="138"/>
      <c r="AR643" s="138"/>
      <c r="AS643" s="138"/>
      <c r="AT643" s="138"/>
      <c r="AU643" s="138"/>
      <c r="AV643" s="138"/>
      <c r="AW643" s="138"/>
      <c r="AX643" s="138"/>
      <c r="AY643" s="138"/>
      <c r="AZ643" s="138"/>
      <c r="BA643" s="138"/>
      <c r="BB643" s="138"/>
      <c r="BC643" s="138"/>
      <c r="BD643" s="138"/>
      <c r="BE643" s="138"/>
      <c r="BF643" s="138"/>
      <c r="BG643" s="138"/>
      <c r="BH643" s="138"/>
      <c r="BI643" s="138"/>
      <c r="BJ643" s="138"/>
      <c r="BK643" s="138"/>
      <c r="BL643" s="138"/>
      <c r="BM643" s="138"/>
      <c r="BN643" s="138"/>
      <c r="BO643" s="138"/>
      <c r="BP643" s="138"/>
      <c r="BQ643" s="138"/>
      <c r="BR643" s="138"/>
      <c r="BS643" s="138"/>
      <c r="BT643" s="138"/>
      <c r="BU643" s="138"/>
      <c r="BV643" s="138"/>
      <c r="BW643" s="138"/>
      <c r="BX643" s="138"/>
      <c r="BY643" s="138"/>
      <c r="BZ643" s="138"/>
      <c r="CA643" s="138"/>
      <c r="CB643" s="138"/>
      <c r="CC643" s="138"/>
      <c r="CD643" s="138"/>
      <c r="CE643" s="138"/>
    </row>
    <row r="644" spans="1:83" ht="12" customHeight="1">
      <c r="A644" s="138"/>
      <c r="B644" s="138"/>
      <c r="C644" s="138"/>
      <c r="D644" s="22"/>
      <c r="E644" s="22"/>
      <c r="F644" s="22"/>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M644" s="138"/>
      <c r="AN644" s="138"/>
      <c r="AO644" s="138"/>
      <c r="AP644" s="138"/>
      <c r="AQ644" s="138"/>
      <c r="AR644" s="138"/>
      <c r="AS644" s="138"/>
      <c r="AT644" s="138"/>
      <c r="AU644" s="138"/>
      <c r="AV644" s="138"/>
      <c r="AW644" s="138"/>
      <c r="AX644" s="138"/>
      <c r="AY644" s="138"/>
      <c r="AZ644" s="138"/>
      <c r="BA644" s="138"/>
      <c r="BB644" s="138"/>
      <c r="BC644" s="138"/>
      <c r="BD644" s="138"/>
      <c r="BE644" s="138"/>
      <c r="BF644" s="138"/>
      <c r="BG644" s="138"/>
      <c r="BH644" s="138"/>
      <c r="BI644" s="138"/>
      <c r="BJ644" s="138"/>
      <c r="BK644" s="138"/>
      <c r="BL644" s="138"/>
      <c r="BM644" s="138"/>
      <c r="BN644" s="138"/>
      <c r="BO644" s="138"/>
      <c r="BP644" s="138"/>
      <c r="BQ644" s="138"/>
      <c r="BR644" s="138"/>
      <c r="BS644" s="138"/>
      <c r="BT644" s="138"/>
      <c r="BU644" s="138"/>
      <c r="BV644" s="138"/>
      <c r="BW644" s="138"/>
      <c r="BX644" s="138"/>
      <c r="BY644" s="138"/>
      <c r="BZ644" s="138"/>
      <c r="CA644" s="138"/>
      <c r="CB644" s="138"/>
      <c r="CC644" s="138"/>
      <c r="CD644" s="138"/>
      <c r="CE644" s="138"/>
    </row>
    <row r="645" spans="1:83" ht="12" customHeight="1">
      <c r="A645" s="138"/>
      <c r="B645" s="138"/>
      <c r="C645" s="138"/>
      <c r="D645" s="22"/>
      <c r="E645" s="22"/>
      <c r="F645" s="22"/>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M645" s="138"/>
      <c r="AN645" s="138"/>
      <c r="AO645" s="138"/>
      <c r="AP645" s="138"/>
      <c r="AQ645" s="138"/>
      <c r="AR645" s="138"/>
      <c r="AS645" s="138"/>
      <c r="AT645" s="138"/>
      <c r="AU645" s="138"/>
      <c r="AV645" s="138"/>
      <c r="AW645" s="138"/>
      <c r="AX645" s="138"/>
      <c r="AY645" s="138"/>
      <c r="AZ645" s="138"/>
      <c r="BA645" s="138"/>
      <c r="BB645" s="138"/>
      <c r="BC645" s="138"/>
      <c r="BD645" s="138"/>
      <c r="BE645" s="138"/>
      <c r="BF645" s="138"/>
      <c r="BG645" s="138"/>
      <c r="BH645" s="138"/>
      <c r="BI645" s="138"/>
      <c r="BJ645" s="138"/>
      <c r="BK645" s="138"/>
      <c r="BL645" s="138"/>
      <c r="BM645" s="138"/>
      <c r="BN645" s="138"/>
      <c r="BO645" s="138"/>
      <c r="BP645" s="138"/>
      <c r="BQ645" s="138"/>
      <c r="BR645" s="138"/>
      <c r="BS645" s="138"/>
      <c r="BT645" s="138"/>
      <c r="BU645" s="138"/>
      <c r="BV645" s="138"/>
      <c r="BW645" s="138"/>
      <c r="BX645" s="138"/>
      <c r="BY645" s="138"/>
      <c r="BZ645" s="138"/>
      <c r="CA645" s="138"/>
      <c r="CB645" s="138"/>
      <c r="CC645" s="138"/>
      <c r="CD645" s="138"/>
      <c r="CE645" s="138"/>
    </row>
    <row r="646" spans="1:83" ht="12" customHeight="1">
      <c r="A646" s="138"/>
      <c r="B646" s="138"/>
      <c r="C646" s="138"/>
      <c r="D646" s="22"/>
      <c r="E646" s="22"/>
      <c r="F646" s="22"/>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M646" s="138"/>
      <c r="AN646" s="138"/>
      <c r="AO646" s="138"/>
      <c r="AP646" s="138"/>
      <c r="AQ646" s="138"/>
      <c r="AR646" s="138"/>
      <c r="AS646" s="138"/>
      <c r="AT646" s="138"/>
      <c r="AU646" s="138"/>
      <c r="AV646" s="138"/>
      <c r="AW646" s="138"/>
      <c r="AX646" s="138"/>
      <c r="AY646" s="138"/>
      <c r="AZ646" s="138"/>
      <c r="BA646" s="138"/>
      <c r="BB646" s="138"/>
      <c r="BC646" s="138"/>
      <c r="BD646" s="138"/>
      <c r="BE646" s="138"/>
      <c r="BF646" s="138"/>
      <c r="BG646" s="138"/>
      <c r="BH646" s="138"/>
      <c r="BI646" s="138"/>
      <c r="BJ646" s="138"/>
      <c r="BK646" s="138"/>
      <c r="BL646" s="138"/>
      <c r="BM646" s="138"/>
      <c r="BN646" s="138"/>
      <c r="BO646" s="138"/>
      <c r="BP646" s="138"/>
      <c r="BQ646" s="138"/>
      <c r="BR646" s="138"/>
      <c r="BS646" s="138"/>
      <c r="BT646" s="138"/>
      <c r="BU646" s="138"/>
      <c r="BV646" s="138"/>
      <c r="BW646" s="138"/>
      <c r="BX646" s="138"/>
      <c r="BY646" s="138"/>
      <c r="BZ646" s="138"/>
      <c r="CA646" s="138"/>
      <c r="CB646" s="138"/>
      <c r="CC646" s="138"/>
      <c r="CD646" s="138"/>
      <c r="CE646" s="138"/>
    </row>
    <row r="647" spans="1:83" ht="12" customHeight="1">
      <c r="A647" s="138"/>
      <c r="B647" s="138"/>
      <c r="C647" s="138"/>
      <c r="D647" s="22"/>
      <c r="E647" s="22"/>
      <c r="F647" s="22"/>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M647" s="138"/>
      <c r="AN647" s="138"/>
      <c r="AO647" s="138"/>
      <c r="AP647" s="138"/>
      <c r="AQ647" s="138"/>
      <c r="AR647" s="138"/>
      <c r="AS647" s="138"/>
      <c r="AT647" s="138"/>
      <c r="AU647" s="138"/>
      <c r="AV647" s="138"/>
      <c r="AW647" s="138"/>
      <c r="AX647" s="138"/>
      <c r="AY647" s="138"/>
      <c r="AZ647" s="138"/>
      <c r="BA647" s="138"/>
      <c r="BB647" s="138"/>
      <c r="BC647" s="138"/>
      <c r="BD647" s="138"/>
      <c r="BE647" s="138"/>
      <c r="BF647" s="138"/>
      <c r="BG647" s="138"/>
      <c r="BH647" s="138"/>
      <c r="BI647" s="138"/>
      <c r="BJ647" s="138"/>
      <c r="BK647" s="138"/>
      <c r="BL647" s="138"/>
      <c r="BM647" s="138"/>
      <c r="BN647" s="138"/>
      <c r="BO647" s="138"/>
      <c r="BP647" s="138"/>
      <c r="BQ647" s="138"/>
      <c r="BR647" s="138"/>
      <c r="BS647" s="138"/>
      <c r="BT647" s="138"/>
      <c r="BU647" s="138"/>
      <c r="BV647" s="138"/>
      <c r="BW647" s="138"/>
      <c r="BX647" s="138"/>
      <c r="BY647" s="138"/>
      <c r="BZ647" s="138"/>
      <c r="CA647" s="138"/>
      <c r="CB647" s="138"/>
      <c r="CC647" s="138"/>
      <c r="CD647" s="138"/>
      <c r="CE647" s="138"/>
    </row>
    <row r="648" spans="1:83" ht="12" customHeight="1">
      <c r="A648" s="138"/>
      <c r="B648" s="138"/>
      <c r="C648" s="138"/>
      <c r="D648" s="22"/>
      <c r="E648" s="22"/>
      <c r="F648" s="22"/>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M648" s="138"/>
      <c r="AN648" s="138"/>
      <c r="AO648" s="138"/>
      <c r="AP648" s="138"/>
      <c r="AQ648" s="138"/>
      <c r="AR648" s="138"/>
      <c r="AS648" s="138"/>
      <c r="AT648" s="138"/>
      <c r="AU648" s="138"/>
      <c r="AV648" s="138"/>
      <c r="AW648" s="138"/>
      <c r="AX648" s="138"/>
      <c r="AY648" s="138"/>
      <c r="AZ648" s="138"/>
      <c r="BA648" s="138"/>
      <c r="BB648" s="138"/>
      <c r="BC648" s="138"/>
      <c r="BD648" s="138"/>
      <c r="BE648" s="138"/>
      <c r="BF648" s="138"/>
      <c r="BG648" s="138"/>
      <c r="BH648" s="138"/>
      <c r="BI648" s="138"/>
      <c r="BJ648" s="138"/>
      <c r="BK648" s="138"/>
      <c r="BL648" s="138"/>
      <c r="BM648" s="138"/>
      <c r="BN648" s="138"/>
      <c r="BO648" s="138"/>
      <c r="BP648" s="138"/>
      <c r="BQ648" s="138"/>
      <c r="BR648" s="138"/>
      <c r="BS648" s="138"/>
      <c r="BT648" s="138"/>
      <c r="BU648" s="138"/>
      <c r="BV648" s="138"/>
      <c r="BW648" s="138"/>
      <c r="BX648" s="138"/>
      <c r="BY648" s="138"/>
      <c r="BZ648" s="138"/>
      <c r="CA648" s="138"/>
      <c r="CB648" s="138"/>
      <c r="CC648" s="138"/>
      <c r="CD648" s="138"/>
      <c r="CE648" s="138"/>
    </row>
    <row r="649" spans="1:83" ht="12" customHeight="1">
      <c r="A649" s="138"/>
      <c r="B649" s="138"/>
      <c r="C649" s="138"/>
      <c r="D649" s="22"/>
      <c r="E649" s="22"/>
      <c r="F649" s="22"/>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M649" s="138"/>
      <c r="AN649" s="138"/>
      <c r="AO649" s="138"/>
      <c r="AP649" s="138"/>
      <c r="AQ649" s="138"/>
      <c r="AR649" s="138"/>
      <c r="AS649" s="138"/>
      <c r="AT649" s="138"/>
      <c r="AU649" s="138"/>
      <c r="AV649" s="138"/>
      <c r="AW649" s="138"/>
      <c r="AX649" s="138"/>
      <c r="AY649" s="138"/>
      <c r="AZ649" s="138"/>
      <c r="BA649" s="138"/>
      <c r="BB649" s="138"/>
      <c r="BC649" s="138"/>
      <c r="BD649" s="138"/>
      <c r="BE649" s="138"/>
      <c r="BF649" s="138"/>
      <c r="BG649" s="138"/>
      <c r="BH649" s="138"/>
      <c r="BI649" s="138"/>
      <c r="BJ649" s="138"/>
      <c r="BK649" s="138"/>
      <c r="BL649" s="138"/>
      <c r="BM649" s="138"/>
      <c r="BN649" s="138"/>
      <c r="BO649" s="138"/>
      <c r="BP649" s="138"/>
      <c r="BQ649" s="138"/>
      <c r="BR649" s="138"/>
      <c r="BS649" s="138"/>
      <c r="BT649" s="138"/>
      <c r="BU649" s="138"/>
      <c r="BV649" s="138"/>
      <c r="BW649" s="138"/>
      <c r="BX649" s="138"/>
      <c r="BY649" s="138"/>
      <c r="BZ649" s="138"/>
      <c r="CA649" s="138"/>
      <c r="CB649" s="138"/>
      <c r="CC649" s="138"/>
      <c r="CD649" s="138"/>
      <c r="CE649" s="138"/>
    </row>
    <row r="650" spans="1:83" ht="12" customHeight="1">
      <c r="A650" s="138"/>
      <c r="B650" s="138"/>
      <c r="C650" s="138"/>
      <c r="D650" s="22"/>
      <c r="E650" s="22"/>
      <c r="F650" s="22"/>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M650" s="138"/>
      <c r="AN650" s="138"/>
      <c r="AO650" s="138"/>
      <c r="AP650" s="138"/>
      <c r="AQ650" s="138"/>
      <c r="AR650" s="138"/>
      <c r="AS650" s="138"/>
      <c r="AT650" s="138"/>
      <c r="AU650" s="138"/>
      <c r="AV650" s="138"/>
      <c r="AW650" s="138"/>
      <c r="AX650" s="138"/>
      <c r="AY650" s="138"/>
      <c r="AZ650" s="138"/>
      <c r="BA650" s="138"/>
      <c r="BB650" s="138"/>
      <c r="BC650" s="138"/>
      <c r="BD650" s="138"/>
      <c r="BE650" s="138"/>
      <c r="BF650" s="138"/>
      <c r="BG650" s="138"/>
      <c r="BH650" s="138"/>
      <c r="BI650" s="138"/>
      <c r="BJ650" s="138"/>
      <c r="BK650" s="138"/>
      <c r="BL650" s="138"/>
      <c r="BM650" s="138"/>
      <c r="BN650" s="138"/>
      <c r="BO650" s="138"/>
      <c r="BP650" s="138"/>
      <c r="BQ650" s="138"/>
      <c r="BR650" s="138"/>
      <c r="BS650" s="138"/>
      <c r="BT650" s="138"/>
      <c r="BU650" s="138"/>
      <c r="BV650" s="138"/>
      <c r="BW650" s="138"/>
      <c r="BX650" s="138"/>
      <c r="BY650" s="138"/>
      <c r="BZ650" s="138"/>
      <c r="CA650" s="138"/>
      <c r="CB650" s="138"/>
      <c r="CC650" s="138"/>
      <c r="CD650" s="138"/>
      <c r="CE650" s="138"/>
    </row>
    <row r="651" spans="1:83" ht="12" customHeight="1">
      <c r="A651" s="138"/>
      <c r="B651" s="138"/>
      <c r="C651" s="138"/>
      <c r="D651" s="22"/>
      <c r="E651" s="22"/>
      <c r="F651" s="22"/>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M651" s="138"/>
      <c r="AN651" s="138"/>
      <c r="AO651" s="138"/>
      <c r="AP651" s="138"/>
      <c r="AQ651" s="138"/>
      <c r="AR651" s="138"/>
      <c r="AS651" s="138"/>
      <c r="AT651" s="138"/>
      <c r="AU651" s="138"/>
      <c r="AV651" s="138"/>
      <c r="AW651" s="138"/>
      <c r="AX651" s="138"/>
      <c r="AY651" s="138"/>
      <c r="AZ651" s="138"/>
      <c r="BA651" s="138"/>
      <c r="BB651" s="138"/>
      <c r="BC651" s="138"/>
      <c r="BD651" s="138"/>
      <c r="BE651" s="138"/>
      <c r="BF651" s="138"/>
      <c r="BG651" s="138"/>
      <c r="BH651" s="138"/>
      <c r="BI651" s="138"/>
      <c r="BJ651" s="138"/>
      <c r="BK651" s="138"/>
      <c r="BL651" s="138"/>
      <c r="BM651" s="138"/>
      <c r="BN651" s="138"/>
      <c r="BO651" s="138"/>
      <c r="BP651" s="138"/>
      <c r="BQ651" s="138"/>
      <c r="BR651" s="138"/>
      <c r="BS651" s="138"/>
      <c r="BT651" s="138"/>
      <c r="BU651" s="138"/>
      <c r="BV651" s="138"/>
      <c r="BW651" s="138"/>
      <c r="BX651" s="138"/>
      <c r="BY651" s="138"/>
      <c r="BZ651" s="138"/>
      <c r="CA651" s="138"/>
      <c r="CB651" s="138"/>
      <c r="CC651" s="138"/>
      <c r="CD651" s="138"/>
      <c r="CE651" s="138"/>
    </row>
    <row r="652" spans="1:83" ht="12" customHeight="1">
      <c r="A652" s="138"/>
      <c r="B652" s="138"/>
      <c r="C652" s="138"/>
      <c r="D652" s="22"/>
      <c r="E652" s="22"/>
      <c r="F652" s="22"/>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M652" s="138"/>
      <c r="AN652" s="138"/>
      <c r="AO652" s="138"/>
      <c r="AP652" s="138"/>
      <c r="AQ652" s="138"/>
      <c r="AR652" s="138"/>
      <c r="AS652" s="138"/>
      <c r="AT652" s="138"/>
      <c r="AU652" s="138"/>
      <c r="AV652" s="138"/>
      <c r="AW652" s="138"/>
      <c r="AX652" s="138"/>
      <c r="AY652" s="138"/>
      <c r="AZ652" s="138"/>
      <c r="BA652" s="138"/>
      <c r="BB652" s="138"/>
      <c r="BC652" s="138"/>
      <c r="BD652" s="138"/>
      <c r="BE652" s="138"/>
      <c r="BF652" s="138"/>
      <c r="BG652" s="138"/>
      <c r="BH652" s="138"/>
      <c r="BI652" s="138"/>
      <c r="BJ652" s="138"/>
      <c r="BK652" s="138"/>
      <c r="BL652" s="138"/>
      <c r="BM652" s="138"/>
      <c r="BN652" s="138"/>
      <c r="BO652" s="138"/>
      <c r="BP652" s="138"/>
      <c r="BQ652" s="138"/>
      <c r="BR652" s="138"/>
      <c r="BS652" s="138"/>
      <c r="BT652" s="138"/>
      <c r="BU652" s="138"/>
      <c r="BV652" s="138"/>
      <c r="BW652" s="138"/>
      <c r="BX652" s="138"/>
      <c r="BY652" s="138"/>
      <c r="BZ652" s="138"/>
      <c r="CA652" s="138"/>
      <c r="CB652" s="138"/>
      <c r="CC652" s="138"/>
      <c r="CD652" s="138"/>
      <c r="CE652" s="138"/>
    </row>
    <row r="653" spans="1:83" ht="12" customHeight="1">
      <c r="A653" s="138"/>
      <c r="B653" s="138"/>
      <c r="C653" s="138"/>
      <c r="D653" s="22"/>
      <c r="E653" s="22"/>
      <c r="F653" s="22"/>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138"/>
      <c r="AN653" s="138"/>
      <c r="AO653" s="138"/>
      <c r="AP653" s="138"/>
      <c r="AQ653" s="138"/>
      <c r="AR653" s="138"/>
      <c r="AS653" s="138"/>
      <c r="AT653" s="138"/>
      <c r="AU653" s="138"/>
      <c r="AV653" s="138"/>
      <c r="AW653" s="138"/>
      <c r="AX653" s="138"/>
      <c r="AY653" s="138"/>
      <c r="AZ653" s="138"/>
      <c r="BA653" s="138"/>
      <c r="BB653" s="138"/>
      <c r="BC653" s="138"/>
      <c r="BD653" s="138"/>
      <c r="BE653" s="138"/>
      <c r="BF653" s="138"/>
      <c r="BG653" s="138"/>
      <c r="BH653" s="138"/>
      <c r="BI653" s="138"/>
      <c r="BJ653" s="138"/>
      <c r="BK653" s="138"/>
      <c r="BL653" s="138"/>
      <c r="BM653" s="138"/>
      <c r="BN653" s="138"/>
      <c r="BO653" s="138"/>
      <c r="BP653" s="138"/>
      <c r="BQ653" s="138"/>
      <c r="BR653" s="138"/>
      <c r="BS653" s="138"/>
      <c r="BT653" s="138"/>
      <c r="BU653" s="138"/>
      <c r="BV653" s="138"/>
      <c r="BW653" s="138"/>
      <c r="BX653" s="138"/>
      <c r="BY653" s="138"/>
      <c r="BZ653" s="138"/>
      <c r="CA653" s="138"/>
      <c r="CB653" s="138"/>
      <c r="CC653" s="138"/>
      <c r="CD653" s="138"/>
      <c r="CE653" s="138"/>
    </row>
    <row r="654" spans="1:83" ht="12" customHeight="1">
      <c r="A654" s="138"/>
      <c r="B654" s="138"/>
      <c r="C654" s="138"/>
      <c r="D654" s="22"/>
      <c r="E654" s="22"/>
      <c r="F654" s="22"/>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M654" s="138"/>
      <c r="AN654" s="138"/>
      <c r="AO654" s="138"/>
      <c r="AP654" s="138"/>
      <c r="AQ654" s="138"/>
      <c r="AR654" s="138"/>
      <c r="AS654" s="138"/>
      <c r="AT654" s="138"/>
      <c r="AU654" s="138"/>
      <c r="AV654" s="138"/>
      <c r="AW654" s="138"/>
      <c r="AX654" s="138"/>
      <c r="AY654" s="138"/>
      <c r="AZ654" s="138"/>
      <c r="BA654" s="138"/>
      <c r="BB654" s="138"/>
      <c r="BC654" s="138"/>
      <c r="BD654" s="138"/>
      <c r="BE654" s="138"/>
      <c r="BF654" s="138"/>
      <c r="BG654" s="138"/>
      <c r="BH654" s="138"/>
      <c r="BI654" s="138"/>
      <c r="BJ654" s="138"/>
      <c r="BK654" s="138"/>
      <c r="BL654" s="138"/>
      <c r="BM654" s="138"/>
      <c r="BN654" s="138"/>
      <c r="BO654" s="138"/>
      <c r="BP654" s="138"/>
      <c r="BQ654" s="138"/>
      <c r="BR654" s="138"/>
      <c r="BS654" s="138"/>
      <c r="BT654" s="138"/>
      <c r="BU654" s="138"/>
      <c r="BV654" s="138"/>
      <c r="BW654" s="138"/>
      <c r="BX654" s="138"/>
      <c r="BY654" s="138"/>
      <c r="BZ654" s="138"/>
      <c r="CA654" s="138"/>
      <c r="CB654" s="138"/>
      <c r="CC654" s="138"/>
      <c r="CD654" s="138"/>
      <c r="CE654" s="138"/>
    </row>
    <row r="655" spans="1:83" ht="12" customHeight="1">
      <c r="A655" s="138"/>
      <c r="B655" s="138"/>
      <c r="C655" s="138"/>
      <c r="D655" s="22"/>
      <c r="E655" s="22"/>
      <c r="F655" s="22"/>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M655" s="138"/>
      <c r="AN655" s="138"/>
      <c r="AO655" s="138"/>
      <c r="AP655" s="138"/>
      <c r="AQ655" s="138"/>
      <c r="AR655" s="138"/>
      <c r="AS655" s="138"/>
      <c r="AT655" s="138"/>
      <c r="AU655" s="138"/>
      <c r="AV655" s="138"/>
      <c r="AW655" s="138"/>
      <c r="AX655" s="138"/>
      <c r="AY655" s="138"/>
      <c r="AZ655" s="138"/>
      <c r="BA655" s="138"/>
      <c r="BB655" s="138"/>
      <c r="BC655" s="138"/>
      <c r="BD655" s="138"/>
      <c r="BE655" s="138"/>
      <c r="BF655" s="138"/>
      <c r="BG655" s="138"/>
      <c r="BH655" s="138"/>
      <c r="BI655" s="138"/>
      <c r="BJ655" s="138"/>
      <c r="BK655" s="138"/>
      <c r="BL655" s="138"/>
      <c r="BM655" s="138"/>
      <c r="BN655" s="138"/>
      <c r="BO655" s="138"/>
      <c r="BP655" s="138"/>
      <c r="BQ655" s="138"/>
      <c r="BR655" s="138"/>
      <c r="BS655" s="138"/>
      <c r="BT655" s="138"/>
      <c r="BU655" s="138"/>
      <c r="BV655" s="138"/>
      <c r="BW655" s="138"/>
      <c r="BX655" s="138"/>
      <c r="BY655" s="138"/>
      <c r="BZ655" s="138"/>
      <c r="CA655" s="138"/>
      <c r="CB655" s="138"/>
      <c r="CC655" s="138"/>
      <c r="CD655" s="138"/>
      <c r="CE655" s="138"/>
    </row>
    <row r="656" spans="1:83" ht="12" customHeight="1">
      <c r="A656" s="138"/>
      <c r="B656" s="138"/>
      <c r="C656" s="138"/>
      <c r="D656" s="22"/>
      <c r="E656" s="22"/>
      <c r="F656" s="22"/>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M656" s="138"/>
      <c r="AN656" s="138"/>
      <c r="AO656" s="138"/>
      <c r="AP656" s="138"/>
      <c r="AQ656" s="138"/>
      <c r="AR656" s="138"/>
      <c r="AS656" s="138"/>
      <c r="AT656" s="138"/>
      <c r="AU656" s="138"/>
      <c r="AV656" s="138"/>
      <c r="AW656" s="138"/>
      <c r="AX656" s="138"/>
      <c r="AY656" s="138"/>
      <c r="AZ656" s="138"/>
      <c r="BA656" s="138"/>
      <c r="BB656" s="138"/>
      <c r="BC656" s="138"/>
      <c r="BD656" s="138"/>
      <c r="BE656" s="138"/>
      <c r="BF656" s="138"/>
      <c r="BG656" s="138"/>
      <c r="BH656" s="138"/>
      <c r="BI656" s="138"/>
      <c r="BJ656" s="138"/>
      <c r="BK656" s="138"/>
      <c r="BL656" s="138"/>
      <c r="BM656" s="138"/>
      <c r="BN656" s="138"/>
      <c r="BO656" s="138"/>
      <c r="BP656" s="138"/>
      <c r="BQ656" s="138"/>
      <c r="BR656" s="138"/>
      <c r="BS656" s="138"/>
      <c r="BT656" s="138"/>
      <c r="BU656" s="138"/>
      <c r="BV656" s="138"/>
      <c r="BW656" s="138"/>
      <c r="BX656" s="138"/>
      <c r="BY656" s="138"/>
      <c r="BZ656" s="138"/>
      <c r="CA656" s="138"/>
      <c r="CB656" s="138"/>
      <c r="CC656" s="138"/>
      <c r="CD656" s="138"/>
      <c r="CE656" s="138"/>
    </row>
    <row r="657" spans="1:83" ht="12" customHeight="1">
      <c r="A657" s="138"/>
      <c r="B657" s="138"/>
      <c r="C657" s="138"/>
      <c r="D657" s="22"/>
      <c r="E657" s="22"/>
      <c r="F657" s="22"/>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M657" s="138"/>
      <c r="AN657" s="138"/>
      <c r="AO657" s="138"/>
      <c r="AP657" s="138"/>
      <c r="AQ657" s="138"/>
      <c r="AR657" s="138"/>
      <c r="AS657" s="138"/>
      <c r="AT657" s="138"/>
      <c r="AU657" s="138"/>
      <c r="AV657" s="138"/>
      <c r="AW657" s="138"/>
      <c r="AX657" s="138"/>
      <c r="AY657" s="138"/>
      <c r="AZ657" s="138"/>
      <c r="BA657" s="138"/>
      <c r="BB657" s="138"/>
      <c r="BC657" s="138"/>
      <c r="BD657" s="138"/>
      <c r="BE657" s="138"/>
      <c r="BF657" s="138"/>
      <c r="BG657" s="138"/>
      <c r="BH657" s="138"/>
      <c r="BI657" s="138"/>
      <c r="BJ657" s="138"/>
      <c r="BK657" s="138"/>
      <c r="BL657" s="138"/>
      <c r="BM657" s="138"/>
      <c r="BN657" s="138"/>
      <c r="BO657" s="138"/>
      <c r="BP657" s="138"/>
      <c r="BQ657" s="138"/>
      <c r="BR657" s="138"/>
      <c r="BS657" s="138"/>
      <c r="BT657" s="138"/>
      <c r="BU657" s="138"/>
      <c r="BV657" s="138"/>
      <c r="BW657" s="138"/>
      <c r="BX657" s="138"/>
      <c r="BY657" s="138"/>
      <c r="BZ657" s="138"/>
      <c r="CA657" s="138"/>
      <c r="CB657" s="138"/>
      <c r="CC657" s="138"/>
      <c r="CD657" s="138"/>
      <c r="CE657" s="138"/>
    </row>
    <row r="658" spans="1:83" ht="12" customHeight="1">
      <c r="A658" s="138"/>
      <c r="B658" s="138"/>
      <c r="C658" s="138"/>
      <c r="D658" s="22"/>
      <c r="E658" s="22"/>
      <c r="F658" s="22"/>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M658" s="138"/>
      <c r="AN658" s="138"/>
      <c r="AO658" s="138"/>
      <c r="AP658" s="138"/>
      <c r="AQ658" s="138"/>
      <c r="AR658" s="138"/>
      <c r="AS658" s="138"/>
      <c r="AT658" s="138"/>
      <c r="AU658" s="138"/>
      <c r="AV658" s="138"/>
      <c r="AW658" s="138"/>
      <c r="AX658" s="138"/>
      <c r="AY658" s="138"/>
      <c r="AZ658" s="138"/>
      <c r="BA658" s="138"/>
      <c r="BB658" s="138"/>
      <c r="BC658" s="138"/>
      <c r="BD658" s="138"/>
      <c r="BE658" s="138"/>
      <c r="BF658" s="138"/>
      <c r="BG658" s="138"/>
      <c r="BH658" s="138"/>
      <c r="BI658" s="138"/>
      <c r="BJ658" s="138"/>
      <c r="BK658" s="138"/>
      <c r="BL658" s="138"/>
      <c r="BM658" s="138"/>
      <c r="BN658" s="138"/>
      <c r="BO658" s="138"/>
      <c r="BP658" s="138"/>
      <c r="BQ658" s="138"/>
      <c r="BR658" s="138"/>
      <c r="BS658" s="138"/>
      <c r="BT658" s="138"/>
      <c r="BU658" s="138"/>
      <c r="BV658" s="138"/>
      <c r="BW658" s="138"/>
      <c r="BX658" s="138"/>
      <c r="BY658" s="138"/>
      <c r="BZ658" s="138"/>
      <c r="CA658" s="138"/>
      <c r="CB658" s="138"/>
      <c r="CC658" s="138"/>
      <c r="CD658" s="138"/>
      <c r="CE658" s="138"/>
    </row>
    <row r="659" spans="1:83" ht="12" customHeight="1">
      <c r="A659" s="138"/>
      <c r="B659" s="138"/>
      <c r="C659" s="138"/>
      <c r="D659" s="22"/>
      <c r="E659" s="22"/>
      <c r="F659" s="22"/>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M659" s="138"/>
      <c r="AN659" s="138"/>
      <c r="AO659" s="138"/>
      <c r="AP659" s="138"/>
      <c r="AQ659" s="138"/>
      <c r="AR659" s="138"/>
      <c r="AS659" s="138"/>
      <c r="AT659" s="138"/>
      <c r="AU659" s="138"/>
      <c r="AV659" s="138"/>
      <c r="AW659" s="138"/>
      <c r="AX659" s="138"/>
      <c r="AY659" s="138"/>
      <c r="AZ659" s="138"/>
      <c r="BA659" s="138"/>
      <c r="BB659" s="138"/>
      <c r="BC659" s="138"/>
      <c r="BD659" s="138"/>
      <c r="BE659" s="138"/>
      <c r="BF659" s="138"/>
      <c r="BG659" s="138"/>
      <c r="BH659" s="138"/>
      <c r="BI659" s="138"/>
      <c r="BJ659" s="138"/>
      <c r="BK659" s="138"/>
      <c r="BL659" s="138"/>
      <c r="BM659" s="138"/>
      <c r="BN659" s="138"/>
      <c r="BO659" s="138"/>
      <c r="BP659" s="138"/>
      <c r="BQ659" s="138"/>
      <c r="BR659" s="138"/>
      <c r="BS659" s="138"/>
      <c r="BT659" s="138"/>
      <c r="BU659" s="138"/>
      <c r="BV659" s="138"/>
      <c r="BW659" s="138"/>
      <c r="BX659" s="138"/>
      <c r="BY659" s="138"/>
      <c r="BZ659" s="138"/>
      <c r="CA659" s="138"/>
      <c r="CB659" s="138"/>
      <c r="CC659" s="138"/>
      <c r="CD659" s="138"/>
      <c r="CE659" s="138"/>
    </row>
    <row r="660" spans="1:83" ht="12" customHeight="1">
      <c r="A660" s="138"/>
      <c r="B660" s="138"/>
      <c r="C660" s="138"/>
      <c r="D660" s="22"/>
      <c r="E660" s="22"/>
      <c r="F660" s="22"/>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M660" s="138"/>
      <c r="AN660" s="138"/>
      <c r="AO660" s="138"/>
      <c r="AP660" s="138"/>
      <c r="AQ660" s="138"/>
      <c r="AR660" s="138"/>
      <c r="AS660" s="138"/>
      <c r="AT660" s="138"/>
      <c r="AU660" s="138"/>
      <c r="AV660" s="138"/>
      <c r="AW660" s="138"/>
      <c r="AX660" s="138"/>
      <c r="AY660" s="138"/>
      <c r="AZ660" s="138"/>
      <c r="BA660" s="138"/>
      <c r="BB660" s="138"/>
      <c r="BC660" s="138"/>
      <c r="BD660" s="138"/>
      <c r="BE660" s="138"/>
      <c r="BF660" s="138"/>
      <c r="BG660" s="138"/>
      <c r="BH660" s="138"/>
      <c r="BI660" s="138"/>
      <c r="BJ660" s="138"/>
      <c r="BK660" s="138"/>
      <c r="BL660" s="138"/>
      <c r="BM660" s="138"/>
      <c r="BN660" s="138"/>
      <c r="BO660" s="138"/>
      <c r="BP660" s="138"/>
      <c r="BQ660" s="138"/>
      <c r="BR660" s="138"/>
      <c r="BS660" s="138"/>
      <c r="BT660" s="138"/>
      <c r="BU660" s="138"/>
      <c r="BV660" s="138"/>
      <c r="BW660" s="138"/>
      <c r="BX660" s="138"/>
      <c r="BY660" s="138"/>
      <c r="BZ660" s="138"/>
      <c r="CA660" s="138"/>
      <c r="CB660" s="138"/>
      <c r="CC660" s="138"/>
      <c r="CD660" s="138"/>
      <c r="CE660" s="138"/>
    </row>
    <row r="661" spans="1:83" ht="12" customHeight="1">
      <c r="A661" s="138"/>
      <c r="B661" s="138"/>
      <c r="C661" s="138"/>
      <c r="D661" s="22"/>
      <c r="E661" s="22"/>
      <c r="F661" s="22"/>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M661" s="138"/>
      <c r="AN661" s="138"/>
      <c r="AO661" s="138"/>
      <c r="AP661" s="138"/>
      <c r="AQ661" s="138"/>
      <c r="AR661" s="138"/>
      <c r="AS661" s="138"/>
      <c r="AT661" s="138"/>
      <c r="AU661" s="138"/>
      <c r="AV661" s="138"/>
      <c r="AW661" s="138"/>
      <c r="AX661" s="138"/>
      <c r="AY661" s="138"/>
      <c r="AZ661" s="138"/>
      <c r="BA661" s="138"/>
      <c r="BB661" s="138"/>
      <c r="BC661" s="138"/>
      <c r="BD661" s="138"/>
      <c r="BE661" s="138"/>
      <c r="BF661" s="138"/>
      <c r="BG661" s="138"/>
      <c r="BH661" s="138"/>
      <c r="BI661" s="138"/>
      <c r="BJ661" s="138"/>
      <c r="BK661" s="138"/>
      <c r="BL661" s="138"/>
      <c r="BM661" s="138"/>
      <c r="BN661" s="138"/>
      <c r="BO661" s="138"/>
      <c r="BP661" s="138"/>
      <c r="BQ661" s="138"/>
      <c r="BR661" s="138"/>
      <c r="BS661" s="138"/>
      <c r="BT661" s="138"/>
      <c r="BU661" s="138"/>
      <c r="BV661" s="138"/>
      <c r="BW661" s="138"/>
      <c r="BX661" s="138"/>
      <c r="BY661" s="138"/>
      <c r="BZ661" s="138"/>
      <c r="CA661" s="138"/>
      <c r="CB661" s="138"/>
      <c r="CC661" s="138"/>
      <c r="CD661" s="138"/>
      <c r="CE661" s="138"/>
    </row>
    <row r="662" spans="1:83" ht="12" customHeight="1">
      <c r="A662" s="138"/>
      <c r="B662" s="138"/>
      <c r="C662" s="138"/>
      <c r="D662" s="22"/>
      <c r="E662" s="22"/>
      <c r="F662" s="22"/>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M662" s="138"/>
      <c r="AN662" s="138"/>
      <c r="AO662" s="138"/>
      <c r="AP662" s="138"/>
      <c r="AQ662" s="138"/>
      <c r="AR662" s="138"/>
      <c r="AS662" s="138"/>
      <c r="AT662" s="138"/>
      <c r="AU662" s="138"/>
      <c r="AV662" s="138"/>
      <c r="AW662" s="138"/>
      <c r="AX662" s="138"/>
      <c r="AY662" s="138"/>
      <c r="AZ662" s="138"/>
      <c r="BA662" s="138"/>
      <c r="BB662" s="138"/>
      <c r="BC662" s="138"/>
      <c r="BD662" s="138"/>
      <c r="BE662" s="138"/>
      <c r="BF662" s="138"/>
      <c r="BG662" s="138"/>
      <c r="BH662" s="138"/>
      <c r="BI662" s="138"/>
      <c r="BJ662" s="138"/>
      <c r="BK662" s="138"/>
      <c r="BL662" s="138"/>
      <c r="BM662" s="138"/>
      <c r="BN662" s="138"/>
      <c r="BO662" s="138"/>
      <c r="BP662" s="138"/>
      <c r="BQ662" s="138"/>
      <c r="BR662" s="138"/>
      <c r="BS662" s="138"/>
      <c r="BT662" s="138"/>
      <c r="BU662" s="138"/>
      <c r="BV662" s="138"/>
      <c r="BW662" s="138"/>
      <c r="BX662" s="138"/>
      <c r="BY662" s="138"/>
      <c r="BZ662" s="138"/>
      <c r="CA662" s="138"/>
      <c r="CB662" s="138"/>
      <c r="CC662" s="138"/>
      <c r="CD662" s="138"/>
      <c r="CE662" s="138"/>
    </row>
    <row r="663" spans="1:83" ht="12" customHeight="1">
      <c r="A663" s="138"/>
      <c r="B663" s="138"/>
      <c r="C663" s="138"/>
      <c r="D663" s="22"/>
      <c r="E663" s="22"/>
      <c r="F663" s="22"/>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M663" s="138"/>
      <c r="AN663" s="138"/>
      <c r="AO663" s="138"/>
      <c r="AP663" s="138"/>
      <c r="AQ663" s="138"/>
      <c r="AR663" s="138"/>
      <c r="AS663" s="138"/>
      <c r="AT663" s="138"/>
      <c r="AU663" s="138"/>
      <c r="AV663" s="138"/>
      <c r="AW663" s="138"/>
      <c r="AX663" s="138"/>
      <c r="AY663" s="138"/>
      <c r="AZ663" s="138"/>
      <c r="BA663" s="138"/>
      <c r="BB663" s="138"/>
      <c r="BC663" s="138"/>
      <c r="BD663" s="138"/>
      <c r="BE663" s="138"/>
      <c r="BF663" s="138"/>
      <c r="BG663" s="138"/>
      <c r="BH663" s="138"/>
      <c r="BI663" s="138"/>
      <c r="BJ663" s="138"/>
      <c r="BK663" s="138"/>
      <c r="BL663" s="138"/>
      <c r="BM663" s="138"/>
      <c r="BN663" s="138"/>
      <c r="BO663" s="138"/>
      <c r="BP663" s="138"/>
      <c r="BQ663" s="138"/>
      <c r="BR663" s="138"/>
      <c r="BS663" s="138"/>
      <c r="BT663" s="138"/>
      <c r="BU663" s="138"/>
      <c r="BV663" s="138"/>
      <c r="BW663" s="138"/>
      <c r="BX663" s="138"/>
      <c r="BY663" s="138"/>
      <c r="BZ663" s="138"/>
      <c r="CA663" s="138"/>
      <c r="CB663" s="138"/>
      <c r="CC663" s="138"/>
      <c r="CD663" s="138"/>
      <c r="CE663" s="138"/>
    </row>
    <row r="664" spans="1:83" ht="12" customHeight="1">
      <c r="A664" s="138"/>
      <c r="B664" s="138"/>
      <c r="C664" s="138"/>
      <c r="D664" s="22"/>
      <c r="E664" s="22"/>
      <c r="F664" s="22"/>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M664" s="138"/>
      <c r="AN664" s="138"/>
      <c r="AO664" s="138"/>
      <c r="AP664" s="138"/>
      <c r="AQ664" s="138"/>
      <c r="AR664" s="138"/>
      <c r="AS664" s="138"/>
      <c r="AT664" s="138"/>
      <c r="AU664" s="138"/>
      <c r="AV664" s="138"/>
      <c r="AW664" s="138"/>
      <c r="AX664" s="138"/>
      <c r="AY664" s="138"/>
      <c r="AZ664" s="138"/>
      <c r="BA664" s="138"/>
      <c r="BB664" s="138"/>
      <c r="BC664" s="138"/>
      <c r="BD664" s="138"/>
      <c r="BE664" s="138"/>
      <c r="BF664" s="138"/>
      <c r="BG664" s="138"/>
      <c r="BH664" s="138"/>
      <c r="BI664" s="138"/>
      <c r="BJ664" s="138"/>
      <c r="BK664" s="138"/>
      <c r="BL664" s="138"/>
      <c r="BM664" s="138"/>
      <c r="BN664" s="138"/>
      <c r="BO664" s="138"/>
      <c r="BP664" s="138"/>
      <c r="BQ664" s="138"/>
      <c r="BR664" s="138"/>
      <c r="BS664" s="138"/>
      <c r="BT664" s="138"/>
      <c r="BU664" s="138"/>
      <c r="BV664" s="138"/>
      <c r="BW664" s="138"/>
      <c r="BX664" s="138"/>
      <c r="BY664" s="138"/>
      <c r="BZ664" s="138"/>
      <c r="CA664" s="138"/>
      <c r="CB664" s="138"/>
      <c r="CC664" s="138"/>
      <c r="CD664" s="138"/>
      <c r="CE664" s="138"/>
    </row>
    <row r="665" spans="1:83" ht="12" customHeight="1">
      <c r="A665" s="138"/>
      <c r="B665" s="138"/>
      <c r="C665" s="138"/>
      <c r="D665" s="22"/>
      <c r="E665" s="22"/>
      <c r="F665" s="22"/>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M665" s="138"/>
      <c r="AN665" s="138"/>
      <c r="AO665" s="138"/>
      <c r="AP665" s="138"/>
      <c r="AQ665" s="138"/>
      <c r="AR665" s="138"/>
      <c r="AS665" s="138"/>
      <c r="AT665" s="138"/>
      <c r="AU665" s="138"/>
      <c r="AV665" s="138"/>
      <c r="AW665" s="138"/>
      <c r="AX665" s="138"/>
      <c r="AY665" s="138"/>
      <c r="AZ665" s="138"/>
      <c r="BA665" s="138"/>
      <c r="BB665" s="138"/>
      <c r="BC665" s="138"/>
      <c r="BD665" s="138"/>
      <c r="BE665" s="138"/>
      <c r="BF665" s="138"/>
      <c r="BG665" s="138"/>
      <c r="BH665" s="138"/>
      <c r="BI665" s="138"/>
      <c r="BJ665" s="138"/>
      <c r="BK665" s="138"/>
      <c r="BL665" s="138"/>
      <c r="BM665" s="138"/>
      <c r="BN665" s="138"/>
      <c r="BO665" s="138"/>
      <c r="BP665" s="138"/>
      <c r="BQ665" s="138"/>
      <c r="BR665" s="138"/>
      <c r="BS665" s="138"/>
      <c r="BT665" s="138"/>
      <c r="BU665" s="138"/>
      <c r="BV665" s="138"/>
      <c r="BW665" s="138"/>
      <c r="BX665" s="138"/>
      <c r="BY665" s="138"/>
      <c r="BZ665" s="138"/>
      <c r="CA665" s="138"/>
      <c r="CB665" s="138"/>
      <c r="CC665" s="138"/>
      <c r="CD665" s="138"/>
      <c r="CE665" s="138"/>
    </row>
    <row r="666" spans="1:83" ht="12" customHeight="1">
      <c r="A666" s="138"/>
      <c r="B666" s="138"/>
      <c r="C666" s="138"/>
      <c r="D666" s="22"/>
      <c r="E666" s="22"/>
      <c r="F666" s="22"/>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M666" s="138"/>
      <c r="AN666" s="138"/>
      <c r="AO666" s="138"/>
      <c r="AP666" s="138"/>
      <c r="AQ666" s="138"/>
      <c r="AR666" s="138"/>
      <c r="AS666" s="138"/>
      <c r="AT666" s="138"/>
      <c r="AU666" s="138"/>
      <c r="AV666" s="138"/>
      <c r="AW666" s="138"/>
      <c r="AX666" s="138"/>
      <c r="AY666" s="138"/>
      <c r="AZ666" s="138"/>
      <c r="BA666" s="138"/>
      <c r="BB666" s="138"/>
      <c r="BC666" s="138"/>
      <c r="BD666" s="138"/>
      <c r="BE666" s="138"/>
      <c r="BF666" s="138"/>
      <c r="BG666" s="138"/>
      <c r="BH666" s="138"/>
      <c r="BI666" s="138"/>
      <c r="BJ666" s="138"/>
      <c r="BK666" s="138"/>
      <c r="BL666" s="138"/>
      <c r="BM666" s="138"/>
      <c r="BN666" s="138"/>
      <c r="BO666" s="138"/>
      <c r="BP666" s="138"/>
      <c r="BQ666" s="138"/>
      <c r="BR666" s="138"/>
      <c r="BS666" s="138"/>
      <c r="BT666" s="138"/>
      <c r="BU666" s="138"/>
      <c r="BV666" s="138"/>
      <c r="BW666" s="138"/>
      <c r="BX666" s="138"/>
      <c r="BY666" s="138"/>
      <c r="BZ666" s="138"/>
      <c r="CA666" s="138"/>
      <c r="CB666" s="138"/>
      <c r="CC666" s="138"/>
      <c r="CD666" s="138"/>
      <c r="CE666" s="138"/>
    </row>
  </sheetData>
  <mergeCells count="146">
    <mergeCell ref="O83:Z83"/>
    <mergeCell ref="AA83:AN83"/>
    <mergeCell ref="AO83:BE83"/>
    <mergeCell ref="BF83:BI83"/>
    <mergeCell ref="BJ83:BK83"/>
    <mergeCell ref="BL83:BM83"/>
    <mergeCell ref="BN83:BO83"/>
    <mergeCell ref="BP83:BQ83"/>
    <mergeCell ref="O81:Z81"/>
    <mergeCell ref="AO81:BE81"/>
    <mergeCell ref="BF81:BI81"/>
    <mergeCell ref="BJ81:BK81"/>
    <mergeCell ref="BL81:BM81"/>
    <mergeCell ref="BN81:BO81"/>
    <mergeCell ref="AA80:AN80"/>
    <mergeCell ref="BF80:BI80"/>
    <mergeCell ref="BJ80:BK80"/>
    <mergeCell ref="BL80:BM80"/>
    <mergeCell ref="BN80:BO80"/>
    <mergeCell ref="BP80:BQ80"/>
    <mergeCell ref="BR83:BS83"/>
    <mergeCell ref="BP81:BQ81"/>
    <mergeCell ref="BR81:BS81"/>
    <mergeCell ref="BF79:BI79"/>
    <mergeCell ref="BJ79:BK79"/>
    <mergeCell ref="BL79:BM79"/>
    <mergeCell ref="BN79:BO79"/>
    <mergeCell ref="BP79:BQ79"/>
    <mergeCell ref="BR79:BS79"/>
    <mergeCell ref="BR80:BS80"/>
    <mergeCell ref="AO82:BE82"/>
    <mergeCell ref="BF82:BI82"/>
    <mergeCell ref="BJ82:BK82"/>
    <mergeCell ref="BL82:BM82"/>
    <mergeCell ref="BN82:BO82"/>
    <mergeCell ref="BP82:BQ82"/>
    <mergeCell ref="BR82:BS82"/>
    <mergeCell ref="O78:Z78"/>
    <mergeCell ref="AA78:AN78"/>
    <mergeCell ref="AO78:BE78"/>
    <mergeCell ref="BF78:BI78"/>
    <mergeCell ref="BJ78:BK78"/>
    <mergeCell ref="BL78:BM78"/>
    <mergeCell ref="BP76:BQ76"/>
    <mergeCell ref="BR76:BS76"/>
    <mergeCell ref="BF77:BI77"/>
    <mergeCell ref="BJ77:BK77"/>
    <mergeCell ref="BL77:BM77"/>
    <mergeCell ref="BN77:BO77"/>
    <mergeCell ref="BP77:BQ77"/>
    <mergeCell ref="BR77:BS77"/>
    <mergeCell ref="BN78:BO78"/>
    <mergeCell ref="BP78:BQ78"/>
    <mergeCell ref="BR78:BS78"/>
    <mergeCell ref="BN75:BO75"/>
    <mergeCell ref="BP75:BQ75"/>
    <mergeCell ref="BR75:BS75"/>
    <mergeCell ref="O76:Z76"/>
    <mergeCell ref="AA76:AN76"/>
    <mergeCell ref="AO76:BE76"/>
    <mergeCell ref="BF76:BI76"/>
    <mergeCell ref="BJ76:BK76"/>
    <mergeCell ref="BL76:BM76"/>
    <mergeCell ref="BN76:BO76"/>
    <mergeCell ref="O75:Z75"/>
    <mergeCell ref="AA75:AN75"/>
    <mergeCell ref="AO75:BE75"/>
    <mergeCell ref="BF75:BI75"/>
    <mergeCell ref="BJ75:BK75"/>
    <mergeCell ref="BL75:BM75"/>
    <mergeCell ref="BF74:BI74"/>
    <mergeCell ref="BJ74:BK74"/>
    <mergeCell ref="BL74:BM74"/>
    <mergeCell ref="BN74:BO74"/>
    <mergeCell ref="BP74:BQ74"/>
    <mergeCell ref="BR74:BS74"/>
    <mergeCell ref="BF73:BI73"/>
    <mergeCell ref="BJ73:BK73"/>
    <mergeCell ref="BL73:BM73"/>
    <mergeCell ref="BN73:BO73"/>
    <mergeCell ref="BP73:BQ73"/>
    <mergeCell ref="BR73:BS73"/>
    <mergeCell ref="BR71:BS71"/>
    <mergeCell ref="BF72:BI72"/>
    <mergeCell ref="BJ72:BK72"/>
    <mergeCell ref="BL72:BM72"/>
    <mergeCell ref="BN72:BO72"/>
    <mergeCell ref="BP72:BQ72"/>
    <mergeCell ref="BR72:BS72"/>
    <mergeCell ref="BJ66:BK70"/>
    <mergeCell ref="BL66:BM70"/>
    <mergeCell ref="BN66:BO70"/>
    <mergeCell ref="BP66:BQ70"/>
    <mergeCell ref="BR66:BS70"/>
    <mergeCell ref="BF71:BI71"/>
    <mergeCell ref="BJ71:BK71"/>
    <mergeCell ref="BL71:BM71"/>
    <mergeCell ref="BN71:BO71"/>
    <mergeCell ref="BP71:BQ71"/>
    <mergeCell ref="F25:O27"/>
    <mergeCell ref="P25:BB25"/>
    <mergeCell ref="BC25:BJ27"/>
    <mergeCell ref="BK25:BZ27"/>
    <mergeCell ref="P27:BB27"/>
    <mergeCell ref="F65:Z70"/>
    <mergeCell ref="AA65:AN70"/>
    <mergeCell ref="AO65:BE70"/>
    <mergeCell ref="BF65:BI70"/>
    <mergeCell ref="BJ65:BS65"/>
    <mergeCell ref="F23:O23"/>
    <mergeCell ref="P23:BB23"/>
    <mergeCell ref="BC23:BJ23"/>
    <mergeCell ref="BK23:BZ23"/>
    <mergeCell ref="F24:O24"/>
    <mergeCell ref="P24:BB24"/>
    <mergeCell ref="BC24:BJ24"/>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49" max="8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CV242"/>
  <sheetViews>
    <sheetView showGridLines="0" view="pageBreakPreview" zoomScale="85" zoomScaleNormal="85" zoomScaleSheetLayoutView="85" workbookViewId="0">
      <selection sqref="A1:CE1"/>
    </sheetView>
  </sheetViews>
  <sheetFormatPr defaultColWidth="1.625" defaultRowHeight="12" customHeight="1"/>
  <cols>
    <col min="1" max="1" width="1.625" style="400" customWidth="1"/>
    <col min="2" max="4" width="1.625" style="1"/>
    <col min="5" max="5" width="1.625" style="1" customWidth="1"/>
    <col min="6" max="85" width="1.625" style="1"/>
    <col min="86" max="100" width="5.25" style="1" customWidth="1"/>
    <col min="101" max="16384" width="1.625" style="1"/>
  </cols>
  <sheetData>
    <row r="1" spans="1:83" ht="17.25" customHeight="1">
      <c r="A1" s="613" t="s">
        <v>430</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83" ht="4.5" customHeight="1"/>
    <row r="3" spans="1:83" ht="12" customHeight="1">
      <c r="A3" s="592" t="s">
        <v>8</v>
      </c>
      <c r="B3" s="592"/>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t="s">
        <v>1</v>
      </c>
      <c r="AE3" s="592"/>
      <c r="AF3" s="592"/>
      <c r="AG3" s="592"/>
      <c r="AH3" s="592"/>
      <c r="AI3" s="592"/>
      <c r="AJ3" s="592"/>
      <c r="AK3" s="592"/>
      <c r="AL3" s="592"/>
      <c r="AM3" s="594" t="s">
        <v>342</v>
      </c>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6"/>
      <c r="BR3" s="693" t="s">
        <v>6</v>
      </c>
      <c r="BS3" s="693"/>
      <c r="BT3" s="591" t="s">
        <v>756</v>
      </c>
      <c r="BU3" s="592"/>
      <c r="BV3" s="592"/>
      <c r="BW3" s="592"/>
      <c r="BX3" s="592"/>
      <c r="BY3" s="693" t="s">
        <v>7</v>
      </c>
      <c r="BZ3" s="693"/>
      <c r="CA3" s="591" t="s">
        <v>757</v>
      </c>
      <c r="CB3" s="592"/>
      <c r="CC3" s="592"/>
      <c r="CD3" s="592"/>
      <c r="CE3" s="592"/>
    </row>
    <row r="4" spans="1:83" ht="12" customHeight="1">
      <c r="A4" s="592" t="s">
        <v>9</v>
      </c>
      <c r="B4" s="592"/>
      <c r="C4" s="592"/>
      <c r="D4" s="592"/>
      <c r="E4" s="592"/>
      <c r="F4" s="592"/>
      <c r="G4" s="592"/>
      <c r="H4" s="592"/>
      <c r="I4" s="591" t="s">
        <v>341</v>
      </c>
      <c r="J4" s="592"/>
      <c r="K4" s="592"/>
      <c r="L4" s="592"/>
      <c r="M4" s="592"/>
      <c r="N4" s="592"/>
      <c r="O4" s="592"/>
      <c r="P4" s="592"/>
      <c r="Q4" s="592"/>
      <c r="R4" s="592"/>
      <c r="S4" s="592"/>
      <c r="T4" s="592"/>
      <c r="U4" s="592"/>
      <c r="V4" s="592"/>
      <c r="W4" s="592"/>
      <c r="X4" s="592"/>
      <c r="Y4" s="592"/>
      <c r="Z4" s="592"/>
      <c r="AA4" s="592"/>
      <c r="AB4" s="592"/>
      <c r="AC4" s="592"/>
      <c r="AD4" s="592" t="s">
        <v>0</v>
      </c>
      <c r="AE4" s="592"/>
      <c r="AF4" s="592"/>
      <c r="AG4" s="592"/>
      <c r="AH4" s="592"/>
      <c r="AI4" s="592"/>
      <c r="AJ4" s="592"/>
      <c r="AK4" s="592"/>
      <c r="AL4" s="592"/>
      <c r="AM4" s="594" t="s">
        <v>340</v>
      </c>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6"/>
      <c r="BR4" s="693"/>
      <c r="BS4" s="693"/>
      <c r="BT4" s="592"/>
      <c r="BU4" s="592"/>
      <c r="BV4" s="592"/>
      <c r="BW4" s="592"/>
      <c r="BX4" s="592"/>
      <c r="BY4" s="693"/>
      <c r="BZ4" s="693"/>
      <c r="CA4" s="592"/>
      <c r="CB4" s="592"/>
      <c r="CC4" s="592"/>
      <c r="CD4" s="592"/>
      <c r="CE4" s="592"/>
    </row>
    <row r="5" spans="1:83" ht="12" customHeight="1">
      <c r="A5" s="592"/>
      <c r="B5" s="592"/>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t="s">
        <v>2</v>
      </c>
      <c r="AE5" s="592"/>
      <c r="AF5" s="592"/>
      <c r="AG5" s="592"/>
      <c r="AH5" s="604">
        <v>43503</v>
      </c>
      <c r="AI5" s="604"/>
      <c r="AJ5" s="604"/>
      <c r="AK5" s="604"/>
      <c r="AL5" s="604"/>
      <c r="AM5" s="604"/>
      <c r="AN5" s="604"/>
      <c r="AO5" s="592" t="s">
        <v>3</v>
      </c>
      <c r="AP5" s="592"/>
      <c r="AQ5" s="592"/>
      <c r="AR5" s="592"/>
      <c r="AS5" s="692"/>
      <c r="AT5" s="692"/>
      <c r="AU5" s="692"/>
      <c r="AV5" s="692"/>
      <c r="AW5" s="692"/>
      <c r="AX5" s="692"/>
      <c r="AY5" s="692"/>
      <c r="AZ5" s="592" t="s">
        <v>4</v>
      </c>
      <c r="BA5" s="592"/>
      <c r="BB5" s="592"/>
      <c r="BC5" s="592"/>
      <c r="BD5" s="692"/>
      <c r="BE5" s="692"/>
      <c r="BF5" s="692"/>
      <c r="BG5" s="692"/>
      <c r="BH5" s="692"/>
      <c r="BI5" s="692"/>
      <c r="BJ5" s="692"/>
      <c r="BK5" s="592" t="s">
        <v>5</v>
      </c>
      <c r="BL5" s="592"/>
      <c r="BM5" s="592"/>
      <c r="BN5" s="691"/>
      <c r="BO5" s="691"/>
      <c r="BP5" s="691"/>
      <c r="BQ5" s="691"/>
      <c r="BR5" s="693"/>
      <c r="BS5" s="693"/>
      <c r="BT5" s="592"/>
      <c r="BU5" s="592"/>
      <c r="BV5" s="592"/>
      <c r="BW5" s="592"/>
      <c r="BX5" s="592"/>
      <c r="BY5" s="693"/>
      <c r="BZ5" s="693"/>
      <c r="CA5" s="592"/>
      <c r="CB5" s="592"/>
      <c r="CC5" s="592"/>
      <c r="CD5" s="592"/>
      <c r="CE5" s="592"/>
    </row>
    <row r="6" spans="1:83" ht="5.0999999999999996" customHeight="1"/>
    <row r="7" spans="1:83" ht="12" customHeight="1">
      <c r="A7" s="300"/>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row>
    <row r="8" spans="1:83" ht="12" customHeight="1">
      <c r="A8" s="299"/>
      <c r="B8" s="299" t="s">
        <v>1198</v>
      </c>
      <c r="C8" s="299"/>
      <c r="D8" s="299"/>
      <c r="E8" s="299"/>
      <c r="F8" s="299"/>
      <c r="G8" s="29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row>
    <row r="9" spans="1:83" ht="12" customHeight="1">
      <c r="A9" s="299"/>
      <c r="B9" s="299"/>
      <c r="C9" s="299"/>
      <c r="D9" s="299"/>
      <c r="E9" s="299"/>
      <c r="F9" s="299"/>
      <c r="G9" s="299"/>
      <c r="H9" s="529"/>
      <c r="I9" s="529"/>
      <c r="J9" s="529"/>
      <c r="K9" s="529"/>
      <c r="L9" s="529"/>
      <c r="M9" s="529"/>
      <c r="N9" s="529"/>
      <c r="O9" s="529"/>
      <c r="P9" s="529"/>
      <c r="Q9" s="529"/>
      <c r="R9" s="529"/>
      <c r="S9" s="529"/>
      <c r="T9" s="529"/>
      <c r="U9" s="529"/>
      <c r="V9" s="529"/>
      <c r="W9" s="529"/>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29"/>
      <c r="BD9" s="529"/>
      <c r="BE9" s="529"/>
      <c r="BF9" s="529"/>
      <c r="BG9" s="529"/>
      <c r="BH9" s="529"/>
      <c r="BI9" s="529"/>
      <c r="BJ9" s="529"/>
      <c r="BK9" s="529"/>
      <c r="BL9" s="529"/>
      <c r="BM9" s="529"/>
      <c r="BN9" s="529"/>
      <c r="BO9" s="529"/>
      <c r="BP9" s="529"/>
      <c r="BQ9" s="529"/>
      <c r="BR9" s="529"/>
      <c r="BS9" s="529"/>
      <c r="BT9" s="529"/>
      <c r="BU9" s="529"/>
      <c r="BV9" s="529"/>
      <c r="BW9" s="529"/>
      <c r="BX9" s="529"/>
      <c r="BY9" s="529"/>
      <c r="BZ9" s="529"/>
      <c r="CA9" s="529"/>
      <c r="CB9" s="529"/>
      <c r="CC9" s="529"/>
      <c r="CD9" s="529"/>
      <c r="CE9" s="529"/>
    </row>
    <row r="10" spans="1:83" ht="12" customHeight="1">
      <c r="A10" s="299"/>
      <c r="B10" s="299"/>
      <c r="C10" s="299" t="s">
        <v>1150</v>
      </c>
      <c r="D10" s="299"/>
      <c r="E10" s="299"/>
      <c r="F10" s="299"/>
      <c r="G10" s="299"/>
      <c r="H10" s="529"/>
      <c r="I10" s="529"/>
      <c r="J10" s="529"/>
      <c r="K10" s="529"/>
      <c r="L10" s="529"/>
      <c r="M10" s="529"/>
      <c r="N10" s="529"/>
      <c r="O10" s="529"/>
      <c r="P10" s="529"/>
      <c r="Q10" s="529"/>
      <c r="R10" s="529"/>
      <c r="S10" s="529"/>
      <c r="T10" s="529"/>
      <c r="U10" s="529"/>
      <c r="V10" s="529"/>
      <c r="W10" s="529"/>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29"/>
      <c r="BD10" s="529"/>
      <c r="BE10" s="529"/>
      <c r="BF10" s="529"/>
      <c r="BG10" s="529"/>
      <c r="BH10" s="529"/>
      <c r="BI10" s="529"/>
      <c r="BJ10" s="529"/>
      <c r="BK10" s="529"/>
      <c r="BL10" s="529"/>
      <c r="BM10" s="529"/>
      <c r="BN10" s="529"/>
      <c r="BO10" s="529"/>
      <c r="BP10" s="529"/>
      <c r="BQ10" s="529"/>
      <c r="BR10" s="529"/>
      <c r="BS10" s="529"/>
      <c r="BT10" s="529"/>
      <c r="BU10" s="529"/>
      <c r="BV10" s="529"/>
      <c r="BW10" s="529"/>
      <c r="BX10" s="529"/>
      <c r="BY10" s="529"/>
      <c r="BZ10" s="529"/>
      <c r="CA10" s="529"/>
      <c r="CB10" s="529"/>
      <c r="CC10" s="529"/>
      <c r="CD10" s="529"/>
      <c r="CE10" s="529"/>
    </row>
    <row r="11" spans="1:83" ht="12" customHeight="1">
      <c r="A11" s="299"/>
      <c r="B11" s="299"/>
      <c r="C11" s="299"/>
      <c r="D11" s="299"/>
      <c r="E11" s="299"/>
      <c r="F11" s="299"/>
      <c r="G11" s="299"/>
      <c r="H11" s="529"/>
      <c r="I11" s="529"/>
      <c r="J11" s="529"/>
      <c r="K11" s="529"/>
      <c r="L11" s="529"/>
      <c r="M11" s="529"/>
      <c r="N11" s="529"/>
      <c r="O11" s="529"/>
      <c r="P11" s="529"/>
      <c r="Q11" s="529"/>
      <c r="R11" s="529"/>
      <c r="S11" s="529"/>
      <c r="T11" s="529"/>
      <c r="U11" s="529"/>
      <c r="V11" s="529"/>
      <c r="W11" s="529"/>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29"/>
      <c r="BD11" s="529"/>
      <c r="BE11" s="529"/>
      <c r="BF11" s="529"/>
      <c r="BG11" s="529"/>
      <c r="BH11" s="529"/>
      <c r="BI11" s="529"/>
      <c r="BJ11" s="529"/>
      <c r="BK11" s="529"/>
      <c r="BL11" s="529"/>
      <c r="BM11" s="529"/>
      <c r="BN11" s="529"/>
      <c r="BO11" s="529"/>
      <c r="BP11" s="529"/>
      <c r="BQ11" s="529"/>
      <c r="BR11" s="529"/>
      <c r="BS11" s="529"/>
      <c r="BT11" s="529"/>
      <c r="BU11" s="529"/>
      <c r="BV11" s="529"/>
      <c r="BW11" s="529"/>
      <c r="BX11" s="529"/>
      <c r="BY11" s="529"/>
      <c r="BZ11" s="529"/>
      <c r="CA11" s="529"/>
      <c r="CB11" s="529"/>
      <c r="CC11" s="529"/>
      <c r="CD11" s="529"/>
      <c r="CE11" s="529"/>
    </row>
    <row r="12" spans="1:83" ht="12" customHeight="1">
      <c r="A12" s="299"/>
      <c r="B12" s="299"/>
      <c r="C12" s="299"/>
      <c r="D12" s="299" t="s">
        <v>339</v>
      </c>
      <c r="E12" s="299"/>
      <c r="F12" s="299"/>
      <c r="G12" s="299"/>
      <c r="H12" s="529"/>
      <c r="I12" s="529"/>
      <c r="J12" s="529"/>
      <c r="K12" s="529"/>
      <c r="L12" s="529"/>
      <c r="M12" s="529"/>
      <c r="N12" s="529"/>
      <c r="O12" s="529"/>
      <c r="P12" s="529"/>
      <c r="Q12" s="529"/>
      <c r="R12" s="529"/>
      <c r="S12" s="529"/>
      <c r="T12" s="529"/>
      <c r="U12" s="529"/>
      <c r="V12" s="529"/>
      <c r="W12" s="529"/>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29"/>
      <c r="BD12" s="529"/>
      <c r="BE12" s="529"/>
      <c r="BF12" s="529"/>
      <c r="BG12" s="529"/>
      <c r="BH12" s="529"/>
      <c r="BI12" s="529"/>
      <c r="BJ12" s="529"/>
      <c r="BK12" s="529"/>
      <c r="BL12" s="529"/>
      <c r="BM12" s="529"/>
      <c r="BN12" s="529"/>
      <c r="BO12" s="529"/>
      <c r="BP12" s="529"/>
      <c r="BQ12" s="529"/>
      <c r="BR12" s="529"/>
      <c r="BS12" s="529"/>
      <c r="BT12" s="529"/>
      <c r="BU12" s="529"/>
      <c r="BV12" s="529"/>
      <c r="BW12" s="529"/>
      <c r="BX12" s="529"/>
      <c r="BY12" s="529"/>
      <c r="BZ12" s="529"/>
      <c r="CA12" s="529"/>
      <c r="CB12" s="529"/>
      <c r="CC12" s="529"/>
      <c r="CD12" s="529"/>
      <c r="CE12" s="529"/>
    </row>
    <row r="13" spans="1:83" ht="12" customHeight="1">
      <c r="A13" s="299"/>
      <c r="B13" s="299"/>
      <c r="C13" s="299"/>
      <c r="D13" s="299" t="s">
        <v>1223</v>
      </c>
      <c r="E13" s="299"/>
      <c r="F13" s="299"/>
      <c r="G13" s="299"/>
      <c r="H13" s="529"/>
      <c r="I13" s="529"/>
      <c r="J13" s="529"/>
      <c r="K13" s="529"/>
      <c r="L13" s="529"/>
      <c r="M13" s="529"/>
      <c r="N13" s="529"/>
      <c r="O13" s="529"/>
      <c r="P13" s="529"/>
      <c r="Q13" s="529"/>
      <c r="R13" s="529"/>
      <c r="S13" s="529"/>
      <c r="T13" s="529"/>
      <c r="U13" s="529"/>
      <c r="V13" s="529"/>
      <c r="W13" s="529"/>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29"/>
      <c r="BD13" s="529"/>
      <c r="BE13" s="529"/>
      <c r="BF13" s="529"/>
      <c r="BG13" s="529"/>
      <c r="BH13" s="529"/>
      <c r="BI13" s="529"/>
      <c r="BJ13" s="529"/>
      <c r="BK13" s="529"/>
      <c r="BL13" s="529"/>
      <c r="BM13" s="529"/>
      <c r="BN13" s="529"/>
      <c r="BO13" s="529"/>
      <c r="BP13" s="529"/>
      <c r="BQ13" s="529"/>
      <c r="BR13" s="529"/>
      <c r="BS13" s="529"/>
      <c r="BT13" s="529"/>
      <c r="BU13" s="529"/>
      <c r="BV13" s="529"/>
      <c r="BW13" s="529"/>
      <c r="BX13" s="529"/>
      <c r="BY13" s="529"/>
      <c r="BZ13" s="529"/>
      <c r="CA13" s="529"/>
      <c r="CB13" s="529"/>
      <c r="CC13" s="529"/>
      <c r="CD13" s="529"/>
      <c r="CE13" s="529"/>
    </row>
    <row r="14" spans="1:83" ht="12" customHeight="1">
      <c r="A14" s="299"/>
      <c r="B14" s="299"/>
      <c r="C14" s="299"/>
      <c r="D14" s="454" t="s">
        <v>1224</v>
      </c>
      <c r="E14" s="299"/>
      <c r="F14" s="299"/>
      <c r="G14" s="299"/>
      <c r="H14" s="529"/>
      <c r="I14" s="529"/>
      <c r="J14" s="529"/>
      <c r="K14" s="529"/>
      <c r="L14" s="529"/>
      <c r="M14" s="529"/>
      <c r="N14" s="529"/>
      <c r="O14" s="529"/>
      <c r="P14" s="529"/>
      <c r="Q14" s="529"/>
      <c r="R14" s="529"/>
      <c r="S14" s="529"/>
      <c r="T14" s="529"/>
      <c r="U14" s="529"/>
      <c r="V14" s="529"/>
      <c r="W14" s="529"/>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29"/>
      <c r="BD14" s="529"/>
      <c r="BE14" s="529"/>
      <c r="BF14" s="529"/>
      <c r="BG14" s="529"/>
      <c r="BH14" s="529"/>
      <c r="BI14" s="529"/>
      <c r="BJ14" s="529"/>
      <c r="BK14" s="529"/>
      <c r="BL14" s="529"/>
      <c r="BM14" s="529"/>
      <c r="BN14" s="529"/>
      <c r="BO14" s="529"/>
      <c r="BP14" s="529"/>
      <c r="BQ14" s="529"/>
      <c r="BR14" s="529"/>
      <c r="BS14" s="529"/>
      <c r="BT14" s="529"/>
      <c r="BU14" s="529"/>
      <c r="BV14" s="529"/>
      <c r="BW14" s="529"/>
      <c r="BX14" s="529"/>
      <c r="BY14" s="529"/>
      <c r="BZ14" s="529"/>
      <c r="CA14" s="529"/>
      <c r="CB14" s="529"/>
      <c r="CC14" s="529"/>
      <c r="CD14" s="529"/>
      <c r="CE14" s="529"/>
    </row>
    <row r="15" spans="1:83" ht="12" customHeight="1">
      <c r="A15" s="299"/>
      <c r="B15" s="299"/>
      <c r="C15" s="299"/>
      <c r="D15" s="454" t="s">
        <v>1225</v>
      </c>
      <c r="E15" s="299"/>
      <c r="F15" s="299"/>
      <c r="G15" s="299"/>
      <c r="H15" s="548"/>
      <c r="I15" s="548"/>
      <c r="J15" s="548"/>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48"/>
      <c r="AH15" s="548"/>
      <c r="AI15" s="548"/>
      <c r="AJ15" s="548"/>
      <c r="AK15" s="548"/>
      <c r="AL15" s="548"/>
      <c r="AM15" s="548"/>
      <c r="AN15" s="548"/>
      <c r="AO15" s="548"/>
      <c r="AP15" s="548"/>
      <c r="AQ15" s="548"/>
      <c r="AR15" s="548"/>
      <c r="AS15" s="548"/>
      <c r="AT15" s="548"/>
      <c r="AU15" s="548"/>
      <c r="AV15" s="548"/>
      <c r="AW15" s="548"/>
      <c r="AX15" s="548"/>
      <c r="AY15" s="548"/>
      <c r="AZ15" s="548"/>
      <c r="BA15" s="548"/>
      <c r="BB15" s="548"/>
      <c r="BC15" s="548"/>
      <c r="BD15" s="548"/>
      <c r="BE15" s="548"/>
      <c r="BF15" s="548"/>
      <c r="BG15" s="548"/>
      <c r="BH15" s="548"/>
      <c r="BI15" s="548"/>
      <c r="BJ15" s="548"/>
      <c r="BK15" s="548"/>
      <c r="BL15" s="548"/>
      <c r="BM15" s="548"/>
      <c r="BN15" s="548"/>
      <c r="BO15" s="548"/>
      <c r="BP15" s="548"/>
      <c r="BQ15" s="548"/>
      <c r="BR15" s="548"/>
      <c r="BS15" s="548"/>
      <c r="BT15" s="548"/>
      <c r="BU15" s="548"/>
      <c r="BV15" s="548"/>
      <c r="BW15" s="548"/>
      <c r="BX15" s="548"/>
      <c r="BY15" s="548"/>
      <c r="BZ15" s="548"/>
      <c r="CA15" s="548"/>
      <c r="CB15" s="548"/>
      <c r="CC15" s="548"/>
      <c r="CD15" s="548"/>
      <c r="CE15" s="548"/>
    </row>
    <row r="16" spans="1:83" ht="12" customHeight="1">
      <c r="A16" s="299"/>
      <c r="B16" s="299"/>
      <c r="C16" s="299"/>
      <c r="D16" s="299" t="s">
        <v>1222</v>
      </c>
      <c r="E16" s="299"/>
      <c r="F16" s="299"/>
      <c r="G16" s="299"/>
      <c r="H16" s="548"/>
      <c r="I16" s="548"/>
      <c r="J16" s="548"/>
      <c r="K16" s="548"/>
      <c r="L16" s="548"/>
      <c r="M16" s="548"/>
      <c r="N16" s="548"/>
      <c r="O16" s="548"/>
      <c r="P16" s="548"/>
      <c r="Q16" s="548"/>
      <c r="R16" s="548"/>
      <c r="S16" s="548"/>
      <c r="T16" s="548"/>
      <c r="U16" s="548"/>
      <c r="V16" s="548"/>
      <c r="W16" s="548"/>
      <c r="X16" s="548"/>
      <c r="Y16" s="548"/>
      <c r="Z16" s="548"/>
      <c r="AA16" s="548"/>
      <c r="AB16" s="548"/>
      <c r="AC16" s="548"/>
      <c r="AD16" s="548"/>
      <c r="AE16" s="548"/>
      <c r="AF16" s="548"/>
      <c r="AG16" s="548"/>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8"/>
      <c r="BD16" s="548"/>
      <c r="BE16" s="548"/>
      <c r="BF16" s="548"/>
      <c r="BG16" s="548"/>
      <c r="BH16" s="548"/>
      <c r="BI16" s="548"/>
      <c r="BJ16" s="548"/>
      <c r="BK16" s="548"/>
      <c r="BL16" s="548"/>
      <c r="BM16" s="548"/>
      <c r="BN16" s="548"/>
      <c r="BO16" s="548"/>
      <c r="BP16" s="548"/>
      <c r="BQ16" s="548"/>
      <c r="BR16" s="548"/>
      <c r="BS16" s="548"/>
      <c r="BT16" s="548"/>
      <c r="BU16" s="548"/>
      <c r="BV16" s="548"/>
      <c r="BW16" s="548"/>
      <c r="BX16" s="548"/>
      <c r="BY16" s="548"/>
      <c r="BZ16" s="548"/>
      <c r="CA16" s="548"/>
      <c r="CB16" s="548"/>
      <c r="CC16" s="548"/>
      <c r="CD16" s="548"/>
      <c r="CE16" s="548"/>
    </row>
    <row r="17" spans="1:83" ht="12" customHeight="1">
      <c r="A17" s="299"/>
      <c r="B17" s="299"/>
      <c r="C17" s="299"/>
      <c r="D17" s="299" t="s">
        <v>338</v>
      </c>
      <c r="E17" s="299"/>
      <c r="F17" s="299"/>
      <c r="G17" s="299"/>
      <c r="H17" s="529"/>
      <c r="I17" s="529"/>
      <c r="J17" s="529"/>
      <c r="K17" s="529"/>
      <c r="L17" s="529"/>
      <c r="M17" s="529"/>
      <c r="N17" s="529"/>
      <c r="O17" s="529"/>
      <c r="P17" s="529"/>
      <c r="Q17" s="529"/>
      <c r="R17" s="529"/>
      <c r="S17" s="529"/>
      <c r="T17" s="529"/>
      <c r="U17" s="529"/>
      <c r="V17" s="529"/>
      <c r="W17" s="529"/>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29"/>
      <c r="BD17" s="529"/>
      <c r="BE17" s="529"/>
      <c r="BF17" s="529"/>
      <c r="BG17" s="529"/>
      <c r="BH17" s="529"/>
      <c r="BI17" s="529"/>
      <c r="BJ17" s="529"/>
      <c r="BK17" s="529"/>
      <c r="BL17" s="529"/>
      <c r="BM17" s="529"/>
      <c r="BN17" s="529"/>
      <c r="BO17" s="529"/>
      <c r="BP17" s="529"/>
      <c r="BQ17" s="529"/>
      <c r="BR17" s="529"/>
      <c r="BS17" s="529"/>
      <c r="BT17" s="529"/>
      <c r="BU17" s="529"/>
      <c r="BV17" s="529"/>
      <c r="BW17" s="529"/>
      <c r="BX17" s="529"/>
      <c r="BY17" s="529"/>
      <c r="BZ17" s="529"/>
      <c r="CA17" s="529"/>
      <c r="CB17" s="529"/>
      <c r="CC17" s="529"/>
      <c r="CD17" s="529"/>
      <c r="CE17" s="529"/>
    </row>
    <row r="18" spans="1:83" ht="12" customHeight="1">
      <c r="A18" s="299"/>
      <c r="B18" s="529"/>
      <c r="C18" s="529"/>
      <c r="D18" s="529"/>
      <c r="E18" s="529"/>
      <c r="F18" s="529"/>
      <c r="G18" s="529"/>
      <c r="H18" s="529"/>
      <c r="I18" s="529"/>
      <c r="J18" s="529"/>
      <c r="K18" s="529"/>
      <c r="L18" s="529"/>
      <c r="M18" s="529"/>
      <c r="N18" s="529"/>
      <c r="O18" s="529"/>
      <c r="P18" s="529"/>
      <c r="Q18" s="529"/>
      <c r="R18" s="529"/>
      <c r="S18" s="529"/>
      <c r="T18" s="529"/>
      <c r="U18" s="529"/>
      <c r="V18" s="529"/>
      <c r="W18" s="529"/>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29"/>
      <c r="BD18" s="529"/>
      <c r="BE18" s="529"/>
      <c r="BF18" s="529"/>
      <c r="BG18" s="529"/>
      <c r="BH18" s="529"/>
      <c r="BI18" s="529"/>
      <c r="BJ18" s="529"/>
      <c r="BK18" s="529"/>
      <c r="BL18" s="529"/>
      <c r="BM18" s="529"/>
      <c r="BN18" s="529"/>
      <c r="BO18" s="529"/>
      <c r="BP18" s="529"/>
      <c r="BQ18" s="529"/>
      <c r="BR18" s="529"/>
      <c r="BS18" s="529"/>
      <c r="BT18" s="529"/>
      <c r="BU18" s="529"/>
      <c r="BV18" s="529"/>
      <c r="BW18" s="529"/>
      <c r="BX18" s="529"/>
      <c r="BY18" s="529"/>
      <c r="BZ18" s="529"/>
      <c r="CA18" s="529"/>
      <c r="CB18" s="529"/>
      <c r="CC18" s="529"/>
      <c r="CD18" s="529"/>
      <c r="CE18" s="529"/>
    </row>
    <row r="19" spans="1:83" ht="12" customHeight="1">
      <c r="A19" s="299"/>
      <c r="B19" s="529"/>
      <c r="C19" s="529"/>
      <c r="D19" s="529"/>
      <c r="E19" s="529"/>
      <c r="F19" s="529"/>
      <c r="G19" s="529"/>
      <c r="H19" s="529"/>
      <c r="I19" s="529"/>
      <c r="J19" s="529"/>
      <c r="K19" s="529"/>
      <c r="L19" s="529"/>
      <c r="M19" s="529"/>
      <c r="N19" s="529"/>
      <c r="O19" s="529"/>
      <c r="P19" s="529"/>
      <c r="Q19" s="529"/>
      <c r="R19" s="529"/>
      <c r="S19" s="529"/>
      <c r="T19" s="529"/>
      <c r="U19" s="529"/>
      <c r="V19" s="529"/>
      <c r="W19" s="529"/>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29"/>
      <c r="BD19" s="529"/>
      <c r="BE19" s="529"/>
      <c r="BF19" s="529"/>
      <c r="BG19" s="529"/>
      <c r="BH19" s="529"/>
      <c r="BI19" s="529"/>
      <c r="BJ19" s="529"/>
      <c r="BK19" s="529"/>
      <c r="BL19" s="529"/>
      <c r="BM19" s="529"/>
      <c r="BN19" s="529"/>
      <c r="BO19" s="529"/>
      <c r="BP19" s="529"/>
      <c r="BQ19" s="529"/>
      <c r="BR19" s="529"/>
      <c r="BS19" s="529"/>
      <c r="BT19" s="529"/>
      <c r="BU19" s="529"/>
      <c r="BV19" s="529"/>
      <c r="BW19" s="529"/>
      <c r="BX19" s="529"/>
      <c r="BY19" s="529"/>
      <c r="BZ19" s="529"/>
      <c r="CA19" s="529"/>
      <c r="CB19" s="529"/>
      <c r="CC19" s="529"/>
      <c r="CD19" s="529"/>
      <c r="CE19" s="529"/>
    </row>
    <row r="20" spans="1:83" ht="12" customHeight="1">
      <c r="A20" s="299"/>
      <c r="B20" s="529"/>
      <c r="C20" s="529"/>
      <c r="D20" s="529"/>
      <c r="E20" s="529"/>
      <c r="F20" s="529"/>
      <c r="G20" s="529"/>
      <c r="H20" s="529"/>
      <c r="I20" s="529"/>
      <c r="J20" s="529"/>
      <c r="K20" s="529"/>
      <c r="L20" s="529"/>
      <c r="M20" s="529"/>
      <c r="N20" s="529"/>
      <c r="O20" s="529"/>
      <c r="P20" s="529"/>
      <c r="Q20" s="529"/>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c r="BZ20" s="529"/>
      <c r="CA20" s="529"/>
      <c r="CB20" s="529"/>
      <c r="CC20" s="529"/>
      <c r="CD20" s="529"/>
      <c r="CE20" s="529"/>
    </row>
    <row r="21" spans="1:83" ht="12" customHeight="1">
      <c r="A21" s="299"/>
      <c r="B21" s="529"/>
      <c r="C21" s="529"/>
      <c r="D21" s="529"/>
      <c r="E21" s="529"/>
      <c r="F21" s="529"/>
      <c r="G21" s="529"/>
      <c r="H21" s="529"/>
      <c r="I21" s="529"/>
      <c r="J21" s="529"/>
      <c r="K21" s="529"/>
      <c r="L21" s="529"/>
      <c r="M21" s="529"/>
      <c r="N21" s="529"/>
      <c r="O21" s="529"/>
      <c r="P21" s="529"/>
      <c r="Q21" s="529"/>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c r="BZ21" s="529"/>
      <c r="CA21" s="529"/>
      <c r="CB21" s="529"/>
      <c r="CC21" s="529"/>
      <c r="CD21" s="529"/>
      <c r="CE21" s="529"/>
    </row>
    <row r="22" spans="1:83" ht="12" customHeight="1">
      <c r="A22" s="299"/>
      <c r="B22" s="529"/>
      <c r="C22" s="529"/>
      <c r="D22" s="529"/>
      <c r="E22" s="529"/>
      <c r="F22" s="529"/>
      <c r="G22" s="529"/>
      <c r="H22" s="529"/>
      <c r="I22" s="529"/>
      <c r="J22" s="529"/>
      <c r="K22" s="529"/>
      <c r="L22" s="529"/>
      <c r="M22" s="529"/>
      <c r="N22" s="529"/>
      <c r="O22" s="529"/>
      <c r="P22" s="529"/>
      <c r="Q22" s="529"/>
      <c r="R22" s="529"/>
      <c r="S22" s="529"/>
      <c r="T22" s="529"/>
      <c r="U22" s="529"/>
      <c r="V22" s="529"/>
      <c r="W22" s="529"/>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29"/>
      <c r="BD22" s="529"/>
      <c r="BE22" s="529"/>
      <c r="BF22" s="529"/>
      <c r="BG22" s="529"/>
      <c r="BH22" s="529"/>
      <c r="BI22" s="529"/>
      <c r="BJ22" s="529"/>
      <c r="BK22" s="529"/>
      <c r="BL22" s="529"/>
      <c r="BM22" s="529"/>
      <c r="BN22" s="529"/>
      <c r="BO22" s="529"/>
      <c r="BP22" s="529"/>
      <c r="BQ22" s="529"/>
      <c r="BR22" s="529"/>
      <c r="BS22" s="529"/>
      <c r="BT22" s="529"/>
      <c r="BU22" s="529"/>
      <c r="BV22" s="529"/>
      <c r="BW22" s="529"/>
      <c r="BX22" s="529"/>
      <c r="BY22" s="529"/>
      <c r="BZ22" s="529"/>
      <c r="CA22" s="529"/>
      <c r="CB22" s="529"/>
      <c r="CC22" s="529"/>
      <c r="CD22" s="529"/>
      <c r="CE22" s="529"/>
    </row>
    <row r="23" spans="1:83" ht="12" customHeight="1">
      <c r="A23" s="299"/>
      <c r="B23" s="529"/>
      <c r="C23" s="529"/>
      <c r="D23" s="529"/>
      <c r="E23" s="529"/>
      <c r="F23" s="529"/>
      <c r="G23" s="529"/>
      <c r="H23" s="529"/>
      <c r="I23" s="529"/>
      <c r="J23" s="529"/>
      <c r="K23" s="529"/>
      <c r="L23" s="529"/>
      <c r="M23" s="529"/>
      <c r="N23" s="529"/>
      <c r="O23" s="529"/>
      <c r="P23" s="529"/>
      <c r="Q23" s="529"/>
      <c r="R23" s="529"/>
      <c r="S23" s="529"/>
      <c r="T23" s="529"/>
      <c r="U23" s="529"/>
      <c r="V23" s="529"/>
      <c r="W23" s="529"/>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29"/>
      <c r="BD23" s="529"/>
      <c r="BE23" s="529"/>
      <c r="BF23" s="529"/>
      <c r="BG23" s="529"/>
      <c r="BH23" s="529"/>
      <c r="BI23" s="529"/>
      <c r="BJ23" s="529"/>
      <c r="BK23" s="529"/>
      <c r="BL23" s="529"/>
      <c r="BM23" s="529"/>
      <c r="BN23" s="529"/>
      <c r="BO23" s="529"/>
      <c r="BP23" s="529"/>
      <c r="BQ23" s="529"/>
      <c r="BR23" s="529"/>
      <c r="BS23" s="529"/>
      <c r="BT23" s="529"/>
      <c r="BU23" s="529"/>
      <c r="BV23" s="529"/>
      <c r="BW23" s="529"/>
      <c r="BX23" s="529"/>
      <c r="BY23" s="529"/>
      <c r="BZ23" s="529"/>
      <c r="CA23" s="529"/>
      <c r="CB23" s="529"/>
      <c r="CC23" s="529"/>
      <c r="CD23" s="529"/>
      <c r="CE23" s="529"/>
    </row>
    <row r="24" spans="1:83" ht="12" customHeight="1">
      <c r="A24" s="299"/>
      <c r="B24" s="529"/>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29"/>
      <c r="BD24" s="529"/>
      <c r="BE24" s="529"/>
      <c r="BF24" s="529"/>
      <c r="BG24" s="529"/>
      <c r="BH24" s="529"/>
      <c r="BI24" s="529"/>
      <c r="BJ24" s="529"/>
      <c r="BK24" s="529"/>
      <c r="BL24" s="529"/>
      <c r="BM24" s="529"/>
      <c r="BN24" s="529"/>
      <c r="BO24" s="529"/>
      <c r="BP24" s="529"/>
      <c r="BQ24" s="529"/>
      <c r="BR24" s="529"/>
      <c r="BS24" s="529"/>
      <c r="BT24" s="529"/>
      <c r="BU24" s="529"/>
      <c r="BV24" s="529"/>
      <c r="BW24" s="529"/>
      <c r="BX24" s="529"/>
      <c r="BY24" s="529"/>
      <c r="BZ24" s="529"/>
      <c r="CA24" s="529"/>
      <c r="CB24" s="529"/>
      <c r="CC24" s="529"/>
      <c r="CD24" s="529"/>
      <c r="CE24" s="529"/>
    </row>
    <row r="25" spans="1:83" ht="12" customHeight="1">
      <c r="A25" s="299"/>
      <c r="B25" s="529"/>
      <c r="C25" s="529"/>
      <c r="D25" s="529"/>
      <c r="E25" s="529"/>
      <c r="F25" s="529"/>
      <c r="G25" s="529"/>
      <c r="H25" s="529"/>
      <c r="I25" s="529"/>
      <c r="J25" s="529"/>
      <c r="K25" s="529"/>
      <c r="L25" s="529"/>
      <c r="M25" s="529"/>
      <c r="N25" s="529"/>
      <c r="O25" s="529"/>
      <c r="P25" s="529"/>
      <c r="Q25" s="529"/>
      <c r="R25" s="529"/>
      <c r="S25" s="529"/>
      <c r="T25" s="529"/>
      <c r="U25" s="529"/>
      <c r="V25" s="529"/>
      <c r="W25" s="529"/>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29"/>
      <c r="BD25" s="529"/>
      <c r="BE25" s="529"/>
      <c r="BF25" s="529"/>
      <c r="BG25" s="529"/>
      <c r="BH25" s="529"/>
      <c r="BI25" s="529"/>
      <c r="BJ25" s="529"/>
      <c r="BK25" s="529"/>
      <c r="BL25" s="529"/>
      <c r="BM25" s="529"/>
      <c r="BN25" s="529"/>
      <c r="BO25" s="529"/>
      <c r="BP25" s="529"/>
      <c r="BQ25" s="529"/>
      <c r="BR25" s="529"/>
      <c r="BS25" s="529"/>
      <c r="BT25" s="529"/>
      <c r="BU25" s="529"/>
      <c r="BV25" s="529"/>
      <c r="BW25" s="529"/>
      <c r="BX25" s="529"/>
      <c r="BY25" s="529"/>
      <c r="BZ25" s="529"/>
      <c r="CA25" s="529"/>
      <c r="CB25" s="529"/>
      <c r="CC25" s="529"/>
      <c r="CD25" s="529"/>
      <c r="CE25" s="529"/>
    </row>
    <row r="26" spans="1:83" ht="12" customHeight="1">
      <c r="A26" s="299"/>
      <c r="B26" s="529"/>
      <c r="C26" s="529"/>
      <c r="D26" s="529"/>
      <c r="E26" s="529"/>
      <c r="F26" s="529"/>
      <c r="G26" s="529"/>
      <c r="H26" s="529"/>
      <c r="I26" s="529"/>
      <c r="J26" s="529"/>
      <c r="K26" s="529"/>
      <c r="L26" s="529"/>
      <c r="M26" s="529"/>
      <c r="N26" s="529"/>
      <c r="O26" s="529"/>
      <c r="P26" s="529"/>
      <c r="Q26" s="529"/>
      <c r="R26" s="529"/>
      <c r="S26" s="529"/>
      <c r="T26" s="529"/>
      <c r="U26" s="529"/>
      <c r="V26" s="529"/>
      <c r="W26" s="529"/>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29"/>
      <c r="BD26" s="529"/>
      <c r="BE26" s="529"/>
      <c r="BF26" s="529"/>
      <c r="BG26" s="529"/>
      <c r="BH26" s="529"/>
      <c r="BI26" s="529"/>
      <c r="BJ26" s="529"/>
      <c r="BK26" s="529"/>
      <c r="BL26" s="529"/>
      <c r="BM26" s="529"/>
      <c r="BN26" s="529"/>
      <c r="BO26" s="529"/>
      <c r="BP26" s="529"/>
      <c r="BQ26" s="529"/>
      <c r="BR26" s="529"/>
      <c r="BS26" s="529"/>
      <c r="BT26" s="529"/>
      <c r="BU26" s="529"/>
      <c r="BV26" s="529"/>
      <c r="BW26" s="529"/>
      <c r="BX26" s="529"/>
      <c r="BY26" s="529"/>
      <c r="BZ26" s="529"/>
      <c r="CA26" s="529"/>
      <c r="CB26" s="529"/>
      <c r="CC26" s="529"/>
      <c r="CD26" s="529"/>
      <c r="CE26" s="529"/>
    </row>
    <row r="27" spans="1:83" ht="12" customHeight="1">
      <c r="A27" s="299"/>
      <c r="B27" s="529"/>
      <c r="C27" s="529"/>
      <c r="D27" s="529"/>
      <c r="E27" s="529"/>
      <c r="F27" s="529"/>
      <c r="G27" s="529"/>
      <c r="H27" s="529"/>
      <c r="I27" s="529"/>
      <c r="J27" s="529"/>
      <c r="K27" s="529"/>
      <c r="L27" s="529"/>
      <c r="M27" s="529"/>
      <c r="N27" s="529"/>
      <c r="O27" s="529"/>
      <c r="P27" s="529"/>
      <c r="Q27" s="529"/>
      <c r="R27" s="529"/>
      <c r="S27" s="529"/>
      <c r="T27" s="529"/>
      <c r="U27" s="529"/>
      <c r="V27" s="529"/>
      <c r="W27" s="529"/>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29"/>
      <c r="BD27" s="529"/>
      <c r="BE27" s="529"/>
      <c r="BF27" s="529"/>
      <c r="BG27" s="529"/>
      <c r="BH27" s="529"/>
      <c r="BI27" s="529"/>
      <c r="BJ27" s="529"/>
      <c r="BK27" s="529"/>
      <c r="BL27" s="529"/>
      <c r="BM27" s="529"/>
      <c r="BN27" s="529"/>
      <c r="BO27" s="529"/>
      <c r="BP27" s="529"/>
      <c r="BQ27" s="529"/>
      <c r="BR27" s="529"/>
      <c r="BS27" s="529"/>
      <c r="BT27" s="529"/>
      <c r="BU27" s="529"/>
      <c r="BV27" s="529"/>
      <c r="BW27" s="529"/>
      <c r="BX27" s="529"/>
      <c r="BY27" s="529"/>
      <c r="BZ27" s="529"/>
      <c r="CA27" s="529"/>
      <c r="CB27" s="529"/>
      <c r="CC27" s="529"/>
      <c r="CD27" s="529"/>
      <c r="CE27" s="529"/>
    </row>
    <row r="28" spans="1:83" ht="12" customHeight="1">
      <c r="A28" s="299"/>
      <c r="B28" s="529"/>
      <c r="C28" s="529"/>
      <c r="D28" s="529"/>
      <c r="E28" s="529"/>
      <c r="F28" s="529"/>
      <c r="G28" s="529"/>
      <c r="H28" s="529"/>
      <c r="I28" s="529"/>
      <c r="J28" s="529"/>
      <c r="K28" s="529"/>
      <c r="L28" s="529"/>
      <c r="M28" s="529"/>
      <c r="N28" s="529"/>
      <c r="O28" s="529"/>
      <c r="P28" s="529"/>
      <c r="Q28" s="529"/>
      <c r="R28" s="529"/>
      <c r="S28" s="529"/>
      <c r="T28" s="529"/>
      <c r="U28" s="529"/>
      <c r="V28" s="529"/>
      <c r="W28" s="529"/>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29"/>
      <c r="BD28" s="529"/>
      <c r="BE28" s="529"/>
      <c r="BF28" s="529"/>
      <c r="BG28" s="529"/>
      <c r="BH28" s="529"/>
      <c r="BI28" s="529"/>
      <c r="BJ28" s="529"/>
      <c r="BK28" s="529"/>
      <c r="BL28" s="529"/>
      <c r="BM28" s="529"/>
      <c r="BN28" s="529"/>
      <c r="BO28" s="529"/>
      <c r="BP28" s="529"/>
      <c r="BQ28" s="529"/>
      <c r="BR28" s="529"/>
      <c r="BS28" s="529"/>
      <c r="BT28" s="529"/>
      <c r="BU28" s="529"/>
      <c r="BV28" s="529"/>
      <c r="BW28" s="529"/>
      <c r="BX28" s="529"/>
      <c r="BY28" s="529"/>
      <c r="BZ28" s="529"/>
      <c r="CA28" s="529"/>
      <c r="CB28" s="529"/>
      <c r="CC28" s="529"/>
      <c r="CD28" s="529"/>
      <c r="CE28" s="529"/>
    </row>
    <row r="29" spans="1:83" ht="12" customHeight="1">
      <c r="A29" s="299"/>
      <c r="B29" s="529"/>
      <c r="C29" s="529"/>
      <c r="D29" s="529"/>
      <c r="E29" s="529"/>
      <c r="F29" s="529"/>
      <c r="G29" s="529"/>
      <c r="H29" s="529"/>
      <c r="I29" s="529"/>
      <c r="J29" s="529"/>
      <c r="K29" s="529"/>
      <c r="L29" s="529"/>
      <c r="M29" s="529"/>
      <c r="N29" s="529"/>
      <c r="O29" s="529"/>
      <c r="P29" s="529"/>
      <c r="Q29" s="529"/>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c r="BZ29" s="529"/>
      <c r="CA29" s="529"/>
      <c r="CB29" s="529"/>
      <c r="CC29" s="529"/>
      <c r="CD29" s="529"/>
      <c r="CE29" s="529"/>
    </row>
    <row r="30" spans="1:83" ht="12" customHeight="1">
      <c r="A30" s="299"/>
      <c r="B30" s="529"/>
      <c r="C30" s="529"/>
      <c r="D30" s="529"/>
      <c r="E30" s="529"/>
      <c r="F30" s="529"/>
      <c r="G30" s="529"/>
      <c r="H30" s="529"/>
      <c r="I30" s="529"/>
      <c r="J30" s="529"/>
      <c r="K30" s="529"/>
      <c r="L30" s="529"/>
      <c r="M30" s="529"/>
      <c r="N30" s="529"/>
      <c r="O30" s="529"/>
      <c r="P30" s="529"/>
      <c r="Q30" s="529"/>
      <c r="R30" s="529"/>
      <c r="S30" s="529"/>
      <c r="T30" s="529"/>
      <c r="U30" s="529"/>
      <c r="V30" s="529"/>
      <c r="W30" s="529"/>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c r="BZ30" s="529"/>
      <c r="CA30" s="529"/>
      <c r="CB30" s="529"/>
      <c r="CC30" s="529"/>
      <c r="CD30" s="529"/>
      <c r="CE30" s="529"/>
    </row>
    <row r="31" spans="1:83" ht="12" customHeight="1">
      <c r="A31" s="299"/>
      <c r="B31" s="529"/>
      <c r="C31" s="529"/>
      <c r="D31" s="529"/>
      <c r="E31" s="529"/>
      <c r="F31" s="529"/>
      <c r="G31" s="529"/>
      <c r="H31" s="529"/>
      <c r="I31" s="529"/>
      <c r="J31" s="529"/>
      <c r="K31" s="529"/>
      <c r="L31" s="529"/>
      <c r="M31" s="529"/>
      <c r="N31" s="529"/>
      <c r="O31" s="529"/>
      <c r="P31" s="529"/>
      <c r="Q31" s="529"/>
      <c r="R31" s="529"/>
      <c r="S31" s="529"/>
      <c r="T31" s="529"/>
      <c r="U31" s="529"/>
      <c r="V31" s="529"/>
      <c r="W31" s="529"/>
      <c r="X31" s="529"/>
      <c r="Y31" s="529"/>
      <c r="Z31" s="529"/>
      <c r="AA31" s="529"/>
      <c r="AB31" s="529"/>
      <c r="AC31" s="529"/>
      <c r="AD31" s="529"/>
      <c r="AE31" s="529"/>
      <c r="AF31" s="529"/>
      <c r="AG31" s="529"/>
      <c r="AH31" s="529"/>
      <c r="AI31" s="529"/>
      <c r="AJ31" s="529"/>
      <c r="AK31" s="529"/>
      <c r="AL31" s="529"/>
      <c r="AM31" s="529"/>
      <c r="AN31" s="529"/>
      <c r="AO31" s="529"/>
      <c r="AP31" s="529"/>
      <c r="AQ31" s="529"/>
      <c r="AR31" s="529"/>
      <c r="AS31" s="529"/>
      <c r="AT31" s="529"/>
      <c r="AU31" s="529"/>
      <c r="AV31" s="529"/>
      <c r="AW31" s="529"/>
      <c r="AX31" s="529"/>
      <c r="AY31" s="529"/>
      <c r="AZ31" s="529"/>
      <c r="BA31" s="529"/>
      <c r="BB31" s="529"/>
      <c r="BC31" s="529"/>
      <c r="BD31" s="529"/>
      <c r="BE31" s="529"/>
      <c r="BF31" s="529"/>
      <c r="BG31" s="529"/>
      <c r="BH31" s="529"/>
      <c r="BI31" s="529"/>
      <c r="BJ31" s="529"/>
      <c r="BK31" s="529"/>
      <c r="BL31" s="529"/>
      <c r="BM31" s="529"/>
      <c r="BN31" s="529"/>
      <c r="BO31" s="529"/>
      <c r="BP31" s="529"/>
      <c r="BQ31" s="529"/>
      <c r="BR31" s="529"/>
      <c r="BS31" s="529"/>
      <c r="BT31" s="529"/>
      <c r="BU31" s="529"/>
      <c r="BV31" s="529"/>
      <c r="BW31" s="529"/>
      <c r="BX31" s="529"/>
      <c r="BY31" s="529"/>
      <c r="BZ31" s="529"/>
      <c r="CA31" s="529"/>
      <c r="CB31" s="529"/>
      <c r="CC31" s="529"/>
      <c r="CD31" s="529"/>
      <c r="CE31" s="529"/>
    </row>
    <row r="32" spans="1:83" ht="12" customHeight="1">
      <c r="A32" s="299"/>
      <c r="B32" s="529"/>
      <c r="C32" s="529"/>
      <c r="D32" s="529"/>
      <c r="E32" s="529"/>
      <c r="F32" s="529"/>
      <c r="G32" s="529"/>
      <c r="H32" s="529"/>
      <c r="I32" s="529"/>
      <c r="J32" s="529"/>
      <c r="K32" s="529"/>
      <c r="L32" s="529"/>
      <c r="M32" s="529"/>
      <c r="N32" s="529"/>
      <c r="O32" s="529"/>
      <c r="P32" s="529"/>
      <c r="Q32" s="529"/>
      <c r="R32" s="529"/>
      <c r="S32" s="529"/>
      <c r="T32" s="529"/>
      <c r="U32" s="529"/>
      <c r="V32" s="529"/>
      <c r="W32" s="529"/>
      <c r="X32" s="529"/>
      <c r="Y32" s="529"/>
      <c r="Z32" s="529"/>
      <c r="AA32" s="529"/>
      <c r="AB32" s="529"/>
      <c r="AC32" s="529"/>
      <c r="AD32" s="529"/>
      <c r="AE32" s="529"/>
      <c r="AF32" s="529"/>
      <c r="AG32" s="529"/>
      <c r="AH32" s="529"/>
      <c r="AI32" s="529"/>
      <c r="AJ32" s="529"/>
      <c r="AK32" s="529"/>
      <c r="AL32" s="529"/>
      <c r="AM32" s="529"/>
      <c r="AN32" s="529"/>
      <c r="AO32" s="529"/>
      <c r="AP32" s="529"/>
      <c r="AQ32" s="529"/>
      <c r="AR32" s="529"/>
      <c r="AS32" s="529"/>
      <c r="AT32" s="529"/>
      <c r="AU32" s="529"/>
      <c r="AV32" s="529"/>
      <c r="AW32" s="529"/>
      <c r="AX32" s="529"/>
      <c r="AY32" s="529"/>
      <c r="AZ32" s="529"/>
      <c r="BA32" s="529"/>
      <c r="BB32" s="529"/>
      <c r="BC32" s="529"/>
      <c r="BD32" s="529"/>
      <c r="BE32" s="529"/>
      <c r="BF32" s="529"/>
      <c r="BG32" s="529"/>
      <c r="BH32" s="529"/>
      <c r="BI32" s="529"/>
      <c r="BJ32" s="529"/>
      <c r="BK32" s="529"/>
      <c r="BL32" s="529"/>
      <c r="BM32" s="529"/>
      <c r="BN32" s="529"/>
      <c r="BO32" s="529"/>
      <c r="BP32" s="529"/>
      <c r="BQ32" s="529"/>
      <c r="BR32" s="529"/>
      <c r="BS32" s="529"/>
      <c r="BT32" s="529"/>
      <c r="BU32" s="529"/>
      <c r="BV32" s="529"/>
      <c r="BW32" s="529"/>
      <c r="BX32" s="529"/>
      <c r="BY32" s="529"/>
      <c r="BZ32" s="529"/>
      <c r="CA32" s="529"/>
      <c r="CB32" s="529"/>
      <c r="CC32" s="529"/>
      <c r="CD32" s="529"/>
      <c r="CE32" s="529"/>
    </row>
    <row r="33" spans="1:86" ht="12" customHeight="1">
      <c r="A33" s="299"/>
      <c r="B33" s="529"/>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29"/>
      <c r="AC33" s="529"/>
      <c r="AD33" s="529"/>
      <c r="AE33" s="529"/>
      <c r="AF33" s="529"/>
      <c r="AG33" s="529"/>
      <c r="AH33" s="529"/>
      <c r="AI33" s="529"/>
      <c r="AJ33" s="529"/>
      <c r="AK33" s="529"/>
      <c r="AL33" s="529"/>
      <c r="AM33" s="529"/>
      <c r="AN33" s="529"/>
      <c r="AO33" s="529"/>
      <c r="AP33" s="529"/>
      <c r="AQ33" s="529"/>
      <c r="AR33" s="529"/>
      <c r="AS33" s="529"/>
      <c r="AT33" s="529"/>
      <c r="AU33" s="529"/>
      <c r="AV33" s="529"/>
      <c r="AW33" s="529"/>
      <c r="AX33" s="529"/>
      <c r="AY33" s="529"/>
      <c r="AZ33" s="529"/>
      <c r="BA33" s="529"/>
      <c r="BB33" s="529"/>
      <c r="BC33" s="529"/>
      <c r="BD33" s="529"/>
      <c r="BE33" s="529"/>
      <c r="BF33" s="529"/>
      <c r="BG33" s="529"/>
      <c r="BH33" s="529"/>
      <c r="BI33" s="529"/>
      <c r="BJ33" s="529"/>
      <c r="BK33" s="529"/>
      <c r="BL33" s="529"/>
      <c r="BM33" s="529"/>
      <c r="BN33" s="529"/>
      <c r="BO33" s="529"/>
      <c r="BP33" s="529"/>
      <c r="BQ33" s="529"/>
      <c r="BR33" s="529"/>
      <c r="BS33" s="529"/>
      <c r="BT33" s="529"/>
      <c r="BU33" s="529"/>
      <c r="BV33" s="529"/>
      <c r="BW33" s="529"/>
      <c r="BX33" s="529"/>
      <c r="BY33" s="529"/>
      <c r="BZ33" s="529"/>
      <c r="CA33" s="529"/>
      <c r="CB33" s="529"/>
      <c r="CC33" s="529"/>
      <c r="CD33" s="529"/>
      <c r="CE33" s="529"/>
    </row>
    <row r="34" spans="1:86" ht="12" customHeight="1">
      <c r="A34" s="299"/>
      <c r="B34" s="529"/>
      <c r="C34" s="529"/>
      <c r="D34" s="529"/>
      <c r="E34" s="529"/>
      <c r="F34" s="529"/>
      <c r="G34" s="529"/>
      <c r="H34" s="529"/>
      <c r="I34" s="529"/>
      <c r="J34" s="529"/>
      <c r="K34" s="529"/>
      <c r="L34" s="529"/>
      <c r="M34" s="529"/>
      <c r="N34" s="529"/>
      <c r="O34" s="529"/>
      <c r="P34" s="529"/>
      <c r="Q34" s="529"/>
      <c r="R34" s="529"/>
      <c r="S34" s="529"/>
      <c r="T34" s="529"/>
      <c r="U34" s="529"/>
      <c r="V34" s="529"/>
      <c r="W34" s="529"/>
      <c r="X34" s="529"/>
      <c r="Y34" s="529"/>
      <c r="Z34" s="529"/>
      <c r="AA34" s="529"/>
      <c r="AB34" s="529"/>
      <c r="AC34" s="529"/>
      <c r="AD34" s="529"/>
      <c r="AE34" s="529"/>
      <c r="AF34" s="529"/>
      <c r="AG34" s="529"/>
      <c r="AH34" s="529"/>
      <c r="AI34" s="529"/>
      <c r="AJ34" s="529"/>
      <c r="AK34" s="529"/>
      <c r="AL34" s="529"/>
      <c r="AM34" s="529"/>
      <c r="AN34" s="529"/>
      <c r="AO34" s="529"/>
      <c r="AP34" s="529"/>
      <c r="AQ34" s="529"/>
      <c r="AR34" s="529"/>
      <c r="AS34" s="529"/>
      <c r="AT34" s="529"/>
      <c r="AU34" s="529"/>
      <c r="AV34" s="529"/>
      <c r="AW34" s="529"/>
      <c r="AX34" s="529"/>
      <c r="AY34" s="529"/>
      <c r="AZ34" s="529"/>
      <c r="BA34" s="529"/>
      <c r="BB34" s="529"/>
      <c r="BC34" s="529"/>
      <c r="BD34" s="529"/>
      <c r="BE34" s="529"/>
      <c r="BF34" s="529"/>
      <c r="BG34" s="529"/>
      <c r="BH34" s="529"/>
      <c r="BI34" s="529"/>
      <c r="BJ34" s="529"/>
      <c r="BK34" s="529"/>
      <c r="BL34" s="529"/>
      <c r="BM34" s="529"/>
      <c r="BN34" s="529"/>
      <c r="BO34" s="529"/>
      <c r="BP34" s="529"/>
      <c r="BQ34" s="529"/>
      <c r="BR34" s="529"/>
      <c r="BS34" s="529"/>
      <c r="BT34" s="529"/>
      <c r="BU34" s="529"/>
      <c r="BV34" s="529"/>
      <c r="BW34" s="529"/>
      <c r="BX34" s="529"/>
      <c r="BY34" s="529"/>
      <c r="BZ34" s="529"/>
      <c r="CA34" s="529"/>
      <c r="CB34" s="529"/>
      <c r="CC34" s="529"/>
      <c r="CD34" s="529"/>
      <c r="CE34" s="529"/>
    </row>
    <row r="35" spans="1:86" ht="12" customHeight="1">
      <c r="A35" s="299"/>
      <c r="B35" s="529"/>
      <c r="C35" s="283" t="s">
        <v>337</v>
      </c>
      <c r="D35" s="284"/>
      <c r="E35" s="284"/>
      <c r="F35" s="284"/>
      <c r="G35" s="284"/>
      <c r="H35" s="283" t="s">
        <v>336</v>
      </c>
      <c r="I35" s="284"/>
      <c r="J35" s="284"/>
      <c r="K35" s="284"/>
      <c r="L35" s="284"/>
      <c r="M35" s="284"/>
      <c r="N35" s="284"/>
      <c r="O35" s="284"/>
      <c r="P35" s="284"/>
      <c r="Q35" s="285"/>
      <c r="R35" s="283" t="s">
        <v>335</v>
      </c>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3" t="s">
        <v>1181</v>
      </c>
      <c r="AU35" s="284"/>
      <c r="AV35" s="284"/>
      <c r="AW35" s="284"/>
      <c r="AX35" s="284"/>
      <c r="AY35" s="284"/>
      <c r="AZ35" s="284"/>
      <c r="BA35" s="284"/>
      <c r="BB35" s="284"/>
      <c r="BC35" s="284"/>
      <c r="BD35" s="284"/>
      <c r="BE35" s="184"/>
      <c r="BF35" s="184"/>
      <c r="BG35" s="185"/>
      <c r="BH35" s="283" t="s">
        <v>303</v>
      </c>
      <c r="BI35" s="284"/>
      <c r="BJ35" s="284"/>
      <c r="BK35" s="284"/>
      <c r="BL35" s="284"/>
      <c r="BM35" s="285"/>
      <c r="BN35" s="283" t="s">
        <v>1190</v>
      </c>
      <c r="BO35" s="284"/>
      <c r="BP35" s="284"/>
      <c r="BQ35" s="284"/>
      <c r="BR35" s="285"/>
      <c r="BS35" s="284" t="s">
        <v>316</v>
      </c>
      <c r="BT35" s="284"/>
      <c r="BU35" s="284"/>
      <c r="BV35" s="285"/>
      <c r="BW35" s="283" t="s">
        <v>1192</v>
      </c>
      <c r="BX35" s="284"/>
      <c r="BY35" s="284"/>
      <c r="BZ35" s="285"/>
      <c r="CA35" s="807" t="s">
        <v>1183</v>
      </c>
      <c r="CB35" s="808"/>
      <c r="CC35" s="808"/>
      <c r="CD35" s="809"/>
    </row>
    <row r="36" spans="1:86" ht="12" customHeight="1">
      <c r="A36" s="299"/>
      <c r="B36" s="529"/>
      <c r="C36" s="286"/>
      <c r="D36" s="287"/>
      <c r="E36" s="287"/>
      <c r="F36" s="287"/>
      <c r="G36" s="287"/>
      <c r="H36" s="286"/>
      <c r="I36" s="287"/>
      <c r="J36" s="287"/>
      <c r="K36" s="287"/>
      <c r="L36" s="287"/>
      <c r="M36" s="287"/>
      <c r="N36" s="287"/>
      <c r="O36" s="287"/>
      <c r="P36" s="287"/>
      <c r="Q36" s="288"/>
      <c r="R36" s="286"/>
      <c r="S36" s="287"/>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7"/>
      <c r="AQ36" s="287"/>
      <c r="AR36" s="287"/>
      <c r="AS36" s="287"/>
      <c r="AT36" s="286"/>
      <c r="AU36" s="287"/>
      <c r="AV36" s="287"/>
      <c r="AW36" s="287"/>
      <c r="AX36" s="287"/>
      <c r="AY36" s="287"/>
      <c r="AZ36" s="287"/>
      <c r="BA36" s="287"/>
      <c r="BB36" s="287"/>
      <c r="BC36" s="287"/>
      <c r="BD36" s="287"/>
      <c r="BE36" s="57"/>
      <c r="BF36" s="57"/>
      <c r="BG36" s="56"/>
      <c r="BH36" s="286"/>
      <c r="BI36" s="287"/>
      <c r="BJ36" s="287"/>
      <c r="BK36" s="287"/>
      <c r="BL36" s="287"/>
      <c r="BM36" s="288"/>
      <c r="BN36" s="286" t="s">
        <v>1189</v>
      </c>
      <c r="BO36" s="287"/>
      <c r="BP36" s="287"/>
      <c r="BQ36" s="287"/>
      <c r="BR36" s="288"/>
      <c r="BS36" s="287" t="s">
        <v>681</v>
      </c>
      <c r="BT36" s="287"/>
      <c r="BU36" s="287"/>
      <c r="BV36" s="288"/>
      <c r="BW36" s="286" t="s">
        <v>1191</v>
      </c>
      <c r="BX36" s="287"/>
      <c r="BY36" s="287"/>
      <c r="BZ36" s="288"/>
      <c r="CA36" s="810"/>
      <c r="CB36" s="811"/>
      <c r="CC36" s="811"/>
      <c r="CD36" s="812"/>
    </row>
    <row r="37" spans="1:86" ht="12" customHeight="1">
      <c r="A37" s="299"/>
      <c r="B37" s="529"/>
      <c r="C37" s="528" t="s">
        <v>333</v>
      </c>
      <c r="D37" s="529"/>
      <c r="E37" s="529"/>
      <c r="F37" s="529"/>
      <c r="G37" s="44"/>
      <c r="H37" s="390" t="s">
        <v>332</v>
      </c>
      <c r="I37" s="529"/>
      <c r="J37" s="529"/>
      <c r="K37" s="529"/>
      <c r="L37" s="529"/>
      <c r="M37" s="529"/>
      <c r="N37" s="529"/>
      <c r="O37" s="529"/>
      <c r="P37" s="529"/>
      <c r="Q37" s="44"/>
      <c r="R37" s="813" t="s">
        <v>331</v>
      </c>
      <c r="S37" s="814"/>
      <c r="T37" s="814"/>
      <c r="U37" s="814"/>
      <c r="V37" s="814"/>
      <c r="W37" s="814"/>
      <c r="X37" s="814"/>
      <c r="Y37" s="814"/>
      <c r="Z37" s="814"/>
      <c r="AA37" s="814"/>
      <c r="AB37" s="814"/>
      <c r="AC37" s="814"/>
      <c r="AD37" s="814"/>
      <c r="AE37" s="814"/>
      <c r="AF37" s="814"/>
      <c r="AG37" s="814"/>
      <c r="AH37" s="814"/>
      <c r="AI37" s="814"/>
      <c r="AJ37" s="814"/>
      <c r="AK37" s="814"/>
      <c r="AL37" s="814"/>
      <c r="AM37" s="814"/>
      <c r="AN37" s="814"/>
      <c r="AO37" s="814"/>
      <c r="AP37" s="814"/>
      <c r="AQ37" s="814"/>
      <c r="AR37" s="814"/>
      <c r="AS37" s="815"/>
      <c r="AT37" s="509" t="s">
        <v>1186</v>
      </c>
      <c r="AU37" s="503"/>
      <c r="AV37" s="503"/>
      <c r="AW37" s="503"/>
      <c r="AX37" s="503"/>
      <c r="AY37" s="503"/>
      <c r="AZ37" s="503"/>
      <c r="BA37" s="503"/>
      <c r="BB37" s="503"/>
      <c r="BC37" s="503"/>
      <c r="BD37" s="503"/>
      <c r="BE37" s="503"/>
      <c r="BF37" s="503"/>
      <c r="BG37" s="504"/>
      <c r="BH37" s="528" t="s">
        <v>676</v>
      </c>
      <c r="BI37" s="529"/>
      <c r="BJ37" s="529"/>
      <c r="BK37" s="529"/>
      <c r="BL37" s="529"/>
      <c r="BM37" s="44"/>
      <c r="BN37" s="528" t="s">
        <v>330</v>
      </c>
      <c r="BO37" s="529"/>
      <c r="BP37" s="529"/>
      <c r="BQ37" s="529"/>
      <c r="BR37" s="44"/>
      <c r="BS37" s="529" t="s">
        <v>319</v>
      </c>
      <c r="BT37" s="529"/>
      <c r="BU37" s="529"/>
      <c r="BV37" s="44"/>
      <c r="BW37" s="528" t="s">
        <v>329</v>
      </c>
      <c r="BX37" s="529"/>
      <c r="BY37" s="529"/>
      <c r="BZ37" s="44"/>
      <c r="CA37" s="521" t="s">
        <v>1184</v>
      </c>
      <c r="CB37" s="388"/>
      <c r="CC37" s="388"/>
      <c r="CD37" s="389"/>
    </row>
    <row r="38" spans="1:86" ht="12" customHeight="1">
      <c r="A38" s="299"/>
      <c r="B38" s="529"/>
      <c r="C38" s="528"/>
      <c r="D38" s="529"/>
      <c r="E38" s="529"/>
      <c r="F38" s="529"/>
      <c r="G38" s="44"/>
      <c r="H38" s="390"/>
      <c r="I38" s="529"/>
      <c r="J38" s="529"/>
      <c r="K38" s="529"/>
      <c r="L38" s="529"/>
      <c r="M38" s="529"/>
      <c r="N38" s="529"/>
      <c r="O38" s="529"/>
      <c r="P38" s="529"/>
      <c r="Q38" s="44"/>
      <c r="R38" s="816"/>
      <c r="S38" s="817"/>
      <c r="T38" s="817"/>
      <c r="U38" s="817"/>
      <c r="V38" s="817"/>
      <c r="W38" s="817"/>
      <c r="X38" s="817"/>
      <c r="Y38" s="817"/>
      <c r="Z38" s="817"/>
      <c r="AA38" s="817"/>
      <c r="AB38" s="817"/>
      <c r="AC38" s="817"/>
      <c r="AD38" s="817"/>
      <c r="AE38" s="817"/>
      <c r="AF38" s="817"/>
      <c r="AG38" s="817"/>
      <c r="AH38" s="817"/>
      <c r="AI38" s="817"/>
      <c r="AJ38" s="817"/>
      <c r="AK38" s="817"/>
      <c r="AL38" s="817"/>
      <c r="AM38" s="817"/>
      <c r="AN38" s="817"/>
      <c r="AO38" s="817"/>
      <c r="AP38" s="817"/>
      <c r="AQ38" s="817"/>
      <c r="AR38" s="817"/>
      <c r="AS38" s="818"/>
      <c r="AT38" s="509"/>
      <c r="AU38" s="503"/>
      <c r="AV38" s="503"/>
      <c r="AW38" s="503"/>
      <c r="AX38" s="503"/>
      <c r="AY38" s="503"/>
      <c r="AZ38" s="503"/>
      <c r="BA38" s="503"/>
      <c r="BB38" s="503"/>
      <c r="BC38" s="503"/>
      <c r="BD38" s="503"/>
      <c r="BE38" s="503"/>
      <c r="BF38" s="503"/>
      <c r="BG38" s="504"/>
      <c r="BH38" s="528" t="s">
        <v>461</v>
      </c>
      <c r="BI38" s="529"/>
      <c r="BJ38" s="529"/>
      <c r="BK38" s="529"/>
      <c r="BL38" s="529"/>
      <c r="BM38" s="44"/>
      <c r="BN38" s="528"/>
      <c r="BO38" s="529"/>
      <c r="BP38" s="529"/>
      <c r="BQ38" s="529"/>
      <c r="BR38" s="44"/>
      <c r="BS38" s="529"/>
      <c r="BT38" s="529"/>
      <c r="BU38" s="529"/>
      <c r="BV38" s="44"/>
      <c r="BW38" s="528"/>
      <c r="BX38" s="529"/>
      <c r="BY38" s="529"/>
      <c r="BZ38" s="44"/>
      <c r="CA38" s="522"/>
      <c r="CB38" s="391"/>
      <c r="CC38" s="391"/>
      <c r="CD38" s="392"/>
    </row>
    <row r="39" spans="1:86" ht="12" customHeight="1">
      <c r="A39" s="299"/>
      <c r="B39" s="529"/>
      <c r="C39" s="528"/>
      <c r="D39" s="529"/>
      <c r="E39" s="529"/>
      <c r="F39" s="529"/>
      <c r="G39" s="44"/>
      <c r="H39" s="390"/>
      <c r="I39" s="529"/>
      <c r="J39" s="529"/>
      <c r="K39" s="529"/>
      <c r="L39" s="529"/>
      <c r="M39" s="529"/>
      <c r="N39" s="529"/>
      <c r="O39" s="529"/>
      <c r="P39" s="529"/>
      <c r="Q39" s="44"/>
      <c r="R39" s="816"/>
      <c r="S39" s="817"/>
      <c r="T39" s="817"/>
      <c r="U39" s="817"/>
      <c r="V39" s="817"/>
      <c r="W39" s="817"/>
      <c r="X39" s="817"/>
      <c r="Y39" s="817"/>
      <c r="Z39" s="817"/>
      <c r="AA39" s="817"/>
      <c r="AB39" s="817"/>
      <c r="AC39" s="817"/>
      <c r="AD39" s="817"/>
      <c r="AE39" s="817"/>
      <c r="AF39" s="817"/>
      <c r="AG39" s="817"/>
      <c r="AH39" s="817"/>
      <c r="AI39" s="817"/>
      <c r="AJ39" s="817"/>
      <c r="AK39" s="817"/>
      <c r="AL39" s="817"/>
      <c r="AM39" s="817"/>
      <c r="AN39" s="817"/>
      <c r="AO39" s="817"/>
      <c r="AP39" s="817"/>
      <c r="AQ39" s="817"/>
      <c r="AR39" s="817"/>
      <c r="AS39" s="818"/>
      <c r="AT39" s="511"/>
      <c r="AU39" s="512"/>
      <c r="AV39" s="512"/>
      <c r="AW39" s="512"/>
      <c r="AX39" s="512"/>
      <c r="AY39" s="512"/>
      <c r="AZ39" s="512"/>
      <c r="BA39" s="512"/>
      <c r="BB39" s="512"/>
      <c r="BC39" s="512"/>
      <c r="BD39" s="512"/>
      <c r="BE39" s="512"/>
      <c r="BF39" s="512"/>
      <c r="BG39" s="513"/>
      <c r="BH39" s="248" t="s">
        <v>320</v>
      </c>
      <c r="BI39" s="249"/>
      <c r="BJ39" s="249"/>
      <c r="BK39" s="249"/>
      <c r="BL39" s="249"/>
      <c r="BM39" s="329"/>
      <c r="BN39" s="528"/>
      <c r="BO39" s="529"/>
      <c r="BP39" s="529"/>
      <c r="BQ39" s="529"/>
      <c r="BR39" s="44"/>
      <c r="BS39" s="529"/>
      <c r="BT39" s="529"/>
      <c r="BU39" s="529"/>
      <c r="BV39" s="44"/>
      <c r="BW39" s="528"/>
      <c r="BX39" s="529"/>
      <c r="BY39" s="529"/>
      <c r="BZ39" s="44"/>
      <c r="CA39" s="522"/>
      <c r="CB39" s="391"/>
      <c r="CC39" s="391"/>
      <c r="CD39" s="392"/>
    </row>
    <row r="40" spans="1:86" ht="12" customHeight="1">
      <c r="A40" s="299"/>
      <c r="B40" s="529"/>
      <c r="C40" s="528"/>
      <c r="D40" s="529"/>
      <c r="E40" s="529"/>
      <c r="F40" s="529"/>
      <c r="G40" s="44"/>
      <c r="H40" s="393"/>
      <c r="I40" s="293"/>
      <c r="J40" s="293"/>
      <c r="K40" s="293"/>
      <c r="L40" s="293"/>
      <c r="M40" s="293"/>
      <c r="N40" s="293"/>
      <c r="O40" s="293"/>
      <c r="P40" s="293"/>
      <c r="Q40" s="294"/>
      <c r="R40" s="819"/>
      <c r="S40" s="820"/>
      <c r="T40" s="820"/>
      <c r="U40" s="820"/>
      <c r="V40" s="820"/>
      <c r="W40" s="820"/>
      <c r="X40" s="820"/>
      <c r="Y40" s="820"/>
      <c r="Z40" s="820"/>
      <c r="AA40" s="820"/>
      <c r="AB40" s="820"/>
      <c r="AC40" s="820"/>
      <c r="AD40" s="820"/>
      <c r="AE40" s="820"/>
      <c r="AF40" s="820"/>
      <c r="AG40" s="820"/>
      <c r="AH40" s="820"/>
      <c r="AI40" s="820"/>
      <c r="AJ40" s="820"/>
      <c r="AK40" s="820"/>
      <c r="AL40" s="820"/>
      <c r="AM40" s="820"/>
      <c r="AN40" s="820"/>
      <c r="AO40" s="820"/>
      <c r="AP40" s="820"/>
      <c r="AQ40" s="820"/>
      <c r="AR40" s="820"/>
      <c r="AS40" s="821"/>
      <c r="AT40" s="514" t="s">
        <v>1187</v>
      </c>
      <c r="AU40" s="515"/>
      <c r="AV40" s="515"/>
      <c r="AW40" s="515"/>
      <c r="AX40" s="515"/>
      <c r="AY40" s="515"/>
      <c r="AZ40" s="515"/>
      <c r="BA40" s="515"/>
      <c r="BB40" s="515"/>
      <c r="BC40" s="515"/>
      <c r="BD40" s="515"/>
      <c r="BE40" s="515"/>
      <c r="BF40" s="515"/>
      <c r="BG40" s="516"/>
      <c r="BH40" s="517" t="s">
        <v>237</v>
      </c>
      <c r="BI40" s="518"/>
      <c r="BJ40" s="518"/>
      <c r="BK40" s="518"/>
      <c r="BL40" s="518"/>
      <c r="BM40" s="519"/>
      <c r="BN40" s="292"/>
      <c r="BO40" s="293"/>
      <c r="BP40" s="293"/>
      <c r="BQ40" s="293"/>
      <c r="BR40" s="294"/>
      <c r="BS40" s="293"/>
      <c r="BT40" s="293"/>
      <c r="BU40" s="293"/>
      <c r="BV40" s="294"/>
      <c r="BW40" s="292"/>
      <c r="BX40" s="293"/>
      <c r="BY40" s="293"/>
      <c r="BZ40" s="294"/>
      <c r="CA40" s="158"/>
      <c r="CB40" s="394"/>
      <c r="CC40" s="394"/>
      <c r="CD40" s="395"/>
    </row>
    <row r="41" spans="1:86" ht="12" customHeight="1">
      <c r="A41" s="299"/>
      <c r="B41" s="529"/>
      <c r="C41" s="530" t="s">
        <v>328</v>
      </c>
      <c r="D41" s="527"/>
      <c r="E41" s="527"/>
      <c r="F41" s="527"/>
      <c r="G41" s="531"/>
      <c r="H41" s="530" t="s">
        <v>327</v>
      </c>
      <c r="I41" s="527"/>
      <c r="J41" s="527"/>
      <c r="K41" s="527"/>
      <c r="L41" s="527"/>
      <c r="M41" s="527"/>
      <c r="N41" s="527"/>
      <c r="O41" s="527"/>
      <c r="P41" s="527"/>
      <c r="Q41" s="531"/>
      <c r="R41" s="813" t="s">
        <v>326</v>
      </c>
      <c r="S41" s="814"/>
      <c r="T41" s="814"/>
      <c r="U41" s="814"/>
      <c r="V41" s="814"/>
      <c r="W41" s="814"/>
      <c r="X41" s="814"/>
      <c r="Y41" s="814"/>
      <c r="Z41" s="814"/>
      <c r="AA41" s="814"/>
      <c r="AB41" s="814"/>
      <c r="AC41" s="814"/>
      <c r="AD41" s="814"/>
      <c r="AE41" s="814"/>
      <c r="AF41" s="814"/>
      <c r="AG41" s="814"/>
      <c r="AH41" s="814"/>
      <c r="AI41" s="814"/>
      <c r="AJ41" s="814"/>
      <c r="AK41" s="814"/>
      <c r="AL41" s="814"/>
      <c r="AM41" s="814"/>
      <c r="AN41" s="814"/>
      <c r="AO41" s="814"/>
      <c r="AP41" s="814"/>
      <c r="AQ41" s="814"/>
      <c r="AR41" s="814"/>
      <c r="AS41" s="815"/>
      <c r="AT41" s="520" t="s">
        <v>1188</v>
      </c>
      <c r="AU41" s="507"/>
      <c r="AV41" s="507"/>
      <c r="AW41" s="507"/>
      <c r="AX41" s="507"/>
      <c r="AY41" s="507"/>
      <c r="AZ41" s="507"/>
      <c r="BA41" s="507"/>
      <c r="BB41" s="507"/>
      <c r="BC41" s="507"/>
      <c r="BD41" s="507"/>
      <c r="BE41" s="507"/>
      <c r="BF41" s="507"/>
      <c r="BG41" s="508"/>
      <c r="BH41" s="530" t="s">
        <v>320</v>
      </c>
      <c r="BI41" s="527"/>
      <c r="BJ41" s="527"/>
      <c r="BK41" s="527"/>
      <c r="BL41" s="527"/>
      <c r="BM41" s="531"/>
      <c r="BN41" s="530" t="s">
        <v>325</v>
      </c>
      <c r="BO41" s="527"/>
      <c r="BP41" s="527"/>
      <c r="BQ41" s="527"/>
      <c r="BR41" s="531"/>
      <c r="BS41" s="527" t="s">
        <v>319</v>
      </c>
      <c r="BT41" s="527"/>
      <c r="BU41" s="527"/>
      <c r="BV41" s="531"/>
      <c r="BW41" s="530" t="s">
        <v>318</v>
      </c>
      <c r="BX41" s="527"/>
      <c r="BY41" s="527"/>
      <c r="BZ41" s="531"/>
      <c r="CA41" s="521" t="s">
        <v>1185</v>
      </c>
      <c r="CB41" s="388"/>
      <c r="CC41" s="388"/>
      <c r="CD41" s="389"/>
    </row>
    <row r="42" spans="1:86" ht="12" customHeight="1">
      <c r="A42" s="299"/>
      <c r="B42" s="529"/>
      <c r="C42" s="528"/>
      <c r="D42" s="529"/>
      <c r="E42" s="529"/>
      <c r="F42" s="529"/>
      <c r="G42" s="44"/>
      <c r="H42" s="528"/>
      <c r="I42" s="529"/>
      <c r="J42" s="529"/>
      <c r="K42" s="529"/>
      <c r="L42" s="529"/>
      <c r="M42" s="529"/>
      <c r="N42" s="529"/>
      <c r="O42" s="529"/>
      <c r="P42" s="529"/>
      <c r="Q42" s="44"/>
      <c r="R42" s="816"/>
      <c r="S42" s="817"/>
      <c r="T42" s="817"/>
      <c r="U42" s="817"/>
      <c r="V42" s="817"/>
      <c r="W42" s="817"/>
      <c r="X42" s="817"/>
      <c r="Y42" s="817"/>
      <c r="Z42" s="817"/>
      <c r="AA42" s="817"/>
      <c r="AB42" s="817"/>
      <c r="AC42" s="817"/>
      <c r="AD42" s="817"/>
      <c r="AE42" s="817"/>
      <c r="AF42" s="817"/>
      <c r="AG42" s="817"/>
      <c r="AH42" s="817"/>
      <c r="AI42" s="817"/>
      <c r="AJ42" s="817"/>
      <c r="AK42" s="817"/>
      <c r="AL42" s="817"/>
      <c r="AM42" s="817"/>
      <c r="AN42" s="817"/>
      <c r="AO42" s="817"/>
      <c r="AP42" s="817"/>
      <c r="AQ42" s="817"/>
      <c r="AR42" s="817"/>
      <c r="AS42" s="818"/>
      <c r="AT42" s="509"/>
      <c r="AU42" s="503"/>
      <c r="AV42" s="503"/>
      <c r="AW42" s="503"/>
      <c r="AX42" s="503"/>
      <c r="AY42" s="503"/>
      <c r="AZ42" s="503"/>
      <c r="BA42" s="503"/>
      <c r="BB42" s="503"/>
      <c r="BC42" s="503"/>
      <c r="BD42" s="503"/>
      <c r="BE42" s="503"/>
      <c r="BF42" s="503"/>
      <c r="BG42" s="504"/>
      <c r="BH42" s="528"/>
      <c r="BI42" s="529"/>
      <c r="BJ42" s="529"/>
      <c r="BK42" s="529"/>
      <c r="BL42" s="529"/>
      <c r="BM42" s="44"/>
      <c r="BN42" s="248"/>
      <c r="BO42" s="249"/>
      <c r="BP42" s="249"/>
      <c r="BQ42" s="249"/>
      <c r="BR42" s="329"/>
      <c r="BS42" s="249"/>
      <c r="BT42" s="249"/>
      <c r="BU42" s="249"/>
      <c r="BV42" s="329"/>
      <c r="BW42" s="248"/>
      <c r="BX42" s="249"/>
      <c r="BY42" s="249"/>
      <c r="BZ42" s="329"/>
      <c r="CA42" s="523"/>
      <c r="CB42" s="256"/>
      <c r="CC42" s="256"/>
      <c r="CD42" s="257"/>
    </row>
    <row r="43" spans="1:86" ht="12" customHeight="1">
      <c r="A43" s="299"/>
      <c r="B43" s="529"/>
      <c r="C43" s="528"/>
      <c r="D43" s="529"/>
      <c r="E43" s="529"/>
      <c r="F43" s="529"/>
      <c r="G43" s="44"/>
      <c r="H43" s="528"/>
      <c r="I43" s="529"/>
      <c r="J43" s="529"/>
      <c r="K43" s="529"/>
      <c r="L43" s="529"/>
      <c r="M43" s="529"/>
      <c r="N43" s="529"/>
      <c r="O43" s="529"/>
      <c r="P43" s="529"/>
      <c r="Q43" s="44"/>
      <c r="R43" s="816"/>
      <c r="S43" s="817"/>
      <c r="T43" s="817"/>
      <c r="U43" s="817"/>
      <c r="V43" s="817"/>
      <c r="W43" s="817"/>
      <c r="X43" s="817"/>
      <c r="Y43" s="817"/>
      <c r="Z43" s="817"/>
      <c r="AA43" s="817"/>
      <c r="AB43" s="817"/>
      <c r="AC43" s="817"/>
      <c r="AD43" s="817"/>
      <c r="AE43" s="817"/>
      <c r="AF43" s="817"/>
      <c r="AG43" s="817"/>
      <c r="AH43" s="817"/>
      <c r="AI43" s="817"/>
      <c r="AJ43" s="817"/>
      <c r="AK43" s="817"/>
      <c r="AL43" s="817"/>
      <c r="AM43" s="817"/>
      <c r="AN43" s="817"/>
      <c r="AO43" s="817"/>
      <c r="AP43" s="817"/>
      <c r="AQ43" s="817"/>
      <c r="AR43" s="817"/>
      <c r="AS43" s="818"/>
      <c r="AT43" s="509"/>
      <c r="AU43" s="503"/>
      <c r="AV43" s="503"/>
      <c r="AW43" s="503"/>
      <c r="AX43" s="503"/>
      <c r="AY43" s="503"/>
      <c r="AZ43" s="503"/>
      <c r="BA43" s="503"/>
      <c r="BB43" s="503"/>
      <c r="BC43" s="503"/>
      <c r="BD43" s="503"/>
      <c r="BE43" s="503"/>
      <c r="BF43" s="503"/>
      <c r="BG43" s="504"/>
      <c r="BH43" s="528"/>
      <c r="BI43" s="529"/>
      <c r="BJ43" s="529"/>
      <c r="BK43" s="529"/>
      <c r="BL43" s="529"/>
      <c r="BM43" s="44"/>
      <c r="BN43" s="161" t="s">
        <v>317</v>
      </c>
      <c r="BO43" s="160"/>
      <c r="BP43" s="160"/>
      <c r="BQ43" s="160"/>
      <c r="BR43" s="159"/>
      <c r="BS43" s="160" t="s">
        <v>324</v>
      </c>
      <c r="BT43" s="160"/>
      <c r="BU43" s="160"/>
      <c r="BV43" s="159"/>
      <c r="BW43" s="161" t="s">
        <v>323</v>
      </c>
      <c r="BX43" s="160"/>
      <c r="BY43" s="160"/>
      <c r="BZ43" s="159"/>
      <c r="CA43" s="524" t="s">
        <v>1184</v>
      </c>
      <c r="CB43" s="262"/>
      <c r="CC43" s="262"/>
      <c r="CD43" s="263"/>
    </row>
    <row r="44" spans="1:86" ht="12" customHeight="1">
      <c r="A44" s="299"/>
      <c r="B44" s="529"/>
      <c r="C44" s="528"/>
      <c r="D44" s="529"/>
      <c r="E44" s="529"/>
      <c r="F44" s="529"/>
      <c r="G44" s="44"/>
      <c r="H44" s="393"/>
      <c r="I44" s="293"/>
      <c r="J44" s="293"/>
      <c r="K44" s="293"/>
      <c r="L44" s="293"/>
      <c r="M44" s="293"/>
      <c r="N44" s="293"/>
      <c r="O44" s="293"/>
      <c r="P44" s="293"/>
      <c r="Q44" s="294"/>
      <c r="R44" s="819"/>
      <c r="S44" s="820"/>
      <c r="T44" s="820"/>
      <c r="U44" s="820"/>
      <c r="V44" s="820"/>
      <c r="W44" s="820"/>
      <c r="X44" s="820"/>
      <c r="Y44" s="820"/>
      <c r="Z44" s="820"/>
      <c r="AA44" s="820"/>
      <c r="AB44" s="820"/>
      <c r="AC44" s="820"/>
      <c r="AD44" s="820"/>
      <c r="AE44" s="820"/>
      <c r="AF44" s="820"/>
      <c r="AG44" s="820"/>
      <c r="AH44" s="820"/>
      <c r="AI44" s="820"/>
      <c r="AJ44" s="820"/>
      <c r="AK44" s="820"/>
      <c r="AL44" s="820"/>
      <c r="AM44" s="820"/>
      <c r="AN44" s="820"/>
      <c r="AO44" s="820"/>
      <c r="AP44" s="820"/>
      <c r="AQ44" s="820"/>
      <c r="AR44" s="820"/>
      <c r="AS44" s="821"/>
      <c r="AT44" s="510"/>
      <c r="AU44" s="505"/>
      <c r="AV44" s="505"/>
      <c r="AW44" s="505"/>
      <c r="AX44" s="505"/>
      <c r="AY44" s="505"/>
      <c r="AZ44" s="505"/>
      <c r="BA44" s="505"/>
      <c r="BB44" s="505"/>
      <c r="BC44" s="505"/>
      <c r="BD44" s="505"/>
      <c r="BE44" s="505"/>
      <c r="BF44" s="505"/>
      <c r="BG44" s="506"/>
      <c r="BH44" s="292"/>
      <c r="BI44" s="293"/>
      <c r="BJ44" s="293"/>
      <c r="BK44" s="293"/>
      <c r="BL44" s="293"/>
      <c r="BM44" s="294"/>
      <c r="BN44" s="292"/>
      <c r="BO44" s="293"/>
      <c r="BP44" s="293"/>
      <c r="BQ44" s="293"/>
      <c r="BR44" s="294"/>
      <c r="BS44" s="293"/>
      <c r="BT44" s="293"/>
      <c r="BU44" s="293"/>
      <c r="BV44" s="294"/>
      <c r="BW44" s="292"/>
      <c r="BX44" s="293"/>
      <c r="BY44" s="293"/>
      <c r="BZ44" s="294"/>
      <c r="CA44" s="158"/>
      <c r="CB44" s="394"/>
      <c r="CC44" s="394"/>
      <c r="CD44" s="395"/>
    </row>
    <row r="45" spans="1:86" ht="12" customHeight="1">
      <c r="A45" s="299"/>
      <c r="B45" s="529"/>
      <c r="C45" s="528"/>
      <c r="D45" s="529"/>
      <c r="E45" s="529"/>
      <c r="F45" s="529"/>
      <c r="G45" s="44"/>
      <c r="H45" s="530" t="s">
        <v>322</v>
      </c>
      <c r="I45" s="527"/>
      <c r="J45" s="527"/>
      <c r="K45" s="527"/>
      <c r="L45" s="527"/>
      <c r="M45" s="527"/>
      <c r="N45" s="527"/>
      <c r="O45" s="527"/>
      <c r="P45" s="527"/>
      <c r="Q45" s="531"/>
      <c r="R45" s="813" t="s">
        <v>321</v>
      </c>
      <c r="S45" s="814"/>
      <c r="T45" s="814"/>
      <c r="U45" s="814"/>
      <c r="V45" s="814"/>
      <c r="W45" s="814"/>
      <c r="X45" s="814"/>
      <c r="Y45" s="814"/>
      <c r="Z45" s="814"/>
      <c r="AA45" s="814"/>
      <c r="AB45" s="814"/>
      <c r="AC45" s="814"/>
      <c r="AD45" s="814"/>
      <c r="AE45" s="814"/>
      <c r="AF45" s="814"/>
      <c r="AG45" s="814"/>
      <c r="AH45" s="814"/>
      <c r="AI45" s="814"/>
      <c r="AJ45" s="814"/>
      <c r="AK45" s="814"/>
      <c r="AL45" s="814"/>
      <c r="AM45" s="814"/>
      <c r="AN45" s="814"/>
      <c r="AO45" s="814"/>
      <c r="AP45" s="814"/>
      <c r="AQ45" s="814"/>
      <c r="AR45" s="814"/>
      <c r="AS45" s="815"/>
      <c r="AT45" s="520" t="s">
        <v>1182</v>
      </c>
      <c r="AU45" s="507"/>
      <c r="AV45" s="507"/>
      <c r="AW45" s="507"/>
      <c r="AX45" s="507"/>
      <c r="AY45" s="507"/>
      <c r="AZ45" s="507"/>
      <c r="BA45" s="507"/>
      <c r="BB45" s="507"/>
      <c r="BC45" s="507"/>
      <c r="BD45" s="507"/>
      <c r="BE45" s="507"/>
      <c r="BF45" s="507"/>
      <c r="BG45" s="508"/>
      <c r="BH45" s="530" t="s">
        <v>320</v>
      </c>
      <c r="BI45" s="527"/>
      <c r="BJ45" s="527"/>
      <c r="BK45" s="527"/>
      <c r="BL45" s="527"/>
      <c r="BM45" s="531"/>
      <c r="BN45" s="530" t="s">
        <v>317</v>
      </c>
      <c r="BO45" s="527"/>
      <c r="BP45" s="527"/>
      <c r="BQ45" s="527"/>
      <c r="BR45" s="531"/>
      <c r="BS45" s="527" t="s">
        <v>319</v>
      </c>
      <c r="BT45" s="527"/>
      <c r="BU45" s="527"/>
      <c r="BV45" s="531"/>
      <c r="BW45" s="530" t="s">
        <v>318</v>
      </c>
      <c r="BX45" s="527"/>
      <c r="BY45" s="527"/>
      <c r="BZ45" s="531"/>
      <c r="CA45" s="521" t="s">
        <v>1184</v>
      </c>
      <c r="CB45" s="388"/>
      <c r="CC45" s="388"/>
      <c r="CD45" s="389"/>
    </row>
    <row r="46" spans="1:86" ht="12" customHeight="1">
      <c r="A46" s="299"/>
      <c r="B46" s="529"/>
      <c r="C46" s="528"/>
      <c r="D46" s="529"/>
      <c r="E46" s="529"/>
      <c r="F46" s="529"/>
      <c r="G46" s="44"/>
      <c r="H46" s="528"/>
      <c r="I46" s="529"/>
      <c r="J46" s="529"/>
      <c r="K46" s="529"/>
      <c r="L46" s="529"/>
      <c r="M46" s="529"/>
      <c r="N46" s="529"/>
      <c r="O46" s="529"/>
      <c r="P46" s="529"/>
      <c r="Q46" s="44"/>
      <c r="R46" s="816"/>
      <c r="S46" s="817"/>
      <c r="T46" s="817"/>
      <c r="U46" s="817"/>
      <c r="V46" s="817"/>
      <c r="W46" s="817"/>
      <c r="X46" s="817"/>
      <c r="Y46" s="817"/>
      <c r="Z46" s="817"/>
      <c r="AA46" s="817"/>
      <c r="AB46" s="817"/>
      <c r="AC46" s="817"/>
      <c r="AD46" s="817"/>
      <c r="AE46" s="817"/>
      <c r="AF46" s="817"/>
      <c r="AG46" s="817"/>
      <c r="AH46" s="817"/>
      <c r="AI46" s="817"/>
      <c r="AJ46" s="817"/>
      <c r="AK46" s="817"/>
      <c r="AL46" s="817"/>
      <c r="AM46" s="817"/>
      <c r="AN46" s="817"/>
      <c r="AO46" s="817"/>
      <c r="AP46" s="817"/>
      <c r="AQ46" s="817"/>
      <c r="AR46" s="817"/>
      <c r="AS46" s="818"/>
      <c r="AT46" s="509"/>
      <c r="AU46" s="503"/>
      <c r="AV46" s="503"/>
      <c r="AW46" s="503"/>
      <c r="AX46" s="503"/>
      <c r="AY46" s="503"/>
      <c r="AZ46" s="503"/>
      <c r="BA46" s="503"/>
      <c r="BB46" s="503"/>
      <c r="BC46" s="503"/>
      <c r="BD46" s="503"/>
      <c r="BE46" s="503"/>
      <c r="BF46" s="503"/>
      <c r="BG46" s="504"/>
      <c r="BH46" s="528"/>
      <c r="BI46" s="529"/>
      <c r="BJ46" s="529"/>
      <c r="BK46" s="529"/>
      <c r="BL46" s="529"/>
      <c r="BM46" s="44"/>
      <c r="BN46" s="528"/>
      <c r="BO46" s="529"/>
      <c r="BP46" s="529"/>
      <c r="BQ46" s="529"/>
      <c r="BR46" s="44"/>
      <c r="BS46" s="529"/>
      <c r="BT46" s="529"/>
      <c r="BU46" s="529"/>
      <c r="BV46" s="44"/>
      <c r="BW46" s="528"/>
      <c r="BX46" s="529"/>
      <c r="BY46" s="529"/>
      <c r="BZ46" s="44"/>
      <c r="CA46" s="522"/>
      <c r="CB46" s="391"/>
      <c r="CC46" s="391"/>
      <c r="CD46" s="392"/>
    </row>
    <row r="47" spans="1:86" ht="12" customHeight="1">
      <c r="A47" s="299"/>
      <c r="B47" s="299"/>
      <c r="C47" s="292"/>
      <c r="D47" s="293"/>
      <c r="E47" s="293"/>
      <c r="F47" s="293"/>
      <c r="G47" s="294"/>
      <c r="H47" s="393"/>
      <c r="I47" s="293"/>
      <c r="J47" s="293"/>
      <c r="K47" s="293"/>
      <c r="L47" s="293"/>
      <c r="M47" s="293"/>
      <c r="N47" s="293"/>
      <c r="O47" s="293"/>
      <c r="P47" s="293"/>
      <c r="Q47" s="294"/>
      <c r="R47" s="819"/>
      <c r="S47" s="820"/>
      <c r="T47" s="820"/>
      <c r="U47" s="820"/>
      <c r="V47" s="820"/>
      <c r="W47" s="820"/>
      <c r="X47" s="820"/>
      <c r="Y47" s="820"/>
      <c r="Z47" s="820"/>
      <c r="AA47" s="820"/>
      <c r="AB47" s="820"/>
      <c r="AC47" s="820"/>
      <c r="AD47" s="820"/>
      <c r="AE47" s="820"/>
      <c r="AF47" s="820"/>
      <c r="AG47" s="820"/>
      <c r="AH47" s="820"/>
      <c r="AI47" s="820"/>
      <c r="AJ47" s="820"/>
      <c r="AK47" s="820"/>
      <c r="AL47" s="820"/>
      <c r="AM47" s="820"/>
      <c r="AN47" s="820"/>
      <c r="AO47" s="820"/>
      <c r="AP47" s="820"/>
      <c r="AQ47" s="820"/>
      <c r="AR47" s="820"/>
      <c r="AS47" s="821"/>
      <c r="AT47" s="510"/>
      <c r="AU47" s="505"/>
      <c r="AV47" s="505"/>
      <c r="AW47" s="505"/>
      <c r="AX47" s="505"/>
      <c r="AY47" s="505"/>
      <c r="AZ47" s="505"/>
      <c r="BA47" s="505"/>
      <c r="BB47" s="505"/>
      <c r="BC47" s="505"/>
      <c r="BD47" s="505"/>
      <c r="BE47" s="505"/>
      <c r="BF47" s="505"/>
      <c r="BG47" s="506"/>
      <c r="BH47" s="292"/>
      <c r="BI47" s="293"/>
      <c r="BJ47" s="293"/>
      <c r="BK47" s="293"/>
      <c r="BL47" s="293"/>
      <c r="BM47" s="294"/>
      <c r="BN47" s="292"/>
      <c r="BO47" s="293"/>
      <c r="BP47" s="293"/>
      <c r="BQ47" s="293"/>
      <c r="BR47" s="294"/>
      <c r="BS47" s="293"/>
      <c r="BT47" s="293"/>
      <c r="BU47" s="293"/>
      <c r="BV47" s="294"/>
      <c r="BW47" s="292"/>
      <c r="BX47" s="293"/>
      <c r="BY47" s="293"/>
      <c r="BZ47" s="294"/>
      <c r="CA47" s="158"/>
      <c r="CB47" s="394"/>
      <c r="CC47" s="394"/>
      <c r="CD47" s="395"/>
      <c r="CF47" s="5"/>
      <c r="CG47" s="5"/>
      <c r="CH47" s="5"/>
    </row>
    <row r="48" spans="1:86" ht="12" customHeight="1">
      <c r="A48" s="299"/>
      <c r="B48" s="529"/>
      <c r="C48" s="529"/>
      <c r="D48" s="529"/>
      <c r="E48" s="529"/>
      <c r="F48" s="529"/>
      <c r="G48" s="529"/>
      <c r="H48" s="529"/>
      <c r="I48" s="529"/>
      <c r="J48" s="529"/>
      <c r="K48" s="529"/>
      <c r="L48" s="529"/>
      <c r="M48" s="529"/>
      <c r="N48" s="529"/>
      <c r="O48" s="529"/>
      <c r="P48" s="529"/>
      <c r="Q48" s="529"/>
      <c r="R48" s="529"/>
      <c r="S48" s="529"/>
      <c r="T48" s="529"/>
      <c r="U48" s="529"/>
      <c r="V48" s="529"/>
      <c r="W48" s="529"/>
      <c r="X48" s="529"/>
      <c r="Y48" s="529"/>
      <c r="Z48" s="529"/>
      <c r="AA48" s="529"/>
      <c r="AB48" s="529"/>
      <c r="AC48" s="529"/>
      <c r="AD48" s="529"/>
      <c r="AE48" s="529"/>
      <c r="AF48" s="529"/>
      <c r="AG48" s="529"/>
      <c r="AH48" s="529"/>
      <c r="AI48" s="529"/>
      <c r="AJ48" s="529"/>
      <c r="AK48" s="529"/>
      <c r="AL48" s="529"/>
      <c r="AM48" s="529"/>
      <c r="AN48" s="529"/>
      <c r="AO48" s="529"/>
      <c r="AP48" s="529"/>
      <c r="AQ48" s="529"/>
      <c r="AR48" s="529"/>
      <c r="AS48" s="529"/>
      <c r="AT48" s="529"/>
      <c r="AU48" s="529"/>
      <c r="AV48" s="529"/>
      <c r="AW48" s="529"/>
      <c r="AX48" s="529"/>
      <c r="AY48" s="529"/>
      <c r="AZ48" s="529"/>
      <c r="BA48" s="529"/>
      <c r="BB48" s="529"/>
      <c r="BC48" s="529"/>
      <c r="BD48" s="391"/>
      <c r="BE48" s="391"/>
      <c r="BF48" s="391"/>
      <c r="BG48" s="529"/>
      <c r="BH48" s="529"/>
      <c r="BI48" s="529"/>
      <c r="BJ48" s="529"/>
      <c r="BK48" s="529"/>
      <c r="BL48" s="529"/>
      <c r="BM48" s="529"/>
      <c r="BN48" s="529"/>
      <c r="BO48" s="529"/>
      <c r="BP48" s="529"/>
      <c r="BQ48" s="529"/>
      <c r="BR48" s="529"/>
      <c r="BS48" s="529"/>
      <c r="BT48" s="529"/>
      <c r="BU48" s="529"/>
      <c r="BV48" s="529"/>
      <c r="BW48" s="529"/>
      <c r="BX48" s="529"/>
      <c r="BY48" s="529"/>
      <c r="BZ48" s="529"/>
      <c r="CA48" s="529"/>
      <c r="CB48" s="391"/>
      <c r="CC48" s="391"/>
      <c r="CD48" s="391"/>
      <c r="CF48" s="5"/>
      <c r="CG48" s="5"/>
      <c r="CH48" s="5"/>
    </row>
    <row r="49" spans="1:86" ht="12" customHeight="1">
      <c r="A49" s="299"/>
      <c r="B49" s="529"/>
      <c r="C49" s="529"/>
      <c r="D49" s="529"/>
      <c r="E49" s="529"/>
      <c r="F49" s="529"/>
      <c r="G49" s="529"/>
      <c r="H49" s="529"/>
      <c r="I49" s="529"/>
      <c r="J49" s="529"/>
      <c r="K49" s="529"/>
      <c r="L49" s="529"/>
      <c r="M49" s="529"/>
      <c r="N49" s="529"/>
      <c r="O49" s="529"/>
      <c r="P49" s="529"/>
      <c r="Q49" s="529"/>
      <c r="R49" s="529"/>
      <c r="S49" s="529"/>
      <c r="T49" s="529"/>
      <c r="U49" s="529"/>
      <c r="V49" s="529"/>
      <c r="W49" s="529"/>
      <c r="X49" s="529"/>
      <c r="Y49" s="529"/>
      <c r="Z49" s="529"/>
      <c r="AA49" s="529"/>
      <c r="AB49" s="529"/>
      <c r="AC49" s="529"/>
      <c r="AD49" s="529"/>
      <c r="AE49" s="529"/>
      <c r="AF49" s="529"/>
      <c r="AG49" s="529"/>
      <c r="AH49" s="529"/>
      <c r="AI49" s="529"/>
      <c r="AJ49" s="529"/>
      <c r="AK49" s="529"/>
      <c r="AL49" s="529"/>
      <c r="AM49" s="529"/>
      <c r="AN49" s="529"/>
      <c r="AO49" s="529"/>
      <c r="AP49" s="529"/>
      <c r="AQ49" s="529"/>
      <c r="AR49" s="529"/>
      <c r="AS49" s="529"/>
      <c r="AT49" s="529"/>
      <c r="AU49" s="529"/>
      <c r="AV49" s="529"/>
      <c r="AW49" s="529"/>
      <c r="AX49" s="529"/>
      <c r="AY49" s="529"/>
      <c r="AZ49" s="529"/>
      <c r="BA49" s="529"/>
      <c r="BB49" s="529"/>
      <c r="BC49" s="529"/>
      <c r="BD49" s="391"/>
      <c r="BE49" s="391"/>
      <c r="BF49" s="391"/>
      <c r="BG49" s="529"/>
      <c r="BH49" s="529"/>
      <c r="BI49" s="529"/>
      <c r="BJ49" s="529"/>
      <c r="BK49" s="529"/>
      <c r="BL49" s="529"/>
      <c r="BM49" s="529"/>
      <c r="BN49" s="529"/>
      <c r="BO49" s="529"/>
      <c r="BP49" s="529"/>
      <c r="BQ49" s="529"/>
      <c r="BR49" s="529"/>
      <c r="BS49" s="529"/>
      <c r="BT49" s="529"/>
      <c r="BU49" s="529"/>
      <c r="BV49" s="529"/>
      <c r="BW49" s="529"/>
      <c r="BX49" s="529"/>
      <c r="BY49" s="529"/>
      <c r="BZ49" s="529"/>
      <c r="CA49" s="529"/>
      <c r="CB49" s="391"/>
      <c r="CC49" s="391"/>
      <c r="CD49" s="391"/>
      <c r="CF49" s="5"/>
      <c r="CG49" s="5"/>
      <c r="CH49" s="5"/>
    </row>
    <row r="50" spans="1:86" ht="12" customHeight="1">
      <c r="A50" s="299"/>
      <c r="B50" s="529"/>
      <c r="C50" s="529"/>
      <c r="D50" s="529"/>
      <c r="E50" s="529"/>
      <c r="F50" s="529"/>
      <c r="G50" s="529"/>
      <c r="H50" s="529"/>
      <c r="I50" s="529"/>
      <c r="J50" s="529"/>
      <c r="K50" s="529"/>
      <c r="L50" s="529"/>
      <c r="M50" s="529"/>
      <c r="N50" s="529"/>
      <c r="O50" s="529"/>
      <c r="P50" s="529"/>
      <c r="Q50" s="529"/>
      <c r="R50" s="529"/>
      <c r="S50" s="529"/>
      <c r="T50" s="529"/>
      <c r="U50" s="529"/>
      <c r="V50" s="529"/>
      <c r="W50" s="529"/>
      <c r="X50" s="529"/>
      <c r="Y50" s="529"/>
      <c r="Z50" s="529"/>
      <c r="AA50" s="529"/>
      <c r="AB50" s="529"/>
      <c r="AC50" s="529"/>
      <c r="AD50" s="529"/>
      <c r="AE50" s="529"/>
      <c r="AF50" s="529"/>
      <c r="AG50" s="529"/>
      <c r="AH50" s="529"/>
      <c r="AI50" s="529"/>
      <c r="AJ50" s="529"/>
      <c r="AK50" s="529"/>
      <c r="AL50" s="529"/>
      <c r="AM50" s="529"/>
      <c r="AN50" s="529"/>
      <c r="AO50" s="529"/>
      <c r="AP50" s="529"/>
      <c r="AQ50" s="529"/>
      <c r="AR50" s="529"/>
      <c r="AS50" s="529"/>
      <c r="AT50" s="529"/>
      <c r="AU50" s="529"/>
      <c r="AV50" s="529"/>
      <c r="AW50" s="529"/>
      <c r="AX50" s="529"/>
      <c r="AY50" s="529"/>
      <c r="AZ50" s="529"/>
      <c r="BA50" s="529"/>
      <c r="BB50" s="529"/>
      <c r="BC50" s="529"/>
      <c r="BD50" s="529"/>
      <c r="BE50" s="529"/>
      <c r="BF50" s="529"/>
      <c r="BG50" s="529"/>
      <c r="BH50" s="529"/>
      <c r="BI50" s="529"/>
      <c r="BJ50" s="529"/>
      <c r="BK50" s="529"/>
      <c r="BL50" s="529"/>
      <c r="BM50" s="529"/>
      <c r="BN50" s="529"/>
      <c r="BO50" s="529"/>
      <c r="BP50" s="529"/>
      <c r="BQ50" s="529"/>
      <c r="BR50" s="529"/>
      <c r="BS50" s="529"/>
      <c r="BT50" s="529"/>
      <c r="BU50" s="529"/>
      <c r="BV50" s="529"/>
      <c r="BW50" s="529"/>
      <c r="BX50" s="529"/>
      <c r="BY50" s="529"/>
      <c r="BZ50" s="529"/>
      <c r="CA50" s="529"/>
      <c r="CB50" s="529"/>
      <c r="CC50" s="529"/>
      <c r="CD50" s="529"/>
      <c r="CE50" s="529"/>
    </row>
    <row r="51" spans="1:86" ht="12" customHeight="1">
      <c r="A51" s="299"/>
      <c r="B51" s="529"/>
      <c r="C51" s="529" t="s">
        <v>1151</v>
      </c>
      <c r="D51" s="529"/>
      <c r="E51" s="529"/>
      <c r="F51" s="529"/>
      <c r="G51" s="529"/>
      <c r="H51" s="529"/>
      <c r="I51" s="529"/>
      <c r="J51" s="529"/>
      <c r="K51" s="529"/>
      <c r="L51" s="529"/>
      <c r="M51" s="529"/>
      <c r="N51" s="529"/>
      <c r="O51" s="529"/>
      <c r="P51" s="529"/>
      <c r="Q51" s="529"/>
      <c r="R51" s="529"/>
      <c r="S51" s="529"/>
      <c r="T51" s="529"/>
      <c r="U51" s="529"/>
      <c r="V51" s="529"/>
      <c r="W51" s="529"/>
      <c r="X51" s="529"/>
      <c r="Y51" s="529"/>
      <c r="Z51" s="529"/>
      <c r="AA51" s="529"/>
      <c r="AB51" s="529"/>
      <c r="AC51" s="529"/>
      <c r="AD51" s="529"/>
      <c r="AE51" s="529"/>
      <c r="AF51" s="529"/>
      <c r="AG51" s="529"/>
      <c r="AH51" s="529"/>
      <c r="AI51" s="529"/>
      <c r="AJ51" s="529"/>
      <c r="AK51" s="529"/>
      <c r="AL51" s="529"/>
      <c r="AM51" s="529"/>
      <c r="AN51" s="529"/>
      <c r="AO51" s="529"/>
      <c r="AP51" s="529"/>
      <c r="AQ51" s="529"/>
      <c r="AR51" s="529"/>
      <c r="AS51" s="529"/>
      <c r="AT51" s="529"/>
      <c r="AU51" s="529"/>
      <c r="AV51" s="529"/>
      <c r="AW51" s="529"/>
      <c r="AX51" s="529"/>
      <c r="AY51" s="529"/>
      <c r="AZ51" s="529"/>
      <c r="BA51" s="529"/>
      <c r="BB51" s="529"/>
      <c r="BC51" s="529"/>
      <c r="BD51" s="529"/>
      <c r="BE51" s="529"/>
      <c r="BF51" s="529"/>
      <c r="BG51" s="529"/>
      <c r="BH51" s="529"/>
      <c r="BI51" s="529"/>
      <c r="BJ51" s="529"/>
      <c r="BK51" s="529"/>
      <c r="BL51" s="529"/>
      <c r="BM51" s="529"/>
      <c r="BN51" s="529"/>
      <c r="BO51" s="529"/>
      <c r="BP51" s="529"/>
      <c r="BQ51" s="529"/>
      <c r="BR51" s="529"/>
      <c r="BS51" s="529"/>
      <c r="BT51" s="529"/>
      <c r="BU51" s="529"/>
      <c r="BV51" s="529"/>
      <c r="BW51" s="529"/>
      <c r="BX51" s="529"/>
      <c r="BY51" s="529"/>
      <c r="BZ51" s="529"/>
      <c r="CA51" s="529"/>
      <c r="CB51" s="529"/>
      <c r="CC51" s="529"/>
      <c r="CD51" s="529"/>
      <c r="CE51" s="529"/>
    </row>
    <row r="52" spans="1:86" ht="12" customHeight="1">
      <c r="A52" s="299"/>
      <c r="B52" s="529"/>
      <c r="C52" s="529"/>
      <c r="D52" s="529"/>
      <c r="E52" s="529"/>
      <c r="F52" s="529"/>
      <c r="G52" s="529"/>
      <c r="H52" s="529"/>
      <c r="I52" s="529"/>
      <c r="J52" s="529"/>
      <c r="K52" s="529"/>
      <c r="L52" s="529"/>
      <c r="M52" s="529"/>
      <c r="N52" s="529"/>
      <c r="O52" s="529"/>
      <c r="P52" s="529"/>
      <c r="Q52" s="529"/>
      <c r="R52" s="529"/>
      <c r="S52" s="529"/>
      <c r="T52" s="529"/>
      <c r="U52" s="529"/>
      <c r="V52" s="529"/>
      <c r="W52" s="529"/>
      <c r="X52" s="529"/>
      <c r="Y52" s="529"/>
      <c r="Z52" s="529"/>
      <c r="AA52" s="529"/>
      <c r="AB52" s="529"/>
      <c r="AC52" s="529"/>
      <c r="AD52" s="529"/>
      <c r="AE52" s="529"/>
      <c r="AF52" s="529"/>
      <c r="AG52" s="529"/>
      <c r="AH52" s="529"/>
      <c r="AI52" s="529"/>
      <c r="AJ52" s="529"/>
      <c r="AK52" s="529"/>
      <c r="AL52" s="529"/>
      <c r="AM52" s="529"/>
      <c r="AN52" s="529"/>
      <c r="AO52" s="529"/>
      <c r="AP52" s="529"/>
      <c r="AQ52" s="529"/>
      <c r="AR52" s="529"/>
      <c r="AS52" s="529"/>
      <c r="AT52" s="529"/>
      <c r="AU52" s="529"/>
      <c r="AV52" s="529"/>
      <c r="AW52" s="529"/>
      <c r="AX52" s="529"/>
      <c r="AY52" s="529"/>
      <c r="AZ52" s="529"/>
      <c r="BA52" s="529"/>
      <c r="BB52" s="529"/>
      <c r="BC52" s="529"/>
      <c r="BD52" s="529"/>
      <c r="BE52" s="529"/>
      <c r="BF52" s="529"/>
      <c r="BG52" s="529"/>
      <c r="BH52" s="529"/>
      <c r="BI52" s="529"/>
      <c r="BJ52" s="529"/>
      <c r="BK52" s="529"/>
      <c r="BL52" s="529"/>
      <c r="BM52" s="529"/>
      <c r="BN52" s="529"/>
      <c r="BO52" s="529"/>
      <c r="BP52" s="529"/>
      <c r="BQ52" s="529"/>
      <c r="BR52" s="529"/>
      <c r="BS52" s="529"/>
      <c r="BT52" s="529"/>
      <c r="BU52" s="529"/>
      <c r="BV52" s="529"/>
      <c r="BW52" s="529"/>
      <c r="BX52" s="529"/>
      <c r="BY52" s="529"/>
      <c r="BZ52" s="529"/>
      <c r="CA52" s="529"/>
      <c r="CB52" s="529"/>
      <c r="CC52" s="529"/>
      <c r="CD52" s="529"/>
      <c r="CE52" s="529"/>
    </row>
    <row r="53" spans="1:86" ht="12" customHeight="1">
      <c r="A53" s="299"/>
      <c r="B53" s="529"/>
      <c r="C53" s="529"/>
      <c r="D53" s="529"/>
      <c r="E53" s="529" t="s">
        <v>470</v>
      </c>
      <c r="F53" s="529"/>
      <c r="G53" s="529"/>
      <c r="H53" s="529"/>
      <c r="I53" s="529"/>
      <c r="J53" s="529"/>
      <c r="K53" s="529"/>
      <c r="L53" s="529"/>
      <c r="M53" s="529"/>
      <c r="N53" s="529"/>
      <c r="O53" s="529"/>
      <c r="P53" s="529"/>
      <c r="Q53" s="529"/>
      <c r="R53" s="529"/>
      <c r="S53" s="529"/>
      <c r="T53" s="529"/>
      <c r="U53" s="529"/>
      <c r="V53" s="529"/>
      <c r="W53" s="529"/>
      <c r="X53" s="529"/>
      <c r="Y53" s="529"/>
      <c r="Z53" s="529"/>
      <c r="AA53" s="529"/>
      <c r="AB53" s="529"/>
      <c r="AC53" s="529"/>
      <c r="AD53" s="529"/>
      <c r="AE53" s="529"/>
      <c r="AF53" s="529"/>
      <c r="AG53" s="529"/>
      <c r="AH53" s="529"/>
      <c r="AI53" s="529"/>
      <c r="AJ53" s="529"/>
      <c r="AK53" s="529"/>
      <c r="AL53" s="529"/>
      <c r="AM53" s="529"/>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29"/>
      <c r="BK53" s="529"/>
      <c r="BL53" s="529"/>
      <c r="BM53" s="529"/>
      <c r="BN53" s="529"/>
      <c r="BO53" s="529"/>
      <c r="BP53" s="529"/>
      <c r="BQ53" s="529"/>
      <c r="BR53" s="529"/>
      <c r="BS53" s="529"/>
      <c r="BT53" s="529"/>
      <c r="BU53" s="529"/>
      <c r="BV53" s="529"/>
      <c r="BW53" s="529"/>
      <c r="BX53" s="529"/>
      <c r="BY53" s="529"/>
      <c r="BZ53" s="529"/>
      <c r="CA53" s="529"/>
      <c r="CB53" s="529"/>
      <c r="CC53" s="529"/>
      <c r="CD53" s="529"/>
      <c r="CE53" s="529"/>
    </row>
    <row r="54" spans="1:86" ht="12" customHeight="1">
      <c r="A54" s="299"/>
      <c r="B54" s="529"/>
      <c r="C54" s="529"/>
      <c r="D54" s="529"/>
      <c r="E54" s="529"/>
      <c r="F54" s="529"/>
      <c r="G54" s="529"/>
      <c r="H54" s="529"/>
      <c r="I54" s="529"/>
      <c r="J54" s="529"/>
      <c r="K54" s="529"/>
      <c r="L54" s="529"/>
      <c r="M54" s="529"/>
      <c r="N54" s="529"/>
      <c r="O54" s="529"/>
      <c r="P54" s="529"/>
      <c r="Q54" s="529"/>
      <c r="R54" s="529"/>
      <c r="S54" s="529"/>
      <c r="T54" s="529"/>
      <c r="U54" s="529"/>
      <c r="V54" s="529"/>
      <c r="W54" s="529"/>
      <c r="X54" s="529"/>
      <c r="Y54" s="529"/>
      <c r="Z54" s="529"/>
      <c r="AA54" s="529"/>
      <c r="AB54" s="529"/>
      <c r="AC54" s="529"/>
      <c r="AD54" s="529"/>
      <c r="AE54" s="529"/>
      <c r="AF54" s="529"/>
      <c r="AG54" s="529"/>
      <c r="AH54" s="529"/>
      <c r="AI54" s="529"/>
      <c r="AJ54" s="529"/>
      <c r="AK54" s="529"/>
      <c r="AL54" s="529"/>
      <c r="AM54" s="529"/>
      <c r="AN54" s="529"/>
      <c r="AO54" s="529"/>
      <c r="AP54" s="529"/>
      <c r="AQ54" s="529"/>
      <c r="AR54" s="529"/>
      <c r="AS54" s="529"/>
      <c r="AT54" s="529"/>
      <c r="AU54" s="529"/>
      <c r="AV54" s="529"/>
      <c r="AW54" s="529"/>
      <c r="AX54" s="529"/>
      <c r="AY54" s="529"/>
      <c r="AZ54" s="529"/>
      <c r="BA54" s="529"/>
      <c r="BB54" s="529"/>
      <c r="BC54" s="529"/>
      <c r="BD54" s="529"/>
      <c r="BE54" s="529"/>
      <c r="BF54" s="529"/>
      <c r="BG54" s="529"/>
      <c r="BH54" s="529"/>
      <c r="BI54" s="529"/>
      <c r="BJ54" s="529"/>
      <c r="BK54" s="529"/>
      <c r="BL54" s="529"/>
      <c r="BM54" s="529"/>
      <c r="BN54" s="529"/>
      <c r="BO54" s="529"/>
      <c r="BP54" s="529"/>
      <c r="BQ54" s="529"/>
      <c r="BR54" s="529"/>
      <c r="BS54" s="529"/>
      <c r="BT54" s="529"/>
      <c r="BU54" s="529"/>
      <c r="BV54" s="529"/>
      <c r="BW54" s="529"/>
      <c r="BX54" s="529"/>
      <c r="BY54" s="529"/>
      <c r="BZ54" s="529"/>
      <c r="CA54" s="529"/>
      <c r="CB54" s="529"/>
      <c r="CC54" s="529"/>
      <c r="CD54" s="529"/>
      <c r="CE54" s="529"/>
    </row>
    <row r="55" spans="1:86" ht="12" customHeight="1">
      <c r="A55" s="299"/>
      <c r="B55" s="529"/>
      <c r="C55" s="529"/>
      <c r="D55" s="529"/>
      <c r="E55" s="529"/>
      <c r="F55" s="529" t="s">
        <v>307</v>
      </c>
      <c r="G55" s="529" t="s">
        <v>315</v>
      </c>
      <c r="H55" s="529"/>
      <c r="I55" s="529"/>
      <c r="J55" s="529"/>
      <c r="K55" s="529"/>
      <c r="L55" s="529"/>
      <c r="M55" s="529"/>
      <c r="N55" s="529"/>
      <c r="O55" s="529"/>
      <c r="P55" s="529"/>
      <c r="Q55" s="529"/>
      <c r="R55" s="529"/>
      <c r="S55" s="529"/>
      <c r="T55" s="529"/>
      <c r="U55" s="529"/>
      <c r="V55" s="529"/>
      <c r="W55" s="529"/>
      <c r="X55" s="529"/>
      <c r="Y55" s="529"/>
      <c r="Z55" s="529"/>
      <c r="AA55" s="529"/>
      <c r="AB55" s="529"/>
      <c r="AC55" s="529"/>
      <c r="AD55" s="529"/>
      <c r="AE55" s="529"/>
      <c r="AF55" s="529"/>
      <c r="AG55" s="529"/>
      <c r="AH55" s="529"/>
      <c r="AI55" s="529"/>
      <c r="AJ55" s="529"/>
      <c r="AK55" s="529"/>
      <c r="AL55" s="529"/>
      <c r="AM55" s="529"/>
      <c r="AN55" s="529"/>
      <c r="AO55" s="529"/>
      <c r="AP55" s="529"/>
      <c r="AQ55" s="529"/>
      <c r="AR55" s="529"/>
      <c r="AS55" s="529"/>
      <c r="AT55" s="529"/>
      <c r="AU55" s="529"/>
      <c r="AV55" s="529"/>
      <c r="AW55" s="529"/>
      <c r="AX55" s="529"/>
      <c r="AY55" s="529"/>
      <c r="AZ55" s="529"/>
      <c r="BA55" s="529"/>
      <c r="BB55" s="529"/>
      <c r="BC55" s="529"/>
      <c r="BD55" s="529"/>
      <c r="BE55" s="529"/>
      <c r="BF55" s="529"/>
      <c r="BG55" s="529"/>
      <c r="BH55" s="529"/>
      <c r="BI55" s="529"/>
      <c r="BJ55" s="529"/>
      <c r="BK55" s="529"/>
      <c r="BL55" s="529"/>
      <c r="BM55" s="529"/>
      <c r="BN55" s="529"/>
      <c r="BO55" s="529"/>
      <c r="BP55" s="529"/>
      <c r="BQ55" s="529"/>
      <c r="BR55" s="529"/>
      <c r="BS55" s="529"/>
      <c r="BT55" s="529"/>
      <c r="BU55" s="529"/>
      <c r="BV55" s="529"/>
      <c r="BW55" s="529"/>
      <c r="BX55" s="529"/>
      <c r="BY55" s="529"/>
      <c r="BZ55" s="529"/>
      <c r="CA55" s="529"/>
      <c r="CB55" s="529"/>
      <c r="CC55" s="529"/>
      <c r="CD55" s="529"/>
      <c r="CE55" s="529"/>
    </row>
    <row r="56" spans="1:86" ht="12" customHeight="1">
      <c r="A56" s="299"/>
      <c r="B56" s="529"/>
      <c r="C56" s="529"/>
      <c r="D56" s="529"/>
      <c r="E56" s="529"/>
      <c r="F56" s="529" t="s">
        <v>307</v>
      </c>
      <c r="G56" s="529" t="s">
        <v>314</v>
      </c>
      <c r="H56" s="529"/>
      <c r="I56" s="529"/>
      <c r="J56" s="529"/>
      <c r="K56" s="529"/>
      <c r="L56" s="529"/>
      <c r="M56" s="529"/>
      <c r="N56" s="529"/>
      <c r="O56" s="529"/>
      <c r="P56" s="529"/>
      <c r="Q56" s="529"/>
      <c r="R56" s="529"/>
      <c r="S56" s="529"/>
      <c r="T56" s="529"/>
      <c r="U56" s="529"/>
      <c r="V56" s="529"/>
      <c r="W56" s="529"/>
      <c r="X56" s="529"/>
      <c r="Y56" s="529"/>
      <c r="Z56" s="529"/>
      <c r="AA56" s="529"/>
      <c r="AB56" s="529"/>
      <c r="AC56" s="529"/>
      <c r="AD56" s="529"/>
      <c r="AE56" s="529"/>
      <c r="AF56" s="529"/>
      <c r="AG56" s="529"/>
      <c r="AH56" s="529"/>
      <c r="AI56" s="529"/>
      <c r="AJ56" s="529"/>
      <c r="AK56" s="529"/>
      <c r="AL56" s="529"/>
      <c r="AM56" s="529"/>
      <c r="AN56" s="529"/>
      <c r="AO56" s="529"/>
      <c r="AP56" s="529"/>
      <c r="AQ56" s="529"/>
      <c r="AR56" s="529"/>
      <c r="AS56" s="529"/>
      <c r="AT56" s="529"/>
      <c r="AU56" s="529"/>
      <c r="AV56" s="529"/>
      <c r="AW56" s="529"/>
      <c r="AX56" s="529"/>
      <c r="AY56" s="529"/>
      <c r="AZ56" s="529"/>
      <c r="BA56" s="529"/>
      <c r="BB56" s="529"/>
      <c r="BC56" s="529"/>
      <c r="BD56" s="529"/>
      <c r="BE56" s="529"/>
      <c r="BF56" s="529"/>
      <c r="BG56" s="529"/>
      <c r="BH56" s="529"/>
      <c r="BI56" s="529"/>
      <c r="BJ56" s="529"/>
      <c r="BK56" s="529"/>
      <c r="BL56" s="529"/>
      <c r="BM56" s="529"/>
      <c r="BN56" s="529"/>
      <c r="BO56" s="529"/>
      <c r="BP56" s="529"/>
      <c r="BQ56" s="529"/>
      <c r="BR56" s="529"/>
      <c r="BS56" s="529"/>
      <c r="BT56" s="529"/>
      <c r="BU56" s="529"/>
      <c r="BV56" s="529"/>
      <c r="BW56" s="529"/>
      <c r="BX56" s="529"/>
      <c r="BY56" s="529"/>
      <c r="BZ56" s="529"/>
      <c r="CA56" s="529"/>
      <c r="CB56" s="529"/>
      <c r="CC56" s="529"/>
      <c r="CD56" s="529"/>
      <c r="CE56" s="529"/>
    </row>
    <row r="57" spans="1:86" ht="12" customHeight="1">
      <c r="A57" s="299"/>
      <c r="B57" s="529"/>
      <c r="C57" s="529"/>
      <c r="D57" s="529"/>
      <c r="E57" s="529"/>
      <c r="F57" s="529"/>
      <c r="G57" s="529"/>
      <c r="H57" s="529"/>
      <c r="I57" s="529"/>
      <c r="J57" s="529"/>
      <c r="K57" s="529"/>
      <c r="L57" s="529"/>
      <c r="M57" s="529"/>
      <c r="N57" s="529"/>
      <c r="O57" s="529"/>
      <c r="P57" s="529"/>
      <c r="Q57" s="529"/>
      <c r="R57" s="529"/>
      <c r="S57" s="529"/>
      <c r="T57" s="529"/>
      <c r="U57" s="529"/>
      <c r="V57" s="529"/>
      <c r="W57" s="529"/>
      <c r="X57" s="529"/>
      <c r="Y57" s="529"/>
      <c r="Z57" s="529"/>
      <c r="AA57" s="529"/>
      <c r="AB57" s="529"/>
      <c r="AC57" s="529"/>
      <c r="AD57" s="529"/>
      <c r="AE57" s="529"/>
      <c r="AF57" s="529"/>
      <c r="AG57" s="529"/>
      <c r="AH57" s="529"/>
      <c r="AI57" s="529"/>
      <c r="AJ57" s="529"/>
      <c r="AK57" s="529"/>
      <c r="AL57" s="529"/>
      <c r="AM57" s="529"/>
      <c r="AN57" s="529"/>
      <c r="AO57" s="529"/>
      <c r="AP57" s="529"/>
      <c r="AQ57" s="529"/>
      <c r="AR57" s="529"/>
      <c r="AS57" s="529"/>
      <c r="AT57" s="529"/>
      <c r="AU57" s="529"/>
      <c r="AV57" s="529"/>
      <c r="AW57" s="529"/>
      <c r="AX57" s="529"/>
      <c r="AY57" s="529"/>
      <c r="AZ57" s="529"/>
      <c r="BA57" s="529"/>
      <c r="BB57" s="529"/>
      <c r="BC57" s="529"/>
      <c r="BD57" s="529"/>
      <c r="BE57" s="529"/>
      <c r="BF57" s="529"/>
      <c r="BG57" s="529"/>
      <c r="BH57" s="529"/>
      <c r="BI57" s="529"/>
      <c r="BJ57" s="529"/>
      <c r="BK57" s="529"/>
      <c r="BL57" s="529"/>
      <c r="BM57" s="529"/>
      <c r="BN57" s="529"/>
      <c r="BO57" s="529"/>
      <c r="BP57" s="529"/>
      <c r="BQ57" s="529"/>
      <c r="BR57" s="529"/>
      <c r="BS57" s="529"/>
      <c r="BT57" s="529"/>
      <c r="BU57" s="529"/>
      <c r="BV57" s="529"/>
      <c r="BW57" s="529"/>
      <c r="BX57" s="529"/>
      <c r="BY57" s="529"/>
      <c r="BZ57" s="529"/>
      <c r="CA57" s="529"/>
      <c r="CB57" s="529"/>
      <c r="CC57" s="529"/>
      <c r="CD57" s="529"/>
      <c r="CE57" s="529"/>
    </row>
    <row r="58" spans="1:86" ht="12" customHeight="1">
      <c r="A58" s="299"/>
      <c r="B58" s="529"/>
      <c r="C58" s="529"/>
      <c r="D58" s="529"/>
      <c r="E58" s="529" t="s">
        <v>471</v>
      </c>
      <c r="F58" s="529"/>
      <c r="G58" s="529"/>
      <c r="H58" s="529"/>
      <c r="I58" s="529"/>
      <c r="J58" s="529"/>
      <c r="K58" s="529"/>
      <c r="L58" s="529"/>
      <c r="M58" s="529"/>
      <c r="N58" s="529"/>
      <c r="O58" s="529"/>
      <c r="P58" s="529"/>
      <c r="Q58" s="529"/>
      <c r="R58" s="529"/>
      <c r="S58" s="529"/>
      <c r="T58" s="529"/>
      <c r="U58" s="529"/>
      <c r="V58" s="529"/>
      <c r="W58" s="529"/>
      <c r="X58" s="529"/>
      <c r="Y58" s="529"/>
      <c r="Z58" s="529"/>
      <c r="AA58" s="529"/>
      <c r="AB58" s="529"/>
      <c r="AC58" s="529"/>
      <c r="AD58" s="529"/>
      <c r="AE58" s="529"/>
      <c r="AF58" s="529"/>
      <c r="AG58" s="529"/>
      <c r="AH58" s="529"/>
      <c r="AI58" s="529"/>
      <c r="AJ58" s="529"/>
      <c r="AK58" s="529"/>
      <c r="AL58" s="529"/>
      <c r="AM58" s="529"/>
      <c r="AN58" s="529"/>
      <c r="AO58" s="529"/>
      <c r="AP58" s="529"/>
      <c r="AQ58" s="529"/>
      <c r="AR58" s="529"/>
      <c r="AS58" s="529"/>
      <c r="AT58" s="529"/>
      <c r="AU58" s="529"/>
      <c r="AV58" s="529"/>
      <c r="AW58" s="529"/>
      <c r="AX58" s="529"/>
      <c r="AY58" s="529"/>
      <c r="AZ58" s="529"/>
      <c r="BA58" s="529"/>
      <c r="BB58" s="529"/>
      <c r="BC58" s="529"/>
      <c r="BD58" s="529"/>
      <c r="BE58" s="529"/>
      <c r="BF58" s="529"/>
      <c r="BG58" s="529"/>
      <c r="BH58" s="529"/>
      <c r="BI58" s="529"/>
      <c r="BJ58" s="529"/>
      <c r="BK58" s="529"/>
      <c r="BL58" s="529"/>
      <c r="BM58" s="529"/>
      <c r="BN58" s="529"/>
      <c r="BO58" s="529"/>
      <c r="BP58" s="529"/>
      <c r="BQ58" s="529"/>
      <c r="BR58" s="529"/>
      <c r="BS58" s="529"/>
      <c r="BT58" s="529"/>
      <c r="BU58" s="529"/>
      <c r="BV58" s="529"/>
      <c r="BW58" s="529"/>
      <c r="BX58" s="529"/>
      <c r="BY58" s="529"/>
      <c r="BZ58" s="529"/>
      <c r="CA58" s="529"/>
      <c r="CB58" s="529"/>
      <c r="CC58" s="529"/>
      <c r="CD58" s="529"/>
      <c r="CE58" s="529"/>
    </row>
    <row r="59" spans="1:86" ht="12" customHeight="1">
      <c r="A59" s="299"/>
      <c r="B59" s="529"/>
      <c r="C59" s="529"/>
      <c r="D59" s="529"/>
      <c r="E59" s="529"/>
      <c r="F59" s="529"/>
      <c r="G59" s="529"/>
      <c r="H59" s="529"/>
      <c r="I59" s="529"/>
      <c r="J59" s="529"/>
      <c r="K59" s="529"/>
      <c r="L59" s="529"/>
      <c r="M59" s="529"/>
      <c r="N59" s="529"/>
      <c r="O59" s="529"/>
      <c r="P59" s="529"/>
      <c r="Q59" s="529"/>
      <c r="R59" s="529"/>
      <c r="S59" s="529"/>
      <c r="T59" s="529"/>
      <c r="U59" s="529"/>
      <c r="V59" s="529"/>
      <c r="W59" s="529"/>
      <c r="X59" s="529"/>
      <c r="Y59" s="529"/>
      <c r="Z59" s="529"/>
      <c r="AA59" s="529"/>
      <c r="AB59" s="529"/>
      <c r="AC59" s="529"/>
      <c r="AD59" s="529"/>
      <c r="AE59" s="529"/>
      <c r="AF59" s="529"/>
      <c r="AG59" s="529"/>
      <c r="AH59" s="529"/>
      <c r="AI59" s="529"/>
      <c r="AJ59" s="529"/>
      <c r="AK59" s="529"/>
      <c r="AL59" s="529"/>
      <c r="AM59" s="529"/>
      <c r="AN59" s="529"/>
      <c r="AO59" s="529"/>
      <c r="AP59" s="529"/>
      <c r="AQ59" s="529"/>
      <c r="AR59" s="529"/>
      <c r="AS59" s="529"/>
      <c r="AT59" s="529"/>
      <c r="AU59" s="529"/>
      <c r="AV59" s="529"/>
      <c r="AW59" s="529"/>
      <c r="AX59" s="529"/>
      <c r="AY59" s="529"/>
      <c r="AZ59" s="529"/>
      <c r="BA59" s="529"/>
      <c r="BB59" s="529"/>
      <c r="BC59" s="529"/>
      <c r="BD59" s="529"/>
      <c r="BE59" s="529"/>
      <c r="BF59" s="529"/>
      <c r="BG59" s="529"/>
      <c r="BH59" s="529"/>
      <c r="BI59" s="529"/>
      <c r="BJ59" s="529"/>
      <c r="BK59" s="529"/>
      <c r="BL59" s="529"/>
      <c r="BM59" s="529"/>
      <c r="BN59" s="529"/>
      <c r="BO59" s="529"/>
      <c r="BP59" s="529"/>
      <c r="BQ59" s="529"/>
      <c r="BR59" s="529"/>
      <c r="BS59" s="529"/>
      <c r="BT59" s="529"/>
      <c r="BU59" s="529"/>
      <c r="BV59" s="529"/>
      <c r="BW59" s="529"/>
      <c r="BX59" s="529"/>
      <c r="BY59" s="529"/>
      <c r="BZ59" s="529"/>
      <c r="CA59" s="529"/>
      <c r="CB59" s="529"/>
      <c r="CC59" s="529"/>
      <c r="CD59" s="529"/>
      <c r="CE59" s="529"/>
    </row>
    <row r="60" spans="1:86" ht="12" customHeight="1">
      <c r="A60" s="299"/>
      <c r="B60" s="529"/>
      <c r="C60" s="529"/>
      <c r="D60" s="529"/>
      <c r="E60" s="529"/>
      <c r="F60" s="529" t="s">
        <v>307</v>
      </c>
      <c r="G60" s="529" t="s">
        <v>313</v>
      </c>
      <c r="H60" s="529"/>
      <c r="I60" s="529"/>
      <c r="J60" s="529"/>
      <c r="K60" s="529"/>
      <c r="L60" s="529"/>
      <c r="M60" s="529"/>
      <c r="N60" s="529"/>
      <c r="O60" s="529"/>
      <c r="P60" s="529"/>
      <c r="Q60" s="529"/>
      <c r="R60" s="529"/>
      <c r="S60" s="529"/>
      <c r="T60" s="529"/>
      <c r="U60" s="529"/>
      <c r="V60" s="529"/>
      <c r="W60" s="529"/>
      <c r="X60" s="529"/>
      <c r="Y60" s="529"/>
      <c r="Z60" s="529"/>
      <c r="AA60" s="529"/>
      <c r="AB60" s="529"/>
      <c r="AC60" s="529"/>
      <c r="AD60" s="529"/>
      <c r="AE60" s="529"/>
      <c r="AF60" s="529"/>
      <c r="AG60" s="529"/>
      <c r="AH60" s="529"/>
      <c r="AI60" s="529"/>
      <c r="AJ60" s="529"/>
      <c r="AK60" s="529"/>
      <c r="AL60" s="529"/>
      <c r="AM60" s="529"/>
      <c r="AN60" s="529"/>
      <c r="AO60" s="529"/>
      <c r="AP60" s="529"/>
      <c r="AQ60" s="529"/>
      <c r="AR60" s="529"/>
      <c r="AS60" s="529"/>
      <c r="AT60" s="529"/>
      <c r="AU60" s="529"/>
      <c r="AV60" s="529"/>
      <c r="AW60" s="529"/>
      <c r="AX60" s="529"/>
      <c r="AY60" s="529"/>
      <c r="AZ60" s="529"/>
      <c r="BA60" s="529"/>
      <c r="BB60" s="529"/>
      <c r="BC60" s="529"/>
      <c r="BD60" s="529"/>
      <c r="BE60" s="529"/>
      <c r="BF60" s="529"/>
      <c r="BG60" s="529"/>
      <c r="BH60" s="529"/>
      <c r="BI60" s="529"/>
      <c r="BJ60" s="529"/>
      <c r="BK60" s="529"/>
      <c r="BL60" s="529"/>
      <c r="BM60" s="529"/>
      <c r="BN60" s="529"/>
      <c r="BO60" s="529"/>
      <c r="BP60" s="529"/>
      <c r="BQ60" s="529"/>
      <c r="BR60" s="529"/>
      <c r="BS60" s="529"/>
      <c r="BT60" s="529"/>
      <c r="BU60" s="529"/>
      <c r="BV60" s="529"/>
      <c r="BW60" s="529"/>
      <c r="BX60" s="529"/>
      <c r="BY60" s="529"/>
      <c r="BZ60" s="529"/>
      <c r="CA60" s="529"/>
      <c r="CB60" s="529"/>
      <c r="CC60" s="529"/>
      <c r="CD60" s="529"/>
      <c r="CE60" s="529"/>
    </row>
    <row r="61" spans="1:86" ht="12" customHeight="1">
      <c r="A61" s="299"/>
      <c r="B61" s="529"/>
      <c r="C61" s="529"/>
      <c r="D61" s="529"/>
      <c r="E61" s="529"/>
      <c r="F61" s="529" t="s">
        <v>307</v>
      </c>
      <c r="G61" s="529" t="s">
        <v>312</v>
      </c>
      <c r="H61" s="529"/>
      <c r="I61" s="529"/>
      <c r="J61" s="529"/>
      <c r="K61" s="529"/>
      <c r="L61" s="529"/>
      <c r="M61" s="529"/>
      <c r="N61" s="529"/>
      <c r="O61" s="529"/>
      <c r="P61" s="529"/>
      <c r="Q61" s="529"/>
      <c r="R61" s="529"/>
      <c r="S61" s="529"/>
      <c r="T61" s="529"/>
      <c r="U61" s="529"/>
      <c r="V61" s="529"/>
      <c r="W61" s="529"/>
      <c r="X61" s="529"/>
      <c r="Y61" s="529"/>
      <c r="Z61" s="529"/>
      <c r="AA61" s="529"/>
      <c r="AB61" s="529"/>
      <c r="AC61" s="529"/>
      <c r="AD61" s="529"/>
      <c r="AE61" s="529"/>
      <c r="AF61" s="529"/>
      <c r="AG61" s="529"/>
      <c r="AH61" s="529"/>
      <c r="AI61" s="529"/>
      <c r="AJ61" s="529"/>
      <c r="AK61" s="529"/>
      <c r="AL61" s="529"/>
      <c r="AM61" s="529"/>
      <c r="AN61" s="529"/>
      <c r="AO61" s="529"/>
      <c r="AP61" s="529"/>
      <c r="AQ61" s="529"/>
      <c r="AR61" s="529"/>
      <c r="AS61" s="529"/>
      <c r="AT61" s="529"/>
      <c r="AU61" s="529"/>
      <c r="AV61" s="529"/>
      <c r="AW61" s="529"/>
      <c r="AX61" s="529"/>
      <c r="AY61" s="529"/>
      <c r="AZ61" s="529"/>
      <c r="BA61" s="529"/>
      <c r="BB61" s="529"/>
      <c r="BC61" s="529"/>
      <c r="BD61" s="529"/>
      <c r="BE61" s="529"/>
      <c r="BF61" s="529"/>
      <c r="BG61" s="529"/>
      <c r="BH61" s="529"/>
      <c r="BI61" s="529"/>
      <c r="BJ61" s="529"/>
      <c r="BK61" s="529"/>
      <c r="BL61" s="529"/>
      <c r="BM61" s="529"/>
      <c r="BN61" s="529"/>
      <c r="BO61" s="529"/>
      <c r="BP61" s="529"/>
      <c r="BQ61" s="529"/>
      <c r="BR61" s="529"/>
      <c r="BS61" s="529"/>
      <c r="BT61" s="529"/>
      <c r="BU61" s="529"/>
      <c r="BV61" s="529"/>
      <c r="BW61" s="529"/>
      <c r="BX61" s="529"/>
      <c r="BY61" s="529"/>
      <c r="BZ61" s="529"/>
      <c r="CA61" s="529"/>
      <c r="CB61" s="529"/>
      <c r="CC61" s="529"/>
      <c r="CD61" s="529"/>
      <c r="CE61" s="529"/>
    </row>
    <row r="62" spans="1:86" ht="12" customHeight="1">
      <c r="A62" s="299"/>
      <c r="B62" s="529"/>
      <c r="C62" s="529"/>
      <c r="D62" s="529"/>
      <c r="E62" s="529"/>
      <c r="F62" s="529" t="s">
        <v>943</v>
      </c>
      <c r="G62" s="529" t="s">
        <v>944</v>
      </c>
      <c r="H62" s="529"/>
      <c r="I62" s="529"/>
      <c r="J62" s="529"/>
      <c r="K62" s="529"/>
      <c r="L62" s="529"/>
      <c r="M62" s="529"/>
      <c r="N62" s="529"/>
      <c r="O62" s="529"/>
      <c r="P62" s="529"/>
      <c r="Q62" s="529"/>
      <c r="R62" s="529"/>
      <c r="S62" s="529"/>
      <c r="T62" s="529"/>
      <c r="U62" s="529"/>
      <c r="V62" s="529"/>
      <c r="W62" s="529"/>
      <c r="X62" s="529"/>
      <c r="Y62" s="529"/>
      <c r="Z62" s="529"/>
      <c r="AA62" s="529"/>
      <c r="AB62" s="529"/>
      <c r="AC62" s="529"/>
      <c r="AD62" s="529"/>
      <c r="AE62" s="529"/>
      <c r="AF62" s="529"/>
      <c r="AG62" s="529"/>
      <c r="AH62" s="529"/>
      <c r="AI62" s="529"/>
      <c r="AJ62" s="529"/>
      <c r="AK62" s="529"/>
      <c r="AL62" s="529"/>
      <c r="AM62" s="529"/>
      <c r="AN62" s="529"/>
      <c r="AO62" s="529"/>
      <c r="AP62" s="529"/>
      <c r="AQ62" s="529"/>
      <c r="AR62" s="529"/>
      <c r="AS62" s="529"/>
      <c r="AT62" s="529"/>
      <c r="AU62" s="529"/>
      <c r="AV62" s="529"/>
      <c r="AW62" s="529"/>
      <c r="AX62" s="529"/>
      <c r="AY62" s="529"/>
      <c r="AZ62" s="529"/>
      <c r="BA62" s="529"/>
      <c r="BB62" s="529"/>
      <c r="BC62" s="529"/>
      <c r="BD62" s="529"/>
      <c r="BE62" s="529"/>
      <c r="BF62" s="529"/>
      <c r="BG62" s="529"/>
      <c r="BH62" s="529"/>
      <c r="BI62" s="529"/>
      <c r="BJ62" s="529"/>
      <c r="BK62" s="529"/>
      <c r="BL62" s="529"/>
      <c r="BM62" s="529"/>
      <c r="BN62" s="529"/>
      <c r="BO62" s="529"/>
      <c r="BP62" s="529"/>
      <c r="BQ62" s="529"/>
      <c r="BR62" s="529"/>
      <c r="BS62" s="529"/>
      <c r="BT62" s="529"/>
      <c r="BU62" s="529"/>
      <c r="BV62" s="529"/>
      <c r="BW62" s="529"/>
      <c r="BX62" s="529"/>
      <c r="BY62" s="529"/>
      <c r="BZ62" s="529"/>
      <c r="CA62" s="529"/>
      <c r="CB62" s="529"/>
      <c r="CC62" s="529"/>
      <c r="CD62" s="529"/>
      <c r="CE62" s="529"/>
    </row>
    <row r="63" spans="1:86" ht="12" customHeight="1">
      <c r="A63" s="299"/>
      <c r="B63" s="529"/>
      <c r="C63" s="529"/>
      <c r="D63" s="529"/>
      <c r="E63" s="529"/>
      <c r="F63" s="529"/>
      <c r="G63" s="529"/>
      <c r="H63" s="529"/>
      <c r="I63" s="529"/>
      <c r="J63" s="529"/>
      <c r="K63" s="529"/>
      <c r="L63" s="529"/>
      <c r="M63" s="529"/>
      <c r="N63" s="529"/>
      <c r="O63" s="529"/>
      <c r="P63" s="529"/>
      <c r="Q63" s="529"/>
      <c r="R63" s="529"/>
      <c r="S63" s="529"/>
      <c r="T63" s="529"/>
      <c r="U63" s="529"/>
      <c r="V63" s="529"/>
      <c r="W63" s="529"/>
      <c r="X63" s="529"/>
      <c r="Y63" s="529"/>
      <c r="Z63" s="529"/>
      <c r="AA63" s="529"/>
      <c r="AB63" s="529"/>
      <c r="AC63" s="529"/>
      <c r="AD63" s="529"/>
      <c r="AE63" s="529"/>
      <c r="AF63" s="529"/>
      <c r="AG63" s="529"/>
      <c r="AH63" s="529"/>
      <c r="AI63" s="529"/>
      <c r="AJ63" s="529"/>
      <c r="AK63" s="529"/>
      <c r="AL63" s="529"/>
      <c r="AM63" s="529"/>
      <c r="AN63" s="529"/>
      <c r="AO63" s="529"/>
      <c r="AP63" s="529"/>
      <c r="AQ63" s="529"/>
      <c r="AR63" s="529"/>
      <c r="AS63" s="529"/>
      <c r="AT63" s="529"/>
      <c r="AU63" s="529"/>
      <c r="AV63" s="529"/>
      <c r="AW63" s="529"/>
      <c r="AX63" s="529"/>
      <c r="AY63" s="529"/>
      <c r="AZ63" s="529"/>
      <c r="BA63" s="529"/>
      <c r="BB63" s="529"/>
      <c r="BC63" s="529"/>
      <c r="BD63" s="529"/>
      <c r="BE63" s="529"/>
      <c r="BF63" s="529"/>
      <c r="BG63" s="529"/>
      <c r="BH63" s="529"/>
      <c r="BI63" s="529"/>
      <c r="BJ63" s="529"/>
      <c r="BK63" s="529"/>
      <c r="BL63" s="529"/>
      <c r="BM63" s="529"/>
      <c r="BN63" s="529"/>
      <c r="BO63" s="529"/>
      <c r="BP63" s="529"/>
      <c r="BQ63" s="529"/>
      <c r="BR63" s="529"/>
      <c r="BS63" s="529"/>
      <c r="BT63" s="529"/>
      <c r="BU63" s="529"/>
      <c r="BV63" s="529"/>
      <c r="BW63" s="529"/>
      <c r="BX63" s="529"/>
      <c r="BY63" s="529"/>
      <c r="BZ63" s="529"/>
      <c r="CA63" s="529"/>
      <c r="CB63" s="529"/>
      <c r="CC63" s="529"/>
      <c r="CD63" s="529"/>
      <c r="CE63" s="529"/>
    </row>
    <row r="64" spans="1:86" ht="12" customHeight="1">
      <c r="A64" s="299"/>
      <c r="B64" s="529"/>
      <c r="C64" s="529"/>
      <c r="D64" s="529"/>
      <c r="E64" s="529"/>
      <c r="F64" s="529"/>
      <c r="G64" s="208" t="s">
        <v>337</v>
      </c>
      <c r="H64" s="209"/>
      <c r="I64" s="209"/>
      <c r="J64" s="209"/>
      <c r="K64" s="210"/>
      <c r="L64" s="208" t="s">
        <v>336</v>
      </c>
      <c r="M64" s="209"/>
      <c r="N64" s="209"/>
      <c r="O64" s="209"/>
      <c r="P64" s="209"/>
      <c r="Q64" s="209"/>
      <c r="R64" s="209"/>
      <c r="S64" s="209"/>
      <c r="T64" s="209"/>
      <c r="U64" s="209"/>
      <c r="V64" s="209"/>
      <c r="W64" s="209"/>
      <c r="X64" s="209"/>
      <c r="Y64" s="210"/>
      <c r="Z64" s="209" t="s">
        <v>945</v>
      </c>
      <c r="AA64" s="209"/>
      <c r="AB64" s="209"/>
      <c r="AC64" s="209"/>
      <c r="AD64" s="209"/>
      <c r="AE64" s="209"/>
      <c r="AF64" s="209"/>
      <c r="AG64" s="209"/>
      <c r="AH64" s="209"/>
      <c r="AI64" s="209"/>
      <c r="AJ64" s="209"/>
      <c r="AK64" s="209"/>
      <c r="AL64" s="209"/>
      <c r="AM64" s="209"/>
      <c r="AN64" s="209"/>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10"/>
      <c r="BO64" s="529"/>
      <c r="BP64" s="529"/>
      <c r="BQ64" s="529"/>
      <c r="BR64" s="529"/>
      <c r="BS64" s="529"/>
      <c r="BT64" s="529"/>
      <c r="BU64" s="529"/>
      <c r="BV64" s="529"/>
      <c r="BW64" s="529"/>
      <c r="BX64" s="529"/>
      <c r="BY64" s="529"/>
      <c r="BZ64" s="529"/>
      <c r="CA64" s="529"/>
      <c r="CB64" s="529"/>
      <c r="CC64" s="529"/>
      <c r="CD64" s="529"/>
      <c r="CE64" s="529"/>
    </row>
    <row r="65" spans="1:95" ht="12" customHeight="1">
      <c r="A65" s="299"/>
      <c r="B65" s="529"/>
      <c r="C65" s="529"/>
      <c r="D65" s="529"/>
      <c r="E65" s="529"/>
      <c r="F65" s="529"/>
      <c r="G65" s="530" t="s">
        <v>946</v>
      </c>
      <c r="H65" s="527"/>
      <c r="I65" s="527"/>
      <c r="J65" s="527"/>
      <c r="K65" s="531"/>
      <c r="L65" s="530" t="s">
        <v>947</v>
      </c>
      <c r="M65" s="527"/>
      <c r="N65" s="527"/>
      <c r="O65" s="527"/>
      <c r="P65" s="527"/>
      <c r="Q65" s="527"/>
      <c r="R65" s="527"/>
      <c r="S65" s="527"/>
      <c r="T65" s="527"/>
      <c r="U65" s="527"/>
      <c r="V65" s="527"/>
      <c r="W65" s="527"/>
      <c r="X65" s="527"/>
      <c r="Y65" s="531"/>
      <c r="Z65" s="527" t="s">
        <v>948</v>
      </c>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31"/>
      <c r="BO65" s="529"/>
      <c r="BP65" s="529"/>
      <c r="BQ65" s="529"/>
      <c r="BR65" s="529"/>
      <c r="BS65" s="529"/>
      <c r="BT65" s="529"/>
      <c r="BU65" s="529"/>
      <c r="BV65" s="529"/>
      <c r="BW65" s="529"/>
      <c r="BX65" s="529"/>
      <c r="BY65" s="529"/>
      <c r="BZ65" s="529"/>
      <c r="CA65" s="529"/>
      <c r="CB65" s="529"/>
      <c r="CC65" s="529"/>
      <c r="CD65" s="529"/>
      <c r="CE65" s="529"/>
    </row>
    <row r="66" spans="1:95" ht="12" customHeight="1">
      <c r="A66" s="299"/>
      <c r="B66" s="529"/>
      <c r="C66" s="529"/>
      <c r="D66" s="529"/>
      <c r="E66" s="529"/>
      <c r="F66" s="529"/>
      <c r="G66" s="292"/>
      <c r="H66" s="293"/>
      <c r="I66" s="293"/>
      <c r="J66" s="293"/>
      <c r="K66" s="294"/>
      <c r="L66" s="292"/>
      <c r="M66" s="293"/>
      <c r="N66" s="293"/>
      <c r="O66" s="293"/>
      <c r="P66" s="293"/>
      <c r="Q66" s="293"/>
      <c r="R66" s="293"/>
      <c r="S66" s="293"/>
      <c r="T66" s="293"/>
      <c r="U66" s="293"/>
      <c r="V66" s="293"/>
      <c r="W66" s="293"/>
      <c r="X66" s="293"/>
      <c r="Y66" s="294"/>
      <c r="Z66" s="293"/>
      <c r="AA66" s="293"/>
      <c r="AB66" s="293"/>
      <c r="AC66" s="293"/>
      <c r="AD66" s="293"/>
      <c r="AE66" s="293"/>
      <c r="AF66" s="293"/>
      <c r="AG66" s="293"/>
      <c r="AH66" s="293"/>
      <c r="AI66" s="293"/>
      <c r="AJ66" s="293"/>
      <c r="AK66" s="293"/>
      <c r="AL66" s="293"/>
      <c r="AM66" s="293"/>
      <c r="AN66" s="293"/>
      <c r="AO66" s="293"/>
      <c r="AP66" s="293"/>
      <c r="AQ66" s="293"/>
      <c r="AR66" s="293"/>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4"/>
      <c r="BO66" s="529"/>
      <c r="BP66" s="529"/>
      <c r="BQ66" s="529"/>
      <c r="BR66" s="529"/>
      <c r="BS66" s="529"/>
      <c r="BT66" s="529"/>
      <c r="BU66" s="529"/>
      <c r="BV66" s="529"/>
      <c r="BW66" s="529"/>
      <c r="BX66" s="529"/>
      <c r="BY66" s="529"/>
      <c r="BZ66" s="529"/>
      <c r="CA66" s="529"/>
      <c r="CB66" s="529"/>
      <c r="CC66" s="529"/>
      <c r="CD66" s="529"/>
      <c r="CE66" s="529"/>
    </row>
    <row r="67" spans="1:95" ht="12" customHeight="1">
      <c r="A67" s="299"/>
      <c r="B67" s="529"/>
      <c r="C67" s="529"/>
      <c r="D67" s="529"/>
      <c r="E67" s="529"/>
      <c r="F67" s="529"/>
      <c r="G67" s="528" t="s">
        <v>949</v>
      </c>
      <c r="H67" s="529"/>
      <c r="I67" s="529"/>
      <c r="J67" s="529"/>
      <c r="K67" s="44"/>
      <c r="L67" s="528" t="s">
        <v>950</v>
      </c>
      <c r="M67" s="529"/>
      <c r="N67" s="529"/>
      <c r="O67" s="529"/>
      <c r="P67" s="529"/>
      <c r="Q67" s="529"/>
      <c r="R67" s="529"/>
      <c r="S67" s="529"/>
      <c r="T67" s="529"/>
      <c r="U67" s="529"/>
      <c r="V67" s="529"/>
      <c r="W67" s="529"/>
      <c r="X67" s="529"/>
      <c r="Y67" s="44"/>
      <c r="Z67" s="529" t="s">
        <v>951</v>
      </c>
      <c r="AA67" s="529"/>
      <c r="AB67" s="529"/>
      <c r="AC67" s="529"/>
      <c r="AD67" s="529"/>
      <c r="AE67" s="529"/>
      <c r="AF67" s="529"/>
      <c r="AG67" s="529"/>
      <c r="AH67" s="529"/>
      <c r="AI67" s="529"/>
      <c r="AJ67" s="529"/>
      <c r="AK67" s="529"/>
      <c r="AL67" s="529"/>
      <c r="AM67" s="529"/>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44"/>
      <c r="BO67" s="529"/>
      <c r="BP67" s="529"/>
      <c r="BQ67" s="529"/>
      <c r="BR67" s="529"/>
      <c r="BS67" s="529"/>
      <c r="BT67" s="529"/>
      <c r="BU67" s="529"/>
      <c r="BV67" s="529"/>
      <c r="BW67" s="529"/>
      <c r="BX67" s="529"/>
      <c r="BY67" s="529"/>
      <c r="BZ67" s="529"/>
      <c r="CA67" s="529"/>
      <c r="CB67" s="529"/>
      <c r="CC67" s="529"/>
      <c r="CD67" s="529"/>
      <c r="CE67" s="529"/>
    </row>
    <row r="68" spans="1:95" ht="12" customHeight="1">
      <c r="A68" s="299"/>
      <c r="B68" s="529"/>
      <c r="C68" s="529"/>
      <c r="D68" s="529"/>
      <c r="E68" s="529"/>
      <c r="F68" s="529"/>
      <c r="G68" s="528"/>
      <c r="H68" s="529"/>
      <c r="I68" s="529"/>
      <c r="J68" s="529"/>
      <c r="K68" s="44"/>
      <c r="L68" s="528"/>
      <c r="M68" s="529"/>
      <c r="N68" s="529"/>
      <c r="O68" s="529"/>
      <c r="P68" s="529"/>
      <c r="Q68" s="529"/>
      <c r="R68" s="529"/>
      <c r="S68" s="529"/>
      <c r="T68" s="529"/>
      <c r="U68" s="529"/>
      <c r="V68" s="529"/>
      <c r="W68" s="529"/>
      <c r="X68" s="529"/>
      <c r="Y68" s="44"/>
      <c r="Z68" s="529" t="s">
        <v>952</v>
      </c>
      <c r="AA68" s="529"/>
      <c r="AB68" s="529"/>
      <c r="AC68" s="529"/>
      <c r="AD68" s="529"/>
      <c r="AE68" s="529"/>
      <c r="AF68" s="529"/>
      <c r="AG68" s="529"/>
      <c r="AH68" s="529"/>
      <c r="AI68" s="529"/>
      <c r="AJ68" s="529"/>
      <c r="AK68" s="529"/>
      <c r="AL68" s="529"/>
      <c r="AM68" s="529"/>
      <c r="AN68" s="529"/>
      <c r="AO68" s="529"/>
      <c r="AP68" s="529"/>
      <c r="AQ68" s="529"/>
      <c r="AR68" s="529"/>
      <c r="AS68" s="529"/>
      <c r="AT68" s="529"/>
      <c r="AU68" s="529"/>
      <c r="AV68" s="529"/>
      <c r="AW68" s="529"/>
      <c r="AX68" s="529"/>
      <c r="AY68" s="529"/>
      <c r="AZ68" s="529"/>
      <c r="BA68" s="529"/>
      <c r="BB68" s="529"/>
      <c r="BC68" s="529"/>
      <c r="BD68" s="529"/>
      <c r="BE68" s="529"/>
      <c r="BF68" s="529"/>
      <c r="BG68" s="529"/>
      <c r="BH68" s="529"/>
      <c r="BI68" s="529"/>
      <c r="BJ68" s="529"/>
      <c r="BK68" s="529"/>
      <c r="BL68" s="529"/>
      <c r="BM68" s="529"/>
      <c r="BN68" s="44"/>
      <c r="BO68" s="529"/>
      <c r="BP68" s="529"/>
      <c r="BQ68" s="529"/>
      <c r="BR68" s="529"/>
      <c r="BS68" s="529"/>
      <c r="BT68" s="529"/>
      <c r="BU68" s="529"/>
      <c r="BV68" s="529"/>
      <c r="BW68" s="529"/>
      <c r="BX68" s="529"/>
      <c r="BY68" s="529"/>
      <c r="BZ68" s="529"/>
      <c r="CA68" s="529"/>
      <c r="CB68" s="529"/>
      <c r="CC68" s="529"/>
      <c r="CD68" s="529"/>
      <c r="CE68" s="529"/>
    </row>
    <row r="69" spans="1:95" ht="12" customHeight="1">
      <c r="A69" s="299"/>
      <c r="B69" s="529"/>
      <c r="C69" s="529"/>
      <c r="D69" s="529"/>
      <c r="E69" s="529"/>
      <c r="F69" s="529"/>
      <c r="G69" s="528"/>
      <c r="H69" s="529"/>
      <c r="I69" s="529"/>
      <c r="J69" s="529"/>
      <c r="K69" s="44"/>
      <c r="L69" s="530" t="s">
        <v>322</v>
      </c>
      <c r="M69" s="527"/>
      <c r="N69" s="527"/>
      <c r="O69" s="527"/>
      <c r="P69" s="527"/>
      <c r="Q69" s="527"/>
      <c r="R69" s="527"/>
      <c r="S69" s="527"/>
      <c r="T69" s="527"/>
      <c r="U69" s="527"/>
      <c r="V69" s="527"/>
      <c r="W69" s="527"/>
      <c r="X69" s="527"/>
      <c r="Y69" s="531"/>
      <c r="Z69" s="527" t="s">
        <v>948</v>
      </c>
      <c r="AA69" s="527"/>
      <c r="AB69" s="527"/>
      <c r="AC69" s="527"/>
      <c r="AD69" s="527"/>
      <c r="AE69" s="527"/>
      <c r="AF69" s="527"/>
      <c r="AG69" s="527"/>
      <c r="AH69" s="527"/>
      <c r="AI69" s="527"/>
      <c r="AJ69" s="527"/>
      <c r="AK69" s="527"/>
      <c r="AL69" s="527"/>
      <c r="AM69" s="527"/>
      <c r="AN69" s="527"/>
      <c r="AO69" s="527"/>
      <c r="AP69" s="527"/>
      <c r="AQ69" s="527"/>
      <c r="AR69" s="527"/>
      <c r="AS69" s="527"/>
      <c r="AT69" s="527"/>
      <c r="AU69" s="527"/>
      <c r="AV69" s="527"/>
      <c r="AW69" s="527"/>
      <c r="AX69" s="527"/>
      <c r="AY69" s="527"/>
      <c r="AZ69" s="527"/>
      <c r="BA69" s="527"/>
      <c r="BB69" s="527"/>
      <c r="BC69" s="527"/>
      <c r="BD69" s="527"/>
      <c r="BE69" s="527"/>
      <c r="BF69" s="527"/>
      <c r="BG69" s="527"/>
      <c r="BH69" s="527"/>
      <c r="BI69" s="527"/>
      <c r="BJ69" s="527"/>
      <c r="BK69" s="527"/>
      <c r="BL69" s="527"/>
      <c r="BM69" s="527"/>
      <c r="BN69" s="531"/>
      <c r="BO69" s="529"/>
      <c r="BP69" s="529"/>
      <c r="BQ69" s="529"/>
      <c r="BR69" s="529"/>
      <c r="BS69" s="529"/>
      <c r="BT69" s="529"/>
      <c r="BU69" s="529"/>
      <c r="BV69" s="529"/>
      <c r="BW69" s="529"/>
      <c r="BX69" s="529"/>
      <c r="BY69" s="529"/>
      <c r="BZ69" s="529"/>
      <c r="CA69" s="529"/>
      <c r="CB69" s="529"/>
      <c r="CC69" s="529"/>
      <c r="CD69" s="529"/>
      <c r="CE69" s="529"/>
    </row>
    <row r="70" spans="1:95" ht="12" customHeight="1">
      <c r="A70" s="299"/>
      <c r="B70" s="529"/>
      <c r="C70" s="529"/>
      <c r="D70" s="529"/>
      <c r="E70" s="529"/>
      <c r="F70" s="529"/>
      <c r="G70" s="292"/>
      <c r="H70" s="293"/>
      <c r="I70" s="293"/>
      <c r="J70" s="293"/>
      <c r="K70" s="294"/>
      <c r="L70" s="292"/>
      <c r="M70" s="293"/>
      <c r="N70" s="293"/>
      <c r="O70" s="293"/>
      <c r="P70" s="293"/>
      <c r="Q70" s="293"/>
      <c r="R70" s="293"/>
      <c r="S70" s="293"/>
      <c r="T70" s="293"/>
      <c r="U70" s="293"/>
      <c r="V70" s="293"/>
      <c r="W70" s="293"/>
      <c r="X70" s="293"/>
      <c r="Y70" s="294"/>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4"/>
      <c r="BO70" s="529"/>
      <c r="BP70" s="529"/>
      <c r="BQ70" s="529"/>
      <c r="BR70" s="529"/>
      <c r="BS70" s="529"/>
      <c r="BT70" s="529"/>
      <c r="BU70" s="529"/>
      <c r="BV70" s="529"/>
      <c r="BW70" s="529"/>
      <c r="BX70" s="529"/>
      <c r="BY70" s="529"/>
      <c r="BZ70" s="529"/>
      <c r="CA70" s="529"/>
      <c r="CB70" s="529"/>
      <c r="CC70" s="529"/>
      <c r="CD70" s="529"/>
      <c r="CE70" s="529"/>
    </row>
    <row r="71" spans="1:95" ht="12" customHeight="1">
      <c r="A71" s="299"/>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29"/>
      <c r="AF71" s="529"/>
      <c r="AG71" s="529"/>
      <c r="AH71" s="529"/>
      <c r="AI71" s="529"/>
      <c r="AJ71" s="529"/>
      <c r="AK71" s="529"/>
      <c r="AL71" s="529"/>
      <c r="AM71" s="529"/>
      <c r="AN71" s="529"/>
      <c r="AO71" s="529"/>
      <c r="AP71" s="529"/>
      <c r="AQ71" s="529"/>
      <c r="AR71" s="529"/>
      <c r="AS71" s="529"/>
      <c r="AT71" s="529"/>
      <c r="AU71" s="529"/>
      <c r="AV71" s="529"/>
      <c r="AW71" s="529"/>
      <c r="AX71" s="529"/>
      <c r="AY71" s="529"/>
      <c r="AZ71" s="529"/>
      <c r="BA71" s="529"/>
      <c r="BB71" s="529"/>
      <c r="BC71" s="529"/>
      <c r="BD71" s="529"/>
      <c r="BE71" s="529"/>
      <c r="BF71" s="529"/>
      <c r="BG71" s="529"/>
      <c r="BH71" s="529"/>
      <c r="BI71" s="529"/>
      <c r="BJ71" s="529"/>
      <c r="BK71" s="529"/>
      <c r="BL71" s="529"/>
      <c r="BM71" s="529"/>
      <c r="BN71" s="529"/>
      <c r="BO71" s="529"/>
      <c r="BP71" s="529"/>
      <c r="BQ71" s="529"/>
      <c r="BR71" s="529"/>
      <c r="BS71" s="529"/>
      <c r="BT71" s="529"/>
      <c r="BU71" s="529"/>
      <c r="BV71" s="529"/>
      <c r="BW71" s="529"/>
      <c r="BX71" s="529"/>
      <c r="BY71" s="529"/>
      <c r="BZ71" s="529"/>
      <c r="CA71" s="529"/>
      <c r="CB71" s="529"/>
      <c r="CC71" s="529"/>
      <c r="CD71" s="529"/>
      <c r="CE71" s="529"/>
    </row>
    <row r="72" spans="1:95" ht="12" customHeight="1">
      <c r="A72" s="299"/>
      <c r="B72" s="529"/>
      <c r="C72" s="529"/>
      <c r="D72" s="529"/>
      <c r="E72" s="529"/>
      <c r="F72" s="529"/>
      <c r="G72" s="529"/>
      <c r="H72" s="529"/>
      <c r="I72" s="529"/>
      <c r="J72" s="529"/>
      <c r="K72" s="529"/>
      <c r="L72" s="529"/>
      <c r="M72" s="529"/>
      <c r="N72" s="529"/>
      <c r="O72" s="529"/>
      <c r="P72" s="529"/>
      <c r="Q72" s="529"/>
      <c r="R72" s="529"/>
      <c r="S72" s="529"/>
      <c r="T72" s="529"/>
      <c r="U72" s="529"/>
      <c r="V72" s="529"/>
      <c r="W72" s="529"/>
      <c r="X72" s="529"/>
      <c r="Y72" s="529"/>
      <c r="Z72" s="529"/>
      <c r="AA72" s="529"/>
      <c r="AB72" s="529"/>
      <c r="AC72" s="529"/>
      <c r="AD72" s="529"/>
      <c r="AE72" s="529"/>
      <c r="AF72" s="529"/>
      <c r="AG72" s="529"/>
      <c r="AH72" s="529"/>
      <c r="AI72" s="529"/>
      <c r="AJ72" s="529"/>
      <c r="AK72" s="529"/>
      <c r="AL72" s="529"/>
      <c r="AM72" s="529"/>
      <c r="AN72" s="529"/>
      <c r="AO72" s="529"/>
      <c r="AP72" s="529"/>
      <c r="AQ72" s="529"/>
      <c r="AR72" s="529"/>
      <c r="AS72" s="529"/>
      <c r="AT72" s="529"/>
      <c r="AU72" s="529"/>
      <c r="AV72" s="529"/>
      <c r="AW72" s="529"/>
      <c r="AX72" s="529"/>
      <c r="AY72" s="529"/>
      <c r="AZ72" s="529"/>
      <c r="BA72" s="529"/>
      <c r="BB72" s="529"/>
      <c r="BC72" s="529"/>
      <c r="BD72" s="529"/>
      <c r="BE72" s="529"/>
      <c r="BF72" s="529"/>
      <c r="BG72" s="529"/>
      <c r="BH72" s="529"/>
      <c r="BI72" s="529"/>
      <c r="BJ72" s="529"/>
      <c r="BK72" s="529"/>
      <c r="BL72" s="529"/>
      <c r="BM72" s="529"/>
      <c r="BN72" s="529"/>
      <c r="BO72" s="529"/>
      <c r="BP72" s="529"/>
      <c r="BQ72" s="529"/>
      <c r="BR72" s="529"/>
      <c r="BS72" s="529"/>
      <c r="BT72" s="529"/>
      <c r="BU72" s="529"/>
      <c r="BV72" s="529"/>
      <c r="BW72" s="529"/>
      <c r="BX72" s="529"/>
      <c r="BY72" s="529"/>
      <c r="BZ72" s="529"/>
      <c r="CA72" s="529"/>
      <c r="CB72" s="529"/>
      <c r="CC72" s="529"/>
      <c r="CD72" s="529"/>
      <c r="CE72" s="529"/>
    </row>
    <row r="73" spans="1:95" ht="12" customHeight="1">
      <c r="A73" s="299"/>
      <c r="B73" s="529"/>
      <c r="C73" s="529" t="s">
        <v>1152</v>
      </c>
      <c r="D73" s="529"/>
      <c r="E73" s="529"/>
      <c r="F73" s="529"/>
      <c r="G73" s="529"/>
      <c r="H73" s="529"/>
      <c r="I73" s="529"/>
      <c r="J73" s="529"/>
      <c r="K73" s="529"/>
      <c r="L73" s="529"/>
      <c r="M73" s="529"/>
      <c r="N73" s="529"/>
      <c r="O73" s="529"/>
      <c r="P73" s="529"/>
      <c r="Q73" s="529"/>
      <c r="R73" s="529"/>
      <c r="S73" s="529"/>
      <c r="T73" s="529"/>
      <c r="U73" s="529"/>
      <c r="V73" s="529"/>
      <c r="W73" s="529"/>
      <c r="X73" s="529"/>
      <c r="Y73" s="529"/>
      <c r="Z73" s="529"/>
      <c r="AA73" s="529"/>
      <c r="AB73" s="529"/>
      <c r="AC73" s="529"/>
      <c r="AD73" s="529"/>
      <c r="AE73" s="529"/>
      <c r="AF73" s="529"/>
      <c r="AG73" s="529"/>
      <c r="AH73" s="529"/>
      <c r="AI73" s="529"/>
      <c r="AJ73" s="529"/>
      <c r="AK73" s="529"/>
      <c r="AL73" s="529"/>
      <c r="AM73" s="529"/>
      <c r="AN73" s="529"/>
      <c r="AO73" s="529"/>
      <c r="AP73" s="529"/>
      <c r="AQ73" s="529"/>
      <c r="AR73" s="529"/>
      <c r="AS73" s="529"/>
      <c r="AT73" s="529"/>
      <c r="AU73" s="529"/>
      <c r="AV73" s="529"/>
      <c r="AW73" s="529"/>
      <c r="AX73" s="529"/>
      <c r="AY73" s="529"/>
      <c r="AZ73" s="529"/>
      <c r="BA73" s="529"/>
      <c r="BB73" s="529"/>
      <c r="BC73" s="529"/>
      <c r="BD73" s="529"/>
      <c r="BE73" s="529"/>
      <c r="BF73" s="529"/>
      <c r="BG73" s="529"/>
      <c r="BH73" s="529"/>
      <c r="BI73" s="529"/>
      <c r="BJ73" s="529"/>
      <c r="BK73" s="529"/>
      <c r="BL73" s="529"/>
      <c r="BM73" s="529"/>
      <c r="BN73" s="529"/>
      <c r="BO73" s="529"/>
      <c r="BP73" s="529"/>
      <c r="BQ73" s="529"/>
      <c r="BR73" s="529"/>
      <c r="BS73" s="529"/>
      <c r="BT73" s="529"/>
      <c r="BU73" s="529"/>
      <c r="BV73" s="529"/>
      <c r="BW73" s="529"/>
      <c r="BX73" s="529"/>
      <c r="BY73" s="529"/>
      <c r="BZ73" s="529"/>
      <c r="CA73" s="529"/>
      <c r="CB73" s="529"/>
      <c r="CC73" s="529"/>
      <c r="CD73" s="529"/>
      <c r="CE73" s="529"/>
    </row>
    <row r="74" spans="1:95" ht="12" customHeight="1">
      <c r="A74" s="299"/>
      <c r="B74" s="529"/>
      <c r="C74" s="529"/>
      <c r="D74" s="529"/>
      <c r="E74" s="529"/>
      <c r="F74" s="529"/>
      <c r="G74" s="529"/>
      <c r="H74" s="529"/>
      <c r="I74" s="529"/>
      <c r="J74" s="529"/>
      <c r="K74" s="529"/>
      <c r="L74" s="529"/>
      <c r="M74" s="529"/>
      <c r="N74" s="529"/>
      <c r="O74" s="529"/>
      <c r="P74" s="529"/>
      <c r="Q74" s="529"/>
      <c r="R74" s="529"/>
      <c r="S74" s="529"/>
      <c r="T74" s="529"/>
      <c r="U74" s="529"/>
      <c r="V74" s="529"/>
      <c r="W74" s="529"/>
      <c r="X74" s="529"/>
      <c r="Y74" s="529"/>
      <c r="Z74" s="529"/>
      <c r="AA74" s="529"/>
      <c r="AB74" s="529"/>
      <c r="AC74" s="529"/>
      <c r="AD74" s="529"/>
      <c r="AE74" s="529"/>
      <c r="AF74" s="529"/>
      <c r="AG74" s="529"/>
      <c r="AH74" s="529"/>
      <c r="AI74" s="529"/>
      <c r="AJ74" s="529"/>
      <c r="AK74" s="529"/>
      <c r="AL74" s="529"/>
      <c r="AM74" s="529"/>
      <c r="AN74" s="529"/>
      <c r="AO74" s="529"/>
      <c r="AP74" s="529"/>
      <c r="AQ74" s="529"/>
      <c r="AR74" s="529"/>
      <c r="AS74" s="529"/>
      <c r="AT74" s="529"/>
      <c r="AU74" s="529"/>
      <c r="AV74" s="529"/>
      <c r="AW74" s="529"/>
      <c r="AX74" s="529"/>
      <c r="AY74" s="529"/>
      <c r="AZ74" s="529"/>
      <c r="BA74" s="529"/>
      <c r="BB74" s="529"/>
      <c r="BC74" s="529"/>
      <c r="BD74" s="529"/>
      <c r="BE74" s="529"/>
      <c r="BF74" s="529"/>
      <c r="BG74" s="529"/>
      <c r="BH74" s="529"/>
      <c r="BI74" s="529"/>
      <c r="BJ74" s="529"/>
      <c r="BK74" s="529"/>
      <c r="BL74" s="529"/>
      <c r="BM74" s="529"/>
      <c r="BN74" s="529"/>
      <c r="BO74" s="529"/>
      <c r="BP74" s="529"/>
      <c r="BQ74" s="529"/>
      <c r="BR74" s="529"/>
      <c r="BS74" s="529"/>
      <c r="BT74" s="529"/>
      <c r="BU74" s="529"/>
      <c r="BV74" s="529"/>
      <c r="BW74" s="529"/>
      <c r="BX74" s="529"/>
      <c r="BY74" s="529"/>
      <c r="BZ74" s="529"/>
      <c r="CA74" s="529"/>
      <c r="CB74" s="529"/>
      <c r="CC74" s="529"/>
      <c r="CD74" s="529"/>
      <c r="CE74" s="529"/>
    </row>
    <row r="75" spans="1:95" ht="12" customHeight="1">
      <c r="A75" s="299"/>
      <c r="B75" s="529"/>
      <c r="C75" s="529"/>
      <c r="D75" s="529" t="s">
        <v>1153</v>
      </c>
      <c r="E75" s="529"/>
      <c r="F75" s="529"/>
      <c r="G75" s="529"/>
      <c r="H75" s="529"/>
      <c r="I75" s="529"/>
      <c r="J75" s="529"/>
      <c r="K75" s="529"/>
      <c r="L75" s="529"/>
      <c r="M75" s="529"/>
      <c r="N75" s="529"/>
      <c r="O75" s="529"/>
      <c r="P75" s="529"/>
      <c r="Q75" s="529"/>
      <c r="R75" s="529"/>
      <c r="S75" s="529"/>
      <c r="T75" s="529"/>
      <c r="U75" s="529"/>
      <c r="V75" s="529"/>
      <c r="W75" s="529"/>
      <c r="X75" s="529"/>
      <c r="Y75" s="529"/>
      <c r="Z75" s="529"/>
      <c r="AA75" s="529"/>
      <c r="AB75" s="529"/>
      <c r="AC75" s="529"/>
      <c r="AD75" s="529"/>
      <c r="AE75" s="529"/>
      <c r="AF75" s="529"/>
      <c r="AG75" s="529"/>
      <c r="AH75" s="529"/>
      <c r="AI75" s="529"/>
      <c r="AJ75" s="529"/>
      <c r="AK75" s="529"/>
      <c r="AL75" s="529"/>
      <c r="AM75" s="529"/>
      <c r="AN75" s="529"/>
      <c r="AO75" s="529"/>
      <c r="AP75" s="529"/>
      <c r="AQ75" s="529"/>
      <c r="AR75" s="529"/>
      <c r="AS75" s="529"/>
      <c r="AT75" s="529"/>
      <c r="AU75" s="529"/>
      <c r="AV75" s="529"/>
      <c r="AW75" s="529"/>
      <c r="AX75" s="529"/>
      <c r="AY75" s="529"/>
      <c r="AZ75" s="529"/>
      <c r="BA75" s="529"/>
      <c r="BB75" s="529"/>
      <c r="BC75" s="529"/>
      <c r="BD75" s="529"/>
      <c r="BE75" s="529"/>
      <c r="BF75" s="529"/>
      <c r="BG75" s="529"/>
      <c r="BH75" s="529"/>
      <c r="BI75" s="529"/>
      <c r="BJ75" s="529"/>
      <c r="BK75" s="529"/>
      <c r="BL75" s="529"/>
      <c r="BM75" s="529"/>
      <c r="BN75" s="529"/>
      <c r="BO75" s="529"/>
      <c r="BP75" s="529"/>
      <c r="BQ75" s="529"/>
      <c r="BR75" s="529"/>
      <c r="BS75" s="529"/>
      <c r="BT75" s="529"/>
      <c r="BU75" s="529"/>
      <c r="BV75" s="529"/>
      <c r="BW75" s="529"/>
      <c r="BX75" s="529"/>
      <c r="BY75" s="529"/>
      <c r="BZ75" s="529"/>
      <c r="CA75" s="529"/>
      <c r="CB75" s="529"/>
      <c r="CC75" s="529"/>
      <c r="CD75" s="529"/>
      <c r="CE75" s="529"/>
      <c r="CF75" s="391"/>
    </row>
    <row r="76" spans="1:95" ht="12" customHeight="1">
      <c r="A76" s="299"/>
      <c r="B76" s="529"/>
      <c r="C76" s="529"/>
      <c r="D76" s="529"/>
      <c r="E76" s="529"/>
      <c r="F76" s="529"/>
      <c r="G76" s="529"/>
      <c r="H76" s="529"/>
      <c r="I76" s="529"/>
      <c r="J76" s="529"/>
      <c r="K76" s="529"/>
      <c r="L76" s="529"/>
      <c r="M76" s="529"/>
      <c r="N76" s="529"/>
      <c r="O76" s="529"/>
      <c r="P76" s="529"/>
      <c r="Q76" s="529"/>
      <c r="R76" s="529"/>
      <c r="S76" s="529"/>
      <c r="T76" s="529"/>
      <c r="U76" s="529"/>
      <c r="V76" s="529"/>
      <c r="W76" s="529"/>
      <c r="X76" s="529"/>
      <c r="Y76" s="529"/>
      <c r="Z76" s="529"/>
      <c r="AA76" s="529"/>
      <c r="AB76" s="529"/>
      <c r="AC76" s="529"/>
      <c r="AD76" s="529"/>
      <c r="AE76" s="529"/>
      <c r="AF76" s="529"/>
      <c r="AG76" s="529"/>
      <c r="AH76" s="529"/>
      <c r="AI76" s="529"/>
      <c r="AJ76" s="529"/>
      <c r="AK76" s="529"/>
      <c r="AL76" s="529"/>
      <c r="AM76" s="529"/>
      <c r="AN76" s="529"/>
      <c r="AO76" s="529"/>
      <c r="AP76" s="529"/>
      <c r="AQ76" s="529"/>
      <c r="AR76" s="529"/>
      <c r="AS76" s="529"/>
      <c r="AT76" s="529"/>
      <c r="AU76" s="529"/>
      <c r="AV76" s="529"/>
      <c r="AW76" s="529"/>
      <c r="AX76" s="529"/>
      <c r="AY76" s="529"/>
      <c r="AZ76" s="529"/>
      <c r="BA76" s="529"/>
      <c r="BB76" s="529"/>
      <c r="BC76" s="529"/>
      <c r="BD76" s="529"/>
      <c r="BE76" s="529"/>
      <c r="BF76" s="529"/>
      <c r="BG76" s="529"/>
      <c r="BH76" s="529"/>
      <c r="BI76" s="529"/>
      <c r="BJ76" s="529"/>
      <c r="BK76" s="529"/>
      <c r="BL76" s="529"/>
      <c r="BM76" s="529"/>
      <c r="BN76" s="529"/>
      <c r="BO76" s="529"/>
      <c r="BP76" s="529"/>
      <c r="BQ76" s="529"/>
      <c r="BR76" s="529"/>
      <c r="BS76" s="529"/>
      <c r="BT76" s="529"/>
      <c r="BU76" s="529"/>
      <c r="BV76" s="529"/>
      <c r="BW76" s="529"/>
      <c r="BX76" s="529"/>
      <c r="BY76" s="529"/>
      <c r="BZ76" s="529"/>
      <c r="CA76" s="529"/>
      <c r="CB76" s="529"/>
      <c r="CC76" s="529"/>
      <c r="CD76" s="529"/>
      <c r="CE76" s="529"/>
      <c r="CF76" s="391"/>
      <c r="CG76" s="2"/>
      <c r="CH76" s="2"/>
      <c r="CI76" s="2"/>
      <c r="CJ76" s="2"/>
      <c r="CK76" s="2"/>
      <c r="CL76" s="2"/>
      <c r="CM76" s="2"/>
      <c r="CN76" s="2"/>
      <c r="CO76" s="2"/>
      <c r="CP76" s="2"/>
      <c r="CQ76" s="2"/>
    </row>
    <row r="77" spans="1:95" ht="12" customHeight="1">
      <c r="A77" s="299"/>
      <c r="B77" s="529"/>
      <c r="C77" s="529"/>
      <c r="D77" s="529"/>
      <c r="E77" s="529" t="s">
        <v>472</v>
      </c>
      <c r="F77" s="529"/>
      <c r="G77" s="529"/>
      <c r="H77" s="529"/>
      <c r="I77" s="529"/>
      <c r="J77" s="529"/>
      <c r="K77" s="529"/>
      <c r="L77" s="529"/>
      <c r="M77" s="529"/>
      <c r="N77" s="529"/>
      <c r="O77" s="529"/>
      <c r="P77" s="529"/>
      <c r="Q77" s="529"/>
      <c r="R77" s="529"/>
      <c r="S77" s="529"/>
      <c r="T77" s="529"/>
      <c r="U77" s="529"/>
      <c r="V77" s="529"/>
      <c r="W77" s="529"/>
      <c r="X77" s="529"/>
      <c r="Y77" s="529"/>
      <c r="Z77" s="529"/>
      <c r="AA77" s="529"/>
      <c r="AB77" s="529"/>
      <c r="AC77" s="529"/>
      <c r="AD77" s="529"/>
      <c r="AE77" s="529"/>
      <c r="AF77" s="529"/>
      <c r="AG77" s="529"/>
      <c r="AH77" s="529"/>
      <c r="AI77" s="529"/>
      <c r="AJ77" s="529"/>
      <c r="AK77" s="529"/>
      <c r="AL77" s="529"/>
      <c r="AM77" s="529"/>
      <c r="AN77" s="529"/>
      <c r="AO77" s="529"/>
      <c r="AP77" s="529"/>
      <c r="AQ77" s="529"/>
      <c r="AR77" s="529"/>
      <c r="AS77" s="529"/>
      <c r="AT77" s="529"/>
      <c r="AU77" s="529"/>
      <c r="AV77" s="529"/>
      <c r="AW77" s="529"/>
      <c r="AX77" s="529"/>
      <c r="AY77" s="529"/>
      <c r="AZ77" s="529"/>
      <c r="BA77" s="529"/>
      <c r="BB77" s="529"/>
      <c r="BC77" s="529"/>
      <c r="BD77" s="529"/>
      <c r="BE77" s="529"/>
      <c r="BF77" s="529"/>
      <c r="BG77" s="529"/>
      <c r="BH77" s="529"/>
      <c r="BI77" s="529"/>
      <c r="BJ77" s="529"/>
      <c r="BK77" s="529"/>
      <c r="BL77" s="529"/>
      <c r="BM77" s="529"/>
      <c r="BN77" s="529"/>
      <c r="BO77" s="529"/>
      <c r="BP77" s="529"/>
      <c r="BQ77" s="529"/>
      <c r="BR77" s="529"/>
      <c r="BS77" s="529"/>
      <c r="BT77" s="529"/>
      <c r="BU77" s="529"/>
      <c r="BV77" s="529"/>
      <c r="BW77" s="529"/>
      <c r="BX77" s="529"/>
      <c r="BY77" s="529"/>
      <c r="BZ77" s="529"/>
      <c r="CA77" s="529"/>
      <c r="CB77" s="529"/>
      <c r="CC77" s="529"/>
      <c r="CD77" s="529"/>
      <c r="CE77" s="529"/>
      <c r="CF77" s="391"/>
      <c r="CG77" s="2"/>
      <c r="CH77" s="2"/>
      <c r="CI77" s="2"/>
      <c r="CJ77" s="2"/>
      <c r="CK77" s="2"/>
      <c r="CL77" s="2"/>
      <c r="CM77" s="2"/>
      <c r="CN77" s="2"/>
      <c r="CO77" s="2"/>
      <c r="CP77" s="2"/>
      <c r="CQ77" s="2"/>
    </row>
    <row r="78" spans="1:95" ht="12" customHeight="1">
      <c r="A78" s="299"/>
      <c r="B78" s="529"/>
      <c r="C78" s="529"/>
      <c r="D78" s="529"/>
      <c r="E78" s="529"/>
      <c r="F78" s="529"/>
      <c r="G78" s="529"/>
      <c r="H78" s="529"/>
      <c r="I78" s="529"/>
      <c r="J78" s="529"/>
      <c r="K78" s="529"/>
      <c r="L78" s="529"/>
      <c r="M78" s="529"/>
      <c r="N78" s="529"/>
      <c r="O78" s="529"/>
      <c r="P78" s="529"/>
      <c r="Q78" s="529"/>
      <c r="R78" s="529"/>
      <c r="S78" s="529"/>
      <c r="T78" s="529"/>
      <c r="U78" s="529"/>
      <c r="V78" s="529"/>
      <c r="W78" s="529"/>
      <c r="X78" s="529"/>
      <c r="Y78" s="529"/>
      <c r="Z78" s="529"/>
      <c r="AA78" s="529"/>
      <c r="AB78" s="529"/>
      <c r="AC78" s="529"/>
      <c r="AD78" s="529"/>
      <c r="AE78" s="529"/>
      <c r="AF78" s="529"/>
      <c r="AG78" s="529"/>
      <c r="AH78" s="529"/>
      <c r="AI78" s="529"/>
      <c r="AJ78" s="529"/>
      <c r="AK78" s="529"/>
      <c r="AL78" s="529"/>
      <c r="AM78" s="529"/>
      <c r="AN78" s="529"/>
      <c r="AO78" s="529"/>
      <c r="AP78" s="529"/>
      <c r="AQ78" s="529"/>
      <c r="AR78" s="529"/>
      <c r="AS78" s="529"/>
      <c r="AT78" s="529"/>
      <c r="AU78" s="529"/>
      <c r="AV78" s="529"/>
      <c r="AW78" s="529"/>
      <c r="AX78" s="529"/>
      <c r="AY78" s="529"/>
      <c r="AZ78" s="529"/>
      <c r="BA78" s="529"/>
      <c r="BB78" s="529"/>
      <c r="BC78" s="529"/>
      <c r="BD78" s="529"/>
      <c r="BE78" s="529"/>
      <c r="BF78" s="529"/>
      <c r="BG78" s="529"/>
      <c r="BH78" s="529"/>
      <c r="BI78" s="529"/>
      <c r="BJ78" s="529"/>
      <c r="BK78" s="529"/>
      <c r="BL78" s="529"/>
      <c r="BM78" s="529"/>
      <c r="BN78" s="529"/>
      <c r="BO78" s="529"/>
      <c r="BP78" s="529"/>
      <c r="BQ78" s="529"/>
      <c r="BR78" s="529"/>
      <c r="BS78" s="529"/>
      <c r="BT78" s="529"/>
      <c r="BU78" s="529"/>
      <c r="BV78" s="529"/>
      <c r="BW78" s="529"/>
      <c r="BX78" s="529"/>
      <c r="BY78" s="529"/>
      <c r="BZ78" s="529"/>
      <c r="CA78" s="529"/>
      <c r="CB78" s="529"/>
      <c r="CC78" s="529"/>
      <c r="CD78" s="529"/>
      <c r="CE78" s="529"/>
      <c r="CF78" s="391"/>
      <c r="CG78" s="2"/>
      <c r="CH78" s="2"/>
      <c r="CI78" s="2"/>
      <c r="CJ78" s="2"/>
      <c r="CK78" s="2"/>
      <c r="CL78" s="2"/>
      <c r="CM78" s="2"/>
      <c r="CN78" s="2"/>
      <c r="CO78" s="2"/>
      <c r="CP78" s="2"/>
      <c r="CQ78" s="2"/>
    </row>
    <row r="79" spans="1:95" ht="12" customHeight="1">
      <c r="A79" s="299"/>
      <c r="B79" s="529"/>
      <c r="C79" s="529"/>
      <c r="D79" s="529"/>
      <c r="E79" s="529"/>
      <c r="F79" s="529" t="s">
        <v>307</v>
      </c>
      <c r="G79" s="529" t="s">
        <v>311</v>
      </c>
      <c r="I79" s="529"/>
      <c r="J79" s="529"/>
      <c r="K79" s="529"/>
      <c r="L79" s="529"/>
      <c r="M79" s="529"/>
      <c r="N79" s="529"/>
      <c r="O79" s="529"/>
      <c r="P79" s="529"/>
      <c r="Q79" s="529"/>
      <c r="R79" s="529"/>
      <c r="S79" s="529"/>
      <c r="T79" s="529"/>
      <c r="U79" s="529"/>
      <c r="V79" s="529"/>
      <c r="W79" s="529"/>
      <c r="X79" s="529"/>
      <c r="Y79" s="529"/>
      <c r="Z79" s="529"/>
      <c r="AA79" s="529"/>
      <c r="AB79" s="529"/>
      <c r="AC79" s="529"/>
      <c r="AD79" s="529"/>
      <c r="AE79" s="529"/>
      <c r="AF79" s="529"/>
      <c r="AG79" s="529"/>
      <c r="AH79" s="529"/>
      <c r="AI79" s="529"/>
      <c r="AJ79" s="529"/>
      <c r="AK79" s="529"/>
      <c r="AL79" s="529"/>
      <c r="AM79" s="529"/>
      <c r="AN79" s="529"/>
      <c r="AO79" s="529"/>
      <c r="AP79" s="529"/>
      <c r="AQ79" s="529"/>
      <c r="AR79" s="529"/>
      <c r="AS79" s="529"/>
      <c r="AT79" s="529"/>
      <c r="AU79" s="529"/>
      <c r="AV79" s="529"/>
      <c r="AW79" s="529"/>
      <c r="AX79" s="529"/>
      <c r="AY79" s="529"/>
      <c r="AZ79" s="529"/>
      <c r="BA79" s="529"/>
      <c r="BB79" s="529"/>
      <c r="BC79" s="529"/>
      <c r="BD79" s="529"/>
      <c r="BE79" s="529"/>
      <c r="BF79" s="529"/>
      <c r="BG79" s="529"/>
      <c r="BH79" s="529"/>
      <c r="BI79" s="529"/>
      <c r="BJ79" s="529"/>
      <c r="BK79" s="529"/>
      <c r="BL79" s="529"/>
      <c r="BM79" s="529"/>
      <c r="BN79" s="529"/>
      <c r="BO79" s="529"/>
      <c r="BP79" s="529"/>
      <c r="BQ79" s="529"/>
      <c r="BR79" s="529"/>
      <c r="BS79" s="529"/>
      <c r="BT79" s="529"/>
      <c r="BU79" s="529"/>
      <c r="BV79" s="529"/>
      <c r="BW79" s="529"/>
      <c r="BX79" s="529"/>
      <c r="BY79" s="529"/>
      <c r="BZ79" s="529"/>
      <c r="CA79" s="529"/>
      <c r="CB79" s="529"/>
      <c r="CC79" s="529"/>
      <c r="CD79" s="529"/>
      <c r="CE79" s="529"/>
      <c r="CF79" s="391"/>
      <c r="CG79" s="2"/>
      <c r="CH79" s="2"/>
      <c r="CI79" s="2"/>
      <c r="CJ79" s="2"/>
      <c r="CK79" s="2"/>
      <c r="CL79" s="2"/>
      <c r="CM79" s="2"/>
      <c r="CN79" s="2"/>
      <c r="CO79" s="2"/>
      <c r="CP79" s="2"/>
      <c r="CQ79" s="2"/>
    </row>
    <row r="80" spans="1:95" ht="12" customHeight="1">
      <c r="A80" s="299"/>
      <c r="B80" s="529"/>
      <c r="C80" s="529"/>
      <c r="D80" s="529"/>
      <c r="E80" s="529"/>
      <c r="F80" s="529" t="s">
        <v>307</v>
      </c>
      <c r="G80" s="529" t="s">
        <v>310</v>
      </c>
      <c r="I80" s="529"/>
      <c r="J80" s="529"/>
      <c r="K80" s="529"/>
      <c r="L80" s="529"/>
      <c r="M80" s="529"/>
      <c r="N80" s="529"/>
      <c r="O80" s="529"/>
      <c r="P80" s="529"/>
      <c r="Q80" s="529"/>
      <c r="R80" s="529"/>
      <c r="S80" s="529"/>
      <c r="T80" s="529"/>
      <c r="U80" s="529"/>
      <c r="V80" s="529"/>
      <c r="W80" s="529"/>
      <c r="X80" s="529"/>
      <c r="Y80" s="529"/>
      <c r="Z80" s="529"/>
      <c r="AA80" s="529"/>
      <c r="AB80" s="529"/>
      <c r="AC80" s="529"/>
      <c r="AD80" s="529"/>
      <c r="AE80" s="529"/>
      <c r="AF80" s="529"/>
      <c r="AG80" s="529"/>
      <c r="AH80" s="529"/>
      <c r="AI80" s="529"/>
      <c r="AJ80" s="529"/>
      <c r="AK80" s="529"/>
      <c r="AL80" s="529"/>
      <c r="AM80" s="529"/>
      <c r="AN80" s="529"/>
      <c r="AO80" s="529"/>
      <c r="AP80" s="529"/>
      <c r="AQ80" s="529"/>
      <c r="AR80" s="529"/>
      <c r="AS80" s="529"/>
      <c r="AT80" s="529"/>
      <c r="AU80" s="529"/>
      <c r="AV80" s="529"/>
      <c r="AW80" s="529"/>
      <c r="AX80" s="529"/>
      <c r="AY80" s="529"/>
      <c r="AZ80" s="529"/>
      <c r="BA80" s="529"/>
      <c r="BB80" s="529"/>
      <c r="BC80" s="529"/>
      <c r="BD80" s="529"/>
      <c r="BE80" s="529"/>
      <c r="BF80" s="529"/>
      <c r="BG80" s="529"/>
      <c r="BH80" s="529"/>
      <c r="BI80" s="529"/>
      <c r="BJ80" s="529"/>
      <c r="BK80" s="529"/>
      <c r="BL80" s="529"/>
      <c r="BM80" s="529"/>
      <c r="BN80" s="529"/>
      <c r="BO80" s="529"/>
      <c r="BP80" s="529"/>
      <c r="BQ80" s="529"/>
      <c r="BR80" s="529"/>
      <c r="BS80" s="529"/>
      <c r="BT80" s="529"/>
      <c r="BU80" s="529"/>
      <c r="BV80" s="529"/>
      <c r="BW80" s="529"/>
      <c r="BX80" s="529"/>
      <c r="BY80" s="529"/>
      <c r="BZ80" s="529"/>
      <c r="CA80" s="529"/>
      <c r="CB80" s="529"/>
      <c r="CC80" s="529"/>
      <c r="CD80" s="529"/>
      <c r="CE80" s="529"/>
      <c r="CF80" s="391"/>
      <c r="CG80" s="2"/>
      <c r="CH80" s="2"/>
      <c r="CI80" s="2"/>
      <c r="CJ80" s="2"/>
      <c r="CK80" s="2"/>
      <c r="CL80" s="2"/>
      <c r="CM80" s="2"/>
      <c r="CN80" s="2"/>
      <c r="CO80" s="2"/>
      <c r="CP80" s="2"/>
      <c r="CQ80" s="2"/>
    </row>
    <row r="81" spans="1:95" ht="12" customHeight="1">
      <c r="A81" s="299"/>
      <c r="B81" s="529"/>
      <c r="C81" s="529"/>
      <c r="D81" s="529"/>
      <c r="E81" s="529"/>
      <c r="F81" s="529" t="s">
        <v>307</v>
      </c>
      <c r="G81" s="529" t="s">
        <v>309</v>
      </c>
      <c r="I81" s="529"/>
      <c r="J81" s="529"/>
      <c r="K81" s="529"/>
      <c r="L81" s="529"/>
      <c r="M81" s="529"/>
      <c r="N81" s="529"/>
      <c r="O81" s="529"/>
      <c r="P81" s="529"/>
      <c r="Q81" s="529"/>
      <c r="R81" s="529"/>
      <c r="S81" s="529"/>
      <c r="T81" s="529"/>
      <c r="U81" s="529"/>
      <c r="V81" s="529"/>
      <c r="W81" s="529"/>
      <c r="X81" s="529"/>
      <c r="Y81" s="529"/>
      <c r="Z81" s="529"/>
      <c r="AA81" s="529"/>
      <c r="AB81" s="529"/>
      <c r="AC81" s="529"/>
      <c r="AD81" s="529"/>
      <c r="AE81" s="529"/>
      <c r="AF81" s="529"/>
      <c r="AG81" s="529"/>
      <c r="AH81" s="529"/>
      <c r="AI81" s="529"/>
      <c r="AJ81" s="529"/>
      <c r="AK81" s="529"/>
      <c r="AL81" s="529"/>
      <c r="AM81" s="529"/>
      <c r="AN81" s="529"/>
      <c r="AO81" s="529"/>
      <c r="AP81" s="529"/>
      <c r="AQ81" s="529"/>
      <c r="AR81" s="529"/>
      <c r="AS81" s="529"/>
      <c r="AT81" s="529"/>
      <c r="AU81" s="529"/>
      <c r="AV81" s="529"/>
      <c r="AW81" s="529"/>
      <c r="AX81" s="529"/>
      <c r="AY81" s="529"/>
      <c r="AZ81" s="529"/>
      <c r="BA81" s="529"/>
      <c r="BB81" s="529"/>
      <c r="BC81" s="529"/>
      <c r="BD81" s="529"/>
      <c r="BE81" s="529"/>
      <c r="BF81" s="529"/>
      <c r="BG81" s="529"/>
      <c r="BH81" s="529"/>
      <c r="BI81" s="529"/>
      <c r="BJ81" s="529"/>
      <c r="BK81" s="529"/>
      <c r="BL81" s="529"/>
      <c r="BM81" s="529"/>
      <c r="BN81" s="529"/>
      <c r="BO81" s="529"/>
      <c r="BP81" s="529"/>
      <c r="BQ81" s="529"/>
      <c r="BR81" s="529"/>
      <c r="BS81" s="529"/>
      <c r="BT81" s="529"/>
      <c r="BU81" s="529"/>
      <c r="BV81" s="529"/>
      <c r="BW81" s="529"/>
      <c r="BX81" s="529"/>
      <c r="BY81" s="529"/>
      <c r="BZ81" s="529"/>
      <c r="CA81" s="529"/>
      <c r="CB81" s="529"/>
      <c r="CC81" s="529"/>
      <c r="CD81" s="529"/>
      <c r="CE81" s="529"/>
      <c r="CF81" s="391"/>
      <c r="CG81" s="2"/>
      <c r="CH81" s="2"/>
      <c r="CI81" s="2"/>
      <c r="CJ81" s="2"/>
      <c r="CK81" s="2"/>
      <c r="CL81" s="2"/>
      <c r="CM81" s="2"/>
      <c r="CN81" s="2"/>
      <c r="CO81" s="2"/>
      <c r="CP81" s="2"/>
      <c r="CQ81" s="2"/>
    </row>
    <row r="82" spans="1:95" ht="12" customHeight="1">
      <c r="A82" s="299"/>
      <c r="B82" s="529"/>
      <c r="C82" s="529"/>
      <c r="D82" s="529"/>
      <c r="E82" s="529"/>
      <c r="F82" s="529" t="s">
        <v>307</v>
      </c>
      <c r="G82" s="529" t="s">
        <v>308</v>
      </c>
      <c r="I82" s="529"/>
      <c r="J82" s="529"/>
      <c r="K82" s="529"/>
      <c r="L82" s="529"/>
      <c r="M82" s="529"/>
      <c r="N82" s="529"/>
      <c r="O82" s="529"/>
      <c r="P82" s="529"/>
      <c r="Q82" s="529"/>
      <c r="R82" s="529"/>
      <c r="S82" s="529"/>
      <c r="T82" s="529"/>
      <c r="U82" s="529"/>
      <c r="V82" s="529"/>
      <c r="W82" s="529"/>
      <c r="X82" s="529"/>
      <c r="Y82" s="529"/>
      <c r="Z82" s="529"/>
      <c r="AA82" s="529"/>
      <c r="AB82" s="529"/>
      <c r="AC82" s="529"/>
      <c r="AD82" s="529"/>
      <c r="AE82" s="529"/>
      <c r="AF82" s="529"/>
      <c r="AG82" s="529"/>
      <c r="AH82" s="529"/>
      <c r="AI82" s="529"/>
      <c r="AJ82" s="529"/>
      <c r="AK82" s="529"/>
      <c r="AL82" s="529"/>
      <c r="AM82" s="529"/>
      <c r="AN82" s="529"/>
      <c r="AO82" s="529"/>
      <c r="AP82" s="529"/>
      <c r="AQ82" s="529"/>
      <c r="AR82" s="529"/>
      <c r="AS82" s="529"/>
      <c r="AT82" s="529"/>
      <c r="AU82" s="529"/>
      <c r="AV82" s="529"/>
      <c r="AW82" s="529"/>
      <c r="AX82" s="529"/>
      <c r="AY82" s="529"/>
      <c r="AZ82" s="529"/>
      <c r="BA82" s="529"/>
      <c r="BB82" s="529"/>
      <c r="BC82" s="529"/>
      <c r="BD82" s="529"/>
      <c r="BE82" s="529"/>
      <c r="BF82" s="529"/>
      <c r="BG82" s="529"/>
      <c r="BH82" s="529"/>
      <c r="BI82" s="529"/>
      <c r="BJ82" s="529"/>
      <c r="BK82" s="529"/>
      <c r="BL82" s="529"/>
      <c r="BM82" s="529"/>
      <c r="BN82" s="529"/>
      <c r="BO82" s="529"/>
      <c r="BP82" s="529"/>
      <c r="BQ82" s="529"/>
      <c r="BR82" s="529"/>
      <c r="BS82" s="529"/>
      <c r="BT82" s="529"/>
      <c r="BU82" s="529"/>
      <c r="BV82" s="529"/>
      <c r="BW82" s="529"/>
      <c r="BX82" s="529"/>
      <c r="BY82" s="529"/>
      <c r="BZ82" s="529"/>
      <c r="CA82" s="529"/>
      <c r="CB82" s="529"/>
      <c r="CC82" s="529"/>
      <c r="CD82" s="529"/>
      <c r="CE82" s="529"/>
      <c r="CF82" s="391"/>
      <c r="CG82" s="2"/>
      <c r="CH82" s="2"/>
      <c r="CI82" s="2"/>
      <c r="CJ82" s="2"/>
      <c r="CK82" s="2"/>
      <c r="CL82" s="2"/>
      <c r="CM82" s="2"/>
      <c r="CN82" s="2"/>
      <c r="CO82" s="2"/>
      <c r="CP82" s="2"/>
      <c r="CQ82" s="2"/>
    </row>
    <row r="83" spans="1:95" ht="12" customHeight="1">
      <c r="A83" s="299"/>
      <c r="B83" s="529"/>
      <c r="C83" s="529"/>
      <c r="D83" s="529"/>
      <c r="E83" s="529"/>
      <c r="F83" s="529" t="s">
        <v>307</v>
      </c>
      <c r="G83" s="529" t="s">
        <v>306</v>
      </c>
      <c r="I83" s="529"/>
      <c r="J83" s="529"/>
      <c r="K83" s="529"/>
      <c r="L83" s="529"/>
      <c r="M83" s="529"/>
      <c r="N83" s="529"/>
      <c r="O83" s="529"/>
      <c r="P83" s="529"/>
      <c r="Q83" s="529"/>
      <c r="R83" s="529"/>
      <c r="S83" s="529"/>
      <c r="T83" s="529"/>
      <c r="U83" s="529"/>
      <c r="V83" s="529"/>
      <c r="W83" s="529"/>
      <c r="X83" s="529"/>
      <c r="Y83" s="529"/>
      <c r="Z83" s="529"/>
      <c r="AA83" s="529"/>
      <c r="AB83" s="529"/>
      <c r="AC83" s="529"/>
      <c r="AD83" s="529"/>
      <c r="AE83" s="529"/>
      <c r="AF83" s="529"/>
      <c r="AG83" s="529"/>
      <c r="AH83" s="529"/>
      <c r="AI83" s="529"/>
      <c r="AJ83" s="529"/>
      <c r="AK83" s="529"/>
      <c r="AL83" s="529"/>
      <c r="AM83" s="529"/>
      <c r="AN83" s="529"/>
      <c r="AO83" s="529"/>
      <c r="AP83" s="529"/>
      <c r="AQ83" s="529"/>
      <c r="AR83" s="529"/>
      <c r="AS83" s="529"/>
      <c r="AT83" s="529"/>
      <c r="AU83" s="529"/>
      <c r="AV83" s="529"/>
      <c r="AW83" s="529"/>
      <c r="AX83" s="529"/>
      <c r="AY83" s="529"/>
      <c r="AZ83" s="529"/>
      <c r="BA83" s="529"/>
      <c r="BB83" s="529"/>
      <c r="BC83" s="529"/>
      <c r="BD83" s="529"/>
      <c r="BE83" s="529"/>
      <c r="BF83" s="529"/>
      <c r="BG83" s="529"/>
      <c r="BH83" s="529"/>
      <c r="BI83" s="529"/>
      <c r="BJ83" s="529"/>
      <c r="BK83" s="529"/>
      <c r="BL83" s="529"/>
      <c r="BM83" s="529"/>
      <c r="BN83" s="529"/>
      <c r="BO83" s="529"/>
      <c r="BP83" s="529"/>
      <c r="BQ83" s="529"/>
      <c r="BR83" s="529"/>
      <c r="BS83" s="529"/>
      <c r="BT83" s="529"/>
      <c r="BU83" s="529"/>
      <c r="BV83" s="529"/>
      <c r="BW83" s="529"/>
      <c r="BX83" s="529"/>
      <c r="BY83" s="529"/>
      <c r="BZ83" s="529"/>
      <c r="CA83" s="529"/>
      <c r="CB83" s="529"/>
      <c r="CC83" s="529"/>
      <c r="CD83" s="529"/>
      <c r="CE83" s="529"/>
      <c r="CF83" s="391"/>
      <c r="CG83" s="2"/>
      <c r="CH83" s="2"/>
      <c r="CI83" s="2"/>
      <c r="CJ83" s="2"/>
      <c r="CK83" s="2"/>
      <c r="CL83" s="2"/>
      <c r="CM83" s="2"/>
      <c r="CN83" s="2"/>
      <c r="CO83" s="2"/>
      <c r="CP83" s="2"/>
      <c r="CQ83" s="2"/>
    </row>
    <row r="84" spans="1:95" ht="12" customHeight="1">
      <c r="A84" s="299"/>
      <c r="B84" s="529"/>
      <c r="C84" s="529"/>
      <c r="D84" s="529"/>
      <c r="E84" s="529"/>
      <c r="F84" s="529"/>
      <c r="G84" s="529"/>
      <c r="H84" s="529"/>
      <c r="I84" s="529"/>
      <c r="J84" s="529"/>
      <c r="K84" s="529"/>
      <c r="L84" s="529"/>
      <c r="M84" s="529"/>
      <c r="N84" s="529"/>
      <c r="O84" s="529"/>
      <c r="P84" s="529"/>
      <c r="Q84" s="529"/>
      <c r="R84" s="529"/>
      <c r="S84" s="529"/>
      <c r="T84" s="529"/>
      <c r="U84" s="529"/>
      <c r="V84" s="529"/>
      <c r="W84" s="529"/>
      <c r="X84" s="529"/>
      <c r="Y84" s="529"/>
      <c r="Z84" s="529"/>
      <c r="AA84" s="529"/>
      <c r="AB84" s="529"/>
      <c r="AC84" s="529"/>
      <c r="AD84" s="529"/>
      <c r="AE84" s="529"/>
      <c r="AF84" s="529"/>
      <c r="AG84" s="529"/>
      <c r="AH84" s="529"/>
      <c r="AI84" s="529"/>
      <c r="AJ84" s="529"/>
      <c r="AK84" s="529"/>
      <c r="AL84" s="529"/>
      <c r="AM84" s="529"/>
      <c r="AN84" s="529"/>
      <c r="AO84" s="529"/>
      <c r="AP84" s="529"/>
      <c r="AQ84" s="529"/>
      <c r="AR84" s="529"/>
      <c r="AS84" s="529"/>
      <c r="AT84" s="529"/>
      <c r="AU84" s="529"/>
      <c r="AV84" s="529"/>
      <c r="AW84" s="529"/>
      <c r="AX84" s="529"/>
      <c r="AY84" s="529"/>
      <c r="AZ84" s="529"/>
      <c r="BA84" s="529"/>
      <c r="BB84" s="529"/>
      <c r="BC84" s="529"/>
      <c r="BD84" s="529"/>
      <c r="BE84" s="529"/>
      <c r="BF84" s="529"/>
      <c r="BG84" s="529"/>
      <c r="BH84" s="529"/>
      <c r="BI84" s="529"/>
      <c r="BJ84" s="529"/>
      <c r="BK84" s="529"/>
      <c r="BL84" s="529"/>
      <c r="BM84" s="529"/>
      <c r="BN84" s="529"/>
      <c r="BO84" s="529"/>
      <c r="BP84" s="529"/>
      <c r="BQ84" s="529"/>
      <c r="BR84" s="529"/>
      <c r="BS84" s="529"/>
      <c r="BT84" s="529"/>
      <c r="BU84" s="529"/>
      <c r="BV84" s="529"/>
      <c r="BW84" s="529"/>
      <c r="BX84" s="529"/>
      <c r="BY84" s="529"/>
      <c r="BZ84" s="529"/>
      <c r="CA84" s="529"/>
      <c r="CB84" s="529"/>
      <c r="CC84" s="529"/>
      <c r="CD84" s="529"/>
      <c r="CE84" s="529"/>
      <c r="CF84" s="391"/>
      <c r="CG84" s="2"/>
      <c r="CH84" s="2"/>
      <c r="CI84" s="2"/>
      <c r="CJ84" s="2"/>
      <c r="CK84" s="2"/>
      <c r="CL84" s="2"/>
      <c r="CM84" s="2"/>
      <c r="CN84" s="2"/>
      <c r="CO84" s="2"/>
      <c r="CP84" s="2"/>
      <c r="CQ84" s="2"/>
    </row>
    <row r="85" spans="1:95" ht="12" customHeight="1">
      <c r="A85" s="299"/>
      <c r="B85" s="529"/>
      <c r="C85" s="529"/>
      <c r="D85" s="529"/>
      <c r="E85" s="529" t="s">
        <v>473</v>
      </c>
      <c r="F85" s="529"/>
      <c r="G85" s="529"/>
      <c r="H85" s="529"/>
      <c r="I85" s="529"/>
      <c r="J85" s="529"/>
      <c r="K85" s="529"/>
      <c r="L85" s="529"/>
      <c r="M85" s="529"/>
      <c r="N85" s="529"/>
      <c r="O85" s="529"/>
      <c r="P85" s="529"/>
      <c r="Q85" s="529"/>
      <c r="R85" s="529"/>
      <c r="S85" s="529"/>
      <c r="T85" s="529"/>
      <c r="U85" s="529"/>
      <c r="V85" s="529"/>
      <c r="W85" s="529"/>
      <c r="X85" s="529"/>
      <c r="Y85" s="529"/>
      <c r="Z85" s="529"/>
      <c r="AA85" s="529"/>
      <c r="AB85" s="529"/>
      <c r="AC85" s="529"/>
      <c r="AD85" s="529"/>
      <c r="AE85" s="529"/>
      <c r="AF85" s="529"/>
      <c r="AG85" s="529"/>
      <c r="AH85" s="529"/>
      <c r="AI85" s="529"/>
      <c r="AJ85" s="529"/>
      <c r="AK85" s="529"/>
      <c r="AL85" s="529"/>
      <c r="AM85" s="529"/>
      <c r="AN85" s="529"/>
      <c r="AO85" s="529"/>
      <c r="AP85" s="529"/>
      <c r="AQ85" s="529"/>
      <c r="AR85" s="529"/>
      <c r="AS85" s="529"/>
      <c r="AT85" s="529"/>
      <c r="AU85" s="529"/>
      <c r="AV85" s="529"/>
      <c r="AW85" s="529"/>
      <c r="AX85" s="529"/>
      <c r="AY85" s="529"/>
      <c r="AZ85" s="529"/>
      <c r="BA85" s="529"/>
      <c r="BB85" s="529"/>
      <c r="BC85" s="529"/>
      <c r="BD85" s="529"/>
      <c r="BE85" s="529"/>
      <c r="BF85" s="529"/>
      <c r="BG85" s="529"/>
      <c r="BH85" s="529"/>
      <c r="BI85" s="529"/>
      <c r="BJ85" s="529"/>
      <c r="BK85" s="529"/>
      <c r="BL85" s="529"/>
      <c r="BM85" s="529"/>
      <c r="BN85" s="529"/>
      <c r="BO85" s="529"/>
      <c r="BP85" s="529"/>
      <c r="BQ85" s="529"/>
      <c r="BR85" s="529"/>
      <c r="BS85" s="529"/>
      <c r="BT85" s="529"/>
      <c r="BU85" s="529"/>
      <c r="BV85" s="529"/>
      <c r="BW85" s="529"/>
      <c r="BX85" s="529"/>
      <c r="BY85" s="529"/>
      <c r="BZ85" s="529"/>
      <c r="CA85" s="529"/>
      <c r="CB85" s="529"/>
      <c r="CC85" s="529"/>
      <c r="CD85" s="529"/>
      <c r="CE85" s="529"/>
      <c r="CF85" s="391"/>
      <c r="CG85" s="2"/>
      <c r="CH85" s="2"/>
      <c r="CI85" s="2"/>
      <c r="CJ85" s="2"/>
      <c r="CK85" s="2"/>
      <c r="CL85" s="2"/>
      <c r="CM85" s="2"/>
      <c r="CN85" s="2"/>
      <c r="CO85" s="2"/>
      <c r="CP85" s="2"/>
      <c r="CQ85" s="2"/>
    </row>
    <row r="86" spans="1:95" ht="12" customHeight="1">
      <c r="A86" s="299"/>
      <c r="B86" s="529"/>
      <c r="C86" s="529"/>
      <c r="D86" s="529"/>
      <c r="E86" s="529"/>
      <c r="F86" s="529"/>
      <c r="G86" s="529"/>
      <c r="H86" s="529"/>
      <c r="I86" s="529"/>
      <c r="J86" s="529"/>
      <c r="K86" s="529"/>
      <c r="L86" s="529"/>
      <c r="M86" s="529"/>
      <c r="N86" s="529"/>
      <c r="O86" s="529"/>
      <c r="P86" s="529"/>
      <c r="Q86" s="529"/>
      <c r="R86" s="529"/>
      <c r="S86" s="529"/>
      <c r="T86" s="529"/>
      <c r="U86" s="529"/>
      <c r="V86" s="529"/>
      <c r="W86" s="529"/>
      <c r="X86" s="529"/>
      <c r="Y86" s="529"/>
      <c r="Z86" s="529"/>
      <c r="AA86" s="529"/>
      <c r="AB86" s="529"/>
      <c r="AC86" s="529"/>
      <c r="AD86" s="529"/>
      <c r="AE86" s="529"/>
      <c r="AF86" s="529"/>
      <c r="AG86" s="529"/>
      <c r="AH86" s="529"/>
      <c r="AI86" s="529"/>
      <c r="AJ86" s="529"/>
      <c r="AK86" s="529"/>
      <c r="AL86" s="529"/>
      <c r="AM86" s="529"/>
      <c r="AN86" s="529"/>
      <c r="AO86" s="529"/>
      <c r="AP86" s="529"/>
      <c r="AQ86" s="529"/>
      <c r="AR86" s="529"/>
      <c r="AS86" s="529"/>
      <c r="AT86" s="529"/>
      <c r="AU86" s="529"/>
      <c r="AV86" s="529"/>
      <c r="AW86" s="529"/>
      <c r="AX86" s="529"/>
      <c r="AY86" s="529"/>
      <c r="AZ86" s="529"/>
      <c r="BA86" s="529"/>
      <c r="BB86" s="529"/>
      <c r="BC86" s="529"/>
      <c r="BD86" s="529"/>
      <c r="BE86" s="529"/>
      <c r="BF86" s="529"/>
      <c r="BG86" s="529"/>
      <c r="BH86" s="529"/>
      <c r="BI86" s="529"/>
      <c r="BJ86" s="529"/>
      <c r="BK86" s="529"/>
      <c r="BL86" s="529"/>
      <c r="BM86" s="529"/>
      <c r="BN86" s="529"/>
      <c r="BO86" s="529"/>
      <c r="BP86" s="529"/>
      <c r="BQ86" s="529"/>
      <c r="BR86" s="529"/>
      <c r="BS86" s="529"/>
      <c r="BT86" s="529"/>
      <c r="BU86" s="529"/>
      <c r="BV86" s="529"/>
      <c r="BW86" s="529"/>
      <c r="BX86" s="529"/>
      <c r="BY86" s="529"/>
      <c r="BZ86" s="529"/>
      <c r="CA86" s="529"/>
      <c r="CB86" s="529"/>
      <c r="CC86" s="529"/>
      <c r="CD86" s="529"/>
      <c r="CE86" s="529"/>
      <c r="CF86" s="391"/>
      <c r="CG86" s="2"/>
      <c r="CH86" s="2"/>
      <c r="CI86" s="2"/>
      <c r="CJ86" s="2"/>
      <c r="CK86" s="2"/>
      <c r="CL86" s="2"/>
      <c r="CM86" s="2"/>
      <c r="CN86" s="2"/>
      <c r="CO86" s="2"/>
      <c r="CP86" s="2"/>
      <c r="CQ86" s="2"/>
    </row>
    <row r="87" spans="1:95" ht="12" customHeight="1">
      <c r="A87" s="299"/>
      <c r="B87" s="529"/>
      <c r="C87" s="529"/>
      <c r="D87" s="529"/>
      <c r="F87" s="529" t="s">
        <v>305</v>
      </c>
      <c r="G87" s="529"/>
      <c r="H87" s="529"/>
      <c r="I87" s="529"/>
      <c r="J87" s="529"/>
      <c r="K87" s="529"/>
      <c r="L87" s="529"/>
      <c r="M87" s="529"/>
      <c r="N87" s="529"/>
      <c r="O87" s="529"/>
      <c r="P87" s="529"/>
      <c r="Q87" s="529"/>
      <c r="R87" s="529"/>
      <c r="S87" s="529"/>
      <c r="T87" s="529"/>
      <c r="U87" s="529"/>
      <c r="V87" s="529"/>
      <c r="W87" s="529"/>
      <c r="X87" s="529"/>
      <c r="Y87" s="529"/>
      <c r="Z87" s="529"/>
      <c r="AA87" s="529"/>
      <c r="AB87" s="529"/>
      <c r="AC87" s="529"/>
      <c r="AD87" s="529"/>
      <c r="AE87" s="529"/>
      <c r="AF87" s="529"/>
      <c r="AG87" s="529"/>
      <c r="AH87" s="529"/>
      <c r="AI87" s="529"/>
      <c r="AJ87" s="529"/>
      <c r="AK87" s="529"/>
      <c r="AL87" s="529"/>
      <c r="AM87" s="529"/>
      <c r="AN87" s="529"/>
      <c r="AO87" s="529"/>
      <c r="AP87" s="529"/>
      <c r="AQ87" s="529"/>
      <c r="AR87" s="529"/>
      <c r="AS87" s="529"/>
      <c r="AT87" s="529"/>
      <c r="AU87" s="529"/>
      <c r="AV87" s="529"/>
      <c r="AW87" s="529"/>
      <c r="AX87" s="529"/>
      <c r="AY87" s="529"/>
      <c r="AZ87" s="529"/>
      <c r="BA87" s="529"/>
      <c r="BB87" s="529"/>
      <c r="BC87" s="529"/>
      <c r="BD87" s="529"/>
      <c r="BE87" s="529"/>
      <c r="BF87" s="529"/>
      <c r="BG87" s="529"/>
      <c r="BH87" s="529"/>
      <c r="BI87" s="529"/>
      <c r="BJ87" s="529"/>
      <c r="BK87" s="529"/>
      <c r="BL87" s="529"/>
      <c r="BM87" s="529"/>
      <c r="BN87" s="529"/>
      <c r="BO87" s="529"/>
      <c r="BP87" s="529"/>
      <c r="BQ87" s="529"/>
      <c r="BR87" s="529"/>
      <c r="BS87" s="529"/>
      <c r="BT87" s="529"/>
      <c r="BU87" s="529"/>
      <c r="BV87" s="529"/>
      <c r="BW87" s="529"/>
      <c r="BX87" s="529"/>
      <c r="BY87" s="529"/>
      <c r="BZ87" s="529"/>
      <c r="CA87" s="529"/>
      <c r="CB87" s="529"/>
      <c r="CC87" s="529"/>
      <c r="CD87" s="529"/>
      <c r="CE87" s="529"/>
      <c r="CF87" s="391"/>
      <c r="CG87" s="2"/>
      <c r="CH87" s="2"/>
      <c r="CI87" s="2"/>
      <c r="CJ87" s="2"/>
      <c r="CK87" s="2"/>
      <c r="CL87" s="2"/>
      <c r="CM87" s="2"/>
      <c r="CN87" s="2"/>
      <c r="CO87" s="2"/>
      <c r="CP87" s="2"/>
      <c r="CQ87" s="2"/>
    </row>
    <row r="88" spans="1:95" ht="12" customHeight="1">
      <c r="A88" s="299"/>
      <c r="B88" s="529"/>
      <c r="C88" s="529"/>
      <c r="D88" s="529"/>
      <c r="E88" s="529"/>
      <c r="G88" s="529"/>
      <c r="H88" s="529"/>
      <c r="I88" s="529"/>
      <c r="J88" s="529"/>
      <c r="K88" s="529"/>
      <c r="L88" s="529"/>
      <c r="M88" s="529"/>
      <c r="N88" s="529"/>
      <c r="O88" s="529"/>
      <c r="P88" s="529"/>
      <c r="Q88" s="529"/>
      <c r="R88" s="529"/>
      <c r="S88" s="529"/>
      <c r="T88" s="529"/>
      <c r="U88" s="529"/>
      <c r="V88" s="529"/>
      <c r="W88" s="529"/>
      <c r="X88" s="529"/>
      <c r="Y88" s="529"/>
      <c r="Z88" s="529"/>
      <c r="AA88" s="529"/>
      <c r="AB88" s="529"/>
      <c r="AC88" s="529"/>
      <c r="AD88" s="529"/>
      <c r="AE88" s="529"/>
      <c r="AF88" s="529"/>
      <c r="AG88" s="529"/>
      <c r="AH88" s="529"/>
      <c r="AI88" s="529"/>
      <c r="AJ88" s="529"/>
      <c r="AK88" s="529"/>
      <c r="AL88" s="529"/>
      <c r="AM88" s="529"/>
      <c r="AN88" s="529"/>
      <c r="AO88" s="529"/>
      <c r="AP88" s="529"/>
      <c r="AQ88" s="529"/>
      <c r="AR88" s="529"/>
      <c r="AS88" s="529"/>
      <c r="AT88" s="529"/>
      <c r="AU88" s="529"/>
      <c r="AV88" s="529"/>
      <c r="AW88" s="529"/>
      <c r="AX88" s="529"/>
      <c r="AY88" s="529"/>
      <c r="AZ88" s="529"/>
      <c r="BA88" s="529"/>
      <c r="BB88" s="529"/>
      <c r="BC88" s="529"/>
      <c r="BD88" s="529"/>
      <c r="BE88" s="529"/>
      <c r="BF88" s="529"/>
      <c r="BG88" s="529"/>
      <c r="BH88" s="529"/>
      <c r="BI88" s="529"/>
      <c r="BJ88" s="529"/>
      <c r="BK88" s="529"/>
      <c r="BL88" s="529"/>
      <c r="BM88" s="529"/>
      <c r="BN88" s="529"/>
      <c r="BO88" s="529"/>
      <c r="BP88" s="529"/>
      <c r="BQ88" s="529"/>
      <c r="BR88" s="529"/>
      <c r="BS88" s="529"/>
      <c r="BT88" s="529"/>
      <c r="BU88" s="529"/>
      <c r="BV88" s="529"/>
      <c r="BW88" s="529"/>
      <c r="BX88" s="529"/>
      <c r="BY88" s="529"/>
      <c r="BZ88" s="529"/>
      <c r="CA88" s="529"/>
      <c r="CB88" s="529"/>
      <c r="CC88" s="529"/>
      <c r="CD88" s="529"/>
      <c r="CE88" s="529"/>
      <c r="CF88" s="391"/>
      <c r="CG88" s="2"/>
      <c r="CH88" s="2"/>
      <c r="CI88" s="2"/>
      <c r="CJ88" s="2"/>
      <c r="CK88" s="2"/>
      <c r="CL88" s="2"/>
      <c r="CM88" s="2"/>
      <c r="CN88" s="2"/>
      <c r="CO88" s="2"/>
      <c r="CP88" s="2"/>
      <c r="CQ88" s="2"/>
    </row>
    <row r="89" spans="1:95" ht="12" customHeight="1">
      <c r="A89" s="299"/>
      <c r="B89" s="529"/>
      <c r="C89" s="529"/>
      <c r="D89" s="529"/>
      <c r="F89" s="48" t="s">
        <v>304</v>
      </c>
      <c r="G89" s="47"/>
      <c r="H89" s="47"/>
      <c r="I89" s="47"/>
      <c r="J89" s="140"/>
      <c r="K89" s="47"/>
      <c r="L89" s="46"/>
      <c r="M89" s="48" t="s">
        <v>303</v>
      </c>
      <c r="N89" s="47"/>
      <c r="O89" s="47"/>
      <c r="P89" s="47"/>
      <c r="Q89" s="47"/>
      <c r="R89" s="46"/>
      <c r="S89" s="48" t="s">
        <v>302</v>
      </c>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6"/>
      <c r="AW89" s="48" t="s">
        <v>301</v>
      </c>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6"/>
      <c r="CC89" s="529"/>
      <c r="CD89" s="529"/>
      <c r="CE89" s="529"/>
      <c r="CF89" s="529"/>
      <c r="CG89" s="529"/>
      <c r="CH89" s="529"/>
    </row>
    <row r="90" spans="1:95" ht="12" customHeight="1">
      <c r="A90" s="299"/>
      <c r="B90" s="529"/>
      <c r="C90" s="529"/>
      <c r="D90" s="529"/>
      <c r="F90" s="528" t="s">
        <v>677</v>
      </c>
      <c r="G90" s="529"/>
      <c r="H90" s="529"/>
      <c r="I90" s="529"/>
      <c r="J90" s="2"/>
      <c r="K90" s="529"/>
      <c r="L90" s="44"/>
      <c r="M90" s="528" t="s">
        <v>678</v>
      </c>
      <c r="N90" s="529"/>
      <c r="O90" s="529"/>
      <c r="P90" s="529"/>
      <c r="Q90" s="529"/>
      <c r="R90" s="44"/>
      <c r="S90" s="833" t="s">
        <v>299</v>
      </c>
      <c r="T90" s="834"/>
      <c r="U90" s="834"/>
      <c r="V90" s="834"/>
      <c r="W90" s="834"/>
      <c r="X90" s="834"/>
      <c r="Y90" s="834"/>
      <c r="Z90" s="834"/>
      <c r="AA90" s="834"/>
      <c r="AB90" s="834"/>
      <c r="AC90" s="834"/>
      <c r="AD90" s="834"/>
      <c r="AE90" s="834"/>
      <c r="AF90" s="834"/>
      <c r="AG90" s="834"/>
      <c r="AH90" s="834"/>
      <c r="AI90" s="834"/>
      <c r="AJ90" s="834"/>
      <c r="AK90" s="834"/>
      <c r="AL90" s="834"/>
      <c r="AM90" s="834"/>
      <c r="AN90" s="834"/>
      <c r="AO90" s="834"/>
      <c r="AP90" s="834"/>
      <c r="AQ90" s="834"/>
      <c r="AR90" s="834"/>
      <c r="AS90" s="834"/>
      <c r="AT90" s="834"/>
      <c r="AU90" s="834"/>
      <c r="AV90" s="835"/>
      <c r="AW90" s="833" t="s">
        <v>298</v>
      </c>
      <c r="AX90" s="834"/>
      <c r="AY90" s="834"/>
      <c r="AZ90" s="834"/>
      <c r="BA90" s="834"/>
      <c r="BB90" s="834"/>
      <c r="BC90" s="834"/>
      <c r="BD90" s="834"/>
      <c r="BE90" s="834"/>
      <c r="BF90" s="834"/>
      <c r="BG90" s="834"/>
      <c r="BH90" s="834"/>
      <c r="BI90" s="834"/>
      <c r="BJ90" s="834"/>
      <c r="BK90" s="834"/>
      <c r="BL90" s="834"/>
      <c r="BM90" s="834"/>
      <c r="BN90" s="834"/>
      <c r="BO90" s="834"/>
      <c r="BP90" s="834"/>
      <c r="BQ90" s="834"/>
      <c r="BR90" s="834"/>
      <c r="BS90" s="834"/>
      <c r="BT90" s="834"/>
      <c r="BU90" s="834"/>
      <c r="BV90" s="834"/>
      <c r="BW90" s="834"/>
      <c r="BX90" s="834"/>
      <c r="BY90" s="834"/>
      <c r="BZ90" s="834"/>
      <c r="CA90" s="835"/>
      <c r="CC90" s="529"/>
      <c r="CD90" s="529"/>
      <c r="CE90" s="529"/>
      <c r="CF90" s="529"/>
      <c r="CG90" s="391"/>
      <c r="CH90" s="2"/>
    </row>
    <row r="91" spans="1:95" ht="12" customHeight="1">
      <c r="A91" s="299"/>
      <c r="B91" s="529"/>
      <c r="C91" s="529"/>
      <c r="D91" s="529"/>
      <c r="F91" s="528"/>
      <c r="G91" s="529"/>
      <c r="H91" s="529"/>
      <c r="I91" s="529"/>
      <c r="J91" s="2"/>
      <c r="K91" s="529"/>
      <c r="L91" s="44"/>
      <c r="M91" s="528"/>
      <c r="N91" s="529"/>
      <c r="O91" s="529"/>
      <c r="P91" s="529"/>
      <c r="Q91" s="529"/>
      <c r="R91" s="44"/>
      <c r="S91" s="836"/>
      <c r="T91" s="837"/>
      <c r="U91" s="837"/>
      <c r="V91" s="837"/>
      <c r="W91" s="837"/>
      <c r="X91" s="837"/>
      <c r="Y91" s="837"/>
      <c r="Z91" s="837"/>
      <c r="AA91" s="837"/>
      <c r="AB91" s="837"/>
      <c r="AC91" s="837"/>
      <c r="AD91" s="837"/>
      <c r="AE91" s="837"/>
      <c r="AF91" s="837"/>
      <c r="AG91" s="837"/>
      <c r="AH91" s="837"/>
      <c r="AI91" s="837"/>
      <c r="AJ91" s="837"/>
      <c r="AK91" s="837"/>
      <c r="AL91" s="837"/>
      <c r="AM91" s="837"/>
      <c r="AN91" s="837"/>
      <c r="AO91" s="837"/>
      <c r="AP91" s="837"/>
      <c r="AQ91" s="837"/>
      <c r="AR91" s="837"/>
      <c r="AS91" s="837"/>
      <c r="AT91" s="837"/>
      <c r="AU91" s="837"/>
      <c r="AV91" s="838"/>
      <c r="AW91" s="836"/>
      <c r="AX91" s="837"/>
      <c r="AY91" s="837"/>
      <c r="AZ91" s="837"/>
      <c r="BA91" s="837"/>
      <c r="BB91" s="837"/>
      <c r="BC91" s="837"/>
      <c r="BD91" s="837"/>
      <c r="BE91" s="837"/>
      <c r="BF91" s="837"/>
      <c r="BG91" s="837"/>
      <c r="BH91" s="837"/>
      <c r="BI91" s="837"/>
      <c r="BJ91" s="837"/>
      <c r="BK91" s="837"/>
      <c r="BL91" s="837"/>
      <c r="BM91" s="837"/>
      <c r="BN91" s="837"/>
      <c r="BO91" s="837"/>
      <c r="BP91" s="837"/>
      <c r="BQ91" s="837"/>
      <c r="BR91" s="837"/>
      <c r="BS91" s="837"/>
      <c r="BT91" s="837"/>
      <c r="BU91" s="837"/>
      <c r="BV91" s="837"/>
      <c r="BW91" s="837"/>
      <c r="BX91" s="837"/>
      <c r="BY91" s="837"/>
      <c r="BZ91" s="837"/>
      <c r="CA91" s="838"/>
      <c r="CC91" s="529"/>
      <c r="CD91" s="529"/>
      <c r="CE91" s="529"/>
      <c r="CF91" s="529"/>
      <c r="CG91" s="391"/>
      <c r="CH91" s="2"/>
    </row>
    <row r="92" spans="1:95" ht="12" customHeight="1">
      <c r="A92" s="299"/>
      <c r="B92" s="529"/>
      <c r="C92" s="529"/>
      <c r="D92" s="529"/>
      <c r="F92" s="528"/>
      <c r="G92" s="529"/>
      <c r="H92" s="529"/>
      <c r="I92" s="529"/>
      <c r="J92" s="2"/>
      <c r="K92" s="529"/>
      <c r="L92" s="44"/>
      <c r="M92" s="528"/>
      <c r="N92" s="529"/>
      <c r="O92" s="529"/>
      <c r="P92" s="529"/>
      <c r="Q92" s="529"/>
      <c r="R92" s="44"/>
      <c r="S92" s="836"/>
      <c r="T92" s="837"/>
      <c r="U92" s="837"/>
      <c r="V92" s="837"/>
      <c r="W92" s="837"/>
      <c r="X92" s="837"/>
      <c r="Y92" s="837"/>
      <c r="Z92" s="837"/>
      <c r="AA92" s="837"/>
      <c r="AB92" s="837"/>
      <c r="AC92" s="837"/>
      <c r="AD92" s="837"/>
      <c r="AE92" s="837"/>
      <c r="AF92" s="837"/>
      <c r="AG92" s="837"/>
      <c r="AH92" s="837"/>
      <c r="AI92" s="837"/>
      <c r="AJ92" s="837"/>
      <c r="AK92" s="837"/>
      <c r="AL92" s="837"/>
      <c r="AM92" s="837"/>
      <c r="AN92" s="837"/>
      <c r="AO92" s="837"/>
      <c r="AP92" s="837"/>
      <c r="AQ92" s="837"/>
      <c r="AR92" s="837"/>
      <c r="AS92" s="837"/>
      <c r="AT92" s="837"/>
      <c r="AU92" s="837"/>
      <c r="AV92" s="838"/>
      <c r="AW92" s="836"/>
      <c r="AX92" s="837"/>
      <c r="AY92" s="837"/>
      <c r="AZ92" s="837"/>
      <c r="BA92" s="837"/>
      <c r="BB92" s="837"/>
      <c r="BC92" s="837"/>
      <c r="BD92" s="837"/>
      <c r="BE92" s="837"/>
      <c r="BF92" s="837"/>
      <c r="BG92" s="837"/>
      <c r="BH92" s="837"/>
      <c r="BI92" s="837"/>
      <c r="BJ92" s="837"/>
      <c r="BK92" s="837"/>
      <c r="BL92" s="837"/>
      <c r="BM92" s="837"/>
      <c r="BN92" s="837"/>
      <c r="BO92" s="837"/>
      <c r="BP92" s="837"/>
      <c r="BQ92" s="837"/>
      <c r="BR92" s="837"/>
      <c r="BS92" s="837"/>
      <c r="BT92" s="837"/>
      <c r="BU92" s="837"/>
      <c r="BV92" s="837"/>
      <c r="BW92" s="837"/>
      <c r="BX92" s="837"/>
      <c r="BY92" s="837"/>
      <c r="BZ92" s="837"/>
      <c r="CA92" s="838"/>
      <c r="CC92" s="529"/>
      <c r="CD92" s="529"/>
      <c r="CE92" s="529"/>
      <c r="CF92" s="529"/>
      <c r="CG92" s="391"/>
      <c r="CH92" s="2"/>
    </row>
    <row r="93" spans="1:95" ht="12" customHeight="1">
      <c r="A93" s="299"/>
      <c r="B93" s="529"/>
      <c r="C93" s="529"/>
      <c r="D93" s="529"/>
      <c r="E93" s="529"/>
      <c r="F93" s="158"/>
      <c r="G93" s="139"/>
      <c r="H93" s="139"/>
      <c r="I93" s="139"/>
      <c r="J93" s="293"/>
      <c r="K93" s="293"/>
      <c r="L93" s="294"/>
      <c r="M93" s="292"/>
      <c r="N93" s="293"/>
      <c r="O93" s="293"/>
      <c r="P93" s="293"/>
      <c r="Q93" s="293"/>
      <c r="R93" s="294"/>
      <c r="S93" s="839"/>
      <c r="T93" s="840"/>
      <c r="U93" s="840"/>
      <c r="V93" s="840"/>
      <c r="W93" s="840"/>
      <c r="X93" s="840"/>
      <c r="Y93" s="840"/>
      <c r="Z93" s="840"/>
      <c r="AA93" s="840"/>
      <c r="AB93" s="840"/>
      <c r="AC93" s="840"/>
      <c r="AD93" s="840"/>
      <c r="AE93" s="840"/>
      <c r="AF93" s="840"/>
      <c r="AG93" s="840"/>
      <c r="AH93" s="840"/>
      <c r="AI93" s="840"/>
      <c r="AJ93" s="840"/>
      <c r="AK93" s="840"/>
      <c r="AL93" s="840"/>
      <c r="AM93" s="840"/>
      <c r="AN93" s="840"/>
      <c r="AO93" s="840"/>
      <c r="AP93" s="840"/>
      <c r="AQ93" s="840"/>
      <c r="AR93" s="840"/>
      <c r="AS93" s="840"/>
      <c r="AT93" s="840"/>
      <c r="AU93" s="840"/>
      <c r="AV93" s="841"/>
      <c r="AW93" s="839"/>
      <c r="AX93" s="840"/>
      <c r="AY93" s="840"/>
      <c r="AZ93" s="840"/>
      <c r="BA93" s="840"/>
      <c r="BB93" s="840"/>
      <c r="BC93" s="840"/>
      <c r="BD93" s="840"/>
      <c r="BE93" s="840"/>
      <c r="BF93" s="840"/>
      <c r="BG93" s="840"/>
      <c r="BH93" s="840"/>
      <c r="BI93" s="840"/>
      <c r="BJ93" s="840"/>
      <c r="BK93" s="840"/>
      <c r="BL93" s="840"/>
      <c r="BM93" s="840"/>
      <c r="BN93" s="840"/>
      <c r="BO93" s="840"/>
      <c r="BP93" s="840"/>
      <c r="BQ93" s="840"/>
      <c r="BR93" s="840"/>
      <c r="BS93" s="840"/>
      <c r="BT93" s="840"/>
      <c r="BU93" s="840"/>
      <c r="BV93" s="840"/>
      <c r="BW93" s="840"/>
      <c r="BX93" s="840"/>
      <c r="BY93" s="840"/>
      <c r="BZ93" s="840"/>
      <c r="CA93" s="841"/>
      <c r="CC93" s="529"/>
      <c r="CD93" s="529"/>
      <c r="CE93" s="529"/>
      <c r="CF93" s="529"/>
      <c r="CG93" s="391"/>
      <c r="CH93" s="2"/>
    </row>
    <row r="94" spans="1:95" ht="12" customHeight="1">
      <c r="A94" s="299"/>
      <c r="B94" s="529"/>
      <c r="C94" s="529"/>
      <c r="D94" s="529"/>
      <c r="F94" s="528" t="s">
        <v>300</v>
      </c>
      <c r="G94" s="529"/>
      <c r="H94" s="529"/>
      <c r="I94" s="529"/>
      <c r="J94" s="2"/>
      <c r="K94" s="529"/>
      <c r="L94" s="44"/>
      <c r="M94" s="528" t="s">
        <v>104</v>
      </c>
      <c r="N94" s="529"/>
      <c r="O94" s="529"/>
      <c r="P94" s="529"/>
      <c r="Q94" s="529"/>
      <c r="R94" s="44"/>
      <c r="S94" s="833" t="s">
        <v>299</v>
      </c>
      <c r="T94" s="834"/>
      <c r="U94" s="834"/>
      <c r="V94" s="834"/>
      <c r="W94" s="834"/>
      <c r="X94" s="834"/>
      <c r="Y94" s="834"/>
      <c r="Z94" s="834"/>
      <c r="AA94" s="834"/>
      <c r="AB94" s="834"/>
      <c r="AC94" s="834"/>
      <c r="AD94" s="834"/>
      <c r="AE94" s="834"/>
      <c r="AF94" s="834"/>
      <c r="AG94" s="834"/>
      <c r="AH94" s="834"/>
      <c r="AI94" s="834"/>
      <c r="AJ94" s="834"/>
      <c r="AK94" s="834"/>
      <c r="AL94" s="834"/>
      <c r="AM94" s="834"/>
      <c r="AN94" s="834"/>
      <c r="AO94" s="834"/>
      <c r="AP94" s="834"/>
      <c r="AQ94" s="834"/>
      <c r="AR94" s="834"/>
      <c r="AS94" s="834"/>
      <c r="AT94" s="834"/>
      <c r="AU94" s="834"/>
      <c r="AV94" s="835"/>
      <c r="AW94" s="833" t="s">
        <v>298</v>
      </c>
      <c r="AX94" s="834"/>
      <c r="AY94" s="834"/>
      <c r="AZ94" s="834"/>
      <c r="BA94" s="834"/>
      <c r="BB94" s="834"/>
      <c r="BC94" s="834"/>
      <c r="BD94" s="834"/>
      <c r="BE94" s="834"/>
      <c r="BF94" s="834"/>
      <c r="BG94" s="834"/>
      <c r="BH94" s="834"/>
      <c r="BI94" s="834"/>
      <c r="BJ94" s="834"/>
      <c r="BK94" s="834"/>
      <c r="BL94" s="834"/>
      <c r="BM94" s="834"/>
      <c r="BN94" s="834"/>
      <c r="BO94" s="834"/>
      <c r="BP94" s="834"/>
      <c r="BQ94" s="834"/>
      <c r="BR94" s="834"/>
      <c r="BS94" s="834"/>
      <c r="BT94" s="834"/>
      <c r="BU94" s="834"/>
      <c r="BV94" s="834"/>
      <c r="BW94" s="834"/>
      <c r="BX94" s="834"/>
      <c r="BY94" s="834"/>
      <c r="BZ94" s="834"/>
      <c r="CA94" s="835"/>
      <c r="CC94" s="529"/>
      <c r="CD94" s="529"/>
      <c r="CE94" s="529"/>
      <c r="CF94" s="529"/>
      <c r="CG94" s="391"/>
      <c r="CH94" s="2"/>
    </row>
    <row r="95" spans="1:95" ht="12" customHeight="1">
      <c r="A95" s="299"/>
      <c r="B95" s="529"/>
      <c r="C95" s="529"/>
      <c r="D95" s="529"/>
      <c r="F95" s="528"/>
      <c r="G95" s="529"/>
      <c r="H95" s="529"/>
      <c r="I95" s="529"/>
      <c r="J95" s="2"/>
      <c r="K95" s="529"/>
      <c r="L95" s="44"/>
      <c r="M95" s="528" t="s">
        <v>297</v>
      </c>
      <c r="N95" s="529"/>
      <c r="O95" s="529"/>
      <c r="P95" s="529"/>
      <c r="Q95" s="529"/>
      <c r="R95" s="44"/>
      <c r="S95" s="836"/>
      <c r="T95" s="837"/>
      <c r="U95" s="837"/>
      <c r="V95" s="837"/>
      <c r="W95" s="837"/>
      <c r="X95" s="837"/>
      <c r="Y95" s="837"/>
      <c r="Z95" s="837"/>
      <c r="AA95" s="837"/>
      <c r="AB95" s="837"/>
      <c r="AC95" s="837"/>
      <c r="AD95" s="837"/>
      <c r="AE95" s="837"/>
      <c r="AF95" s="837"/>
      <c r="AG95" s="837"/>
      <c r="AH95" s="837"/>
      <c r="AI95" s="837"/>
      <c r="AJ95" s="837"/>
      <c r="AK95" s="837"/>
      <c r="AL95" s="837"/>
      <c r="AM95" s="837"/>
      <c r="AN95" s="837"/>
      <c r="AO95" s="837"/>
      <c r="AP95" s="837"/>
      <c r="AQ95" s="837"/>
      <c r="AR95" s="837"/>
      <c r="AS95" s="837"/>
      <c r="AT95" s="837"/>
      <c r="AU95" s="837"/>
      <c r="AV95" s="838"/>
      <c r="AW95" s="836"/>
      <c r="AX95" s="837"/>
      <c r="AY95" s="837"/>
      <c r="AZ95" s="837"/>
      <c r="BA95" s="837"/>
      <c r="BB95" s="837"/>
      <c r="BC95" s="837"/>
      <c r="BD95" s="837"/>
      <c r="BE95" s="837"/>
      <c r="BF95" s="837"/>
      <c r="BG95" s="837"/>
      <c r="BH95" s="837"/>
      <c r="BI95" s="837"/>
      <c r="BJ95" s="837"/>
      <c r="BK95" s="837"/>
      <c r="BL95" s="837"/>
      <c r="BM95" s="837"/>
      <c r="BN95" s="837"/>
      <c r="BO95" s="837"/>
      <c r="BP95" s="837"/>
      <c r="BQ95" s="837"/>
      <c r="BR95" s="837"/>
      <c r="BS95" s="837"/>
      <c r="BT95" s="837"/>
      <c r="BU95" s="837"/>
      <c r="BV95" s="837"/>
      <c r="BW95" s="837"/>
      <c r="BX95" s="837"/>
      <c r="BY95" s="837"/>
      <c r="BZ95" s="837"/>
      <c r="CA95" s="838"/>
      <c r="CC95" s="529"/>
      <c r="CD95" s="529"/>
      <c r="CE95" s="529"/>
      <c r="CF95" s="529"/>
      <c r="CG95" s="391"/>
      <c r="CH95" s="2"/>
    </row>
    <row r="96" spans="1:95" ht="12" customHeight="1">
      <c r="A96" s="299"/>
      <c r="B96" s="529"/>
      <c r="C96" s="529"/>
      <c r="D96" s="529"/>
      <c r="F96" s="528"/>
      <c r="G96" s="529"/>
      <c r="H96" s="529"/>
      <c r="I96" s="529"/>
      <c r="J96" s="2"/>
      <c r="K96" s="529"/>
      <c r="L96" s="44"/>
      <c r="M96" s="528"/>
      <c r="N96" s="529"/>
      <c r="O96" s="529"/>
      <c r="P96" s="529"/>
      <c r="Q96" s="529"/>
      <c r="R96" s="44"/>
      <c r="S96" s="836"/>
      <c r="T96" s="837"/>
      <c r="U96" s="837"/>
      <c r="V96" s="837"/>
      <c r="W96" s="837"/>
      <c r="X96" s="837"/>
      <c r="Y96" s="837"/>
      <c r="Z96" s="837"/>
      <c r="AA96" s="837"/>
      <c r="AB96" s="837"/>
      <c r="AC96" s="837"/>
      <c r="AD96" s="837"/>
      <c r="AE96" s="837"/>
      <c r="AF96" s="837"/>
      <c r="AG96" s="837"/>
      <c r="AH96" s="837"/>
      <c r="AI96" s="837"/>
      <c r="AJ96" s="837"/>
      <c r="AK96" s="837"/>
      <c r="AL96" s="837"/>
      <c r="AM96" s="837"/>
      <c r="AN96" s="837"/>
      <c r="AO96" s="837"/>
      <c r="AP96" s="837"/>
      <c r="AQ96" s="837"/>
      <c r="AR96" s="837"/>
      <c r="AS96" s="837"/>
      <c r="AT96" s="837"/>
      <c r="AU96" s="837"/>
      <c r="AV96" s="838"/>
      <c r="AW96" s="836"/>
      <c r="AX96" s="837"/>
      <c r="AY96" s="837"/>
      <c r="AZ96" s="837"/>
      <c r="BA96" s="837"/>
      <c r="BB96" s="837"/>
      <c r="BC96" s="837"/>
      <c r="BD96" s="837"/>
      <c r="BE96" s="837"/>
      <c r="BF96" s="837"/>
      <c r="BG96" s="837"/>
      <c r="BH96" s="837"/>
      <c r="BI96" s="837"/>
      <c r="BJ96" s="837"/>
      <c r="BK96" s="837"/>
      <c r="BL96" s="837"/>
      <c r="BM96" s="837"/>
      <c r="BN96" s="837"/>
      <c r="BO96" s="837"/>
      <c r="BP96" s="837"/>
      <c r="BQ96" s="837"/>
      <c r="BR96" s="837"/>
      <c r="BS96" s="837"/>
      <c r="BT96" s="837"/>
      <c r="BU96" s="837"/>
      <c r="BV96" s="837"/>
      <c r="BW96" s="837"/>
      <c r="BX96" s="837"/>
      <c r="BY96" s="837"/>
      <c r="BZ96" s="837"/>
      <c r="CA96" s="838"/>
      <c r="CC96" s="529"/>
      <c r="CD96" s="529"/>
      <c r="CE96" s="529"/>
      <c r="CF96" s="529"/>
      <c r="CG96" s="391"/>
      <c r="CH96" s="2"/>
    </row>
    <row r="97" spans="1:95" ht="12" customHeight="1">
      <c r="A97" s="299"/>
      <c r="B97" s="529"/>
      <c r="C97" s="529"/>
      <c r="D97" s="529"/>
      <c r="E97" s="529"/>
      <c r="F97" s="158"/>
      <c r="G97" s="139"/>
      <c r="H97" s="139"/>
      <c r="I97" s="139"/>
      <c r="J97" s="293"/>
      <c r="K97" s="293"/>
      <c r="L97" s="294"/>
      <c r="M97" s="292"/>
      <c r="N97" s="293"/>
      <c r="O97" s="293"/>
      <c r="P97" s="293"/>
      <c r="Q97" s="293"/>
      <c r="R97" s="294"/>
      <c r="S97" s="839"/>
      <c r="T97" s="840"/>
      <c r="U97" s="840"/>
      <c r="V97" s="840"/>
      <c r="W97" s="840"/>
      <c r="X97" s="840"/>
      <c r="Y97" s="840"/>
      <c r="Z97" s="840"/>
      <c r="AA97" s="840"/>
      <c r="AB97" s="840"/>
      <c r="AC97" s="840"/>
      <c r="AD97" s="840"/>
      <c r="AE97" s="840"/>
      <c r="AF97" s="840"/>
      <c r="AG97" s="840"/>
      <c r="AH97" s="840"/>
      <c r="AI97" s="840"/>
      <c r="AJ97" s="840"/>
      <c r="AK97" s="840"/>
      <c r="AL97" s="840"/>
      <c r="AM97" s="840"/>
      <c r="AN97" s="840"/>
      <c r="AO97" s="840"/>
      <c r="AP97" s="840"/>
      <c r="AQ97" s="840"/>
      <c r="AR97" s="840"/>
      <c r="AS97" s="840"/>
      <c r="AT97" s="840"/>
      <c r="AU97" s="840"/>
      <c r="AV97" s="841"/>
      <c r="AW97" s="839"/>
      <c r="AX97" s="840"/>
      <c r="AY97" s="840"/>
      <c r="AZ97" s="840"/>
      <c r="BA97" s="840"/>
      <c r="BB97" s="840"/>
      <c r="BC97" s="840"/>
      <c r="BD97" s="840"/>
      <c r="BE97" s="840"/>
      <c r="BF97" s="840"/>
      <c r="BG97" s="840"/>
      <c r="BH97" s="840"/>
      <c r="BI97" s="840"/>
      <c r="BJ97" s="840"/>
      <c r="BK97" s="840"/>
      <c r="BL97" s="840"/>
      <c r="BM97" s="840"/>
      <c r="BN97" s="840"/>
      <c r="BO97" s="840"/>
      <c r="BP97" s="840"/>
      <c r="BQ97" s="840"/>
      <c r="BR97" s="840"/>
      <c r="BS97" s="840"/>
      <c r="BT97" s="840"/>
      <c r="BU97" s="840"/>
      <c r="BV97" s="840"/>
      <c r="BW97" s="840"/>
      <c r="BX97" s="840"/>
      <c r="BY97" s="840"/>
      <c r="BZ97" s="840"/>
      <c r="CA97" s="841"/>
      <c r="CC97" s="529"/>
      <c r="CD97" s="529"/>
      <c r="CE97" s="529"/>
      <c r="CF97" s="529"/>
      <c r="CG97" s="391"/>
      <c r="CH97" s="2"/>
    </row>
    <row r="98" spans="1:95" ht="12" customHeight="1">
      <c r="A98" s="299"/>
      <c r="B98" s="529"/>
      <c r="C98" s="529"/>
      <c r="D98" s="529"/>
      <c r="E98" s="529"/>
      <c r="F98" s="528" t="s">
        <v>390</v>
      </c>
      <c r="G98" s="529"/>
      <c r="H98" s="529"/>
      <c r="I98" s="529"/>
      <c r="J98" s="2"/>
      <c r="K98" s="529"/>
      <c r="L98" s="44"/>
      <c r="M98" s="528" t="s">
        <v>237</v>
      </c>
      <c r="N98" s="529"/>
      <c r="O98" s="529"/>
      <c r="P98" s="529"/>
      <c r="Q98" s="529"/>
      <c r="R98" s="44"/>
      <c r="S98" s="833" t="s">
        <v>391</v>
      </c>
      <c r="T98" s="834"/>
      <c r="U98" s="834"/>
      <c r="V98" s="834"/>
      <c r="W98" s="834"/>
      <c r="X98" s="834"/>
      <c r="Y98" s="834"/>
      <c r="Z98" s="834"/>
      <c r="AA98" s="834"/>
      <c r="AB98" s="834"/>
      <c r="AC98" s="834"/>
      <c r="AD98" s="834"/>
      <c r="AE98" s="834"/>
      <c r="AF98" s="834"/>
      <c r="AG98" s="834"/>
      <c r="AH98" s="834"/>
      <c r="AI98" s="834"/>
      <c r="AJ98" s="834"/>
      <c r="AK98" s="834"/>
      <c r="AL98" s="834"/>
      <c r="AM98" s="834"/>
      <c r="AN98" s="834"/>
      <c r="AO98" s="834"/>
      <c r="AP98" s="834"/>
      <c r="AQ98" s="834"/>
      <c r="AR98" s="834"/>
      <c r="AS98" s="834"/>
      <c r="AT98" s="834"/>
      <c r="AU98" s="834"/>
      <c r="AV98" s="835"/>
      <c r="AW98" s="833" t="s">
        <v>392</v>
      </c>
      <c r="AX98" s="834"/>
      <c r="AY98" s="834"/>
      <c r="AZ98" s="834"/>
      <c r="BA98" s="834"/>
      <c r="BB98" s="834"/>
      <c r="BC98" s="834"/>
      <c r="BD98" s="834"/>
      <c r="BE98" s="834"/>
      <c r="BF98" s="834"/>
      <c r="BG98" s="834"/>
      <c r="BH98" s="834"/>
      <c r="BI98" s="834"/>
      <c r="BJ98" s="834"/>
      <c r="BK98" s="834"/>
      <c r="BL98" s="834"/>
      <c r="BM98" s="834"/>
      <c r="BN98" s="834"/>
      <c r="BO98" s="834"/>
      <c r="BP98" s="834"/>
      <c r="BQ98" s="834"/>
      <c r="BR98" s="834"/>
      <c r="BS98" s="834"/>
      <c r="BT98" s="834"/>
      <c r="BU98" s="834"/>
      <c r="BV98" s="834"/>
      <c r="BW98" s="834"/>
      <c r="BX98" s="834"/>
      <c r="BY98" s="834"/>
      <c r="BZ98" s="834"/>
      <c r="CA98" s="835"/>
      <c r="CB98" s="529"/>
      <c r="CC98" s="529"/>
      <c r="CD98" s="529"/>
      <c r="CE98" s="529"/>
      <c r="CF98" s="391"/>
      <c r="CG98" s="2"/>
      <c r="CH98" s="2"/>
      <c r="CI98" s="2"/>
      <c r="CJ98" s="2"/>
      <c r="CK98" s="2"/>
      <c r="CL98" s="2"/>
      <c r="CM98" s="2"/>
      <c r="CN98" s="2"/>
      <c r="CO98" s="2"/>
      <c r="CP98" s="2"/>
      <c r="CQ98" s="2"/>
    </row>
    <row r="99" spans="1:95" ht="12" customHeight="1">
      <c r="A99" s="299"/>
      <c r="B99" s="529"/>
      <c r="C99" s="529"/>
      <c r="D99" s="529"/>
      <c r="E99" s="529"/>
      <c r="F99" s="528"/>
      <c r="G99" s="529"/>
      <c r="H99" s="529"/>
      <c r="I99" s="529"/>
      <c r="J99" s="2"/>
      <c r="K99" s="529"/>
      <c r="L99" s="44"/>
      <c r="M99" s="528"/>
      <c r="N99" s="529"/>
      <c r="O99" s="529"/>
      <c r="P99" s="529"/>
      <c r="Q99" s="529"/>
      <c r="R99" s="44"/>
      <c r="S99" s="836"/>
      <c r="T99" s="837"/>
      <c r="U99" s="837"/>
      <c r="V99" s="837"/>
      <c r="W99" s="837"/>
      <c r="X99" s="837"/>
      <c r="Y99" s="837"/>
      <c r="Z99" s="837"/>
      <c r="AA99" s="837"/>
      <c r="AB99" s="837"/>
      <c r="AC99" s="837"/>
      <c r="AD99" s="837"/>
      <c r="AE99" s="837"/>
      <c r="AF99" s="837"/>
      <c r="AG99" s="837"/>
      <c r="AH99" s="837"/>
      <c r="AI99" s="837"/>
      <c r="AJ99" s="837"/>
      <c r="AK99" s="837"/>
      <c r="AL99" s="837"/>
      <c r="AM99" s="837"/>
      <c r="AN99" s="837"/>
      <c r="AO99" s="837"/>
      <c r="AP99" s="837"/>
      <c r="AQ99" s="837"/>
      <c r="AR99" s="837"/>
      <c r="AS99" s="837"/>
      <c r="AT99" s="837"/>
      <c r="AU99" s="837"/>
      <c r="AV99" s="838"/>
      <c r="AW99" s="836"/>
      <c r="AX99" s="837"/>
      <c r="AY99" s="837"/>
      <c r="AZ99" s="837"/>
      <c r="BA99" s="837"/>
      <c r="BB99" s="837"/>
      <c r="BC99" s="837"/>
      <c r="BD99" s="837"/>
      <c r="BE99" s="837"/>
      <c r="BF99" s="837"/>
      <c r="BG99" s="837"/>
      <c r="BH99" s="837"/>
      <c r="BI99" s="837"/>
      <c r="BJ99" s="837"/>
      <c r="BK99" s="837"/>
      <c r="BL99" s="837"/>
      <c r="BM99" s="837"/>
      <c r="BN99" s="837"/>
      <c r="BO99" s="837"/>
      <c r="BP99" s="837"/>
      <c r="BQ99" s="837"/>
      <c r="BR99" s="837"/>
      <c r="BS99" s="837"/>
      <c r="BT99" s="837"/>
      <c r="BU99" s="837"/>
      <c r="BV99" s="837"/>
      <c r="BW99" s="837"/>
      <c r="BX99" s="837"/>
      <c r="BY99" s="837"/>
      <c r="BZ99" s="837"/>
      <c r="CA99" s="838"/>
      <c r="CB99" s="529"/>
      <c r="CC99" s="529"/>
      <c r="CD99" s="529"/>
      <c r="CE99" s="529"/>
      <c r="CF99" s="391"/>
      <c r="CG99" s="2"/>
      <c r="CH99" s="2"/>
      <c r="CI99" s="2"/>
      <c r="CJ99" s="2"/>
      <c r="CK99" s="2"/>
      <c r="CL99" s="2"/>
      <c r="CM99" s="2"/>
      <c r="CN99" s="2"/>
      <c r="CO99" s="2"/>
      <c r="CP99" s="2"/>
      <c r="CQ99" s="2"/>
    </row>
    <row r="100" spans="1:95" ht="12" customHeight="1">
      <c r="A100" s="299"/>
      <c r="B100" s="529"/>
      <c r="C100" s="529"/>
      <c r="D100" s="529"/>
      <c r="E100" s="529"/>
      <c r="F100" s="528"/>
      <c r="G100" s="529"/>
      <c r="H100" s="529"/>
      <c r="I100" s="529"/>
      <c r="J100" s="2"/>
      <c r="K100" s="529"/>
      <c r="L100" s="44"/>
      <c r="M100" s="528"/>
      <c r="N100" s="529"/>
      <c r="O100" s="529"/>
      <c r="P100" s="529"/>
      <c r="Q100" s="529"/>
      <c r="R100" s="44"/>
      <c r="S100" s="836"/>
      <c r="T100" s="837"/>
      <c r="U100" s="837"/>
      <c r="V100" s="837"/>
      <c r="W100" s="837"/>
      <c r="X100" s="837"/>
      <c r="Y100" s="837"/>
      <c r="Z100" s="837"/>
      <c r="AA100" s="837"/>
      <c r="AB100" s="837"/>
      <c r="AC100" s="837"/>
      <c r="AD100" s="837"/>
      <c r="AE100" s="837"/>
      <c r="AF100" s="837"/>
      <c r="AG100" s="837"/>
      <c r="AH100" s="837"/>
      <c r="AI100" s="837"/>
      <c r="AJ100" s="837"/>
      <c r="AK100" s="837"/>
      <c r="AL100" s="837"/>
      <c r="AM100" s="837"/>
      <c r="AN100" s="837"/>
      <c r="AO100" s="837"/>
      <c r="AP100" s="837"/>
      <c r="AQ100" s="837"/>
      <c r="AR100" s="837"/>
      <c r="AS100" s="837"/>
      <c r="AT100" s="837"/>
      <c r="AU100" s="837"/>
      <c r="AV100" s="838"/>
      <c r="AW100" s="836"/>
      <c r="AX100" s="837"/>
      <c r="AY100" s="837"/>
      <c r="AZ100" s="837"/>
      <c r="BA100" s="837"/>
      <c r="BB100" s="837"/>
      <c r="BC100" s="837"/>
      <c r="BD100" s="837"/>
      <c r="BE100" s="837"/>
      <c r="BF100" s="837"/>
      <c r="BG100" s="837"/>
      <c r="BH100" s="837"/>
      <c r="BI100" s="837"/>
      <c r="BJ100" s="837"/>
      <c r="BK100" s="837"/>
      <c r="BL100" s="837"/>
      <c r="BM100" s="837"/>
      <c r="BN100" s="837"/>
      <c r="BO100" s="837"/>
      <c r="BP100" s="837"/>
      <c r="BQ100" s="837"/>
      <c r="BR100" s="837"/>
      <c r="BS100" s="837"/>
      <c r="BT100" s="837"/>
      <c r="BU100" s="837"/>
      <c r="BV100" s="837"/>
      <c r="BW100" s="837"/>
      <c r="BX100" s="837"/>
      <c r="BY100" s="837"/>
      <c r="BZ100" s="837"/>
      <c r="CA100" s="838"/>
      <c r="CB100" s="529"/>
      <c r="CC100" s="529"/>
      <c r="CD100" s="529"/>
      <c r="CE100" s="529"/>
      <c r="CF100" s="391"/>
      <c r="CG100" s="2"/>
      <c r="CH100" s="2"/>
      <c r="CI100" s="2"/>
      <c r="CJ100" s="2"/>
      <c r="CK100" s="2"/>
      <c r="CL100" s="2"/>
      <c r="CM100" s="2"/>
      <c r="CN100" s="2"/>
      <c r="CO100" s="2"/>
      <c r="CP100" s="2"/>
      <c r="CQ100" s="2"/>
    </row>
    <row r="101" spans="1:95" ht="12" customHeight="1">
      <c r="A101" s="299"/>
      <c r="B101" s="529"/>
      <c r="C101" s="529"/>
      <c r="D101" s="529"/>
      <c r="E101" s="529"/>
      <c r="F101" s="158"/>
      <c r="G101" s="139"/>
      <c r="H101" s="139"/>
      <c r="I101" s="139"/>
      <c r="J101" s="293"/>
      <c r="K101" s="293"/>
      <c r="L101" s="294"/>
      <c r="M101" s="292"/>
      <c r="N101" s="293"/>
      <c r="O101" s="293"/>
      <c r="P101" s="293"/>
      <c r="Q101" s="293"/>
      <c r="R101" s="294"/>
      <c r="S101" s="839"/>
      <c r="T101" s="840"/>
      <c r="U101" s="840"/>
      <c r="V101" s="840"/>
      <c r="W101" s="840"/>
      <c r="X101" s="840"/>
      <c r="Y101" s="840"/>
      <c r="Z101" s="840"/>
      <c r="AA101" s="840"/>
      <c r="AB101" s="840"/>
      <c r="AC101" s="840"/>
      <c r="AD101" s="840"/>
      <c r="AE101" s="840"/>
      <c r="AF101" s="840"/>
      <c r="AG101" s="840"/>
      <c r="AH101" s="840"/>
      <c r="AI101" s="840"/>
      <c r="AJ101" s="840"/>
      <c r="AK101" s="840"/>
      <c r="AL101" s="840"/>
      <c r="AM101" s="840"/>
      <c r="AN101" s="840"/>
      <c r="AO101" s="840"/>
      <c r="AP101" s="840"/>
      <c r="AQ101" s="840"/>
      <c r="AR101" s="840"/>
      <c r="AS101" s="840"/>
      <c r="AT101" s="840"/>
      <c r="AU101" s="840"/>
      <c r="AV101" s="841"/>
      <c r="AW101" s="839"/>
      <c r="AX101" s="840"/>
      <c r="AY101" s="840"/>
      <c r="AZ101" s="840"/>
      <c r="BA101" s="840"/>
      <c r="BB101" s="840"/>
      <c r="BC101" s="840"/>
      <c r="BD101" s="840"/>
      <c r="BE101" s="840"/>
      <c r="BF101" s="840"/>
      <c r="BG101" s="840"/>
      <c r="BH101" s="840"/>
      <c r="BI101" s="840"/>
      <c r="BJ101" s="840"/>
      <c r="BK101" s="840"/>
      <c r="BL101" s="840"/>
      <c r="BM101" s="840"/>
      <c r="BN101" s="840"/>
      <c r="BO101" s="840"/>
      <c r="BP101" s="840"/>
      <c r="BQ101" s="840"/>
      <c r="BR101" s="840"/>
      <c r="BS101" s="840"/>
      <c r="BT101" s="840"/>
      <c r="BU101" s="840"/>
      <c r="BV101" s="840"/>
      <c r="BW101" s="840"/>
      <c r="BX101" s="840"/>
      <c r="BY101" s="840"/>
      <c r="BZ101" s="840"/>
      <c r="CA101" s="841"/>
      <c r="CB101" s="529"/>
      <c r="CC101" s="529"/>
      <c r="CD101" s="529"/>
      <c r="CE101" s="529"/>
      <c r="CF101" s="391"/>
      <c r="CG101" s="2"/>
      <c r="CH101" s="2"/>
      <c r="CI101" s="2"/>
      <c r="CJ101" s="2"/>
      <c r="CK101" s="2"/>
      <c r="CL101" s="2"/>
      <c r="CM101" s="2"/>
      <c r="CN101" s="2"/>
      <c r="CO101" s="2"/>
      <c r="CP101" s="2"/>
      <c r="CQ101" s="2"/>
    </row>
    <row r="102" spans="1:95" ht="12" customHeight="1">
      <c r="A102" s="299"/>
      <c r="B102" s="529"/>
      <c r="C102" s="529"/>
      <c r="D102" s="529"/>
      <c r="E102" s="529"/>
      <c r="G102" s="529"/>
      <c r="H102" s="529"/>
      <c r="I102" s="529"/>
      <c r="J102" s="529"/>
      <c r="K102" s="529"/>
      <c r="L102" s="529"/>
      <c r="M102" s="529"/>
      <c r="N102" s="529"/>
      <c r="O102" s="529"/>
      <c r="P102" s="529"/>
      <c r="Q102" s="529"/>
      <c r="R102" s="529"/>
      <c r="S102" s="529"/>
      <c r="T102" s="529"/>
      <c r="U102" s="529"/>
      <c r="V102" s="529"/>
      <c r="W102" s="529"/>
      <c r="X102" s="529"/>
      <c r="Y102" s="529"/>
      <c r="Z102" s="529"/>
      <c r="AA102" s="529"/>
      <c r="AB102" s="529"/>
      <c r="AC102" s="529"/>
      <c r="AD102" s="529"/>
      <c r="AE102" s="529"/>
      <c r="AF102" s="529"/>
      <c r="AG102" s="529"/>
      <c r="AH102" s="529"/>
      <c r="AI102" s="529"/>
      <c r="AJ102" s="529"/>
      <c r="AK102" s="529"/>
      <c r="AL102" s="529"/>
      <c r="AM102" s="529"/>
      <c r="AN102" s="529"/>
      <c r="AO102" s="529"/>
      <c r="AP102" s="529"/>
      <c r="AQ102" s="529"/>
      <c r="AR102" s="529"/>
      <c r="AS102" s="529"/>
      <c r="AT102" s="529"/>
      <c r="AU102" s="529"/>
      <c r="AV102" s="529"/>
      <c r="AW102" s="529"/>
      <c r="AX102" s="529"/>
      <c r="AY102" s="529"/>
      <c r="AZ102" s="529"/>
      <c r="BA102" s="529"/>
      <c r="BB102" s="529"/>
      <c r="BC102" s="529"/>
      <c r="BD102" s="529"/>
      <c r="BE102" s="529"/>
      <c r="BF102" s="529"/>
      <c r="BG102" s="529"/>
      <c r="BH102" s="529"/>
      <c r="BI102" s="529"/>
      <c r="BJ102" s="529"/>
      <c r="BK102" s="529"/>
      <c r="BL102" s="529"/>
      <c r="BM102" s="529"/>
      <c r="BN102" s="529"/>
      <c r="BO102" s="529"/>
      <c r="BP102" s="529"/>
      <c r="BQ102" s="529"/>
      <c r="BR102" s="529"/>
      <c r="BS102" s="529"/>
      <c r="BT102" s="529"/>
      <c r="BU102" s="529"/>
      <c r="BV102" s="529"/>
      <c r="BW102" s="529"/>
      <c r="BX102" s="529"/>
      <c r="BY102" s="529"/>
      <c r="BZ102" s="529"/>
      <c r="CA102" s="529"/>
      <c r="CB102" s="529"/>
      <c r="CC102" s="529"/>
      <c r="CD102" s="529"/>
      <c r="CE102" s="529"/>
      <c r="CF102" s="391"/>
      <c r="CG102" s="2"/>
      <c r="CH102" s="2"/>
      <c r="CI102" s="2"/>
      <c r="CJ102" s="2"/>
      <c r="CK102" s="2"/>
      <c r="CL102" s="2"/>
      <c r="CM102" s="2"/>
      <c r="CN102" s="2"/>
      <c r="CO102" s="2"/>
      <c r="CP102" s="2"/>
      <c r="CQ102" s="2"/>
    </row>
    <row r="103" spans="1:95" ht="12" customHeight="1">
      <c r="A103" s="299"/>
      <c r="B103" s="529"/>
      <c r="C103" s="529"/>
      <c r="D103" s="529"/>
      <c r="E103" s="529"/>
      <c r="G103" s="529"/>
      <c r="H103" s="529"/>
      <c r="I103" s="529"/>
      <c r="J103" s="529"/>
      <c r="K103" s="529"/>
      <c r="L103" s="529"/>
      <c r="M103" s="529"/>
      <c r="N103" s="529"/>
      <c r="O103" s="529"/>
      <c r="P103" s="529"/>
      <c r="Q103" s="529"/>
      <c r="R103" s="529"/>
      <c r="S103" s="529"/>
      <c r="T103" s="529"/>
      <c r="U103" s="529"/>
      <c r="V103" s="529"/>
      <c r="W103" s="529"/>
      <c r="X103" s="529"/>
      <c r="Y103" s="529"/>
      <c r="Z103" s="529"/>
      <c r="AA103" s="529"/>
      <c r="AB103" s="529"/>
      <c r="AC103" s="529"/>
      <c r="AD103" s="529"/>
      <c r="AE103" s="529"/>
      <c r="AF103" s="529"/>
      <c r="AG103" s="529"/>
      <c r="AH103" s="529"/>
      <c r="AI103" s="529"/>
      <c r="AJ103" s="529"/>
      <c r="AK103" s="529"/>
      <c r="AL103" s="529"/>
      <c r="AM103" s="529"/>
      <c r="AN103" s="529"/>
      <c r="AO103" s="529"/>
      <c r="AP103" s="529"/>
      <c r="AQ103" s="529"/>
      <c r="AR103" s="529"/>
      <c r="AS103" s="529"/>
      <c r="AT103" s="529"/>
      <c r="AU103" s="529"/>
      <c r="AV103" s="529"/>
      <c r="AW103" s="529"/>
      <c r="AX103" s="529"/>
      <c r="AY103" s="529"/>
      <c r="AZ103" s="529"/>
      <c r="BA103" s="529"/>
      <c r="BB103" s="529"/>
      <c r="BC103" s="529"/>
      <c r="BD103" s="529"/>
      <c r="BE103" s="529"/>
      <c r="BF103" s="529"/>
      <c r="BG103" s="529"/>
      <c r="BH103" s="529"/>
      <c r="BI103" s="529"/>
      <c r="BJ103" s="529"/>
      <c r="BK103" s="529"/>
      <c r="BL103" s="529"/>
      <c r="BM103" s="529"/>
      <c r="BN103" s="529"/>
      <c r="BO103" s="529"/>
      <c r="BP103" s="529"/>
      <c r="BQ103" s="529"/>
      <c r="BR103" s="529"/>
      <c r="BS103" s="529"/>
      <c r="BT103" s="529"/>
      <c r="BU103" s="529"/>
      <c r="BV103" s="529"/>
      <c r="BW103" s="529"/>
      <c r="BX103" s="529"/>
      <c r="BY103" s="529"/>
      <c r="BZ103" s="529"/>
      <c r="CA103" s="529"/>
      <c r="CB103" s="529"/>
      <c r="CC103" s="529"/>
      <c r="CD103" s="529"/>
      <c r="CE103" s="529"/>
      <c r="CF103" s="391"/>
      <c r="CG103" s="2"/>
      <c r="CH103" s="2"/>
      <c r="CI103" s="2"/>
      <c r="CJ103" s="2"/>
      <c r="CK103" s="2"/>
      <c r="CL103" s="2"/>
      <c r="CM103" s="2"/>
      <c r="CN103" s="2"/>
      <c r="CO103" s="2"/>
      <c r="CP103" s="2"/>
      <c r="CQ103" s="2"/>
    </row>
    <row r="104" spans="1:95" ht="12" customHeight="1">
      <c r="A104" s="299"/>
      <c r="B104" s="529"/>
      <c r="C104" s="529"/>
      <c r="D104" s="529"/>
      <c r="E104" s="529"/>
      <c r="G104" s="529"/>
      <c r="H104" s="529"/>
      <c r="I104" s="529"/>
      <c r="J104" s="529"/>
      <c r="K104" s="529"/>
      <c r="L104" s="529"/>
      <c r="M104" s="529"/>
      <c r="N104" s="529"/>
      <c r="O104" s="529"/>
      <c r="P104" s="529"/>
      <c r="Q104" s="529"/>
      <c r="R104" s="529"/>
      <c r="S104" s="529"/>
      <c r="T104" s="529"/>
      <c r="U104" s="529"/>
      <c r="V104" s="529"/>
      <c r="W104" s="529"/>
      <c r="X104" s="529"/>
      <c r="Y104" s="529"/>
      <c r="Z104" s="529"/>
      <c r="AA104" s="529"/>
      <c r="AB104" s="529"/>
      <c r="AC104" s="529"/>
      <c r="AD104" s="529"/>
      <c r="AE104" s="529"/>
      <c r="AF104" s="529"/>
      <c r="AG104" s="529"/>
      <c r="AH104" s="529"/>
      <c r="AI104" s="529"/>
      <c r="AJ104" s="529"/>
      <c r="AK104" s="529"/>
      <c r="AL104" s="529"/>
      <c r="AM104" s="529"/>
      <c r="AN104" s="529"/>
      <c r="AO104" s="529"/>
      <c r="AP104" s="529"/>
      <c r="AQ104" s="529"/>
      <c r="AR104" s="529"/>
      <c r="AS104" s="529"/>
      <c r="AT104" s="529"/>
      <c r="AU104" s="529"/>
      <c r="AV104" s="529"/>
      <c r="AW104" s="529"/>
      <c r="AX104" s="529"/>
      <c r="AY104" s="529"/>
      <c r="AZ104" s="529"/>
      <c r="BA104" s="529"/>
      <c r="BB104" s="529"/>
      <c r="BC104" s="529"/>
      <c r="BD104" s="529"/>
      <c r="BE104" s="529"/>
      <c r="BF104" s="529"/>
      <c r="BG104" s="529"/>
      <c r="BH104" s="529"/>
      <c r="BI104" s="529"/>
      <c r="BJ104" s="529"/>
      <c r="BK104" s="529"/>
      <c r="BL104" s="529"/>
      <c r="BM104" s="529"/>
      <c r="BN104" s="529"/>
      <c r="BO104" s="529"/>
      <c r="BP104" s="529"/>
      <c r="BQ104" s="529"/>
      <c r="BR104" s="529"/>
      <c r="BS104" s="529"/>
      <c r="BT104" s="529"/>
      <c r="BU104" s="529"/>
      <c r="BV104" s="529"/>
      <c r="BW104" s="529"/>
      <c r="BX104" s="529"/>
      <c r="BY104" s="529"/>
      <c r="BZ104" s="529"/>
      <c r="CA104" s="529"/>
      <c r="CB104" s="529"/>
      <c r="CC104" s="529"/>
      <c r="CD104" s="529"/>
      <c r="CE104" s="529"/>
      <c r="CF104" s="391"/>
      <c r="CG104" s="2"/>
      <c r="CH104" s="2"/>
      <c r="CI104" s="2"/>
      <c r="CJ104" s="2"/>
      <c r="CK104" s="2"/>
      <c r="CL104" s="2"/>
      <c r="CM104" s="2"/>
      <c r="CN104" s="2"/>
      <c r="CO104" s="2"/>
      <c r="CP104" s="2"/>
      <c r="CQ104" s="2"/>
    </row>
    <row r="105" spans="1:95" ht="12" customHeight="1">
      <c r="A105" s="299"/>
      <c r="B105" s="529"/>
      <c r="C105" s="529"/>
      <c r="D105" s="529" t="s">
        <v>1154</v>
      </c>
      <c r="E105" s="529"/>
      <c r="F105" s="529"/>
      <c r="G105" s="529"/>
      <c r="H105" s="529"/>
      <c r="I105" s="529"/>
      <c r="J105" s="529"/>
      <c r="K105" s="529"/>
      <c r="L105" s="529"/>
      <c r="M105" s="529"/>
      <c r="N105" s="529"/>
      <c r="O105" s="529"/>
      <c r="P105" s="529"/>
      <c r="Q105" s="529"/>
      <c r="R105" s="529"/>
      <c r="S105" s="529"/>
      <c r="T105" s="529"/>
      <c r="U105" s="529"/>
      <c r="V105" s="529"/>
      <c r="W105" s="529"/>
      <c r="X105" s="529"/>
      <c r="Y105" s="529"/>
      <c r="Z105" s="529"/>
      <c r="AA105" s="529"/>
      <c r="AB105" s="529"/>
      <c r="AC105" s="529"/>
      <c r="AD105" s="529"/>
      <c r="AE105" s="529"/>
      <c r="AF105" s="529"/>
      <c r="AG105" s="529"/>
      <c r="AH105" s="529"/>
      <c r="AI105" s="529"/>
      <c r="AJ105" s="529"/>
      <c r="AK105" s="529"/>
      <c r="AL105" s="529"/>
      <c r="AM105" s="529"/>
      <c r="AN105" s="529"/>
      <c r="AO105" s="529"/>
      <c r="AP105" s="529"/>
      <c r="AQ105" s="529"/>
      <c r="AR105" s="529"/>
      <c r="AS105" s="529"/>
      <c r="AT105" s="529"/>
      <c r="AU105" s="529"/>
      <c r="AV105" s="529"/>
      <c r="AW105" s="529"/>
      <c r="AX105" s="529"/>
      <c r="AY105" s="529"/>
      <c r="AZ105" s="529"/>
      <c r="BA105" s="529"/>
      <c r="BB105" s="529"/>
      <c r="BC105" s="529"/>
      <c r="BD105" s="529"/>
      <c r="BE105" s="529"/>
      <c r="BF105" s="529"/>
      <c r="BG105" s="529"/>
      <c r="BH105" s="529"/>
      <c r="BI105" s="529"/>
      <c r="BJ105" s="529"/>
      <c r="BK105" s="529"/>
      <c r="BL105" s="529"/>
      <c r="BM105" s="529"/>
      <c r="BN105" s="529"/>
      <c r="BO105" s="529"/>
      <c r="BP105" s="529"/>
      <c r="BQ105" s="529"/>
      <c r="BR105" s="529"/>
      <c r="BS105" s="529"/>
      <c r="BT105" s="529"/>
      <c r="BU105" s="529"/>
      <c r="BV105" s="529"/>
      <c r="BW105" s="529"/>
      <c r="BX105" s="529"/>
      <c r="BY105" s="529"/>
      <c r="BZ105" s="529"/>
      <c r="CA105" s="529"/>
      <c r="CB105" s="529"/>
      <c r="CC105" s="529"/>
      <c r="CD105" s="529"/>
      <c r="CE105" s="529"/>
      <c r="CF105" s="391"/>
    </row>
    <row r="106" spans="1:95" ht="12" customHeight="1">
      <c r="A106" s="299"/>
      <c r="B106" s="529"/>
      <c r="C106" s="529"/>
      <c r="D106" s="529"/>
      <c r="E106" s="529"/>
      <c r="F106" s="529"/>
      <c r="G106" s="529"/>
      <c r="H106" s="529"/>
      <c r="I106" s="529"/>
      <c r="J106" s="529"/>
      <c r="K106" s="529"/>
      <c r="L106" s="529"/>
      <c r="M106" s="529"/>
      <c r="N106" s="529"/>
      <c r="O106" s="529"/>
      <c r="P106" s="529"/>
      <c r="Q106" s="529"/>
      <c r="R106" s="529"/>
      <c r="S106" s="529"/>
      <c r="T106" s="529"/>
      <c r="U106" s="529"/>
      <c r="V106" s="529"/>
      <c r="W106" s="529"/>
      <c r="X106" s="529"/>
      <c r="Y106" s="529"/>
      <c r="Z106" s="529"/>
      <c r="AA106" s="529"/>
      <c r="AB106" s="529"/>
      <c r="AC106" s="529"/>
      <c r="AD106" s="529"/>
      <c r="AE106" s="529"/>
      <c r="AF106" s="529"/>
      <c r="AG106" s="529"/>
      <c r="AH106" s="529"/>
      <c r="AI106" s="529"/>
      <c r="AJ106" s="529"/>
      <c r="AK106" s="529"/>
      <c r="AL106" s="529"/>
      <c r="AM106" s="529"/>
      <c r="AN106" s="529"/>
      <c r="AO106" s="529"/>
      <c r="AP106" s="529"/>
      <c r="AQ106" s="529"/>
      <c r="AR106" s="529"/>
      <c r="AS106" s="529"/>
      <c r="AT106" s="529"/>
      <c r="AU106" s="529"/>
      <c r="AV106" s="529"/>
      <c r="AW106" s="529"/>
      <c r="AX106" s="529"/>
      <c r="AY106" s="529"/>
      <c r="AZ106" s="529"/>
      <c r="BA106" s="529"/>
      <c r="BB106" s="529"/>
      <c r="BC106" s="529"/>
      <c r="BD106" s="529"/>
      <c r="BE106" s="529"/>
      <c r="BF106" s="529"/>
      <c r="BG106" s="529"/>
      <c r="BH106" s="529"/>
      <c r="BI106" s="529"/>
      <c r="BJ106" s="529"/>
      <c r="BK106" s="529"/>
      <c r="BL106" s="529"/>
      <c r="BM106" s="529"/>
      <c r="BN106" s="529"/>
      <c r="BO106" s="529"/>
      <c r="BP106" s="529"/>
      <c r="BQ106" s="529"/>
      <c r="BR106" s="529"/>
      <c r="BS106" s="529"/>
      <c r="BT106" s="529"/>
      <c r="BU106" s="529"/>
      <c r="BV106" s="529"/>
      <c r="BW106" s="529"/>
      <c r="BX106" s="529"/>
      <c r="BY106" s="529"/>
      <c r="BZ106" s="529"/>
      <c r="CA106" s="529"/>
      <c r="CB106" s="529"/>
      <c r="CC106" s="529"/>
      <c r="CD106" s="529"/>
      <c r="CE106" s="529"/>
      <c r="CF106" s="391"/>
    </row>
    <row r="107" spans="1:95" ht="12" customHeight="1">
      <c r="A107" s="299"/>
      <c r="B107" s="529"/>
      <c r="C107" s="529"/>
      <c r="D107" s="529"/>
      <c r="E107" s="529" t="s">
        <v>474</v>
      </c>
      <c r="F107" s="529"/>
      <c r="G107" s="529"/>
      <c r="H107" s="529"/>
      <c r="I107" s="529"/>
      <c r="J107" s="529"/>
      <c r="K107" s="529"/>
      <c r="L107" s="529"/>
      <c r="M107" s="529"/>
      <c r="N107" s="529"/>
      <c r="O107" s="529"/>
      <c r="P107" s="529"/>
      <c r="Q107" s="529"/>
      <c r="R107" s="529"/>
      <c r="S107" s="529"/>
      <c r="T107" s="529"/>
      <c r="U107" s="529"/>
      <c r="V107" s="529"/>
      <c r="W107" s="529"/>
      <c r="X107" s="529"/>
      <c r="Y107" s="529"/>
      <c r="Z107" s="529"/>
      <c r="AA107" s="529"/>
      <c r="AB107" s="529"/>
      <c r="AC107" s="529"/>
      <c r="AD107" s="529"/>
      <c r="AE107" s="529"/>
      <c r="AF107" s="529"/>
      <c r="AG107" s="529"/>
      <c r="AH107" s="529"/>
      <c r="AI107" s="529"/>
      <c r="AJ107" s="529"/>
      <c r="AK107" s="529"/>
      <c r="AL107" s="529"/>
      <c r="AM107" s="529"/>
      <c r="AN107" s="529"/>
      <c r="AO107" s="529"/>
      <c r="AP107" s="529"/>
      <c r="AQ107" s="529"/>
      <c r="AR107" s="529"/>
      <c r="AS107" s="529"/>
      <c r="AT107" s="529"/>
      <c r="AU107" s="529"/>
      <c r="AV107" s="529"/>
      <c r="AW107" s="529"/>
      <c r="AX107" s="529"/>
      <c r="AY107" s="529"/>
      <c r="AZ107" s="529"/>
      <c r="BA107" s="529"/>
      <c r="BB107" s="529"/>
      <c r="BC107" s="529"/>
      <c r="BD107" s="529"/>
      <c r="BE107" s="529"/>
      <c r="BF107" s="529"/>
      <c r="BG107" s="529"/>
      <c r="BH107" s="529"/>
      <c r="BI107" s="529"/>
      <c r="BJ107" s="529"/>
      <c r="BK107" s="529"/>
      <c r="BL107" s="529"/>
      <c r="BM107" s="529"/>
      <c r="BN107" s="529"/>
      <c r="BO107" s="529"/>
      <c r="BP107" s="529"/>
      <c r="BQ107" s="529"/>
      <c r="BR107" s="529"/>
      <c r="BS107" s="529"/>
      <c r="BT107" s="529"/>
      <c r="BU107" s="529"/>
      <c r="BV107" s="529"/>
      <c r="BW107" s="529"/>
      <c r="BX107" s="529"/>
      <c r="BY107" s="529"/>
      <c r="BZ107" s="529"/>
      <c r="CA107" s="529"/>
      <c r="CB107" s="529"/>
      <c r="CC107" s="529"/>
      <c r="CD107" s="529"/>
      <c r="CE107" s="529"/>
      <c r="CF107" s="391"/>
    </row>
    <row r="108" spans="1:95" ht="12" customHeight="1">
      <c r="A108" s="299"/>
      <c r="B108" s="529"/>
      <c r="C108" s="529"/>
      <c r="D108" s="529"/>
      <c r="E108" s="529"/>
      <c r="F108" s="529"/>
      <c r="G108" s="529"/>
      <c r="H108" s="529"/>
      <c r="I108" s="529"/>
      <c r="J108" s="529"/>
      <c r="K108" s="529"/>
      <c r="L108" s="529"/>
      <c r="M108" s="529"/>
      <c r="N108" s="529"/>
      <c r="O108" s="529"/>
      <c r="P108" s="529"/>
      <c r="Q108" s="529"/>
      <c r="R108" s="529"/>
      <c r="S108" s="529"/>
      <c r="T108" s="529"/>
      <c r="U108" s="529"/>
      <c r="V108" s="529"/>
      <c r="W108" s="529"/>
      <c r="X108" s="529"/>
      <c r="Y108" s="529"/>
      <c r="Z108" s="529"/>
      <c r="AA108" s="529"/>
      <c r="AB108" s="529"/>
      <c r="AC108" s="529"/>
      <c r="AD108" s="529"/>
      <c r="AE108" s="529"/>
      <c r="AF108" s="529"/>
      <c r="AG108" s="529"/>
      <c r="AH108" s="529"/>
      <c r="AI108" s="529"/>
      <c r="AJ108" s="529"/>
      <c r="AK108" s="529"/>
      <c r="AL108" s="529"/>
      <c r="AM108" s="529"/>
      <c r="AN108" s="529"/>
      <c r="AO108" s="529"/>
      <c r="AP108" s="529"/>
      <c r="AQ108" s="529"/>
      <c r="AR108" s="529"/>
      <c r="AS108" s="529"/>
      <c r="AT108" s="529"/>
      <c r="AU108" s="529"/>
      <c r="AV108" s="529"/>
      <c r="AW108" s="529"/>
      <c r="AX108" s="529"/>
      <c r="AY108" s="529"/>
      <c r="AZ108" s="529"/>
      <c r="BA108" s="529"/>
      <c r="BB108" s="529"/>
      <c r="BC108" s="529"/>
      <c r="BD108" s="529"/>
      <c r="BE108" s="529"/>
      <c r="BF108" s="529"/>
      <c r="BG108" s="529"/>
      <c r="BH108" s="529"/>
      <c r="BI108" s="529"/>
      <c r="BJ108" s="529"/>
      <c r="BK108" s="529"/>
      <c r="BL108" s="529"/>
      <c r="BM108" s="529"/>
      <c r="BN108" s="529"/>
      <c r="BO108" s="529"/>
      <c r="BP108" s="529"/>
      <c r="BQ108" s="529"/>
      <c r="BR108" s="529"/>
      <c r="BS108" s="529"/>
      <c r="BT108" s="529"/>
      <c r="BU108" s="529"/>
      <c r="BV108" s="529"/>
      <c r="BW108" s="529"/>
      <c r="BX108" s="529"/>
      <c r="BY108" s="529"/>
      <c r="BZ108" s="529"/>
      <c r="CA108" s="529"/>
      <c r="CB108" s="529"/>
      <c r="CC108" s="529"/>
      <c r="CD108" s="529"/>
      <c r="CE108" s="529"/>
      <c r="CF108" s="391"/>
    </row>
    <row r="109" spans="1:95" ht="12" customHeight="1">
      <c r="A109" s="299"/>
      <c r="B109" s="529"/>
      <c r="C109" s="529"/>
      <c r="D109" s="529"/>
      <c r="E109" s="529"/>
      <c r="F109" s="529" t="s">
        <v>296</v>
      </c>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29"/>
      <c r="AF109" s="529"/>
      <c r="AG109" s="529"/>
      <c r="AH109" s="529"/>
      <c r="AI109" s="529"/>
      <c r="AJ109" s="529"/>
      <c r="AK109" s="529"/>
      <c r="AL109" s="529"/>
      <c r="AM109" s="529"/>
      <c r="AN109" s="529"/>
      <c r="AO109" s="529"/>
      <c r="AP109" s="529"/>
      <c r="AQ109" s="529"/>
      <c r="AR109" s="529"/>
      <c r="AS109" s="529"/>
      <c r="AT109" s="529"/>
      <c r="AU109" s="529"/>
      <c r="AV109" s="529"/>
      <c r="AW109" s="529"/>
      <c r="AX109" s="529"/>
      <c r="AY109" s="529"/>
      <c r="AZ109" s="529"/>
      <c r="BA109" s="529"/>
      <c r="BB109" s="529"/>
      <c r="BC109" s="529"/>
      <c r="BD109" s="529"/>
      <c r="BE109" s="529"/>
      <c r="BF109" s="529"/>
      <c r="BG109" s="529"/>
      <c r="BH109" s="529"/>
      <c r="BI109" s="529"/>
      <c r="BJ109" s="529"/>
      <c r="BK109" s="529"/>
      <c r="BL109" s="529"/>
      <c r="BM109" s="529"/>
      <c r="BN109" s="529"/>
      <c r="BO109" s="529"/>
      <c r="BP109" s="529"/>
      <c r="BQ109" s="529"/>
      <c r="BR109" s="529"/>
      <c r="BS109" s="529"/>
      <c r="BT109" s="529"/>
      <c r="BU109" s="529"/>
      <c r="BV109" s="529"/>
      <c r="BW109" s="529"/>
      <c r="BX109" s="529"/>
      <c r="BY109" s="529"/>
      <c r="BZ109" s="529"/>
      <c r="CA109" s="529"/>
      <c r="CB109" s="529"/>
      <c r="CC109" s="529"/>
      <c r="CD109" s="529"/>
      <c r="CE109" s="529"/>
      <c r="CF109" s="391"/>
      <c r="CG109" s="2"/>
      <c r="CH109" s="2"/>
      <c r="CI109" s="2"/>
      <c r="CJ109" s="2"/>
      <c r="CK109" s="2"/>
      <c r="CL109" s="2"/>
      <c r="CM109" s="2"/>
      <c r="CN109" s="2"/>
      <c r="CO109" s="2"/>
      <c r="CP109" s="2"/>
      <c r="CQ109" s="2"/>
    </row>
    <row r="110" spans="1:95" ht="12" customHeight="1">
      <c r="A110" s="299"/>
      <c r="B110" s="529"/>
      <c r="C110" s="529"/>
      <c r="D110" s="529"/>
      <c r="E110" s="529"/>
      <c r="F110" s="529" t="s">
        <v>295</v>
      </c>
      <c r="G110" s="529"/>
      <c r="H110" s="529"/>
      <c r="I110" s="529"/>
      <c r="J110" s="529"/>
      <c r="K110" s="529"/>
      <c r="L110" s="529"/>
      <c r="M110" s="529"/>
      <c r="N110" s="529"/>
      <c r="O110" s="529"/>
      <c r="P110" s="529"/>
      <c r="Q110" s="529"/>
      <c r="R110" s="529"/>
      <c r="S110" s="529"/>
      <c r="T110" s="529"/>
      <c r="U110" s="529"/>
      <c r="V110" s="529"/>
      <c r="W110" s="529"/>
      <c r="X110" s="529"/>
      <c r="Y110" s="529"/>
      <c r="Z110" s="529"/>
      <c r="AA110" s="529"/>
      <c r="AB110" s="529"/>
      <c r="AC110" s="529"/>
      <c r="AD110" s="529"/>
      <c r="AE110" s="529"/>
      <c r="AF110" s="529"/>
      <c r="AG110" s="529"/>
      <c r="AH110" s="529"/>
      <c r="AI110" s="529"/>
      <c r="AJ110" s="529"/>
      <c r="AK110" s="529"/>
      <c r="AL110" s="529"/>
      <c r="AM110" s="529"/>
      <c r="AN110" s="529"/>
      <c r="AO110" s="529"/>
      <c r="AP110" s="529"/>
      <c r="AQ110" s="529"/>
      <c r="AR110" s="529"/>
      <c r="AS110" s="529"/>
      <c r="AT110" s="529"/>
      <c r="AU110" s="529"/>
      <c r="AV110" s="529"/>
      <c r="AW110" s="529"/>
      <c r="AX110" s="529"/>
      <c r="AY110" s="529"/>
      <c r="AZ110" s="529"/>
      <c r="BA110" s="529"/>
      <c r="BB110" s="529"/>
      <c r="BC110" s="529"/>
      <c r="BD110" s="529"/>
      <c r="BE110" s="529"/>
      <c r="BF110" s="529"/>
      <c r="BG110" s="529"/>
      <c r="BH110" s="529"/>
      <c r="BI110" s="529"/>
      <c r="BJ110" s="529"/>
      <c r="BK110" s="529"/>
      <c r="BL110" s="529"/>
      <c r="BM110" s="529"/>
      <c r="BN110" s="529"/>
      <c r="BO110" s="529"/>
      <c r="BP110" s="529"/>
      <c r="BQ110" s="529"/>
      <c r="BR110" s="529"/>
      <c r="BS110" s="529"/>
      <c r="BT110" s="529"/>
      <c r="BU110" s="529"/>
      <c r="BV110" s="529"/>
      <c r="BW110" s="529"/>
      <c r="BX110" s="529"/>
      <c r="BY110" s="529"/>
      <c r="BZ110" s="529"/>
      <c r="CA110" s="529"/>
      <c r="CB110" s="529"/>
      <c r="CC110" s="529"/>
      <c r="CD110" s="529"/>
      <c r="CE110" s="529"/>
      <c r="CF110" s="391"/>
      <c r="CG110" s="2"/>
      <c r="CH110" s="2"/>
      <c r="CI110" s="2"/>
      <c r="CJ110" s="2"/>
      <c r="CK110" s="2"/>
      <c r="CL110" s="2"/>
      <c r="CM110" s="2"/>
      <c r="CN110" s="2"/>
      <c r="CO110" s="2"/>
      <c r="CP110" s="2"/>
      <c r="CQ110" s="2"/>
    </row>
    <row r="111" spans="1:95" ht="12" customHeight="1">
      <c r="A111" s="299"/>
      <c r="B111" s="529"/>
      <c r="C111" s="529"/>
      <c r="D111" s="529"/>
      <c r="E111" s="529"/>
      <c r="F111" s="529" t="s">
        <v>427</v>
      </c>
      <c r="H111" s="529"/>
      <c r="I111" s="529"/>
      <c r="J111" s="529"/>
      <c r="K111" s="529"/>
      <c r="L111" s="529"/>
      <c r="M111" s="529"/>
      <c r="N111" s="529"/>
      <c r="O111" s="529"/>
      <c r="P111" s="529"/>
      <c r="Q111" s="529"/>
      <c r="R111" s="529"/>
      <c r="S111" s="529"/>
      <c r="T111" s="529"/>
      <c r="U111" s="529"/>
      <c r="V111" s="529"/>
      <c r="W111" s="529"/>
      <c r="X111" s="529"/>
      <c r="Y111" s="529"/>
      <c r="Z111" s="529"/>
      <c r="AA111" s="529"/>
      <c r="AB111" s="529"/>
      <c r="AC111" s="529"/>
      <c r="AD111" s="529"/>
      <c r="AE111" s="529"/>
      <c r="AF111" s="529"/>
      <c r="AG111" s="529"/>
      <c r="AH111" s="529"/>
      <c r="AI111" s="529"/>
      <c r="AJ111" s="529"/>
      <c r="AK111" s="529"/>
      <c r="AL111" s="529"/>
      <c r="AM111" s="529"/>
      <c r="AN111" s="529"/>
      <c r="AO111" s="529"/>
      <c r="AP111" s="529"/>
      <c r="AQ111" s="529"/>
      <c r="AR111" s="529"/>
      <c r="AS111" s="529"/>
      <c r="AT111" s="529"/>
      <c r="AU111" s="529"/>
      <c r="AV111" s="529"/>
      <c r="AW111" s="529"/>
      <c r="AX111" s="529"/>
      <c r="AY111" s="529"/>
      <c r="AZ111" s="529"/>
      <c r="BA111" s="529"/>
      <c r="BB111" s="529"/>
      <c r="BC111" s="529"/>
      <c r="BD111" s="529"/>
      <c r="BE111" s="529"/>
      <c r="BF111" s="529"/>
      <c r="BG111" s="529"/>
      <c r="BH111" s="529"/>
      <c r="BI111" s="529"/>
      <c r="BJ111" s="529"/>
      <c r="BK111" s="529"/>
      <c r="BL111" s="529"/>
      <c r="BM111" s="529"/>
      <c r="BN111" s="529"/>
      <c r="BO111" s="529"/>
      <c r="BP111" s="529"/>
      <c r="BQ111" s="529"/>
      <c r="BR111" s="529"/>
      <c r="BS111" s="529"/>
      <c r="BT111" s="529"/>
      <c r="BU111" s="529"/>
      <c r="BV111" s="529"/>
      <c r="BW111" s="529"/>
      <c r="BX111" s="529"/>
      <c r="BY111" s="529"/>
      <c r="BZ111" s="529"/>
      <c r="CA111" s="529"/>
      <c r="CB111" s="529"/>
      <c r="CC111" s="529"/>
      <c r="CD111" s="529"/>
      <c r="CE111" s="529"/>
      <c r="CF111" s="391"/>
      <c r="CG111" s="2"/>
      <c r="CH111" s="2"/>
      <c r="CI111" s="2"/>
      <c r="CJ111" s="2"/>
      <c r="CK111" s="2"/>
      <c r="CL111" s="2"/>
      <c r="CM111" s="2"/>
      <c r="CN111" s="2"/>
      <c r="CO111" s="2"/>
      <c r="CP111" s="2"/>
      <c r="CQ111" s="2"/>
    </row>
    <row r="112" spans="1:95" ht="12" customHeight="1">
      <c r="A112" s="299"/>
      <c r="B112" s="529"/>
      <c r="C112" s="529"/>
      <c r="D112" s="529"/>
      <c r="E112" s="529"/>
      <c r="F112" s="529" t="s">
        <v>420</v>
      </c>
      <c r="H112" s="529"/>
      <c r="I112" s="529"/>
      <c r="J112" s="529"/>
      <c r="K112" s="529"/>
      <c r="L112" s="529"/>
      <c r="M112" s="529"/>
      <c r="N112" s="529"/>
      <c r="O112" s="529"/>
      <c r="P112" s="529"/>
      <c r="Q112" s="529"/>
      <c r="R112" s="529"/>
      <c r="S112" s="529"/>
      <c r="T112" s="529"/>
      <c r="U112" s="529"/>
      <c r="V112" s="529"/>
      <c r="W112" s="529"/>
      <c r="X112" s="529"/>
      <c r="Y112" s="529"/>
      <c r="Z112" s="529"/>
      <c r="AA112" s="529"/>
      <c r="AB112" s="529"/>
      <c r="AC112" s="529"/>
      <c r="AD112" s="529"/>
      <c r="AE112" s="529"/>
      <c r="AF112" s="529"/>
      <c r="AG112" s="529"/>
      <c r="AH112" s="529"/>
      <c r="AI112" s="529"/>
      <c r="AJ112" s="529"/>
      <c r="AK112" s="529"/>
      <c r="AL112" s="529"/>
      <c r="AM112" s="529"/>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29"/>
      <c r="BN112" s="529"/>
      <c r="BO112" s="529"/>
      <c r="BP112" s="529"/>
      <c r="BQ112" s="529"/>
      <c r="BR112" s="529"/>
      <c r="BS112" s="529"/>
      <c r="BT112" s="529"/>
      <c r="BU112" s="529"/>
      <c r="BV112" s="529"/>
      <c r="BW112" s="529"/>
      <c r="BX112" s="529"/>
      <c r="BY112" s="529"/>
      <c r="BZ112" s="529"/>
      <c r="CA112" s="529"/>
      <c r="CB112" s="529"/>
      <c r="CC112" s="529"/>
      <c r="CD112" s="529"/>
      <c r="CE112" s="529"/>
      <c r="CF112" s="391"/>
      <c r="CG112" s="2"/>
      <c r="CH112" s="2"/>
      <c r="CI112" s="2"/>
      <c r="CJ112" s="2"/>
      <c r="CK112" s="2"/>
      <c r="CL112" s="2"/>
      <c r="CM112" s="2"/>
      <c r="CN112" s="2"/>
      <c r="CO112" s="2"/>
      <c r="CP112" s="2"/>
      <c r="CQ112" s="2"/>
    </row>
    <row r="113" spans="1:95" ht="12" customHeight="1">
      <c r="A113" s="299"/>
      <c r="B113" s="529"/>
      <c r="C113" s="529"/>
      <c r="D113" s="529"/>
      <c r="E113" s="529"/>
      <c r="F113" s="529" t="s">
        <v>419</v>
      </c>
      <c r="H113" s="529"/>
      <c r="I113" s="529"/>
      <c r="J113" s="529"/>
      <c r="K113" s="529"/>
      <c r="L113" s="529"/>
      <c r="M113" s="529"/>
      <c r="N113" s="529"/>
      <c r="O113" s="529"/>
      <c r="P113" s="529"/>
      <c r="Q113" s="529"/>
      <c r="R113" s="529"/>
      <c r="S113" s="529"/>
      <c r="T113" s="529"/>
      <c r="U113" s="529"/>
      <c r="V113" s="529"/>
      <c r="W113" s="529"/>
      <c r="X113" s="529"/>
      <c r="Y113" s="529"/>
      <c r="Z113" s="529"/>
      <c r="AA113" s="529"/>
      <c r="AB113" s="529"/>
      <c r="AC113" s="529"/>
      <c r="AD113" s="529"/>
      <c r="AE113" s="529"/>
      <c r="AF113" s="529"/>
      <c r="AG113" s="529"/>
      <c r="AH113" s="529"/>
      <c r="AI113" s="529"/>
      <c r="AJ113" s="529"/>
      <c r="AK113" s="529"/>
      <c r="AL113" s="529"/>
      <c r="AM113" s="529"/>
      <c r="AN113" s="529"/>
      <c r="AO113" s="529"/>
      <c r="AP113" s="529"/>
      <c r="AQ113" s="529"/>
      <c r="AR113" s="529"/>
      <c r="AS113" s="529"/>
      <c r="AT113" s="529"/>
      <c r="AU113" s="529"/>
      <c r="AV113" s="529"/>
      <c r="AW113" s="529"/>
      <c r="AX113" s="529"/>
      <c r="AY113" s="529"/>
      <c r="AZ113" s="529"/>
      <c r="BA113" s="529"/>
      <c r="BB113" s="529"/>
      <c r="BC113" s="529"/>
      <c r="BD113" s="529"/>
      <c r="BE113" s="529"/>
      <c r="BF113" s="529"/>
      <c r="BG113" s="529"/>
      <c r="BH113" s="529"/>
      <c r="BI113" s="529"/>
      <c r="BJ113" s="529"/>
      <c r="BK113" s="529"/>
      <c r="BL113" s="529"/>
      <c r="BM113" s="529"/>
      <c r="BN113" s="529"/>
      <c r="BO113" s="529"/>
      <c r="BP113" s="529"/>
      <c r="BQ113" s="529"/>
      <c r="BR113" s="529"/>
      <c r="BS113" s="529"/>
      <c r="BT113" s="529"/>
      <c r="BU113" s="529"/>
      <c r="BV113" s="529"/>
      <c r="BW113" s="529"/>
      <c r="BX113" s="529"/>
      <c r="BY113" s="529"/>
      <c r="BZ113" s="529"/>
      <c r="CA113" s="529"/>
      <c r="CB113" s="529"/>
      <c r="CC113" s="529"/>
      <c r="CD113" s="529"/>
      <c r="CE113" s="529"/>
      <c r="CF113" s="391"/>
      <c r="CG113" s="2"/>
      <c r="CH113" s="2"/>
      <c r="CI113" s="2"/>
      <c r="CJ113" s="2"/>
      <c r="CK113" s="2"/>
      <c r="CL113" s="2"/>
      <c r="CM113" s="2"/>
      <c r="CN113" s="2"/>
      <c r="CO113" s="2"/>
      <c r="CP113" s="2"/>
      <c r="CQ113" s="2"/>
    </row>
    <row r="114" spans="1:95" ht="12" customHeight="1">
      <c r="A114" s="299"/>
      <c r="B114" s="529"/>
      <c r="C114" s="529"/>
      <c r="D114" s="529"/>
      <c r="E114" s="529"/>
      <c r="F114" s="529"/>
      <c r="G114" s="529"/>
      <c r="H114" s="529"/>
      <c r="I114" s="529"/>
      <c r="J114" s="529"/>
      <c r="K114" s="529"/>
      <c r="L114" s="529"/>
      <c r="M114" s="529"/>
      <c r="N114" s="529"/>
      <c r="O114" s="529"/>
      <c r="P114" s="529"/>
      <c r="Q114" s="529"/>
      <c r="R114" s="529"/>
      <c r="S114" s="529"/>
      <c r="T114" s="529"/>
      <c r="U114" s="529"/>
      <c r="V114" s="529"/>
      <c r="W114" s="529"/>
      <c r="X114" s="529"/>
      <c r="Y114" s="529"/>
      <c r="Z114" s="529"/>
      <c r="AA114" s="529"/>
      <c r="AB114" s="529"/>
      <c r="AC114" s="529"/>
      <c r="AD114" s="529"/>
      <c r="AE114" s="529"/>
      <c r="AF114" s="529"/>
      <c r="AG114" s="529"/>
      <c r="AH114" s="529"/>
      <c r="AI114" s="529"/>
      <c r="AJ114" s="529"/>
      <c r="AK114" s="529"/>
      <c r="AL114" s="529"/>
      <c r="AM114" s="529"/>
      <c r="AN114" s="529"/>
      <c r="AO114" s="529"/>
      <c r="AP114" s="529"/>
      <c r="AQ114" s="529"/>
      <c r="AR114" s="529"/>
      <c r="AS114" s="529"/>
      <c r="AT114" s="529"/>
      <c r="AU114" s="529"/>
      <c r="AV114" s="529"/>
      <c r="AW114" s="529"/>
      <c r="AX114" s="529"/>
      <c r="AY114" s="529"/>
      <c r="AZ114" s="529"/>
      <c r="BA114" s="529"/>
      <c r="BB114" s="529"/>
      <c r="BC114" s="529"/>
      <c r="BD114" s="529"/>
      <c r="BE114" s="529"/>
      <c r="BF114" s="529"/>
      <c r="BG114" s="529"/>
      <c r="BH114" s="529"/>
      <c r="BI114" s="529"/>
      <c r="BJ114" s="529"/>
      <c r="BK114" s="529"/>
      <c r="BL114" s="529"/>
      <c r="BM114" s="529"/>
      <c r="BN114" s="529"/>
      <c r="BO114" s="529"/>
      <c r="BP114" s="529"/>
      <c r="BQ114" s="529"/>
      <c r="BR114" s="529"/>
      <c r="BS114" s="529"/>
      <c r="BT114" s="529"/>
      <c r="BU114" s="529"/>
      <c r="BV114" s="529"/>
      <c r="BW114" s="529"/>
      <c r="BX114" s="529"/>
      <c r="BY114" s="529"/>
      <c r="BZ114" s="529"/>
      <c r="CA114" s="529"/>
      <c r="CB114" s="529"/>
      <c r="CC114" s="529"/>
      <c r="CD114" s="529"/>
      <c r="CE114" s="529"/>
      <c r="CF114" s="391"/>
      <c r="CG114" s="2"/>
      <c r="CH114" s="2"/>
      <c r="CI114" s="2"/>
      <c r="CJ114" s="2"/>
      <c r="CK114" s="2"/>
      <c r="CL114" s="2"/>
      <c r="CM114" s="2"/>
      <c r="CN114" s="2"/>
      <c r="CO114" s="2"/>
      <c r="CP114" s="2"/>
      <c r="CQ114" s="2"/>
    </row>
    <row r="115" spans="1:95" ht="12" customHeight="1">
      <c r="A115" s="299"/>
      <c r="B115" s="529"/>
      <c r="C115" s="529"/>
      <c r="D115" s="529"/>
      <c r="E115" s="529"/>
      <c r="F115" s="529"/>
      <c r="G115" s="529"/>
      <c r="H115" s="529"/>
      <c r="I115" s="529"/>
      <c r="J115" s="529"/>
      <c r="K115" s="529"/>
      <c r="L115" s="529"/>
      <c r="M115" s="529"/>
      <c r="N115" s="529"/>
      <c r="O115" s="529"/>
      <c r="P115" s="529"/>
      <c r="Q115" s="529"/>
      <c r="R115" s="529"/>
      <c r="S115" s="529"/>
      <c r="T115" s="529"/>
      <c r="U115" s="529"/>
      <c r="V115" s="529"/>
      <c r="W115" s="529"/>
      <c r="X115" s="529"/>
      <c r="Y115" s="529"/>
      <c r="Z115" s="529"/>
      <c r="AA115" s="529"/>
      <c r="AB115" s="529"/>
      <c r="AC115" s="529"/>
      <c r="AD115" s="529"/>
      <c r="AE115" s="529"/>
      <c r="AF115" s="529"/>
      <c r="AG115" s="529"/>
      <c r="AH115" s="529"/>
      <c r="AI115" s="529"/>
      <c r="AJ115" s="529"/>
      <c r="AK115" s="529"/>
      <c r="AL115" s="529"/>
      <c r="AM115" s="529"/>
      <c r="AN115" s="529"/>
      <c r="AO115" s="529"/>
      <c r="AP115" s="529"/>
      <c r="AQ115" s="529"/>
      <c r="AR115" s="529"/>
      <c r="AS115" s="529"/>
      <c r="AT115" s="529"/>
      <c r="AU115" s="529"/>
      <c r="AV115" s="529"/>
      <c r="AW115" s="529"/>
      <c r="AX115" s="529"/>
      <c r="AY115" s="529"/>
      <c r="AZ115" s="529"/>
      <c r="BA115" s="529"/>
      <c r="BB115" s="529"/>
      <c r="BC115" s="529"/>
      <c r="BD115" s="529"/>
      <c r="BE115" s="529"/>
      <c r="BF115" s="529"/>
      <c r="BG115" s="529"/>
      <c r="BH115" s="529"/>
      <c r="BI115" s="529"/>
      <c r="BJ115" s="529"/>
      <c r="BK115" s="529"/>
      <c r="BL115" s="529"/>
      <c r="BM115" s="529"/>
      <c r="BN115" s="529"/>
      <c r="BO115" s="529"/>
      <c r="BP115" s="529"/>
      <c r="BQ115" s="529"/>
      <c r="BR115" s="529"/>
      <c r="BS115" s="529"/>
      <c r="BT115" s="529"/>
      <c r="BU115" s="529"/>
      <c r="BV115" s="529"/>
      <c r="BW115" s="529"/>
      <c r="BX115" s="529"/>
      <c r="BY115" s="529"/>
      <c r="BZ115" s="529"/>
      <c r="CA115" s="529"/>
      <c r="CB115" s="529"/>
      <c r="CC115" s="529"/>
      <c r="CD115" s="529"/>
      <c r="CE115" s="529"/>
      <c r="CF115" s="391"/>
      <c r="CG115" s="2"/>
      <c r="CH115" s="2"/>
      <c r="CI115" s="2"/>
      <c r="CJ115" s="2"/>
      <c r="CK115" s="2"/>
      <c r="CL115" s="2"/>
      <c r="CM115" s="2"/>
      <c r="CN115" s="2"/>
      <c r="CO115" s="2"/>
      <c r="CP115" s="2"/>
      <c r="CQ115" s="2"/>
    </row>
    <row r="116" spans="1:95" ht="12" customHeight="1">
      <c r="A116" s="299"/>
      <c r="B116" s="529"/>
      <c r="C116" s="529"/>
      <c r="D116" s="529"/>
      <c r="E116" s="529"/>
      <c r="F116" s="529"/>
      <c r="G116" s="529"/>
      <c r="H116" s="529"/>
      <c r="I116" s="529"/>
      <c r="J116" s="529"/>
      <c r="K116" s="529"/>
      <c r="L116" s="529"/>
      <c r="M116" s="529"/>
      <c r="N116" s="529"/>
      <c r="O116" s="529"/>
      <c r="P116" s="529"/>
      <c r="Q116" s="529"/>
      <c r="R116" s="529"/>
      <c r="S116" s="529"/>
      <c r="T116" s="529"/>
      <c r="U116" s="529"/>
      <c r="V116" s="529"/>
      <c r="W116" s="529"/>
      <c r="X116" s="529"/>
      <c r="Y116" s="529"/>
      <c r="Z116" s="529"/>
      <c r="AA116" s="529"/>
      <c r="AB116" s="529"/>
      <c r="AC116" s="529"/>
      <c r="AD116" s="529"/>
      <c r="AE116" s="529"/>
      <c r="AF116" s="529"/>
      <c r="AG116" s="529"/>
      <c r="AH116" s="529"/>
      <c r="AI116" s="529"/>
      <c r="AJ116" s="529"/>
      <c r="AK116" s="529"/>
      <c r="AL116" s="529"/>
      <c r="AM116" s="529"/>
      <c r="AN116" s="529"/>
      <c r="AO116" s="529"/>
      <c r="AP116" s="529"/>
      <c r="AQ116" s="529"/>
      <c r="AR116" s="529"/>
      <c r="AS116" s="529"/>
      <c r="AT116" s="529"/>
      <c r="AU116" s="529"/>
      <c r="AV116" s="529"/>
      <c r="AW116" s="529"/>
      <c r="AX116" s="529"/>
      <c r="AY116" s="529"/>
      <c r="AZ116" s="529"/>
      <c r="BA116" s="529"/>
      <c r="BB116" s="529"/>
      <c r="BC116" s="529"/>
      <c r="BD116" s="529"/>
      <c r="BE116" s="529"/>
      <c r="BF116" s="529"/>
      <c r="BG116" s="529"/>
      <c r="BH116" s="529"/>
      <c r="BI116" s="529"/>
      <c r="BJ116" s="529"/>
      <c r="BK116" s="529"/>
      <c r="BL116" s="529"/>
      <c r="BM116" s="529"/>
      <c r="BN116" s="529"/>
      <c r="BO116" s="529"/>
      <c r="BP116" s="529"/>
      <c r="BQ116" s="529"/>
      <c r="BR116" s="529"/>
      <c r="BS116" s="529"/>
      <c r="BT116" s="529"/>
      <c r="BU116" s="529"/>
      <c r="BV116" s="529"/>
      <c r="BW116" s="529"/>
      <c r="BX116" s="529"/>
      <c r="BY116" s="529"/>
      <c r="BZ116" s="529"/>
      <c r="CA116" s="529"/>
      <c r="CB116" s="529"/>
      <c r="CC116" s="529"/>
      <c r="CD116" s="529"/>
      <c r="CE116" s="529"/>
      <c r="CF116" s="391"/>
      <c r="CG116" s="2"/>
      <c r="CH116" s="2"/>
      <c r="CI116" s="2"/>
      <c r="CJ116" s="2"/>
      <c r="CK116" s="2"/>
      <c r="CL116" s="2"/>
      <c r="CM116" s="2"/>
      <c r="CN116" s="2"/>
      <c r="CO116" s="2"/>
      <c r="CP116" s="2"/>
      <c r="CQ116" s="2"/>
    </row>
    <row r="117" spans="1:95" ht="12" customHeight="1">
      <c r="A117" s="299"/>
      <c r="B117" s="529"/>
      <c r="C117" s="529"/>
      <c r="D117" s="529"/>
      <c r="E117" s="529"/>
      <c r="F117" s="529"/>
      <c r="G117" s="529"/>
      <c r="H117" s="529"/>
      <c r="I117" s="529"/>
      <c r="J117" s="529"/>
      <c r="K117" s="529"/>
      <c r="L117" s="529"/>
      <c r="M117" s="529"/>
      <c r="N117" s="529"/>
      <c r="O117" s="529"/>
      <c r="P117" s="529"/>
      <c r="Q117" s="529"/>
      <c r="R117" s="529"/>
      <c r="S117" s="529"/>
      <c r="T117" s="529"/>
      <c r="U117" s="529"/>
      <c r="V117" s="529"/>
      <c r="W117" s="529"/>
      <c r="X117" s="529"/>
      <c r="Y117" s="529"/>
      <c r="Z117" s="529"/>
      <c r="AA117" s="529"/>
      <c r="AB117" s="529"/>
      <c r="AC117" s="529"/>
      <c r="AD117" s="529"/>
      <c r="AE117" s="529"/>
      <c r="AF117" s="529"/>
      <c r="AG117" s="529"/>
      <c r="AH117" s="529"/>
      <c r="AI117" s="529"/>
      <c r="AJ117" s="529"/>
      <c r="AK117" s="529"/>
      <c r="AL117" s="529"/>
      <c r="AM117" s="529"/>
      <c r="AN117" s="529"/>
      <c r="AO117" s="529"/>
      <c r="AP117" s="529"/>
      <c r="AQ117" s="529"/>
      <c r="AR117" s="529"/>
      <c r="AS117" s="529"/>
      <c r="AT117" s="529"/>
      <c r="AU117" s="529"/>
      <c r="AV117" s="529"/>
      <c r="AW117" s="529"/>
      <c r="AX117" s="529"/>
      <c r="AY117" s="529"/>
      <c r="AZ117" s="529"/>
      <c r="BA117" s="529"/>
      <c r="BB117" s="529"/>
      <c r="BC117" s="529"/>
      <c r="BD117" s="529"/>
      <c r="BE117" s="529"/>
      <c r="BF117" s="529"/>
      <c r="BG117" s="529"/>
      <c r="BH117" s="529"/>
      <c r="BI117" s="529"/>
      <c r="BJ117" s="529"/>
      <c r="BK117" s="529"/>
      <c r="BL117" s="529"/>
      <c r="BM117" s="529"/>
      <c r="BN117" s="529"/>
      <c r="BO117" s="529"/>
      <c r="BP117" s="529"/>
      <c r="BQ117" s="529"/>
      <c r="BR117" s="529"/>
      <c r="BS117" s="529"/>
      <c r="BT117" s="529"/>
      <c r="BU117" s="529"/>
      <c r="BV117" s="529"/>
      <c r="BW117" s="529"/>
      <c r="BX117" s="529"/>
      <c r="BY117" s="529"/>
      <c r="BZ117" s="529"/>
      <c r="CA117" s="529"/>
      <c r="CB117" s="529"/>
      <c r="CC117" s="529"/>
      <c r="CD117" s="529"/>
      <c r="CE117" s="529"/>
      <c r="CF117" s="391"/>
      <c r="CG117" s="2"/>
      <c r="CH117" s="2"/>
      <c r="CI117" s="2"/>
      <c r="CJ117" s="2"/>
      <c r="CK117" s="2"/>
      <c r="CL117" s="2"/>
      <c r="CM117" s="2"/>
      <c r="CN117" s="2"/>
      <c r="CO117" s="2"/>
      <c r="CP117" s="2"/>
      <c r="CQ117" s="2"/>
    </row>
    <row r="118" spans="1:95" ht="12" customHeight="1">
      <c r="A118" s="299"/>
      <c r="B118" s="529"/>
      <c r="C118" s="529"/>
      <c r="D118" s="529"/>
      <c r="E118" s="529"/>
      <c r="F118" s="529"/>
      <c r="G118" s="529"/>
      <c r="H118" s="529"/>
      <c r="I118" s="529"/>
      <c r="J118" s="529"/>
      <c r="K118" s="529"/>
      <c r="L118" s="529"/>
      <c r="M118" s="529"/>
      <c r="N118" s="529"/>
      <c r="O118" s="529"/>
      <c r="P118" s="529"/>
      <c r="Q118" s="529"/>
      <c r="R118" s="529"/>
      <c r="S118" s="529"/>
      <c r="T118" s="529"/>
      <c r="U118" s="529"/>
      <c r="V118" s="529"/>
      <c r="W118" s="529"/>
      <c r="X118" s="529"/>
      <c r="Y118" s="529"/>
      <c r="Z118" s="529"/>
      <c r="AA118" s="529"/>
      <c r="AB118" s="529"/>
      <c r="AC118" s="529"/>
      <c r="AD118" s="529"/>
      <c r="AE118" s="529"/>
      <c r="AF118" s="529"/>
      <c r="AG118" s="529"/>
      <c r="AH118" s="529"/>
      <c r="AI118" s="529"/>
      <c r="AJ118" s="529"/>
      <c r="AK118" s="529"/>
      <c r="AL118" s="529"/>
      <c r="AM118" s="529"/>
      <c r="AN118" s="529"/>
      <c r="AO118" s="529"/>
      <c r="AP118" s="529"/>
      <c r="AQ118" s="529"/>
      <c r="AR118" s="529"/>
      <c r="AS118" s="529"/>
      <c r="AT118" s="529"/>
      <c r="AU118" s="529"/>
      <c r="AV118" s="529"/>
      <c r="AW118" s="529"/>
      <c r="AX118" s="529"/>
      <c r="AY118" s="529"/>
      <c r="AZ118" s="529"/>
      <c r="BA118" s="529"/>
      <c r="BB118" s="529"/>
      <c r="BC118" s="529"/>
      <c r="BD118" s="529"/>
      <c r="BE118" s="529"/>
      <c r="BF118" s="529"/>
      <c r="BG118" s="529"/>
      <c r="BH118" s="529"/>
      <c r="BI118" s="529"/>
      <c r="BJ118" s="529"/>
      <c r="BK118" s="529"/>
      <c r="BL118" s="529"/>
      <c r="BM118" s="529"/>
      <c r="BN118" s="529"/>
      <c r="BO118" s="529"/>
      <c r="BP118" s="529"/>
      <c r="BQ118" s="529"/>
      <c r="BR118" s="529"/>
      <c r="BS118" s="529"/>
      <c r="BT118" s="529"/>
      <c r="BU118" s="529"/>
      <c r="BV118" s="529"/>
      <c r="BW118" s="529"/>
      <c r="BX118" s="529"/>
      <c r="BY118" s="529"/>
      <c r="BZ118" s="529"/>
      <c r="CA118" s="529"/>
      <c r="CB118" s="529"/>
      <c r="CC118" s="529"/>
      <c r="CD118" s="529"/>
      <c r="CE118" s="529"/>
      <c r="CF118" s="391"/>
      <c r="CG118" s="2"/>
      <c r="CH118" s="2"/>
      <c r="CI118" s="2"/>
      <c r="CJ118" s="2"/>
      <c r="CK118" s="2"/>
      <c r="CL118" s="2"/>
      <c r="CM118" s="2"/>
      <c r="CN118" s="2"/>
      <c r="CO118" s="2"/>
      <c r="CP118" s="2"/>
      <c r="CQ118" s="2"/>
    </row>
    <row r="119" spans="1:95" ht="12" customHeight="1">
      <c r="A119" s="299"/>
      <c r="B119" s="529"/>
      <c r="C119" s="529"/>
      <c r="D119" s="529"/>
      <c r="E119" s="529"/>
      <c r="F119" s="529"/>
      <c r="G119" s="529"/>
      <c r="H119" s="529"/>
      <c r="I119" s="529"/>
      <c r="J119" s="529"/>
      <c r="K119" s="529"/>
      <c r="L119" s="529"/>
      <c r="M119" s="529"/>
      <c r="N119" s="529"/>
      <c r="O119" s="529"/>
      <c r="P119" s="529"/>
      <c r="Q119" s="529"/>
      <c r="R119" s="529"/>
      <c r="S119" s="529"/>
      <c r="T119" s="529"/>
      <c r="U119" s="529"/>
      <c r="V119" s="529"/>
      <c r="W119" s="529"/>
      <c r="X119" s="529"/>
      <c r="Y119" s="529"/>
      <c r="Z119" s="529"/>
      <c r="AA119" s="529"/>
      <c r="AB119" s="529"/>
      <c r="AC119" s="529"/>
      <c r="AD119" s="529"/>
      <c r="AE119" s="529"/>
      <c r="AF119" s="529"/>
      <c r="AG119" s="529"/>
      <c r="AH119" s="529"/>
      <c r="AI119" s="529"/>
      <c r="AJ119" s="529"/>
      <c r="AK119" s="529"/>
      <c r="AL119" s="529"/>
      <c r="AM119" s="529"/>
      <c r="AN119" s="529"/>
      <c r="AO119" s="529"/>
      <c r="AP119" s="529"/>
      <c r="AQ119" s="529"/>
      <c r="AR119" s="529"/>
      <c r="AS119" s="529"/>
      <c r="AT119" s="529"/>
      <c r="AU119" s="529"/>
      <c r="AV119" s="529"/>
      <c r="AW119" s="529"/>
      <c r="AX119" s="529"/>
      <c r="AY119" s="529"/>
      <c r="AZ119" s="529"/>
      <c r="BA119" s="529"/>
      <c r="BB119" s="529"/>
      <c r="BC119" s="529"/>
      <c r="BD119" s="529"/>
      <c r="BE119" s="529"/>
      <c r="BF119" s="529"/>
      <c r="BG119" s="529"/>
      <c r="BH119" s="529"/>
      <c r="BI119" s="529"/>
      <c r="BJ119" s="529"/>
      <c r="BK119" s="529"/>
      <c r="BL119" s="529"/>
      <c r="BM119" s="529"/>
      <c r="BN119" s="529"/>
      <c r="BO119" s="529"/>
      <c r="BP119" s="529"/>
      <c r="BQ119" s="529"/>
      <c r="BR119" s="529"/>
      <c r="BS119" s="529"/>
      <c r="BT119" s="529"/>
      <c r="BU119" s="529"/>
      <c r="BV119" s="529"/>
      <c r="BW119" s="529"/>
      <c r="BX119" s="529"/>
      <c r="BY119" s="529"/>
      <c r="BZ119" s="529"/>
      <c r="CA119" s="529"/>
      <c r="CB119" s="529"/>
      <c r="CC119" s="529"/>
      <c r="CD119" s="529"/>
      <c r="CE119" s="529"/>
      <c r="CF119" s="391"/>
      <c r="CG119" s="2"/>
      <c r="CH119" s="2"/>
      <c r="CI119" s="2"/>
      <c r="CJ119" s="2"/>
      <c r="CK119" s="2"/>
      <c r="CL119" s="2"/>
      <c r="CM119" s="2"/>
      <c r="CN119" s="2"/>
      <c r="CO119" s="2"/>
      <c r="CP119" s="2"/>
      <c r="CQ119" s="2"/>
    </row>
    <row r="120" spans="1:95" ht="12" customHeight="1">
      <c r="A120" s="299"/>
      <c r="B120" s="529"/>
      <c r="C120" s="529"/>
      <c r="D120" s="529"/>
      <c r="E120" s="529"/>
      <c r="F120" s="529"/>
      <c r="G120" s="529"/>
      <c r="H120" s="529"/>
      <c r="I120" s="529"/>
      <c r="J120" s="529"/>
      <c r="K120" s="529"/>
      <c r="L120" s="529"/>
      <c r="M120" s="529"/>
      <c r="N120" s="529"/>
      <c r="O120" s="529"/>
      <c r="P120" s="529"/>
      <c r="Q120" s="529"/>
      <c r="R120" s="529"/>
      <c r="S120" s="529"/>
      <c r="T120" s="529"/>
      <c r="U120" s="529"/>
      <c r="V120" s="529"/>
      <c r="W120" s="529"/>
      <c r="X120" s="529"/>
      <c r="Y120" s="529"/>
      <c r="Z120" s="529"/>
      <c r="AA120" s="529"/>
      <c r="AB120" s="529"/>
      <c r="AC120" s="529"/>
      <c r="AD120" s="529"/>
      <c r="AE120" s="529"/>
      <c r="AF120" s="529"/>
      <c r="AG120" s="529"/>
      <c r="AH120" s="529"/>
      <c r="AI120" s="529"/>
      <c r="AJ120" s="529"/>
      <c r="AK120" s="529"/>
      <c r="AL120" s="529"/>
      <c r="AM120" s="529"/>
      <c r="AN120" s="529"/>
      <c r="AO120" s="529"/>
      <c r="AP120" s="529"/>
      <c r="AQ120" s="529"/>
      <c r="AR120" s="529"/>
      <c r="AS120" s="529"/>
      <c r="AT120" s="529"/>
      <c r="AU120" s="529"/>
      <c r="AV120" s="529"/>
      <c r="AW120" s="529"/>
      <c r="AX120" s="529"/>
      <c r="AY120" s="529"/>
      <c r="AZ120" s="529"/>
      <c r="BA120" s="529"/>
      <c r="BB120" s="529"/>
      <c r="BC120" s="529"/>
      <c r="BD120" s="529"/>
      <c r="BE120" s="529"/>
      <c r="BF120" s="529"/>
      <c r="BG120" s="529"/>
      <c r="BH120" s="529"/>
      <c r="BI120" s="529"/>
      <c r="BJ120" s="529"/>
      <c r="BK120" s="529"/>
      <c r="BL120" s="529"/>
      <c r="BM120" s="529"/>
      <c r="BN120" s="529"/>
      <c r="BO120" s="529"/>
      <c r="BP120" s="529"/>
      <c r="BQ120" s="529"/>
      <c r="BR120" s="529"/>
      <c r="BS120" s="529"/>
      <c r="BT120" s="529"/>
      <c r="BU120" s="529"/>
      <c r="BV120" s="529"/>
      <c r="BW120" s="529"/>
      <c r="BX120" s="529"/>
      <c r="BY120" s="529"/>
      <c r="BZ120" s="529"/>
      <c r="CA120" s="529"/>
      <c r="CB120" s="529"/>
      <c r="CC120" s="529"/>
      <c r="CD120" s="529"/>
      <c r="CE120" s="529"/>
      <c r="CF120" s="391"/>
      <c r="CG120" s="2"/>
      <c r="CH120" s="2"/>
      <c r="CI120" s="2"/>
      <c r="CJ120" s="2"/>
      <c r="CK120" s="2"/>
      <c r="CL120" s="2"/>
      <c r="CM120" s="2"/>
      <c r="CN120" s="2"/>
      <c r="CO120" s="2"/>
      <c r="CP120" s="2"/>
      <c r="CQ120" s="2"/>
    </row>
    <row r="121" spans="1:95" ht="12" customHeight="1">
      <c r="A121" s="299"/>
      <c r="B121" s="529"/>
      <c r="C121" s="529"/>
      <c r="D121" s="529"/>
      <c r="E121" s="529"/>
      <c r="F121" s="529"/>
      <c r="G121" s="529"/>
      <c r="H121" s="529"/>
      <c r="I121" s="529"/>
      <c r="J121" s="529"/>
      <c r="K121" s="529"/>
      <c r="L121" s="529"/>
      <c r="M121" s="529"/>
      <c r="N121" s="529"/>
      <c r="O121" s="529"/>
      <c r="P121" s="529"/>
      <c r="Q121" s="529"/>
      <c r="R121" s="529"/>
      <c r="S121" s="529"/>
      <c r="T121" s="529"/>
      <c r="U121" s="529"/>
      <c r="V121" s="529"/>
      <c r="W121" s="529"/>
      <c r="X121" s="529"/>
      <c r="Y121" s="529"/>
      <c r="Z121" s="529"/>
      <c r="AA121" s="529"/>
      <c r="AB121" s="529"/>
      <c r="AC121" s="529"/>
      <c r="AD121" s="529"/>
      <c r="AE121" s="529"/>
      <c r="AF121" s="529"/>
      <c r="AG121" s="529"/>
      <c r="AH121" s="529"/>
      <c r="AI121" s="529"/>
      <c r="AJ121" s="529"/>
      <c r="AK121" s="529"/>
      <c r="AL121" s="529"/>
      <c r="AM121" s="529"/>
      <c r="AN121" s="529"/>
      <c r="AO121" s="529"/>
      <c r="AP121" s="529"/>
      <c r="AQ121" s="529"/>
      <c r="AR121" s="529"/>
      <c r="AS121" s="529"/>
      <c r="AT121" s="529"/>
      <c r="AU121" s="529"/>
      <c r="AV121" s="529"/>
      <c r="AW121" s="529"/>
      <c r="AX121" s="529"/>
      <c r="AY121" s="529"/>
      <c r="AZ121" s="529"/>
      <c r="BA121" s="529"/>
      <c r="BB121" s="529"/>
      <c r="BC121" s="529"/>
      <c r="BD121" s="529"/>
      <c r="BE121" s="529"/>
      <c r="BF121" s="529"/>
      <c r="BG121" s="529"/>
      <c r="BH121" s="529"/>
      <c r="BI121" s="529"/>
      <c r="BJ121" s="529"/>
      <c r="BK121" s="529"/>
      <c r="BL121" s="529"/>
      <c r="BM121" s="529"/>
      <c r="BN121" s="529"/>
      <c r="BO121" s="529"/>
      <c r="BP121" s="529"/>
      <c r="BQ121" s="529"/>
      <c r="BR121" s="529"/>
      <c r="BS121" s="529"/>
      <c r="BT121" s="529"/>
      <c r="BU121" s="529"/>
      <c r="BV121" s="529"/>
      <c r="BW121" s="529"/>
      <c r="BX121" s="529"/>
      <c r="BY121" s="529"/>
      <c r="BZ121" s="529"/>
      <c r="CA121" s="529"/>
      <c r="CB121" s="529"/>
      <c r="CC121" s="529"/>
      <c r="CD121" s="529"/>
      <c r="CE121" s="529"/>
      <c r="CF121" s="391"/>
      <c r="CG121" s="2"/>
      <c r="CH121" s="2"/>
      <c r="CI121" s="2"/>
      <c r="CJ121" s="2"/>
      <c r="CK121" s="2"/>
      <c r="CL121" s="2"/>
      <c r="CM121" s="2"/>
      <c r="CN121" s="2"/>
      <c r="CO121" s="2"/>
      <c r="CP121" s="2"/>
      <c r="CQ121" s="2"/>
    </row>
    <row r="122" spans="1:95" ht="12" customHeight="1">
      <c r="A122" s="299"/>
      <c r="B122" s="529"/>
      <c r="C122" s="529"/>
      <c r="D122" s="529"/>
      <c r="E122" s="529"/>
      <c r="F122" s="529"/>
      <c r="G122" s="529"/>
      <c r="H122" s="529"/>
      <c r="I122" s="529"/>
      <c r="J122" s="529"/>
      <c r="K122" s="529"/>
      <c r="L122" s="529"/>
      <c r="M122" s="529"/>
      <c r="N122" s="529"/>
      <c r="O122" s="529"/>
      <c r="P122" s="529"/>
      <c r="Q122" s="529"/>
      <c r="R122" s="529"/>
      <c r="S122" s="529"/>
      <c r="T122" s="529"/>
      <c r="U122" s="529"/>
      <c r="V122" s="529"/>
      <c r="W122" s="529"/>
      <c r="X122" s="529"/>
      <c r="Y122" s="529"/>
      <c r="Z122" s="529"/>
      <c r="AA122" s="529"/>
      <c r="AB122" s="529"/>
      <c r="AC122" s="529"/>
      <c r="AD122" s="529"/>
      <c r="AE122" s="529"/>
      <c r="AF122" s="529"/>
      <c r="AG122" s="529"/>
      <c r="AH122" s="529"/>
      <c r="AI122" s="529"/>
      <c r="AJ122" s="529"/>
      <c r="AK122" s="529"/>
      <c r="AL122" s="529"/>
      <c r="AM122" s="529"/>
      <c r="AN122" s="529"/>
      <c r="AO122" s="529"/>
      <c r="AP122" s="529"/>
      <c r="AQ122" s="529"/>
      <c r="AR122" s="529"/>
      <c r="AS122" s="529"/>
      <c r="AT122" s="529"/>
      <c r="AU122" s="529"/>
      <c r="AV122" s="529"/>
      <c r="AW122" s="529"/>
      <c r="AX122" s="529"/>
      <c r="AY122" s="529"/>
      <c r="AZ122" s="529"/>
      <c r="BA122" s="529"/>
      <c r="BB122" s="529"/>
      <c r="BC122" s="529"/>
      <c r="BD122" s="529"/>
      <c r="BE122" s="529"/>
      <c r="BF122" s="529"/>
      <c r="BG122" s="529"/>
      <c r="BH122" s="529"/>
      <c r="BI122" s="529"/>
      <c r="BJ122" s="529"/>
      <c r="BK122" s="529"/>
      <c r="BL122" s="529"/>
      <c r="BM122" s="529"/>
      <c r="BN122" s="529"/>
      <c r="BO122" s="529"/>
      <c r="BP122" s="529"/>
      <c r="BQ122" s="529"/>
      <c r="BR122" s="529"/>
      <c r="BS122" s="529"/>
      <c r="BT122" s="529"/>
      <c r="BU122" s="529"/>
      <c r="BV122" s="529"/>
      <c r="BW122" s="529"/>
      <c r="BX122" s="529"/>
      <c r="BY122" s="529"/>
      <c r="BZ122" s="529"/>
      <c r="CA122" s="529"/>
      <c r="CB122" s="529"/>
      <c r="CC122" s="529"/>
      <c r="CD122" s="529"/>
      <c r="CE122" s="529"/>
      <c r="CF122" s="391"/>
      <c r="CG122" s="2"/>
      <c r="CH122" s="2"/>
      <c r="CI122" s="2"/>
      <c r="CJ122" s="2"/>
      <c r="CK122" s="2"/>
      <c r="CL122" s="2"/>
      <c r="CM122" s="2"/>
      <c r="CN122" s="2"/>
      <c r="CO122" s="2"/>
      <c r="CP122" s="2"/>
      <c r="CQ122" s="2"/>
    </row>
    <row r="123" spans="1:95" ht="12" customHeight="1">
      <c r="A123" s="299"/>
      <c r="B123" s="529"/>
      <c r="C123" s="529"/>
      <c r="D123" s="529"/>
      <c r="E123" s="529"/>
      <c r="F123" s="529"/>
      <c r="G123" s="529"/>
      <c r="H123" s="529"/>
      <c r="I123" s="529"/>
      <c r="J123" s="529"/>
      <c r="K123" s="529"/>
      <c r="L123" s="529"/>
      <c r="M123" s="529"/>
      <c r="N123" s="529"/>
      <c r="O123" s="529"/>
      <c r="P123" s="529"/>
      <c r="Q123" s="529"/>
      <c r="R123" s="529"/>
      <c r="S123" s="529"/>
      <c r="T123" s="529"/>
      <c r="U123" s="529"/>
      <c r="V123" s="529"/>
      <c r="W123" s="529"/>
      <c r="X123" s="529"/>
      <c r="Y123" s="529"/>
      <c r="Z123" s="529"/>
      <c r="AA123" s="529"/>
      <c r="AB123" s="529"/>
      <c r="AC123" s="529"/>
      <c r="AD123" s="529"/>
      <c r="AE123" s="529"/>
      <c r="AF123" s="529"/>
      <c r="AG123" s="529"/>
      <c r="AH123" s="529"/>
      <c r="AI123" s="529"/>
      <c r="AJ123" s="529"/>
      <c r="AK123" s="529"/>
      <c r="AL123" s="529"/>
      <c r="AM123" s="529"/>
      <c r="AN123" s="529"/>
      <c r="AO123" s="529"/>
      <c r="AP123" s="529"/>
      <c r="AQ123" s="529"/>
      <c r="AR123" s="529"/>
      <c r="AS123" s="529"/>
      <c r="AT123" s="529"/>
      <c r="AU123" s="529"/>
      <c r="AV123" s="529"/>
      <c r="AW123" s="529"/>
      <c r="AX123" s="529"/>
      <c r="AY123" s="529"/>
      <c r="AZ123" s="529"/>
      <c r="BA123" s="529"/>
      <c r="BB123" s="529"/>
      <c r="BC123" s="529"/>
      <c r="BD123" s="529"/>
      <c r="BE123" s="529"/>
      <c r="BF123" s="529"/>
      <c r="BG123" s="529"/>
      <c r="BH123" s="529"/>
      <c r="BI123" s="529"/>
      <c r="BJ123" s="529"/>
      <c r="BK123" s="529"/>
      <c r="BL123" s="529"/>
      <c r="BM123" s="529"/>
      <c r="BN123" s="529"/>
      <c r="BO123" s="529"/>
      <c r="BP123" s="529"/>
      <c r="BQ123" s="529"/>
      <c r="BR123" s="529"/>
      <c r="BS123" s="529"/>
      <c r="BT123" s="529"/>
      <c r="BU123" s="529"/>
      <c r="BV123" s="529"/>
      <c r="BW123" s="529"/>
      <c r="BX123" s="529"/>
      <c r="BY123" s="529"/>
      <c r="BZ123" s="529"/>
      <c r="CA123" s="529"/>
      <c r="CB123" s="529"/>
      <c r="CC123" s="529"/>
      <c r="CD123" s="529"/>
      <c r="CE123" s="529"/>
      <c r="CF123" s="391"/>
      <c r="CG123" s="2"/>
      <c r="CH123" s="2"/>
      <c r="CI123" s="2"/>
      <c r="CJ123" s="2"/>
      <c r="CK123" s="2"/>
      <c r="CL123" s="2"/>
      <c r="CM123" s="2"/>
      <c r="CN123" s="2"/>
      <c r="CO123" s="2"/>
      <c r="CP123" s="2"/>
      <c r="CQ123" s="2"/>
    </row>
    <row r="124" spans="1:95" ht="12" customHeight="1">
      <c r="A124" s="299"/>
      <c r="B124" s="529"/>
      <c r="C124" s="529"/>
      <c r="D124" s="529"/>
      <c r="E124" s="529"/>
      <c r="F124" s="529"/>
      <c r="G124" s="529"/>
      <c r="H124" s="529"/>
      <c r="I124" s="529"/>
      <c r="J124" s="529"/>
      <c r="K124" s="529"/>
      <c r="L124" s="529"/>
      <c r="M124" s="529"/>
      <c r="N124" s="529"/>
      <c r="O124" s="529"/>
      <c r="P124" s="529"/>
      <c r="Q124" s="529"/>
      <c r="R124" s="529"/>
      <c r="S124" s="529"/>
      <c r="T124" s="529"/>
      <c r="U124" s="529"/>
      <c r="V124" s="529"/>
      <c r="W124" s="529"/>
      <c r="X124" s="529"/>
      <c r="Y124" s="529"/>
      <c r="Z124" s="529"/>
      <c r="AA124" s="529"/>
      <c r="AB124" s="529"/>
      <c r="AC124" s="529"/>
      <c r="AD124" s="529"/>
      <c r="AE124" s="529"/>
      <c r="AF124" s="529"/>
      <c r="AG124" s="529"/>
      <c r="AH124" s="529"/>
      <c r="AI124" s="529"/>
      <c r="AJ124" s="529"/>
      <c r="AK124" s="529"/>
      <c r="AL124" s="529"/>
      <c r="AM124" s="529"/>
      <c r="AN124" s="529"/>
      <c r="AO124" s="529"/>
      <c r="AP124" s="529"/>
      <c r="AQ124" s="529"/>
      <c r="AR124" s="529"/>
      <c r="AS124" s="529"/>
      <c r="AT124" s="529"/>
      <c r="AU124" s="529"/>
      <c r="AV124" s="529"/>
      <c r="AW124" s="529"/>
      <c r="AX124" s="529"/>
      <c r="AY124" s="529"/>
      <c r="AZ124" s="529"/>
      <c r="BA124" s="529"/>
      <c r="BB124" s="529"/>
      <c r="BC124" s="529"/>
      <c r="BD124" s="529"/>
      <c r="BE124" s="529"/>
      <c r="BF124" s="529"/>
      <c r="BG124" s="529"/>
      <c r="BH124" s="529"/>
      <c r="BI124" s="529"/>
      <c r="BJ124" s="529"/>
      <c r="BK124" s="529"/>
      <c r="BL124" s="529"/>
      <c r="BM124" s="529"/>
      <c r="BN124" s="529"/>
      <c r="BO124" s="529"/>
      <c r="BP124" s="529"/>
      <c r="BQ124" s="529"/>
      <c r="BR124" s="529"/>
      <c r="BS124" s="529"/>
      <c r="BT124" s="529"/>
      <c r="BU124" s="529"/>
      <c r="BV124" s="529"/>
      <c r="BW124" s="529"/>
      <c r="BX124" s="529"/>
      <c r="BY124" s="529"/>
      <c r="BZ124" s="529"/>
      <c r="CA124" s="529"/>
      <c r="CB124" s="529"/>
      <c r="CC124" s="529"/>
      <c r="CD124" s="529"/>
      <c r="CE124" s="529"/>
      <c r="CF124" s="391"/>
      <c r="CG124" s="2"/>
      <c r="CH124" s="2"/>
      <c r="CI124" s="2"/>
      <c r="CJ124" s="2"/>
      <c r="CK124" s="2"/>
      <c r="CL124" s="2"/>
      <c r="CM124" s="2"/>
      <c r="CN124" s="2"/>
      <c r="CO124" s="2"/>
      <c r="CP124" s="2"/>
      <c r="CQ124" s="2"/>
    </row>
    <row r="125" spans="1:95" ht="12" customHeight="1">
      <c r="A125" s="299"/>
      <c r="B125" s="529"/>
      <c r="C125" s="529"/>
      <c r="D125" s="529"/>
      <c r="E125" s="529"/>
      <c r="F125" s="529"/>
      <c r="G125" s="529"/>
      <c r="H125" s="529"/>
      <c r="I125" s="529"/>
      <c r="J125" s="529"/>
      <c r="K125" s="529"/>
      <c r="L125" s="529"/>
      <c r="M125" s="529"/>
      <c r="N125" s="529"/>
      <c r="O125" s="529"/>
      <c r="P125" s="529"/>
      <c r="Q125" s="529"/>
      <c r="R125" s="529"/>
      <c r="S125" s="529"/>
      <c r="T125" s="529"/>
      <c r="U125" s="529"/>
      <c r="V125" s="529"/>
      <c r="W125" s="529"/>
      <c r="X125" s="529"/>
      <c r="Y125" s="529"/>
      <c r="Z125" s="529"/>
      <c r="AA125" s="529"/>
      <c r="AB125" s="529"/>
      <c r="AC125" s="529"/>
      <c r="AD125" s="529"/>
      <c r="AE125" s="529"/>
      <c r="AF125" s="529"/>
      <c r="AG125" s="529"/>
      <c r="AH125" s="529"/>
      <c r="AI125" s="529"/>
      <c r="AJ125" s="529"/>
      <c r="AK125" s="529"/>
      <c r="AL125" s="529"/>
      <c r="AM125" s="529"/>
      <c r="AN125" s="529"/>
      <c r="AO125" s="529"/>
      <c r="AP125" s="529"/>
      <c r="AQ125" s="529"/>
      <c r="AR125" s="529"/>
      <c r="AS125" s="529"/>
      <c r="AT125" s="529"/>
      <c r="AU125" s="529"/>
      <c r="AV125" s="529"/>
      <c r="AW125" s="529"/>
      <c r="AX125" s="529"/>
      <c r="AY125" s="529"/>
      <c r="AZ125" s="529"/>
      <c r="BA125" s="529"/>
      <c r="BB125" s="529"/>
      <c r="BC125" s="529"/>
      <c r="BD125" s="529"/>
      <c r="BE125" s="529"/>
      <c r="BF125" s="529"/>
      <c r="BG125" s="529"/>
      <c r="BH125" s="529"/>
      <c r="BI125" s="529"/>
      <c r="BJ125" s="529"/>
      <c r="BK125" s="529"/>
      <c r="BL125" s="529"/>
      <c r="BM125" s="529"/>
      <c r="BN125" s="529"/>
      <c r="BO125" s="529"/>
      <c r="BP125" s="529"/>
      <c r="BQ125" s="529"/>
      <c r="BR125" s="529"/>
      <c r="BS125" s="529"/>
      <c r="BT125" s="529"/>
      <c r="BU125" s="529"/>
      <c r="BV125" s="529"/>
      <c r="BW125" s="529"/>
      <c r="BX125" s="529"/>
      <c r="BY125" s="529"/>
      <c r="BZ125" s="529"/>
      <c r="CA125" s="529"/>
      <c r="CB125" s="529"/>
      <c r="CC125" s="529"/>
      <c r="CD125" s="529"/>
      <c r="CE125" s="529"/>
      <c r="CF125" s="391"/>
      <c r="CG125" s="2"/>
      <c r="CH125" s="2"/>
      <c r="CI125" s="2"/>
      <c r="CJ125" s="2"/>
      <c r="CK125" s="2"/>
      <c r="CL125" s="2"/>
      <c r="CM125" s="2"/>
      <c r="CN125" s="2"/>
      <c r="CO125" s="2"/>
      <c r="CP125" s="2"/>
      <c r="CQ125" s="2"/>
    </row>
    <row r="126" spans="1:95" ht="12" customHeight="1">
      <c r="A126" s="299"/>
      <c r="B126" s="529"/>
      <c r="C126" s="529"/>
      <c r="D126" s="529"/>
      <c r="E126" s="529"/>
      <c r="F126" s="529"/>
      <c r="G126" s="529"/>
      <c r="H126" s="529"/>
      <c r="I126" s="529"/>
      <c r="J126" s="529"/>
      <c r="K126" s="529"/>
      <c r="L126" s="529"/>
      <c r="M126" s="529"/>
      <c r="N126" s="529"/>
      <c r="O126" s="529"/>
      <c r="P126" s="529"/>
      <c r="Q126" s="529"/>
      <c r="R126" s="529"/>
      <c r="S126" s="529"/>
      <c r="T126" s="529"/>
      <c r="U126" s="529"/>
      <c r="V126" s="529"/>
      <c r="W126" s="529"/>
      <c r="X126" s="529"/>
      <c r="Y126" s="529"/>
      <c r="Z126" s="529"/>
      <c r="AA126" s="529"/>
      <c r="AB126" s="529"/>
      <c r="AC126" s="529"/>
      <c r="AD126" s="529"/>
      <c r="AE126" s="529"/>
      <c r="AF126" s="529"/>
      <c r="AG126" s="529"/>
      <c r="AH126" s="529"/>
      <c r="AI126" s="529"/>
      <c r="AJ126" s="529"/>
      <c r="AK126" s="529"/>
      <c r="AL126" s="529"/>
      <c r="AM126" s="529"/>
      <c r="AN126" s="529"/>
      <c r="AO126" s="529"/>
      <c r="AP126" s="529"/>
      <c r="AQ126" s="529"/>
      <c r="AR126" s="529"/>
      <c r="AS126" s="529"/>
      <c r="AT126" s="529"/>
      <c r="AU126" s="529"/>
      <c r="AV126" s="529"/>
      <c r="AW126" s="529"/>
      <c r="AX126" s="529"/>
      <c r="AY126" s="529"/>
      <c r="AZ126" s="529"/>
      <c r="BA126" s="529"/>
      <c r="BB126" s="529"/>
      <c r="BC126" s="529"/>
      <c r="BD126" s="529"/>
      <c r="BE126" s="529"/>
      <c r="BF126" s="529"/>
      <c r="BG126" s="529"/>
      <c r="BH126" s="529"/>
      <c r="BI126" s="529"/>
      <c r="BJ126" s="529"/>
      <c r="BK126" s="529"/>
      <c r="BL126" s="529"/>
      <c r="BM126" s="529"/>
      <c r="BN126" s="529"/>
      <c r="BO126" s="529"/>
      <c r="BP126" s="529"/>
      <c r="BQ126" s="529"/>
      <c r="BR126" s="529"/>
      <c r="BS126" s="529"/>
      <c r="BT126" s="529"/>
      <c r="BU126" s="529"/>
      <c r="BV126" s="529"/>
      <c r="BW126" s="529"/>
      <c r="BX126" s="529"/>
      <c r="BY126" s="529"/>
      <c r="BZ126" s="529"/>
      <c r="CA126" s="529"/>
      <c r="CB126" s="529"/>
      <c r="CC126" s="529"/>
      <c r="CD126" s="529"/>
      <c r="CE126" s="529"/>
      <c r="CF126" s="391"/>
      <c r="CG126" s="2"/>
      <c r="CH126" s="2"/>
      <c r="CI126" s="2"/>
      <c r="CJ126" s="2"/>
      <c r="CK126" s="2"/>
      <c r="CL126" s="2"/>
      <c r="CM126" s="2"/>
      <c r="CN126" s="2"/>
      <c r="CO126" s="2"/>
      <c r="CP126" s="2"/>
      <c r="CQ126" s="2"/>
    </row>
    <row r="127" spans="1:95" ht="12" customHeight="1">
      <c r="A127" s="299"/>
      <c r="B127" s="529"/>
      <c r="C127" s="529"/>
      <c r="D127" s="529"/>
      <c r="E127" s="529"/>
      <c r="F127" s="529"/>
      <c r="G127" s="529"/>
      <c r="H127" s="529"/>
      <c r="I127" s="529"/>
      <c r="J127" s="529"/>
      <c r="K127" s="529"/>
      <c r="L127" s="529"/>
      <c r="M127" s="529"/>
      <c r="N127" s="529"/>
      <c r="O127" s="529"/>
      <c r="P127" s="529"/>
      <c r="Q127" s="529"/>
      <c r="R127" s="529"/>
      <c r="S127" s="529"/>
      <c r="T127" s="529"/>
      <c r="U127" s="529"/>
      <c r="V127" s="529"/>
      <c r="W127" s="529"/>
      <c r="X127" s="529"/>
      <c r="Y127" s="529"/>
      <c r="Z127" s="529"/>
      <c r="AA127" s="529"/>
      <c r="AB127" s="529"/>
      <c r="AC127" s="529"/>
      <c r="AD127" s="529"/>
      <c r="AE127" s="529"/>
      <c r="AF127" s="529"/>
      <c r="AG127" s="529"/>
      <c r="AH127" s="529"/>
      <c r="AI127" s="529"/>
      <c r="AJ127" s="529"/>
      <c r="AK127" s="529"/>
      <c r="AL127" s="529"/>
      <c r="AM127" s="529"/>
      <c r="AN127" s="529"/>
      <c r="AO127" s="529"/>
      <c r="AP127" s="529"/>
      <c r="AQ127" s="529"/>
      <c r="AR127" s="529"/>
      <c r="AS127" s="529"/>
      <c r="AT127" s="529"/>
      <c r="AU127" s="529"/>
      <c r="AV127" s="529"/>
      <c r="AW127" s="529"/>
      <c r="AX127" s="529"/>
      <c r="AY127" s="529"/>
      <c r="AZ127" s="529"/>
      <c r="BA127" s="529"/>
      <c r="BB127" s="529"/>
      <c r="BC127" s="529"/>
      <c r="BD127" s="529"/>
      <c r="BE127" s="529"/>
      <c r="BF127" s="529"/>
      <c r="BG127" s="529"/>
      <c r="BH127" s="529"/>
      <c r="BI127" s="529"/>
      <c r="BJ127" s="529"/>
      <c r="BK127" s="529"/>
      <c r="BL127" s="529"/>
      <c r="BM127" s="529"/>
      <c r="BN127" s="529"/>
      <c r="BO127" s="529"/>
      <c r="BP127" s="529"/>
      <c r="BQ127" s="529"/>
      <c r="BR127" s="529"/>
      <c r="BS127" s="529"/>
      <c r="BT127" s="529"/>
      <c r="BU127" s="529"/>
      <c r="BV127" s="529"/>
      <c r="BW127" s="529"/>
      <c r="BX127" s="529"/>
      <c r="BY127" s="529"/>
      <c r="BZ127" s="529"/>
      <c r="CA127" s="529"/>
      <c r="CB127" s="529"/>
      <c r="CC127" s="529"/>
      <c r="CD127" s="529"/>
      <c r="CE127" s="529"/>
      <c r="CF127" s="391"/>
      <c r="CG127" s="2"/>
      <c r="CH127" s="2"/>
      <c r="CI127" s="2"/>
      <c r="CJ127" s="2"/>
      <c r="CK127" s="2"/>
      <c r="CL127" s="2"/>
      <c r="CM127" s="2"/>
      <c r="CN127" s="2"/>
      <c r="CO127" s="2"/>
      <c r="CP127" s="2"/>
      <c r="CQ127" s="2"/>
    </row>
    <row r="128" spans="1:95" ht="12" customHeight="1">
      <c r="A128" s="299"/>
      <c r="B128" s="529"/>
      <c r="C128" s="529"/>
      <c r="D128" s="529"/>
      <c r="E128" s="529"/>
      <c r="F128" s="529"/>
      <c r="G128" s="529"/>
      <c r="H128" s="529"/>
      <c r="I128" s="529"/>
      <c r="J128" s="529"/>
      <c r="K128" s="529"/>
      <c r="L128" s="529"/>
      <c r="M128" s="529"/>
      <c r="N128" s="529"/>
      <c r="O128" s="529"/>
      <c r="P128" s="529"/>
      <c r="Q128" s="529"/>
      <c r="R128" s="529"/>
      <c r="S128" s="529"/>
      <c r="T128" s="529"/>
      <c r="U128" s="529"/>
      <c r="V128" s="529"/>
      <c r="W128" s="529"/>
      <c r="X128" s="529"/>
      <c r="Y128" s="529"/>
      <c r="Z128" s="529"/>
      <c r="AA128" s="529"/>
      <c r="AB128" s="529"/>
      <c r="AC128" s="529"/>
      <c r="AD128" s="529"/>
      <c r="AE128" s="529"/>
      <c r="AF128" s="529"/>
      <c r="AG128" s="529"/>
      <c r="AH128" s="529"/>
      <c r="AI128" s="529"/>
      <c r="AJ128" s="529"/>
      <c r="AK128" s="529"/>
      <c r="AL128" s="529"/>
      <c r="AM128" s="529"/>
      <c r="AN128" s="529"/>
      <c r="AO128" s="529"/>
      <c r="AP128" s="529"/>
      <c r="AQ128" s="529"/>
      <c r="AR128" s="529"/>
      <c r="AS128" s="529"/>
      <c r="AT128" s="529"/>
      <c r="AU128" s="529"/>
      <c r="AV128" s="529"/>
      <c r="AW128" s="529"/>
      <c r="AX128" s="529"/>
      <c r="AY128" s="529"/>
      <c r="AZ128" s="529"/>
      <c r="BA128" s="529"/>
      <c r="BB128" s="529"/>
      <c r="BC128" s="529"/>
      <c r="BD128" s="529"/>
      <c r="BE128" s="529"/>
      <c r="BF128" s="529"/>
      <c r="BG128" s="529"/>
      <c r="BH128" s="529"/>
      <c r="BI128" s="529"/>
      <c r="BJ128" s="529"/>
      <c r="BK128" s="529"/>
      <c r="BL128" s="529"/>
      <c r="BM128" s="529"/>
      <c r="BN128" s="529"/>
      <c r="BO128" s="529"/>
      <c r="BP128" s="529"/>
      <c r="BQ128" s="529"/>
      <c r="BR128" s="529"/>
      <c r="BS128" s="529"/>
      <c r="BT128" s="529"/>
      <c r="BU128" s="529"/>
      <c r="BV128" s="529"/>
      <c r="BW128" s="529"/>
      <c r="BX128" s="529"/>
      <c r="BY128" s="529"/>
      <c r="BZ128" s="529"/>
      <c r="CA128" s="529"/>
      <c r="CB128" s="529"/>
      <c r="CC128" s="529"/>
      <c r="CD128" s="529"/>
      <c r="CE128" s="529"/>
      <c r="CF128" s="391"/>
      <c r="CG128" s="2"/>
      <c r="CH128" s="2"/>
      <c r="CI128" s="2"/>
      <c r="CJ128" s="2"/>
      <c r="CK128" s="2"/>
      <c r="CL128" s="2"/>
      <c r="CM128" s="2"/>
      <c r="CN128" s="2"/>
      <c r="CO128" s="2"/>
      <c r="CP128" s="2"/>
      <c r="CQ128" s="2"/>
    </row>
    <row r="129" spans="1:95" ht="12" customHeight="1">
      <c r="A129" s="299"/>
      <c r="B129" s="529"/>
      <c r="C129" s="529"/>
      <c r="D129" s="529"/>
      <c r="E129" s="529"/>
      <c r="F129" s="529"/>
      <c r="G129" s="529"/>
      <c r="H129" s="529"/>
      <c r="I129" s="529"/>
      <c r="J129" s="529"/>
      <c r="K129" s="529"/>
      <c r="L129" s="529"/>
      <c r="M129" s="529"/>
      <c r="N129" s="529"/>
      <c r="O129" s="529"/>
      <c r="P129" s="529"/>
      <c r="Q129" s="529"/>
      <c r="R129" s="529"/>
      <c r="S129" s="529"/>
      <c r="T129" s="529"/>
      <c r="U129" s="529"/>
      <c r="V129" s="529"/>
      <c r="W129" s="529"/>
      <c r="X129" s="529"/>
      <c r="Y129" s="529"/>
      <c r="Z129" s="529"/>
      <c r="AA129" s="529"/>
      <c r="AB129" s="529"/>
      <c r="AC129" s="529"/>
      <c r="AD129" s="529"/>
      <c r="AE129" s="529"/>
      <c r="AF129" s="529"/>
      <c r="AG129" s="529"/>
      <c r="AH129" s="529"/>
      <c r="AI129" s="529"/>
      <c r="AJ129" s="529"/>
      <c r="AK129" s="529"/>
      <c r="AL129" s="529"/>
      <c r="AM129" s="529"/>
      <c r="AN129" s="529"/>
      <c r="AO129" s="529"/>
      <c r="AP129" s="529"/>
      <c r="AQ129" s="529"/>
      <c r="AR129" s="529"/>
      <c r="AS129" s="529"/>
      <c r="AT129" s="529"/>
      <c r="AU129" s="529"/>
      <c r="AV129" s="529"/>
      <c r="AW129" s="529"/>
      <c r="AX129" s="529"/>
      <c r="AY129" s="529"/>
      <c r="AZ129" s="529"/>
      <c r="BA129" s="529"/>
      <c r="BB129" s="529"/>
      <c r="BC129" s="529"/>
      <c r="BD129" s="529"/>
      <c r="BE129" s="529"/>
      <c r="BF129" s="529"/>
      <c r="BG129" s="529"/>
      <c r="BH129" s="529"/>
      <c r="BI129" s="529"/>
      <c r="BJ129" s="529"/>
      <c r="BK129" s="529"/>
      <c r="BL129" s="529"/>
      <c r="BM129" s="529"/>
      <c r="BN129" s="529"/>
      <c r="BO129" s="529"/>
      <c r="BP129" s="529"/>
      <c r="BQ129" s="529"/>
      <c r="BR129" s="529"/>
      <c r="BS129" s="529"/>
      <c r="BT129" s="529"/>
      <c r="BU129" s="529"/>
      <c r="BV129" s="529"/>
      <c r="BW129" s="529"/>
      <c r="BX129" s="529"/>
      <c r="BY129" s="529"/>
      <c r="BZ129" s="529"/>
      <c r="CA129" s="529"/>
      <c r="CB129" s="529"/>
      <c r="CC129" s="529"/>
      <c r="CD129" s="529"/>
      <c r="CE129" s="529"/>
      <c r="CF129" s="391"/>
      <c r="CG129" s="2"/>
      <c r="CH129" s="2"/>
      <c r="CI129" s="2"/>
      <c r="CJ129" s="2"/>
      <c r="CK129" s="2"/>
      <c r="CL129" s="2"/>
      <c r="CM129" s="2"/>
      <c r="CN129" s="2"/>
      <c r="CO129" s="2"/>
      <c r="CP129" s="2"/>
      <c r="CQ129" s="2"/>
    </row>
    <row r="130" spans="1:95" ht="12" customHeight="1">
      <c r="A130" s="299"/>
      <c r="B130" s="529"/>
      <c r="C130" s="529"/>
      <c r="D130" s="529"/>
      <c r="E130" s="529"/>
      <c r="F130" s="529"/>
      <c r="G130" s="529"/>
      <c r="H130" s="529"/>
      <c r="I130" s="529"/>
      <c r="J130" s="529"/>
      <c r="K130" s="529"/>
      <c r="L130" s="529"/>
      <c r="M130" s="529"/>
      <c r="N130" s="529"/>
      <c r="O130" s="529"/>
      <c r="P130" s="529"/>
      <c r="Q130" s="529"/>
      <c r="R130" s="529"/>
      <c r="S130" s="529"/>
      <c r="T130" s="529"/>
      <c r="U130" s="529"/>
      <c r="V130" s="529"/>
      <c r="W130" s="529"/>
      <c r="X130" s="529"/>
      <c r="Y130" s="529"/>
      <c r="Z130" s="529"/>
      <c r="AA130" s="529"/>
      <c r="AB130" s="529"/>
      <c r="AC130" s="529"/>
      <c r="AD130" s="529"/>
      <c r="AE130" s="529"/>
      <c r="AF130" s="529"/>
      <c r="AG130" s="529"/>
      <c r="AH130" s="529"/>
      <c r="AI130" s="529"/>
      <c r="AJ130" s="529"/>
      <c r="AK130" s="529"/>
      <c r="AL130" s="529"/>
      <c r="AM130" s="529"/>
      <c r="AN130" s="529"/>
      <c r="AO130" s="529"/>
      <c r="AP130" s="529"/>
      <c r="AQ130" s="529"/>
      <c r="AR130" s="529"/>
      <c r="AS130" s="529"/>
      <c r="AT130" s="529"/>
      <c r="AU130" s="529"/>
      <c r="AV130" s="529"/>
      <c r="AW130" s="529"/>
      <c r="AX130" s="529"/>
      <c r="AY130" s="529"/>
      <c r="AZ130" s="529"/>
      <c r="BA130" s="529"/>
      <c r="BB130" s="529"/>
      <c r="BC130" s="529"/>
      <c r="BD130" s="529"/>
      <c r="BE130" s="529"/>
      <c r="BF130" s="529"/>
      <c r="BG130" s="529"/>
      <c r="BH130" s="529"/>
      <c r="BI130" s="529"/>
      <c r="BJ130" s="529"/>
      <c r="BK130" s="529"/>
      <c r="BL130" s="529"/>
      <c r="BM130" s="529"/>
      <c r="BN130" s="529"/>
      <c r="BO130" s="529"/>
      <c r="BP130" s="529"/>
      <c r="BQ130" s="529"/>
      <c r="BR130" s="529"/>
      <c r="BS130" s="529"/>
      <c r="BT130" s="529"/>
      <c r="BU130" s="529"/>
      <c r="BV130" s="529"/>
      <c r="BW130" s="529"/>
      <c r="BX130" s="529"/>
      <c r="BY130" s="529"/>
      <c r="BZ130" s="529"/>
      <c r="CA130" s="529"/>
      <c r="CB130" s="529"/>
      <c r="CC130" s="529"/>
      <c r="CD130" s="529"/>
      <c r="CE130" s="529"/>
      <c r="CF130" s="391"/>
      <c r="CG130" s="2"/>
      <c r="CH130" s="2"/>
      <c r="CI130" s="2"/>
      <c r="CJ130" s="2"/>
      <c r="CK130" s="2"/>
      <c r="CL130" s="2"/>
      <c r="CM130" s="2"/>
      <c r="CN130" s="2"/>
      <c r="CO130" s="2"/>
      <c r="CP130" s="2"/>
      <c r="CQ130" s="2"/>
    </row>
    <row r="131" spans="1:95" ht="12" customHeight="1">
      <c r="A131" s="299"/>
      <c r="B131" s="529"/>
      <c r="C131" s="529"/>
      <c r="D131" s="529"/>
      <c r="E131" s="529"/>
      <c r="F131" s="529"/>
      <c r="G131" s="529"/>
      <c r="H131" s="529"/>
      <c r="I131" s="529"/>
      <c r="J131" s="529"/>
      <c r="K131" s="529"/>
      <c r="L131" s="529"/>
      <c r="M131" s="529"/>
      <c r="N131" s="529"/>
      <c r="O131" s="529"/>
      <c r="P131" s="529"/>
      <c r="Q131" s="529"/>
      <c r="R131" s="529"/>
      <c r="S131" s="529"/>
      <c r="T131" s="529"/>
      <c r="U131" s="529"/>
      <c r="V131" s="529"/>
      <c r="W131" s="529"/>
      <c r="X131" s="529"/>
      <c r="Y131" s="529"/>
      <c r="Z131" s="529"/>
      <c r="AA131" s="529"/>
      <c r="AB131" s="529"/>
      <c r="AC131" s="529"/>
      <c r="AD131" s="529"/>
      <c r="AE131" s="529"/>
      <c r="AF131" s="529"/>
      <c r="AG131" s="529"/>
      <c r="AH131" s="529"/>
      <c r="AI131" s="529"/>
      <c r="AJ131" s="529"/>
      <c r="AK131" s="529"/>
      <c r="AL131" s="529"/>
      <c r="AM131" s="529"/>
      <c r="AN131" s="529"/>
      <c r="AO131" s="529"/>
      <c r="AP131" s="529"/>
      <c r="AQ131" s="529"/>
      <c r="AR131" s="529"/>
      <c r="AS131" s="529"/>
      <c r="AT131" s="529"/>
      <c r="AU131" s="529"/>
      <c r="AV131" s="529"/>
      <c r="AW131" s="529"/>
      <c r="AX131" s="529"/>
      <c r="AY131" s="529"/>
      <c r="AZ131" s="529"/>
      <c r="BA131" s="529"/>
      <c r="BB131" s="529"/>
      <c r="BC131" s="529"/>
      <c r="BD131" s="529"/>
      <c r="BE131" s="529"/>
      <c r="BF131" s="529"/>
      <c r="BG131" s="529"/>
      <c r="BH131" s="529"/>
      <c r="BI131" s="529"/>
      <c r="BJ131" s="529"/>
      <c r="BK131" s="529"/>
      <c r="BL131" s="529"/>
      <c r="BM131" s="529"/>
      <c r="BN131" s="529"/>
      <c r="BO131" s="529"/>
      <c r="BP131" s="529"/>
      <c r="BQ131" s="529"/>
      <c r="BR131" s="529"/>
      <c r="BS131" s="529"/>
      <c r="BT131" s="529"/>
      <c r="BU131" s="529"/>
      <c r="BV131" s="529"/>
      <c r="BW131" s="529"/>
      <c r="BX131" s="529"/>
      <c r="BY131" s="529"/>
      <c r="BZ131" s="529"/>
      <c r="CA131" s="529"/>
      <c r="CB131" s="529"/>
      <c r="CC131" s="529"/>
      <c r="CD131" s="529"/>
      <c r="CE131" s="529"/>
      <c r="CF131" s="391"/>
      <c r="CG131" s="2"/>
      <c r="CH131" s="2"/>
      <c r="CI131" s="2"/>
      <c r="CJ131" s="2"/>
      <c r="CK131" s="2"/>
      <c r="CL131" s="2"/>
      <c r="CM131" s="2"/>
      <c r="CN131" s="2"/>
      <c r="CO131" s="2"/>
      <c r="CP131" s="2"/>
      <c r="CQ131" s="2"/>
    </row>
    <row r="132" spans="1:95" ht="12" customHeight="1">
      <c r="A132" s="299"/>
      <c r="B132" s="529"/>
      <c r="C132" s="529"/>
      <c r="D132" s="529"/>
      <c r="E132" s="529"/>
      <c r="F132" s="529"/>
      <c r="G132" s="529"/>
      <c r="H132" s="529"/>
      <c r="I132" s="529"/>
      <c r="J132" s="529"/>
      <c r="K132" s="529"/>
      <c r="L132" s="529"/>
      <c r="M132" s="529"/>
      <c r="N132" s="529"/>
      <c r="O132" s="529"/>
      <c r="P132" s="529"/>
      <c r="Q132" s="529"/>
      <c r="R132" s="529"/>
      <c r="S132" s="529"/>
      <c r="T132" s="529"/>
      <c r="U132" s="529"/>
      <c r="V132" s="529"/>
      <c r="W132" s="529"/>
      <c r="X132" s="529"/>
      <c r="Y132" s="529"/>
      <c r="Z132" s="529"/>
      <c r="AA132" s="529"/>
      <c r="AB132" s="529"/>
      <c r="AC132" s="529"/>
      <c r="AD132" s="529"/>
      <c r="AE132" s="529"/>
      <c r="AF132" s="529"/>
      <c r="AG132" s="529"/>
      <c r="AH132" s="529"/>
      <c r="AI132" s="529"/>
      <c r="AJ132" s="529"/>
      <c r="AK132" s="529"/>
      <c r="AL132" s="529"/>
      <c r="AM132" s="529"/>
      <c r="AN132" s="529"/>
      <c r="AO132" s="529"/>
      <c r="AP132" s="529"/>
      <c r="AQ132" s="529"/>
      <c r="AR132" s="529"/>
      <c r="AS132" s="529"/>
      <c r="AT132" s="529"/>
      <c r="AU132" s="529"/>
      <c r="AV132" s="529"/>
      <c r="AW132" s="529"/>
      <c r="AX132" s="529"/>
      <c r="AY132" s="529"/>
      <c r="AZ132" s="529"/>
      <c r="BA132" s="529"/>
      <c r="BB132" s="529"/>
      <c r="BC132" s="529"/>
      <c r="BD132" s="529"/>
      <c r="BE132" s="529"/>
      <c r="BF132" s="529"/>
      <c r="BG132" s="529"/>
      <c r="BH132" s="529"/>
      <c r="BI132" s="529"/>
      <c r="BJ132" s="529"/>
      <c r="BK132" s="529"/>
      <c r="BL132" s="529"/>
      <c r="BM132" s="529"/>
      <c r="BN132" s="529"/>
      <c r="BO132" s="529"/>
      <c r="BP132" s="529"/>
      <c r="BQ132" s="529"/>
      <c r="BR132" s="529"/>
      <c r="BS132" s="529"/>
      <c r="BT132" s="529"/>
      <c r="BU132" s="529"/>
      <c r="BV132" s="529"/>
      <c r="BW132" s="529"/>
      <c r="BX132" s="529"/>
      <c r="BY132" s="529"/>
      <c r="BZ132" s="529"/>
      <c r="CA132" s="529"/>
      <c r="CB132" s="529"/>
      <c r="CC132" s="529"/>
      <c r="CD132" s="529"/>
      <c r="CE132" s="529"/>
      <c r="CF132" s="391"/>
      <c r="CG132" s="2"/>
      <c r="CH132" s="2"/>
      <c r="CI132" s="2"/>
      <c r="CJ132" s="2"/>
      <c r="CK132" s="2"/>
      <c r="CL132" s="2"/>
      <c r="CM132" s="2"/>
      <c r="CN132" s="2"/>
      <c r="CO132" s="2"/>
      <c r="CP132" s="2"/>
      <c r="CQ132" s="2"/>
    </row>
    <row r="133" spans="1:95" ht="12" customHeight="1">
      <c r="A133" s="299"/>
      <c r="B133" s="529"/>
      <c r="C133" s="529"/>
      <c r="D133" s="529"/>
      <c r="E133" s="529"/>
      <c r="F133" s="529"/>
      <c r="G133" s="529"/>
      <c r="H133" s="529"/>
      <c r="I133" s="529"/>
      <c r="J133" s="529"/>
      <c r="K133" s="529"/>
      <c r="L133" s="529"/>
      <c r="M133" s="529"/>
      <c r="N133" s="529"/>
      <c r="O133" s="529"/>
      <c r="P133" s="529"/>
      <c r="Q133" s="529"/>
      <c r="R133" s="529"/>
      <c r="S133" s="529"/>
      <c r="T133" s="529"/>
      <c r="U133" s="529"/>
      <c r="V133" s="529"/>
      <c r="W133" s="529"/>
      <c r="X133" s="529"/>
      <c r="Y133" s="529"/>
      <c r="Z133" s="529"/>
      <c r="AA133" s="529"/>
      <c r="AB133" s="529"/>
      <c r="AC133" s="529"/>
      <c r="AD133" s="529"/>
      <c r="AE133" s="529"/>
      <c r="AF133" s="529"/>
      <c r="AG133" s="529"/>
      <c r="AH133" s="529"/>
      <c r="AI133" s="529"/>
      <c r="AJ133" s="529"/>
      <c r="AK133" s="529"/>
      <c r="AL133" s="529"/>
      <c r="AM133" s="529"/>
      <c r="AN133" s="529"/>
      <c r="AO133" s="529"/>
      <c r="AP133" s="529"/>
      <c r="AQ133" s="529"/>
      <c r="AR133" s="529"/>
      <c r="AS133" s="529"/>
      <c r="AT133" s="529"/>
      <c r="AU133" s="529"/>
      <c r="AV133" s="529"/>
      <c r="AW133" s="529"/>
      <c r="AX133" s="529"/>
      <c r="AY133" s="529"/>
      <c r="AZ133" s="529"/>
      <c r="BA133" s="529"/>
      <c r="BB133" s="529"/>
      <c r="BC133" s="529"/>
      <c r="BD133" s="529"/>
      <c r="BE133" s="529"/>
      <c r="BF133" s="529"/>
      <c r="BG133" s="529"/>
      <c r="BH133" s="529"/>
      <c r="BI133" s="529"/>
      <c r="BJ133" s="529"/>
      <c r="BK133" s="529"/>
      <c r="BL133" s="529"/>
      <c r="BM133" s="529"/>
      <c r="BN133" s="529"/>
      <c r="BO133" s="529"/>
      <c r="BP133" s="529"/>
      <c r="BQ133" s="529"/>
      <c r="BR133" s="529"/>
      <c r="BS133" s="529"/>
      <c r="BT133" s="529"/>
      <c r="BU133" s="529"/>
      <c r="BV133" s="529"/>
      <c r="BW133" s="529"/>
      <c r="BX133" s="529"/>
      <c r="BY133" s="529"/>
      <c r="BZ133" s="529"/>
      <c r="CA133" s="529"/>
      <c r="CB133" s="529"/>
      <c r="CC133" s="529"/>
      <c r="CD133" s="529"/>
      <c r="CE133" s="529"/>
      <c r="CF133" s="391"/>
      <c r="CG133" s="2"/>
      <c r="CH133" s="2"/>
      <c r="CI133" s="2"/>
      <c r="CJ133" s="2"/>
      <c r="CK133" s="2"/>
      <c r="CL133" s="2"/>
      <c r="CM133" s="2"/>
      <c r="CN133" s="2"/>
      <c r="CO133" s="2"/>
      <c r="CP133" s="2"/>
      <c r="CQ133" s="2"/>
    </row>
    <row r="134" spans="1:95" ht="12" customHeight="1">
      <c r="A134" s="299"/>
      <c r="B134" s="529"/>
      <c r="C134" s="529"/>
      <c r="D134" s="529"/>
      <c r="E134" s="529"/>
      <c r="F134" s="529"/>
      <c r="G134" s="529"/>
      <c r="H134" s="529"/>
      <c r="I134" s="529"/>
      <c r="J134" s="529"/>
      <c r="K134" s="529"/>
      <c r="L134" s="529"/>
      <c r="M134" s="529"/>
      <c r="N134" s="529"/>
      <c r="O134" s="529"/>
      <c r="P134" s="529"/>
      <c r="Q134" s="529"/>
      <c r="R134" s="529"/>
      <c r="S134" s="529"/>
      <c r="T134" s="529"/>
      <c r="U134" s="529"/>
      <c r="V134" s="529"/>
      <c r="W134" s="529"/>
      <c r="X134" s="529"/>
      <c r="Y134" s="529"/>
      <c r="Z134" s="529"/>
      <c r="AA134" s="529"/>
      <c r="AB134" s="529"/>
      <c r="AC134" s="529"/>
      <c r="AD134" s="529"/>
      <c r="AE134" s="529"/>
      <c r="AF134" s="529"/>
      <c r="AG134" s="529"/>
      <c r="AH134" s="529"/>
      <c r="AI134" s="529"/>
      <c r="AJ134" s="529"/>
      <c r="AK134" s="529"/>
      <c r="AL134" s="529"/>
      <c r="AM134" s="529"/>
      <c r="AN134" s="529"/>
      <c r="AO134" s="529"/>
      <c r="AP134" s="529"/>
      <c r="AQ134" s="529"/>
      <c r="AR134" s="529"/>
      <c r="AS134" s="529"/>
      <c r="AT134" s="529"/>
      <c r="AU134" s="529"/>
      <c r="AV134" s="529"/>
      <c r="AW134" s="529"/>
      <c r="AX134" s="529"/>
      <c r="AY134" s="529"/>
      <c r="AZ134" s="529"/>
      <c r="BA134" s="529"/>
      <c r="BB134" s="529"/>
      <c r="BC134" s="529"/>
      <c r="BD134" s="529"/>
      <c r="BE134" s="529"/>
      <c r="BF134" s="529"/>
      <c r="BG134" s="529"/>
      <c r="BH134" s="529"/>
      <c r="BI134" s="529"/>
      <c r="BJ134" s="529"/>
      <c r="BK134" s="529"/>
      <c r="BL134" s="529"/>
      <c r="BM134" s="529"/>
      <c r="BN134" s="529"/>
      <c r="BO134" s="529"/>
      <c r="BP134" s="529"/>
      <c r="BQ134" s="529"/>
      <c r="BR134" s="529"/>
      <c r="BS134" s="529"/>
      <c r="BT134" s="529"/>
      <c r="BU134" s="529"/>
      <c r="BV134" s="529"/>
      <c r="BW134" s="529"/>
      <c r="BX134" s="529"/>
      <c r="BY134" s="529"/>
      <c r="BZ134" s="529"/>
      <c r="CA134" s="529"/>
      <c r="CB134" s="529"/>
      <c r="CC134" s="529"/>
      <c r="CD134" s="529"/>
      <c r="CE134" s="529"/>
      <c r="CF134" s="391"/>
      <c r="CG134" s="2"/>
      <c r="CH134" s="2"/>
      <c r="CI134" s="2"/>
      <c r="CJ134" s="2"/>
      <c r="CK134" s="2"/>
      <c r="CL134" s="2"/>
      <c r="CM134" s="2"/>
      <c r="CN134" s="2"/>
      <c r="CO134" s="2"/>
      <c r="CP134" s="2"/>
      <c r="CQ134" s="2"/>
    </row>
    <row r="135" spans="1:95" ht="12" customHeight="1">
      <c r="A135" s="299"/>
      <c r="B135" s="529"/>
      <c r="C135" s="529"/>
      <c r="D135" s="529"/>
      <c r="E135" s="529"/>
      <c r="F135" s="529"/>
      <c r="G135" s="529"/>
      <c r="H135" s="529"/>
      <c r="I135" s="529"/>
      <c r="J135" s="529"/>
      <c r="K135" s="529"/>
      <c r="L135" s="529"/>
      <c r="M135" s="529"/>
      <c r="N135" s="529"/>
      <c r="O135" s="529"/>
      <c r="P135" s="529"/>
      <c r="Q135" s="529"/>
      <c r="R135" s="529"/>
      <c r="S135" s="529"/>
      <c r="T135" s="529"/>
      <c r="U135" s="529"/>
      <c r="V135" s="529"/>
      <c r="W135" s="529"/>
      <c r="X135" s="529"/>
      <c r="Y135" s="529"/>
      <c r="Z135" s="529"/>
      <c r="AA135" s="529"/>
      <c r="AB135" s="529"/>
      <c r="AC135" s="529"/>
      <c r="AD135" s="529"/>
      <c r="AE135" s="529"/>
      <c r="AF135" s="529"/>
      <c r="AG135" s="529"/>
      <c r="AH135" s="529"/>
      <c r="AI135" s="529"/>
      <c r="AJ135" s="529"/>
      <c r="AK135" s="529"/>
      <c r="AL135" s="529"/>
      <c r="AM135" s="529"/>
      <c r="AN135" s="529"/>
      <c r="AO135" s="529"/>
      <c r="AP135" s="529"/>
      <c r="AQ135" s="529"/>
      <c r="AR135" s="529"/>
      <c r="AS135" s="529"/>
      <c r="AT135" s="529"/>
      <c r="AU135" s="529"/>
      <c r="AV135" s="529"/>
      <c r="AW135" s="529"/>
      <c r="AX135" s="529"/>
      <c r="AY135" s="529"/>
      <c r="AZ135" s="529"/>
      <c r="BA135" s="529"/>
      <c r="BB135" s="529"/>
      <c r="BC135" s="529"/>
      <c r="BD135" s="529"/>
      <c r="BE135" s="529"/>
      <c r="BF135" s="529"/>
      <c r="BG135" s="529"/>
      <c r="BH135" s="529"/>
      <c r="BI135" s="529"/>
      <c r="BJ135" s="529"/>
      <c r="BK135" s="529"/>
      <c r="BL135" s="529"/>
      <c r="BM135" s="529"/>
      <c r="BN135" s="529"/>
      <c r="BO135" s="529"/>
      <c r="BP135" s="529"/>
      <c r="BQ135" s="529"/>
      <c r="BR135" s="529"/>
      <c r="BS135" s="529"/>
      <c r="BT135" s="529"/>
      <c r="BU135" s="529"/>
      <c r="BV135" s="529"/>
      <c r="BW135" s="529"/>
      <c r="BX135" s="529"/>
      <c r="BY135" s="529"/>
      <c r="BZ135" s="529"/>
      <c r="CA135" s="529"/>
      <c r="CB135" s="529"/>
      <c r="CC135" s="529"/>
      <c r="CD135" s="529"/>
      <c r="CE135" s="529"/>
      <c r="CF135" s="391"/>
      <c r="CG135" s="2"/>
      <c r="CH135" s="2"/>
      <c r="CI135" s="2"/>
      <c r="CJ135" s="2"/>
      <c r="CK135" s="2"/>
      <c r="CL135" s="2"/>
      <c r="CM135" s="2"/>
      <c r="CN135" s="2"/>
      <c r="CO135" s="2"/>
      <c r="CP135" s="2"/>
      <c r="CQ135" s="2"/>
    </row>
    <row r="136" spans="1:95" ht="12" customHeight="1">
      <c r="A136" s="299"/>
      <c r="B136" s="529"/>
      <c r="C136" s="529"/>
      <c r="D136" s="529"/>
      <c r="E136" s="529"/>
      <c r="F136" s="529"/>
      <c r="G136" s="529"/>
      <c r="H136" s="529"/>
      <c r="I136" s="529"/>
      <c r="J136" s="529"/>
      <c r="K136" s="529"/>
      <c r="L136" s="529"/>
      <c r="M136" s="529"/>
      <c r="N136" s="529"/>
      <c r="O136" s="529"/>
      <c r="P136" s="529"/>
      <c r="Q136" s="529"/>
      <c r="R136" s="529"/>
      <c r="S136" s="529"/>
      <c r="T136" s="529"/>
      <c r="U136" s="529"/>
      <c r="V136" s="529"/>
      <c r="W136" s="529"/>
      <c r="X136" s="529"/>
      <c r="Y136" s="529"/>
      <c r="Z136" s="529"/>
      <c r="AA136" s="529"/>
      <c r="AB136" s="529"/>
      <c r="AC136" s="529"/>
      <c r="AD136" s="529"/>
      <c r="AE136" s="529"/>
      <c r="AF136" s="529"/>
      <c r="AG136" s="529"/>
      <c r="AH136" s="529"/>
      <c r="AI136" s="529"/>
      <c r="AJ136" s="529"/>
      <c r="AK136" s="529"/>
      <c r="AL136" s="529"/>
      <c r="AM136" s="529"/>
      <c r="AN136" s="529"/>
      <c r="AO136" s="529"/>
      <c r="AP136" s="529"/>
      <c r="AQ136" s="529"/>
      <c r="AR136" s="529"/>
      <c r="AS136" s="529"/>
      <c r="AT136" s="529"/>
      <c r="AU136" s="529"/>
      <c r="AV136" s="529"/>
      <c r="AW136" s="529"/>
      <c r="AX136" s="529"/>
      <c r="AY136" s="529"/>
      <c r="AZ136" s="529"/>
      <c r="BA136" s="529"/>
      <c r="BB136" s="529"/>
      <c r="BC136" s="529"/>
      <c r="BD136" s="529"/>
      <c r="BE136" s="529"/>
      <c r="BF136" s="529"/>
      <c r="BG136" s="529"/>
      <c r="BH136" s="529"/>
      <c r="BI136" s="529"/>
      <c r="BJ136" s="529"/>
      <c r="BK136" s="529"/>
      <c r="BL136" s="529"/>
      <c r="BM136" s="529"/>
      <c r="BN136" s="529"/>
      <c r="BO136" s="529"/>
      <c r="BP136" s="529"/>
      <c r="BQ136" s="529"/>
      <c r="BR136" s="529"/>
      <c r="BS136" s="529"/>
      <c r="BT136" s="529"/>
      <c r="BU136" s="529"/>
      <c r="BV136" s="529"/>
      <c r="BW136" s="529"/>
      <c r="BX136" s="529"/>
      <c r="BY136" s="529"/>
      <c r="BZ136" s="529"/>
      <c r="CA136" s="529"/>
      <c r="CB136" s="529"/>
      <c r="CC136" s="529"/>
      <c r="CD136" s="529"/>
      <c r="CE136" s="529"/>
      <c r="CF136" s="391"/>
      <c r="CG136" s="2"/>
      <c r="CH136" s="2"/>
      <c r="CI136" s="2"/>
      <c r="CJ136" s="2"/>
      <c r="CK136" s="2"/>
      <c r="CL136" s="2"/>
      <c r="CM136" s="2"/>
      <c r="CN136" s="2"/>
      <c r="CO136" s="2"/>
      <c r="CP136" s="2"/>
      <c r="CQ136" s="2"/>
    </row>
    <row r="137" spans="1:95" ht="12" customHeight="1">
      <c r="A137" s="299"/>
      <c r="B137" s="529"/>
      <c r="C137" s="529"/>
      <c r="D137" s="529"/>
      <c r="E137" s="529"/>
      <c r="F137" s="529"/>
      <c r="G137" s="529"/>
      <c r="H137" s="529"/>
      <c r="I137" s="529"/>
      <c r="J137" s="529"/>
      <c r="K137" s="529"/>
      <c r="L137" s="529"/>
      <c r="M137" s="529"/>
      <c r="N137" s="529"/>
      <c r="O137" s="529"/>
      <c r="P137" s="529"/>
      <c r="Q137" s="529"/>
      <c r="R137" s="529"/>
      <c r="S137" s="529"/>
      <c r="T137" s="529"/>
      <c r="U137" s="529"/>
      <c r="V137" s="529"/>
      <c r="W137" s="529"/>
      <c r="X137" s="529"/>
      <c r="Y137" s="529"/>
      <c r="Z137" s="529"/>
      <c r="AA137" s="529"/>
      <c r="AB137" s="529"/>
      <c r="AC137" s="529"/>
      <c r="AD137" s="529"/>
      <c r="AE137" s="529"/>
      <c r="AF137" s="529"/>
      <c r="AG137" s="529"/>
      <c r="AH137" s="529"/>
      <c r="AI137" s="529"/>
      <c r="AJ137" s="529"/>
      <c r="AK137" s="529"/>
      <c r="AL137" s="529"/>
      <c r="AM137" s="529"/>
      <c r="AN137" s="529"/>
      <c r="AO137" s="529"/>
      <c r="AP137" s="529"/>
      <c r="AQ137" s="529"/>
      <c r="AR137" s="529"/>
      <c r="AS137" s="529"/>
      <c r="AT137" s="529"/>
      <c r="AU137" s="529"/>
      <c r="AV137" s="529"/>
      <c r="AW137" s="529"/>
      <c r="AX137" s="529"/>
      <c r="AY137" s="529"/>
      <c r="AZ137" s="529"/>
      <c r="BA137" s="529"/>
      <c r="BB137" s="529"/>
      <c r="BC137" s="529"/>
      <c r="BD137" s="529"/>
      <c r="BE137" s="529"/>
      <c r="BF137" s="529"/>
      <c r="BG137" s="529"/>
      <c r="BH137" s="529"/>
      <c r="BI137" s="529"/>
      <c r="BJ137" s="529"/>
      <c r="BK137" s="529"/>
      <c r="BL137" s="529"/>
      <c r="BM137" s="529"/>
      <c r="BN137" s="529"/>
      <c r="BO137" s="529"/>
      <c r="BP137" s="529"/>
      <c r="BQ137" s="529"/>
      <c r="BR137" s="529"/>
      <c r="BS137" s="529"/>
      <c r="BT137" s="529"/>
      <c r="BU137" s="529"/>
      <c r="BV137" s="529"/>
      <c r="BW137" s="529"/>
      <c r="BX137" s="529"/>
      <c r="BY137" s="529"/>
      <c r="BZ137" s="529"/>
      <c r="CA137" s="529"/>
      <c r="CB137" s="529"/>
      <c r="CC137" s="529"/>
      <c r="CD137" s="529"/>
      <c r="CE137" s="529"/>
      <c r="CF137" s="391"/>
      <c r="CG137" s="2"/>
      <c r="CH137" s="2"/>
      <c r="CI137" s="2"/>
      <c r="CJ137" s="2"/>
      <c r="CK137" s="2"/>
      <c r="CL137" s="2"/>
      <c r="CM137" s="2"/>
      <c r="CN137" s="2"/>
      <c r="CO137" s="2"/>
      <c r="CP137" s="2"/>
      <c r="CQ137" s="2"/>
    </row>
    <row r="138" spans="1:95" ht="12" customHeight="1">
      <c r="A138" s="299"/>
      <c r="B138" s="529"/>
      <c r="C138" s="529"/>
      <c r="D138" s="529"/>
      <c r="E138" s="529"/>
      <c r="F138" s="529"/>
      <c r="G138" s="529"/>
      <c r="H138" s="529"/>
      <c r="I138" s="529"/>
      <c r="J138" s="529"/>
      <c r="K138" s="529"/>
      <c r="L138" s="529"/>
      <c r="M138" s="529"/>
      <c r="N138" s="529"/>
      <c r="O138" s="529"/>
      <c r="P138" s="529"/>
      <c r="Q138" s="529"/>
      <c r="R138" s="529"/>
      <c r="S138" s="529"/>
      <c r="T138" s="529"/>
      <c r="U138" s="529"/>
      <c r="V138" s="529"/>
      <c r="W138" s="529"/>
      <c r="X138" s="529"/>
      <c r="Y138" s="529"/>
      <c r="Z138" s="529"/>
      <c r="AA138" s="529"/>
      <c r="AB138" s="529"/>
      <c r="AC138" s="529"/>
      <c r="AD138" s="529"/>
      <c r="AE138" s="529"/>
      <c r="AF138" s="529"/>
      <c r="AG138" s="529"/>
      <c r="AH138" s="529"/>
      <c r="AI138" s="529"/>
      <c r="AJ138" s="529"/>
      <c r="AK138" s="529"/>
      <c r="AL138" s="529"/>
      <c r="AM138" s="529"/>
      <c r="AN138" s="529"/>
      <c r="AO138" s="529"/>
      <c r="AP138" s="529"/>
      <c r="AQ138" s="529"/>
      <c r="AR138" s="529"/>
      <c r="AS138" s="529"/>
      <c r="AT138" s="529"/>
      <c r="AU138" s="529"/>
      <c r="AV138" s="529"/>
      <c r="AW138" s="529"/>
      <c r="AX138" s="529"/>
      <c r="AY138" s="529"/>
      <c r="AZ138" s="529"/>
      <c r="BA138" s="529"/>
      <c r="BB138" s="529"/>
      <c r="BC138" s="529"/>
      <c r="BD138" s="529"/>
      <c r="BE138" s="529"/>
      <c r="BF138" s="529"/>
      <c r="BG138" s="529"/>
      <c r="BH138" s="529"/>
      <c r="BI138" s="529"/>
      <c r="BJ138" s="529"/>
      <c r="BK138" s="529"/>
      <c r="BL138" s="529"/>
      <c r="BM138" s="529"/>
      <c r="BN138" s="529"/>
      <c r="BO138" s="529"/>
      <c r="BP138" s="529"/>
      <c r="BQ138" s="529"/>
      <c r="BR138" s="529"/>
      <c r="BS138" s="529"/>
      <c r="BT138" s="529"/>
      <c r="BU138" s="529"/>
      <c r="BV138" s="529"/>
      <c r="BW138" s="529"/>
      <c r="BX138" s="529"/>
      <c r="BY138" s="529"/>
      <c r="BZ138" s="529"/>
      <c r="CA138" s="529"/>
      <c r="CB138" s="529"/>
      <c r="CC138" s="529"/>
      <c r="CD138" s="529"/>
      <c r="CE138" s="529"/>
      <c r="CF138" s="391"/>
      <c r="CG138" s="2"/>
      <c r="CH138" s="2"/>
      <c r="CI138" s="2"/>
      <c r="CJ138" s="2"/>
      <c r="CK138" s="2"/>
      <c r="CL138" s="2"/>
      <c r="CM138" s="2"/>
      <c r="CN138" s="2"/>
      <c r="CO138" s="2"/>
      <c r="CP138" s="2"/>
      <c r="CQ138" s="2"/>
    </row>
    <row r="139" spans="1:95" ht="12" customHeight="1">
      <c r="A139" s="299"/>
      <c r="B139" s="529"/>
      <c r="C139" s="529"/>
      <c r="D139" s="529"/>
      <c r="E139" s="529"/>
      <c r="F139" s="529"/>
      <c r="G139" s="529"/>
      <c r="H139" s="529"/>
      <c r="I139" s="529"/>
      <c r="J139" s="529"/>
      <c r="K139" s="529"/>
      <c r="L139" s="529"/>
      <c r="M139" s="529"/>
      <c r="N139" s="529"/>
      <c r="O139" s="529"/>
      <c r="P139" s="529"/>
      <c r="Q139" s="529"/>
      <c r="R139" s="529"/>
      <c r="S139" s="529"/>
      <c r="T139" s="529"/>
      <c r="U139" s="529"/>
      <c r="V139" s="529"/>
      <c r="W139" s="529"/>
      <c r="X139" s="529"/>
      <c r="Y139" s="529"/>
      <c r="Z139" s="529"/>
      <c r="AA139" s="529"/>
      <c r="AB139" s="529"/>
      <c r="AC139" s="529"/>
      <c r="AD139" s="529"/>
      <c r="AE139" s="529"/>
      <c r="AF139" s="529"/>
      <c r="AG139" s="529"/>
      <c r="AH139" s="529"/>
      <c r="AI139" s="529"/>
      <c r="AJ139" s="529"/>
      <c r="AK139" s="529"/>
      <c r="AL139" s="529"/>
      <c r="AM139" s="529"/>
      <c r="AN139" s="529"/>
      <c r="AO139" s="529"/>
      <c r="AP139" s="529"/>
      <c r="AQ139" s="529"/>
      <c r="AR139" s="529"/>
      <c r="AS139" s="529"/>
      <c r="AT139" s="529"/>
      <c r="AU139" s="529"/>
      <c r="AV139" s="529"/>
      <c r="AW139" s="529"/>
      <c r="AX139" s="529"/>
      <c r="AY139" s="529"/>
      <c r="AZ139" s="529"/>
      <c r="BA139" s="529"/>
      <c r="BB139" s="529"/>
      <c r="BC139" s="529"/>
      <c r="BD139" s="529"/>
      <c r="BE139" s="529"/>
      <c r="BF139" s="529"/>
      <c r="BG139" s="529"/>
      <c r="BH139" s="529"/>
      <c r="BI139" s="529"/>
      <c r="BJ139" s="529"/>
      <c r="BK139" s="529"/>
      <c r="BL139" s="529"/>
      <c r="BM139" s="529"/>
      <c r="BN139" s="529"/>
      <c r="BO139" s="529"/>
      <c r="BP139" s="529"/>
      <c r="BQ139" s="529"/>
      <c r="BR139" s="529"/>
      <c r="BS139" s="529"/>
      <c r="BT139" s="529"/>
      <c r="BU139" s="529"/>
      <c r="BV139" s="529"/>
      <c r="BW139" s="529"/>
      <c r="BX139" s="529"/>
      <c r="BY139" s="529"/>
      <c r="BZ139" s="529"/>
      <c r="CA139" s="529"/>
      <c r="CB139" s="529"/>
      <c r="CC139" s="529"/>
      <c r="CD139" s="529"/>
      <c r="CE139" s="529"/>
      <c r="CF139" s="391"/>
      <c r="CG139" s="2"/>
      <c r="CH139" s="2"/>
      <c r="CI139" s="2"/>
      <c r="CJ139" s="2"/>
      <c r="CK139" s="2"/>
      <c r="CL139" s="2"/>
      <c r="CM139" s="2"/>
      <c r="CN139" s="2"/>
      <c r="CO139" s="2"/>
      <c r="CP139" s="2"/>
      <c r="CQ139" s="2"/>
    </row>
    <row r="140" spans="1:95" ht="12" customHeight="1">
      <c r="A140" s="299"/>
      <c r="B140" s="529"/>
      <c r="C140" s="529"/>
      <c r="D140" s="529"/>
      <c r="E140" s="529"/>
      <c r="F140" s="529"/>
      <c r="G140" s="529"/>
      <c r="H140" s="529"/>
      <c r="I140" s="529"/>
      <c r="J140" s="529"/>
      <c r="K140" s="529"/>
      <c r="L140" s="529"/>
      <c r="M140" s="529"/>
      <c r="N140" s="529"/>
      <c r="O140" s="529"/>
      <c r="P140" s="529"/>
      <c r="Q140" s="529"/>
      <c r="R140" s="529"/>
      <c r="S140" s="529"/>
      <c r="T140" s="529"/>
      <c r="U140" s="529"/>
      <c r="V140" s="529"/>
      <c r="W140" s="529"/>
      <c r="X140" s="529"/>
      <c r="Y140" s="529"/>
      <c r="Z140" s="529"/>
      <c r="AA140" s="529"/>
      <c r="AB140" s="529"/>
      <c r="AC140" s="529"/>
      <c r="AD140" s="529"/>
      <c r="AE140" s="529"/>
      <c r="AF140" s="529"/>
      <c r="AG140" s="529"/>
      <c r="AH140" s="529"/>
      <c r="AI140" s="529"/>
      <c r="AJ140" s="529"/>
      <c r="AK140" s="529"/>
      <c r="AL140" s="529"/>
      <c r="AM140" s="529"/>
      <c r="AN140" s="529"/>
      <c r="AO140" s="529"/>
      <c r="AP140" s="529"/>
      <c r="AQ140" s="529"/>
      <c r="AR140" s="529"/>
      <c r="AS140" s="529"/>
      <c r="AT140" s="529"/>
      <c r="AU140" s="529"/>
      <c r="AV140" s="529"/>
      <c r="AW140" s="529"/>
      <c r="AX140" s="529"/>
      <c r="AY140" s="529"/>
      <c r="AZ140" s="529"/>
      <c r="BA140" s="529"/>
      <c r="BB140" s="529"/>
      <c r="BC140" s="529"/>
      <c r="BD140" s="529"/>
      <c r="BE140" s="529"/>
      <c r="BF140" s="529"/>
      <c r="BG140" s="529"/>
      <c r="BH140" s="529"/>
      <c r="BI140" s="529"/>
      <c r="BJ140" s="529"/>
      <c r="BK140" s="529"/>
      <c r="BL140" s="529"/>
      <c r="BM140" s="529"/>
      <c r="BN140" s="529"/>
      <c r="BO140" s="529"/>
      <c r="BP140" s="529"/>
      <c r="BQ140" s="529"/>
      <c r="BR140" s="529"/>
      <c r="BS140" s="529"/>
      <c r="BT140" s="529"/>
      <c r="BU140" s="529"/>
      <c r="BV140" s="529"/>
      <c r="BW140" s="529"/>
      <c r="BX140" s="529"/>
      <c r="BY140" s="529"/>
      <c r="BZ140" s="529"/>
      <c r="CA140" s="529"/>
      <c r="CB140" s="529"/>
      <c r="CC140" s="529"/>
      <c r="CD140" s="529"/>
      <c r="CE140" s="529"/>
      <c r="CF140" s="391"/>
      <c r="CG140" s="2"/>
      <c r="CH140" s="2"/>
      <c r="CI140" s="2"/>
      <c r="CJ140" s="2"/>
      <c r="CK140" s="2"/>
      <c r="CL140" s="2"/>
      <c r="CM140" s="2"/>
      <c r="CN140" s="2"/>
      <c r="CO140" s="2"/>
      <c r="CP140" s="2"/>
      <c r="CQ140" s="2"/>
    </row>
    <row r="141" spans="1:95" ht="12" customHeight="1">
      <c r="A141" s="299"/>
      <c r="B141" s="529"/>
      <c r="C141" s="529"/>
      <c r="D141" s="529"/>
      <c r="E141" s="529"/>
      <c r="F141" s="529"/>
      <c r="G141" s="529" t="s">
        <v>294</v>
      </c>
      <c r="H141" s="529"/>
      <c r="I141" s="529"/>
      <c r="J141" s="529"/>
      <c r="K141" s="529"/>
      <c r="L141" s="529"/>
      <c r="M141" s="529"/>
      <c r="N141" s="529"/>
      <c r="O141" s="529"/>
      <c r="P141" s="529"/>
      <c r="Q141" s="529"/>
      <c r="R141" s="529"/>
      <c r="S141" s="529"/>
      <c r="T141" s="529"/>
      <c r="U141" s="529"/>
      <c r="V141" s="529"/>
      <c r="W141" s="529"/>
      <c r="X141" s="529"/>
      <c r="Y141" s="529"/>
      <c r="Z141" s="529"/>
      <c r="AA141" s="529"/>
      <c r="AB141" s="529"/>
      <c r="AC141" s="529"/>
      <c r="AD141" s="529"/>
      <c r="AE141" s="529"/>
      <c r="AF141" s="529"/>
      <c r="AG141" s="529"/>
      <c r="AH141" s="529"/>
      <c r="AI141" s="529"/>
      <c r="AJ141" s="529"/>
      <c r="AK141" s="529"/>
      <c r="AL141" s="529"/>
      <c r="AM141" s="529"/>
      <c r="AN141" s="529"/>
      <c r="AO141" s="529"/>
      <c r="AP141" s="529"/>
      <c r="AQ141" s="529"/>
      <c r="AR141" s="529"/>
      <c r="AS141" s="529"/>
      <c r="AT141" s="529"/>
      <c r="AU141" s="529"/>
      <c r="AV141" s="529"/>
      <c r="AW141" s="529"/>
      <c r="AX141" s="529"/>
      <c r="AY141" s="529"/>
      <c r="AZ141" s="529"/>
      <c r="BA141" s="529"/>
      <c r="BB141" s="529"/>
      <c r="BC141" s="529"/>
      <c r="BD141" s="529"/>
      <c r="BE141" s="529"/>
      <c r="BF141" s="529"/>
      <c r="BG141" s="529"/>
      <c r="BH141" s="529"/>
      <c r="BI141" s="529"/>
      <c r="BJ141" s="529"/>
      <c r="BK141" s="529"/>
      <c r="BL141" s="529"/>
      <c r="BM141" s="529"/>
      <c r="BN141" s="529"/>
      <c r="BO141" s="529"/>
      <c r="BP141" s="529"/>
      <c r="BQ141" s="529"/>
      <c r="BR141" s="529"/>
      <c r="BS141" s="529"/>
      <c r="BT141" s="529"/>
      <c r="BU141" s="529"/>
      <c r="BV141" s="529"/>
      <c r="BW141" s="529"/>
      <c r="BX141" s="529"/>
      <c r="BY141" s="529"/>
      <c r="BZ141" s="529"/>
      <c r="CA141" s="529"/>
      <c r="CB141" s="529"/>
      <c r="CC141" s="529"/>
      <c r="CD141" s="529"/>
      <c r="CE141" s="529"/>
      <c r="CF141" s="391"/>
      <c r="CG141" s="2"/>
      <c r="CH141" s="2"/>
      <c r="CI141" s="2"/>
      <c r="CJ141" s="2"/>
      <c r="CK141" s="2"/>
      <c r="CL141" s="2"/>
      <c r="CM141" s="2"/>
      <c r="CN141" s="2"/>
      <c r="CO141" s="2"/>
      <c r="CP141" s="2"/>
      <c r="CQ141" s="2"/>
    </row>
    <row r="142" spans="1:95" ht="12" customHeight="1">
      <c r="A142" s="299"/>
      <c r="B142" s="529"/>
      <c r="C142" s="529"/>
      <c r="D142" s="529"/>
      <c r="E142" s="529"/>
      <c r="F142" s="529"/>
      <c r="G142" s="529" t="s">
        <v>293</v>
      </c>
      <c r="H142" s="529"/>
      <c r="I142" s="529"/>
      <c r="J142" s="529"/>
      <c r="K142" s="529"/>
      <c r="L142" s="529"/>
      <c r="M142" s="529"/>
      <c r="N142" s="529"/>
      <c r="O142" s="529"/>
      <c r="P142" s="529"/>
      <c r="Q142" s="529"/>
      <c r="R142" s="529"/>
      <c r="S142" s="529"/>
      <c r="T142" s="529"/>
      <c r="U142" s="529"/>
      <c r="V142" s="529"/>
      <c r="W142" s="529"/>
      <c r="X142" s="529"/>
      <c r="Y142" s="529"/>
      <c r="Z142" s="529"/>
      <c r="AA142" s="529"/>
      <c r="AB142" s="529"/>
      <c r="AC142" s="529"/>
      <c r="AD142" s="529"/>
      <c r="AE142" s="529"/>
      <c r="AF142" s="529"/>
      <c r="AG142" s="529"/>
      <c r="AH142" s="529"/>
      <c r="AI142" s="529"/>
      <c r="AJ142" s="529"/>
      <c r="AK142" s="529"/>
      <c r="AL142" s="529"/>
      <c r="AM142" s="529"/>
      <c r="AN142" s="529"/>
      <c r="AO142" s="529"/>
      <c r="AP142" s="529"/>
      <c r="AQ142" s="529"/>
      <c r="AR142" s="529"/>
      <c r="AS142" s="529"/>
      <c r="AT142" s="529"/>
      <c r="AU142" s="529"/>
      <c r="AV142" s="529"/>
      <c r="AW142" s="529"/>
      <c r="AX142" s="529"/>
      <c r="AY142" s="529"/>
      <c r="AZ142" s="529"/>
      <c r="BA142" s="529"/>
      <c r="BB142" s="529"/>
      <c r="BC142" s="529"/>
      <c r="BD142" s="529"/>
      <c r="BE142" s="529"/>
      <c r="BF142" s="529"/>
      <c r="BG142" s="529"/>
      <c r="BH142" s="529"/>
      <c r="BI142" s="529"/>
      <c r="BJ142" s="529"/>
      <c r="BK142" s="529"/>
      <c r="BL142" s="529"/>
      <c r="BM142" s="529"/>
      <c r="BN142" s="529"/>
      <c r="BO142" s="529"/>
      <c r="BP142" s="529"/>
      <c r="BQ142" s="529"/>
      <c r="BR142" s="529"/>
      <c r="BS142" s="529"/>
      <c r="BT142" s="529"/>
      <c r="BU142" s="529"/>
      <c r="BV142" s="529"/>
      <c r="BW142" s="529"/>
      <c r="BX142" s="529"/>
      <c r="BY142" s="529"/>
      <c r="BZ142" s="529"/>
      <c r="CA142" s="529"/>
      <c r="CB142" s="529"/>
      <c r="CC142" s="529"/>
      <c r="CD142" s="529"/>
      <c r="CE142" s="529"/>
      <c r="CF142" s="391"/>
      <c r="CG142" s="2"/>
      <c r="CH142" s="2"/>
      <c r="CI142" s="2"/>
      <c r="CJ142" s="2"/>
      <c r="CK142" s="2"/>
      <c r="CL142" s="2"/>
      <c r="CM142" s="2"/>
      <c r="CN142" s="2"/>
      <c r="CO142" s="2"/>
      <c r="CP142" s="2"/>
      <c r="CQ142" s="2"/>
    </row>
    <row r="143" spans="1:95" ht="12" customHeight="1">
      <c r="A143" s="299"/>
      <c r="B143" s="529"/>
      <c r="C143" s="529"/>
      <c r="D143" s="529"/>
      <c r="E143" s="529"/>
      <c r="F143" s="529"/>
      <c r="H143" s="529"/>
      <c r="I143" s="529"/>
      <c r="J143" s="529"/>
      <c r="K143" s="529"/>
      <c r="L143" s="529"/>
      <c r="M143" s="529"/>
      <c r="N143" s="529"/>
      <c r="O143" s="529"/>
      <c r="P143" s="529"/>
      <c r="Q143" s="529"/>
      <c r="R143" s="529"/>
      <c r="S143" s="529"/>
      <c r="T143" s="529"/>
      <c r="U143" s="529"/>
      <c r="V143" s="529"/>
      <c r="W143" s="529"/>
      <c r="X143" s="529"/>
      <c r="Y143" s="529"/>
      <c r="Z143" s="529"/>
      <c r="AA143" s="529"/>
      <c r="AB143" s="529"/>
      <c r="AC143" s="529"/>
      <c r="AD143" s="529"/>
      <c r="AE143" s="529"/>
      <c r="AF143" s="529"/>
      <c r="AG143" s="529"/>
      <c r="AH143" s="529"/>
      <c r="AI143" s="529"/>
      <c r="AJ143" s="529"/>
      <c r="AK143" s="529"/>
      <c r="AL143" s="529"/>
      <c r="AM143" s="529"/>
      <c r="AN143" s="529"/>
      <c r="AO143" s="529"/>
      <c r="AP143" s="529"/>
      <c r="AQ143" s="529"/>
      <c r="AR143" s="529"/>
      <c r="AS143" s="529"/>
      <c r="AT143" s="529"/>
      <c r="AU143" s="529"/>
      <c r="AV143" s="529"/>
      <c r="AW143" s="529"/>
      <c r="AX143" s="529"/>
      <c r="AY143" s="529"/>
      <c r="AZ143" s="529"/>
      <c r="BA143" s="529"/>
      <c r="BB143" s="529"/>
      <c r="BC143" s="529"/>
      <c r="BD143" s="529"/>
      <c r="BE143" s="529"/>
      <c r="BF143" s="529"/>
      <c r="BG143" s="529"/>
      <c r="BH143" s="529"/>
      <c r="BI143" s="529"/>
      <c r="BJ143" s="529"/>
      <c r="BK143" s="529"/>
      <c r="BL143" s="529"/>
      <c r="BM143" s="529"/>
      <c r="BN143" s="529"/>
      <c r="BO143" s="529"/>
      <c r="BP143" s="529"/>
      <c r="BQ143" s="529"/>
      <c r="BR143" s="529"/>
      <c r="BS143" s="529"/>
      <c r="BT143" s="529"/>
      <c r="BU143" s="529"/>
      <c r="BV143" s="529"/>
      <c r="BW143" s="529"/>
      <c r="BX143" s="529"/>
      <c r="BY143" s="529"/>
      <c r="BZ143" s="529"/>
      <c r="CA143" s="529"/>
      <c r="CB143" s="529"/>
      <c r="CC143" s="529"/>
      <c r="CD143" s="529"/>
      <c r="CE143" s="529"/>
      <c r="CF143" s="391"/>
      <c r="CG143" s="2"/>
      <c r="CH143" s="2"/>
      <c r="CI143" s="2"/>
      <c r="CJ143" s="2"/>
      <c r="CK143" s="2"/>
      <c r="CL143" s="2"/>
      <c r="CM143" s="2"/>
      <c r="CN143" s="2"/>
      <c r="CO143" s="2"/>
      <c r="CP143" s="2"/>
      <c r="CQ143" s="2"/>
    </row>
    <row r="144" spans="1:95" ht="12" customHeight="1">
      <c r="A144" s="299"/>
      <c r="B144" s="529"/>
      <c r="C144" s="529"/>
      <c r="D144" s="529"/>
      <c r="E144" s="529" t="s">
        <v>475</v>
      </c>
      <c r="F144" s="529"/>
      <c r="G144" s="529"/>
      <c r="H144" s="529"/>
      <c r="I144" s="529"/>
      <c r="J144" s="529"/>
      <c r="K144" s="529"/>
      <c r="L144" s="529"/>
      <c r="M144" s="529"/>
      <c r="N144" s="529"/>
      <c r="O144" s="529"/>
      <c r="P144" s="529"/>
      <c r="Q144" s="529"/>
      <c r="R144" s="529"/>
      <c r="S144" s="529"/>
      <c r="T144" s="529"/>
      <c r="U144" s="529"/>
      <c r="V144" s="529"/>
      <c r="W144" s="529"/>
      <c r="X144" s="529"/>
      <c r="Y144" s="529"/>
      <c r="Z144" s="529"/>
      <c r="AA144" s="529"/>
      <c r="AB144" s="529"/>
      <c r="AC144" s="529"/>
      <c r="AD144" s="529"/>
      <c r="AE144" s="529"/>
      <c r="AF144" s="529"/>
      <c r="AG144" s="529"/>
      <c r="AH144" s="529"/>
      <c r="AI144" s="529"/>
      <c r="AJ144" s="529"/>
      <c r="AK144" s="529"/>
      <c r="AL144" s="529"/>
      <c r="AM144" s="529"/>
      <c r="AN144" s="529"/>
      <c r="AO144" s="529"/>
      <c r="AP144" s="529"/>
      <c r="AQ144" s="529"/>
      <c r="AR144" s="529"/>
      <c r="AS144" s="529"/>
      <c r="AT144" s="529"/>
      <c r="AU144" s="529"/>
      <c r="AV144" s="529"/>
      <c r="AW144" s="529"/>
      <c r="AX144" s="529"/>
      <c r="AY144" s="529"/>
      <c r="AZ144" s="529"/>
      <c r="BA144" s="529"/>
      <c r="BB144" s="529"/>
      <c r="BC144" s="529"/>
      <c r="BD144" s="529"/>
      <c r="BE144" s="529"/>
      <c r="BF144" s="529"/>
      <c r="BG144" s="529"/>
      <c r="BH144" s="529"/>
      <c r="BI144" s="529"/>
      <c r="BJ144" s="529"/>
      <c r="BK144" s="529"/>
      <c r="BL144" s="529"/>
      <c r="BM144" s="529"/>
      <c r="BN144" s="529"/>
      <c r="BO144" s="529"/>
      <c r="BP144" s="529"/>
      <c r="BQ144" s="529"/>
      <c r="BR144" s="529"/>
      <c r="BS144" s="529"/>
      <c r="BT144" s="529"/>
      <c r="BU144" s="529"/>
      <c r="BV144" s="529"/>
      <c r="BW144" s="529"/>
      <c r="BX144" s="529"/>
      <c r="BY144" s="529"/>
      <c r="BZ144" s="529"/>
      <c r="CA144" s="529"/>
      <c r="CB144" s="529"/>
      <c r="CC144" s="529"/>
      <c r="CD144" s="529"/>
      <c r="CE144" s="529"/>
      <c r="CF144" s="391"/>
      <c r="CG144" s="2"/>
      <c r="CH144" s="2"/>
      <c r="CI144" s="2"/>
      <c r="CJ144" s="2"/>
      <c r="CK144" s="2"/>
      <c r="CL144" s="2"/>
      <c r="CM144" s="2"/>
      <c r="CN144" s="2"/>
      <c r="CO144" s="2"/>
      <c r="CP144" s="2"/>
      <c r="CQ144" s="2"/>
    </row>
    <row r="145" spans="1:95" ht="12" customHeight="1">
      <c r="A145" s="299"/>
      <c r="B145" s="529"/>
      <c r="C145" s="529"/>
      <c r="D145" s="529"/>
      <c r="E145" s="529"/>
      <c r="F145" s="529"/>
      <c r="G145" s="529"/>
      <c r="H145" s="529"/>
      <c r="I145" s="529"/>
      <c r="J145" s="529"/>
      <c r="K145" s="529"/>
      <c r="L145" s="529"/>
      <c r="M145" s="529"/>
      <c r="N145" s="529"/>
      <c r="O145" s="529"/>
      <c r="P145" s="529"/>
      <c r="Q145" s="529"/>
      <c r="R145" s="529"/>
      <c r="S145" s="529"/>
      <c r="T145" s="529"/>
      <c r="U145" s="529"/>
      <c r="V145" s="529"/>
      <c r="W145" s="529"/>
      <c r="X145" s="529"/>
      <c r="Y145" s="529"/>
      <c r="Z145" s="529"/>
      <c r="AA145" s="529"/>
      <c r="AB145" s="529"/>
      <c r="AC145" s="529"/>
      <c r="AD145" s="529"/>
      <c r="AE145" s="529"/>
      <c r="AF145" s="529"/>
      <c r="AG145" s="529"/>
      <c r="AH145" s="529"/>
      <c r="AI145" s="529"/>
      <c r="AJ145" s="529"/>
      <c r="AK145" s="529"/>
      <c r="AL145" s="529"/>
      <c r="AM145" s="529"/>
      <c r="AN145" s="529"/>
      <c r="AO145" s="529"/>
      <c r="AP145" s="529"/>
      <c r="AQ145" s="529"/>
      <c r="AR145" s="529"/>
      <c r="AS145" s="529"/>
      <c r="AT145" s="529"/>
      <c r="AU145" s="529"/>
      <c r="AV145" s="529"/>
      <c r="AW145" s="529"/>
      <c r="AX145" s="529"/>
      <c r="AY145" s="529"/>
      <c r="AZ145" s="529"/>
      <c r="BA145" s="529"/>
      <c r="BB145" s="529"/>
      <c r="BC145" s="529"/>
      <c r="BD145" s="529"/>
      <c r="BE145" s="529"/>
      <c r="BF145" s="529"/>
      <c r="BG145" s="529"/>
      <c r="BH145" s="529"/>
      <c r="BI145" s="529"/>
      <c r="BJ145" s="529"/>
      <c r="BK145" s="529"/>
      <c r="BL145" s="529"/>
      <c r="BM145" s="529"/>
      <c r="BN145" s="529"/>
      <c r="BO145" s="529"/>
      <c r="BP145" s="529"/>
      <c r="BQ145" s="529"/>
      <c r="BR145" s="529"/>
      <c r="BS145" s="529"/>
      <c r="BT145" s="529"/>
      <c r="BU145" s="529"/>
      <c r="BV145" s="529"/>
      <c r="BW145" s="529"/>
      <c r="BX145" s="529"/>
      <c r="BY145" s="529"/>
      <c r="BZ145" s="529"/>
      <c r="CA145" s="529"/>
      <c r="CB145" s="529"/>
      <c r="CC145" s="529"/>
      <c r="CD145" s="529"/>
      <c r="CE145" s="529"/>
      <c r="CF145" s="391"/>
      <c r="CG145" s="2"/>
      <c r="CH145" s="2"/>
      <c r="CI145" s="2"/>
      <c r="CJ145" s="2"/>
      <c r="CK145" s="2"/>
      <c r="CL145" s="2"/>
      <c r="CM145" s="2"/>
      <c r="CN145" s="2"/>
      <c r="CO145" s="2"/>
      <c r="CP145" s="2"/>
      <c r="CQ145" s="2"/>
    </row>
    <row r="146" spans="1:95" ht="12" customHeight="1">
      <c r="A146" s="299"/>
      <c r="B146" s="529"/>
      <c r="C146" s="529"/>
      <c r="D146" s="529"/>
      <c r="E146" s="529"/>
      <c r="F146" s="529" t="s">
        <v>292</v>
      </c>
      <c r="H146" s="529"/>
      <c r="J146" s="529"/>
      <c r="K146" s="529"/>
      <c r="L146" s="529"/>
      <c r="M146" s="529"/>
      <c r="N146" s="529"/>
      <c r="O146" s="529"/>
      <c r="P146" s="529"/>
      <c r="Q146" s="529"/>
      <c r="R146" s="529"/>
      <c r="S146" s="529"/>
      <c r="T146" s="529"/>
      <c r="U146" s="529"/>
      <c r="V146" s="529"/>
      <c r="W146" s="529"/>
      <c r="X146" s="529"/>
      <c r="Y146" s="529"/>
      <c r="Z146" s="529"/>
      <c r="AA146" s="529"/>
      <c r="AB146" s="529"/>
      <c r="AC146" s="529"/>
      <c r="AD146" s="529"/>
      <c r="AE146" s="529"/>
      <c r="AF146" s="529"/>
      <c r="AG146" s="529"/>
      <c r="AH146" s="529"/>
      <c r="AI146" s="529"/>
      <c r="AJ146" s="529"/>
      <c r="AK146" s="529"/>
      <c r="AL146" s="529"/>
      <c r="AM146" s="529"/>
      <c r="AN146" s="529"/>
      <c r="AO146" s="529"/>
      <c r="AP146" s="529"/>
      <c r="AQ146" s="529"/>
      <c r="AR146" s="529"/>
      <c r="AS146" s="529"/>
      <c r="AT146" s="529"/>
      <c r="AU146" s="529"/>
      <c r="AV146" s="529"/>
      <c r="AW146" s="529"/>
      <c r="AX146" s="529"/>
      <c r="AY146" s="529"/>
      <c r="AZ146" s="529"/>
      <c r="BA146" s="529"/>
      <c r="BB146" s="529"/>
      <c r="BC146" s="529"/>
      <c r="BD146" s="529"/>
      <c r="BE146" s="529"/>
      <c r="BF146" s="529"/>
      <c r="BG146" s="529"/>
      <c r="BH146" s="529"/>
      <c r="BI146" s="529"/>
      <c r="BJ146" s="529"/>
      <c r="BK146" s="529"/>
      <c r="BL146" s="529"/>
      <c r="BM146" s="529"/>
      <c r="BN146" s="529"/>
      <c r="BO146" s="529"/>
      <c r="BP146" s="529"/>
      <c r="BQ146" s="529"/>
      <c r="BR146" s="529"/>
      <c r="BS146" s="529"/>
      <c r="BT146" s="529"/>
      <c r="BU146" s="529"/>
      <c r="BV146" s="529"/>
      <c r="BW146" s="529"/>
      <c r="BX146" s="529"/>
      <c r="BY146" s="529"/>
      <c r="BZ146" s="529"/>
      <c r="CA146" s="529"/>
      <c r="CB146" s="529"/>
      <c r="CC146" s="529"/>
      <c r="CD146" s="529"/>
      <c r="CE146" s="529"/>
      <c r="CF146" s="391"/>
      <c r="CG146" s="2"/>
      <c r="CH146" s="2"/>
      <c r="CI146" s="2"/>
      <c r="CJ146" s="2"/>
      <c r="CK146" s="2"/>
      <c r="CL146" s="2"/>
      <c r="CM146" s="2"/>
      <c r="CN146" s="2"/>
      <c r="CO146" s="2"/>
      <c r="CP146" s="2"/>
      <c r="CQ146" s="2"/>
    </row>
    <row r="147" spans="1:95" ht="12" customHeight="1">
      <c r="A147" s="299"/>
      <c r="B147" s="529"/>
      <c r="C147" s="529"/>
      <c r="D147" s="529"/>
      <c r="E147" s="529"/>
      <c r="F147" s="529" t="s">
        <v>291</v>
      </c>
      <c r="H147" s="529"/>
      <c r="J147" s="529"/>
      <c r="K147" s="529"/>
      <c r="L147" s="529"/>
      <c r="M147" s="529"/>
      <c r="N147" s="529"/>
      <c r="O147" s="529"/>
      <c r="P147" s="529"/>
      <c r="Q147" s="529"/>
      <c r="R147" s="529"/>
      <c r="S147" s="529"/>
      <c r="T147" s="529"/>
      <c r="U147" s="529"/>
      <c r="V147" s="529"/>
      <c r="W147" s="529"/>
      <c r="X147" s="529"/>
      <c r="Y147" s="529"/>
      <c r="Z147" s="529"/>
      <c r="AA147" s="529"/>
      <c r="AB147" s="529"/>
      <c r="AC147" s="529"/>
      <c r="AD147" s="529"/>
      <c r="AE147" s="529"/>
      <c r="AF147" s="529"/>
      <c r="AG147" s="529"/>
      <c r="AH147" s="529"/>
      <c r="AI147" s="529"/>
      <c r="AJ147" s="529"/>
      <c r="AK147" s="529"/>
      <c r="AL147" s="529"/>
      <c r="AM147" s="529"/>
      <c r="AN147" s="529"/>
      <c r="AO147" s="529"/>
      <c r="AP147" s="529"/>
      <c r="AQ147" s="529"/>
      <c r="AR147" s="529"/>
      <c r="AS147" s="529"/>
      <c r="AT147" s="529"/>
      <c r="AU147" s="529"/>
      <c r="AV147" s="529"/>
      <c r="AW147" s="529"/>
      <c r="AX147" s="529"/>
      <c r="AY147" s="529"/>
      <c r="AZ147" s="529"/>
      <c r="BA147" s="529"/>
      <c r="BB147" s="529"/>
      <c r="BC147" s="529"/>
      <c r="BD147" s="529"/>
      <c r="BE147" s="529"/>
      <c r="BF147" s="529"/>
      <c r="BG147" s="529"/>
      <c r="BH147" s="529"/>
      <c r="BI147" s="529"/>
      <c r="BJ147" s="529"/>
      <c r="BK147" s="529"/>
      <c r="BL147" s="529"/>
      <c r="BM147" s="529"/>
      <c r="BN147" s="529"/>
      <c r="BO147" s="529"/>
      <c r="BP147" s="529"/>
      <c r="BQ147" s="529"/>
      <c r="BR147" s="529"/>
      <c r="BS147" s="529"/>
      <c r="BT147" s="529"/>
      <c r="BU147" s="529"/>
      <c r="BV147" s="529"/>
      <c r="BW147" s="529"/>
      <c r="BX147" s="529"/>
      <c r="BY147" s="529"/>
      <c r="BZ147" s="529"/>
      <c r="CA147" s="529"/>
      <c r="CB147" s="529"/>
      <c r="CC147" s="529"/>
      <c r="CD147" s="529"/>
      <c r="CE147" s="529"/>
      <c r="CF147" s="391"/>
      <c r="CG147" s="2"/>
      <c r="CH147" s="2"/>
      <c r="CI147" s="2"/>
      <c r="CJ147" s="2"/>
      <c r="CK147" s="2"/>
      <c r="CL147" s="2"/>
      <c r="CM147" s="2"/>
      <c r="CN147" s="2"/>
      <c r="CO147" s="2"/>
      <c r="CP147" s="2"/>
      <c r="CQ147" s="2"/>
    </row>
    <row r="148" spans="1:95" ht="12" customHeight="1">
      <c r="A148" s="299"/>
      <c r="B148" s="529"/>
      <c r="C148" s="529"/>
      <c r="D148" s="529"/>
      <c r="E148" s="529"/>
      <c r="F148" s="529" t="s">
        <v>290</v>
      </c>
      <c r="H148" s="529"/>
      <c r="J148" s="529"/>
      <c r="K148" s="529"/>
      <c r="L148" s="529"/>
      <c r="M148" s="529"/>
      <c r="N148" s="529"/>
      <c r="O148" s="529"/>
      <c r="P148" s="529"/>
      <c r="Q148" s="529"/>
      <c r="R148" s="529"/>
      <c r="S148" s="529"/>
      <c r="T148" s="529"/>
      <c r="U148" s="529"/>
      <c r="V148" s="529"/>
      <c r="W148" s="529"/>
      <c r="X148" s="529"/>
      <c r="Y148" s="529"/>
      <c r="Z148" s="529"/>
      <c r="AA148" s="529"/>
      <c r="AB148" s="529"/>
      <c r="AC148" s="529"/>
      <c r="AD148" s="529"/>
      <c r="AE148" s="529"/>
      <c r="AF148" s="529"/>
      <c r="AG148" s="529"/>
      <c r="AH148" s="529"/>
      <c r="AI148" s="529"/>
      <c r="AJ148" s="529"/>
      <c r="AK148" s="529"/>
      <c r="AL148" s="529"/>
      <c r="AM148" s="529"/>
      <c r="AN148" s="529"/>
      <c r="AO148" s="529"/>
      <c r="AP148" s="529"/>
      <c r="AQ148" s="529"/>
      <c r="AR148" s="529"/>
      <c r="AS148" s="529"/>
      <c r="AT148" s="529"/>
      <c r="AU148" s="529"/>
      <c r="AV148" s="529"/>
      <c r="AW148" s="529"/>
      <c r="AX148" s="529"/>
      <c r="AY148" s="529"/>
      <c r="AZ148" s="529"/>
      <c r="BA148" s="529"/>
      <c r="BB148" s="529"/>
      <c r="BC148" s="529"/>
      <c r="BD148" s="529"/>
      <c r="BE148" s="529"/>
      <c r="BF148" s="529"/>
      <c r="BG148" s="529"/>
      <c r="BH148" s="529"/>
      <c r="BI148" s="529"/>
      <c r="BJ148" s="529"/>
      <c r="BK148" s="529"/>
      <c r="BL148" s="529"/>
      <c r="BM148" s="529"/>
      <c r="BN148" s="529"/>
      <c r="BO148" s="529"/>
      <c r="BP148" s="529"/>
      <c r="BQ148" s="529"/>
      <c r="BR148" s="529"/>
      <c r="BS148" s="529"/>
      <c r="BT148" s="529"/>
      <c r="BU148" s="529"/>
      <c r="BV148" s="529"/>
      <c r="BW148" s="529"/>
      <c r="BX148" s="529"/>
      <c r="BY148" s="529"/>
      <c r="BZ148" s="529"/>
      <c r="CA148" s="529"/>
      <c r="CB148" s="529"/>
      <c r="CC148" s="529"/>
      <c r="CD148" s="529"/>
      <c r="CE148" s="529"/>
      <c r="CF148" s="391"/>
      <c r="CG148" s="2"/>
      <c r="CH148" s="2"/>
      <c r="CI148" s="2"/>
      <c r="CJ148" s="2"/>
      <c r="CK148" s="2"/>
      <c r="CL148" s="2"/>
      <c r="CM148" s="2"/>
      <c r="CN148" s="2"/>
      <c r="CO148" s="2"/>
      <c r="CP148" s="2"/>
      <c r="CQ148" s="2"/>
    </row>
    <row r="149" spans="1:95" ht="12" customHeight="1">
      <c r="A149" s="299"/>
      <c r="B149" s="529"/>
      <c r="C149" s="529"/>
      <c r="D149" s="529"/>
      <c r="E149" s="529"/>
      <c r="F149" s="529" t="s">
        <v>289</v>
      </c>
      <c r="H149" s="529"/>
      <c r="J149" s="529"/>
      <c r="K149" s="529"/>
      <c r="L149" s="529"/>
      <c r="M149" s="529"/>
      <c r="N149" s="529"/>
      <c r="O149" s="529"/>
      <c r="P149" s="529"/>
      <c r="Q149" s="529"/>
      <c r="R149" s="529"/>
      <c r="S149" s="529"/>
      <c r="T149" s="529"/>
      <c r="U149" s="529"/>
      <c r="V149" s="529"/>
      <c r="W149" s="529"/>
      <c r="X149" s="529"/>
      <c r="Y149" s="529"/>
      <c r="Z149" s="529"/>
      <c r="AA149" s="529"/>
      <c r="AB149" s="529"/>
      <c r="AC149" s="529"/>
      <c r="AD149" s="529"/>
      <c r="AE149" s="529"/>
      <c r="AF149" s="529"/>
      <c r="AG149" s="529"/>
      <c r="AH149" s="529"/>
      <c r="AI149" s="529"/>
      <c r="AJ149" s="529"/>
      <c r="AK149" s="529"/>
      <c r="AL149" s="529"/>
      <c r="AM149" s="529"/>
      <c r="AN149" s="529"/>
      <c r="AO149" s="529"/>
      <c r="AP149" s="529"/>
      <c r="AQ149" s="529"/>
      <c r="AR149" s="529"/>
      <c r="AS149" s="529"/>
      <c r="AT149" s="529"/>
      <c r="AU149" s="529"/>
      <c r="AV149" s="529"/>
      <c r="AW149" s="529"/>
      <c r="AX149" s="529"/>
      <c r="AY149" s="529"/>
      <c r="AZ149" s="529"/>
      <c r="BA149" s="529"/>
      <c r="BB149" s="529"/>
      <c r="BC149" s="529"/>
      <c r="BD149" s="529"/>
      <c r="BE149" s="529"/>
      <c r="BF149" s="529"/>
      <c r="BG149" s="529"/>
      <c r="BH149" s="529"/>
      <c r="BI149" s="529"/>
      <c r="BJ149" s="529"/>
      <c r="BK149" s="529"/>
      <c r="BL149" s="529"/>
      <c r="BM149" s="529"/>
      <c r="BN149" s="529"/>
      <c r="BO149" s="529"/>
      <c r="BP149" s="529"/>
      <c r="BQ149" s="529"/>
      <c r="BR149" s="529"/>
      <c r="BS149" s="529"/>
      <c r="BT149" s="529"/>
      <c r="BU149" s="529"/>
      <c r="BV149" s="529"/>
      <c r="BW149" s="529"/>
      <c r="BX149" s="529"/>
      <c r="BY149" s="529"/>
      <c r="BZ149" s="529"/>
      <c r="CA149" s="529"/>
      <c r="CB149" s="529"/>
      <c r="CC149" s="529"/>
      <c r="CD149" s="529"/>
      <c r="CE149" s="529"/>
      <c r="CF149" s="391"/>
      <c r="CG149" s="2"/>
      <c r="CH149" s="2"/>
      <c r="CI149" s="2"/>
      <c r="CJ149" s="2"/>
      <c r="CK149" s="2"/>
      <c r="CL149" s="2"/>
      <c r="CM149" s="2"/>
      <c r="CN149" s="2"/>
      <c r="CO149" s="2"/>
      <c r="CP149" s="2"/>
      <c r="CQ149" s="2"/>
    </row>
    <row r="150" spans="1:95" ht="12" customHeight="1">
      <c r="A150" s="299"/>
      <c r="B150" s="529"/>
      <c r="C150" s="529"/>
      <c r="D150" s="529"/>
      <c r="E150" s="529"/>
      <c r="F150" s="529"/>
      <c r="H150" s="529"/>
      <c r="J150" s="529"/>
      <c r="K150" s="529"/>
      <c r="L150" s="529"/>
      <c r="M150" s="529"/>
      <c r="N150" s="529"/>
      <c r="O150" s="529"/>
      <c r="P150" s="529"/>
      <c r="Q150" s="529"/>
      <c r="R150" s="529"/>
      <c r="S150" s="529"/>
      <c r="T150" s="529"/>
      <c r="U150" s="529"/>
      <c r="V150" s="529"/>
      <c r="W150" s="529"/>
      <c r="X150" s="529"/>
      <c r="Y150" s="529"/>
      <c r="Z150" s="529"/>
      <c r="AA150" s="529"/>
      <c r="AB150" s="529"/>
      <c r="AC150" s="529"/>
      <c r="AD150" s="529"/>
      <c r="AE150" s="529"/>
      <c r="AF150" s="529"/>
      <c r="AG150" s="529"/>
      <c r="AH150" s="529"/>
      <c r="AI150" s="529"/>
      <c r="AJ150" s="529"/>
      <c r="AK150" s="529"/>
      <c r="AL150" s="529"/>
      <c r="AM150" s="529"/>
      <c r="AN150" s="529"/>
      <c r="AO150" s="529"/>
      <c r="AP150" s="529"/>
      <c r="AQ150" s="529"/>
      <c r="AR150" s="529"/>
      <c r="AS150" s="529"/>
      <c r="AT150" s="529"/>
      <c r="AU150" s="529"/>
      <c r="AV150" s="529"/>
      <c r="AW150" s="529"/>
      <c r="AX150" s="529"/>
      <c r="AY150" s="529"/>
      <c r="AZ150" s="529"/>
      <c r="BA150" s="529"/>
      <c r="BB150" s="529"/>
      <c r="BC150" s="529"/>
      <c r="BD150" s="529"/>
      <c r="BE150" s="529"/>
      <c r="BF150" s="529"/>
      <c r="BG150" s="529"/>
      <c r="BH150" s="529"/>
      <c r="BI150" s="529"/>
      <c r="BJ150" s="529"/>
      <c r="BK150" s="529"/>
      <c r="BL150" s="529"/>
      <c r="BM150" s="529"/>
      <c r="BN150" s="529"/>
      <c r="BO150" s="529"/>
      <c r="BP150" s="529"/>
      <c r="BQ150" s="529"/>
      <c r="BR150" s="529"/>
      <c r="BS150" s="529"/>
      <c r="BT150" s="529"/>
      <c r="BU150" s="529"/>
      <c r="BV150" s="529"/>
      <c r="BW150" s="529"/>
      <c r="BX150" s="529"/>
      <c r="BY150" s="529"/>
      <c r="BZ150" s="529"/>
      <c r="CA150" s="529"/>
      <c r="CB150" s="529"/>
      <c r="CC150" s="529"/>
      <c r="CD150" s="529"/>
      <c r="CE150" s="529"/>
      <c r="CF150" s="391"/>
      <c r="CG150" s="2"/>
      <c r="CH150" s="2"/>
      <c r="CI150" s="2"/>
      <c r="CJ150" s="2"/>
      <c r="CK150" s="2"/>
      <c r="CL150" s="2"/>
      <c r="CM150" s="2"/>
      <c r="CN150" s="2"/>
      <c r="CO150" s="2"/>
      <c r="CP150" s="2"/>
      <c r="CQ150" s="2"/>
    </row>
    <row r="151" spans="1:95" ht="12" customHeight="1">
      <c r="A151" s="299"/>
      <c r="B151" s="529"/>
      <c r="C151" s="529"/>
      <c r="D151" s="529"/>
      <c r="E151" s="529"/>
      <c r="F151" s="529"/>
      <c r="H151" s="529"/>
      <c r="J151" s="529"/>
      <c r="K151" s="529"/>
      <c r="L151" s="529"/>
      <c r="M151" s="529"/>
      <c r="N151" s="529"/>
      <c r="O151" s="529"/>
      <c r="P151" s="529"/>
      <c r="Q151" s="529"/>
      <c r="R151" s="529"/>
      <c r="S151" s="529"/>
      <c r="T151" s="529"/>
      <c r="U151" s="529"/>
      <c r="V151" s="529"/>
      <c r="W151" s="529"/>
      <c r="X151" s="529"/>
      <c r="Y151" s="529"/>
      <c r="Z151" s="529"/>
      <c r="AA151" s="529"/>
      <c r="AB151" s="529"/>
      <c r="AC151" s="529"/>
      <c r="AD151" s="529"/>
      <c r="AE151" s="529"/>
      <c r="AF151" s="529"/>
      <c r="AG151" s="529"/>
      <c r="AH151" s="529"/>
      <c r="AI151" s="529"/>
      <c r="AJ151" s="529"/>
      <c r="AK151" s="529"/>
      <c r="AL151" s="529"/>
      <c r="AM151" s="529"/>
      <c r="AN151" s="529"/>
      <c r="AO151" s="529"/>
      <c r="AP151" s="529"/>
      <c r="AQ151" s="529"/>
      <c r="AR151" s="529"/>
      <c r="AS151" s="529"/>
      <c r="AT151" s="529"/>
      <c r="AU151" s="529"/>
      <c r="AV151" s="529"/>
      <c r="AW151" s="529"/>
      <c r="AX151" s="529"/>
      <c r="AY151" s="529"/>
      <c r="AZ151" s="529"/>
      <c r="BA151" s="529"/>
      <c r="BB151" s="529"/>
      <c r="BC151" s="529"/>
      <c r="BD151" s="529"/>
      <c r="BE151" s="529"/>
      <c r="BF151" s="529"/>
      <c r="BG151" s="529"/>
      <c r="BH151" s="529"/>
      <c r="BI151" s="529"/>
      <c r="BJ151" s="529"/>
      <c r="BK151" s="529"/>
      <c r="BL151" s="529"/>
      <c r="BM151" s="529"/>
      <c r="BN151" s="529"/>
      <c r="BO151" s="529"/>
      <c r="BP151" s="529"/>
      <c r="BQ151" s="529"/>
      <c r="BR151" s="529"/>
      <c r="BS151" s="529"/>
      <c r="BT151" s="529"/>
      <c r="BU151" s="529"/>
      <c r="BV151" s="529"/>
      <c r="BW151" s="529"/>
      <c r="BX151" s="529"/>
      <c r="BY151" s="529"/>
      <c r="BZ151" s="529"/>
      <c r="CA151" s="529"/>
      <c r="CB151" s="529"/>
      <c r="CC151" s="529"/>
      <c r="CD151" s="529"/>
      <c r="CE151" s="529"/>
      <c r="CF151" s="391"/>
      <c r="CG151" s="2"/>
      <c r="CH151" s="2"/>
      <c r="CI151" s="2"/>
      <c r="CJ151" s="2"/>
      <c r="CK151" s="2"/>
      <c r="CL151" s="2"/>
      <c r="CM151" s="2"/>
      <c r="CN151" s="2"/>
      <c r="CO151" s="2"/>
      <c r="CP151" s="2"/>
      <c r="CQ151" s="2"/>
    </row>
    <row r="152" spans="1:95" ht="12" customHeight="1">
      <c r="A152" s="299"/>
      <c r="B152" s="529"/>
      <c r="C152" s="529"/>
      <c r="D152" s="529"/>
      <c r="E152" s="529"/>
      <c r="F152" s="529"/>
      <c r="G152" s="529"/>
      <c r="H152" s="529"/>
      <c r="I152" s="529"/>
      <c r="J152" s="529"/>
      <c r="K152" s="529"/>
      <c r="L152" s="529"/>
      <c r="M152" s="529"/>
      <c r="N152" s="529"/>
      <c r="O152" s="529"/>
      <c r="P152" s="529"/>
      <c r="Q152" s="529"/>
      <c r="R152" s="529"/>
      <c r="S152" s="529"/>
      <c r="T152" s="529"/>
      <c r="U152" s="529"/>
      <c r="V152" s="529"/>
      <c r="W152" s="529"/>
      <c r="X152" s="529"/>
      <c r="Y152" s="529"/>
      <c r="Z152" s="529"/>
      <c r="AA152" s="529"/>
      <c r="AB152" s="529"/>
      <c r="AC152" s="529"/>
      <c r="AD152" s="529"/>
      <c r="AE152" s="529"/>
      <c r="AF152" s="529"/>
      <c r="AG152" s="529"/>
      <c r="AH152" s="529"/>
      <c r="AI152" s="529"/>
      <c r="AJ152" s="529"/>
      <c r="AK152" s="529"/>
      <c r="AL152" s="529"/>
      <c r="AM152" s="529"/>
      <c r="AN152" s="529"/>
      <c r="AO152" s="529"/>
      <c r="AP152" s="529"/>
      <c r="AQ152" s="529"/>
      <c r="AR152" s="529"/>
      <c r="AS152" s="529"/>
      <c r="AT152" s="529"/>
      <c r="AU152" s="529"/>
      <c r="AV152" s="529"/>
      <c r="AW152" s="529"/>
      <c r="AX152" s="529"/>
      <c r="AY152" s="529"/>
      <c r="AZ152" s="529"/>
      <c r="BA152" s="529"/>
      <c r="BB152" s="529"/>
      <c r="BC152" s="529"/>
      <c r="BD152" s="529"/>
      <c r="BE152" s="529"/>
      <c r="BF152" s="529"/>
      <c r="BG152" s="529"/>
      <c r="BH152" s="529"/>
      <c r="BI152" s="529"/>
      <c r="BJ152" s="529"/>
      <c r="BK152" s="529"/>
      <c r="BL152" s="529"/>
      <c r="BM152" s="529"/>
      <c r="BN152" s="529"/>
      <c r="BO152" s="529"/>
      <c r="BP152" s="529"/>
      <c r="BQ152" s="529"/>
      <c r="BR152" s="529"/>
      <c r="BS152" s="529"/>
      <c r="BT152" s="529"/>
      <c r="BU152" s="529"/>
      <c r="BV152" s="529"/>
      <c r="BW152" s="529"/>
      <c r="BX152" s="529"/>
      <c r="BY152" s="529"/>
      <c r="BZ152" s="529"/>
      <c r="CA152" s="529"/>
      <c r="CB152" s="529"/>
      <c r="CC152" s="529"/>
      <c r="CD152" s="529"/>
      <c r="CE152" s="529"/>
      <c r="CF152" s="391"/>
      <c r="CG152" s="2"/>
      <c r="CH152" s="2"/>
      <c r="CI152" s="2"/>
      <c r="CJ152" s="2"/>
      <c r="CK152" s="2"/>
      <c r="CL152" s="2"/>
      <c r="CM152" s="2"/>
      <c r="CN152" s="2"/>
      <c r="CO152" s="2"/>
      <c r="CP152" s="2"/>
      <c r="CQ152" s="2"/>
    </row>
    <row r="153" spans="1:95" ht="12" customHeight="1">
      <c r="A153" s="299"/>
      <c r="B153" s="529"/>
      <c r="C153" s="529"/>
      <c r="D153" s="529" t="s">
        <v>1155</v>
      </c>
      <c r="E153" s="529"/>
      <c r="F153" s="529"/>
      <c r="G153" s="529"/>
      <c r="H153" s="529"/>
      <c r="I153" s="529"/>
      <c r="J153" s="529"/>
      <c r="K153" s="529"/>
      <c r="L153" s="529"/>
      <c r="M153" s="529"/>
      <c r="N153" s="529"/>
      <c r="O153" s="529"/>
      <c r="P153" s="529"/>
      <c r="Q153" s="529"/>
      <c r="R153" s="529"/>
      <c r="S153" s="529"/>
      <c r="T153" s="529"/>
      <c r="U153" s="529"/>
      <c r="V153" s="529"/>
      <c r="W153" s="529"/>
      <c r="X153" s="529"/>
      <c r="Y153" s="529"/>
      <c r="Z153" s="529"/>
      <c r="AA153" s="529"/>
      <c r="AB153" s="529"/>
      <c r="AC153" s="529"/>
      <c r="AD153" s="529"/>
      <c r="AE153" s="529"/>
      <c r="AF153" s="529"/>
      <c r="AG153" s="529"/>
      <c r="AH153" s="529"/>
      <c r="AI153" s="529"/>
      <c r="AJ153" s="529"/>
      <c r="AK153" s="529"/>
      <c r="AL153" s="529"/>
      <c r="AM153" s="529"/>
      <c r="AN153" s="529"/>
      <c r="AO153" s="529"/>
      <c r="AP153" s="529"/>
      <c r="AQ153" s="529"/>
      <c r="AR153" s="529"/>
      <c r="AS153" s="529"/>
      <c r="AT153" s="529"/>
      <c r="AU153" s="529"/>
      <c r="AV153" s="529"/>
      <c r="AW153" s="529"/>
      <c r="AX153" s="529"/>
      <c r="AY153" s="529"/>
      <c r="AZ153" s="529"/>
      <c r="BA153" s="529"/>
      <c r="BB153" s="529"/>
      <c r="BC153" s="529"/>
      <c r="BD153" s="529"/>
      <c r="BE153" s="529"/>
      <c r="BF153" s="529"/>
      <c r="BG153" s="529"/>
      <c r="BH153" s="529"/>
      <c r="BI153" s="529"/>
      <c r="BJ153" s="529"/>
      <c r="BK153" s="529"/>
      <c r="BL153" s="529"/>
      <c r="BM153" s="529"/>
      <c r="BN153" s="529"/>
      <c r="BO153" s="529"/>
      <c r="BP153" s="529"/>
      <c r="BQ153" s="529"/>
      <c r="BR153" s="529"/>
      <c r="BS153" s="529"/>
      <c r="BT153" s="529"/>
      <c r="BU153" s="529"/>
      <c r="BV153" s="529"/>
      <c r="BW153" s="529"/>
      <c r="BX153" s="529"/>
      <c r="BY153" s="529"/>
      <c r="BZ153" s="529"/>
      <c r="CA153" s="529"/>
      <c r="CB153" s="529"/>
      <c r="CC153" s="529"/>
      <c r="CD153" s="529"/>
      <c r="CE153" s="529"/>
      <c r="CF153" s="391"/>
    </row>
    <row r="154" spans="1:95" ht="12" customHeight="1">
      <c r="A154" s="299"/>
      <c r="B154" s="529"/>
      <c r="C154" s="529"/>
      <c r="D154" s="529"/>
      <c r="F154" s="529"/>
      <c r="G154" s="529"/>
      <c r="H154" s="529"/>
      <c r="I154" s="529"/>
      <c r="J154" s="529"/>
      <c r="K154" s="529"/>
      <c r="L154" s="529"/>
      <c r="M154" s="529"/>
      <c r="N154" s="529"/>
      <c r="O154" s="529"/>
      <c r="P154" s="529"/>
      <c r="Q154" s="529"/>
      <c r="R154" s="529"/>
      <c r="S154" s="529"/>
      <c r="T154" s="529"/>
      <c r="U154" s="529"/>
      <c r="V154" s="529"/>
      <c r="W154" s="529"/>
      <c r="X154" s="529"/>
      <c r="Y154" s="529"/>
      <c r="Z154" s="529"/>
      <c r="AA154" s="529"/>
      <c r="AB154" s="529"/>
      <c r="AC154" s="529"/>
      <c r="AD154" s="529"/>
      <c r="AE154" s="529"/>
      <c r="AF154" s="529"/>
      <c r="AG154" s="529"/>
      <c r="AH154" s="529"/>
      <c r="AI154" s="529"/>
      <c r="AJ154" s="529"/>
      <c r="AK154" s="529"/>
      <c r="AL154" s="529"/>
      <c r="AM154" s="529"/>
      <c r="AN154" s="529"/>
      <c r="AO154" s="529"/>
      <c r="AP154" s="529"/>
      <c r="AQ154" s="529"/>
      <c r="AR154" s="529"/>
      <c r="AS154" s="529"/>
      <c r="AT154" s="529"/>
      <c r="AU154" s="529"/>
      <c r="AV154" s="529"/>
      <c r="AW154" s="529"/>
      <c r="AX154" s="529"/>
      <c r="AY154" s="529"/>
      <c r="AZ154" s="529"/>
      <c r="BA154" s="529"/>
      <c r="BB154" s="529"/>
      <c r="BC154" s="529"/>
      <c r="BD154" s="529"/>
      <c r="BE154" s="529"/>
      <c r="BF154" s="529"/>
      <c r="BG154" s="529"/>
      <c r="BH154" s="529"/>
      <c r="BI154" s="529"/>
      <c r="BJ154" s="529"/>
      <c r="BK154" s="529"/>
      <c r="BL154" s="529"/>
      <c r="BM154" s="529"/>
      <c r="BN154" s="529"/>
      <c r="BO154" s="529"/>
      <c r="BP154" s="529"/>
      <c r="BQ154" s="529"/>
      <c r="BR154" s="529"/>
      <c r="BS154" s="529"/>
      <c r="BT154" s="529"/>
      <c r="BU154" s="529"/>
      <c r="BV154" s="529"/>
      <c r="BW154" s="529"/>
      <c r="BX154" s="529"/>
      <c r="BY154" s="529"/>
      <c r="BZ154" s="529"/>
      <c r="CA154" s="529"/>
      <c r="CB154" s="529"/>
      <c r="CC154" s="529"/>
      <c r="CD154" s="529"/>
      <c r="CE154" s="529"/>
      <c r="CF154" s="391"/>
    </row>
    <row r="155" spans="1:95" ht="12" customHeight="1">
      <c r="A155" s="300"/>
      <c r="B155" s="138"/>
      <c r="C155" s="138"/>
      <c r="D155" s="529"/>
      <c r="E155" s="529" t="s">
        <v>476</v>
      </c>
      <c r="F155" s="529"/>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c r="CA155" s="138"/>
      <c r="CB155" s="138"/>
      <c r="CC155" s="138"/>
      <c r="CD155" s="138"/>
      <c r="CE155" s="138"/>
    </row>
    <row r="156" spans="1:95" ht="12" customHeight="1">
      <c r="A156" s="300"/>
      <c r="B156" s="138"/>
      <c r="C156" s="138"/>
      <c r="D156" s="529"/>
      <c r="E156" s="529"/>
      <c r="F156" s="529"/>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row>
    <row r="157" spans="1:95" ht="12" customHeight="1">
      <c r="A157" s="300"/>
      <c r="B157" s="138"/>
      <c r="C157" s="138"/>
      <c r="D157" s="529"/>
      <c r="E157" s="529"/>
      <c r="F157" s="529" t="s">
        <v>288</v>
      </c>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row>
    <row r="158" spans="1:95" ht="12" customHeight="1">
      <c r="A158" s="300"/>
      <c r="B158" s="138"/>
      <c r="C158" s="138"/>
      <c r="D158" s="529"/>
      <c r="E158" s="529"/>
      <c r="F158" s="529"/>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row>
    <row r="159" spans="1:95" ht="12" customHeight="1">
      <c r="A159" s="300"/>
      <c r="B159" s="138"/>
      <c r="C159" s="138"/>
      <c r="D159" s="529"/>
      <c r="E159" s="529"/>
      <c r="F159" s="529"/>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c r="CA159" s="138"/>
      <c r="CB159" s="138"/>
      <c r="CC159" s="138"/>
      <c r="CD159" s="138"/>
      <c r="CE159" s="138"/>
    </row>
    <row r="160" spans="1:95" ht="12" customHeight="1">
      <c r="A160" s="300"/>
      <c r="B160" s="138"/>
      <c r="C160" s="138"/>
      <c r="D160" s="529"/>
      <c r="E160" s="529"/>
      <c r="F160" s="529"/>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row>
    <row r="161" spans="1:83" ht="12" customHeight="1">
      <c r="A161" s="300"/>
      <c r="B161" s="138"/>
      <c r="C161" s="138"/>
      <c r="D161" s="529"/>
      <c r="E161" s="529"/>
      <c r="F161" s="529"/>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row>
    <row r="162" spans="1:83" ht="12" customHeight="1">
      <c r="A162" s="300"/>
      <c r="B162" s="138"/>
      <c r="C162" s="138"/>
      <c r="D162" s="529"/>
      <c r="E162" s="529"/>
      <c r="F162" s="529"/>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c r="CA162" s="138"/>
      <c r="CB162" s="138"/>
      <c r="CC162" s="138"/>
      <c r="CD162" s="138"/>
      <c r="CE162" s="138"/>
    </row>
    <row r="163" spans="1:83" ht="12" customHeight="1">
      <c r="A163" s="300"/>
      <c r="B163" s="138"/>
      <c r="C163" s="138"/>
      <c r="D163" s="529"/>
      <c r="E163" s="529"/>
      <c r="F163" s="529"/>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row>
    <row r="164" spans="1:83" ht="12" customHeight="1">
      <c r="A164" s="300"/>
      <c r="B164" s="138"/>
      <c r="C164" s="138"/>
      <c r="D164" s="529"/>
      <c r="E164" s="529"/>
      <c r="F164" s="529"/>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row>
    <row r="165" spans="1:83" ht="12" customHeight="1">
      <c r="A165" s="300"/>
      <c r="B165" s="138"/>
      <c r="C165" s="138"/>
      <c r="D165" s="138"/>
      <c r="E165" s="138"/>
      <c r="F165" s="529"/>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row>
    <row r="166" spans="1:83" ht="12" customHeight="1">
      <c r="A166" s="300"/>
      <c r="B166" s="138"/>
      <c r="C166" s="138"/>
      <c r="D166" s="529"/>
      <c r="E166" s="529"/>
      <c r="F166" s="529"/>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row>
    <row r="167" spans="1:83" ht="12" customHeight="1">
      <c r="A167" s="300"/>
      <c r="B167" s="138"/>
      <c r="C167" s="138"/>
      <c r="D167" s="529"/>
      <c r="E167" s="529"/>
      <c r="F167" s="529"/>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row>
    <row r="168" spans="1:83" ht="12" customHeight="1">
      <c r="A168" s="300"/>
      <c r="B168" s="138"/>
      <c r="C168" s="138"/>
      <c r="D168" s="529"/>
      <c r="E168" s="529"/>
      <c r="F168" s="529"/>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row>
    <row r="169" spans="1:83" ht="12" customHeight="1">
      <c r="A169" s="300"/>
      <c r="B169" s="138"/>
      <c r="C169" s="138"/>
      <c r="D169" s="529"/>
      <c r="E169" s="529"/>
      <c r="F169" s="529"/>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row>
    <row r="170" spans="1:83" ht="12" customHeight="1">
      <c r="A170" s="300"/>
      <c r="B170" s="138"/>
      <c r="C170" s="138"/>
      <c r="D170" s="529"/>
      <c r="E170" s="529"/>
      <c r="F170" s="529"/>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row>
    <row r="171" spans="1:83" ht="12" customHeight="1">
      <c r="A171" s="300"/>
      <c r="B171" s="138"/>
      <c r="C171" s="138"/>
      <c r="D171" s="529"/>
      <c r="E171" s="529"/>
      <c r="F171" s="529"/>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row>
    <row r="172" spans="1:83" ht="12" customHeight="1">
      <c r="A172" s="300"/>
      <c r="B172" s="138"/>
      <c r="C172" s="138"/>
      <c r="D172" s="529"/>
      <c r="E172" s="529"/>
      <c r="F172" s="529"/>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row>
    <row r="173" spans="1:83" ht="12" customHeight="1">
      <c r="A173" s="300"/>
      <c r="B173" s="138"/>
      <c r="C173" s="138"/>
      <c r="D173" s="529"/>
      <c r="E173" s="529"/>
      <c r="F173" s="529"/>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row>
    <row r="174" spans="1:83" ht="12" customHeight="1">
      <c r="A174" s="300"/>
      <c r="B174" s="138"/>
      <c r="C174" s="138"/>
      <c r="D174" s="529"/>
      <c r="E174" s="529"/>
      <c r="F174" s="529"/>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row>
    <row r="175" spans="1:83" ht="12" customHeight="1">
      <c r="A175" s="300"/>
      <c r="B175" s="138"/>
      <c r="C175" s="138"/>
      <c r="D175" s="529"/>
      <c r="E175" s="529"/>
      <c r="F175" s="529"/>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row>
    <row r="176" spans="1:83" ht="12" customHeight="1">
      <c r="A176" s="300"/>
      <c r="B176" s="138"/>
      <c r="C176" s="138"/>
      <c r="D176" s="529"/>
      <c r="E176" s="529"/>
      <c r="F176" s="529"/>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row>
    <row r="177" spans="1:83" ht="12" customHeight="1">
      <c r="A177" s="300"/>
      <c r="B177" s="138"/>
      <c r="C177" s="138"/>
      <c r="D177" s="529"/>
      <c r="E177" s="529"/>
      <c r="F177" s="529"/>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row>
    <row r="178" spans="1:83" ht="12" customHeight="1">
      <c r="A178" s="300"/>
      <c r="B178" s="138"/>
      <c r="C178" s="138"/>
      <c r="D178" s="529"/>
      <c r="E178" s="529"/>
      <c r="F178" s="529"/>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row>
    <row r="179" spans="1:83" ht="12" customHeight="1">
      <c r="A179" s="300"/>
      <c r="B179" s="138"/>
      <c r="C179" s="138"/>
      <c r="D179" s="529"/>
      <c r="E179" s="529"/>
      <c r="F179" s="529"/>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row>
    <row r="180" spans="1:83" ht="12" customHeight="1">
      <c r="A180" s="300"/>
      <c r="B180" s="138"/>
      <c r="C180" s="138"/>
      <c r="D180" s="529"/>
      <c r="E180" s="529"/>
      <c r="F180" s="529"/>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row>
    <row r="181" spans="1:83" ht="12" customHeight="1">
      <c r="A181" s="300"/>
      <c r="B181" s="138"/>
      <c r="C181" s="138"/>
      <c r="D181" s="529"/>
      <c r="E181" s="529"/>
      <c r="F181" s="529"/>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row>
    <row r="182" spans="1:83" ht="12" customHeight="1">
      <c r="A182" s="300"/>
      <c r="B182" s="138"/>
      <c r="C182" s="138"/>
      <c r="D182" s="529"/>
      <c r="F182" s="529"/>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row>
    <row r="183" spans="1:83" ht="12" customHeight="1">
      <c r="A183" s="300"/>
      <c r="B183" s="138"/>
      <c r="C183" s="138"/>
      <c r="D183" s="529"/>
      <c r="F183" s="529" t="s">
        <v>281</v>
      </c>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row>
    <row r="184" spans="1:83" ht="12" customHeight="1">
      <c r="A184" s="300"/>
      <c r="B184" s="138"/>
      <c r="C184" s="138"/>
      <c r="D184" s="529"/>
      <c r="H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row>
    <row r="185" spans="1:83" ht="12" customHeight="1">
      <c r="A185" s="300"/>
      <c r="B185" s="138"/>
      <c r="C185" s="138"/>
      <c r="D185" s="529"/>
      <c r="F185" s="529" t="s">
        <v>287</v>
      </c>
      <c r="H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row>
    <row r="186" spans="1:83" ht="12" customHeight="1">
      <c r="A186" s="300"/>
      <c r="B186" s="138"/>
      <c r="C186" s="138"/>
      <c r="D186" s="529"/>
      <c r="F186" s="529" t="s">
        <v>286</v>
      </c>
      <c r="G186" s="529"/>
      <c r="H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row>
    <row r="187" spans="1:83" ht="12" customHeight="1">
      <c r="A187" s="300"/>
      <c r="B187" s="138"/>
      <c r="C187" s="138"/>
      <c r="D187" s="529"/>
      <c r="F187" s="529" t="s">
        <v>285</v>
      </c>
      <c r="G187" s="529"/>
      <c r="H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row>
    <row r="188" spans="1:83" ht="12" customHeight="1">
      <c r="A188" s="300"/>
      <c r="B188" s="138"/>
      <c r="C188" s="138"/>
      <c r="D188" s="529"/>
      <c r="F188" s="529" t="s">
        <v>428</v>
      </c>
      <c r="G188" s="529"/>
      <c r="H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row>
    <row r="189" spans="1:83" ht="12" customHeight="1">
      <c r="A189" s="300"/>
      <c r="B189" s="138"/>
      <c r="C189" s="138"/>
      <c r="D189" s="529"/>
      <c r="F189" s="529" t="s">
        <v>284</v>
      </c>
      <c r="G189" s="529"/>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row>
    <row r="190" spans="1:83" ht="12" customHeight="1">
      <c r="A190" s="300"/>
      <c r="B190" s="138"/>
      <c r="C190" s="138"/>
      <c r="D190" s="529"/>
      <c r="F190" s="529"/>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row>
    <row r="191" spans="1:83" ht="12" customHeight="1">
      <c r="A191" s="300"/>
      <c r="B191" s="138"/>
      <c r="C191" s="138"/>
      <c r="D191" s="529"/>
      <c r="E191" s="529" t="s">
        <v>1080</v>
      </c>
      <c r="F191" s="529"/>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row>
    <row r="192" spans="1:83" ht="12" customHeight="1">
      <c r="A192" s="300"/>
      <c r="B192" s="138"/>
      <c r="C192" s="138"/>
      <c r="D192" s="529"/>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c r="CA192" s="138"/>
      <c r="CB192" s="138"/>
      <c r="CC192" s="138"/>
      <c r="CD192" s="138"/>
      <c r="CE192" s="138"/>
    </row>
    <row r="193" spans="1:100" ht="12" customHeight="1">
      <c r="A193" s="300"/>
      <c r="B193" s="138"/>
      <c r="C193" s="138"/>
      <c r="D193" s="529"/>
      <c r="F193" s="5" t="s">
        <v>283</v>
      </c>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38"/>
      <c r="CB193" s="138"/>
      <c r="CC193" s="138"/>
      <c r="CD193" s="138"/>
      <c r="CE193" s="138"/>
    </row>
    <row r="194" spans="1:100" ht="12" customHeight="1">
      <c r="A194" s="300"/>
      <c r="B194" s="138"/>
      <c r="C194" s="138"/>
      <c r="D194" s="529"/>
      <c r="F194" s="5" t="s">
        <v>282</v>
      </c>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38"/>
      <c r="CB194" s="138"/>
      <c r="CC194" s="138"/>
      <c r="CD194" s="138"/>
      <c r="CE194" s="138"/>
    </row>
    <row r="195" spans="1:100" ht="12" customHeight="1">
      <c r="A195" s="300"/>
      <c r="B195" s="138"/>
      <c r="C195" s="138"/>
      <c r="D195" s="529"/>
      <c r="E195" s="529"/>
      <c r="F195" s="529"/>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38"/>
      <c r="CB195" s="138"/>
      <c r="CC195" s="138"/>
      <c r="CD195" s="138"/>
      <c r="CE195" s="138"/>
    </row>
    <row r="196" spans="1:100" ht="12" customHeight="1">
      <c r="A196" s="300"/>
      <c r="B196" s="138"/>
      <c r="C196" s="138"/>
      <c r="D196" s="529"/>
      <c r="E196" s="529"/>
      <c r="F196" s="529"/>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row>
    <row r="197" spans="1:100" ht="12" customHeight="1">
      <c r="A197" s="299"/>
      <c r="B197" s="529"/>
      <c r="C197" s="529"/>
      <c r="D197" s="529"/>
      <c r="E197" s="529"/>
      <c r="F197" s="529"/>
      <c r="G197" s="529"/>
      <c r="H197" s="529"/>
      <c r="I197" s="529"/>
      <c r="J197" s="529"/>
      <c r="K197" s="529"/>
      <c r="L197" s="529"/>
      <c r="M197" s="529"/>
      <c r="N197" s="529"/>
      <c r="O197" s="529"/>
      <c r="P197" s="529"/>
      <c r="Q197" s="529"/>
      <c r="R197" s="529"/>
      <c r="S197" s="529"/>
      <c r="T197" s="529"/>
      <c r="U197" s="529"/>
      <c r="V197" s="529"/>
      <c r="W197" s="529"/>
      <c r="X197" s="529"/>
      <c r="Y197" s="529"/>
      <c r="Z197" s="529"/>
      <c r="AA197" s="529"/>
      <c r="AB197" s="529"/>
      <c r="AC197" s="529"/>
      <c r="AD197" s="529"/>
      <c r="AE197" s="529"/>
      <c r="AF197" s="529"/>
      <c r="AG197" s="529"/>
      <c r="AH197" s="529"/>
      <c r="AI197" s="529"/>
      <c r="AJ197" s="529"/>
      <c r="AK197" s="529"/>
      <c r="AL197" s="529"/>
      <c r="AM197" s="529"/>
      <c r="AN197" s="529"/>
      <c r="AO197" s="529"/>
      <c r="AP197" s="529"/>
      <c r="AQ197" s="529"/>
      <c r="AR197" s="529"/>
      <c r="AS197" s="529"/>
      <c r="AT197" s="529"/>
      <c r="AU197" s="529"/>
      <c r="AV197" s="529"/>
      <c r="AW197" s="529"/>
      <c r="AX197" s="529"/>
      <c r="AY197" s="529"/>
      <c r="AZ197" s="529"/>
      <c r="BA197" s="529"/>
      <c r="BB197" s="529"/>
      <c r="BC197" s="529"/>
      <c r="BD197" s="529"/>
      <c r="BE197" s="529"/>
      <c r="BF197" s="529"/>
      <c r="BG197" s="529"/>
      <c r="BH197" s="529"/>
      <c r="BI197" s="529"/>
      <c r="BJ197" s="529"/>
      <c r="BK197" s="529"/>
      <c r="BL197" s="529"/>
      <c r="BM197" s="529"/>
      <c r="BN197" s="529"/>
      <c r="BO197" s="529"/>
      <c r="BP197" s="529"/>
      <c r="BQ197" s="529"/>
      <c r="BR197" s="529"/>
      <c r="BS197" s="529"/>
      <c r="BT197" s="529"/>
      <c r="BU197" s="529"/>
      <c r="BV197" s="529"/>
      <c r="BW197" s="529"/>
      <c r="BX197" s="529"/>
      <c r="BY197" s="529"/>
      <c r="BZ197" s="529"/>
      <c r="CA197" s="529"/>
      <c r="CB197" s="529"/>
      <c r="CC197" s="529"/>
      <c r="CD197" s="529"/>
      <c r="CE197" s="529"/>
      <c r="CF197" s="391"/>
      <c r="CG197" s="2"/>
      <c r="CH197" s="2"/>
      <c r="CI197" s="2"/>
      <c r="CJ197" s="2"/>
      <c r="CK197" s="2"/>
      <c r="CL197" s="2"/>
      <c r="CM197" s="2"/>
      <c r="CN197" s="2"/>
      <c r="CO197" s="2"/>
      <c r="CP197" s="2"/>
      <c r="CQ197" s="2"/>
    </row>
    <row r="198" spans="1:100" ht="12" customHeight="1">
      <c r="A198" s="299"/>
      <c r="B198" s="529"/>
      <c r="C198" s="529" t="s">
        <v>1156</v>
      </c>
      <c r="D198" s="529"/>
      <c r="E198" s="529"/>
      <c r="F198" s="529"/>
      <c r="G198" s="529"/>
      <c r="H198" s="529"/>
      <c r="I198" s="529"/>
      <c r="J198" s="529"/>
      <c r="K198" s="529"/>
      <c r="L198" s="529"/>
      <c r="M198" s="529"/>
      <c r="N198" s="529"/>
      <c r="O198" s="529"/>
      <c r="P198" s="529"/>
      <c r="Q198" s="529"/>
      <c r="R198" s="529"/>
      <c r="S198" s="529"/>
      <c r="T198" s="529"/>
      <c r="U198" s="529"/>
      <c r="V198" s="529"/>
      <c r="W198" s="529"/>
      <c r="X198" s="529"/>
      <c r="Y198" s="529"/>
      <c r="Z198" s="529"/>
      <c r="AA198" s="529"/>
      <c r="AB198" s="529"/>
      <c r="AC198" s="529"/>
      <c r="AD198" s="529"/>
      <c r="AE198" s="529"/>
      <c r="AF198" s="529"/>
      <c r="AG198" s="529"/>
      <c r="AH198" s="529"/>
      <c r="AI198" s="529"/>
      <c r="AJ198" s="529"/>
      <c r="AK198" s="529"/>
      <c r="AL198" s="529"/>
      <c r="AM198" s="529"/>
      <c r="AN198" s="529"/>
      <c r="AO198" s="529"/>
      <c r="AP198" s="529"/>
      <c r="AQ198" s="529"/>
      <c r="AR198" s="529"/>
      <c r="AS198" s="529"/>
      <c r="AT198" s="529"/>
      <c r="AU198" s="529"/>
      <c r="AV198" s="529"/>
      <c r="AW198" s="529"/>
      <c r="AX198" s="529"/>
      <c r="AY198" s="529"/>
      <c r="AZ198" s="529"/>
      <c r="BA198" s="529"/>
      <c r="BB198" s="529"/>
      <c r="BC198" s="529"/>
      <c r="BD198" s="529"/>
      <c r="BE198" s="529"/>
      <c r="BF198" s="529"/>
      <c r="BG198" s="529"/>
      <c r="BH198" s="529"/>
      <c r="BI198" s="529"/>
      <c r="BJ198" s="529"/>
      <c r="BK198" s="529"/>
      <c r="BL198" s="529"/>
      <c r="BM198" s="529"/>
      <c r="BN198" s="529"/>
      <c r="BO198" s="529"/>
      <c r="BP198" s="529"/>
      <c r="BQ198" s="529"/>
      <c r="BR198" s="529"/>
      <c r="BS198" s="529"/>
      <c r="BT198" s="529"/>
      <c r="BU198" s="529"/>
      <c r="BV198" s="529"/>
      <c r="BW198" s="529"/>
      <c r="BX198" s="529"/>
      <c r="BY198" s="529"/>
      <c r="BZ198" s="529"/>
      <c r="CA198" s="529"/>
      <c r="CB198" s="529"/>
      <c r="CC198" s="529"/>
      <c r="CD198" s="529"/>
      <c r="CE198" s="529"/>
      <c r="CF198" s="391"/>
      <c r="CG198" s="2"/>
      <c r="CH198" s="2"/>
      <c r="CI198" s="2"/>
      <c r="CJ198" s="2"/>
      <c r="CK198" s="2"/>
      <c r="CL198" s="2"/>
      <c r="CM198" s="2"/>
      <c r="CN198" s="2"/>
      <c r="CO198" s="2"/>
      <c r="CP198" s="2"/>
      <c r="CQ198" s="2"/>
    </row>
    <row r="199" spans="1:100" ht="12" customHeight="1">
      <c r="A199" s="299"/>
      <c r="B199" s="529"/>
      <c r="C199" s="529"/>
      <c r="D199" s="529"/>
      <c r="E199" s="529"/>
      <c r="F199" s="529"/>
      <c r="G199" s="529"/>
      <c r="H199" s="529"/>
      <c r="I199" s="529"/>
      <c r="J199" s="529"/>
      <c r="K199" s="529"/>
      <c r="L199" s="529"/>
      <c r="M199" s="529"/>
      <c r="N199" s="529"/>
      <c r="O199" s="529"/>
      <c r="P199" s="529"/>
      <c r="Q199" s="529"/>
      <c r="R199" s="529"/>
      <c r="S199" s="529"/>
      <c r="T199" s="529"/>
      <c r="U199" s="529"/>
      <c r="V199" s="529"/>
      <c r="W199" s="529"/>
      <c r="X199" s="529"/>
      <c r="Y199" s="529"/>
      <c r="Z199" s="529"/>
      <c r="AA199" s="529"/>
      <c r="AB199" s="529"/>
      <c r="AC199" s="529"/>
      <c r="AD199" s="529"/>
      <c r="AE199" s="529"/>
      <c r="AF199" s="529"/>
      <c r="AG199" s="529"/>
      <c r="AH199" s="529"/>
      <c r="AI199" s="529"/>
      <c r="AJ199" s="529"/>
      <c r="AK199" s="529"/>
      <c r="AL199" s="529"/>
      <c r="AM199" s="529"/>
      <c r="AN199" s="529"/>
      <c r="AO199" s="529"/>
      <c r="AP199" s="529"/>
      <c r="AQ199" s="529"/>
      <c r="AR199" s="529"/>
      <c r="AS199" s="529"/>
      <c r="AT199" s="529"/>
      <c r="AU199" s="529"/>
      <c r="AV199" s="529"/>
      <c r="AW199" s="529"/>
      <c r="AX199" s="529"/>
      <c r="AY199" s="529"/>
      <c r="AZ199" s="529"/>
      <c r="BA199" s="529"/>
      <c r="BB199" s="529"/>
      <c r="BC199" s="529"/>
      <c r="BD199" s="529"/>
      <c r="BE199" s="529"/>
      <c r="BF199" s="529"/>
      <c r="BG199" s="529"/>
      <c r="BH199" s="529"/>
      <c r="BI199" s="529"/>
      <c r="BJ199" s="529"/>
      <c r="BK199" s="529"/>
      <c r="BL199" s="529"/>
      <c r="BM199" s="529"/>
      <c r="BN199" s="529"/>
      <c r="BO199" s="529"/>
      <c r="BP199" s="529"/>
      <c r="BQ199" s="529"/>
      <c r="BR199" s="529"/>
      <c r="BS199" s="529"/>
      <c r="BT199" s="529"/>
      <c r="BU199" s="529"/>
      <c r="BV199" s="529"/>
      <c r="BW199" s="529"/>
      <c r="BX199" s="529"/>
      <c r="BY199" s="529"/>
      <c r="BZ199" s="529"/>
      <c r="CA199" s="529"/>
      <c r="CB199" s="529"/>
      <c r="CC199" s="529"/>
      <c r="CD199" s="529"/>
      <c r="CE199" s="529"/>
      <c r="CF199" s="391"/>
      <c r="CG199" s="2"/>
      <c r="CH199" s="2"/>
      <c r="CI199" s="2"/>
      <c r="CJ199" s="2"/>
      <c r="CK199" s="2"/>
      <c r="CL199" s="2"/>
      <c r="CM199" s="2"/>
      <c r="CN199" s="2"/>
      <c r="CO199" s="2"/>
      <c r="CP199" s="2"/>
      <c r="CQ199" s="2"/>
    </row>
    <row r="200" spans="1:100" ht="12" customHeight="1">
      <c r="A200" s="299"/>
      <c r="B200" s="529"/>
      <c r="C200" s="529"/>
      <c r="D200" s="529" t="s">
        <v>280</v>
      </c>
      <c r="E200" s="529"/>
      <c r="F200" s="529"/>
      <c r="G200" s="529"/>
      <c r="H200" s="529"/>
      <c r="I200" s="529"/>
      <c r="J200" s="529"/>
      <c r="K200" s="529"/>
      <c r="L200" s="529"/>
      <c r="M200" s="529"/>
      <c r="N200" s="529"/>
      <c r="O200" s="529"/>
      <c r="P200" s="529"/>
      <c r="Q200" s="529"/>
      <c r="R200" s="529"/>
      <c r="S200" s="529"/>
      <c r="T200" s="529"/>
      <c r="U200" s="529"/>
      <c r="V200" s="529"/>
      <c r="W200" s="529"/>
      <c r="X200" s="529"/>
      <c r="Y200" s="529"/>
      <c r="Z200" s="529"/>
      <c r="AA200" s="529"/>
      <c r="AB200" s="529"/>
      <c r="AC200" s="529"/>
      <c r="AD200" s="529"/>
      <c r="AE200" s="529"/>
      <c r="AF200" s="529"/>
      <c r="AG200" s="529"/>
      <c r="AH200" s="529"/>
      <c r="AI200" s="529"/>
      <c r="AJ200" s="529"/>
      <c r="AK200" s="529"/>
      <c r="AL200" s="529"/>
      <c r="AM200" s="529"/>
      <c r="AN200" s="529"/>
      <c r="AO200" s="529"/>
      <c r="AP200" s="529"/>
      <c r="AQ200" s="529"/>
      <c r="AR200" s="529"/>
      <c r="AS200" s="529"/>
      <c r="AT200" s="529"/>
      <c r="AU200" s="529"/>
      <c r="AV200" s="529"/>
      <c r="AW200" s="529"/>
      <c r="AX200" s="529"/>
      <c r="AY200" s="529"/>
      <c r="AZ200" s="529"/>
      <c r="BA200" s="529"/>
      <c r="BB200" s="529"/>
      <c r="BC200" s="529"/>
      <c r="BD200" s="529"/>
      <c r="BE200" s="529"/>
      <c r="BF200" s="529"/>
      <c r="BG200" s="529"/>
      <c r="BH200" s="529"/>
      <c r="BI200" s="529"/>
      <c r="BJ200" s="529"/>
      <c r="BK200" s="529"/>
      <c r="BL200" s="529"/>
      <c r="BM200" s="529"/>
      <c r="BN200" s="529"/>
      <c r="BO200" s="529"/>
      <c r="BP200" s="529"/>
      <c r="BQ200" s="529"/>
      <c r="BR200" s="529"/>
      <c r="BS200" s="529"/>
      <c r="BT200" s="529"/>
      <c r="BU200" s="529"/>
      <c r="BV200" s="529"/>
      <c r="BW200" s="529"/>
      <c r="BX200" s="529"/>
      <c r="BY200" s="529"/>
      <c r="BZ200" s="529"/>
      <c r="CA200" s="529"/>
      <c r="CB200" s="529"/>
      <c r="CC200" s="529"/>
      <c r="CD200" s="529"/>
      <c r="CE200" s="529"/>
      <c r="CF200" s="391"/>
      <c r="CG200" s="2"/>
      <c r="CH200" s="2"/>
      <c r="CI200" s="2"/>
      <c r="CJ200" s="2"/>
      <c r="CK200" s="2"/>
      <c r="CL200" s="2"/>
      <c r="CM200" s="2"/>
      <c r="CN200" s="2"/>
      <c r="CO200" s="2"/>
      <c r="CP200" s="2"/>
      <c r="CQ200" s="2"/>
    </row>
    <row r="201" spans="1:100" ht="12" customHeight="1">
      <c r="A201" s="299"/>
      <c r="B201" s="529"/>
      <c r="C201" s="529"/>
      <c r="D201" s="529"/>
      <c r="E201" s="529"/>
      <c r="F201" s="529"/>
      <c r="G201" s="529"/>
      <c r="H201" s="529"/>
      <c r="I201" s="529"/>
      <c r="J201" s="529"/>
      <c r="K201" s="529"/>
      <c r="L201" s="529"/>
      <c r="M201" s="529"/>
      <c r="N201" s="529"/>
      <c r="O201" s="529"/>
      <c r="P201" s="529"/>
      <c r="Q201" s="529"/>
      <c r="R201" s="529"/>
      <c r="S201" s="529"/>
      <c r="T201" s="529"/>
      <c r="U201" s="529"/>
      <c r="V201" s="529"/>
      <c r="W201" s="529"/>
      <c r="X201" s="529"/>
      <c r="Y201" s="529"/>
      <c r="Z201" s="529"/>
      <c r="AA201" s="529"/>
      <c r="AB201" s="529"/>
      <c r="AC201" s="529"/>
      <c r="AD201" s="529"/>
      <c r="AE201" s="529"/>
      <c r="AF201" s="529"/>
      <c r="AG201" s="529"/>
      <c r="AH201" s="529"/>
      <c r="AI201" s="529"/>
      <c r="AJ201" s="529"/>
      <c r="AK201" s="529"/>
      <c r="AL201" s="529"/>
      <c r="AM201" s="529"/>
      <c r="AN201" s="529"/>
      <c r="AO201" s="529"/>
      <c r="AP201" s="529"/>
      <c r="AQ201" s="529"/>
      <c r="AR201" s="529"/>
      <c r="AS201" s="529"/>
      <c r="AT201" s="529"/>
      <c r="AU201" s="529"/>
      <c r="AV201" s="529"/>
      <c r="AW201" s="529"/>
      <c r="AX201" s="529"/>
      <c r="AY201" s="529"/>
      <c r="AZ201" s="529"/>
      <c r="BA201" s="529"/>
      <c r="BB201" s="529"/>
      <c r="BC201" s="529"/>
      <c r="BD201" s="529"/>
      <c r="BE201" s="529"/>
      <c r="BF201" s="529"/>
      <c r="BG201" s="529"/>
      <c r="BH201" s="529"/>
      <c r="BI201" s="529"/>
      <c r="BJ201" s="529"/>
      <c r="BK201" s="529"/>
      <c r="BL201" s="529"/>
      <c r="BM201" s="529"/>
      <c r="BN201" s="529"/>
      <c r="BO201" s="529"/>
      <c r="BP201" s="529"/>
      <c r="BQ201" s="529"/>
      <c r="BR201" s="529"/>
      <c r="BS201" s="529"/>
      <c r="BT201" s="529"/>
      <c r="BU201" s="529"/>
      <c r="BV201" s="529"/>
      <c r="BW201" s="529"/>
      <c r="BX201" s="529"/>
      <c r="BY201" s="529"/>
      <c r="BZ201" s="529"/>
      <c r="CA201" s="529"/>
      <c r="CB201" s="529"/>
      <c r="CC201" s="529"/>
      <c r="CD201" s="529"/>
      <c r="CE201" s="529"/>
      <c r="CF201" s="391"/>
      <c r="CG201" s="2"/>
      <c r="CH201" s="2"/>
      <c r="CI201" s="2"/>
      <c r="CJ201" s="2"/>
      <c r="CK201" s="2"/>
      <c r="CL201" s="2"/>
      <c r="CM201" s="2"/>
      <c r="CN201" s="2"/>
      <c r="CO201" s="2"/>
      <c r="CP201" s="2"/>
      <c r="CQ201" s="2"/>
    </row>
    <row r="202" spans="1:100" ht="12" customHeight="1">
      <c r="A202" s="299"/>
      <c r="B202" s="529"/>
      <c r="C202" s="529"/>
      <c r="D202" s="825" t="s">
        <v>279</v>
      </c>
      <c r="E202" s="826"/>
      <c r="F202" s="826"/>
      <c r="G202" s="826"/>
      <c r="H202" s="826"/>
      <c r="I202" s="826"/>
      <c r="J202" s="826"/>
      <c r="K202" s="826"/>
      <c r="L202" s="826"/>
      <c r="M202" s="826"/>
      <c r="N202" s="826"/>
      <c r="O202" s="826"/>
      <c r="P202" s="826"/>
      <c r="Q202" s="826"/>
      <c r="R202" s="826"/>
      <c r="S202" s="827"/>
      <c r="T202" s="853" t="s">
        <v>278</v>
      </c>
      <c r="U202" s="831"/>
      <c r="V202" s="831"/>
      <c r="W202" s="826"/>
      <c r="X202" s="831"/>
      <c r="Y202" s="832"/>
      <c r="Z202" s="853" t="s">
        <v>277</v>
      </c>
      <c r="AA202" s="831"/>
      <c r="AB202" s="831"/>
      <c r="AC202" s="831"/>
      <c r="AD202" s="831"/>
      <c r="AE202" s="831"/>
      <c r="AF202" s="831"/>
      <c r="AG202" s="831"/>
      <c r="AH202" s="831"/>
      <c r="AI202" s="831"/>
      <c r="AJ202" s="832"/>
      <c r="AK202" s="853" t="s">
        <v>276</v>
      </c>
      <c r="AL202" s="831"/>
      <c r="AM202" s="831"/>
      <c r="AN202" s="831"/>
      <c r="AO202" s="831"/>
      <c r="AP202" s="831"/>
      <c r="AQ202" s="831"/>
      <c r="AR202" s="831"/>
      <c r="AS202" s="831"/>
      <c r="AT202" s="831"/>
      <c r="AU202" s="831"/>
      <c r="AV202" s="831"/>
      <c r="AW202" s="831"/>
      <c r="AX202" s="832"/>
      <c r="AY202" s="853" t="s">
        <v>275</v>
      </c>
      <c r="AZ202" s="831"/>
      <c r="BA202" s="831"/>
      <c r="BB202" s="831"/>
      <c r="BC202" s="831"/>
      <c r="BD202" s="831"/>
      <c r="BE202" s="853" t="s">
        <v>274</v>
      </c>
      <c r="BF202" s="831"/>
      <c r="BG202" s="831"/>
      <c r="BH202" s="831"/>
      <c r="BI202" s="832"/>
      <c r="BJ202" s="825" t="s">
        <v>454</v>
      </c>
      <c r="BK202" s="826"/>
      <c r="BL202" s="827"/>
      <c r="BM202" s="831" t="s">
        <v>273</v>
      </c>
      <c r="BN202" s="831"/>
      <c r="BO202" s="831"/>
      <c r="BP202" s="831"/>
      <c r="BQ202" s="831"/>
      <c r="BR202" s="832"/>
      <c r="BS202" s="825" t="s">
        <v>249</v>
      </c>
      <c r="BT202" s="826"/>
      <c r="BU202" s="826"/>
      <c r="BV202" s="826"/>
      <c r="BW202" s="826"/>
      <c r="BX202" s="826"/>
      <c r="BY202" s="826"/>
      <c r="BZ202" s="826"/>
      <c r="CA202" s="826"/>
      <c r="CB202" s="826"/>
      <c r="CC202" s="826"/>
      <c r="CD202" s="826"/>
      <c r="CE202" s="827"/>
      <c r="CF202" s="529"/>
      <c r="CG202" s="391"/>
      <c r="CH202" s="2"/>
    </row>
    <row r="203" spans="1:100" ht="12" customHeight="1">
      <c r="A203" s="299"/>
      <c r="B203" s="529"/>
      <c r="C203" s="529"/>
      <c r="D203" s="828"/>
      <c r="E203" s="829"/>
      <c r="F203" s="829"/>
      <c r="G203" s="829"/>
      <c r="H203" s="829"/>
      <c r="I203" s="829"/>
      <c r="J203" s="829"/>
      <c r="K203" s="829"/>
      <c r="L203" s="829"/>
      <c r="M203" s="829"/>
      <c r="N203" s="829"/>
      <c r="O203" s="829"/>
      <c r="P203" s="829"/>
      <c r="Q203" s="829"/>
      <c r="R203" s="829"/>
      <c r="S203" s="830"/>
      <c r="T203" s="828"/>
      <c r="U203" s="829"/>
      <c r="V203" s="829"/>
      <c r="W203" s="829"/>
      <c r="X203" s="829"/>
      <c r="Y203" s="830"/>
      <c r="Z203" s="828"/>
      <c r="AA203" s="829"/>
      <c r="AB203" s="829"/>
      <c r="AC203" s="829"/>
      <c r="AD203" s="829"/>
      <c r="AE203" s="829"/>
      <c r="AF203" s="829"/>
      <c r="AG203" s="829"/>
      <c r="AH203" s="829"/>
      <c r="AI203" s="829"/>
      <c r="AJ203" s="830"/>
      <c r="AK203" s="828"/>
      <c r="AL203" s="829"/>
      <c r="AM203" s="829"/>
      <c r="AN203" s="829"/>
      <c r="AO203" s="829"/>
      <c r="AP203" s="829"/>
      <c r="AQ203" s="829"/>
      <c r="AR203" s="829"/>
      <c r="AS203" s="829"/>
      <c r="AT203" s="829"/>
      <c r="AU203" s="829"/>
      <c r="AV203" s="829"/>
      <c r="AW203" s="829"/>
      <c r="AX203" s="830"/>
      <c r="AY203" s="828"/>
      <c r="AZ203" s="829"/>
      <c r="BA203" s="829"/>
      <c r="BB203" s="829"/>
      <c r="BC203" s="829"/>
      <c r="BD203" s="829"/>
      <c r="BE203" s="828"/>
      <c r="BF203" s="829"/>
      <c r="BG203" s="829"/>
      <c r="BH203" s="829"/>
      <c r="BI203" s="830"/>
      <c r="BJ203" s="828"/>
      <c r="BK203" s="829"/>
      <c r="BL203" s="830"/>
      <c r="BM203" s="829"/>
      <c r="BN203" s="829"/>
      <c r="BO203" s="829"/>
      <c r="BP203" s="829"/>
      <c r="BQ203" s="829"/>
      <c r="BR203" s="830"/>
      <c r="BS203" s="828"/>
      <c r="BT203" s="829"/>
      <c r="BU203" s="829"/>
      <c r="BV203" s="829"/>
      <c r="BW203" s="829"/>
      <c r="BX203" s="829"/>
      <c r="BY203" s="829"/>
      <c r="BZ203" s="829"/>
      <c r="CA203" s="829"/>
      <c r="CB203" s="829"/>
      <c r="CC203" s="829"/>
      <c r="CD203" s="829"/>
      <c r="CE203" s="830"/>
      <c r="CF203" s="529"/>
      <c r="CG203" s="391"/>
      <c r="CH203" s="2"/>
    </row>
    <row r="204" spans="1:100" ht="12" customHeight="1">
      <c r="A204" s="299"/>
      <c r="B204" s="529"/>
      <c r="C204" s="529"/>
      <c r="D204" s="536" t="s">
        <v>272</v>
      </c>
      <c r="E204" s="536"/>
      <c r="F204" s="154"/>
      <c r="G204" s="537"/>
      <c r="H204" s="157"/>
      <c r="I204" s="157"/>
      <c r="J204" s="157"/>
      <c r="K204" s="157"/>
      <c r="L204" s="157"/>
      <c r="M204" s="157"/>
      <c r="N204" s="228"/>
      <c r="O204" s="228"/>
      <c r="P204" s="157"/>
      <c r="Q204" s="157"/>
      <c r="R204" s="157"/>
      <c r="S204" s="157"/>
      <c r="T204" s="157"/>
      <c r="U204" s="157"/>
      <c r="V204" s="157"/>
      <c r="W204" s="228"/>
      <c r="X204" s="157"/>
      <c r="Y204" s="157"/>
      <c r="Z204" s="854"/>
      <c r="AA204" s="854"/>
      <c r="AB204" s="854"/>
      <c r="AC204" s="854"/>
      <c r="AD204" s="854"/>
      <c r="AE204" s="854"/>
      <c r="AF204" s="854"/>
      <c r="AG204" s="854"/>
      <c r="AH204" s="854"/>
      <c r="AI204" s="854"/>
      <c r="AJ204" s="854"/>
      <c r="AK204" s="156"/>
      <c r="AL204" s="155"/>
      <c r="AM204" s="155"/>
      <c r="AN204" s="155"/>
      <c r="AO204" s="155"/>
      <c r="AP204" s="155"/>
      <c r="AQ204" s="155"/>
      <c r="AR204" s="155"/>
      <c r="AS204" s="155"/>
      <c r="AT204" s="155"/>
      <c r="AU204" s="155"/>
      <c r="AV204" s="154"/>
      <c r="AW204" s="154"/>
      <c r="AX204" s="154"/>
      <c r="AY204" s="153"/>
      <c r="AZ204" s="153"/>
      <c r="BA204" s="153"/>
      <c r="BB204" s="153"/>
      <c r="BC204" s="153"/>
      <c r="BD204" s="153"/>
      <c r="BE204" s="153"/>
      <c r="BF204" s="153"/>
      <c r="BG204" s="153"/>
      <c r="BH204" s="153"/>
      <c r="BI204" s="153"/>
      <c r="BJ204" s="272"/>
      <c r="BK204" s="272"/>
      <c r="BL204" s="272"/>
      <c r="BM204" s="153"/>
      <c r="BN204" s="153"/>
      <c r="BO204" s="153"/>
      <c r="BP204" s="153"/>
      <c r="BQ204" s="153"/>
      <c r="BR204" s="152"/>
      <c r="BS204" s="274"/>
      <c r="BT204" s="274"/>
      <c r="BU204" s="274"/>
      <c r="BV204" s="274"/>
      <c r="BW204" s="274"/>
      <c r="BX204" s="274"/>
      <c r="BY204" s="274"/>
      <c r="BZ204" s="274"/>
      <c r="CA204" s="274"/>
      <c r="CB204" s="274"/>
      <c r="CC204" s="274"/>
      <c r="CD204" s="274"/>
      <c r="CE204" s="275"/>
      <c r="CF204" s="529"/>
      <c r="CG204" s="391"/>
      <c r="CH204" s="2"/>
    </row>
    <row r="205" spans="1:100" ht="12" customHeight="1">
      <c r="A205" s="299"/>
      <c r="B205" s="529"/>
      <c r="C205" s="529"/>
      <c r="D205" s="538"/>
      <c r="E205" s="539" t="s">
        <v>679</v>
      </c>
      <c r="F205" s="540"/>
      <c r="G205" s="540"/>
      <c r="H205" s="540"/>
      <c r="I205" s="269"/>
      <c r="J205" s="269"/>
      <c r="K205" s="269"/>
      <c r="L205" s="269"/>
      <c r="M205" s="269"/>
      <c r="N205" s="229"/>
      <c r="O205" s="229"/>
      <c r="P205" s="269"/>
      <c r="Q205" s="269"/>
      <c r="R205" s="269"/>
      <c r="S205" s="269"/>
      <c r="T205" s="532" t="s">
        <v>680</v>
      </c>
      <c r="U205" s="269"/>
      <c r="V205" s="269"/>
      <c r="W205" s="229"/>
      <c r="X205" s="269"/>
      <c r="Y205" s="270"/>
      <c r="Z205" s="842" t="s">
        <v>269</v>
      </c>
      <c r="AA205" s="843"/>
      <c r="AB205" s="843"/>
      <c r="AC205" s="843"/>
      <c r="AD205" s="843"/>
      <c r="AE205" s="843"/>
      <c r="AF205" s="843"/>
      <c r="AG205" s="843"/>
      <c r="AH205" s="843"/>
      <c r="AI205" s="843"/>
      <c r="AJ205" s="844"/>
      <c r="AK205" s="845" t="s">
        <v>268</v>
      </c>
      <c r="AL205" s="846"/>
      <c r="AM205" s="846"/>
      <c r="AN205" s="846"/>
      <c r="AO205" s="846"/>
      <c r="AP205" s="846"/>
      <c r="AQ205" s="846"/>
      <c r="AR205" s="846"/>
      <c r="AS205" s="846"/>
      <c r="AT205" s="846"/>
      <c r="AU205" s="846"/>
      <c r="AV205" s="846"/>
      <c r="AW205" s="846"/>
      <c r="AX205" s="847"/>
      <c r="AY205" s="848">
        <v>160</v>
      </c>
      <c r="AZ205" s="849"/>
      <c r="BA205" s="849"/>
      <c r="BB205" s="849"/>
      <c r="BC205" s="849"/>
      <c r="BD205" s="849"/>
      <c r="BE205" s="850">
        <v>2</v>
      </c>
      <c r="BF205" s="851"/>
      <c r="BG205" s="851"/>
      <c r="BH205" s="851"/>
      <c r="BI205" s="852"/>
      <c r="BJ205" s="822">
        <v>1</v>
      </c>
      <c r="BK205" s="823"/>
      <c r="BL205" s="824"/>
      <c r="BM205" s="947">
        <f>AY205*(BE205+1)*BJ205</f>
        <v>480</v>
      </c>
      <c r="BN205" s="948"/>
      <c r="BO205" s="948"/>
      <c r="BP205" s="948"/>
      <c r="BQ205" s="948"/>
      <c r="BR205" s="949"/>
      <c r="BS205" s="276"/>
      <c r="BT205" s="274"/>
      <c r="BU205" s="274"/>
      <c r="BV205" s="274"/>
      <c r="BW205" s="274"/>
      <c r="BX205" s="274"/>
      <c r="BY205" s="274"/>
      <c r="BZ205" s="274"/>
      <c r="CA205" s="274"/>
      <c r="CB205" s="274"/>
      <c r="CC205" s="274"/>
      <c r="CD205" s="274"/>
      <c r="CE205" s="275"/>
      <c r="CF205" s="529"/>
      <c r="CG205" s="391"/>
      <c r="CH205" s="2"/>
    </row>
    <row r="206" spans="1:100" ht="12" customHeight="1">
      <c r="A206" s="299"/>
      <c r="B206" s="529"/>
      <c r="C206" s="529"/>
      <c r="D206" s="538"/>
      <c r="E206" s="539" t="s">
        <v>271</v>
      </c>
      <c r="F206" s="540"/>
      <c r="G206" s="540"/>
      <c r="H206" s="540"/>
      <c r="I206" s="269"/>
      <c r="J206" s="269"/>
      <c r="K206" s="269"/>
      <c r="L206" s="269"/>
      <c r="M206" s="269"/>
      <c r="N206" s="229"/>
      <c r="O206" s="229"/>
      <c r="P206" s="269"/>
      <c r="Q206" s="269"/>
      <c r="R206" s="269"/>
      <c r="S206" s="269"/>
      <c r="T206" s="532" t="s">
        <v>261</v>
      </c>
      <c r="U206" s="269"/>
      <c r="V206" s="269"/>
      <c r="W206" s="229"/>
      <c r="X206" s="269"/>
      <c r="Y206" s="270"/>
      <c r="Z206" s="842" t="s">
        <v>269</v>
      </c>
      <c r="AA206" s="843"/>
      <c r="AB206" s="843"/>
      <c r="AC206" s="843"/>
      <c r="AD206" s="843"/>
      <c r="AE206" s="843"/>
      <c r="AF206" s="843"/>
      <c r="AG206" s="843"/>
      <c r="AH206" s="843"/>
      <c r="AI206" s="843"/>
      <c r="AJ206" s="844"/>
      <c r="AK206" s="845" t="s">
        <v>268</v>
      </c>
      <c r="AL206" s="846"/>
      <c r="AM206" s="846"/>
      <c r="AN206" s="846"/>
      <c r="AO206" s="846"/>
      <c r="AP206" s="846"/>
      <c r="AQ206" s="846"/>
      <c r="AR206" s="846"/>
      <c r="AS206" s="846"/>
      <c r="AT206" s="846"/>
      <c r="AU206" s="846"/>
      <c r="AV206" s="846"/>
      <c r="AW206" s="846"/>
      <c r="AX206" s="847"/>
      <c r="AY206" s="848">
        <v>130</v>
      </c>
      <c r="AZ206" s="849"/>
      <c r="BA206" s="849"/>
      <c r="BB206" s="849"/>
      <c r="BC206" s="849"/>
      <c r="BD206" s="849"/>
      <c r="BE206" s="850">
        <v>2</v>
      </c>
      <c r="BF206" s="851"/>
      <c r="BG206" s="851"/>
      <c r="BH206" s="851"/>
      <c r="BI206" s="852"/>
      <c r="BJ206" s="822">
        <v>1</v>
      </c>
      <c r="BK206" s="823"/>
      <c r="BL206" s="824"/>
      <c r="BM206" s="947">
        <f>AY206*(BE206+1)*BJ206</f>
        <v>390</v>
      </c>
      <c r="BN206" s="948"/>
      <c r="BO206" s="948"/>
      <c r="BP206" s="948"/>
      <c r="BQ206" s="948"/>
      <c r="BR206" s="949"/>
      <c r="BS206" s="276"/>
      <c r="BT206" s="274"/>
      <c r="BU206" s="274"/>
      <c r="BV206" s="274"/>
      <c r="BW206" s="274"/>
      <c r="BX206" s="274"/>
      <c r="BY206" s="274"/>
      <c r="BZ206" s="274"/>
      <c r="CA206" s="274"/>
      <c r="CB206" s="274"/>
      <c r="CC206" s="274"/>
      <c r="CD206" s="274"/>
      <c r="CE206" s="275"/>
      <c r="CF206" s="529"/>
      <c r="CG206" s="391"/>
      <c r="CH206" s="2"/>
    </row>
    <row r="207" spans="1:100" ht="12" customHeight="1">
      <c r="A207" s="299"/>
      <c r="B207" s="529"/>
      <c r="C207" s="529"/>
      <c r="D207" s="538"/>
      <c r="E207" s="539" t="s">
        <v>270</v>
      </c>
      <c r="F207" s="540"/>
      <c r="G207" s="540"/>
      <c r="H207" s="540"/>
      <c r="I207" s="269"/>
      <c r="J207" s="269"/>
      <c r="K207" s="269"/>
      <c r="L207" s="269"/>
      <c r="M207" s="269"/>
      <c r="N207" s="229"/>
      <c r="O207" s="229"/>
      <c r="P207" s="269"/>
      <c r="Q207" s="269"/>
      <c r="R207" s="269"/>
      <c r="S207" s="269"/>
      <c r="T207" s="532" t="s">
        <v>259</v>
      </c>
      <c r="U207" s="269"/>
      <c r="V207" s="269"/>
      <c r="W207" s="229"/>
      <c r="X207" s="269"/>
      <c r="Y207" s="270"/>
      <c r="Z207" s="842" t="s">
        <v>269</v>
      </c>
      <c r="AA207" s="843"/>
      <c r="AB207" s="843"/>
      <c r="AC207" s="843"/>
      <c r="AD207" s="843"/>
      <c r="AE207" s="843"/>
      <c r="AF207" s="843"/>
      <c r="AG207" s="843"/>
      <c r="AH207" s="843"/>
      <c r="AI207" s="843"/>
      <c r="AJ207" s="844"/>
      <c r="AK207" s="845" t="s">
        <v>268</v>
      </c>
      <c r="AL207" s="846"/>
      <c r="AM207" s="846"/>
      <c r="AN207" s="846"/>
      <c r="AO207" s="846"/>
      <c r="AP207" s="846"/>
      <c r="AQ207" s="846"/>
      <c r="AR207" s="846"/>
      <c r="AS207" s="846"/>
      <c r="AT207" s="846"/>
      <c r="AU207" s="846"/>
      <c r="AV207" s="846"/>
      <c r="AW207" s="846"/>
      <c r="AX207" s="847"/>
      <c r="AY207" s="848">
        <v>130</v>
      </c>
      <c r="AZ207" s="849"/>
      <c r="BA207" s="849"/>
      <c r="BB207" s="849"/>
      <c r="BC207" s="849"/>
      <c r="BD207" s="849"/>
      <c r="BE207" s="850">
        <v>2</v>
      </c>
      <c r="BF207" s="851"/>
      <c r="BG207" s="851"/>
      <c r="BH207" s="851"/>
      <c r="BI207" s="852"/>
      <c r="BJ207" s="822">
        <v>2</v>
      </c>
      <c r="BK207" s="823"/>
      <c r="BL207" s="824"/>
      <c r="BM207" s="947">
        <f>AY207*(BE207+1)*BJ207</f>
        <v>780</v>
      </c>
      <c r="BN207" s="948"/>
      <c r="BO207" s="948"/>
      <c r="BP207" s="948"/>
      <c r="BQ207" s="948"/>
      <c r="BR207" s="949"/>
      <c r="BS207" s="276"/>
      <c r="BT207" s="274"/>
      <c r="BU207" s="274"/>
      <c r="BV207" s="274"/>
      <c r="BW207" s="274"/>
      <c r="BX207" s="274"/>
      <c r="BY207" s="274"/>
      <c r="BZ207" s="274"/>
      <c r="CA207" s="274"/>
      <c r="CB207" s="274"/>
      <c r="CC207" s="274"/>
      <c r="CD207" s="274"/>
      <c r="CE207" s="275"/>
      <c r="CF207" s="529"/>
      <c r="CG207" s="391"/>
      <c r="CH207" s="2"/>
    </row>
    <row r="208" spans="1:100" ht="12" customHeight="1">
      <c r="A208" s="299"/>
      <c r="B208" s="529"/>
      <c r="C208" s="529"/>
      <c r="D208" s="541"/>
      <c r="E208" s="539" t="s">
        <v>671</v>
      </c>
      <c r="F208" s="540"/>
      <c r="G208" s="540"/>
      <c r="H208" s="540"/>
      <c r="I208" s="269"/>
      <c r="J208" s="269"/>
      <c r="K208" s="269"/>
      <c r="L208" s="269"/>
      <c r="M208" s="269"/>
      <c r="N208" s="229"/>
      <c r="O208" s="229"/>
      <c r="P208" s="269"/>
      <c r="Q208" s="269"/>
      <c r="R208" s="269"/>
      <c r="S208" s="269"/>
      <c r="T208" s="532" t="s">
        <v>570</v>
      </c>
      <c r="U208" s="269"/>
      <c r="V208" s="269"/>
      <c r="W208" s="229"/>
      <c r="X208" s="269"/>
      <c r="Y208" s="270"/>
      <c r="Z208" s="842" t="s">
        <v>269</v>
      </c>
      <c r="AA208" s="843"/>
      <c r="AB208" s="843"/>
      <c r="AC208" s="843"/>
      <c r="AD208" s="843"/>
      <c r="AE208" s="843"/>
      <c r="AF208" s="843"/>
      <c r="AG208" s="843"/>
      <c r="AH208" s="843"/>
      <c r="AI208" s="843"/>
      <c r="AJ208" s="844"/>
      <c r="AK208" s="845" t="s">
        <v>393</v>
      </c>
      <c r="AL208" s="846"/>
      <c r="AM208" s="846"/>
      <c r="AN208" s="846"/>
      <c r="AO208" s="846"/>
      <c r="AP208" s="846"/>
      <c r="AQ208" s="846"/>
      <c r="AR208" s="846"/>
      <c r="AS208" s="846"/>
      <c r="AT208" s="846"/>
      <c r="AU208" s="846"/>
      <c r="AV208" s="846"/>
      <c r="AW208" s="846"/>
      <c r="AX208" s="847"/>
      <c r="AY208" s="848">
        <v>210</v>
      </c>
      <c r="AZ208" s="849"/>
      <c r="BA208" s="849"/>
      <c r="BB208" s="849"/>
      <c r="BC208" s="849"/>
      <c r="BD208" s="849"/>
      <c r="BE208" s="850">
        <v>2</v>
      </c>
      <c r="BF208" s="851"/>
      <c r="BG208" s="851"/>
      <c r="BH208" s="851"/>
      <c r="BI208" s="852"/>
      <c r="BJ208" s="822">
        <v>1</v>
      </c>
      <c r="BK208" s="823"/>
      <c r="BL208" s="824"/>
      <c r="BM208" s="947">
        <f>AY208*(BE208+1)*BJ208</f>
        <v>630</v>
      </c>
      <c r="BN208" s="948"/>
      <c r="BO208" s="948"/>
      <c r="BP208" s="948"/>
      <c r="BQ208" s="948"/>
      <c r="BR208" s="949"/>
      <c r="BS208" s="276"/>
      <c r="BT208" s="274"/>
      <c r="BU208" s="274"/>
      <c r="BV208" s="274"/>
      <c r="BW208" s="274"/>
      <c r="BX208" s="274"/>
      <c r="BY208" s="274"/>
      <c r="BZ208" s="274"/>
      <c r="CA208" s="274"/>
      <c r="CB208" s="274"/>
      <c r="CC208" s="274"/>
      <c r="CD208" s="274"/>
      <c r="CE208" s="275"/>
      <c r="CF208" s="529"/>
      <c r="CG208" s="391"/>
      <c r="CH208" s="2"/>
      <c r="CI208" s="203" t="s">
        <v>417</v>
      </c>
      <c r="CJ208" s="205" t="s">
        <v>418</v>
      </c>
      <c r="CK208" s="206"/>
      <c r="CL208" s="206"/>
      <c r="CM208" s="206"/>
      <c r="CN208" s="206"/>
      <c r="CO208" s="207"/>
      <c r="CP208" s="203" t="s">
        <v>417</v>
      </c>
      <c r="CQ208" s="205" t="s">
        <v>418</v>
      </c>
      <c r="CR208" s="206"/>
      <c r="CS208" s="206"/>
      <c r="CT208" s="206"/>
      <c r="CU208" s="206"/>
      <c r="CV208" s="207"/>
    </row>
    <row r="209" spans="1:100" ht="12" customHeight="1">
      <c r="A209" s="299"/>
      <c r="B209" s="529"/>
      <c r="C209" s="529"/>
      <c r="D209" s="542" t="s">
        <v>267</v>
      </c>
      <c r="E209" s="542"/>
      <c r="F209" s="543"/>
      <c r="G209" s="543"/>
      <c r="H209" s="543"/>
      <c r="I209" s="543"/>
      <c r="J209" s="151"/>
      <c r="K209" s="151"/>
      <c r="L209" s="151"/>
      <c r="M209" s="151"/>
      <c r="N209" s="151"/>
      <c r="O209" s="151"/>
      <c r="P209" s="151"/>
      <c r="Q209" s="151"/>
      <c r="R209" s="151"/>
      <c r="S209" s="151"/>
      <c r="T209" s="151"/>
      <c r="U209" s="151"/>
      <c r="V209" s="151"/>
      <c r="W209" s="151"/>
      <c r="X209" s="151"/>
      <c r="Y209" s="151"/>
      <c r="Z209" s="864"/>
      <c r="AA209" s="864"/>
      <c r="AB209" s="864"/>
      <c r="AC209" s="864"/>
      <c r="AD209" s="864"/>
      <c r="AE209" s="864"/>
      <c r="AF209" s="864"/>
      <c r="AG209" s="864"/>
      <c r="AH209" s="864"/>
      <c r="AI209" s="864"/>
      <c r="AJ209" s="864"/>
      <c r="AK209" s="150"/>
      <c r="AL209" s="150"/>
      <c r="AM209" s="150"/>
      <c r="AN209" s="150"/>
      <c r="AO209" s="150"/>
      <c r="AP209" s="150"/>
      <c r="AQ209" s="150"/>
      <c r="AR209" s="150"/>
      <c r="AS209" s="150"/>
      <c r="AT209" s="150"/>
      <c r="AU209" s="150"/>
      <c r="AV209" s="149"/>
      <c r="AW209" s="149"/>
      <c r="AX209" s="149"/>
      <c r="AY209" s="526"/>
      <c r="AZ209" s="526"/>
      <c r="BA209" s="526"/>
      <c r="BB209" s="526"/>
      <c r="BC209" s="526"/>
      <c r="BD209" s="526"/>
      <c r="BE209" s="148"/>
      <c r="BF209" s="148"/>
      <c r="BG209" s="148"/>
      <c r="BH209" s="148"/>
      <c r="BI209" s="148"/>
      <c r="BJ209" s="273"/>
      <c r="BK209" s="273"/>
      <c r="BL209" s="273"/>
      <c r="BM209" s="476"/>
      <c r="BN209" s="476"/>
      <c r="BO209" s="476"/>
      <c r="BP209" s="476"/>
      <c r="BQ209" s="479"/>
      <c r="BR209" s="479"/>
      <c r="BS209" s="277"/>
      <c r="BT209" s="277"/>
      <c r="BU209" s="277"/>
      <c r="BV209" s="277"/>
      <c r="BW209" s="277"/>
      <c r="BX209" s="277"/>
      <c r="BY209" s="277"/>
      <c r="BZ209" s="277"/>
      <c r="CA209" s="277"/>
      <c r="CB209" s="277"/>
      <c r="CC209" s="277"/>
      <c r="CD209" s="277"/>
      <c r="CE209" s="278"/>
      <c r="CF209" s="529"/>
      <c r="CG209" s="391"/>
      <c r="CH209" s="2"/>
      <c r="CI209" s="203" t="s">
        <v>416</v>
      </c>
      <c r="CJ209" s="203" t="s">
        <v>410</v>
      </c>
      <c r="CK209" s="203" t="s">
        <v>411</v>
      </c>
      <c r="CL209" s="203" t="s">
        <v>412</v>
      </c>
      <c r="CM209" s="203" t="s">
        <v>413</v>
      </c>
      <c r="CN209" s="203" t="s">
        <v>414</v>
      </c>
      <c r="CO209" s="203" t="s">
        <v>415</v>
      </c>
      <c r="CP209" s="203" t="s">
        <v>416</v>
      </c>
      <c r="CQ209" s="203" t="s">
        <v>410</v>
      </c>
      <c r="CR209" s="203" t="s">
        <v>411</v>
      </c>
      <c r="CS209" s="203" t="s">
        <v>412</v>
      </c>
      <c r="CT209" s="203" t="s">
        <v>413</v>
      </c>
      <c r="CU209" s="203" t="s">
        <v>414</v>
      </c>
      <c r="CV209" s="203" t="s">
        <v>415</v>
      </c>
    </row>
    <row r="210" spans="1:100" ht="12" customHeight="1">
      <c r="A210" s="299"/>
      <c r="B210" s="529"/>
      <c r="C210" s="529"/>
      <c r="D210" s="538"/>
      <c r="E210" s="539" t="s">
        <v>265</v>
      </c>
      <c r="F210" s="540"/>
      <c r="G210" s="544"/>
      <c r="H210" s="544"/>
      <c r="I210" s="544"/>
      <c r="J210" s="544"/>
      <c r="K210" s="145"/>
      <c r="L210" s="533"/>
      <c r="M210" s="533"/>
      <c r="N210" s="545"/>
      <c r="O210" s="545"/>
      <c r="P210" s="533"/>
      <c r="Q210" s="533"/>
      <c r="R210" s="533"/>
      <c r="S210" s="533"/>
      <c r="T210" s="532" t="s">
        <v>259</v>
      </c>
      <c r="U210" s="533"/>
      <c r="V210" s="145"/>
      <c r="W210" s="271"/>
      <c r="X210" s="145"/>
      <c r="Y210" s="144"/>
      <c r="Z210" s="842" t="s">
        <v>258</v>
      </c>
      <c r="AA210" s="843"/>
      <c r="AB210" s="843"/>
      <c r="AC210" s="843"/>
      <c r="AD210" s="843"/>
      <c r="AE210" s="843"/>
      <c r="AF210" s="843"/>
      <c r="AG210" s="843"/>
      <c r="AH210" s="843"/>
      <c r="AI210" s="843"/>
      <c r="AJ210" s="844"/>
      <c r="AK210" s="855" t="s">
        <v>758</v>
      </c>
      <c r="AL210" s="856"/>
      <c r="AM210" s="856"/>
      <c r="AN210" s="856"/>
      <c r="AO210" s="856"/>
      <c r="AP210" s="856"/>
      <c r="AQ210" s="856"/>
      <c r="AR210" s="856"/>
      <c r="AS210" s="856"/>
      <c r="AT210" s="856"/>
      <c r="AU210" s="856"/>
      <c r="AV210" s="856"/>
      <c r="AW210" s="856"/>
      <c r="AX210" s="857"/>
      <c r="AY210" s="858">
        <v>10</v>
      </c>
      <c r="AZ210" s="859"/>
      <c r="BA210" s="859"/>
      <c r="BB210" s="859"/>
      <c r="BC210" s="859"/>
      <c r="BD210" s="859"/>
      <c r="BE210" s="865">
        <v>12</v>
      </c>
      <c r="BF210" s="866"/>
      <c r="BG210" s="866"/>
      <c r="BH210" s="866"/>
      <c r="BI210" s="867"/>
      <c r="BJ210" s="822">
        <v>1</v>
      </c>
      <c r="BK210" s="823"/>
      <c r="BL210" s="824"/>
      <c r="BM210" s="947">
        <f>SUM(CJ211,CQ211)*BJ210</f>
        <v>420</v>
      </c>
      <c r="BN210" s="948"/>
      <c r="BO210" s="948"/>
      <c r="BP210" s="948"/>
      <c r="BQ210" s="948"/>
      <c r="BR210" s="949"/>
      <c r="BS210" s="276" t="s">
        <v>266</v>
      </c>
      <c r="BT210" s="274"/>
      <c r="BU210" s="274"/>
      <c r="BV210" s="274"/>
      <c r="BW210" s="274"/>
      <c r="BX210" s="274"/>
      <c r="BY210" s="274"/>
      <c r="BZ210" s="274"/>
      <c r="CA210" s="274"/>
      <c r="CB210" s="274"/>
      <c r="CC210" s="274"/>
      <c r="CD210" s="274"/>
      <c r="CE210" s="275"/>
      <c r="CF210" s="529"/>
      <c r="CG210" s="391"/>
      <c r="CH210" s="2"/>
      <c r="CI210" s="204">
        <v>220</v>
      </c>
      <c r="CJ210" s="204">
        <v>10</v>
      </c>
      <c r="CK210" s="204">
        <f>CJ210+10</f>
        <v>20</v>
      </c>
      <c r="CL210" s="204">
        <f>CK210+10</f>
        <v>30</v>
      </c>
      <c r="CM210" s="204">
        <f>CL210+10</f>
        <v>40</v>
      </c>
      <c r="CN210" s="204">
        <f>CM210+10</f>
        <v>50</v>
      </c>
      <c r="CO210" s="204">
        <f>CN210+10</f>
        <v>60</v>
      </c>
      <c r="CP210" s="204">
        <v>220</v>
      </c>
      <c r="CQ210" s="204">
        <v>10</v>
      </c>
      <c r="CR210" s="204">
        <f>CQ210+10</f>
        <v>20</v>
      </c>
      <c r="CS210" s="204">
        <f>CR210+10</f>
        <v>30</v>
      </c>
      <c r="CT210" s="204">
        <f>CS210+10</f>
        <v>40</v>
      </c>
      <c r="CU210" s="204">
        <f>CT210+10</f>
        <v>50</v>
      </c>
      <c r="CV210" s="204">
        <f>CU210+10</f>
        <v>60</v>
      </c>
    </row>
    <row r="211" spans="1:100" ht="12" customHeight="1">
      <c r="A211" s="299"/>
      <c r="B211" s="529"/>
      <c r="C211" s="529"/>
      <c r="D211" s="538"/>
      <c r="E211" s="539" t="s">
        <v>265</v>
      </c>
      <c r="F211" s="540"/>
      <c r="G211" s="544"/>
      <c r="H211" s="544"/>
      <c r="I211" s="544"/>
      <c r="J211" s="544"/>
      <c r="K211" s="145"/>
      <c r="L211" s="533"/>
      <c r="M211" s="533"/>
      <c r="N211" s="545"/>
      <c r="O211" s="545"/>
      <c r="P211" s="533"/>
      <c r="Q211" s="533"/>
      <c r="R211" s="533"/>
      <c r="S211" s="533"/>
      <c r="T211" s="532" t="s">
        <v>259</v>
      </c>
      <c r="U211" s="533"/>
      <c r="V211" s="145"/>
      <c r="W211" s="271"/>
      <c r="X211" s="145"/>
      <c r="Y211" s="144"/>
      <c r="Z211" s="842" t="s">
        <v>264</v>
      </c>
      <c r="AA211" s="843"/>
      <c r="AB211" s="843"/>
      <c r="AC211" s="843"/>
      <c r="AD211" s="843"/>
      <c r="AE211" s="843"/>
      <c r="AF211" s="843"/>
      <c r="AG211" s="843"/>
      <c r="AH211" s="843"/>
      <c r="AI211" s="843"/>
      <c r="AJ211" s="844"/>
      <c r="AK211" s="855" t="s">
        <v>263</v>
      </c>
      <c r="AL211" s="856"/>
      <c r="AM211" s="856"/>
      <c r="AN211" s="856"/>
      <c r="AO211" s="856"/>
      <c r="AP211" s="856"/>
      <c r="AQ211" s="856"/>
      <c r="AR211" s="856"/>
      <c r="AS211" s="856"/>
      <c r="AT211" s="856"/>
      <c r="AU211" s="856"/>
      <c r="AV211" s="856"/>
      <c r="AW211" s="856"/>
      <c r="AX211" s="857"/>
      <c r="AY211" s="858">
        <v>220</v>
      </c>
      <c r="AZ211" s="859"/>
      <c r="BA211" s="859"/>
      <c r="BB211" s="859"/>
      <c r="BC211" s="859"/>
      <c r="BD211" s="859"/>
      <c r="BE211" s="850">
        <v>2</v>
      </c>
      <c r="BF211" s="851"/>
      <c r="BG211" s="851"/>
      <c r="BH211" s="851"/>
      <c r="BI211" s="852"/>
      <c r="BJ211" s="822">
        <v>1</v>
      </c>
      <c r="BK211" s="823"/>
      <c r="BL211" s="824"/>
      <c r="BM211" s="947">
        <f>AY211*(BE211+1)*BJ211</f>
        <v>660</v>
      </c>
      <c r="BN211" s="948"/>
      <c r="BO211" s="948"/>
      <c r="BP211" s="948"/>
      <c r="BQ211" s="948"/>
      <c r="BR211" s="949"/>
      <c r="BS211" s="276" t="s">
        <v>262</v>
      </c>
      <c r="BT211" s="274"/>
      <c r="BU211" s="274"/>
      <c r="BV211" s="274"/>
      <c r="BW211" s="274"/>
      <c r="BX211" s="274"/>
      <c r="BY211" s="274"/>
      <c r="BZ211" s="274"/>
      <c r="CA211" s="274"/>
      <c r="CB211" s="274"/>
      <c r="CC211" s="274"/>
      <c r="CD211" s="274"/>
      <c r="CE211" s="275"/>
      <c r="CF211" s="529"/>
      <c r="CG211" s="391"/>
      <c r="CH211" s="2"/>
      <c r="CI211" s="204">
        <f>CI210</f>
        <v>220</v>
      </c>
      <c r="CJ211" s="860">
        <f>SUM(CJ210:CO210)</f>
        <v>210</v>
      </c>
      <c r="CK211" s="860"/>
      <c r="CL211" s="860"/>
      <c r="CM211" s="860"/>
      <c r="CN211" s="860"/>
      <c r="CO211" s="860"/>
      <c r="CP211" s="204">
        <f>CP210</f>
        <v>220</v>
      </c>
      <c r="CQ211" s="861">
        <f>SUM(CQ210:CV210)</f>
        <v>210</v>
      </c>
      <c r="CR211" s="862"/>
      <c r="CS211" s="862"/>
      <c r="CT211" s="862"/>
      <c r="CU211" s="862"/>
      <c r="CV211" s="863"/>
    </row>
    <row r="212" spans="1:100" ht="12" customHeight="1">
      <c r="A212" s="299"/>
      <c r="B212" s="529"/>
      <c r="C212" s="529"/>
      <c r="D212" s="541"/>
      <c r="E212" s="539" t="s">
        <v>260</v>
      </c>
      <c r="F212" s="540"/>
      <c r="G212" s="544"/>
      <c r="H212" s="544"/>
      <c r="I212" s="544"/>
      <c r="J212" s="544"/>
      <c r="K212" s="145"/>
      <c r="L212" s="533"/>
      <c r="M212" s="533"/>
      <c r="N212" s="545"/>
      <c r="O212" s="545"/>
      <c r="P212" s="533"/>
      <c r="Q212" s="533"/>
      <c r="R212" s="533"/>
      <c r="S212" s="533"/>
      <c r="T212" s="532" t="s">
        <v>259</v>
      </c>
      <c r="U212" s="533"/>
      <c r="V212" s="145"/>
      <c r="W212" s="271"/>
      <c r="X212" s="145"/>
      <c r="Y212" s="144"/>
      <c r="Z212" s="842" t="s">
        <v>258</v>
      </c>
      <c r="AA212" s="843"/>
      <c r="AB212" s="843"/>
      <c r="AC212" s="843"/>
      <c r="AD212" s="843"/>
      <c r="AE212" s="843"/>
      <c r="AF212" s="843"/>
      <c r="AG212" s="843"/>
      <c r="AH212" s="843"/>
      <c r="AI212" s="843"/>
      <c r="AJ212" s="844"/>
      <c r="AK212" s="855" t="s">
        <v>257</v>
      </c>
      <c r="AL212" s="856"/>
      <c r="AM212" s="856"/>
      <c r="AN212" s="856"/>
      <c r="AO212" s="856"/>
      <c r="AP212" s="856"/>
      <c r="AQ212" s="856"/>
      <c r="AR212" s="856"/>
      <c r="AS212" s="856"/>
      <c r="AT212" s="856"/>
      <c r="AU212" s="856"/>
      <c r="AV212" s="856"/>
      <c r="AW212" s="856"/>
      <c r="AX212" s="857"/>
      <c r="AY212" s="858">
        <v>0.5</v>
      </c>
      <c r="AZ212" s="859"/>
      <c r="BA212" s="859"/>
      <c r="BB212" s="859"/>
      <c r="BC212" s="859"/>
      <c r="BD212" s="859"/>
      <c r="BE212" s="850">
        <v>2</v>
      </c>
      <c r="BF212" s="851"/>
      <c r="BG212" s="851"/>
      <c r="BH212" s="851"/>
      <c r="BI212" s="852"/>
      <c r="BJ212" s="822">
        <v>1</v>
      </c>
      <c r="BK212" s="823"/>
      <c r="BL212" s="824"/>
      <c r="BM212" s="947">
        <f>AY212*(BE212+1)*BJ212</f>
        <v>1.5</v>
      </c>
      <c r="BN212" s="948"/>
      <c r="BO212" s="948"/>
      <c r="BP212" s="948"/>
      <c r="BQ212" s="948"/>
      <c r="BR212" s="949"/>
      <c r="BS212" s="276" t="s">
        <v>256</v>
      </c>
      <c r="BT212" s="274"/>
      <c r="BU212" s="274"/>
      <c r="BV212" s="274"/>
      <c r="BW212" s="274"/>
      <c r="BX212" s="274"/>
      <c r="BY212" s="274"/>
      <c r="BZ212" s="274"/>
      <c r="CA212" s="274"/>
      <c r="CB212" s="274"/>
      <c r="CC212" s="274"/>
      <c r="CD212" s="274"/>
      <c r="CE212" s="275"/>
      <c r="CF212" s="529"/>
      <c r="CG212" s="391"/>
      <c r="CH212" s="2"/>
    </row>
    <row r="213" spans="1:100" ht="11.45" customHeight="1">
      <c r="A213" s="299"/>
      <c r="B213" s="529"/>
      <c r="C213" s="529"/>
      <c r="D213" s="546"/>
      <c r="E213" s="368"/>
      <c r="F213" s="368"/>
      <c r="G213" s="368"/>
      <c r="H213" s="368"/>
      <c r="I213" s="368"/>
      <c r="J213" s="368"/>
      <c r="K213" s="368"/>
      <c r="L213" s="368"/>
      <c r="M213" s="368"/>
      <c r="N213" s="369"/>
      <c r="O213" s="369"/>
      <c r="P213" s="368"/>
      <c r="Q213" s="368"/>
      <c r="R213" s="368"/>
      <c r="S213" s="368"/>
      <c r="T213" s="368"/>
      <c r="U213" s="368"/>
      <c r="V213" s="368"/>
      <c r="W213" s="369"/>
      <c r="X213" s="368"/>
      <c r="Y213" s="368"/>
      <c r="Z213" s="368"/>
      <c r="AA213" s="368"/>
      <c r="AB213" s="368"/>
      <c r="AC213" s="368"/>
      <c r="AD213" s="368"/>
      <c r="AE213" s="368"/>
      <c r="AF213" s="368"/>
      <c r="AG213" s="368"/>
      <c r="AH213" s="368"/>
      <c r="AI213" s="368"/>
      <c r="AJ213" s="368"/>
      <c r="AK213" s="368"/>
      <c r="AL213" s="368"/>
      <c r="AM213" s="368"/>
      <c r="AN213" s="368"/>
      <c r="AO213" s="368"/>
      <c r="AP213" s="368"/>
      <c r="AQ213" s="368"/>
      <c r="AR213" s="368"/>
      <c r="AS213" s="368"/>
      <c r="AT213" s="368"/>
      <c r="AU213" s="368"/>
      <c r="AV213" s="369"/>
      <c r="AW213" s="369"/>
      <c r="AX213" s="370"/>
      <c r="AY213" s="371"/>
      <c r="AZ213" s="371"/>
      <c r="BA213" s="371"/>
      <c r="BB213" s="371"/>
      <c r="BC213" s="371"/>
      <c r="BD213" s="371"/>
      <c r="BE213" s="371"/>
      <c r="BF213" s="371"/>
      <c r="BG213" s="371"/>
      <c r="BH213" s="371"/>
      <c r="BI213" s="371"/>
      <c r="BJ213" s="372"/>
      <c r="BK213" s="372"/>
      <c r="BL213" s="373" t="s">
        <v>105</v>
      </c>
      <c r="BM213" s="950">
        <f>SUM(BM205:BR212)</f>
        <v>3361.5</v>
      </c>
      <c r="BN213" s="951"/>
      <c r="BO213" s="951"/>
      <c r="BP213" s="951"/>
      <c r="BQ213" s="951"/>
      <c r="BR213" s="952"/>
      <c r="BS213" s="368"/>
      <c r="BT213" s="368"/>
      <c r="BU213" s="368"/>
      <c r="BV213" s="368"/>
      <c r="BW213" s="368"/>
      <c r="BX213" s="368"/>
      <c r="BY213" s="368"/>
      <c r="BZ213" s="368"/>
      <c r="CA213" s="368"/>
      <c r="CB213" s="368"/>
      <c r="CC213" s="368"/>
      <c r="CD213" s="368"/>
      <c r="CE213" s="374"/>
      <c r="CF213" s="529"/>
      <c r="CG213" s="391"/>
      <c r="CH213" s="2"/>
    </row>
    <row r="214" spans="1:100" ht="11.45" customHeight="1">
      <c r="A214" s="299"/>
      <c r="B214" s="529"/>
      <c r="C214" s="529"/>
      <c r="D214" s="529" t="s">
        <v>255</v>
      </c>
      <c r="E214" s="529"/>
      <c r="F214" s="529"/>
      <c r="G214" s="529"/>
      <c r="H214" s="529"/>
      <c r="I214" s="529"/>
      <c r="J214" s="529"/>
      <c r="K214" s="529"/>
      <c r="L214" s="529"/>
      <c r="M214" s="529"/>
      <c r="N214" s="529"/>
      <c r="O214" s="529"/>
      <c r="P214" s="529"/>
      <c r="Q214" s="529"/>
      <c r="R214" s="529"/>
      <c r="S214" s="529"/>
      <c r="T214" s="529"/>
      <c r="U214" s="529"/>
      <c r="V214" s="529"/>
      <c r="W214" s="529"/>
      <c r="X214" s="529"/>
      <c r="Y214" s="529"/>
      <c r="Z214" s="529"/>
      <c r="AA214" s="529"/>
      <c r="AB214" s="529"/>
      <c r="AC214" s="529"/>
      <c r="AD214" s="529"/>
      <c r="AE214" s="529"/>
      <c r="AF214" s="529"/>
      <c r="AG214" s="529"/>
      <c r="AH214" s="529"/>
      <c r="AI214" s="529"/>
      <c r="AJ214" s="529"/>
      <c r="AK214" s="529"/>
      <c r="AL214" s="529"/>
      <c r="AM214" s="529"/>
      <c r="AN214" s="529"/>
      <c r="AO214" s="529"/>
      <c r="AP214" s="529"/>
      <c r="AQ214" s="529"/>
      <c r="AR214" s="529"/>
      <c r="AS214" s="529"/>
      <c r="AT214" s="529"/>
      <c r="AU214" s="529"/>
      <c r="AV214" s="529"/>
      <c r="AW214" s="529"/>
      <c r="AX214" s="529"/>
      <c r="AY214" s="529"/>
      <c r="AZ214" s="529"/>
      <c r="BA214" s="529"/>
      <c r="BB214" s="529"/>
      <c r="BC214" s="529"/>
      <c r="BD214" s="529"/>
      <c r="BE214" s="529"/>
      <c r="BF214" s="529"/>
      <c r="BG214" s="529"/>
      <c r="BH214" s="529"/>
      <c r="BI214" s="529"/>
      <c r="BJ214" s="529"/>
      <c r="BK214" s="529"/>
      <c r="BL214" s="529"/>
      <c r="BM214" s="529"/>
      <c r="BN214" s="529"/>
      <c r="BO214" s="529"/>
      <c r="BP214" s="529"/>
      <c r="BQ214" s="529"/>
      <c r="BR214" s="529"/>
      <c r="BS214" s="529"/>
      <c r="BT214" s="529"/>
      <c r="BU214" s="529"/>
      <c r="BV214" s="529"/>
      <c r="BW214" s="529"/>
      <c r="BX214" s="529"/>
      <c r="BY214" s="529"/>
      <c r="BZ214" s="529"/>
      <c r="CA214" s="529"/>
      <c r="CB214" s="529"/>
      <c r="CC214" s="529"/>
      <c r="CD214" s="529"/>
      <c r="CE214" s="529"/>
      <c r="CF214" s="391"/>
      <c r="CG214" s="2"/>
      <c r="CH214" s="2"/>
      <c r="CI214" s="2"/>
      <c r="CJ214" s="2"/>
      <c r="CK214" s="2"/>
      <c r="CL214" s="2"/>
      <c r="CM214" s="2"/>
      <c r="CN214" s="2"/>
      <c r="CO214" s="2"/>
      <c r="CP214" s="2"/>
      <c r="CQ214" s="2"/>
    </row>
    <row r="215" spans="1:100" ht="11.45" customHeight="1">
      <c r="A215" s="299"/>
      <c r="B215" s="529"/>
      <c r="C215" s="529"/>
      <c r="D215" s="529"/>
      <c r="E215" s="529"/>
      <c r="F215" s="529"/>
      <c r="G215" s="456" t="s">
        <v>1220</v>
      </c>
      <c r="H215" s="529"/>
      <c r="I215" s="529"/>
      <c r="J215" s="529"/>
      <c r="K215" s="529"/>
      <c r="L215" s="529"/>
      <c r="M215" s="529"/>
      <c r="N215" s="529"/>
      <c r="O215" s="529"/>
      <c r="P215" s="529"/>
      <c r="Q215" s="529"/>
      <c r="R215" s="529"/>
      <c r="S215" s="529"/>
      <c r="T215" s="529"/>
      <c r="U215" s="529"/>
      <c r="V215" s="529"/>
      <c r="W215" s="529"/>
      <c r="X215" s="529"/>
      <c r="Y215" s="529"/>
      <c r="Z215" s="529"/>
      <c r="AA215" s="529"/>
      <c r="AB215" s="529"/>
      <c r="AC215" s="529"/>
      <c r="AD215" s="529"/>
      <c r="AE215" s="529"/>
      <c r="AF215" s="529"/>
      <c r="AG215" s="529"/>
      <c r="AH215" s="529"/>
      <c r="AI215" s="529"/>
      <c r="AJ215" s="529"/>
      <c r="AK215" s="529"/>
      <c r="AL215" s="529"/>
      <c r="AM215" s="529"/>
      <c r="AN215" s="529"/>
      <c r="AO215" s="529"/>
      <c r="AP215" s="529"/>
      <c r="AQ215" s="529"/>
      <c r="AR215" s="529"/>
      <c r="AS215" s="529"/>
      <c r="AT215" s="529"/>
      <c r="AU215" s="529"/>
      <c r="AV215" s="529"/>
      <c r="AW215" s="529"/>
      <c r="AX215" s="529"/>
      <c r="AY215" s="529"/>
      <c r="AZ215" s="529"/>
      <c r="BA215" s="529"/>
      <c r="BB215" s="529"/>
      <c r="BC215" s="529"/>
      <c r="BD215" s="529"/>
      <c r="BE215" s="529"/>
      <c r="BF215" s="529"/>
      <c r="BG215" s="529"/>
      <c r="BH215" s="529"/>
      <c r="BI215" s="529"/>
      <c r="BJ215" s="529"/>
      <c r="BK215" s="529"/>
      <c r="BL215" s="529"/>
      <c r="BM215" s="529"/>
      <c r="BN215" s="529"/>
      <c r="BO215" s="529"/>
      <c r="BP215" s="529"/>
      <c r="BQ215" s="529"/>
      <c r="BR215" s="529"/>
      <c r="BS215" s="529"/>
      <c r="BT215" s="529"/>
      <c r="BU215" s="529"/>
      <c r="BV215" s="529"/>
      <c r="BW215" s="529"/>
      <c r="BX215" s="529"/>
      <c r="BY215" s="529"/>
      <c r="BZ215" s="529"/>
      <c r="CA215" s="529"/>
      <c r="CB215" s="529"/>
      <c r="CC215" s="529"/>
      <c r="CD215" s="529"/>
      <c r="CE215" s="529"/>
      <c r="CF215" s="391"/>
      <c r="CG215" s="2"/>
      <c r="CH215" s="2"/>
      <c r="CI215" s="2"/>
      <c r="CJ215" s="2"/>
      <c r="CK215" s="2"/>
      <c r="CL215" s="2"/>
      <c r="CM215" s="2"/>
      <c r="CN215" s="2"/>
      <c r="CO215" s="2"/>
      <c r="CP215" s="2"/>
      <c r="CQ215" s="2"/>
    </row>
    <row r="216" spans="1:100" ht="11.45" customHeight="1">
      <c r="A216" s="299"/>
      <c r="B216" s="529"/>
      <c r="C216" s="529"/>
      <c r="D216" s="529"/>
      <c r="E216" s="529"/>
      <c r="F216" s="529"/>
      <c r="G216" s="456" t="s">
        <v>1221</v>
      </c>
      <c r="H216" s="529"/>
      <c r="I216" s="529"/>
      <c r="J216" s="529"/>
      <c r="K216" s="529"/>
      <c r="L216" s="529"/>
      <c r="M216" s="529"/>
      <c r="N216" s="529"/>
      <c r="O216" s="529"/>
      <c r="P216" s="529"/>
      <c r="Q216" s="529"/>
      <c r="R216" s="529"/>
      <c r="S216" s="529"/>
      <c r="T216" s="529"/>
      <c r="U216" s="529"/>
      <c r="V216" s="529"/>
      <c r="W216" s="529"/>
      <c r="X216" s="529"/>
      <c r="Y216" s="529"/>
      <c r="Z216" s="529"/>
      <c r="AA216" s="529"/>
      <c r="AB216" s="529"/>
      <c r="AC216" s="529"/>
      <c r="AD216" s="529"/>
      <c r="AE216" s="529"/>
      <c r="AF216" s="529"/>
      <c r="AG216" s="529"/>
      <c r="AH216" s="529"/>
      <c r="AI216" s="529"/>
      <c r="AJ216" s="529"/>
      <c r="AK216" s="529"/>
      <c r="AL216" s="529"/>
      <c r="AM216" s="529"/>
      <c r="AN216" s="529"/>
      <c r="AO216" s="529"/>
      <c r="AP216" s="529"/>
      <c r="AQ216" s="529"/>
      <c r="AR216" s="529"/>
      <c r="AS216" s="529"/>
      <c r="AT216" s="529"/>
      <c r="AU216" s="529"/>
      <c r="AV216" s="529"/>
      <c r="AW216" s="529"/>
      <c r="AX216" s="529"/>
      <c r="AY216" s="529"/>
      <c r="AZ216" s="529"/>
      <c r="BA216" s="529"/>
      <c r="BB216" s="529"/>
      <c r="BC216" s="529"/>
      <c r="BD216" s="529"/>
      <c r="BE216" s="529"/>
      <c r="BF216" s="529"/>
      <c r="BG216" s="529"/>
      <c r="BH216" s="529"/>
      <c r="BI216" s="529"/>
      <c r="BJ216" s="529"/>
      <c r="BK216" s="529"/>
      <c r="BL216" s="529"/>
      <c r="BM216" s="529"/>
      <c r="BN216" s="529"/>
      <c r="BO216" s="529"/>
      <c r="BP216" s="529"/>
      <c r="BQ216" s="529"/>
      <c r="BR216" s="529"/>
      <c r="BS216" s="529"/>
      <c r="BT216" s="529"/>
      <c r="BU216" s="529"/>
      <c r="BV216" s="529"/>
      <c r="BW216" s="529"/>
      <c r="BX216" s="529"/>
      <c r="BY216" s="529"/>
      <c r="BZ216" s="529"/>
      <c r="CA216" s="529"/>
      <c r="CB216" s="529"/>
      <c r="CC216" s="529"/>
      <c r="CD216" s="529"/>
      <c r="CE216" s="529"/>
      <c r="CF216" s="391"/>
      <c r="CG216" s="2"/>
      <c r="CH216" s="2"/>
      <c r="CI216" s="2"/>
      <c r="CJ216" s="2"/>
      <c r="CK216" s="2"/>
      <c r="CL216" s="2"/>
      <c r="CM216" s="2"/>
      <c r="CN216" s="2"/>
      <c r="CO216" s="2"/>
      <c r="CP216" s="2"/>
      <c r="CQ216" s="2"/>
    </row>
    <row r="217" spans="1:100" ht="11.45" customHeight="1">
      <c r="A217" s="299"/>
      <c r="B217" s="529"/>
      <c r="C217" s="529"/>
      <c r="D217" s="529"/>
      <c r="E217" s="529"/>
      <c r="F217" s="529"/>
      <c r="G217" s="529"/>
      <c r="H217" s="529"/>
      <c r="I217" s="529"/>
      <c r="J217" s="529"/>
      <c r="K217" s="529"/>
      <c r="L217" s="529"/>
      <c r="M217" s="529"/>
      <c r="N217" s="529"/>
      <c r="O217" s="529"/>
      <c r="P217" s="529"/>
      <c r="Q217" s="529"/>
      <c r="R217" s="529"/>
      <c r="S217" s="529"/>
      <c r="T217" s="529"/>
      <c r="U217" s="529"/>
      <c r="V217" s="529"/>
      <c r="W217" s="529"/>
      <c r="X217" s="529"/>
      <c r="Y217" s="529"/>
      <c r="Z217" s="529"/>
      <c r="AA217" s="529"/>
      <c r="AB217" s="529"/>
      <c r="AC217" s="529"/>
      <c r="AD217" s="529"/>
      <c r="AE217" s="529"/>
      <c r="AF217" s="529"/>
      <c r="AG217" s="529"/>
      <c r="AH217" s="529"/>
      <c r="AI217" s="529"/>
      <c r="AJ217" s="529"/>
      <c r="AK217" s="529"/>
      <c r="AL217" s="529"/>
      <c r="AM217" s="529"/>
      <c r="AN217" s="529"/>
      <c r="AO217" s="529"/>
      <c r="AP217" s="529"/>
      <c r="AQ217" s="529"/>
      <c r="AR217" s="529"/>
      <c r="AS217" s="529"/>
      <c r="AT217" s="529"/>
      <c r="AU217" s="529"/>
      <c r="AV217" s="529"/>
      <c r="AW217" s="529"/>
      <c r="AX217" s="529"/>
      <c r="AY217" s="529"/>
      <c r="AZ217" s="529"/>
      <c r="BA217" s="529"/>
      <c r="BB217" s="529"/>
      <c r="BC217" s="529"/>
      <c r="BD217" s="529"/>
      <c r="BE217" s="529"/>
      <c r="BF217" s="529"/>
      <c r="BG217" s="529"/>
      <c r="BH217" s="529"/>
      <c r="BI217" s="529"/>
      <c r="BJ217" s="529"/>
      <c r="BK217" s="529"/>
      <c r="BL217" s="529"/>
      <c r="BM217" s="529"/>
      <c r="BN217" s="529"/>
      <c r="BO217" s="529"/>
      <c r="BP217" s="529"/>
      <c r="BQ217" s="529"/>
      <c r="BR217" s="529"/>
      <c r="BS217" s="529"/>
      <c r="BT217" s="529"/>
      <c r="BU217" s="529"/>
      <c r="BV217" s="529"/>
      <c r="BW217" s="529"/>
      <c r="BX217" s="529"/>
      <c r="BY217" s="529"/>
      <c r="BZ217" s="529"/>
      <c r="CA217" s="529"/>
      <c r="CB217" s="529"/>
      <c r="CC217" s="529"/>
      <c r="CD217" s="529"/>
      <c r="CE217" s="529"/>
      <c r="CF217" s="391"/>
      <c r="CG217" s="2"/>
      <c r="CH217" s="2"/>
      <c r="CI217" s="2"/>
      <c r="CJ217" s="2"/>
      <c r="CK217" s="2"/>
      <c r="CL217" s="2"/>
      <c r="CM217" s="2"/>
      <c r="CN217" s="2"/>
      <c r="CO217" s="2"/>
      <c r="CP217" s="2"/>
      <c r="CQ217" s="2"/>
    </row>
    <row r="218" spans="1:100" ht="12" customHeight="1">
      <c r="A218" s="299"/>
      <c r="B218" s="529"/>
      <c r="C218" s="529"/>
      <c r="D218" s="529"/>
      <c r="E218" s="529"/>
      <c r="F218" s="529"/>
      <c r="G218" s="529"/>
      <c r="H218" s="529"/>
      <c r="I218" s="529"/>
      <c r="J218" s="529"/>
      <c r="K218" s="529"/>
      <c r="L218" s="529"/>
      <c r="M218" s="529"/>
      <c r="N218" s="529"/>
      <c r="O218" s="529"/>
      <c r="P218" s="529"/>
      <c r="Q218" s="529"/>
      <c r="R218" s="529"/>
      <c r="S218" s="529"/>
      <c r="T218" s="529"/>
      <c r="U218" s="529"/>
      <c r="V218" s="529"/>
      <c r="W218" s="529"/>
      <c r="X218" s="529"/>
      <c r="Y218" s="529"/>
      <c r="Z218" s="529"/>
      <c r="AA218" s="529"/>
      <c r="AB218" s="529"/>
      <c r="AC218" s="529"/>
      <c r="AD218" s="529"/>
      <c r="AE218" s="529"/>
      <c r="AF218" s="529"/>
      <c r="AG218" s="529"/>
      <c r="AH218" s="529"/>
      <c r="AI218" s="529"/>
      <c r="AJ218" s="529"/>
      <c r="AK218" s="529"/>
      <c r="AL218" s="529"/>
      <c r="AM218" s="529"/>
      <c r="AN218" s="529"/>
      <c r="AO218" s="529"/>
      <c r="AP218" s="529"/>
      <c r="AQ218" s="529"/>
      <c r="AR218" s="529"/>
      <c r="AS218" s="529"/>
      <c r="AT218" s="529"/>
      <c r="AU218" s="529"/>
      <c r="AV218" s="529"/>
      <c r="AW218" s="529"/>
      <c r="AX218" s="529"/>
      <c r="AY218" s="529"/>
      <c r="AZ218" s="529"/>
      <c r="BA218" s="529"/>
      <c r="BB218" s="529"/>
      <c r="BC218" s="529"/>
      <c r="BD218" s="529"/>
      <c r="BE218" s="529"/>
      <c r="BF218" s="529"/>
      <c r="BG218" s="529"/>
      <c r="BH218" s="529"/>
      <c r="BI218" s="529"/>
      <c r="BJ218" s="529"/>
      <c r="BK218" s="529"/>
      <c r="BL218" s="529"/>
      <c r="BM218" s="529"/>
      <c r="BN218" s="529"/>
      <c r="BO218" s="529"/>
      <c r="BP218" s="529"/>
      <c r="BQ218" s="529"/>
      <c r="BR218" s="529"/>
      <c r="BS218" s="529"/>
      <c r="BT218" s="529"/>
      <c r="BU218" s="529"/>
      <c r="BV218" s="529"/>
      <c r="BW218" s="529"/>
      <c r="BX218" s="529"/>
      <c r="BY218" s="529"/>
      <c r="BZ218" s="529"/>
      <c r="CA218" s="529"/>
      <c r="CB218" s="529"/>
      <c r="CC218" s="529"/>
      <c r="CD218" s="529"/>
      <c r="CE218" s="529"/>
      <c r="CF218" s="391"/>
      <c r="CG218" s="2"/>
      <c r="CH218" s="2"/>
      <c r="CI218" s="2"/>
      <c r="CJ218" s="2"/>
      <c r="CK218" s="2"/>
      <c r="CL218" s="2"/>
      <c r="CM218" s="2"/>
      <c r="CN218" s="2"/>
      <c r="CO218" s="2"/>
      <c r="CP218" s="2"/>
      <c r="CQ218" s="2"/>
    </row>
    <row r="219" spans="1:100" ht="12" customHeight="1">
      <c r="A219" s="299"/>
      <c r="B219" s="529"/>
      <c r="C219" s="529"/>
      <c r="D219" s="529"/>
      <c r="E219" s="529"/>
      <c r="F219" s="529"/>
      <c r="G219" s="529"/>
      <c r="H219" s="529"/>
      <c r="I219" s="529"/>
      <c r="J219" s="529"/>
      <c r="K219" s="529"/>
      <c r="L219" s="529"/>
      <c r="M219" s="529"/>
      <c r="N219" s="529"/>
      <c r="O219" s="529"/>
      <c r="P219" s="529"/>
      <c r="Q219" s="529"/>
      <c r="R219" s="529"/>
      <c r="S219" s="529"/>
      <c r="T219" s="529"/>
      <c r="U219" s="529"/>
      <c r="V219" s="529"/>
      <c r="W219" s="529"/>
      <c r="X219" s="529"/>
      <c r="Y219" s="529"/>
      <c r="Z219" s="529"/>
      <c r="AA219" s="529"/>
      <c r="AB219" s="529"/>
      <c r="AC219" s="529"/>
      <c r="AD219" s="529"/>
      <c r="AE219" s="529"/>
      <c r="AF219" s="529"/>
      <c r="AG219" s="529"/>
      <c r="AH219" s="529"/>
      <c r="AI219" s="529"/>
      <c r="AJ219" s="529"/>
      <c r="AK219" s="529"/>
      <c r="AL219" s="529"/>
      <c r="AM219" s="529"/>
      <c r="AN219" s="529"/>
      <c r="AO219" s="529"/>
      <c r="AP219" s="529"/>
      <c r="AQ219" s="529"/>
      <c r="AR219" s="529"/>
      <c r="AS219" s="529"/>
      <c r="AT219" s="529"/>
      <c r="AU219" s="529"/>
      <c r="AV219" s="529"/>
      <c r="AW219" s="529"/>
      <c r="AX219" s="529"/>
      <c r="AY219" s="529"/>
      <c r="AZ219" s="529"/>
      <c r="BA219" s="529"/>
      <c r="BB219" s="529"/>
      <c r="BC219" s="529"/>
      <c r="BD219" s="529"/>
      <c r="BE219" s="529"/>
      <c r="BF219" s="529"/>
      <c r="BG219" s="529"/>
      <c r="BH219" s="529"/>
      <c r="BI219" s="529"/>
      <c r="BJ219" s="529"/>
      <c r="BK219" s="529"/>
      <c r="BL219" s="529"/>
      <c r="BM219" s="529"/>
      <c r="BN219" s="529"/>
      <c r="BO219" s="529"/>
      <c r="BP219" s="529"/>
      <c r="BQ219" s="529"/>
      <c r="BR219" s="529"/>
      <c r="BS219" s="529"/>
      <c r="BT219" s="529"/>
      <c r="BU219" s="529"/>
      <c r="BV219" s="529"/>
      <c r="BW219" s="529"/>
      <c r="BX219" s="529"/>
      <c r="BY219" s="529"/>
      <c r="BZ219" s="529"/>
      <c r="CA219" s="529"/>
      <c r="CB219" s="529"/>
      <c r="CC219" s="529"/>
      <c r="CD219" s="529"/>
      <c r="CE219" s="529"/>
      <c r="CF219" s="391"/>
      <c r="CG219" s="2"/>
      <c r="CH219" s="2"/>
      <c r="CI219" s="2"/>
      <c r="CJ219" s="2"/>
      <c r="CK219" s="2"/>
      <c r="CL219" s="2"/>
      <c r="CM219" s="2"/>
      <c r="CN219" s="2"/>
      <c r="CO219" s="2"/>
      <c r="CP219" s="2"/>
      <c r="CQ219" s="2"/>
    </row>
    <row r="220" spans="1:100" ht="12" customHeight="1">
      <c r="A220" s="299"/>
      <c r="B220" s="529"/>
      <c r="C220" s="529"/>
      <c r="D220" s="529"/>
      <c r="E220" s="529"/>
      <c r="F220" s="529"/>
      <c r="G220" s="529"/>
      <c r="H220" s="529"/>
      <c r="I220" s="529"/>
      <c r="J220" s="529"/>
      <c r="K220" s="529"/>
      <c r="L220" s="529"/>
      <c r="M220" s="529"/>
      <c r="N220" s="529"/>
      <c r="O220" s="529"/>
      <c r="P220" s="529"/>
      <c r="Q220" s="529"/>
      <c r="R220" s="529"/>
      <c r="S220" s="529"/>
      <c r="T220" s="529"/>
      <c r="U220" s="529"/>
      <c r="V220" s="529"/>
      <c r="W220" s="529"/>
      <c r="X220" s="529"/>
      <c r="Y220" s="529"/>
      <c r="Z220" s="529"/>
      <c r="AA220" s="529"/>
      <c r="AB220" s="529"/>
      <c r="AC220" s="529"/>
      <c r="AD220" s="529"/>
      <c r="AE220" s="529"/>
      <c r="AF220" s="529"/>
      <c r="AG220" s="529"/>
      <c r="AH220" s="529"/>
      <c r="AI220" s="529"/>
      <c r="AJ220" s="529"/>
      <c r="AK220" s="529"/>
      <c r="AL220" s="529"/>
      <c r="AM220" s="529"/>
      <c r="AN220" s="529"/>
      <c r="AO220" s="529"/>
      <c r="AP220" s="529"/>
      <c r="AQ220" s="529"/>
      <c r="AR220" s="529"/>
      <c r="AS220" s="529"/>
      <c r="AT220" s="529"/>
      <c r="AU220" s="529"/>
      <c r="AV220" s="529"/>
      <c r="AW220" s="529"/>
      <c r="AX220" s="529"/>
      <c r="AY220" s="529"/>
      <c r="AZ220" s="529"/>
      <c r="BA220" s="529"/>
      <c r="BB220" s="529"/>
      <c r="BC220" s="529"/>
      <c r="BD220" s="529"/>
      <c r="BE220" s="529"/>
      <c r="BF220" s="529"/>
      <c r="BG220" s="529"/>
      <c r="BH220" s="529"/>
      <c r="BI220" s="529"/>
      <c r="BJ220" s="529"/>
      <c r="BK220" s="529"/>
      <c r="BL220" s="529"/>
      <c r="BM220" s="529"/>
      <c r="BN220" s="529"/>
      <c r="BO220" s="529"/>
      <c r="BP220" s="529"/>
      <c r="BQ220" s="529"/>
      <c r="BR220" s="529"/>
      <c r="BS220" s="529"/>
      <c r="BT220" s="529"/>
      <c r="BU220" s="529"/>
      <c r="BV220" s="529"/>
      <c r="BW220" s="529"/>
      <c r="BX220" s="529"/>
      <c r="BY220" s="529"/>
      <c r="BZ220" s="529"/>
      <c r="CA220" s="529"/>
      <c r="CB220" s="529"/>
      <c r="CC220" s="529"/>
      <c r="CD220" s="529"/>
      <c r="CE220" s="529"/>
      <c r="CF220" s="2"/>
      <c r="CG220" s="2"/>
      <c r="CH220" s="2"/>
      <c r="CI220" s="2"/>
      <c r="CJ220" s="2"/>
      <c r="CK220" s="2"/>
      <c r="CL220" s="2"/>
      <c r="CM220" s="2"/>
      <c r="CN220" s="2"/>
      <c r="CO220" s="2"/>
      <c r="CP220" s="2"/>
    </row>
    <row r="221" spans="1:100" ht="12" customHeight="1">
      <c r="A221" s="299"/>
      <c r="B221" s="529"/>
      <c r="C221" s="529"/>
      <c r="D221" s="529"/>
      <c r="E221" s="529"/>
      <c r="F221" s="529"/>
      <c r="G221" s="529"/>
      <c r="H221" s="529"/>
      <c r="I221" s="529"/>
      <c r="J221" s="529"/>
      <c r="K221" s="529"/>
      <c r="L221" s="529"/>
      <c r="M221" s="529"/>
      <c r="N221" s="529"/>
      <c r="O221" s="529"/>
      <c r="P221" s="529"/>
      <c r="Q221" s="529"/>
      <c r="R221" s="529"/>
      <c r="S221" s="529"/>
      <c r="T221" s="529"/>
      <c r="U221" s="529"/>
      <c r="V221" s="529"/>
      <c r="W221" s="529"/>
      <c r="X221" s="529"/>
      <c r="Y221" s="529"/>
      <c r="Z221" s="529"/>
      <c r="AA221" s="529"/>
      <c r="AB221" s="529"/>
      <c r="AC221" s="529"/>
      <c r="AD221" s="529"/>
      <c r="AE221" s="529"/>
      <c r="AF221" s="529"/>
      <c r="AG221" s="529"/>
      <c r="AH221" s="529"/>
      <c r="AI221" s="529"/>
      <c r="AJ221" s="529"/>
      <c r="AK221" s="529"/>
      <c r="AL221" s="529"/>
      <c r="AM221" s="529"/>
      <c r="AN221" s="529"/>
      <c r="AO221" s="529"/>
      <c r="AP221" s="529"/>
      <c r="AQ221" s="529"/>
      <c r="AR221" s="529"/>
      <c r="AS221" s="529"/>
      <c r="AT221" s="529"/>
      <c r="AU221" s="529"/>
      <c r="AV221" s="529"/>
      <c r="AW221" s="529"/>
      <c r="AX221" s="529"/>
      <c r="AY221" s="529"/>
      <c r="AZ221" s="529"/>
      <c r="BA221" s="529"/>
      <c r="BB221" s="529"/>
      <c r="BC221" s="529"/>
      <c r="BD221" s="529"/>
      <c r="BE221" s="529"/>
      <c r="BF221" s="529"/>
      <c r="BG221" s="529"/>
      <c r="BH221" s="529"/>
      <c r="BI221" s="529"/>
      <c r="BJ221" s="529"/>
      <c r="BK221" s="529"/>
      <c r="BL221" s="529"/>
      <c r="BM221" s="529"/>
      <c r="BN221" s="529"/>
      <c r="BO221" s="529"/>
      <c r="BP221" s="529"/>
      <c r="BQ221" s="529"/>
      <c r="BR221" s="529"/>
      <c r="BS221" s="529"/>
      <c r="BT221" s="529"/>
      <c r="BU221" s="529"/>
      <c r="BV221" s="529"/>
      <c r="BW221" s="529"/>
      <c r="BX221" s="529"/>
      <c r="BY221" s="529"/>
      <c r="BZ221" s="529"/>
      <c r="CA221" s="529"/>
      <c r="CB221" s="529"/>
      <c r="CC221" s="529"/>
      <c r="CD221" s="529"/>
      <c r="CE221" s="529"/>
      <c r="CF221" s="2"/>
      <c r="CG221" s="2"/>
      <c r="CH221" s="2"/>
      <c r="CI221" s="2"/>
      <c r="CJ221" s="2"/>
      <c r="CK221" s="2"/>
      <c r="CL221" s="2"/>
      <c r="CM221" s="2"/>
      <c r="CN221" s="2"/>
      <c r="CO221" s="2"/>
      <c r="CP221" s="2"/>
    </row>
    <row r="222" spans="1:100" ht="12" customHeight="1">
      <c r="A222" s="299"/>
      <c r="B222" s="529"/>
      <c r="C222" s="529"/>
      <c r="D222" s="529"/>
      <c r="E222" s="529"/>
      <c r="F222" s="529"/>
      <c r="G222" s="529"/>
      <c r="H222" s="529"/>
      <c r="I222" s="529"/>
      <c r="J222" s="529"/>
      <c r="K222" s="529"/>
      <c r="L222" s="529"/>
      <c r="M222" s="529"/>
      <c r="N222" s="529"/>
      <c r="O222" s="529"/>
      <c r="P222" s="529"/>
      <c r="Q222" s="529"/>
      <c r="R222" s="529"/>
      <c r="S222" s="529"/>
      <c r="T222" s="529"/>
      <c r="U222" s="529"/>
      <c r="V222" s="529"/>
      <c r="W222" s="529"/>
      <c r="X222" s="529"/>
      <c r="Y222" s="529"/>
      <c r="Z222" s="529"/>
      <c r="AA222" s="529"/>
      <c r="AB222" s="529"/>
      <c r="AC222" s="529"/>
      <c r="AD222" s="529"/>
      <c r="AE222" s="529"/>
      <c r="AF222" s="529"/>
      <c r="AG222" s="529"/>
      <c r="AH222" s="529"/>
      <c r="AI222" s="529"/>
      <c r="AJ222" s="529"/>
      <c r="AK222" s="529"/>
      <c r="AL222" s="529"/>
      <c r="AM222" s="529"/>
      <c r="AN222" s="529"/>
      <c r="AO222" s="529"/>
      <c r="AP222" s="529"/>
      <c r="AQ222" s="529"/>
      <c r="AR222" s="529"/>
      <c r="AS222" s="529"/>
      <c r="AT222" s="529"/>
      <c r="AU222" s="529"/>
      <c r="AV222" s="529"/>
      <c r="AW222" s="529"/>
      <c r="AX222" s="529"/>
      <c r="AY222" s="529"/>
      <c r="AZ222" s="529"/>
      <c r="BA222" s="529"/>
      <c r="BB222" s="529"/>
      <c r="BC222" s="529"/>
      <c r="BD222" s="529"/>
      <c r="BE222" s="529"/>
      <c r="BF222" s="529"/>
      <c r="BG222" s="529"/>
      <c r="BH222" s="529"/>
      <c r="BI222" s="529"/>
      <c r="BJ222" s="529"/>
      <c r="BK222" s="529"/>
      <c r="BL222" s="529"/>
      <c r="BM222" s="529"/>
      <c r="BN222" s="529"/>
      <c r="BO222" s="529"/>
      <c r="BP222" s="529"/>
      <c r="BQ222" s="529"/>
      <c r="BR222" s="529"/>
      <c r="BS222" s="529"/>
      <c r="BT222" s="529"/>
      <c r="BU222" s="529"/>
      <c r="BV222" s="529"/>
      <c r="BW222" s="529"/>
      <c r="BX222" s="529"/>
      <c r="BY222" s="529"/>
      <c r="BZ222" s="529"/>
      <c r="CA222" s="529"/>
      <c r="CB222" s="529"/>
      <c r="CC222" s="529"/>
      <c r="CD222" s="529"/>
      <c r="CE222" s="529"/>
      <c r="CF222" s="2"/>
      <c r="CG222" s="2"/>
      <c r="CH222" s="2"/>
      <c r="CI222" s="2"/>
      <c r="CJ222" s="2"/>
      <c r="CK222" s="2"/>
      <c r="CL222" s="2"/>
      <c r="CM222" s="2"/>
      <c r="CN222" s="2"/>
      <c r="CO222" s="2"/>
      <c r="CP222" s="2"/>
    </row>
    <row r="223" spans="1:100" ht="12" customHeight="1">
      <c r="A223" s="299"/>
      <c r="B223" s="529"/>
      <c r="C223" s="529"/>
      <c r="D223" s="529"/>
      <c r="E223" s="529"/>
      <c r="F223" s="529"/>
      <c r="G223" s="529"/>
      <c r="H223" s="529"/>
      <c r="I223" s="529"/>
      <c r="J223" s="529"/>
      <c r="K223" s="529"/>
      <c r="L223" s="529"/>
      <c r="M223" s="529"/>
      <c r="N223" s="529"/>
      <c r="O223" s="529"/>
      <c r="P223" s="529"/>
      <c r="Q223" s="529"/>
      <c r="R223" s="529"/>
      <c r="S223" s="529"/>
      <c r="T223" s="529"/>
      <c r="U223" s="529"/>
      <c r="V223" s="529"/>
      <c r="W223" s="529"/>
      <c r="X223" s="529"/>
      <c r="Y223" s="529"/>
      <c r="Z223" s="529"/>
      <c r="AA223" s="529"/>
      <c r="AB223" s="529"/>
      <c r="AC223" s="529"/>
      <c r="AD223" s="529"/>
      <c r="AE223" s="529"/>
      <c r="AF223" s="529"/>
      <c r="AG223" s="529"/>
      <c r="AH223" s="529"/>
      <c r="AI223" s="529"/>
      <c r="AJ223" s="529"/>
      <c r="AK223" s="529"/>
      <c r="AL223" s="529"/>
      <c r="AM223" s="529"/>
      <c r="AN223" s="529"/>
      <c r="AO223" s="529"/>
      <c r="AP223" s="529"/>
      <c r="AQ223" s="529"/>
      <c r="AR223" s="529"/>
      <c r="AS223" s="529"/>
      <c r="AT223" s="529"/>
      <c r="AU223" s="529"/>
      <c r="AV223" s="529"/>
      <c r="AW223" s="529"/>
      <c r="AX223" s="529"/>
      <c r="AY223" s="529"/>
      <c r="AZ223" s="529"/>
      <c r="BA223" s="529"/>
      <c r="BB223" s="529"/>
      <c r="BC223" s="529"/>
      <c r="BD223" s="529"/>
      <c r="BE223" s="529"/>
      <c r="BF223" s="529"/>
      <c r="BG223" s="529"/>
      <c r="BH223" s="529"/>
      <c r="BI223" s="529"/>
      <c r="BJ223" s="529"/>
      <c r="BK223" s="529"/>
      <c r="BL223" s="529"/>
      <c r="BM223" s="529"/>
      <c r="BN223" s="529"/>
      <c r="BO223" s="529"/>
      <c r="BP223" s="529"/>
      <c r="BQ223" s="529"/>
      <c r="BR223" s="529"/>
      <c r="BS223" s="529"/>
      <c r="BT223" s="529"/>
      <c r="BU223" s="529"/>
      <c r="BV223" s="529"/>
      <c r="BW223" s="529"/>
      <c r="BX223" s="529"/>
      <c r="BY223" s="529"/>
      <c r="BZ223" s="529"/>
      <c r="CA223" s="529"/>
      <c r="CB223" s="529"/>
      <c r="CC223" s="529"/>
      <c r="CD223" s="529"/>
      <c r="CE223" s="529"/>
      <c r="CF223" s="2"/>
      <c r="CG223" s="2"/>
      <c r="CH223" s="2"/>
      <c r="CI223" s="2"/>
      <c r="CJ223" s="2"/>
      <c r="CK223" s="2"/>
      <c r="CL223" s="2"/>
      <c r="CM223" s="2"/>
      <c r="CN223" s="2"/>
      <c r="CO223" s="2"/>
      <c r="CP223" s="2"/>
    </row>
    <row r="224" spans="1:100" ht="12" customHeight="1">
      <c r="A224" s="299"/>
      <c r="B224" s="529"/>
      <c r="C224" s="529"/>
      <c r="D224" s="529"/>
      <c r="E224" s="529"/>
      <c r="F224" s="529"/>
      <c r="G224" s="529"/>
      <c r="H224" s="529"/>
      <c r="I224" s="529"/>
      <c r="J224" s="529"/>
      <c r="K224" s="529"/>
      <c r="L224" s="529"/>
      <c r="M224" s="529"/>
      <c r="N224" s="529"/>
      <c r="O224" s="529"/>
      <c r="P224" s="529"/>
      <c r="Q224" s="529"/>
      <c r="R224" s="529"/>
      <c r="S224" s="529"/>
      <c r="T224" s="529"/>
      <c r="U224" s="529"/>
      <c r="V224" s="529"/>
      <c r="W224" s="529"/>
      <c r="X224" s="529"/>
      <c r="Y224" s="529"/>
      <c r="Z224" s="529"/>
      <c r="AA224" s="529"/>
      <c r="AB224" s="529"/>
      <c r="AC224" s="529"/>
      <c r="AD224" s="529"/>
      <c r="AE224" s="529"/>
      <c r="AF224" s="529"/>
      <c r="AG224" s="529"/>
      <c r="AH224" s="529"/>
      <c r="AI224" s="529"/>
      <c r="AJ224" s="529"/>
      <c r="AK224" s="529"/>
      <c r="AL224" s="529"/>
      <c r="AM224" s="529"/>
      <c r="AN224" s="529"/>
      <c r="AO224" s="529"/>
      <c r="AP224" s="529"/>
      <c r="AQ224" s="529"/>
      <c r="AR224" s="529"/>
      <c r="AS224" s="529"/>
      <c r="AT224" s="529"/>
      <c r="AU224" s="529"/>
      <c r="AV224" s="529"/>
      <c r="AW224" s="529"/>
      <c r="AX224" s="529"/>
      <c r="AY224" s="529"/>
      <c r="AZ224" s="529"/>
      <c r="BA224" s="529"/>
      <c r="BB224" s="529"/>
      <c r="BC224" s="529"/>
      <c r="BD224" s="529"/>
      <c r="BE224" s="529"/>
      <c r="BF224" s="529"/>
      <c r="BG224" s="529"/>
      <c r="BH224" s="529"/>
      <c r="BI224" s="529"/>
      <c r="BJ224" s="529"/>
      <c r="BK224" s="529"/>
      <c r="BL224" s="529"/>
      <c r="BM224" s="529"/>
      <c r="BN224" s="529"/>
      <c r="BO224" s="529"/>
      <c r="BP224" s="529"/>
      <c r="BQ224" s="529"/>
      <c r="BR224" s="529"/>
      <c r="BS224" s="529"/>
      <c r="BT224" s="529"/>
      <c r="BU224" s="529"/>
      <c r="BV224" s="529"/>
      <c r="BW224" s="529"/>
      <c r="BX224" s="529"/>
      <c r="BY224" s="529"/>
      <c r="BZ224" s="529"/>
      <c r="CA224" s="529"/>
      <c r="CB224" s="529"/>
      <c r="CC224" s="529"/>
      <c r="CD224" s="529"/>
      <c r="CE224" s="529"/>
      <c r="CF224" s="2"/>
      <c r="CG224" s="2"/>
      <c r="CH224" s="2"/>
      <c r="CI224" s="2"/>
      <c r="CJ224" s="2"/>
      <c r="CK224" s="2"/>
      <c r="CL224" s="2"/>
      <c r="CM224" s="2"/>
      <c r="CN224" s="2"/>
      <c r="CO224" s="2"/>
      <c r="CP224" s="2"/>
    </row>
    <row r="225" spans="1:94" ht="12" customHeight="1">
      <c r="A225" s="299"/>
      <c r="B225" s="529"/>
      <c r="C225" s="529"/>
      <c r="D225" s="529"/>
      <c r="E225" s="529"/>
      <c r="F225" s="529"/>
      <c r="G225" s="529"/>
      <c r="H225" s="529"/>
      <c r="I225" s="529"/>
      <c r="J225" s="529"/>
      <c r="K225" s="529"/>
      <c r="L225" s="529"/>
      <c r="M225" s="529"/>
      <c r="N225" s="529"/>
      <c r="O225" s="529"/>
      <c r="P225" s="529"/>
      <c r="Q225" s="529"/>
      <c r="R225" s="529"/>
      <c r="S225" s="529"/>
      <c r="T225" s="529"/>
      <c r="U225" s="529"/>
      <c r="V225" s="529"/>
      <c r="W225" s="529"/>
      <c r="X225" s="529"/>
      <c r="Y225" s="529"/>
      <c r="Z225" s="529"/>
      <c r="AA225" s="529"/>
      <c r="AB225" s="529"/>
      <c r="AC225" s="529"/>
      <c r="AD225" s="529"/>
      <c r="AE225" s="529"/>
      <c r="AF225" s="529"/>
      <c r="AG225" s="529"/>
      <c r="AH225" s="529"/>
      <c r="AI225" s="529"/>
      <c r="AJ225" s="529"/>
      <c r="AK225" s="529"/>
      <c r="AL225" s="529"/>
      <c r="AM225" s="529"/>
      <c r="AN225" s="529"/>
      <c r="AO225" s="529"/>
      <c r="AP225" s="529"/>
      <c r="AQ225" s="529"/>
      <c r="AR225" s="529"/>
      <c r="AS225" s="529"/>
      <c r="AT225" s="529"/>
      <c r="AU225" s="529"/>
      <c r="AV225" s="529"/>
      <c r="AW225" s="529"/>
      <c r="AX225" s="529"/>
      <c r="AY225" s="529"/>
      <c r="AZ225" s="529"/>
      <c r="BA225" s="529"/>
      <c r="BB225" s="529"/>
      <c r="BC225" s="529"/>
      <c r="BD225" s="529"/>
      <c r="BE225" s="529"/>
      <c r="BF225" s="529"/>
      <c r="BG225" s="529"/>
      <c r="BH225" s="529"/>
      <c r="BI225" s="529"/>
      <c r="BJ225" s="529"/>
      <c r="BK225" s="529"/>
      <c r="BL225" s="529"/>
      <c r="BM225" s="529"/>
      <c r="BN225" s="529"/>
      <c r="BO225" s="529"/>
      <c r="BP225" s="529"/>
      <c r="BQ225" s="529"/>
      <c r="BR225" s="529"/>
      <c r="BS225" s="529"/>
      <c r="BT225" s="529"/>
      <c r="BU225" s="529"/>
      <c r="BV225" s="529"/>
      <c r="BW225" s="529"/>
      <c r="BX225" s="529"/>
      <c r="BY225" s="529"/>
      <c r="BZ225" s="529"/>
      <c r="CA225" s="529"/>
      <c r="CB225" s="529"/>
      <c r="CC225" s="529"/>
      <c r="CD225" s="529"/>
      <c r="CE225" s="529"/>
      <c r="CF225" s="2"/>
      <c r="CG225" s="2"/>
      <c r="CH225" s="2"/>
      <c r="CI225" s="2"/>
      <c r="CJ225" s="2"/>
      <c r="CK225" s="2"/>
      <c r="CL225" s="2"/>
      <c r="CM225" s="2"/>
      <c r="CN225" s="2"/>
      <c r="CO225" s="2"/>
      <c r="CP225" s="2"/>
    </row>
    <row r="226" spans="1:94" ht="12" customHeight="1">
      <c r="A226" s="299"/>
      <c r="B226" s="529"/>
      <c r="C226" s="529"/>
      <c r="D226" s="529"/>
      <c r="E226" s="529"/>
      <c r="F226" s="529"/>
      <c r="G226" s="529"/>
      <c r="H226" s="529"/>
      <c r="I226" s="529"/>
      <c r="J226" s="529"/>
      <c r="K226" s="529"/>
      <c r="L226" s="529"/>
      <c r="M226" s="529"/>
      <c r="N226" s="529"/>
      <c r="O226" s="529"/>
      <c r="P226" s="529"/>
      <c r="Q226" s="529"/>
      <c r="R226" s="529"/>
      <c r="S226" s="529"/>
      <c r="T226" s="529"/>
      <c r="U226" s="529"/>
      <c r="V226" s="529"/>
      <c r="W226" s="529"/>
      <c r="X226" s="529"/>
      <c r="Y226" s="529"/>
      <c r="Z226" s="529"/>
      <c r="AA226" s="529"/>
      <c r="AB226" s="529"/>
      <c r="AC226" s="529"/>
      <c r="AD226" s="529"/>
      <c r="AE226" s="529"/>
      <c r="AF226" s="529"/>
      <c r="AG226" s="529"/>
      <c r="AH226" s="529"/>
      <c r="AI226" s="529"/>
      <c r="AJ226" s="529"/>
      <c r="AK226" s="529"/>
      <c r="AL226" s="529"/>
      <c r="AM226" s="529"/>
      <c r="AN226" s="529"/>
      <c r="AO226" s="529"/>
      <c r="AP226" s="529"/>
      <c r="AQ226" s="529"/>
      <c r="AR226" s="529"/>
      <c r="AS226" s="529"/>
      <c r="AT226" s="529"/>
      <c r="AU226" s="529"/>
      <c r="AV226" s="529"/>
      <c r="AW226" s="529"/>
      <c r="AX226" s="529"/>
      <c r="AY226" s="529"/>
      <c r="AZ226" s="529"/>
      <c r="BA226" s="529"/>
      <c r="BB226" s="529"/>
      <c r="BC226" s="529"/>
      <c r="BD226" s="529"/>
      <c r="BE226" s="529"/>
      <c r="BF226" s="529"/>
      <c r="BG226" s="529"/>
      <c r="BH226" s="529"/>
      <c r="BI226" s="529"/>
      <c r="BJ226" s="529"/>
      <c r="BK226" s="529"/>
      <c r="BL226" s="529"/>
      <c r="BM226" s="529"/>
      <c r="BN226" s="529"/>
      <c r="BO226" s="529"/>
      <c r="BP226" s="529"/>
      <c r="BQ226" s="529"/>
      <c r="BR226" s="529"/>
      <c r="BS226" s="529"/>
      <c r="BT226" s="529"/>
      <c r="BU226" s="529"/>
      <c r="BV226" s="529"/>
      <c r="BW226" s="529"/>
      <c r="BX226" s="529"/>
      <c r="BY226" s="529"/>
      <c r="BZ226" s="529"/>
      <c r="CA226" s="529"/>
      <c r="CB226" s="529"/>
      <c r="CC226" s="529"/>
      <c r="CD226" s="529"/>
      <c r="CE226" s="529"/>
      <c r="CF226" s="2"/>
      <c r="CG226" s="2"/>
      <c r="CH226" s="2"/>
      <c r="CI226" s="2"/>
      <c r="CJ226" s="2"/>
      <c r="CK226" s="2"/>
      <c r="CL226" s="2"/>
      <c r="CM226" s="2"/>
      <c r="CN226" s="2"/>
      <c r="CO226" s="2"/>
      <c r="CP226" s="2"/>
    </row>
    <row r="227" spans="1:94" ht="12" customHeight="1">
      <c r="A227" s="299"/>
      <c r="B227" s="529"/>
      <c r="C227" s="529"/>
      <c r="D227" s="529"/>
      <c r="E227" s="529"/>
      <c r="F227" s="529"/>
      <c r="G227" s="529"/>
      <c r="H227" s="529"/>
      <c r="I227" s="529"/>
      <c r="J227" s="529"/>
      <c r="K227" s="529"/>
      <c r="L227" s="529"/>
      <c r="M227" s="529"/>
      <c r="N227" s="529"/>
      <c r="O227" s="529"/>
      <c r="P227" s="529"/>
      <c r="Q227" s="529"/>
      <c r="R227" s="529"/>
      <c r="S227" s="529"/>
      <c r="T227" s="529"/>
      <c r="U227" s="529"/>
      <c r="V227" s="529"/>
      <c r="W227" s="529"/>
      <c r="X227" s="529"/>
      <c r="Y227" s="529"/>
      <c r="Z227" s="529"/>
      <c r="AA227" s="529"/>
      <c r="AB227" s="529"/>
      <c r="AC227" s="529"/>
      <c r="AD227" s="529"/>
      <c r="AE227" s="529"/>
      <c r="AF227" s="529"/>
      <c r="AG227" s="529"/>
      <c r="AH227" s="529"/>
      <c r="AI227" s="529"/>
      <c r="AJ227" s="529"/>
      <c r="AK227" s="529"/>
      <c r="AL227" s="529"/>
      <c r="AM227" s="529"/>
      <c r="AN227" s="529"/>
      <c r="AO227" s="529"/>
      <c r="AP227" s="529"/>
      <c r="AQ227" s="529"/>
      <c r="AR227" s="529"/>
      <c r="AS227" s="529"/>
      <c r="AT227" s="529"/>
      <c r="AU227" s="529"/>
      <c r="AV227" s="529"/>
      <c r="AW227" s="529"/>
      <c r="AX227" s="529"/>
      <c r="AY227" s="529"/>
      <c r="AZ227" s="529"/>
      <c r="BA227" s="529"/>
      <c r="BB227" s="529"/>
      <c r="BC227" s="529"/>
      <c r="BD227" s="529"/>
      <c r="BE227" s="529"/>
      <c r="BF227" s="529"/>
      <c r="BG227" s="529"/>
      <c r="BH227" s="529"/>
      <c r="BI227" s="529"/>
      <c r="BJ227" s="529"/>
      <c r="BK227" s="529"/>
      <c r="BL227" s="529"/>
      <c r="BM227" s="529"/>
      <c r="BN227" s="529"/>
      <c r="BO227" s="529"/>
      <c r="BP227" s="529"/>
      <c r="BQ227" s="529"/>
      <c r="BR227" s="529"/>
      <c r="BS227" s="529"/>
      <c r="BT227" s="529"/>
      <c r="BU227" s="529"/>
      <c r="BV227" s="529"/>
      <c r="BW227" s="529"/>
      <c r="BX227" s="529"/>
      <c r="BY227" s="529"/>
      <c r="BZ227" s="529"/>
      <c r="CA227" s="529"/>
      <c r="CB227" s="529"/>
      <c r="CC227" s="529"/>
      <c r="CD227" s="529"/>
      <c r="CE227" s="529"/>
      <c r="CF227" s="2"/>
      <c r="CG227" s="2"/>
      <c r="CH227" s="2"/>
      <c r="CI227" s="2"/>
      <c r="CJ227" s="2"/>
      <c r="CK227" s="2"/>
      <c r="CL227" s="2"/>
      <c r="CM227" s="2"/>
      <c r="CN227" s="2"/>
      <c r="CO227" s="2"/>
      <c r="CP227" s="2"/>
    </row>
    <row r="228" spans="1:94" ht="12" customHeight="1">
      <c r="A228" s="299"/>
      <c r="B228" s="529"/>
      <c r="C228" s="529"/>
      <c r="D228" s="529"/>
      <c r="E228" s="529"/>
      <c r="F228" s="529"/>
      <c r="G228" s="529"/>
      <c r="H228" s="529"/>
      <c r="I228" s="529"/>
      <c r="J228" s="529"/>
      <c r="K228" s="529"/>
      <c r="L228" s="529"/>
      <c r="M228" s="529"/>
      <c r="N228" s="529"/>
      <c r="O228" s="529"/>
      <c r="P228" s="529"/>
      <c r="Q228" s="529"/>
      <c r="R228" s="529"/>
      <c r="S228" s="529"/>
      <c r="T228" s="529"/>
      <c r="U228" s="529"/>
      <c r="V228" s="529"/>
      <c r="W228" s="529"/>
      <c r="X228" s="529"/>
      <c r="Y228" s="529"/>
      <c r="Z228" s="529"/>
      <c r="AA228" s="529"/>
      <c r="AB228" s="529"/>
      <c r="AC228" s="529"/>
      <c r="AD228" s="529"/>
      <c r="AE228" s="529"/>
      <c r="AF228" s="529"/>
      <c r="AG228" s="529"/>
      <c r="AH228" s="529"/>
      <c r="AI228" s="529"/>
      <c r="AJ228" s="529"/>
      <c r="AK228" s="529"/>
      <c r="AL228" s="529"/>
      <c r="AM228" s="529"/>
      <c r="AN228" s="529"/>
      <c r="AO228" s="529"/>
      <c r="AP228" s="529"/>
      <c r="AQ228" s="529"/>
      <c r="AR228" s="529"/>
      <c r="AS228" s="529"/>
      <c r="AT228" s="529"/>
      <c r="AU228" s="529"/>
      <c r="AV228" s="529"/>
      <c r="AW228" s="529"/>
      <c r="AX228" s="529"/>
      <c r="AY228" s="529"/>
      <c r="AZ228" s="529"/>
      <c r="BA228" s="529"/>
      <c r="BB228" s="529"/>
      <c r="BC228" s="529"/>
      <c r="BD228" s="529"/>
      <c r="BE228" s="529"/>
      <c r="BF228" s="529"/>
      <c r="BG228" s="529"/>
      <c r="BH228" s="529"/>
      <c r="BI228" s="529"/>
      <c r="BJ228" s="529"/>
      <c r="BK228" s="529"/>
      <c r="BL228" s="529"/>
      <c r="BM228" s="529"/>
      <c r="BN228" s="529"/>
      <c r="BO228" s="529"/>
      <c r="BP228" s="529"/>
      <c r="BQ228" s="529"/>
      <c r="BR228" s="529"/>
      <c r="BS228" s="529"/>
      <c r="BT228" s="529"/>
      <c r="BU228" s="529"/>
      <c r="BV228" s="529"/>
      <c r="BW228" s="529"/>
      <c r="BX228" s="529"/>
      <c r="BY228" s="529"/>
      <c r="BZ228" s="529"/>
      <c r="CA228" s="529"/>
      <c r="CB228" s="529"/>
      <c r="CC228" s="529"/>
      <c r="CD228" s="529"/>
      <c r="CE228" s="529"/>
      <c r="CF228" s="2"/>
      <c r="CG228" s="2"/>
      <c r="CH228" s="2"/>
      <c r="CI228" s="2"/>
      <c r="CJ228" s="2"/>
      <c r="CK228" s="2"/>
      <c r="CL228" s="2"/>
      <c r="CM228" s="2"/>
      <c r="CN228" s="2"/>
      <c r="CO228" s="2"/>
      <c r="CP228" s="2"/>
    </row>
    <row r="229" spans="1:94" ht="12" customHeight="1">
      <c r="A229" s="299"/>
      <c r="B229" s="529"/>
      <c r="C229" s="529"/>
      <c r="D229" s="529"/>
      <c r="E229" s="529"/>
      <c r="F229" s="529"/>
      <c r="G229" s="529"/>
      <c r="H229" s="529"/>
      <c r="I229" s="529"/>
      <c r="J229" s="529"/>
      <c r="K229" s="529"/>
      <c r="L229" s="529"/>
      <c r="M229" s="529"/>
      <c r="N229" s="529"/>
      <c r="O229" s="529"/>
      <c r="P229" s="529"/>
      <c r="Q229" s="529"/>
      <c r="R229" s="529"/>
      <c r="S229" s="529"/>
      <c r="T229" s="529"/>
      <c r="U229" s="529"/>
      <c r="V229" s="529"/>
      <c r="W229" s="529"/>
      <c r="X229" s="529"/>
      <c r="Y229" s="529"/>
      <c r="Z229" s="529"/>
      <c r="AA229" s="529"/>
      <c r="AB229" s="529"/>
      <c r="AC229" s="529"/>
      <c r="AD229" s="529"/>
      <c r="AE229" s="529"/>
      <c r="AF229" s="529"/>
      <c r="AG229" s="529"/>
      <c r="AH229" s="529"/>
      <c r="AI229" s="529"/>
      <c r="AJ229" s="529"/>
      <c r="AK229" s="529"/>
      <c r="AL229" s="529"/>
      <c r="AM229" s="529"/>
      <c r="AN229" s="529"/>
      <c r="AO229" s="529"/>
      <c r="AP229" s="529"/>
      <c r="AQ229" s="529"/>
      <c r="AR229" s="529"/>
      <c r="AS229" s="529"/>
      <c r="AT229" s="529"/>
      <c r="AU229" s="529"/>
      <c r="AV229" s="529"/>
      <c r="AW229" s="529"/>
      <c r="AX229" s="529"/>
      <c r="AY229" s="529"/>
      <c r="AZ229" s="529"/>
      <c r="BA229" s="529"/>
      <c r="BB229" s="529"/>
      <c r="BC229" s="529"/>
      <c r="BD229" s="529"/>
      <c r="BE229" s="529"/>
      <c r="BF229" s="529"/>
      <c r="BG229" s="529"/>
      <c r="BH229" s="529"/>
      <c r="BI229" s="529"/>
      <c r="BJ229" s="529"/>
      <c r="BK229" s="529"/>
      <c r="BL229" s="529"/>
      <c r="BM229" s="529"/>
      <c r="BN229" s="529"/>
      <c r="BO229" s="529"/>
      <c r="BP229" s="529"/>
      <c r="BQ229" s="529"/>
      <c r="BR229" s="529"/>
      <c r="BS229" s="529"/>
      <c r="BT229" s="529"/>
      <c r="BU229" s="529"/>
      <c r="BV229" s="529"/>
      <c r="BW229" s="529"/>
      <c r="BX229" s="529"/>
      <c r="BY229" s="529"/>
      <c r="BZ229" s="529"/>
      <c r="CA229" s="529"/>
      <c r="CB229" s="529"/>
      <c r="CC229" s="529"/>
      <c r="CD229" s="529"/>
      <c r="CE229" s="529"/>
      <c r="CF229" s="2"/>
      <c r="CG229" s="2"/>
      <c r="CH229" s="2"/>
      <c r="CI229" s="2"/>
      <c r="CJ229" s="2"/>
      <c r="CK229" s="2"/>
      <c r="CL229" s="2"/>
      <c r="CM229" s="2"/>
      <c r="CN229" s="2"/>
      <c r="CO229" s="2"/>
      <c r="CP229" s="2"/>
    </row>
    <row r="230" spans="1:94" ht="12" customHeight="1">
      <c r="A230" s="299"/>
      <c r="B230" s="529"/>
      <c r="C230" s="529"/>
      <c r="D230" s="529"/>
      <c r="E230" s="529"/>
      <c r="F230" s="529"/>
      <c r="G230" s="529"/>
      <c r="H230" s="529"/>
      <c r="I230" s="529"/>
      <c r="J230" s="529"/>
      <c r="K230" s="529"/>
      <c r="L230" s="529"/>
      <c r="M230" s="529"/>
      <c r="N230" s="529"/>
      <c r="O230" s="529"/>
      <c r="P230" s="529"/>
      <c r="Q230" s="529"/>
      <c r="R230" s="529"/>
      <c r="S230" s="529"/>
      <c r="T230" s="529"/>
      <c r="U230" s="529"/>
      <c r="V230" s="529"/>
      <c r="W230" s="529"/>
      <c r="X230" s="529"/>
      <c r="Y230" s="529"/>
      <c r="Z230" s="529"/>
      <c r="AA230" s="529"/>
      <c r="AB230" s="529"/>
      <c r="AC230" s="529"/>
      <c r="AD230" s="529"/>
      <c r="AE230" s="529"/>
      <c r="AF230" s="529"/>
      <c r="AG230" s="529"/>
      <c r="AH230" s="529"/>
      <c r="AI230" s="529"/>
      <c r="AJ230" s="529"/>
      <c r="AK230" s="529"/>
      <c r="AL230" s="529"/>
      <c r="AM230" s="529"/>
      <c r="AN230" s="529"/>
      <c r="AO230" s="529"/>
      <c r="AP230" s="529"/>
      <c r="AQ230" s="529"/>
      <c r="AR230" s="529"/>
      <c r="AS230" s="529"/>
      <c r="AT230" s="529"/>
      <c r="AU230" s="529"/>
      <c r="AV230" s="529"/>
      <c r="AW230" s="529"/>
      <c r="AX230" s="529"/>
      <c r="AY230" s="529"/>
      <c r="AZ230" s="529"/>
      <c r="BA230" s="529"/>
      <c r="BB230" s="529"/>
      <c r="BC230" s="529"/>
      <c r="BD230" s="529"/>
      <c r="BE230" s="529"/>
      <c r="BF230" s="529"/>
      <c r="BG230" s="529"/>
      <c r="BH230" s="529"/>
      <c r="BI230" s="529"/>
      <c r="BJ230" s="529"/>
      <c r="BK230" s="529"/>
      <c r="BL230" s="529"/>
      <c r="BM230" s="529"/>
      <c r="BN230" s="529"/>
      <c r="BO230" s="529"/>
      <c r="BP230" s="529"/>
      <c r="BQ230" s="529"/>
      <c r="BR230" s="529"/>
      <c r="BS230" s="529"/>
      <c r="BT230" s="529"/>
      <c r="BU230" s="529"/>
      <c r="BV230" s="529"/>
      <c r="BW230" s="529"/>
      <c r="BX230" s="529"/>
      <c r="BY230" s="529"/>
      <c r="BZ230" s="529"/>
      <c r="CA230" s="529"/>
      <c r="CB230" s="529"/>
      <c r="CC230" s="529"/>
      <c r="CD230" s="529"/>
      <c r="CE230" s="529"/>
      <c r="CF230" s="2"/>
      <c r="CG230" s="2"/>
      <c r="CH230" s="2"/>
      <c r="CI230" s="2"/>
      <c r="CJ230" s="2"/>
      <c r="CK230" s="2"/>
      <c r="CL230" s="2"/>
      <c r="CM230" s="2"/>
      <c r="CN230" s="2"/>
      <c r="CO230" s="2"/>
      <c r="CP230" s="2"/>
    </row>
    <row r="231" spans="1:94" ht="12" customHeight="1">
      <c r="A231" s="299"/>
      <c r="B231" s="529"/>
      <c r="C231" s="529"/>
      <c r="D231" s="529"/>
      <c r="E231" s="529"/>
      <c r="F231" s="529"/>
      <c r="G231" s="529"/>
      <c r="H231" s="529"/>
      <c r="I231" s="529"/>
      <c r="J231" s="529"/>
      <c r="K231" s="529"/>
      <c r="L231" s="529"/>
      <c r="M231" s="529"/>
      <c r="N231" s="529"/>
      <c r="O231" s="529"/>
      <c r="P231" s="529"/>
      <c r="Q231" s="529"/>
      <c r="R231" s="529"/>
      <c r="S231" s="529"/>
      <c r="T231" s="529"/>
      <c r="U231" s="529"/>
      <c r="V231" s="529"/>
      <c r="W231" s="529"/>
      <c r="X231" s="529"/>
      <c r="Y231" s="529"/>
      <c r="Z231" s="529"/>
      <c r="AA231" s="529"/>
      <c r="AB231" s="529"/>
      <c r="AC231" s="529"/>
      <c r="AD231" s="529"/>
      <c r="AE231" s="529"/>
      <c r="AF231" s="529"/>
      <c r="AG231" s="529"/>
      <c r="AH231" s="529"/>
      <c r="AI231" s="529"/>
      <c r="AJ231" s="529"/>
      <c r="AK231" s="529"/>
      <c r="AL231" s="529"/>
      <c r="AM231" s="529"/>
      <c r="AN231" s="529"/>
      <c r="AO231" s="529"/>
      <c r="AP231" s="529"/>
      <c r="AQ231" s="529"/>
      <c r="AR231" s="529"/>
      <c r="AS231" s="529"/>
      <c r="AT231" s="529"/>
      <c r="AU231" s="529"/>
      <c r="AV231" s="529"/>
      <c r="AW231" s="529"/>
      <c r="AX231" s="529"/>
      <c r="AY231" s="529"/>
      <c r="AZ231" s="529"/>
      <c r="BA231" s="529"/>
      <c r="BB231" s="529"/>
      <c r="BC231" s="529"/>
      <c r="BD231" s="529"/>
      <c r="BE231" s="529"/>
      <c r="BF231" s="529"/>
      <c r="BG231" s="529"/>
      <c r="BH231" s="529"/>
      <c r="BI231" s="529"/>
      <c r="BJ231" s="529"/>
      <c r="BK231" s="529"/>
      <c r="BL231" s="529"/>
      <c r="BM231" s="529"/>
      <c r="BN231" s="529"/>
      <c r="BO231" s="529"/>
      <c r="BP231" s="529"/>
      <c r="BQ231" s="529"/>
      <c r="BR231" s="529"/>
      <c r="BS231" s="529"/>
      <c r="BT231" s="529"/>
      <c r="BU231" s="529"/>
      <c r="BV231" s="529"/>
      <c r="BW231" s="529"/>
      <c r="BX231" s="529"/>
      <c r="BY231" s="529"/>
      <c r="BZ231" s="529"/>
      <c r="CA231" s="529"/>
      <c r="CB231" s="529"/>
      <c r="CC231" s="529"/>
      <c r="CD231" s="529"/>
      <c r="CE231" s="529"/>
      <c r="CF231" s="2"/>
      <c r="CG231" s="2"/>
      <c r="CH231" s="2"/>
      <c r="CI231" s="2"/>
      <c r="CJ231" s="2"/>
      <c r="CK231" s="2"/>
      <c r="CL231" s="2"/>
      <c r="CM231" s="2"/>
      <c r="CN231" s="2"/>
      <c r="CO231" s="2"/>
      <c r="CP231" s="2"/>
    </row>
    <row r="232" spans="1:94" ht="12" customHeight="1">
      <c r="A232" s="299"/>
      <c r="B232" s="529"/>
      <c r="C232" s="529"/>
      <c r="D232" s="529"/>
      <c r="E232" s="529"/>
      <c r="F232" s="529"/>
      <c r="G232" s="529"/>
      <c r="H232" s="529"/>
      <c r="I232" s="529"/>
      <c r="J232" s="529"/>
      <c r="K232" s="529"/>
      <c r="L232" s="529"/>
      <c r="M232" s="529"/>
      <c r="N232" s="529"/>
      <c r="O232" s="529"/>
      <c r="P232" s="529"/>
      <c r="Q232" s="529"/>
      <c r="R232" s="529"/>
      <c r="S232" s="529"/>
      <c r="T232" s="529"/>
      <c r="U232" s="529"/>
      <c r="V232" s="529"/>
      <c r="W232" s="529"/>
      <c r="X232" s="529"/>
      <c r="Y232" s="529"/>
      <c r="Z232" s="529"/>
      <c r="AA232" s="529"/>
      <c r="AB232" s="529"/>
      <c r="AC232" s="529"/>
      <c r="AD232" s="529"/>
      <c r="AE232" s="529"/>
      <c r="AF232" s="529"/>
      <c r="AG232" s="529"/>
      <c r="AH232" s="529"/>
      <c r="AI232" s="529"/>
      <c r="AJ232" s="529"/>
      <c r="AK232" s="529"/>
      <c r="AL232" s="529"/>
      <c r="AM232" s="529"/>
      <c r="AN232" s="529"/>
      <c r="AO232" s="529"/>
      <c r="AP232" s="529"/>
      <c r="AQ232" s="529"/>
      <c r="AR232" s="529"/>
      <c r="AS232" s="529"/>
      <c r="AT232" s="529"/>
      <c r="AU232" s="529"/>
      <c r="AV232" s="529"/>
      <c r="AW232" s="529"/>
      <c r="AX232" s="529"/>
      <c r="AY232" s="529"/>
      <c r="AZ232" s="529"/>
      <c r="BA232" s="529"/>
      <c r="BB232" s="529"/>
      <c r="BC232" s="529"/>
      <c r="BD232" s="529"/>
      <c r="BE232" s="529"/>
      <c r="BF232" s="529"/>
      <c r="BG232" s="529"/>
      <c r="BH232" s="529"/>
      <c r="BI232" s="529"/>
      <c r="BJ232" s="529"/>
      <c r="BK232" s="529"/>
      <c r="BL232" s="529"/>
      <c r="BM232" s="529"/>
      <c r="BN232" s="529"/>
      <c r="BO232" s="529"/>
      <c r="BP232" s="529"/>
      <c r="BQ232" s="529"/>
      <c r="BR232" s="529"/>
      <c r="BS232" s="529"/>
      <c r="BT232" s="529"/>
      <c r="BU232" s="529"/>
      <c r="BV232" s="529"/>
      <c r="BW232" s="529"/>
      <c r="BX232" s="529"/>
      <c r="BY232" s="529"/>
      <c r="BZ232" s="529"/>
      <c r="CA232" s="529"/>
      <c r="CB232" s="529"/>
      <c r="CC232" s="529"/>
      <c r="CD232" s="529"/>
      <c r="CE232" s="529"/>
      <c r="CF232" s="2"/>
      <c r="CG232" s="2"/>
      <c r="CH232" s="2"/>
      <c r="CI232" s="2"/>
      <c r="CJ232" s="2"/>
      <c r="CK232" s="2"/>
      <c r="CL232" s="2"/>
      <c r="CM232" s="2"/>
      <c r="CN232" s="2"/>
      <c r="CO232" s="2"/>
      <c r="CP232" s="2"/>
    </row>
    <row r="233" spans="1:94" ht="12" customHeight="1">
      <c r="A233" s="299"/>
      <c r="B233" s="529"/>
      <c r="C233" s="529"/>
      <c r="D233" s="529"/>
      <c r="E233" s="529"/>
      <c r="F233" s="529"/>
      <c r="G233" s="529"/>
      <c r="H233" s="529"/>
      <c r="I233" s="529"/>
      <c r="J233" s="529"/>
      <c r="K233" s="529"/>
      <c r="L233" s="529"/>
      <c r="M233" s="529"/>
      <c r="N233" s="529"/>
      <c r="O233" s="529"/>
      <c r="P233" s="529"/>
      <c r="Q233" s="529"/>
      <c r="R233" s="529"/>
      <c r="S233" s="529"/>
      <c r="T233" s="529"/>
      <c r="U233" s="529"/>
      <c r="V233" s="529"/>
      <c r="W233" s="529"/>
      <c r="X233" s="529"/>
      <c r="Y233" s="529"/>
      <c r="Z233" s="529"/>
      <c r="AA233" s="529"/>
      <c r="AB233" s="529"/>
      <c r="AC233" s="529"/>
      <c r="AD233" s="529"/>
      <c r="AE233" s="529"/>
      <c r="AF233" s="529"/>
      <c r="AG233" s="529"/>
      <c r="AH233" s="529"/>
      <c r="AI233" s="529"/>
      <c r="AJ233" s="529"/>
      <c r="AK233" s="529"/>
      <c r="AL233" s="529"/>
      <c r="AM233" s="529"/>
      <c r="AN233" s="529"/>
      <c r="AO233" s="529"/>
      <c r="AP233" s="529"/>
      <c r="AQ233" s="529"/>
      <c r="AR233" s="529"/>
      <c r="AS233" s="529"/>
      <c r="AT233" s="529"/>
      <c r="AU233" s="529"/>
      <c r="AV233" s="529"/>
      <c r="AW233" s="529"/>
      <c r="AX233" s="529"/>
      <c r="AY233" s="529"/>
      <c r="AZ233" s="529"/>
      <c r="BA233" s="529"/>
      <c r="BB233" s="529"/>
      <c r="BC233" s="529"/>
      <c r="BD233" s="529"/>
      <c r="BE233" s="529"/>
      <c r="BF233" s="529"/>
      <c r="BG233" s="529"/>
      <c r="BH233" s="529"/>
      <c r="BI233" s="529"/>
      <c r="BJ233" s="529"/>
      <c r="BK233" s="529"/>
      <c r="BL233" s="529"/>
      <c r="BM233" s="529"/>
      <c r="BN233" s="529"/>
      <c r="BO233" s="529"/>
      <c r="BP233" s="529"/>
      <c r="BQ233" s="529"/>
      <c r="BR233" s="529"/>
      <c r="BS233" s="529"/>
      <c r="BT233" s="529"/>
      <c r="BU233" s="529"/>
      <c r="BV233" s="529"/>
      <c r="BW233" s="529"/>
      <c r="BX233" s="529"/>
      <c r="BY233" s="529"/>
      <c r="BZ233" s="529"/>
      <c r="CA233" s="529"/>
      <c r="CB233" s="529"/>
      <c r="CC233" s="529"/>
      <c r="CD233" s="529"/>
      <c r="CE233" s="529"/>
      <c r="CF233" s="2"/>
      <c r="CG233" s="2"/>
      <c r="CH233" s="2"/>
      <c r="CI233" s="2"/>
      <c r="CJ233" s="2"/>
      <c r="CK233" s="2"/>
      <c r="CL233" s="2"/>
      <c r="CM233" s="2"/>
      <c r="CN233" s="2"/>
      <c r="CO233" s="2"/>
      <c r="CP233" s="2"/>
    </row>
    <row r="234" spans="1:94" ht="12" customHeight="1">
      <c r="A234" s="299"/>
      <c r="B234" s="529"/>
      <c r="C234" s="529"/>
      <c r="D234" s="529"/>
      <c r="E234" s="529"/>
      <c r="F234" s="529"/>
      <c r="G234" s="529"/>
      <c r="H234" s="529"/>
      <c r="I234" s="529"/>
      <c r="J234" s="529"/>
      <c r="K234" s="529"/>
      <c r="L234" s="529"/>
      <c r="M234" s="529"/>
      <c r="N234" s="529"/>
      <c r="O234" s="529"/>
      <c r="P234" s="529"/>
      <c r="Q234" s="529"/>
      <c r="R234" s="529"/>
      <c r="S234" s="529"/>
      <c r="T234" s="529"/>
      <c r="U234" s="529"/>
      <c r="V234" s="529"/>
      <c r="W234" s="529"/>
      <c r="X234" s="529"/>
      <c r="Y234" s="529"/>
      <c r="Z234" s="529"/>
      <c r="AA234" s="529"/>
      <c r="AB234" s="529"/>
      <c r="AC234" s="529"/>
      <c r="AD234" s="529"/>
      <c r="AE234" s="529"/>
      <c r="AF234" s="529"/>
      <c r="AG234" s="529"/>
      <c r="AH234" s="529"/>
      <c r="AI234" s="529"/>
      <c r="AJ234" s="529"/>
      <c r="AK234" s="529"/>
      <c r="AL234" s="529"/>
      <c r="AM234" s="529"/>
      <c r="AN234" s="529"/>
      <c r="AO234" s="529"/>
      <c r="AP234" s="529"/>
      <c r="AQ234" s="529"/>
      <c r="AR234" s="529"/>
      <c r="AS234" s="529"/>
      <c r="AT234" s="529"/>
      <c r="AU234" s="529"/>
      <c r="AV234" s="529"/>
      <c r="AW234" s="529"/>
      <c r="AX234" s="529"/>
      <c r="AY234" s="529"/>
      <c r="AZ234" s="529"/>
      <c r="BA234" s="529"/>
      <c r="BB234" s="529"/>
      <c r="BC234" s="529"/>
      <c r="BD234" s="529"/>
      <c r="BE234" s="529"/>
      <c r="BF234" s="529"/>
      <c r="BG234" s="529"/>
      <c r="BH234" s="529"/>
      <c r="BI234" s="529"/>
      <c r="BJ234" s="529"/>
      <c r="BK234" s="529"/>
      <c r="BL234" s="529"/>
      <c r="BM234" s="529"/>
      <c r="BN234" s="529"/>
      <c r="BO234" s="529"/>
      <c r="BP234" s="529"/>
      <c r="BQ234" s="529"/>
      <c r="BR234" s="529"/>
      <c r="BS234" s="529"/>
      <c r="BT234" s="529"/>
      <c r="BU234" s="529"/>
      <c r="BV234" s="529"/>
      <c r="BW234" s="529"/>
      <c r="BX234" s="529"/>
      <c r="BY234" s="529"/>
      <c r="BZ234" s="529"/>
      <c r="CA234" s="529"/>
      <c r="CB234" s="529"/>
      <c r="CC234" s="529"/>
      <c r="CD234" s="529"/>
      <c r="CE234" s="529"/>
      <c r="CF234" s="2"/>
      <c r="CG234" s="2"/>
      <c r="CH234" s="2"/>
      <c r="CI234" s="2"/>
      <c r="CJ234" s="2"/>
      <c r="CK234" s="2"/>
      <c r="CL234" s="2"/>
      <c r="CM234" s="2"/>
      <c r="CN234" s="2"/>
      <c r="CO234" s="2"/>
      <c r="CP234" s="2"/>
    </row>
    <row r="235" spans="1:94" ht="12" customHeight="1">
      <c r="A235" s="299"/>
      <c r="B235" s="529"/>
      <c r="C235" s="529"/>
      <c r="D235" s="529"/>
      <c r="E235" s="529"/>
      <c r="F235" s="529"/>
      <c r="G235" s="529"/>
      <c r="H235" s="529"/>
      <c r="I235" s="529"/>
      <c r="J235" s="529"/>
      <c r="K235" s="529"/>
      <c r="L235" s="529"/>
      <c r="M235" s="529"/>
      <c r="N235" s="529"/>
      <c r="O235" s="529"/>
      <c r="P235" s="529"/>
      <c r="Q235" s="529"/>
      <c r="R235" s="529"/>
      <c r="S235" s="529"/>
      <c r="T235" s="529"/>
      <c r="U235" s="529"/>
      <c r="V235" s="529"/>
      <c r="W235" s="529"/>
      <c r="X235" s="529"/>
      <c r="Y235" s="529"/>
      <c r="Z235" s="529"/>
      <c r="AA235" s="529"/>
      <c r="AB235" s="529"/>
      <c r="AC235" s="529"/>
      <c r="AD235" s="529"/>
      <c r="AE235" s="529"/>
      <c r="AF235" s="529"/>
      <c r="AG235" s="529"/>
      <c r="AH235" s="529"/>
      <c r="AI235" s="529"/>
      <c r="AJ235" s="529"/>
      <c r="AK235" s="529"/>
      <c r="AL235" s="529"/>
      <c r="AM235" s="529"/>
      <c r="AN235" s="529"/>
      <c r="AO235" s="529"/>
      <c r="AP235" s="529"/>
      <c r="AQ235" s="529"/>
      <c r="AR235" s="529"/>
      <c r="AS235" s="529"/>
      <c r="AT235" s="529"/>
      <c r="AU235" s="529"/>
      <c r="AV235" s="529"/>
      <c r="AW235" s="529"/>
      <c r="AX235" s="529"/>
      <c r="AY235" s="529"/>
      <c r="AZ235" s="529"/>
      <c r="BA235" s="529"/>
      <c r="BB235" s="529"/>
      <c r="BC235" s="529"/>
      <c r="BD235" s="529"/>
      <c r="BE235" s="529"/>
      <c r="BF235" s="529"/>
      <c r="BG235" s="529"/>
      <c r="BH235" s="529"/>
      <c r="BI235" s="529"/>
      <c r="BJ235" s="529"/>
      <c r="BK235" s="529"/>
      <c r="BL235" s="529"/>
      <c r="BM235" s="529"/>
      <c r="BN235" s="529"/>
      <c r="BO235" s="529"/>
      <c r="BP235" s="529"/>
      <c r="BQ235" s="529"/>
      <c r="BR235" s="529"/>
      <c r="BS235" s="529"/>
      <c r="BT235" s="529"/>
      <c r="BU235" s="529"/>
      <c r="BV235" s="529"/>
      <c r="BW235" s="529"/>
      <c r="BX235" s="529"/>
      <c r="BY235" s="529"/>
      <c r="BZ235" s="529"/>
      <c r="CA235" s="529"/>
      <c r="CB235" s="529"/>
      <c r="CC235" s="529"/>
      <c r="CD235" s="529"/>
      <c r="CE235" s="529"/>
      <c r="CF235" s="2"/>
      <c r="CG235" s="2"/>
      <c r="CH235" s="2"/>
      <c r="CI235" s="2"/>
      <c r="CJ235" s="2"/>
      <c r="CK235" s="2"/>
      <c r="CL235" s="2"/>
      <c r="CM235" s="2"/>
      <c r="CN235" s="2"/>
      <c r="CO235" s="2"/>
      <c r="CP235" s="2"/>
    </row>
    <row r="236" spans="1:94" ht="12" customHeight="1">
      <c r="A236" s="299"/>
      <c r="B236" s="529"/>
      <c r="C236" s="529"/>
      <c r="D236" s="529"/>
      <c r="E236" s="529"/>
      <c r="F236" s="529"/>
      <c r="G236" s="529"/>
      <c r="H236" s="529"/>
      <c r="I236" s="529"/>
      <c r="J236" s="529"/>
      <c r="K236" s="529"/>
      <c r="L236" s="529"/>
      <c r="M236" s="529"/>
      <c r="N236" s="529"/>
      <c r="O236" s="529"/>
      <c r="P236" s="529"/>
      <c r="Q236" s="529"/>
      <c r="R236" s="529"/>
      <c r="S236" s="529"/>
      <c r="T236" s="529"/>
      <c r="U236" s="529"/>
      <c r="V236" s="529"/>
      <c r="W236" s="529"/>
      <c r="X236" s="529"/>
      <c r="Y236" s="529"/>
      <c r="Z236" s="529"/>
      <c r="AA236" s="529"/>
      <c r="AB236" s="529"/>
      <c r="AC236" s="529"/>
      <c r="AD236" s="529"/>
      <c r="AE236" s="529"/>
      <c r="AF236" s="529"/>
      <c r="AG236" s="529"/>
      <c r="AH236" s="529"/>
      <c r="AI236" s="529"/>
      <c r="AJ236" s="529"/>
      <c r="AK236" s="529"/>
      <c r="AL236" s="529"/>
      <c r="AM236" s="529"/>
      <c r="AN236" s="529"/>
      <c r="AO236" s="529"/>
      <c r="AP236" s="529"/>
      <c r="AQ236" s="529"/>
      <c r="AR236" s="529"/>
      <c r="AS236" s="529"/>
      <c r="AT236" s="529"/>
      <c r="AU236" s="529"/>
      <c r="AV236" s="529"/>
      <c r="AW236" s="529"/>
      <c r="AX236" s="529"/>
      <c r="AY236" s="529"/>
      <c r="AZ236" s="529"/>
      <c r="BA236" s="529"/>
      <c r="BB236" s="529"/>
      <c r="BC236" s="529"/>
      <c r="BD236" s="529"/>
      <c r="BE236" s="529"/>
      <c r="BF236" s="529"/>
      <c r="BG236" s="529"/>
      <c r="BH236" s="529"/>
      <c r="BI236" s="529"/>
      <c r="BJ236" s="529"/>
      <c r="BK236" s="529"/>
      <c r="BL236" s="529"/>
      <c r="BM236" s="529"/>
      <c r="BN236" s="529"/>
      <c r="BO236" s="529"/>
      <c r="BP236" s="529"/>
      <c r="BQ236" s="529"/>
      <c r="BR236" s="529"/>
      <c r="BS236" s="529"/>
      <c r="BT236" s="529"/>
      <c r="BU236" s="529"/>
      <c r="BV236" s="529"/>
      <c r="BW236" s="529"/>
      <c r="BX236" s="529"/>
      <c r="BY236" s="529"/>
      <c r="BZ236" s="529"/>
      <c r="CA236" s="529"/>
      <c r="CB236" s="529"/>
      <c r="CC236" s="529"/>
      <c r="CD236" s="529"/>
      <c r="CE236" s="529"/>
      <c r="CF236" s="2"/>
      <c r="CG236" s="2"/>
      <c r="CH236" s="2"/>
      <c r="CI236" s="2"/>
      <c r="CJ236" s="2"/>
      <c r="CK236" s="2"/>
      <c r="CL236" s="2"/>
      <c r="CM236" s="2"/>
      <c r="CN236" s="2"/>
      <c r="CO236" s="2"/>
      <c r="CP236" s="2"/>
    </row>
    <row r="237" spans="1:94" ht="12" customHeight="1">
      <c r="A237" s="299"/>
      <c r="B237" s="529"/>
      <c r="C237" s="529"/>
      <c r="D237" s="529"/>
      <c r="E237" s="529"/>
      <c r="F237" s="529"/>
      <c r="G237" s="529"/>
      <c r="H237" s="529"/>
      <c r="I237" s="529"/>
      <c r="J237" s="529"/>
      <c r="K237" s="529"/>
      <c r="L237" s="529"/>
      <c r="M237" s="529"/>
      <c r="N237" s="529"/>
      <c r="O237" s="529"/>
      <c r="P237" s="529"/>
      <c r="Q237" s="529"/>
      <c r="R237" s="529"/>
      <c r="S237" s="529"/>
      <c r="T237" s="529"/>
      <c r="U237" s="529"/>
      <c r="V237" s="529"/>
      <c r="W237" s="529"/>
      <c r="X237" s="529"/>
      <c r="Y237" s="529"/>
      <c r="Z237" s="529"/>
      <c r="AA237" s="529"/>
      <c r="AB237" s="529"/>
      <c r="AC237" s="529"/>
      <c r="AD237" s="529"/>
      <c r="AE237" s="529"/>
      <c r="AF237" s="529"/>
      <c r="AG237" s="529"/>
      <c r="AH237" s="529"/>
      <c r="AI237" s="529"/>
      <c r="AJ237" s="529"/>
      <c r="AK237" s="529"/>
      <c r="AL237" s="529"/>
      <c r="AM237" s="529"/>
      <c r="AN237" s="529"/>
      <c r="AO237" s="529"/>
      <c r="AP237" s="529"/>
      <c r="AQ237" s="529"/>
      <c r="AR237" s="529"/>
      <c r="AS237" s="529"/>
      <c r="AT237" s="529"/>
      <c r="AU237" s="529"/>
      <c r="AV237" s="529"/>
      <c r="AW237" s="529"/>
      <c r="AX237" s="529"/>
      <c r="AY237" s="529"/>
      <c r="AZ237" s="529"/>
      <c r="BA237" s="529"/>
      <c r="BB237" s="529"/>
      <c r="BC237" s="529"/>
      <c r="BD237" s="529"/>
      <c r="BE237" s="529"/>
      <c r="BF237" s="529"/>
      <c r="BG237" s="529"/>
      <c r="BH237" s="529"/>
      <c r="BI237" s="529"/>
      <c r="BJ237" s="529"/>
      <c r="BK237" s="529"/>
      <c r="BL237" s="529"/>
      <c r="BM237" s="529"/>
      <c r="BN237" s="529"/>
      <c r="BO237" s="529"/>
      <c r="BP237" s="529"/>
      <c r="BQ237" s="529"/>
      <c r="BR237" s="529"/>
      <c r="BS237" s="529"/>
      <c r="BT237" s="529"/>
      <c r="BU237" s="529"/>
      <c r="BV237" s="529"/>
      <c r="BW237" s="529"/>
      <c r="BX237" s="529"/>
      <c r="BY237" s="529"/>
      <c r="BZ237" s="529"/>
      <c r="CA237" s="529"/>
      <c r="CB237" s="529"/>
      <c r="CC237" s="529"/>
      <c r="CD237" s="529"/>
      <c r="CE237" s="529"/>
      <c r="CF237" s="391"/>
    </row>
    <row r="238" spans="1:94" ht="12" customHeight="1">
      <c r="A238" s="299"/>
      <c r="B238" s="529"/>
      <c r="C238" s="529"/>
      <c r="D238" s="529"/>
      <c r="E238" s="529"/>
      <c r="F238" s="529"/>
      <c r="G238" s="529"/>
      <c r="H238" s="529"/>
      <c r="I238" s="529"/>
      <c r="J238" s="529"/>
      <c r="K238" s="529"/>
      <c r="L238" s="529"/>
      <c r="M238" s="529"/>
      <c r="N238" s="529"/>
      <c r="O238" s="529"/>
      <c r="P238" s="529"/>
      <c r="Q238" s="529"/>
      <c r="R238" s="529"/>
      <c r="S238" s="529"/>
      <c r="T238" s="529"/>
      <c r="U238" s="529"/>
      <c r="V238" s="529"/>
      <c r="W238" s="529"/>
      <c r="X238" s="529"/>
      <c r="Y238" s="529"/>
      <c r="Z238" s="529"/>
      <c r="AA238" s="529"/>
      <c r="AB238" s="529"/>
      <c r="AC238" s="529"/>
      <c r="AD238" s="529"/>
      <c r="AE238" s="529"/>
      <c r="AF238" s="529"/>
      <c r="AG238" s="529"/>
      <c r="AH238" s="529"/>
      <c r="AI238" s="529"/>
      <c r="AJ238" s="529"/>
      <c r="AK238" s="529"/>
      <c r="AL238" s="529"/>
      <c r="AM238" s="529"/>
      <c r="AN238" s="529"/>
      <c r="AO238" s="529"/>
      <c r="AP238" s="529"/>
      <c r="AQ238" s="529"/>
      <c r="AR238" s="529"/>
      <c r="AS238" s="529"/>
      <c r="AT238" s="529"/>
      <c r="AU238" s="529"/>
      <c r="AV238" s="529"/>
      <c r="AW238" s="529"/>
      <c r="AX238" s="529"/>
      <c r="AY238" s="529"/>
      <c r="AZ238" s="529"/>
      <c r="BA238" s="529"/>
      <c r="BB238" s="529"/>
      <c r="BC238" s="529"/>
      <c r="BD238" s="529"/>
      <c r="BE238" s="529"/>
      <c r="BF238" s="529"/>
      <c r="BG238" s="529"/>
      <c r="BH238" s="529"/>
      <c r="BI238" s="529"/>
      <c r="BJ238" s="529"/>
      <c r="BK238" s="529"/>
      <c r="BL238" s="529"/>
      <c r="BM238" s="529"/>
      <c r="BN238" s="529"/>
      <c r="BO238" s="529"/>
      <c r="BP238" s="529"/>
      <c r="BQ238" s="529"/>
      <c r="BR238" s="529"/>
      <c r="BS238" s="529"/>
      <c r="BT238" s="529"/>
      <c r="BU238" s="529"/>
      <c r="BV238" s="529"/>
      <c r="BW238" s="529"/>
      <c r="BX238" s="529"/>
      <c r="BY238" s="529"/>
      <c r="BZ238" s="529"/>
      <c r="CA238" s="529"/>
      <c r="CB238" s="529"/>
      <c r="CC238" s="529"/>
      <c r="CD238" s="529"/>
      <c r="CE238" s="529"/>
      <c r="CF238" s="391"/>
      <c r="CG238" s="391"/>
      <c r="CH238" s="391"/>
    </row>
    <row r="239" spans="1:94" ht="12" customHeight="1">
      <c r="A239" s="299"/>
      <c r="B239" s="529"/>
      <c r="C239" s="529"/>
      <c r="D239" s="529"/>
      <c r="E239" s="529"/>
      <c r="F239" s="529"/>
      <c r="G239" s="529"/>
      <c r="H239" s="529"/>
      <c r="I239" s="529"/>
      <c r="J239" s="529"/>
      <c r="K239" s="529"/>
      <c r="L239" s="529"/>
      <c r="M239" s="529"/>
      <c r="N239" s="529"/>
      <c r="O239" s="529"/>
      <c r="P239" s="529"/>
      <c r="Q239" s="529"/>
      <c r="R239" s="529"/>
      <c r="S239" s="529"/>
      <c r="T239" s="529"/>
      <c r="U239" s="529"/>
      <c r="V239" s="529"/>
      <c r="W239" s="529"/>
      <c r="X239" s="529"/>
      <c r="Y239" s="529"/>
      <c r="Z239" s="529"/>
      <c r="AA239" s="529"/>
      <c r="AB239" s="529"/>
      <c r="AC239" s="529"/>
      <c r="AD239" s="529"/>
      <c r="AE239" s="529"/>
      <c r="AF239" s="529"/>
      <c r="AG239" s="529"/>
      <c r="AH239" s="529"/>
      <c r="AI239" s="529"/>
      <c r="AJ239" s="529"/>
      <c r="AK239" s="529"/>
      <c r="AL239" s="529"/>
      <c r="AM239" s="529"/>
      <c r="AN239" s="529"/>
      <c r="AO239" s="529"/>
      <c r="AP239" s="529"/>
      <c r="AQ239" s="529"/>
      <c r="AR239" s="529"/>
      <c r="AS239" s="529"/>
      <c r="AT239" s="529"/>
      <c r="AU239" s="529"/>
      <c r="AV239" s="529"/>
      <c r="AW239" s="529"/>
      <c r="AX239" s="529"/>
      <c r="AY239" s="529"/>
      <c r="AZ239" s="529"/>
      <c r="BA239" s="529"/>
      <c r="BB239" s="529"/>
      <c r="BC239" s="529"/>
      <c r="BD239" s="529"/>
      <c r="BE239" s="529"/>
      <c r="BF239" s="529"/>
      <c r="BG239" s="529"/>
      <c r="BH239" s="529"/>
      <c r="BI239" s="529"/>
      <c r="BJ239" s="529"/>
      <c r="BK239" s="529"/>
      <c r="BL239" s="529"/>
      <c r="BM239" s="529"/>
      <c r="BN239" s="529"/>
      <c r="BO239" s="529"/>
      <c r="BP239" s="529"/>
      <c r="BQ239" s="529"/>
      <c r="BR239" s="529"/>
      <c r="BS239" s="529"/>
      <c r="BT239" s="529"/>
      <c r="BU239" s="529"/>
      <c r="BV239" s="529"/>
      <c r="BW239" s="529"/>
      <c r="BX239" s="529"/>
      <c r="BY239" s="529"/>
      <c r="BZ239" s="529"/>
      <c r="CA239" s="529"/>
      <c r="CB239" s="529"/>
      <c r="CC239" s="529"/>
      <c r="CD239" s="529"/>
      <c r="CE239" s="529"/>
      <c r="CF239" s="391"/>
      <c r="CG239" s="391"/>
      <c r="CH239" s="391"/>
    </row>
    <row r="240" spans="1:94" ht="12" customHeight="1">
      <c r="A240" s="299"/>
      <c r="B240" s="529"/>
      <c r="C240" s="529"/>
      <c r="D240" s="529"/>
      <c r="E240" s="529"/>
      <c r="F240" s="529"/>
      <c r="G240" s="529"/>
      <c r="H240" s="529"/>
      <c r="I240" s="529"/>
      <c r="J240" s="529"/>
      <c r="K240" s="529"/>
      <c r="L240" s="529"/>
      <c r="M240" s="529"/>
      <c r="N240" s="529"/>
      <c r="O240" s="529"/>
      <c r="P240" s="529"/>
      <c r="Q240" s="529"/>
      <c r="R240" s="529"/>
      <c r="S240" s="529"/>
      <c r="T240" s="529"/>
      <c r="U240" s="529"/>
      <c r="V240" s="529"/>
      <c r="W240" s="529"/>
      <c r="X240" s="529"/>
      <c r="Y240" s="529"/>
      <c r="Z240" s="529"/>
      <c r="AA240" s="529"/>
      <c r="AB240" s="529"/>
      <c r="AC240" s="529"/>
      <c r="AD240" s="529"/>
      <c r="AE240" s="529"/>
      <c r="AF240" s="529"/>
      <c r="AG240" s="529"/>
      <c r="AH240" s="529"/>
      <c r="AI240" s="529"/>
      <c r="AJ240" s="529"/>
      <c r="AK240" s="529"/>
      <c r="AL240" s="529"/>
      <c r="AM240" s="529"/>
      <c r="AN240" s="529"/>
      <c r="AO240" s="529"/>
      <c r="AP240" s="529"/>
      <c r="AQ240" s="529"/>
      <c r="AR240" s="529"/>
      <c r="AS240" s="529"/>
      <c r="AT240" s="529"/>
      <c r="AU240" s="529"/>
      <c r="AV240" s="529"/>
      <c r="AW240" s="529"/>
      <c r="AX240" s="529"/>
      <c r="AY240" s="529"/>
      <c r="AZ240" s="529"/>
      <c r="BA240" s="529"/>
      <c r="BB240" s="529"/>
      <c r="BC240" s="529"/>
      <c r="BD240" s="529"/>
      <c r="BE240" s="529"/>
      <c r="BF240" s="529"/>
      <c r="BG240" s="529"/>
      <c r="BH240" s="529"/>
      <c r="BI240" s="529"/>
      <c r="BJ240" s="529"/>
      <c r="BK240" s="529"/>
      <c r="BL240" s="529"/>
      <c r="BM240" s="529"/>
      <c r="BN240" s="529"/>
      <c r="BO240" s="529"/>
      <c r="BP240" s="529"/>
      <c r="BQ240" s="529"/>
      <c r="BR240" s="529"/>
      <c r="BS240" s="529"/>
      <c r="BT240" s="529"/>
      <c r="BU240" s="529"/>
      <c r="BV240" s="529"/>
      <c r="BW240" s="529"/>
      <c r="BX240" s="529"/>
      <c r="BY240" s="529"/>
      <c r="BZ240" s="529"/>
      <c r="CA240" s="529"/>
      <c r="CB240" s="529"/>
      <c r="CC240" s="529"/>
      <c r="CD240" s="529"/>
      <c r="CE240" s="529"/>
      <c r="CF240" s="391"/>
      <c r="CG240" s="391"/>
      <c r="CH240" s="391"/>
    </row>
    <row r="241" spans="1:94" ht="12" customHeight="1">
      <c r="A241" s="299"/>
      <c r="B241" s="529"/>
      <c r="C241" s="529"/>
      <c r="D241" s="529"/>
      <c r="E241" s="529"/>
      <c r="F241" s="529"/>
      <c r="G241" s="529"/>
      <c r="H241" s="529"/>
      <c r="I241" s="529"/>
      <c r="J241" s="529"/>
      <c r="K241" s="529"/>
      <c r="L241" s="529"/>
      <c r="M241" s="529"/>
      <c r="N241" s="529"/>
      <c r="O241" s="529"/>
      <c r="P241" s="529"/>
      <c r="Q241" s="529"/>
      <c r="R241" s="529"/>
      <c r="S241" s="529"/>
      <c r="T241" s="529"/>
      <c r="U241" s="529"/>
      <c r="V241" s="529"/>
      <c r="W241" s="529"/>
      <c r="X241" s="529"/>
      <c r="Y241" s="529"/>
      <c r="Z241" s="529"/>
      <c r="AA241" s="529"/>
      <c r="AB241" s="529"/>
      <c r="AC241" s="529"/>
      <c r="AD241" s="529"/>
      <c r="AE241" s="529"/>
      <c r="AF241" s="529"/>
      <c r="AG241" s="529"/>
      <c r="AH241" s="529"/>
      <c r="AI241" s="529"/>
      <c r="AJ241" s="529"/>
      <c r="AK241" s="529"/>
      <c r="AL241" s="529"/>
      <c r="AM241" s="529"/>
      <c r="AN241" s="529"/>
      <c r="AO241" s="529"/>
      <c r="AP241" s="529"/>
      <c r="AQ241" s="529"/>
      <c r="AR241" s="529"/>
      <c r="AS241" s="529"/>
      <c r="AT241" s="529"/>
      <c r="AU241" s="529"/>
      <c r="AV241" s="529"/>
      <c r="AW241" s="529"/>
      <c r="AX241" s="529"/>
      <c r="AY241" s="529"/>
      <c r="AZ241" s="529"/>
      <c r="BA241" s="529"/>
      <c r="BB241" s="529"/>
      <c r="BC241" s="529"/>
      <c r="BD241" s="529"/>
      <c r="BE241" s="529"/>
      <c r="BF241" s="529"/>
      <c r="BG241" s="529"/>
      <c r="BH241" s="529"/>
      <c r="BI241" s="529"/>
      <c r="BJ241" s="529"/>
      <c r="BK241" s="529"/>
      <c r="BL241" s="529"/>
      <c r="BM241" s="529"/>
      <c r="BN241" s="529"/>
      <c r="BO241" s="529"/>
      <c r="BP241" s="529"/>
      <c r="BQ241" s="529"/>
      <c r="BR241" s="529"/>
      <c r="BS241" s="529"/>
      <c r="BT241" s="529"/>
      <c r="BU241" s="529"/>
      <c r="BV241" s="529"/>
      <c r="BW241" s="529"/>
      <c r="BX241" s="529"/>
      <c r="BY241" s="529"/>
      <c r="BZ241" s="529"/>
      <c r="CA241" s="529"/>
      <c r="CB241" s="529"/>
      <c r="CC241" s="529"/>
      <c r="CD241" s="529"/>
      <c r="CE241" s="529"/>
      <c r="CF241" s="391"/>
      <c r="CG241" s="391"/>
      <c r="CH241" s="391"/>
    </row>
    <row r="242" spans="1:94" ht="12" customHeight="1">
      <c r="A242" s="299"/>
      <c r="B242" s="529"/>
      <c r="C242" s="529"/>
      <c r="D242" s="529"/>
      <c r="E242" s="529"/>
      <c r="F242" s="529"/>
      <c r="G242" s="529"/>
      <c r="H242" s="529"/>
      <c r="I242" s="529"/>
      <c r="J242" s="529"/>
      <c r="K242" s="529"/>
      <c r="L242" s="529"/>
      <c r="M242" s="529"/>
      <c r="N242" s="529"/>
      <c r="O242" s="529"/>
      <c r="P242" s="529"/>
      <c r="Q242" s="529"/>
      <c r="R242" s="529"/>
      <c r="S242" s="529"/>
      <c r="T242" s="529"/>
      <c r="U242" s="529"/>
      <c r="V242" s="529"/>
      <c r="W242" s="529"/>
      <c r="X242" s="529"/>
      <c r="Y242" s="529"/>
      <c r="Z242" s="529"/>
      <c r="AA242" s="529"/>
      <c r="AB242" s="529"/>
      <c r="AC242" s="529"/>
      <c r="AD242" s="529"/>
      <c r="AE242" s="529"/>
      <c r="AF242" s="529"/>
      <c r="AG242" s="529"/>
      <c r="AH242" s="529"/>
      <c r="AI242" s="529"/>
      <c r="AJ242" s="529"/>
      <c r="AK242" s="529"/>
      <c r="AL242" s="529"/>
      <c r="AM242" s="529"/>
      <c r="AN242" s="529"/>
      <c r="AO242" s="529"/>
      <c r="AP242" s="529"/>
      <c r="AQ242" s="529"/>
      <c r="AR242" s="529"/>
      <c r="AS242" s="529"/>
      <c r="AT242" s="529"/>
      <c r="AU242" s="529"/>
      <c r="AV242" s="529"/>
      <c r="AW242" s="529"/>
      <c r="AX242" s="529"/>
      <c r="AY242" s="529"/>
      <c r="AZ242" s="529"/>
      <c r="BA242" s="529"/>
      <c r="BB242" s="529"/>
      <c r="BC242" s="529"/>
      <c r="BD242" s="529"/>
      <c r="BE242" s="529"/>
      <c r="BF242" s="529"/>
      <c r="BG242" s="529"/>
      <c r="BH242" s="529"/>
      <c r="BI242" s="529"/>
      <c r="BJ242" s="529"/>
      <c r="BK242" s="529"/>
      <c r="BL242" s="529"/>
      <c r="BM242" s="529"/>
      <c r="BN242" s="529"/>
      <c r="BO242" s="529"/>
      <c r="BP242" s="529"/>
      <c r="BQ242" s="529"/>
      <c r="BR242" s="529"/>
      <c r="BS242" s="529"/>
      <c r="BT242" s="529"/>
      <c r="BU242" s="529"/>
      <c r="BV242" s="529"/>
      <c r="BW242" s="529"/>
      <c r="BX242" s="529"/>
      <c r="BY242" s="529"/>
      <c r="BZ242" s="529"/>
      <c r="CA242" s="529"/>
      <c r="CB242" s="529"/>
      <c r="CC242" s="529"/>
      <c r="CD242" s="529"/>
      <c r="CE242" s="529"/>
      <c r="CF242" s="2"/>
      <c r="CG242" s="2"/>
      <c r="CH242" s="2"/>
      <c r="CI242" s="2"/>
      <c r="CJ242" s="2"/>
      <c r="CK242" s="2"/>
      <c r="CL242" s="2"/>
      <c r="CM242" s="2"/>
      <c r="CN242" s="2"/>
      <c r="CO242" s="2"/>
      <c r="CP242" s="2"/>
    </row>
  </sheetData>
  <mergeCells count="87">
    <mergeCell ref="BE210:BI210"/>
    <mergeCell ref="BE211:BI211"/>
    <mergeCell ref="BM208:BR208"/>
    <mergeCell ref="BE208:BI208"/>
    <mergeCell ref="BE206:BI206"/>
    <mergeCell ref="BJ207:BL207"/>
    <mergeCell ref="BJ208:BL208"/>
    <mergeCell ref="BJ210:BL210"/>
    <mergeCell ref="BJ211:BL211"/>
    <mergeCell ref="CJ211:CO211"/>
    <mergeCell ref="CQ211:CV211"/>
    <mergeCell ref="Z207:AJ207"/>
    <mergeCell ref="AK207:AX207"/>
    <mergeCell ref="AY207:BD207"/>
    <mergeCell ref="BE207:BI207"/>
    <mergeCell ref="BM207:BR207"/>
    <mergeCell ref="Z211:AJ211"/>
    <mergeCell ref="AK211:AX211"/>
    <mergeCell ref="AY211:BD211"/>
    <mergeCell ref="Z209:AJ209"/>
    <mergeCell ref="Z210:AJ210"/>
    <mergeCell ref="AK210:AX210"/>
    <mergeCell ref="AY210:BD210"/>
    <mergeCell ref="BM210:BR210"/>
    <mergeCell ref="BM211:BR211"/>
    <mergeCell ref="Z212:AJ212"/>
    <mergeCell ref="AK212:AX212"/>
    <mergeCell ref="AY212:BD212"/>
    <mergeCell ref="BM212:BR212"/>
    <mergeCell ref="BM213:BR213"/>
    <mergeCell ref="BE212:BI212"/>
    <mergeCell ref="BJ212:BL212"/>
    <mergeCell ref="BK5:BM5"/>
    <mergeCell ref="AO5:AR5"/>
    <mergeCell ref="Z204:AJ204"/>
    <mergeCell ref="AM4:BQ4"/>
    <mergeCell ref="AD5:AG5"/>
    <mergeCell ref="AH5:AN5"/>
    <mergeCell ref="S90:AV93"/>
    <mergeCell ref="AW90:CA93"/>
    <mergeCell ref="BJ202:BL203"/>
    <mergeCell ref="S94:AV97"/>
    <mergeCell ref="AW94:CA97"/>
    <mergeCell ref="R45:AS47"/>
    <mergeCell ref="D202:S203"/>
    <mergeCell ref="BE202:BI203"/>
    <mergeCell ref="T202:Y203"/>
    <mergeCell ref="Z202:AJ203"/>
    <mergeCell ref="A1:CE1"/>
    <mergeCell ref="A3:H3"/>
    <mergeCell ref="I3:AC3"/>
    <mergeCell ref="AD3:AL3"/>
    <mergeCell ref="AM3:BQ3"/>
    <mergeCell ref="BR3:BS5"/>
    <mergeCell ref="BT3:BX5"/>
    <mergeCell ref="BY3:BZ5"/>
    <mergeCell ref="CA3:CE5"/>
    <mergeCell ref="A4:H5"/>
    <mergeCell ref="BN5:BQ5"/>
    <mergeCell ref="I4:AC5"/>
    <mergeCell ref="AD4:AL4"/>
    <mergeCell ref="AS5:AY5"/>
    <mergeCell ref="AZ5:BC5"/>
    <mergeCell ref="BD5:BJ5"/>
    <mergeCell ref="AY202:BD203"/>
    <mergeCell ref="Z208:AJ208"/>
    <mergeCell ref="AK208:AX208"/>
    <mergeCell ref="AY208:BD208"/>
    <mergeCell ref="Z206:AJ206"/>
    <mergeCell ref="AK206:AX206"/>
    <mergeCell ref="AY206:BD206"/>
    <mergeCell ref="CA35:CD36"/>
    <mergeCell ref="R41:AS44"/>
    <mergeCell ref="R37:AS40"/>
    <mergeCell ref="BJ205:BL205"/>
    <mergeCell ref="BJ206:BL206"/>
    <mergeCell ref="BS202:CE203"/>
    <mergeCell ref="BM202:BR203"/>
    <mergeCell ref="S98:AV101"/>
    <mergeCell ref="AW98:CA101"/>
    <mergeCell ref="BM206:BR206"/>
    <mergeCell ref="Z205:AJ205"/>
    <mergeCell ref="AK205:AX205"/>
    <mergeCell ref="AY205:BD205"/>
    <mergeCell ref="BE205:BI205"/>
    <mergeCell ref="BM205:BR205"/>
    <mergeCell ref="AK202:AX203"/>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5" manualBreakCount="5">
    <brk id="49" max="16383" man="1"/>
    <brk id="71" max="16383" man="1"/>
    <brk id="103" max="16383" man="1"/>
    <brk id="151" max="82" man="1"/>
    <brk id="196"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C365"/>
  <sheetViews>
    <sheetView showGridLines="0" view="pageBreakPreview" zoomScale="85" zoomScaleNormal="100" zoomScaleSheetLayoutView="85" workbookViewId="0">
      <selection sqref="A1:CE1"/>
    </sheetView>
  </sheetViews>
  <sheetFormatPr defaultColWidth="1.625" defaultRowHeight="12" customHeight="1"/>
  <cols>
    <col min="1" max="1" width="1.625" style="1" customWidth="1"/>
    <col min="2" max="48" width="1.625" style="1"/>
    <col min="49" max="49" width="1.5" style="1" customWidth="1"/>
    <col min="50" max="16384" width="1.625" style="1"/>
  </cols>
  <sheetData>
    <row r="1" spans="1:107" ht="17.25" customHeight="1">
      <c r="A1" s="613" t="s">
        <v>370</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107" ht="4.5" customHeight="1"/>
    <row r="3" spans="1:107" ht="12" customHeight="1">
      <c r="A3" s="592" t="s">
        <v>8</v>
      </c>
      <c r="B3" s="592"/>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t="s">
        <v>1</v>
      </c>
      <c r="AE3" s="592"/>
      <c r="AF3" s="592"/>
      <c r="AG3" s="592"/>
      <c r="AH3" s="592"/>
      <c r="AI3" s="592"/>
      <c r="AJ3" s="592"/>
      <c r="AK3" s="592"/>
      <c r="AL3" s="592"/>
      <c r="AM3" s="723" t="s">
        <v>521</v>
      </c>
      <c r="AN3" s="724"/>
      <c r="AO3" s="724"/>
      <c r="AP3" s="724"/>
      <c r="AQ3" s="724"/>
      <c r="AR3" s="724"/>
      <c r="AS3" s="724"/>
      <c r="AT3" s="724"/>
      <c r="AU3" s="724"/>
      <c r="AV3" s="724"/>
      <c r="AW3" s="724"/>
      <c r="AX3" s="724"/>
      <c r="AY3" s="724"/>
      <c r="AZ3" s="724"/>
      <c r="BA3" s="724"/>
      <c r="BB3" s="724"/>
      <c r="BC3" s="724"/>
      <c r="BD3" s="724"/>
      <c r="BE3" s="724"/>
      <c r="BF3" s="724"/>
      <c r="BG3" s="724"/>
      <c r="BH3" s="724"/>
      <c r="BI3" s="724"/>
      <c r="BJ3" s="724"/>
      <c r="BK3" s="724"/>
      <c r="BL3" s="724"/>
      <c r="BM3" s="724"/>
      <c r="BN3" s="724"/>
      <c r="BO3" s="724"/>
      <c r="BP3" s="724"/>
      <c r="BQ3" s="725"/>
      <c r="BR3" s="693" t="s">
        <v>6</v>
      </c>
      <c r="BS3" s="693"/>
      <c r="BT3" s="601" t="s">
        <v>756</v>
      </c>
      <c r="BU3" s="593"/>
      <c r="BV3" s="593"/>
      <c r="BW3" s="593"/>
      <c r="BX3" s="593"/>
      <c r="BY3" s="693" t="s">
        <v>7</v>
      </c>
      <c r="BZ3" s="693"/>
      <c r="CA3" s="601" t="s">
        <v>757</v>
      </c>
      <c r="CB3" s="593"/>
      <c r="CC3" s="593"/>
      <c r="CD3" s="593"/>
      <c r="CE3" s="593"/>
    </row>
    <row r="4" spans="1:107" ht="12" customHeight="1">
      <c r="A4" s="592" t="s">
        <v>9</v>
      </c>
      <c r="B4" s="592"/>
      <c r="C4" s="592"/>
      <c r="D4" s="592"/>
      <c r="E4" s="592"/>
      <c r="F4" s="592"/>
      <c r="G4" s="592"/>
      <c r="H4" s="592"/>
      <c r="I4" s="591" t="s">
        <v>522</v>
      </c>
      <c r="J4" s="592"/>
      <c r="K4" s="592"/>
      <c r="L4" s="592"/>
      <c r="M4" s="592"/>
      <c r="N4" s="592"/>
      <c r="O4" s="592"/>
      <c r="P4" s="592"/>
      <c r="Q4" s="592"/>
      <c r="R4" s="592"/>
      <c r="S4" s="592"/>
      <c r="T4" s="592"/>
      <c r="U4" s="592"/>
      <c r="V4" s="592"/>
      <c r="W4" s="592"/>
      <c r="X4" s="592"/>
      <c r="Y4" s="592"/>
      <c r="Z4" s="592"/>
      <c r="AA4" s="592"/>
      <c r="AB4" s="592"/>
      <c r="AC4" s="592"/>
      <c r="AD4" s="592" t="s">
        <v>0</v>
      </c>
      <c r="AE4" s="592"/>
      <c r="AF4" s="592"/>
      <c r="AG4" s="592"/>
      <c r="AH4" s="592"/>
      <c r="AI4" s="592"/>
      <c r="AJ4" s="592"/>
      <c r="AK4" s="592"/>
      <c r="AL4" s="592"/>
      <c r="AM4" s="723" t="s">
        <v>523</v>
      </c>
      <c r="AN4" s="724"/>
      <c r="AO4" s="724"/>
      <c r="AP4" s="724"/>
      <c r="AQ4" s="724"/>
      <c r="AR4" s="724"/>
      <c r="AS4" s="724"/>
      <c r="AT4" s="724"/>
      <c r="AU4" s="724"/>
      <c r="AV4" s="724"/>
      <c r="AW4" s="724"/>
      <c r="AX4" s="724"/>
      <c r="AY4" s="724"/>
      <c r="AZ4" s="724"/>
      <c r="BA4" s="724"/>
      <c r="BB4" s="724"/>
      <c r="BC4" s="724"/>
      <c r="BD4" s="724"/>
      <c r="BE4" s="724"/>
      <c r="BF4" s="724"/>
      <c r="BG4" s="724"/>
      <c r="BH4" s="724"/>
      <c r="BI4" s="724"/>
      <c r="BJ4" s="724"/>
      <c r="BK4" s="724"/>
      <c r="BL4" s="724"/>
      <c r="BM4" s="724"/>
      <c r="BN4" s="724"/>
      <c r="BO4" s="724"/>
      <c r="BP4" s="724"/>
      <c r="BQ4" s="725"/>
      <c r="BR4" s="693"/>
      <c r="BS4" s="693"/>
      <c r="BT4" s="593"/>
      <c r="BU4" s="593"/>
      <c r="BV4" s="593"/>
      <c r="BW4" s="593"/>
      <c r="BX4" s="593"/>
      <c r="BY4" s="693"/>
      <c r="BZ4" s="693"/>
      <c r="CA4" s="593"/>
      <c r="CB4" s="593"/>
      <c r="CC4" s="593"/>
      <c r="CD4" s="593"/>
      <c r="CE4" s="593"/>
    </row>
    <row r="5" spans="1:107" ht="12" customHeight="1">
      <c r="A5" s="592"/>
      <c r="B5" s="592"/>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t="s">
        <v>2</v>
      </c>
      <c r="AE5" s="592"/>
      <c r="AF5" s="592"/>
      <c r="AG5" s="592"/>
      <c r="AH5" s="604">
        <v>43503</v>
      </c>
      <c r="AI5" s="604"/>
      <c r="AJ5" s="604"/>
      <c r="AK5" s="604"/>
      <c r="AL5" s="604"/>
      <c r="AM5" s="604"/>
      <c r="AN5" s="604"/>
      <c r="AO5" s="592" t="s">
        <v>3</v>
      </c>
      <c r="AP5" s="592"/>
      <c r="AQ5" s="592"/>
      <c r="AR5" s="592"/>
      <c r="AS5" s="692"/>
      <c r="AT5" s="692"/>
      <c r="AU5" s="692"/>
      <c r="AV5" s="692"/>
      <c r="AW5" s="692"/>
      <c r="AX5" s="692"/>
      <c r="AY5" s="692"/>
      <c r="AZ5" s="592" t="s">
        <v>4</v>
      </c>
      <c r="BA5" s="592"/>
      <c r="BB5" s="592"/>
      <c r="BC5" s="592"/>
      <c r="BD5" s="692"/>
      <c r="BE5" s="692"/>
      <c r="BF5" s="692"/>
      <c r="BG5" s="692"/>
      <c r="BH5" s="692"/>
      <c r="BI5" s="692"/>
      <c r="BJ5" s="692"/>
      <c r="BK5" s="592" t="s">
        <v>5</v>
      </c>
      <c r="BL5" s="592"/>
      <c r="BM5" s="592"/>
      <c r="BN5" s="691"/>
      <c r="BO5" s="691"/>
      <c r="BP5" s="691"/>
      <c r="BQ5" s="691"/>
      <c r="BR5" s="693"/>
      <c r="BS5" s="693"/>
      <c r="BT5" s="593"/>
      <c r="BU5" s="593"/>
      <c r="BV5" s="593"/>
      <c r="BW5" s="593"/>
      <c r="BX5" s="593"/>
      <c r="BY5" s="693"/>
      <c r="BZ5" s="693"/>
      <c r="CA5" s="593"/>
      <c r="CB5" s="593"/>
      <c r="CC5" s="593"/>
      <c r="CD5" s="593"/>
      <c r="CE5" s="593"/>
    </row>
    <row r="6" spans="1:107" ht="5.0999999999999996"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60"/>
      <c r="B8" s="460"/>
      <c r="C8" s="460"/>
      <c r="D8" s="460"/>
      <c r="E8" s="460"/>
      <c r="F8" s="460"/>
      <c r="G8" s="460"/>
      <c r="H8" s="460"/>
      <c r="I8" s="460"/>
      <c r="J8" s="460"/>
      <c r="K8" s="460"/>
      <c r="L8" s="460"/>
      <c r="M8" s="460"/>
      <c r="N8" s="460"/>
      <c r="O8" s="460"/>
      <c r="P8" s="460"/>
      <c r="Q8" s="460"/>
      <c r="R8" s="460"/>
      <c r="S8" s="460"/>
      <c r="T8" s="460"/>
      <c r="U8" s="460"/>
      <c r="V8" s="460"/>
      <c r="W8" s="460"/>
      <c r="X8" s="460"/>
      <c r="Y8" s="460"/>
      <c r="Z8" s="460"/>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60"/>
      <c r="B9" s="460" t="s">
        <v>1157</v>
      </c>
      <c r="C9" s="460"/>
      <c r="D9" s="460"/>
      <c r="E9" s="460"/>
      <c r="F9" s="460"/>
      <c r="G9" s="460"/>
      <c r="H9" s="460"/>
      <c r="I9" s="460"/>
      <c r="J9" s="460"/>
      <c r="K9" s="460"/>
      <c r="L9" s="460"/>
      <c r="M9" s="460"/>
      <c r="N9" s="460"/>
      <c r="O9" s="460"/>
      <c r="P9" s="460"/>
      <c r="Q9" s="460"/>
      <c r="R9" s="460"/>
      <c r="S9" s="460"/>
      <c r="T9" s="460"/>
      <c r="U9" s="460"/>
      <c r="V9" s="460"/>
      <c r="W9" s="460"/>
      <c r="X9" s="460"/>
      <c r="Y9" s="460"/>
      <c r="Z9" s="460"/>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60"/>
      <c r="B10" s="460"/>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60"/>
      <c r="B11" s="460"/>
      <c r="C11" s="460" t="s">
        <v>1158</v>
      </c>
      <c r="D11" s="460"/>
      <c r="E11" s="460"/>
      <c r="F11" s="460"/>
      <c r="G11" s="460"/>
      <c r="H11" s="460"/>
      <c r="I11" s="460"/>
      <c r="J11" s="460"/>
      <c r="K11" s="460"/>
      <c r="L11" s="460"/>
      <c r="M11" s="460"/>
      <c r="N11" s="460"/>
      <c r="O11" s="460"/>
      <c r="P11" s="460"/>
      <c r="Q11" s="460"/>
      <c r="R11" s="460"/>
      <c r="S11" s="460"/>
      <c r="T11" s="460"/>
      <c r="U11" s="460"/>
      <c r="V11" s="460"/>
      <c r="W11" s="460"/>
      <c r="X11" s="460"/>
      <c r="Y11" s="460"/>
      <c r="Z11" s="460"/>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60"/>
      <c r="B12" s="460"/>
      <c r="C12" s="460"/>
      <c r="D12" s="460"/>
      <c r="E12" s="460"/>
      <c r="F12" s="460"/>
      <c r="G12" s="460"/>
      <c r="H12" s="460"/>
      <c r="I12" s="460"/>
      <c r="J12" s="460"/>
      <c r="K12" s="460"/>
      <c r="L12" s="460"/>
      <c r="M12" s="460"/>
      <c r="N12" s="460"/>
      <c r="O12" s="460"/>
      <c r="P12" s="460"/>
      <c r="Q12" s="460"/>
      <c r="R12" s="460"/>
      <c r="S12" s="460"/>
      <c r="T12" s="460"/>
      <c r="U12" s="460"/>
      <c r="V12" s="460"/>
      <c r="W12" s="460"/>
      <c r="X12" s="460"/>
      <c r="Y12" s="460"/>
      <c r="Z12" s="460"/>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60"/>
      <c r="B13" s="460"/>
      <c r="C13" s="460"/>
      <c r="D13" s="460" t="s">
        <v>524</v>
      </c>
      <c r="E13" s="460"/>
      <c r="F13" s="460"/>
      <c r="G13" s="460"/>
      <c r="H13" s="460"/>
      <c r="I13" s="460"/>
      <c r="J13" s="460"/>
      <c r="K13" s="460"/>
      <c r="L13" s="460"/>
      <c r="M13" s="460"/>
      <c r="N13" s="460"/>
      <c r="O13" s="460"/>
      <c r="P13" s="460"/>
      <c r="Q13" s="460"/>
      <c r="R13" s="460"/>
      <c r="S13" s="460"/>
      <c r="T13" s="460"/>
      <c r="U13" s="460"/>
      <c r="V13" s="460"/>
      <c r="W13" s="460"/>
      <c r="X13" s="460"/>
      <c r="Y13" s="460"/>
      <c r="Z13" s="460"/>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ht="12" customHeight="1">
      <c r="A14" s="460"/>
      <c r="B14" s="460"/>
      <c r="C14" s="460"/>
      <c r="D14" s="460"/>
      <c r="E14" s="460"/>
      <c r="F14" s="460"/>
      <c r="G14" s="460"/>
      <c r="H14" s="460"/>
      <c r="I14" s="460"/>
      <c r="J14" s="460"/>
      <c r="K14" s="460"/>
      <c r="L14" s="460"/>
      <c r="M14" s="460"/>
      <c r="N14" s="460"/>
      <c r="O14" s="460"/>
      <c r="P14" s="460"/>
      <c r="Q14" s="460"/>
      <c r="R14" s="460"/>
      <c r="S14" s="460"/>
      <c r="T14" s="460"/>
      <c r="U14" s="460"/>
      <c r="V14" s="460"/>
      <c r="W14" s="460"/>
      <c r="X14" s="460"/>
      <c r="Y14" s="460"/>
      <c r="Z14" s="460"/>
      <c r="AA14" s="362"/>
      <c r="AB14" s="362"/>
      <c r="AC14" s="362"/>
      <c r="AD14" s="362"/>
      <c r="AE14" s="362"/>
      <c r="AF14" s="362"/>
      <c r="AG14" s="362"/>
      <c r="AH14" s="362"/>
      <c r="AI14" s="362"/>
      <c r="AJ14" s="362"/>
      <c r="AK14" s="362"/>
      <c r="AL14" s="362"/>
      <c r="AM14" s="362"/>
      <c r="AN14" s="362"/>
      <c r="AO14" s="362"/>
      <c r="AP14" s="362"/>
      <c r="AQ14" s="362"/>
      <c r="AR14" s="362"/>
      <c r="AS14" s="362"/>
      <c r="AT14" s="362"/>
      <c r="AU14" s="362"/>
      <c r="AV14" s="362"/>
      <c r="AW14" s="362"/>
      <c r="AX14" s="362"/>
      <c r="AY14" s="362"/>
      <c r="AZ14" s="362"/>
      <c r="BA14" s="362"/>
      <c r="BB14" s="362"/>
      <c r="BC14" s="362"/>
      <c r="BD14" s="362"/>
      <c r="BE14" s="362"/>
      <c r="BF14" s="362"/>
      <c r="BG14" s="362"/>
      <c r="BH14" s="362"/>
      <c r="BI14" s="362"/>
      <c r="BJ14" s="362"/>
      <c r="BK14" s="362"/>
      <c r="BL14" s="362"/>
      <c r="BM14" s="362"/>
      <c r="BN14" s="362"/>
      <c r="BO14" s="362"/>
      <c r="BP14" s="362"/>
      <c r="BQ14" s="362"/>
      <c r="BR14" s="362"/>
      <c r="BS14" s="362"/>
      <c r="BT14" s="362"/>
      <c r="BU14" s="362"/>
      <c r="BV14" s="362"/>
      <c r="BW14" s="362"/>
      <c r="BX14" s="362"/>
      <c r="BY14" s="362"/>
      <c r="BZ14" s="362"/>
      <c r="CA14" s="362"/>
      <c r="CB14" s="362"/>
      <c r="CC14" s="362"/>
      <c r="CD14" s="362"/>
      <c r="CE14" s="362"/>
      <c r="CY14" s="2"/>
      <c r="CZ14" s="2"/>
      <c r="DA14" s="2"/>
      <c r="DB14" s="2"/>
      <c r="DC14" s="2"/>
    </row>
    <row r="15" spans="1:107" ht="12" customHeight="1">
      <c r="A15" s="460"/>
      <c r="B15" s="460"/>
      <c r="C15" s="460"/>
      <c r="D15" s="461" t="s">
        <v>204</v>
      </c>
      <c r="E15" s="462" t="s">
        <v>1012</v>
      </c>
      <c r="F15" s="462"/>
      <c r="G15" s="460"/>
      <c r="H15" s="460"/>
      <c r="I15" s="460"/>
      <c r="J15" s="460"/>
      <c r="K15" s="460"/>
      <c r="L15" s="460"/>
      <c r="M15" s="460"/>
      <c r="N15" s="460"/>
      <c r="O15" s="460"/>
      <c r="P15" s="460"/>
      <c r="Q15" s="460"/>
      <c r="R15" s="460"/>
      <c r="S15" s="460"/>
      <c r="T15" s="460"/>
      <c r="U15" s="460"/>
      <c r="V15" s="460"/>
      <c r="W15" s="460"/>
      <c r="X15" s="460"/>
      <c r="Y15" s="460"/>
      <c r="Z15" s="460"/>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row>
    <row r="16" spans="1:107" ht="12" customHeight="1">
      <c r="A16" s="460"/>
      <c r="B16" s="460"/>
      <c r="C16" s="460"/>
      <c r="D16" s="461"/>
      <c r="E16" s="462" t="s">
        <v>1013</v>
      </c>
      <c r="F16" s="462"/>
      <c r="G16" s="460"/>
      <c r="H16" s="460"/>
      <c r="I16" s="460"/>
      <c r="J16" s="460"/>
      <c r="K16" s="460"/>
      <c r="L16" s="460"/>
      <c r="M16" s="460"/>
      <c r="N16" s="460"/>
      <c r="O16" s="460"/>
      <c r="P16" s="460"/>
      <c r="Q16" s="460"/>
      <c r="R16" s="460"/>
      <c r="S16" s="460"/>
      <c r="T16" s="460"/>
      <c r="U16" s="460"/>
      <c r="V16" s="460"/>
      <c r="W16" s="460"/>
      <c r="X16" s="460"/>
      <c r="Y16" s="460"/>
      <c r="Z16" s="460"/>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row>
    <row r="17" spans="1:107" ht="12" customHeight="1">
      <c r="A17" s="460"/>
      <c r="B17" s="460"/>
      <c r="C17" s="460"/>
      <c r="D17" s="461"/>
      <c r="E17" s="462" t="s">
        <v>572</v>
      </c>
      <c r="F17" s="462"/>
      <c r="G17" s="460"/>
      <c r="H17" s="460"/>
      <c r="I17" s="460"/>
      <c r="J17" s="460"/>
      <c r="K17" s="460"/>
      <c r="L17" s="460"/>
      <c r="M17" s="460"/>
      <c r="N17" s="460"/>
      <c r="O17" s="460"/>
      <c r="P17" s="460"/>
      <c r="Q17" s="460"/>
      <c r="R17" s="460"/>
      <c r="S17" s="460"/>
      <c r="T17" s="460"/>
      <c r="U17" s="460"/>
      <c r="V17" s="460"/>
      <c r="W17" s="460"/>
      <c r="X17" s="460"/>
      <c r="Y17" s="460"/>
      <c r="Z17" s="460"/>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row>
    <row r="18" spans="1:107" ht="12" customHeight="1">
      <c r="A18" s="460"/>
      <c r="B18" s="460"/>
      <c r="C18" s="460"/>
      <c r="D18" s="462"/>
      <c r="E18" s="462"/>
      <c r="F18" s="462" t="s">
        <v>369</v>
      </c>
      <c r="G18" s="460"/>
      <c r="H18" s="460"/>
      <c r="I18" s="460"/>
      <c r="J18" s="460"/>
      <c r="K18" s="460"/>
      <c r="L18" s="460"/>
      <c r="M18" s="460"/>
      <c r="N18" s="460"/>
      <c r="O18" s="460"/>
      <c r="P18" s="460"/>
      <c r="Q18" s="460"/>
      <c r="R18" s="460"/>
      <c r="S18" s="460"/>
      <c r="T18" s="460"/>
      <c r="U18" s="460"/>
      <c r="V18" s="460"/>
      <c r="W18" s="460"/>
      <c r="X18" s="460"/>
      <c r="Y18" s="460"/>
      <c r="Z18" s="460"/>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row>
    <row r="19" spans="1:107" ht="12" customHeight="1">
      <c r="A19" s="460"/>
      <c r="B19" s="460"/>
      <c r="C19" s="460"/>
      <c r="D19" s="461"/>
      <c r="E19" s="462"/>
      <c r="F19" s="462" t="s">
        <v>368</v>
      </c>
      <c r="G19" s="460"/>
      <c r="H19" s="460"/>
      <c r="I19" s="460"/>
      <c r="J19" s="460"/>
      <c r="K19" s="460"/>
      <c r="L19" s="460"/>
      <c r="M19" s="460"/>
      <c r="N19" s="460"/>
      <c r="O19" s="460"/>
      <c r="P19" s="460"/>
      <c r="Q19" s="460"/>
      <c r="R19" s="460"/>
      <c r="S19" s="460"/>
      <c r="T19" s="460"/>
      <c r="U19" s="460"/>
      <c r="V19" s="460"/>
      <c r="W19" s="460"/>
      <c r="X19" s="460"/>
      <c r="Y19" s="460"/>
      <c r="Z19" s="460"/>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row>
    <row r="20" spans="1:107" ht="12" customHeight="1">
      <c r="A20" s="460"/>
      <c r="B20" s="460"/>
      <c r="C20" s="460"/>
      <c r="D20" s="461" t="s">
        <v>204</v>
      </c>
      <c r="E20" s="462" t="s">
        <v>1159</v>
      </c>
      <c r="F20" s="460"/>
      <c r="G20" s="460"/>
      <c r="H20" s="460"/>
      <c r="I20" s="460"/>
      <c r="J20" s="460"/>
      <c r="K20" s="460"/>
      <c r="L20" s="460"/>
      <c r="M20" s="460"/>
      <c r="N20" s="460"/>
      <c r="O20" s="460"/>
      <c r="P20" s="460"/>
      <c r="Q20" s="460"/>
      <c r="R20" s="460"/>
      <c r="S20" s="460"/>
      <c r="T20" s="460"/>
      <c r="U20" s="460"/>
      <c r="V20" s="460"/>
      <c r="W20" s="460"/>
      <c r="X20" s="460"/>
      <c r="Y20" s="460"/>
      <c r="Z20" s="460"/>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Y20" s="2"/>
      <c r="CZ20" s="2"/>
      <c r="DA20" s="2"/>
      <c r="DB20" s="2"/>
      <c r="DC20" s="2"/>
    </row>
    <row r="21" spans="1:107" ht="12" customHeight="1">
      <c r="A21" s="460"/>
      <c r="B21" s="460"/>
      <c r="C21" s="460"/>
      <c r="D21" s="461" t="s">
        <v>204</v>
      </c>
      <c r="E21" s="462" t="s">
        <v>1014</v>
      </c>
      <c r="F21" s="460"/>
      <c r="G21" s="460"/>
      <c r="H21" s="460"/>
      <c r="I21" s="460"/>
      <c r="J21" s="460"/>
      <c r="K21" s="460"/>
      <c r="L21" s="460"/>
      <c r="M21" s="460"/>
      <c r="N21" s="460"/>
      <c r="O21" s="460"/>
      <c r="P21" s="460"/>
      <c r="Q21" s="460"/>
      <c r="R21" s="460"/>
      <c r="S21" s="460"/>
      <c r="T21" s="460"/>
      <c r="U21" s="460"/>
      <c r="V21" s="460"/>
      <c r="W21" s="460"/>
      <c r="X21" s="460"/>
      <c r="Y21" s="460"/>
      <c r="Z21" s="460"/>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S21" s="2"/>
      <c r="CT21" s="2"/>
      <c r="CU21" s="2"/>
      <c r="CV21" s="2"/>
      <c r="CW21" s="2"/>
      <c r="CX21" s="2"/>
      <c r="CY21" s="2"/>
    </row>
    <row r="22" spans="1:107" ht="12" customHeight="1">
      <c r="A22" s="460"/>
      <c r="B22" s="460"/>
      <c r="C22" s="460"/>
      <c r="D22" s="462"/>
      <c r="E22" s="462"/>
      <c r="F22" s="460"/>
      <c r="G22" s="460"/>
      <c r="H22" s="460"/>
      <c r="I22" s="460"/>
      <c r="J22" s="460"/>
      <c r="K22" s="460"/>
      <c r="L22" s="460"/>
      <c r="M22" s="460"/>
      <c r="N22" s="460"/>
      <c r="O22" s="460"/>
      <c r="P22" s="460"/>
      <c r="Q22" s="460"/>
      <c r="R22" s="460"/>
      <c r="S22" s="460"/>
      <c r="T22" s="460"/>
      <c r="U22" s="460"/>
      <c r="V22" s="460"/>
      <c r="W22" s="460"/>
      <c r="X22" s="460"/>
      <c r="Y22" s="460"/>
      <c r="Z22" s="460"/>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Q22" s="2"/>
      <c r="CR22" s="2"/>
      <c r="CS22" s="2"/>
      <c r="CT22" s="2"/>
    </row>
    <row r="23" spans="1:107" ht="12" customHeight="1">
      <c r="A23" s="460"/>
      <c r="B23" s="460"/>
      <c r="C23" s="460"/>
      <c r="D23" s="462" t="s">
        <v>367</v>
      </c>
      <c r="E23" s="462"/>
      <c r="F23" s="462"/>
      <c r="G23" s="462"/>
      <c r="H23" s="462"/>
      <c r="I23" s="462"/>
      <c r="J23" s="462"/>
      <c r="K23" s="462"/>
      <c r="L23" s="462"/>
      <c r="M23" s="462"/>
      <c r="N23" s="462"/>
      <c r="O23" s="462"/>
      <c r="P23" s="462"/>
      <c r="Q23" s="462"/>
      <c r="R23" s="462"/>
      <c r="S23" s="462"/>
      <c r="T23" s="462"/>
      <c r="U23" s="462"/>
      <c r="V23" s="462"/>
      <c r="W23" s="462"/>
      <c r="X23" s="462"/>
      <c r="Y23" s="462"/>
      <c r="Z23" s="462"/>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c r="CY23" s="2"/>
      <c r="CZ23" s="2"/>
      <c r="DA23" s="2"/>
      <c r="DB23" s="2"/>
      <c r="DC23" s="2"/>
    </row>
    <row r="24" spans="1:107" ht="12" customHeight="1">
      <c r="A24" s="460"/>
      <c r="B24" s="460"/>
      <c r="C24" s="460"/>
      <c r="D24" s="462"/>
      <c r="E24" s="462"/>
      <c r="F24" s="462"/>
      <c r="G24" s="462"/>
      <c r="H24" s="462"/>
      <c r="I24" s="462"/>
      <c r="J24" s="462"/>
      <c r="K24" s="462"/>
      <c r="L24" s="462"/>
      <c r="M24" s="462"/>
      <c r="N24" s="462"/>
      <c r="O24" s="462"/>
      <c r="P24" s="462"/>
      <c r="Q24" s="462"/>
      <c r="R24" s="462"/>
      <c r="S24" s="462"/>
      <c r="T24" s="462"/>
      <c r="U24" s="462"/>
      <c r="V24" s="462"/>
      <c r="W24" s="462"/>
      <c r="X24" s="462"/>
      <c r="Y24" s="462"/>
      <c r="Z24" s="462"/>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c r="CY24" s="2"/>
      <c r="CZ24" s="2"/>
      <c r="DA24" s="2"/>
      <c r="DB24" s="2"/>
      <c r="DC24" s="2"/>
    </row>
    <row r="25" spans="1:107" ht="12" customHeight="1">
      <c r="A25" s="460"/>
      <c r="B25" s="460"/>
      <c r="C25" s="460" t="s">
        <v>1160</v>
      </c>
      <c r="D25" s="460"/>
      <c r="E25" s="460"/>
      <c r="F25" s="462"/>
      <c r="G25" s="462"/>
      <c r="H25" s="462"/>
      <c r="I25" s="462"/>
      <c r="J25" s="462"/>
      <c r="K25" s="462"/>
      <c r="L25" s="462"/>
      <c r="M25" s="462"/>
      <c r="N25" s="462"/>
      <c r="O25" s="462"/>
      <c r="P25" s="462"/>
      <c r="Q25" s="462"/>
      <c r="R25" s="462"/>
      <c r="S25" s="462"/>
      <c r="T25" s="462"/>
      <c r="U25" s="462"/>
      <c r="V25" s="462"/>
      <c r="W25" s="462"/>
      <c r="X25" s="462"/>
      <c r="Y25" s="462"/>
      <c r="Z25" s="462"/>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7" ht="12" customHeight="1">
      <c r="A26" s="460"/>
      <c r="B26" s="460"/>
      <c r="C26" s="460"/>
      <c r="D26" s="460"/>
      <c r="E26" s="460"/>
      <c r="F26" s="462"/>
      <c r="G26" s="462"/>
      <c r="H26" s="462"/>
      <c r="I26" s="462"/>
      <c r="J26" s="462"/>
      <c r="K26" s="462"/>
      <c r="L26" s="462"/>
      <c r="M26" s="462"/>
      <c r="N26" s="462"/>
      <c r="O26" s="462"/>
      <c r="P26" s="462"/>
      <c r="Q26" s="462"/>
      <c r="R26" s="462"/>
      <c r="S26" s="462"/>
      <c r="T26" s="462"/>
      <c r="U26" s="462"/>
      <c r="V26" s="462"/>
      <c r="W26" s="462"/>
      <c r="X26" s="462"/>
      <c r="Y26" s="462"/>
      <c r="Z26" s="462"/>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7" ht="12" customHeight="1">
      <c r="A27" s="460"/>
      <c r="B27" s="460"/>
      <c r="C27" s="460"/>
      <c r="D27" s="460" t="s">
        <v>366</v>
      </c>
      <c r="E27" s="462"/>
      <c r="F27" s="462"/>
      <c r="G27" s="462"/>
      <c r="H27" s="462"/>
      <c r="I27" s="462"/>
      <c r="J27" s="462"/>
      <c r="K27" s="462"/>
      <c r="L27" s="462"/>
      <c r="M27" s="462"/>
      <c r="N27" s="462"/>
      <c r="O27" s="462"/>
      <c r="P27" s="462"/>
      <c r="Q27" s="462"/>
      <c r="R27" s="462"/>
      <c r="S27" s="462"/>
      <c r="T27" s="462"/>
      <c r="U27" s="462"/>
      <c r="V27" s="462"/>
      <c r="W27" s="462"/>
      <c r="X27" s="462"/>
      <c r="Y27" s="462"/>
      <c r="Z27" s="462"/>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7" ht="12" customHeight="1">
      <c r="A28" s="460"/>
      <c r="B28" s="460"/>
      <c r="C28" s="460"/>
      <c r="D28" s="460"/>
      <c r="E28" s="462"/>
      <c r="F28" s="462"/>
      <c r="G28" s="462"/>
      <c r="H28" s="462"/>
      <c r="I28" s="462"/>
      <c r="J28" s="462"/>
      <c r="K28" s="462"/>
      <c r="L28" s="462"/>
      <c r="M28" s="462"/>
      <c r="N28" s="462"/>
      <c r="O28" s="462"/>
      <c r="P28" s="462"/>
      <c r="Q28" s="462"/>
      <c r="R28" s="462"/>
      <c r="S28" s="462"/>
      <c r="T28" s="462"/>
      <c r="U28" s="462"/>
      <c r="V28" s="462"/>
      <c r="W28" s="462"/>
      <c r="X28" s="462"/>
      <c r="Y28" s="462"/>
      <c r="Z28" s="462"/>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7" ht="12" customHeight="1">
      <c r="A29" s="460"/>
      <c r="B29" s="460"/>
      <c r="C29" s="460"/>
      <c r="D29" s="463" t="s">
        <v>525</v>
      </c>
      <c r="E29" s="462"/>
      <c r="F29" s="462" t="s">
        <v>365</v>
      </c>
      <c r="G29" s="462"/>
      <c r="H29" s="462"/>
      <c r="I29" s="462"/>
      <c r="J29" s="462"/>
      <c r="K29" s="462"/>
      <c r="L29" s="462"/>
      <c r="M29" s="462"/>
      <c r="N29" s="462"/>
      <c r="O29" s="462"/>
      <c r="P29" s="462"/>
      <c r="Q29" s="462"/>
      <c r="R29" s="462"/>
      <c r="S29" s="462"/>
      <c r="T29" s="462"/>
      <c r="U29" s="462"/>
      <c r="V29" s="462"/>
      <c r="W29" s="462"/>
      <c r="X29" s="462"/>
      <c r="Y29" s="462"/>
      <c r="Z29" s="462"/>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7" ht="12" customHeight="1">
      <c r="A30" s="460"/>
      <c r="B30" s="460"/>
      <c r="C30" s="460"/>
      <c r="D30" s="463" t="s">
        <v>526</v>
      </c>
      <c r="E30" s="462"/>
      <c r="F30" s="462" t="s">
        <v>364</v>
      </c>
      <c r="G30" s="462"/>
      <c r="H30" s="462"/>
      <c r="I30" s="462"/>
      <c r="J30" s="462"/>
      <c r="K30" s="462"/>
      <c r="L30" s="462"/>
      <c r="M30" s="462"/>
      <c r="N30" s="462"/>
      <c r="O30" s="462"/>
      <c r="P30" s="462"/>
      <c r="Q30" s="462"/>
      <c r="R30" s="462"/>
      <c r="S30" s="462"/>
      <c r="T30" s="462"/>
      <c r="U30" s="462"/>
      <c r="V30" s="462"/>
      <c r="W30" s="462"/>
      <c r="X30" s="462"/>
      <c r="Y30" s="462"/>
      <c r="Z30" s="462"/>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7" ht="12" customHeight="1">
      <c r="A31" s="460"/>
      <c r="B31" s="460"/>
      <c r="C31" s="460"/>
      <c r="D31" s="463" t="s">
        <v>527</v>
      </c>
      <c r="E31" s="462"/>
      <c r="F31" s="462" t="s">
        <v>363</v>
      </c>
      <c r="G31" s="462"/>
      <c r="H31" s="462"/>
      <c r="I31" s="462"/>
      <c r="J31" s="462"/>
      <c r="K31" s="462"/>
      <c r="L31" s="462"/>
      <c r="M31" s="462"/>
      <c r="N31" s="462"/>
      <c r="O31" s="462"/>
      <c r="P31" s="462"/>
      <c r="Q31" s="462"/>
      <c r="R31" s="462"/>
      <c r="S31" s="462"/>
      <c r="T31" s="462"/>
      <c r="U31" s="462"/>
      <c r="V31" s="462"/>
      <c r="W31" s="462"/>
      <c r="X31" s="462"/>
      <c r="Y31" s="462"/>
      <c r="Z31" s="462"/>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7" ht="12" customHeight="1">
      <c r="A32" s="460"/>
      <c r="B32" s="460"/>
      <c r="C32" s="460"/>
      <c r="D32" s="463" t="s">
        <v>528</v>
      </c>
      <c r="E32" s="462"/>
      <c r="F32" s="462" t="s">
        <v>529</v>
      </c>
      <c r="G32" s="462"/>
      <c r="H32" s="462"/>
      <c r="I32" s="462"/>
      <c r="J32" s="462"/>
      <c r="K32" s="462"/>
      <c r="L32" s="462"/>
      <c r="M32" s="462"/>
      <c r="N32" s="462"/>
      <c r="O32" s="462"/>
      <c r="P32" s="462"/>
      <c r="Q32" s="462"/>
      <c r="R32" s="462"/>
      <c r="S32" s="462"/>
      <c r="T32" s="462"/>
      <c r="U32" s="462"/>
      <c r="V32" s="462"/>
      <c r="W32" s="462"/>
      <c r="X32" s="462"/>
      <c r="Y32" s="462"/>
      <c r="Z32" s="462"/>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6" ht="12" customHeight="1">
      <c r="A33" s="3"/>
      <c r="B33" s="3"/>
      <c r="C33" s="3"/>
      <c r="D33" s="49" t="s">
        <v>530</v>
      </c>
      <c r="E33" s="5"/>
      <c r="F33" s="5" t="s">
        <v>362</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6" ht="12" customHeight="1">
      <c r="A34" s="3"/>
      <c r="B34" s="3"/>
      <c r="C34" s="3"/>
      <c r="D34" s="49" t="s">
        <v>531</v>
      </c>
      <c r="E34" s="5"/>
      <c r="F34" s="5" t="s">
        <v>361</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6" ht="12" customHeight="1">
      <c r="A35" s="3"/>
      <c r="B35" s="3"/>
      <c r="C35" s="3"/>
      <c r="D35" s="49" t="s">
        <v>532</v>
      </c>
      <c r="E35" s="5"/>
      <c r="F35" s="5" t="s">
        <v>360</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6" ht="12" customHeight="1">
      <c r="A36" s="3"/>
      <c r="B36" s="3"/>
      <c r="C36" s="3"/>
      <c r="D36" s="49" t="s">
        <v>533</v>
      </c>
      <c r="E36" s="5"/>
      <c r="F36" s="5" t="s">
        <v>359</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6" ht="12" customHeight="1">
      <c r="A37" s="3"/>
      <c r="B37" s="3"/>
      <c r="C37" s="3"/>
      <c r="D37" s="49" t="s">
        <v>534</v>
      </c>
      <c r="E37" s="5"/>
      <c r="F37" s="5" t="s">
        <v>358</v>
      </c>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3"/>
      <c r="CD37" s="3"/>
      <c r="CE37" s="3"/>
    </row>
    <row r="38" spans="1:86" ht="12" customHeight="1">
      <c r="A38" s="3"/>
      <c r="B38" s="3"/>
      <c r="C38" s="5"/>
      <c r="D38" s="3"/>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3"/>
      <c r="CD38" s="3"/>
      <c r="CE38" s="3"/>
    </row>
    <row r="39" spans="1:86" ht="12" customHeight="1">
      <c r="A39" s="460"/>
      <c r="B39" s="460"/>
      <c r="C39" s="460" t="s">
        <v>1161</v>
      </c>
      <c r="D39" s="460"/>
      <c r="E39" s="460"/>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3"/>
      <c r="BS39" s="3"/>
      <c r="BT39" s="3"/>
      <c r="BU39" s="3"/>
      <c r="BV39" s="3"/>
      <c r="BW39" s="3"/>
      <c r="BX39" s="3"/>
      <c r="BY39" s="3"/>
      <c r="BZ39" s="5"/>
      <c r="CA39" s="5"/>
      <c r="CB39" s="5"/>
      <c r="CC39" s="5"/>
      <c r="CD39" s="3"/>
      <c r="CE39" s="3"/>
      <c r="CF39" s="3"/>
      <c r="CG39" s="3"/>
    </row>
    <row r="40" spans="1:86" ht="12" customHeight="1">
      <c r="A40" s="460"/>
      <c r="B40" s="460"/>
      <c r="C40" s="460"/>
      <c r="D40" s="460"/>
      <c r="E40" s="460"/>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c r="CG40" s="3"/>
    </row>
    <row r="41" spans="1:86" ht="12" customHeight="1">
      <c r="A41" s="3"/>
      <c r="B41" s="3"/>
      <c r="C41" s="3"/>
      <c r="D41" s="3" t="s">
        <v>409</v>
      </c>
      <c r="E41" s="5"/>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c r="CG41" s="3"/>
    </row>
    <row r="42" spans="1:86" ht="12" customHeight="1">
      <c r="A42" s="3"/>
      <c r="B42" s="3"/>
      <c r="C42" s="3"/>
      <c r="D42" s="3"/>
      <c r="E42" s="5"/>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5"/>
      <c r="CA42" s="5"/>
      <c r="CB42" s="5"/>
      <c r="CC42" s="5"/>
      <c r="CD42" s="3"/>
      <c r="CE42" s="3"/>
      <c r="CF42" s="3"/>
      <c r="CG42" s="3"/>
    </row>
    <row r="43" spans="1:86" ht="12" customHeight="1">
      <c r="A43" s="3"/>
      <c r="B43" s="3"/>
      <c r="C43" s="3"/>
      <c r="D43" s="171" t="s">
        <v>304</v>
      </c>
      <c r="E43" s="172"/>
      <c r="F43" s="172"/>
      <c r="G43" s="172"/>
      <c r="H43" s="172"/>
      <c r="I43" s="172"/>
      <c r="J43" s="172"/>
      <c r="K43" s="171" t="s">
        <v>400</v>
      </c>
      <c r="L43" s="172"/>
      <c r="M43" s="172"/>
      <c r="N43" s="172"/>
      <c r="O43" s="172"/>
      <c r="P43" s="172"/>
      <c r="Q43" s="172"/>
      <c r="R43" s="172"/>
      <c r="S43" s="172"/>
      <c r="T43" s="172"/>
      <c r="U43" s="172"/>
      <c r="V43" s="172"/>
      <c r="W43" s="172"/>
      <c r="X43" s="173"/>
      <c r="Y43" s="172" t="s">
        <v>64</v>
      </c>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3"/>
      <c r="CD43" s="5"/>
      <c r="CE43" s="3"/>
      <c r="CF43" s="3"/>
      <c r="CG43" s="3"/>
      <c r="CH43" s="3"/>
    </row>
    <row r="44" spans="1:86" ht="12" customHeight="1">
      <c r="A44" s="3"/>
      <c r="B44" s="3"/>
      <c r="C44" s="3"/>
      <c r="D44" s="165" t="s">
        <v>535</v>
      </c>
      <c r="E44" s="166"/>
      <c r="F44" s="166"/>
      <c r="G44" s="166"/>
      <c r="H44" s="166"/>
      <c r="I44" s="166"/>
      <c r="J44" s="166"/>
      <c r="K44" s="165" t="s">
        <v>536</v>
      </c>
      <c r="L44" s="166"/>
      <c r="M44" s="166"/>
      <c r="N44" s="166"/>
      <c r="O44" s="166"/>
      <c r="P44" s="166"/>
      <c r="Q44" s="166"/>
      <c r="R44" s="166"/>
      <c r="S44" s="166"/>
      <c r="T44" s="166"/>
      <c r="U44" s="166"/>
      <c r="V44" s="166"/>
      <c r="W44" s="166"/>
      <c r="X44" s="167"/>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66"/>
      <c r="BY44" s="166"/>
      <c r="BZ44" s="166"/>
      <c r="CA44" s="166"/>
      <c r="CB44" s="166"/>
      <c r="CC44" s="167"/>
      <c r="CD44" s="5"/>
      <c r="CE44" s="3"/>
      <c r="CF44" s="3"/>
      <c r="CG44" s="3"/>
      <c r="CH44" s="3"/>
    </row>
    <row r="45" spans="1:86" ht="12" customHeight="1">
      <c r="A45" s="3"/>
      <c r="B45" s="3"/>
      <c r="C45" s="3"/>
      <c r="D45" s="162" t="s">
        <v>537</v>
      </c>
      <c r="E45" s="163"/>
      <c r="F45" s="163"/>
      <c r="G45" s="163"/>
      <c r="H45" s="163"/>
      <c r="I45" s="163"/>
      <c r="J45" s="163"/>
      <c r="K45" s="162" t="s">
        <v>538</v>
      </c>
      <c r="L45" s="163"/>
      <c r="M45" s="163"/>
      <c r="N45" s="163"/>
      <c r="O45" s="163"/>
      <c r="P45" s="163"/>
      <c r="Q45" s="163"/>
      <c r="R45" s="163"/>
      <c r="S45" s="163"/>
      <c r="T45" s="163"/>
      <c r="U45" s="163"/>
      <c r="V45" s="163"/>
      <c r="W45" s="163"/>
      <c r="X45" s="164"/>
      <c r="Y45" s="622" t="s">
        <v>672</v>
      </c>
      <c r="Z45" s="623"/>
      <c r="AA45" s="623"/>
      <c r="AB45" s="623"/>
      <c r="AC45" s="623"/>
      <c r="AD45" s="623"/>
      <c r="AE45" s="623"/>
      <c r="AF45" s="623"/>
      <c r="AG45" s="623"/>
      <c r="AH45" s="623"/>
      <c r="AI45" s="623"/>
      <c r="AJ45" s="623"/>
      <c r="AK45" s="623"/>
      <c r="AL45" s="623"/>
      <c r="AM45" s="623"/>
      <c r="AN45" s="623"/>
      <c r="AO45" s="623"/>
      <c r="AP45" s="623"/>
      <c r="AQ45" s="623"/>
      <c r="AR45" s="623"/>
      <c r="AS45" s="623"/>
      <c r="AT45" s="623"/>
      <c r="AU45" s="623"/>
      <c r="AV45" s="623"/>
      <c r="AW45" s="623"/>
      <c r="AX45" s="623"/>
      <c r="AY45" s="623"/>
      <c r="AZ45" s="623"/>
      <c r="BA45" s="623"/>
      <c r="BB45" s="623"/>
      <c r="BC45" s="623"/>
      <c r="BD45" s="623"/>
      <c r="BE45" s="623"/>
      <c r="BF45" s="623"/>
      <c r="BG45" s="623"/>
      <c r="BH45" s="623"/>
      <c r="BI45" s="623"/>
      <c r="BJ45" s="623"/>
      <c r="BK45" s="623"/>
      <c r="BL45" s="623"/>
      <c r="BM45" s="623"/>
      <c r="BN45" s="623"/>
      <c r="BO45" s="623"/>
      <c r="BP45" s="623"/>
      <c r="BQ45" s="623"/>
      <c r="BR45" s="623"/>
      <c r="BS45" s="623"/>
      <c r="BT45" s="623"/>
      <c r="BU45" s="623"/>
      <c r="BV45" s="623"/>
      <c r="BW45" s="623"/>
      <c r="BX45" s="623"/>
      <c r="BY45" s="623"/>
      <c r="BZ45" s="623"/>
      <c r="CA45" s="623"/>
      <c r="CB45" s="623"/>
      <c r="CC45" s="624"/>
      <c r="CD45" s="5"/>
      <c r="CE45" s="3"/>
      <c r="CF45" s="3"/>
      <c r="CG45" s="3"/>
      <c r="CH45" s="3"/>
    </row>
    <row r="46" spans="1:86" ht="12" customHeight="1">
      <c r="A46" s="3"/>
      <c r="B46" s="3"/>
      <c r="C46" s="3"/>
      <c r="D46" s="32"/>
      <c r="E46" s="31"/>
      <c r="F46" s="31"/>
      <c r="G46" s="31"/>
      <c r="H46" s="31"/>
      <c r="I46" s="31"/>
      <c r="J46" s="31"/>
      <c r="K46" s="32"/>
      <c r="L46" s="31"/>
      <c r="M46" s="31"/>
      <c r="N46" s="31"/>
      <c r="O46" s="31"/>
      <c r="P46" s="31"/>
      <c r="Q46" s="31"/>
      <c r="R46" s="31"/>
      <c r="S46" s="31"/>
      <c r="T46" s="31"/>
      <c r="U46" s="31"/>
      <c r="V46" s="31"/>
      <c r="W46" s="31"/>
      <c r="X46" s="30"/>
      <c r="Y46" s="625"/>
      <c r="Z46" s="626"/>
      <c r="AA46" s="626"/>
      <c r="AB46" s="626"/>
      <c r="AC46" s="626"/>
      <c r="AD46" s="626"/>
      <c r="AE46" s="626"/>
      <c r="AF46" s="626"/>
      <c r="AG46" s="626"/>
      <c r="AH46" s="626"/>
      <c r="AI46" s="626"/>
      <c r="AJ46" s="626"/>
      <c r="AK46" s="626"/>
      <c r="AL46" s="626"/>
      <c r="AM46" s="626"/>
      <c r="AN46" s="626"/>
      <c r="AO46" s="626"/>
      <c r="AP46" s="626"/>
      <c r="AQ46" s="626"/>
      <c r="AR46" s="626"/>
      <c r="AS46" s="626"/>
      <c r="AT46" s="626"/>
      <c r="AU46" s="626"/>
      <c r="AV46" s="626"/>
      <c r="AW46" s="626"/>
      <c r="AX46" s="626"/>
      <c r="AY46" s="626"/>
      <c r="AZ46" s="626"/>
      <c r="BA46" s="626"/>
      <c r="BB46" s="626"/>
      <c r="BC46" s="626"/>
      <c r="BD46" s="626"/>
      <c r="BE46" s="626"/>
      <c r="BF46" s="626"/>
      <c r="BG46" s="626"/>
      <c r="BH46" s="626"/>
      <c r="BI46" s="626"/>
      <c r="BJ46" s="626"/>
      <c r="BK46" s="626"/>
      <c r="BL46" s="626"/>
      <c r="BM46" s="626"/>
      <c r="BN46" s="626"/>
      <c r="BO46" s="626"/>
      <c r="BP46" s="626"/>
      <c r="BQ46" s="626"/>
      <c r="BR46" s="626"/>
      <c r="BS46" s="626"/>
      <c r="BT46" s="626"/>
      <c r="BU46" s="626"/>
      <c r="BV46" s="626"/>
      <c r="BW46" s="626"/>
      <c r="BX46" s="626"/>
      <c r="BY46" s="626"/>
      <c r="BZ46" s="626"/>
      <c r="CA46" s="626"/>
      <c r="CB46" s="626"/>
      <c r="CC46" s="627"/>
      <c r="CD46" s="5"/>
      <c r="CE46" s="3"/>
      <c r="CF46" s="3"/>
      <c r="CG46" s="3"/>
      <c r="CH46" s="3"/>
    </row>
    <row r="47" spans="1:86" ht="12" customHeight="1">
      <c r="A47" s="3"/>
      <c r="B47" s="3"/>
      <c r="C47" s="3"/>
      <c r="D47" s="165" t="s">
        <v>539</v>
      </c>
      <c r="E47" s="166"/>
      <c r="F47" s="166"/>
      <c r="G47" s="166"/>
      <c r="H47" s="166"/>
      <c r="I47" s="166"/>
      <c r="J47" s="166"/>
      <c r="K47" s="165" t="s">
        <v>401</v>
      </c>
      <c r="L47" s="166"/>
      <c r="M47" s="166"/>
      <c r="N47" s="166"/>
      <c r="O47" s="166"/>
      <c r="P47" s="166"/>
      <c r="Q47" s="166"/>
      <c r="R47" s="166"/>
      <c r="S47" s="166"/>
      <c r="T47" s="166"/>
      <c r="U47" s="166"/>
      <c r="V47" s="166"/>
      <c r="W47" s="166"/>
      <c r="X47" s="167"/>
      <c r="Y47" s="166"/>
      <c r="Z47" s="166"/>
      <c r="AA47" s="166"/>
      <c r="AB47" s="166"/>
      <c r="AC47" s="166"/>
      <c r="AD47" s="166"/>
      <c r="AE47" s="166"/>
      <c r="AF47" s="166"/>
      <c r="AG47" s="166"/>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c r="BI47" s="166"/>
      <c r="BJ47" s="166"/>
      <c r="BK47" s="166"/>
      <c r="BL47" s="166"/>
      <c r="BM47" s="166"/>
      <c r="BN47" s="166"/>
      <c r="BO47" s="166"/>
      <c r="BP47" s="166"/>
      <c r="BQ47" s="166"/>
      <c r="BR47" s="166"/>
      <c r="BS47" s="166"/>
      <c r="BT47" s="166"/>
      <c r="BU47" s="166"/>
      <c r="BV47" s="166"/>
      <c r="BW47" s="166"/>
      <c r="BX47" s="166"/>
      <c r="BY47" s="166"/>
      <c r="BZ47" s="166"/>
      <c r="CA47" s="166"/>
      <c r="CB47" s="166"/>
      <c r="CC47" s="167"/>
      <c r="CD47" s="5"/>
      <c r="CE47" s="3"/>
      <c r="CF47" s="3"/>
      <c r="CG47" s="3"/>
      <c r="CH47" s="3"/>
    </row>
    <row r="48" spans="1:86"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5"/>
      <c r="CE48" s="3"/>
      <c r="CF48" s="3"/>
      <c r="CG48" s="3"/>
      <c r="CH48" s="3"/>
    </row>
    <row r="49" spans="1:86"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5"/>
      <c r="CE49" s="3"/>
      <c r="CF49" s="3"/>
      <c r="CG49" s="3"/>
      <c r="CH49" s="3"/>
    </row>
    <row r="50" spans="1:86" ht="12" customHeight="1">
      <c r="A50" s="460"/>
      <c r="B50" s="460"/>
      <c r="C50" s="460" t="s">
        <v>1004</v>
      </c>
      <c r="D50" s="460"/>
      <c r="E50" s="460"/>
      <c r="F50" s="462"/>
      <c r="G50" s="462"/>
      <c r="H50" s="462"/>
      <c r="I50" s="462"/>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c r="CG50" s="3"/>
    </row>
    <row r="51" spans="1:86" ht="12" customHeight="1">
      <c r="A51" s="460"/>
      <c r="B51" s="460"/>
      <c r="C51" s="460"/>
      <c r="D51" s="460"/>
      <c r="E51" s="460"/>
      <c r="F51" s="462"/>
      <c r="G51" s="462"/>
      <c r="H51" s="462"/>
      <c r="I51" s="462"/>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c r="CG51" s="3"/>
    </row>
    <row r="52" spans="1:86" ht="12" customHeight="1">
      <c r="A52" s="460"/>
      <c r="B52" s="460"/>
      <c r="C52" s="460"/>
      <c r="D52" s="460" t="s">
        <v>1015</v>
      </c>
      <c r="E52" s="460"/>
      <c r="F52" s="462"/>
      <c r="G52" s="462"/>
      <c r="H52" s="462"/>
      <c r="I52" s="462"/>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c r="CG52" s="3"/>
    </row>
    <row r="53" spans="1:86" ht="12" customHeight="1">
      <c r="A53" s="460"/>
      <c r="B53" s="460"/>
      <c r="C53" s="460"/>
      <c r="D53" s="460"/>
      <c r="E53" s="462" t="s">
        <v>356</v>
      </c>
      <c r="F53" s="460" t="s">
        <v>495</v>
      </c>
      <c r="G53" s="462"/>
      <c r="H53" s="462"/>
      <c r="I53" s="462"/>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
      <c r="CA53" s="3"/>
      <c r="CB53" s="3"/>
      <c r="CC53" s="5"/>
      <c r="CD53" s="3"/>
      <c r="CE53" s="3"/>
      <c r="CF53" s="3"/>
    </row>
    <row r="54" spans="1:86" ht="12" customHeight="1">
      <c r="A54" s="460"/>
      <c r="B54" s="460"/>
      <c r="C54" s="460"/>
      <c r="D54" s="460"/>
      <c r="E54" s="462" t="s">
        <v>204</v>
      </c>
      <c r="F54" s="460" t="s">
        <v>357</v>
      </c>
      <c r="G54" s="462"/>
      <c r="H54" s="462"/>
      <c r="I54" s="462"/>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
      <c r="CA54" s="3"/>
      <c r="CB54" s="3"/>
      <c r="CC54" s="5"/>
      <c r="CD54" s="3"/>
      <c r="CE54" s="3"/>
      <c r="CF54" s="3"/>
    </row>
    <row r="55" spans="1:86" ht="12" customHeight="1">
      <c r="A55" s="460"/>
      <c r="B55" s="460"/>
      <c r="C55" s="460"/>
      <c r="D55" s="460"/>
      <c r="E55" s="462" t="s">
        <v>953</v>
      </c>
      <c r="F55" s="460" t="s">
        <v>954</v>
      </c>
      <c r="G55" s="462"/>
      <c r="H55" s="462"/>
      <c r="I55" s="462"/>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60"/>
      <c r="CA55" s="360"/>
      <c r="CB55" s="360"/>
      <c r="CC55" s="5"/>
      <c r="CD55" s="360"/>
      <c r="CE55" s="360"/>
      <c r="CF55" s="360"/>
    </row>
    <row r="56" spans="1:86" ht="12" customHeight="1">
      <c r="A56" s="460"/>
      <c r="B56" s="460"/>
      <c r="C56" s="460"/>
      <c r="D56" s="460"/>
      <c r="E56" s="462"/>
      <c r="F56" s="460"/>
      <c r="G56" s="462"/>
      <c r="H56" s="462"/>
      <c r="I56" s="462"/>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60"/>
      <c r="CA56" s="360"/>
      <c r="CB56" s="360"/>
      <c r="CC56" s="5"/>
      <c r="CD56" s="360"/>
      <c r="CE56" s="360"/>
      <c r="CF56" s="360"/>
    </row>
    <row r="57" spans="1:86" ht="12" customHeight="1">
      <c r="A57" s="460"/>
      <c r="B57" s="460"/>
      <c r="C57" s="460"/>
      <c r="D57" s="460"/>
      <c r="E57" s="462" t="s">
        <v>955</v>
      </c>
      <c r="F57" s="460"/>
      <c r="G57" s="462"/>
      <c r="H57" s="462"/>
      <c r="I57" s="462"/>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360"/>
      <c r="CA57" s="360"/>
      <c r="CB57" s="360"/>
      <c r="CC57" s="5"/>
      <c r="CD57" s="360"/>
      <c r="CE57" s="360"/>
      <c r="CF57" s="360"/>
    </row>
    <row r="58" spans="1:86" ht="12" customHeight="1">
      <c r="A58" s="460"/>
      <c r="B58" s="460"/>
      <c r="C58" s="460"/>
      <c r="D58" s="460"/>
      <c r="E58" s="462"/>
      <c r="F58" s="460" t="s">
        <v>956</v>
      </c>
      <c r="G58" s="462"/>
      <c r="H58" s="462"/>
      <c r="I58" s="462"/>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360"/>
      <c r="CA58" s="360"/>
      <c r="CB58" s="360"/>
      <c r="CC58" s="5"/>
      <c r="CD58" s="360"/>
      <c r="CE58" s="360"/>
      <c r="CF58" s="360"/>
    </row>
    <row r="59" spans="1:86" ht="12" customHeight="1">
      <c r="A59" s="3"/>
      <c r="B59" s="3"/>
      <c r="C59" s="3"/>
      <c r="D59" s="3"/>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t="s">
        <v>606</v>
      </c>
      <c r="BG59" s="5"/>
      <c r="BH59" s="5"/>
      <c r="BI59" s="5"/>
      <c r="BJ59" s="5"/>
      <c r="BK59" s="5"/>
      <c r="BL59" s="5"/>
      <c r="BM59" s="5"/>
      <c r="BN59" s="5"/>
      <c r="BO59" s="5"/>
      <c r="BP59" s="5"/>
      <c r="BQ59" s="5"/>
      <c r="BR59" s="5"/>
      <c r="BS59" s="5"/>
      <c r="BT59" s="5"/>
      <c r="BU59" s="5"/>
      <c r="BV59" s="5"/>
      <c r="BW59" s="5"/>
      <c r="BX59" s="5"/>
      <c r="BY59" s="5"/>
      <c r="BZ59" s="3"/>
      <c r="CA59" s="3"/>
      <c r="CB59" s="3"/>
      <c r="CC59" s="5"/>
      <c r="CD59" s="3"/>
      <c r="CE59" s="3"/>
      <c r="CF59" s="3"/>
    </row>
    <row r="60" spans="1:86" ht="12" customHeight="1">
      <c r="A60" s="3"/>
      <c r="B60" s="3"/>
      <c r="C60" s="3"/>
      <c r="D60" s="3"/>
      <c r="E60" s="5"/>
      <c r="F60" s="877" t="s">
        <v>483</v>
      </c>
      <c r="G60" s="878"/>
      <c r="H60" s="878"/>
      <c r="I60" s="878"/>
      <c r="J60" s="878"/>
      <c r="K60" s="879"/>
      <c r="L60" s="877" t="s">
        <v>633</v>
      </c>
      <c r="M60" s="878"/>
      <c r="N60" s="878"/>
      <c r="O60" s="878"/>
      <c r="P60" s="878"/>
      <c r="Q60" s="878"/>
      <c r="R60" s="878"/>
      <c r="S60" s="878"/>
      <c r="T60" s="878"/>
      <c r="U60" s="879"/>
      <c r="V60" s="877" t="s">
        <v>558</v>
      </c>
      <c r="W60" s="878"/>
      <c r="X60" s="878"/>
      <c r="Y60" s="878"/>
      <c r="Z60" s="879"/>
      <c r="AA60" s="877" t="s">
        <v>355</v>
      </c>
      <c r="AB60" s="878"/>
      <c r="AC60" s="878"/>
      <c r="AD60" s="878"/>
      <c r="AE60" s="878"/>
      <c r="AF60" s="878"/>
      <c r="AG60" s="878"/>
      <c r="AH60" s="878"/>
      <c r="AI60" s="878"/>
      <c r="AJ60" s="878"/>
      <c r="AK60" s="878"/>
      <c r="AL60" s="878"/>
      <c r="AM60" s="878"/>
      <c r="AN60" s="878"/>
      <c r="AO60" s="878"/>
      <c r="AP60" s="878"/>
      <c r="AQ60" s="878"/>
      <c r="AR60" s="878"/>
      <c r="AS60" s="878"/>
      <c r="AT60" s="878"/>
      <c r="AU60" s="878"/>
      <c r="AV60" s="878"/>
      <c r="AW60" s="878"/>
      <c r="AX60" s="878"/>
      <c r="AY60" s="878"/>
      <c r="AZ60" s="878"/>
      <c r="BA60" s="878"/>
      <c r="BB60" s="878"/>
      <c r="BC60" s="878"/>
      <c r="BD60" s="878"/>
      <c r="BE60" s="879"/>
      <c r="BF60" s="631" t="s">
        <v>573</v>
      </c>
      <c r="BG60" s="632"/>
      <c r="BH60" s="632"/>
      <c r="BI60" s="632"/>
      <c r="BJ60" s="632"/>
      <c r="BK60" s="632"/>
      <c r="BL60" s="632"/>
      <c r="BM60" s="632"/>
      <c r="BN60" s="632"/>
      <c r="BO60" s="632"/>
      <c r="BP60" s="632"/>
      <c r="BQ60" s="632"/>
      <c r="BR60" s="632"/>
      <c r="BS60" s="632"/>
      <c r="BT60" s="632"/>
      <c r="BU60" s="632"/>
      <c r="BV60" s="632"/>
      <c r="BW60" s="632"/>
      <c r="BX60" s="632"/>
      <c r="BY60" s="632"/>
      <c r="BZ60" s="632"/>
      <c r="CA60" s="632"/>
      <c r="CB60" s="632"/>
      <c r="CC60" s="633"/>
      <c r="CD60" s="3"/>
      <c r="CE60" s="3"/>
      <c r="CF60" s="3"/>
    </row>
    <row r="61" spans="1:86" ht="12" customHeight="1">
      <c r="A61" s="3"/>
      <c r="B61" s="3"/>
      <c r="C61" s="3"/>
      <c r="D61" s="3"/>
      <c r="E61" s="5"/>
      <c r="F61" s="880"/>
      <c r="G61" s="881"/>
      <c r="H61" s="881"/>
      <c r="I61" s="881"/>
      <c r="J61" s="881"/>
      <c r="K61" s="882"/>
      <c r="L61" s="880"/>
      <c r="M61" s="881"/>
      <c r="N61" s="881"/>
      <c r="O61" s="881"/>
      <c r="P61" s="881"/>
      <c r="Q61" s="881"/>
      <c r="R61" s="881"/>
      <c r="S61" s="881"/>
      <c r="T61" s="881"/>
      <c r="U61" s="882"/>
      <c r="V61" s="880"/>
      <c r="W61" s="881"/>
      <c r="X61" s="881"/>
      <c r="Y61" s="881"/>
      <c r="Z61" s="882"/>
      <c r="AA61" s="880"/>
      <c r="AB61" s="881"/>
      <c r="AC61" s="881"/>
      <c r="AD61" s="881"/>
      <c r="AE61" s="881"/>
      <c r="AF61" s="881"/>
      <c r="AG61" s="881"/>
      <c r="AH61" s="881"/>
      <c r="AI61" s="881"/>
      <c r="AJ61" s="881"/>
      <c r="AK61" s="881"/>
      <c r="AL61" s="881"/>
      <c r="AM61" s="881"/>
      <c r="AN61" s="881"/>
      <c r="AO61" s="881"/>
      <c r="AP61" s="881"/>
      <c r="AQ61" s="881"/>
      <c r="AR61" s="881"/>
      <c r="AS61" s="881"/>
      <c r="AT61" s="881"/>
      <c r="AU61" s="881"/>
      <c r="AV61" s="881"/>
      <c r="AW61" s="881"/>
      <c r="AX61" s="881"/>
      <c r="AY61" s="881"/>
      <c r="AZ61" s="881"/>
      <c r="BA61" s="881"/>
      <c r="BB61" s="881"/>
      <c r="BC61" s="881"/>
      <c r="BD61" s="881"/>
      <c r="BE61" s="882"/>
      <c r="BF61" s="886" t="s">
        <v>497</v>
      </c>
      <c r="BG61" s="887"/>
      <c r="BH61" s="887" t="s">
        <v>498</v>
      </c>
      <c r="BI61" s="887"/>
      <c r="BJ61" s="887" t="s">
        <v>499</v>
      </c>
      <c r="BK61" s="887"/>
      <c r="BL61" s="887" t="s">
        <v>500</v>
      </c>
      <c r="BM61" s="887"/>
      <c r="BN61" s="887" t="s">
        <v>501</v>
      </c>
      <c r="BO61" s="887"/>
      <c r="BP61" s="887" t="s">
        <v>502</v>
      </c>
      <c r="BQ61" s="887"/>
      <c r="BR61" s="887" t="s">
        <v>503</v>
      </c>
      <c r="BS61" s="887"/>
      <c r="BT61" s="887" t="s">
        <v>504</v>
      </c>
      <c r="BU61" s="887"/>
      <c r="BV61" s="887" t="s">
        <v>509</v>
      </c>
      <c r="BW61" s="887"/>
      <c r="BX61" s="887" t="s">
        <v>510</v>
      </c>
      <c r="BY61" s="887"/>
      <c r="BZ61" s="887" t="s">
        <v>505</v>
      </c>
      <c r="CA61" s="887"/>
      <c r="CB61" s="887" t="s">
        <v>506</v>
      </c>
      <c r="CC61" s="887"/>
      <c r="CD61" s="3"/>
      <c r="CE61" s="5"/>
    </row>
    <row r="62" spans="1:86" ht="12" customHeight="1">
      <c r="A62" s="3"/>
      <c r="B62" s="3"/>
      <c r="C62" s="3"/>
      <c r="D62" s="3"/>
      <c r="E62" s="5"/>
      <c r="F62" s="880"/>
      <c r="G62" s="881"/>
      <c r="H62" s="881"/>
      <c r="I62" s="881"/>
      <c r="J62" s="881"/>
      <c r="K62" s="882"/>
      <c r="L62" s="880"/>
      <c r="M62" s="881"/>
      <c r="N62" s="881"/>
      <c r="O62" s="881"/>
      <c r="P62" s="881"/>
      <c r="Q62" s="881"/>
      <c r="R62" s="881"/>
      <c r="S62" s="881"/>
      <c r="T62" s="881"/>
      <c r="U62" s="882"/>
      <c r="V62" s="880"/>
      <c r="W62" s="881"/>
      <c r="X62" s="881"/>
      <c r="Y62" s="881"/>
      <c r="Z62" s="882"/>
      <c r="AA62" s="880"/>
      <c r="AB62" s="881"/>
      <c r="AC62" s="881"/>
      <c r="AD62" s="881"/>
      <c r="AE62" s="881"/>
      <c r="AF62" s="881"/>
      <c r="AG62" s="881"/>
      <c r="AH62" s="881"/>
      <c r="AI62" s="881"/>
      <c r="AJ62" s="881"/>
      <c r="AK62" s="881"/>
      <c r="AL62" s="881"/>
      <c r="AM62" s="881"/>
      <c r="AN62" s="881"/>
      <c r="AO62" s="881"/>
      <c r="AP62" s="881"/>
      <c r="AQ62" s="881"/>
      <c r="AR62" s="881"/>
      <c r="AS62" s="881"/>
      <c r="AT62" s="881"/>
      <c r="AU62" s="881"/>
      <c r="AV62" s="881"/>
      <c r="AW62" s="881"/>
      <c r="AX62" s="881"/>
      <c r="AY62" s="881"/>
      <c r="AZ62" s="881"/>
      <c r="BA62" s="881"/>
      <c r="BB62" s="881"/>
      <c r="BC62" s="881"/>
      <c r="BD62" s="881"/>
      <c r="BE62" s="882"/>
      <c r="BF62" s="888"/>
      <c r="BG62" s="889"/>
      <c r="BH62" s="889"/>
      <c r="BI62" s="889"/>
      <c r="BJ62" s="889"/>
      <c r="BK62" s="889"/>
      <c r="BL62" s="889"/>
      <c r="BM62" s="889"/>
      <c r="BN62" s="889"/>
      <c r="BO62" s="889"/>
      <c r="BP62" s="889"/>
      <c r="BQ62" s="889"/>
      <c r="BR62" s="889"/>
      <c r="BS62" s="889"/>
      <c r="BT62" s="889"/>
      <c r="BU62" s="889"/>
      <c r="BV62" s="889"/>
      <c r="BW62" s="889"/>
      <c r="BX62" s="889"/>
      <c r="BY62" s="889"/>
      <c r="BZ62" s="889"/>
      <c r="CA62" s="889"/>
      <c r="CB62" s="889"/>
      <c r="CC62" s="889"/>
      <c r="CD62" s="3"/>
      <c r="CE62" s="5"/>
    </row>
    <row r="63" spans="1:86" ht="12" customHeight="1">
      <c r="A63" s="3"/>
      <c r="B63" s="3"/>
      <c r="C63" s="3"/>
      <c r="D63" s="3"/>
      <c r="E63" s="5"/>
      <c r="F63" s="880"/>
      <c r="G63" s="881"/>
      <c r="H63" s="881"/>
      <c r="I63" s="881"/>
      <c r="J63" s="881"/>
      <c r="K63" s="882"/>
      <c r="L63" s="880"/>
      <c r="M63" s="881"/>
      <c r="N63" s="881"/>
      <c r="O63" s="881"/>
      <c r="P63" s="881"/>
      <c r="Q63" s="881"/>
      <c r="R63" s="881"/>
      <c r="S63" s="881"/>
      <c r="T63" s="881"/>
      <c r="U63" s="882"/>
      <c r="V63" s="880"/>
      <c r="W63" s="881"/>
      <c r="X63" s="881"/>
      <c r="Y63" s="881"/>
      <c r="Z63" s="882"/>
      <c r="AA63" s="880"/>
      <c r="AB63" s="881"/>
      <c r="AC63" s="881"/>
      <c r="AD63" s="881"/>
      <c r="AE63" s="881"/>
      <c r="AF63" s="881"/>
      <c r="AG63" s="881"/>
      <c r="AH63" s="881"/>
      <c r="AI63" s="881"/>
      <c r="AJ63" s="881"/>
      <c r="AK63" s="881"/>
      <c r="AL63" s="881"/>
      <c r="AM63" s="881"/>
      <c r="AN63" s="881"/>
      <c r="AO63" s="881"/>
      <c r="AP63" s="881"/>
      <c r="AQ63" s="881"/>
      <c r="AR63" s="881"/>
      <c r="AS63" s="881"/>
      <c r="AT63" s="881"/>
      <c r="AU63" s="881"/>
      <c r="AV63" s="881"/>
      <c r="AW63" s="881"/>
      <c r="AX63" s="881"/>
      <c r="AY63" s="881"/>
      <c r="AZ63" s="881"/>
      <c r="BA63" s="881"/>
      <c r="BB63" s="881"/>
      <c r="BC63" s="881"/>
      <c r="BD63" s="881"/>
      <c r="BE63" s="882"/>
      <c r="BF63" s="888"/>
      <c r="BG63" s="889"/>
      <c r="BH63" s="889"/>
      <c r="BI63" s="889"/>
      <c r="BJ63" s="889"/>
      <c r="BK63" s="889"/>
      <c r="BL63" s="889"/>
      <c r="BM63" s="889"/>
      <c r="BN63" s="889"/>
      <c r="BO63" s="889"/>
      <c r="BP63" s="889"/>
      <c r="BQ63" s="889"/>
      <c r="BR63" s="889"/>
      <c r="BS63" s="889"/>
      <c r="BT63" s="889"/>
      <c r="BU63" s="889"/>
      <c r="BV63" s="889"/>
      <c r="BW63" s="889"/>
      <c r="BX63" s="889"/>
      <c r="BY63" s="889"/>
      <c r="BZ63" s="889"/>
      <c r="CA63" s="889"/>
      <c r="CB63" s="889"/>
      <c r="CC63" s="889"/>
      <c r="CD63" s="3"/>
      <c r="CE63" s="5"/>
    </row>
    <row r="64" spans="1:86" ht="12" customHeight="1">
      <c r="A64" s="3"/>
      <c r="B64" s="3"/>
      <c r="C64" s="3"/>
      <c r="D64" s="3"/>
      <c r="E64" s="5"/>
      <c r="F64" s="880"/>
      <c r="G64" s="881"/>
      <c r="H64" s="881"/>
      <c r="I64" s="881"/>
      <c r="J64" s="881"/>
      <c r="K64" s="882"/>
      <c r="L64" s="880"/>
      <c r="M64" s="881"/>
      <c r="N64" s="881"/>
      <c r="O64" s="881"/>
      <c r="P64" s="881"/>
      <c r="Q64" s="881"/>
      <c r="R64" s="881"/>
      <c r="S64" s="881"/>
      <c r="T64" s="881"/>
      <c r="U64" s="882"/>
      <c r="V64" s="880"/>
      <c r="W64" s="881"/>
      <c r="X64" s="881"/>
      <c r="Y64" s="881"/>
      <c r="Z64" s="882"/>
      <c r="AA64" s="880"/>
      <c r="AB64" s="881"/>
      <c r="AC64" s="881"/>
      <c r="AD64" s="881"/>
      <c r="AE64" s="881"/>
      <c r="AF64" s="881"/>
      <c r="AG64" s="881"/>
      <c r="AH64" s="881"/>
      <c r="AI64" s="881"/>
      <c r="AJ64" s="881"/>
      <c r="AK64" s="881"/>
      <c r="AL64" s="881"/>
      <c r="AM64" s="881"/>
      <c r="AN64" s="881"/>
      <c r="AO64" s="881"/>
      <c r="AP64" s="881"/>
      <c r="AQ64" s="881"/>
      <c r="AR64" s="881"/>
      <c r="AS64" s="881"/>
      <c r="AT64" s="881"/>
      <c r="AU64" s="881"/>
      <c r="AV64" s="881"/>
      <c r="AW64" s="881"/>
      <c r="AX64" s="881"/>
      <c r="AY64" s="881"/>
      <c r="AZ64" s="881"/>
      <c r="BA64" s="881"/>
      <c r="BB64" s="881"/>
      <c r="BC64" s="881"/>
      <c r="BD64" s="881"/>
      <c r="BE64" s="882"/>
      <c r="BF64" s="888"/>
      <c r="BG64" s="889"/>
      <c r="BH64" s="889"/>
      <c r="BI64" s="889"/>
      <c r="BJ64" s="889"/>
      <c r="BK64" s="889"/>
      <c r="BL64" s="889"/>
      <c r="BM64" s="889"/>
      <c r="BN64" s="889"/>
      <c r="BO64" s="889"/>
      <c r="BP64" s="889"/>
      <c r="BQ64" s="889"/>
      <c r="BR64" s="889"/>
      <c r="BS64" s="889"/>
      <c r="BT64" s="889"/>
      <c r="BU64" s="889"/>
      <c r="BV64" s="889"/>
      <c r="BW64" s="889"/>
      <c r="BX64" s="889"/>
      <c r="BY64" s="889"/>
      <c r="BZ64" s="889"/>
      <c r="CA64" s="889"/>
      <c r="CB64" s="889"/>
      <c r="CC64" s="889"/>
      <c r="CD64" s="3"/>
      <c r="CE64" s="5"/>
    </row>
    <row r="65" spans="1:83" ht="12" customHeight="1">
      <c r="A65" s="3"/>
      <c r="B65" s="3"/>
      <c r="C65" s="3"/>
      <c r="D65" s="3"/>
      <c r="E65" s="5"/>
      <c r="F65" s="880"/>
      <c r="G65" s="881"/>
      <c r="H65" s="881"/>
      <c r="I65" s="881"/>
      <c r="J65" s="881"/>
      <c r="K65" s="882"/>
      <c r="L65" s="880"/>
      <c r="M65" s="881"/>
      <c r="N65" s="881"/>
      <c r="O65" s="881"/>
      <c r="P65" s="881"/>
      <c r="Q65" s="881"/>
      <c r="R65" s="881"/>
      <c r="S65" s="881"/>
      <c r="T65" s="881"/>
      <c r="U65" s="882"/>
      <c r="V65" s="880"/>
      <c r="W65" s="881"/>
      <c r="X65" s="881"/>
      <c r="Y65" s="881"/>
      <c r="Z65" s="882"/>
      <c r="AA65" s="880"/>
      <c r="AB65" s="881"/>
      <c r="AC65" s="881"/>
      <c r="AD65" s="881"/>
      <c r="AE65" s="881"/>
      <c r="AF65" s="881"/>
      <c r="AG65" s="881"/>
      <c r="AH65" s="881"/>
      <c r="AI65" s="881"/>
      <c r="AJ65" s="881"/>
      <c r="AK65" s="881"/>
      <c r="AL65" s="881"/>
      <c r="AM65" s="881"/>
      <c r="AN65" s="881"/>
      <c r="AO65" s="881"/>
      <c r="AP65" s="881"/>
      <c r="AQ65" s="881"/>
      <c r="AR65" s="881"/>
      <c r="AS65" s="881"/>
      <c r="AT65" s="881"/>
      <c r="AU65" s="881"/>
      <c r="AV65" s="881"/>
      <c r="AW65" s="881"/>
      <c r="AX65" s="881"/>
      <c r="AY65" s="881"/>
      <c r="AZ65" s="881"/>
      <c r="BA65" s="881"/>
      <c r="BB65" s="881"/>
      <c r="BC65" s="881"/>
      <c r="BD65" s="881"/>
      <c r="BE65" s="882"/>
      <c r="BF65" s="888"/>
      <c r="BG65" s="889"/>
      <c r="BH65" s="889"/>
      <c r="BI65" s="889"/>
      <c r="BJ65" s="889"/>
      <c r="BK65" s="889"/>
      <c r="BL65" s="889"/>
      <c r="BM65" s="889"/>
      <c r="BN65" s="889"/>
      <c r="BO65" s="889"/>
      <c r="BP65" s="889"/>
      <c r="BQ65" s="889"/>
      <c r="BR65" s="889"/>
      <c r="BS65" s="889"/>
      <c r="BT65" s="889"/>
      <c r="BU65" s="889"/>
      <c r="BV65" s="889"/>
      <c r="BW65" s="889"/>
      <c r="BX65" s="889"/>
      <c r="BY65" s="889"/>
      <c r="BZ65" s="889"/>
      <c r="CA65" s="889"/>
      <c r="CB65" s="889"/>
      <c r="CC65" s="889"/>
      <c r="CD65" s="3"/>
      <c r="CE65" s="5"/>
    </row>
    <row r="66" spans="1:83" ht="12" customHeight="1">
      <c r="A66" s="3"/>
      <c r="B66" s="3"/>
      <c r="C66" s="3"/>
      <c r="D66" s="3"/>
      <c r="E66" s="5"/>
      <c r="F66" s="880"/>
      <c r="G66" s="881"/>
      <c r="H66" s="881"/>
      <c r="I66" s="881"/>
      <c r="J66" s="881"/>
      <c r="K66" s="882"/>
      <c r="L66" s="880"/>
      <c r="M66" s="881"/>
      <c r="N66" s="881"/>
      <c r="O66" s="881"/>
      <c r="P66" s="881"/>
      <c r="Q66" s="881"/>
      <c r="R66" s="881"/>
      <c r="S66" s="881"/>
      <c r="T66" s="881"/>
      <c r="U66" s="882"/>
      <c r="V66" s="880"/>
      <c r="W66" s="881"/>
      <c r="X66" s="881"/>
      <c r="Y66" s="881"/>
      <c r="Z66" s="882"/>
      <c r="AA66" s="880"/>
      <c r="AB66" s="881"/>
      <c r="AC66" s="881"/>
      <c r="AD66" s="881"/>
      <c r="AE66" s="881"/>
      <c r="AF66" s="881"/>
      <c r="AG66" s="881"/>
      <c r="AH66" s="881"/>
      <c r="AI66" s="881"/>
      <c r="AJ66" s="881"/>
      <c r="AK66" s="881"/>
      <c r="AL66" s="881"/>
      <c r="AM66" s="881"/>
      <c r="AN66" s="881"/>
      <c r="AO66" s="881"/>
      <c r="AP66" s="881"/>
      <c r="AQ66" s="881"/>
      <c r="AR66" s="881"/>
      <c r="AS66" s="881"/>
      <c r="AT66" s="881"/>
      <c r="AU66" s="881"/>
      <c r="AV66" s="881"/>
      <c r="AW66" s="881"/>
      <c r="AX66" s="881"/>
      <c r="AY66" s="881"/>
      <c r="AZ66" s="881"/>
      <c r="BA66" s="881"/>
      <c r="BB66" s="881"/>
      <c r="BC66" s="881"/>
      <c r="BD66" s="881"/>
      <c r="BE66" s="882"/>
      <c r="BF66" s="888"/>
      <c r="BG66" s="889"/>
      <c r="BH66" s="889"/>
      <c r="BI66" s="889"/>
      <c r="BJ66" s="889"/>
      <c r="BK66" s="889"/>
      <c r="BL66" s="889"/>
      <c r="BM66" s="889"/>
      <c r="BN66" s="889"/>
      <c r="BO66" s="889"/>
      <c r="BP66" s="889"/>
      <c r="BQ66" s="889"/>
      <c r="BR66" s="889"/>
      <c r="BS66" s="889"/>
      <c r="BT66" s="889"/>
      <c r="BU66" s="889"/>
      <c r="BV66" s="889"/>
      <c r="BW66" s="889"/>
      <c r="BX66" s="889"/>
      <c r="BY66" s="889"/>
      <c r="BZ66" s="889"/>
      <c r="CA66" s="889"/>
      <c r="CB66" s="889"/>
      <c r="CC66" s="889"/>
      <c r="CD66" s="3"/>
      <c r="CE66" s="5"/>
    </row>
    <row r="67" spans="1:83" ht="12" customHeight="1">
      <c r="A67" s="3"/>
      <c r="B67" s="3"/>
      <c r="C67" s="3"/>
      <c r="D67" s="3"/>
      <c r="E67" s="5"/>
      <c r="F67" s="880"/>
      <c r="G67" s="881"/>
      <c r="H67" s="881"/>
      <c r="I67" s="881"/>
      <c r="J67" s="881"/>
      <c r="K67" s="882"/>
      <c r="L67" s="880"/>
      <c r="M67" s="881"/>
      <c r="N67" s="881"/>
      <c r="O67" s="881"/>
      <c r="P67" s="881"/>
      <c r="Q67" s="881"/>
      <c r="R67" s="881"/>
      <c r="S67" s="881"/>
      <c r="T67" s="881"/>
      <c r="U67" s="882"/>
      <c r="V67" s="880"/>
      <c r="W67" s="881"/>
      <c r="X67" s="881"/>
      <c r="Y67" s="881"/>
      <c r="Z67" s="882"/>
      <c r="AA67" s="880"/>
      <c r="AB67" s="881"/>
      <c r="AC67" s="881"/>
      <c r="AD67" s="881"/>
      <c r="AE67" s="881"/>
      <c r="AF67" s="881"/>
      <c r="AG67" s="881"/>
      <c r="AH67" s="881"/>
      <c r="AI67" s="881"/>
      <c r="AJ67" s="881"/>
      <c r="AK67" s="881"/>
      <c r="AL67" s="881"/>
      <c r="AM67" s="881"/>
      <c r="AN67" s="881"/>
      <c r="AO67" s="881"/>
      <c r="AP67" s="881"/>
      <c r="AQ67" s="881"/>
      <c r="AR67" s="881"/>
      <c r="AS67" s="881"/>
      <c r="AT67" s="881"/>
      <c r="AU67" s="881"/>
      <c r="AV67" s="881"/>
      <c r="AW67" s="881"/>
      <c r="AX67" s="881"/>
      <c r="AY67" s="881"/>
      <c r="AZ67" s="881"/>
      <c r="BA67" s="881"/>
      <c r="BB67" s="881"/>
      <c r="BC67" s="881"/>
      <c r="BD67" s="881"/>
      <c r="BE67" s="882"/>
      <c r="BF67" s="888"/>
      <c r="BG67" s="889"/>
      <c r="BH67" s="889"/>
      <c r="BI67" s="889"/>
      <c r="BJ67" s="889"/>
      <c r="BK67" s="889"/>
      <c r="BL67" s="889"/>
      <c r="BM67" s="889"/>
      <c r="BN67" s="889"/>
      <c r="BO67" s="889"/>
      <c r="BP67" s="889"/>
      <c r="BQ67" s="889"/>
      <c r="BR67" s="889"/>
      <c r="BS67" s="889"/>
      <c r="BT67" s="889"/>
      <c r="BU67" s="889"/>
      <c r="BV67" s="889"/>
      <c r="BW67" s="889"/>
      <c r="BX67" s="889"/>
      <c r="BY67" s="889"/>
      <c r="BZ67" s="889"/>
      <c r="CA67" s="889"/>
      <c r="CB67" s="889"/>
      <c r="CC67" s="889"/>
      <c r="CD67" s="3"/>
      <c r="CE67" s="5"/>
    </row>
    <row r="68" spans="1:83" ht="12" customHeight="1">
      <c r="A68" s="3"/>
      <c r="B68" s="3"/>
      <c r="C68" s="3"/>
      <c r="D68" s="3"/>
      <c r="E68" s="5"/>
      <c r="F68" s="880"/>
      <c r="G68" s="881"/>
      <c r="H68" s="881"/>
      <c r="I68" s="881"/>
      <c r="J68" s="881"/>
      <c r="K68" s="882"/>
      <c r="L68" s="880"/>
      <c r="M68" s="881"/>
      <c r="N68" s="881"/>
      <c r="O68" s="881"/>
      <c r="P68" s="881"/>
      <c r="Q68" s="881"/>
      <c r="R68" s="881"/>
      <c r="S68" s="881"/>
      <c r="T68" s="881"/>
      <c r="U68" s="882"/>
      <c r="V68" s="880"/>
      <c r="W68" s="881"/>
      <c r="X68" s="881"/>
      <c r="Y68" s="881"/>
      <c r="Z68" s="882"/>
      <c r="AA68" s="880"/>
      <c r="AB68" s="881"/>
      <c r="AC68" s="881"/>
      <c r="AD68" s="881"/>
      <c r="AE68" s="881"/>
      <c r="AF68" s="881"/>
      <c r="AG68" s="881"/>
      <c r="AH68" s="881"/>
      <c r="AI68" s="881"/>
      <c r="AJ68" s="881"/>
      <c r="AK68" s="881"/>
      <c r="AL68" s="881"/>
      <c r="AM68" s="881"/>
      <c r="AN68" s="881"/>
      <c r="AO68" s="881"/>
      <c r="AP68" s="881"/>
      <c r="AQ68" s="881"/>
      <c r="AR68" s="881"/>
      <c r="AS68" s="881"/>
      <c r="AT68" s="881"/>
      <c r="AU68" s="881"/>
      <c r="AV68" s="881"/>
      <c r="AW68" s="881"/>
      <c r="AX68" s="881"/>
      <c r="AY68" s="881"/>
      <c r="AZ68" s="881"/>
      <c r="BA68" s="881"/>
      <c r="BB68" s="881"/>
      <c r="BC68" s="881"/>
      <c r="BD68" s="881"/>
      <c r="BE68" s="882"/>
      <c r="BF68" s="888"/>
      <c r="BG68" s="889"/>
      <c r="BH68" s="889"/>
      <c r="BI68" s="889"/>
      <c r="BJ68" s="889"/>
      <c r="BK68" s="889"/>
      <c r="BL68" s="889"/>
      <c r="BM68" s="889"/>
      <c r="BN68" s="889"/>
      <c r="BO68" s="889"/>
      <c r="BP68" s="889"/>
      <c r="BQ68" s="889"/>
      <c r="BR68" s="889"/>
      <c r="BS68" s="889"/>
      <c r="BT68" s="889"/>
      <c r="BU68" s="889"/>
      <c r="BV68" s="889"/>
      <c r="BW68" s="889"/>
      <c r="BX68" s="889"/>
      <c r="BY68" s="889"/>
      <c r="BZ68" s="889"/>
      <c r="CA68" s="889"/>
      <c r="CB68" s="889"/>
      <c r="CC68" s="889"/>
      <c r="CD68" s="3"/>
      <c r="CE68" s="5"/>
    </row>
    <row r="69" spans="1:83" ht="12" customHeight="1">
      <c r="A69" s="3"/>
      <c r="B69" s="3"/>
      <c r="C69" s="3"/>
      <c r="D69" s="3"/>
      <c r="E69" s="5"/>
      <c r="F69" s="880"/>
      <c r="G69" s="881"/>
      <c r="H69" s="881"/>
      <c r="I69" s="881"/>
      <c r="J69" s="881"/>
      <c r="K69" s="882"/>
      <c r="L69" s="880"/>
      <c r="M69" s="881"/>
      <c r="N69" s="881"/>
      <c r="O69" s="881"/>
      <c r="P69" s="881"/>
      <c r="Q69" s="881"/>
      <c r="R69" s="881"/>
      <c r="S69" s="881"/>
      <c r="T69" s="881"/>
      <c r="U69" s="882"/>
      <c r="V69" s="880"/>
      <c r="W69" s="881"/>
      <c r="X69" s="881"/>
      <c r="Y69" s="881"/>
      <c r="Z69" s="882"/>
      <c r="AA69" s="880"/>
      <c r="AB69" s="881"/>
      <c r="AC69" s="881"/>
      <c r="AD69" s="881"/>
      <c r="AE69" s="881"/>
      <c r="AF69" s="881"/>
      <c r="AG69" s="881"/>
      <c r="AH69" s="881"/>
      <c r="AI69" s="881"/>
      <c r="AJ69" s="881"/>
      <c r="AK69" s="881"/>
      <c r="AL69" s="881"/>
      <c r="AM69" s="881"/>
      <c r="AN69" s="881"/>
      <c r="AO69" s="881"/>
      <c r="AP69" s="881"/>
      <c r="AQ69" s="881"/>
      <c r="AR69" s="881"/>
      <c r="AS69" s="881"/>
      <c r="AT69" s="881"/>
      <c r="AU69" s="881"/>
      <c r="AV69" s="881"/>
      <c r="AW69" s="881"/>
      <c r="AX69" s="881"/>
      <c r="AY69" s="881"/>
      <c r="AZ69" s="881"/>
      <c r="BA69" s="881"/>
      <c r="BB69" s="881"/>
      <c r="BC69" s="881"/>
      <c r="BD69" s="881"/>
      <c r="BE69" s="882"/>
      <c r="BF69" s="888"/>
      <c r="BG69" s="889"/>
      <c r="BH69" s="889"/>
      <c r="BI69" s="889"/>
      <c r="BJ69" s="889"/>
      <c r="BK69" s="889"/>
      <c r="BL69" s="889"/>
      <c r="BM69" s="889"/>
      <c r="BN69" s="889"/>
      <c r="BO69" s="889"/>
      <c r="BP69" s="889"/>
      <c r="BQ69" s="889"/>
      <c r="BR69" s="889"/>
      <c r="BS69" s="889"/>
      <c r="BT69" s="889"/>
      <c r="BU69" s="889"/>
      <c r="BV69" s="889"/>
      <c r="BW69" s="889"/>
      <c r="BX69" s="889"/>
      <c r="BY69" s="889"/>
      <c r="BZ69" s="889"/>
      <c r="CA69" s="889"/>
      <c r="CB69" s="889"/>
      <c r="CC69" s="889"/>
      <c r="CD69" s="3"/>
      <c r="CE69" s="5"/>
    </row>
    <row r="70" spans="1:83" ht="12" customHeight="1">
      <c r="A70" s="3"/>
      <c r="B70" s="3"/>
      <c r="C70" s="3"/>
      <c r="D70" s="3"/>
      <c r="E70" s="5"/>
      <c r="F70" s="880"/>
      <c r="G70" s="881"/>
      <c r="H70" s="881"/>
      <c r="I70" s="881"/>
      <c r="J70" s="881"/>
      <c r="K70" s="882"/>
      <c r="L70" s="880"/>
      <c r="M70" s="881"/>
      <c r="N70" s="881"/>
      <c r="O70" s="881"/>
      <c r="P70" s="881"/>
      <c r="Q70" s="881"/>
      <c r="R70" s="881"/>
      <c r="S70" s="881"/>
      <c r="T70" s="881"/>
      <c r="U70" s="882"/>
      <c r="V70" s="880"/>
      <c r="W70" s="881"/>
      <c r="X70" s="881"/>
      <c r="Y70" s="881"/>
      <c r="Z70" s="882"/>
      <c r="AA70" s="880"/>
      <c r="AB70" s="881"/>
      <c r="AC70" s="881"/>
      <c r="AD70" s="881"/>
      <c r="AE70" s="881"/>
      <c r="AF70" s="881"/>
      <c r="AG70" s="881"/>
      <c r="AH70" s="881"/>
      <c r="AI70" s="881"/>
      <c r="AJ70" s="881"/>
      <c r="AK70" s="881"/>
      <c r="AL70" s="881"/>
      <c r="AM70" s="881"/>
      <c r="AN70" s="881"/>
      <c r="AO70" s="881"/>
      <c r="AP70" s="881"/>
      <c r="AQ70" s="881"/>
      <c r="AR70" s="881"/>
      <c r="AS70" s="881"/>
      <c r="AT70" s="881"/>
      <c r="AU70" s="881"/>
      <c r="AV70" s="881"/>
      <c r="AW70" s="881"/>
      <c r="AX70" s="881"/>
      <c r="AY70" s="881"/>
      <c r="AZ70" s="881"/>
      <c r="BA70" s="881"/>
      <c r="BB70" s="881"/>
      <c r="BC70" s="881"/>
      <c r="BD70" s="881"/>
      <c r="BE70" s="882"/>
      <c r="BF70" s="888"/>
      <c r="BG70" s="889"/>
      <c r="BH70" s="889"/>
      <c r="BI70" s="889"/>
      <c r="BJ70" s="889"/>
      <c r="BK70" s="889"/>
      <c r="BL70" s="889"/>
      <c r="BM70" s="889"/>
      <c r="BN70" s="889"/>
      <c r="BO70" s="889"/>
      <c r="BP70" s="889"/>
      <c r="BQ70" s="889"/>
      <c r="BR70" s="889"/>
      <c r="BS70" s="889"/>
      <c r="BT70" s="889"/>
      <c r="BU70" s="889"/>
      <c r="BV70" s="889"/>
      <c r="BW70" s="889"/>
      <c r="BX70" s="889"/>
      <c r="BY70" s="889"/>
      <c r="BZ70" s="889"/>
      <c r="CA70" s="889"/>
      <c r="CB70" s="889"/>
      <c r="CC70" s="889"/>
      <c r="CD70" s="3"/>
      <c r="CE70" s="5"/>
    </row>
    <row r="71" spans="1:83" ht="12" customHeight="1">
      <c r="A71" s="3"/>
      <c r="B71" s="3"/>
      <c r="C71" s="3"/>
      <c r="D71" s="3"/>
      <c r="E71" s="5"/>
      <c r="F71" s="880"/>
      <c r="G71" s="881"/>
      <c r="H71" s="881"/>
      <c r="I71" s="881"/>
      <c r="J71" s="881"/>
      <c r="K71" s="882"/>
      <c r="L71" s="880"/>
      <c r="M71" s="881"/>
      <c r="N71" s="881"/>
      <c r="O71" s="881"/>
      <c r="P71" s="881"/>
      <c r="Q71" s="881"/>
      <c r="R71" s="881"/>
      <c r="S71" s="881"/>
      <c r="T71" s="881"/>
      <c r="U71" s="882"/>
      <c r="V71" s="880"/>
      <c r="W71" s="881"/>
      <c r="X71" s="881"/>
      <c r="Y71" s="881"/>
      <c r="Z71" s="882"/>
      <c r="AA71" s="880"/>
      <c r="AB71" s="881"/>
      <c r="AC71" s="881"/>
      <c r="AD71" s="881"/>
      <c r="AE71" s="881"/>
      <c r="AF71" s="881"/>
      <c r="AG71" s="881"/>
      <c r="AH71" s="881"/>
      <c r="AI71" s="881"/>
      <c r="AJ71" s="881"/>
      <c r="AK71" s="881"/>
      <c r="AL71" s="881"/>
      <c r="AM71" s="881"/>
      <c r="AN71" s="881"/>
      <c r="AO71" s="881"/>
      <c r="AP71" s="881"/>
      <c r="AQ71" s="881"/>
      <c r="AR71" s="881"/>
      <c r="AS71" s="881"/>
      <c r="AT71" s="881"/>
      <c r="AU71" s="881"/>
      <c r="AV71" s="881"/>
      <c r="AW71" s="881"/>
      <c r="AX71" s="881"/>
      <c r="AY71" s="881"/>
      <c r="AZ71" s="881"/>
      <c r="BA71" s="881"/>
      <c r="BB71" s="881"/>
      <c r="BC71" s="881"/>
      <c r="BD71" s="881"/>
      <c r="BE71" s="882"/>
      <c r="BF71" s="888"/>
      <c r="BG71" s="889"/>
      <c r="BH71" s="889"/>
      <c r="BI71" s="889"/>
      <c r="BJ71" s="889"/>
      <c r="BK71" s="889"/>
      <c r="BL71" s="889"/>
      <c r="BM71" s="889"/>
      <c r="BN71" s="889"/>
      <c r="BO71" s="889"/>
      <c r="BP71" s="889"/>
      <c r="BQ71" s="889"/>
      <c r="BR71" s="889"/>
      <c r="BS71" s="889"/>
      <c r="BT71" s="889"/>
      <c r="BU71" s="889"/>
      <c r="BV71" s="889"/>
      <c r="BW71" s="889"/>
      <c r="BX71" s="889"/>
      <c r="BY71" s="889"/>
      <c r="BZ71" s="889"/>
      <c r="CA71" s="889"/>
      <c r="CB71" s="889"/>
      <c r="CC71" s="889"/>
      <c r="CD71" s="3"/>
      <c r="CE71" s="5"/>
    </row>
    <row r="72" spans="1:83" ht="12" customHeight="1">
      <c r="A72" s="3"/>
      <c r="B72" s="3"/>
      <c r="C72" s="3"/>
      <c r="D72" s="3"/>
      <c r="E72" s="5"/>
      <c r="F72" s="880"/>
      <c r="G72" s="881"/>
      <c r="H72" s="881"/>
      <c r="I72" s="881"/>
      <c r="J72" s="881"/>
      <c r="K72" s="882"/>
      <c r="L72" s="880"/>
      <c r="M72" s="881"/>
      <c r="N72" s="881"/>
      <c r="O72" s="881"/>
      <c r="P72" s="881"/>
      <c r="Q72" s="881"/>
      <c r="R72" s="881"/>
      <c r="S72" s="881"/>
      <c r="T72" s="881"/>
      <c r="U72" s="882"/>
      <c r="V72" s="880"/>
      <c r="W72" s="881"/>
      <c r="X72" s="881"/>
      <c r="Y72" s="881"/>
      <c r="Z72" s="882"/>
      <c r="AA72" s="880"/>
      <c r="AB72" s="881"/>
      <c r="AC72" s="881"/>
      <c r="AD72" s="881"/>
      <c r="AE72" s="881"/>
      <c r="AF72" s="881"/>
      <c r="AG72" s="881"/>
      <c r="AH72" s="881"/>
      <c r="AI72" s="881"/>
      <c r="AJ72" s="881"/>
      <c r="AK72" s="881"/>
      <c r="AL72" s="881"/>
      <c r="AM72" s="881"/>
      <c r="AN72" s="881"/>
      <c r="AO72" s="881"/>
      <c r="AP72" s="881"/>
      <c r="AQ72" s="881"/>
      <c r="AR72" s="881"/>
      <c r="AS72" s="881"/>
      <c r="AT72" s="881"/>
      <c r="AU72" s="881"/>
      <c r="AV72" s="881"/>
      <c r="AW72" s="881"/>
      <c r="AX72" s="881"/>
      <c r="AY72" s="881"/>
      <c r="AZ72" s="881"/>
      <c r="BA72" s="881"/>
      <c r="BB72" s="881"/>
      <c r="BC72" s="881"/>
      <c r="BD72" s="881"/>
      <c r="BE72" s="882"/>
      <c r="BF72" s="888"/>
      <c r="BG72" s="889"/>
      <c r="BH72" s="889"/>
      <c r="BI72" s="889"/>
      <c r="BJ72" s="889"/>
      <c r="BK72" s="889"/>
      <c r="BL72" s="889"/>
      <c r="BM72" s="889"/>
      <c r="BN72" s="889"/>
      <c r="BO72" s="889"/>
      <c r="BP72" s="889"/>
      <c r="BQ72" s="889"/>
      <c r="BR72" s="889"/>
      <c r="BS72" s="889"/>
      <c r="BT72" s="889"/>
      <c r="BU72" s="889"/>
      <c r="BV72" s="889"/>
      <c r="BW72" s="889"/>
      <c r="BX72" s="889"/>
      <c r="BY72" s="889"/>
      <c r="BZ72" s="889"/>
      <c r="CA72" s="889"/>
      <c r="CB72" s="889"/>
      <c r="CC72" s="889"/>
      <c r="CD72" s="3"/>
      <c r="CE72" s="5"/>
    </row>
    <row r="73" spans="1:83" ht="12" customHeight="1">
      <c r="A73" s="3"/>
      <c r="B73" s="3"/>
      <c r="C73" s="3"/>
      <c r="D73" s="3"/>
      <c r="E73" s="5"/>
      <c r="F73" s="883"/>
      <c r="G73" s="884"/>
      <c r="H73" s="884"/>
      <c r="I73" s="884"/>
      <c r="J73" s="884"/>
      <c r="K73" s="885"/>
      <c r="L73" s="883"/>
      <c r="M73" s="884"/>
      <c r="N73" s="884"/>
      <c r="O73" s="884"/>
      <c r="P73" s="884"/>
      <c r="Q73" s="884"/>
      <c r="R73" s="884"/>
      <c r="S73" s="884"/>
      <c r="T73" s="884"/>
      <c r="U73" s="885"/>
      <c r="V73" s="883"/>
      <c r="W73" s="884"/>
      <c r="X73" s="884"/>
      <c r="Y73" s="884"/>
      <c r="Z73" s="885"/>
      <c r="AA73" s="883"/>
      <c r="AB73" s="884"/>
      <c r="AC73" s="884"/>
      <c r="AD73" s="884"/>
      <c r="AE73" s="884"/>
      <c r="AF73" s="884"/>
      <c r="AG73" s="884"/>
      <c r="AH73" s="884"/>
      <c r="AI73" s="884"/>
      <c r="AJ73" s="884"/>
      <c r="AK73" s="884"/>
      <c r="AL73" s="884"/>
      <c r="AM73" s="884"/>
      <c r="AN73" s="884"/>
      <c r="AO73" s="884"/>
      <c r="AP73" s="884"/>
      <c r="AQ73" s="884"/>
      <c r="AR73" s="884"/>
      <c r="AS73" s="884"/>
      <c r="AT73" s="884"/>
      <c r="AU73" s="884"/>
      <c r="AV73" s="884"/>
      <c r="AW73" s="884"/>
      <c r="AX73" s="884"/>
      <c r="AY73" s="884"/>
      <c r="AZ73" s="884"/>
      <c r="BA73" s="884"/>
      <c r="BB73" s="884"/>
      <c r="BC73" s="884"/>
      <c r="BD73" s="884"/>
      <c r="BE73" s="885"/>
      <c r="BF73" s="888"/>
      <c r="BG73" s="889"/>
      <c r="BH73" s="889"/>
      <c r="BI73" s="889"/>
      <c r="BJ73" s="889"/>
      <c r="BK73" s="889"/>
      <c r="BL73" s="889"/>
      <c r="BM73" s="889"/>
      <c r="BN73" s="889"/>
      <c r="BO73" s="889"/>
      <c r="BP73" s="889"/>
      <c r="BQ73" s="889"/>
      <c r="BR73" s="889"/>
      <c r="BS73" s="889"/>
      <c r="BT73" s="889"/>
      <c r="BU73" s="889"/>
      <c r="BV73" s="889"/>
      <c r="BW73" s="889"/>
      <c r="BX73" s="889"/>
      <c r="BY73" s="889"/>
      <c r="BZ73" s="889"/>
      <c r="CA73" s="889"/>
      <c r="CB73" s="889"/>
      <c r="CC73" s="889"/>
      <c r="CD73" s="3"/>
      <c r="CE73" s="5"/>
    </row>
    <row r="74" spans="1:83" ht="12" customHeight="1">
      <c r="A74" s="3"/>
      <c r="B74" s="3"/>
      <c r="C74" s="3"/>
      <c r="D74" s="3"/>
      <c r="E74" s="5"/>
      <c r="F74" s="162" t="s">
        <v>496</v>
      </c>
      <c r="G74" s="163"/>
      <c r="H74" s="163"/>
      <c r="I74" s="163"/>
      <c r="J74" s="163"/>
      <c r="K74" s="164"/>
      <c r="L74" s="162" t="s">
        <v>103</v>
      </c>
      <c r="M74" s="163"/>
      <c r="N74" s="163"/>
      <c r="O74" s="163"/>
      <c r="P74" s="163"/>
      <c r="Q74" s="163"/>
      <c r="R74" s="163"/>
      <c r="S74" s="163"/>
      <c r="T74" s="163"/>
      <c r="U74" s="163"/>
      <c r="V74" s="162" t="s">
        <v>559</v>
      </c>
      <c r="W74" s="163"/>
      <c r="X74" s="163"/>
      <c r="Y74" s="163"/>
      <c r="Z74" s="164"/>
      <c r="AA74" s="252" t="s">
        <v>519</v>
      </c>
      <c r="AB74" s="253"/>
      <c r="AC74" s="253"/>
      <c r="AD74" s="253"/>
      <c r="AE74" s="253"/>
      <c r="AF74" s="253"/>
      <c r="AG74" s="253"/>
      <c r="AH74" s="253"/>
      <c r="AI74" s="253"/>
      <c r="AJ74" s="253"/>
      <c r="AK74" s="253"/>
      <c r="AL74" s="253"/>
      <c r="AM74" s="253"/>
      <c r="AN74" s="253"/>
      <c r="AO74" s="253"/>
      <c r="AP74" s="253"/>
      <c r="AQ74" s="253"/>
      <c r="AR74" s="253"/>
      <c r="AS74" s="253"/>
      <c r="AT74" s="253"/>
      <c r="AU74" s="253"/>
      <c r="AV74" s="253"/>
      <c r="AW74" s="253"/>
      <c r="AX74" s="253"/>
      <c r="AY74" s="253"/>
      <c r="AZ74" s="253"/>
      <c r="BA74" s="253"/>
      <c r="BB74" s="253"/>
      <c r="BC74" s="253"/>
      <c r="BD74" s="253"/>
      <c r="BE74" s="254"/>
      <c r="BF74" s="902" t="s">
        <v>507</v>
      </c>
      <c r="BG74" s="903"/>
      <c r="BH74" s="902" t="s">
        <v>516</v>
      </c>
      <c r="BI74" s="903"/>
      <c r="BJ74" s="902" t="s">
        <v>507</v>
      </c>
      <c r="BK74" s="903"/>
      <c r="BL74" s="902" t="s">
        <v>507</v>
      </c>
      <c r="BM74" s="903"/>
      <c r="BN74" s="902" t="s">
        <v>507</v>
      </c>
      <c r="BO74" s="903"/>
      <c r="BP74" s="902" t="s">
        <v>507</v>
      </c>
      <c r="BQ74" s="903"/>
      <c r="BR74" s="902" t="s">
        <v>507</v>
      </c>
      <c r="BS74" s="903"/>
      <c r="BT74" s="902" t="s">
        <v>507</v>
      </c>
      <c r="BU74" s="903"/>
      <c r="BV74" s="902" t="s">
        <v>507</v>
      </c>
      <c r="BW74" s="903"/>
      <c r="BX74" s="902" t="s">
        <v>507</v>
      </c>
      <c r="BY74" s="903"/>
      <c r="BZ74" s="896" t="s">
        <v>507</v>
      </c>
      <c r="CA74" s="897"/>
      <c r="CB74" s="902" t="s">
        <v>507</v>
      </c>
      <c r="CC74" s="903"/>
      <c r="CD74" s="5"/>
      <c r="CE74" s="5"/>
    </row>
    <row r="75" spans="1:83" ht="12" customHeight="1">
      <c r="A75" s="3"/>
      <c r="B75" s="3"/>
      <c r="C75" s="3"/>
      <c r="D75" s="3"/>
      <c r="E75" s="5"/>
      <c r="F75" s="34"/>
      <c r="G75" s="3"/>
      <c r="H75" s="3"/>
      <c r="I75" s="3"/>
      <c r="J75" s="3"/>
      <c r="K75" s="33"/>
      <c r="L75" s="34"/>
      <c r="M75" s="3"/>
      <c r="N75" s="3"/>
      <c r="O75" s="3"/>
      <c r="P75" s="3"/>
      <c r="Q75" s="3"/>
      <c r="R75" s="3"/>
      <c r="S75" s="3"/>
      <c r="T75" s="3"/>
      <c r="U75" s="3"/>
      <c r="V75" s="255"/>
      <c r="W75" s="256"/>
      <c r="X75" s="256"/>
      <c r="Y75" s="256"/>
      <c r="Z75" s="257"/>
      <c r="AA75" s="258"/>
      <c r="AB75" s="259"/>
      <c r="AC75" s="259"/>
      <c r="AD75" s="259"/>
      <c r="AE75" s="259"/>
      <c r="AF75" s="259"/>
      <c r="AG75" s="259"/>
      <c r="AH75" s="259"/>
      <c r="AI75" s="259"/>
      <c r="AJ75" s="259"/>
      <c r="AK75" s="259"/>
      <c r="AL75" s="259"/>
      <c r="AM75" s="259"/>
      <c r="AN75" s="259"/>
      <c r="AO75" s="259"/>
      <c r="AP75" s="259"/>
      <c r="AQ75" s="259"/>
      <c r="AR75" s="259"/>
      <c r="AS75" s="259"/>
      <c r="AT75" s="259"/>
      <c r="AU75" s="259"/>
      <c r="AV75" s="259"/>
      <c r="AW75" s="259"/>
      <c r="AX75" s="259"/>
      <c r="AY75" s="259"/>
      <c r="AZ75" s="259"/>
      <c r="BA75" s="259"/>
      <c r="BB75" s="259"/>
      <c r="BC75" s="259"/>
      <c r="BD75" s="259"/>
      <c r="BE75" s="260"/>
      <c r="BF75" s="904"/>
      <c r="BG75" s="905"/>
      <c r="BH75" s="904"/>
      <c r="BI75" s="905"/>
      <c r="BJ75" s="904"/>
      <c r="BK75" s="905"/>
      <c r="BL75" s="904"/>
      <c r="BM75" s="905"/>
      <c r="BN75" s="904"/>
      <c r="BO75" s="905"/>
      <c r="BP75" s="904"/>
      <c r="BQ75" s="905"/>
      <c r="BR75" s="904"/>
      <c r="BS75" s="905"/>
      <c r="BT75" s="904"/>
      <c r="BU75" s="905"/>
      <c r="BV75" s="904"/>
      <c r="BW75" s="905"/>
      <c r="BX75" s="904"/>
      <c r="BY75" s="905"/>
      <c r="BZ75" s="898"/>
      <c r="CA75" s="899"/>
      <c r="CB75" s="904"/>
      <c r="CC75" s="905"/>
      <c r="CD75" s="5"/>
      <c r="CE75" s="5"/>
    </row>
    <row r="76" spans="1:83" ht="12" customHeight="1">
      <c r="A76" s="3"/>
      <c r="B76" s="3"/>
      <c r="C76" s="3"/>
      <c r="D76" s="3"/>
      <c r="E76" s="5"/>
      <c r="F76" s="34"/>
      <c r="G76" s="3"/>
      <c r="H76" s="3"/>
      <c r="I76" s="3"/>
      <c r="J76" s="3"/>
      <c r="K76" s="33"/>
      <c r="L76" s="34"/>
      <c r="M76" s="3"/>
      <c r="N76" s="3"/>
      <c r="O76" s="3"/>
      <c r="P76" s="3"/>
      <c r="Q76" s="3"/>
      <c r="R76" s="3"/>
      <c r="S76" s="3"/>
      <c r="T76" s="3"/>
      <c r="U76" s="3"/>
      <c r="V76" s="261" t="s">
        <v>560</v>
      </c>
      <c r="W76" s="262"/>
      <c r="X76" s="262"/>
      <c r="Y76" s="262"/>
      <c r="Z76" s="263"/>
      <c r="AA76" s="264" t="s">
        <v>561</v>
      </c>
      <c r="AB76" s="265"/>
      <c r="AC76" s="265"/>
      <c r="AD76" s="265"/>
      <c r="AE76" s="265"/>
      <c r="AF76" s="265"/>
      <c r="AG76" s="265"/>
      <c r="AH76" s="265"/>
      <c r="AI76" s="265"/>
      <c r="AJ76" s="265"/>
      <c r="AK76" s="265"/>
      <c r="AL76" s="265"/>
      <c r="AM76" s="265"/>
      <c r="AN76" s="265"/>
      <c r="AO76" s="265"/>
      <c r="AP76" s="265"/>
      <c r="AQ76" s="265"/>
      <c r="AR76" s="265"/>
      <c r="AS76" s="265"/>
      <c r="AT76" s="265"/>
      <c r="AU76" s="265"/>
      <c r="AV76" s="265"/>
      <c r="AW76" s="265"/>
      <c r="AX76" s="265"/>
      <c r="AY76" s="265"/>
      <c r="AZ76" s="265"/>
      <c r="BA76" s="265"/>
      <c r="BB76" s="265"/>
      <c r="BC76" s="265"/>
      <c r="BD76" s="265"/>
      <c r="BE76" s="266"/>
      <c r="BF76" s="904"/>
      <c r="BG76" s="905"/>
      <c r="BH76" s="904"/>
      <c r="BI76" s="905"/>
      <c r="BJ76" s="904"/>
      <c r="BK76" s="905"/>
      <c r="BL76" s="904"/>
      <c r="BM76" s="905"/>
      <c r="BN76" s="904"/>
      <c r="BO76" s="905"/>
      <c r="BP76" s="904"/>
      <c r="BQ76" s="905"/>
      <c r="BR76" s="904"/>
      <c r="BS76" s="905"/>
      <c r="BT76" s="904"/>
      <c r="BU76" s="905"/>
      <c r="BV76" s="904"/>
      <c r="BW76" s="905"/>
      <c r="BX76" s="904"/>
      <c r="BY76" s="905"/>
      <c r="BZ76" s="898" t="s">
        <v>520</v>
      </c>
      <c r="CA76" s="899"/>
      <c r="CB76" s="904"/>
      <c r="CC76" s="905"/>
      <c r="CD76" s="5"/>
      <c r="CE76" s="5"/>
    </row>
    <row r="77" spans="1:83" ht="12" customHeight="1">
      <c r="A77" s="3"/>
      <c r="B77" s="3"/>
      <c r="C77" s="3"/>
      <c r="D77" s="3"/>
      <c r="E77" s="5"/>
      <c r="F77" s="32"/>
      <c r="G77" s="31"/>
      <c r="H77" s="31"/>
      <c r="I77" s="31"/>
      <c r="J77" s="31"/>
      <c r="K77" s="30"/>
      <c r="L77" s="32"/>
      <c r="M77" s="31"/>
      <c r="N77" s="31"/>
      <c r="O77" s="31"/>
      <c r="P77" s="31"/>
      <c r="Q77" s="31"/>
      <c r="R77" s="31"/>
      <c r="S77" s="31"/>
      <c r="T77" s="31"/>
      <c r="U77" s="31"/>
      <c r="V77" s="32"/>
      <c r="W77" s="31"/>
      <c r="X77" s="31"/>
      <c r="Y77" s="31"/>
      <c r="Z77" s="30"/>
      <c r="AA77" s="267"/>
      <c r="AB77" s="146"/>
      <c r="AC77" s="146"/>
      <c r="AD77" s="146"/>
      <c r="AE77" s="146"/>
      <c r="AF77" s="146"/>
      <c r="AG77" s="146"/>
      <c r="AH77" s="146"/>
      <c r="AI77" s="146"/>
      <c r="AJ77" s="146"/>
      <c r="AK77" s="146"/>
      <c r="AL77" s="146"/>
      <c r="AM77" s="146"/>
      <c r="AN77" s="146"/>
      <c r="AO77" s="146"/>
      <c r="AP77" s="146"/>
      <c r="AQ77" s="146"/>
      <c r="AR77" s="146"/>
      <c r="AS77" s="146"/>
      <c r="AT77" s="146"/>
      <c r="AU77" s="146"/>
      <c r="AV77" s="146"/>
      <c r="AW77" s="146"/>
      <c r="AX77" s="146"/>
      <c r="AY77" s="146"/>
      <c r="AZ77" s="146"/>
      <c r="BA77" s="146"/>
      <c r="BB77" s="146"/>
      <c r="BC77" s="146"/>
      <c r="BD77" s="146"/>
      <c r="BE77" s="268"/>
      <c r="BF77" s="906"/>
      <c r="BG77" s="907"/>
      <c r="BH77" s="906"/>
      <c r="BI77" s="907"/>
      <c r="BJ77" s="906"/>
      <c r="BK77" s="907"/>
      <c r="BL77" s="906"/>
      <c r="BM77" s="907"/>
      <c r="BN77" s="906"/>
      <c r="BO77" s="907"/>
      <c r="BP77" s="906"/>
      <c r="BQ77" s="907"/>
      <c r="BR77" s="906"/>
      <c r="BS77" s="907"/>
      <c r="BT77" s="906"/>
      <c r="BU77" s="907"/>
      <c r="BV77" s="906"/>
      <c r="BW77" s="907"/>
      <c r="BX77" s="906"/>
      <c r="BY77" s="907"/>
      <c r="BZ77" s="900"/>
      <c r="CA77" s="901"/>
      <c r="CB77" s="906"/>
      <c r="CC77" s="907"/>
      <c r="CD77" s="5"/>
      <c r="CE77" s="5"/>
    </row>
    <row r="78" spans="1:83" ht="12" customHeight="1">
      <c r="A78" s="3"/>
      <c r="B78" s="3"/>
      <c r="C78" s="3"/>
      <c r="D78" s="3"/>
      <c r="E78" s="5"/>
      <c r="F78" s="162" t="s">
        <v>484</v>
      </c>
      <c r="G78" s="163"/>
      <c r="H78" s="163"/>
      <c r="I78" s="163"/>
      <c r="J78" s="163"/>
      <c r="K78" s="164"/>
      <c r="L78" s="162" t="s">
        <v>565</v>
      </c>
      <c r="M78" s="163"/>
      <c r="N78" s="163"/>
      <c r="O78" s="163"/>
      <c r="P78" s="163"/>
      <c r="Q78" s="163"/>
      <c r="R78" s="163"/>
      <c r="S78" s="163"/>
      <c r="T78" s="163"/>
      <c r="U78" s="163"/>
      <c r="V78" s="162" t="s">
        <v>559</v>
      </c>
      <c r="W78" s="163"/>
      <c r="X78" s="163"/>
      <c r="Y78" s="163"/>
      <c r="Z78" s="164"/>
      <c r="AA78" s="622" t="s">
        <v>512</v>
      </c>
      <c r="AB78" s="623"/>
      <c r="AC78" s="623"/>
      <c r="AD78" s="623"/>
      <c r="AE78" s="623"/>
      <c r="AF78" s="623"/>
      <c r="AG78" s="623"/>
      <c r="AH78" s="623"/>
      <c r="AI78" s="623"/>
      <c r="AJ78" s="623"/>
      <c r="AK78" s="623"/>
      <c r="AL78" s="623"/>
      <c r="AM78" s="623"/>
      <c r="AN78" s="623"/>
      <c r="AO78" s="623"/>
      <c r="AP78" s="623"/>
      <c r="AQ78" s="623"/>
      <c r="AR78" s="623"/>
      <c r="AS78" s="623"/>
      <c r="AT78" s="623"/>
      <c r="AU78" s="623"/>
      <c r="AV78" s="623"/>
      <c r="AW78" s="623"/>
      <c r="AX78" s="623"/>
      <c r="AY78" s="623"/>
      <c r="AZ78" s="623"/>
      <c r="BA78" s="623"/>
      <c r="BB78" s="623"/>
      <c r="BC78" s="623"/>
      <c r="BD78" s="623"/>
      <c r="BE78" s="624"/>
      <c r="BF78" s="902" t="s">
        <v>507</v>
      </c>
      <c r="BG78" s="903"/>
      <c r="BH78" s="902" t="s">
        <v>508</v>
      </c>
      <c r="BI78" s="903"/>
      <c r="BJ78" s="902" t="s">
        <v>507</v>
      </c>
      <c r="BK78" s="903"/>
      <c r="BL78" s="902" t="s">
        <v>508</v>
      </c>
      <c r="BM78" s="903"/>
      <c r="BN78" s="902" t="s">
        <v>507</v>
      </c>
      <c r="BO78" s="903"/>
      <c r="BP78" s="902" t="s">
        <v>508</v>
      </c>
      <c r="BQ78" s="903"/>
      <c r="BR78" s="902" t="s">
        <v>508</v>
      </c>
      <c r="BS78" s="903"/>
      <c r="BT78" s="902" t="s">
        <v>507</v>
      </c>
      <c r="BU78" s="903"/>
      <c r="BV78" s="902" t="s">
        <v>508</v>
      </c>
      <c r="BW78" s="903"/>
      <c r="BX78" s="902" t="s">
        <v>508</v>
      </c>
      <c r="BY78" s="903"/>
      <c r="BZ78" s="896" t="s">
        <v>508</v>
      </c>
      <c r="CA78" s="897"/>
      <c r="CB78" s="902" t="s">
        <v>508</v>
      </c>
      <c r="CC78" s="903"/>
      <c r="CD78" s="5"/>
      <c r="CE78" s="5"/>
    </row>
    <row r="79" spans="1:83" ht="12" customHeight="1">
      <c r="A79" s="3"/>
      <c r="B79" s="3"/>
      <c r="C79" s="3"/>
      <c r="D79" s="3"/>
      <c r="E79" s="5"/>
      <c r="F79" s="34"/>
      <c r="G79" s="3"/>
      <c r="H79" s="3"/>
      <c r="I79" s="3"/>
      <c r="J79" s="3"/>
      <c r="K79" s="33"/>
      <c r="L79" s="34"/>
      <c r="M79" s="3"/>
      <c r="N79" s="3"/>
      <c r="O79" s="3"/>
      <c r="P79" s="3"/>
      <c r="Q79" s="3"/>
      <c r="R79" s="3"/>
      <c r="S79" s="3"/>
      <c r="T79" s="3"/>
      <c r="U79" s="3"/>
      <c r="V79" s="255"/>
      <c r="W79" s="256"/>
      <c r="X79" s="256"/>
      <c r="Y79" s="256"/>
      <c r="Z79" s="257"/>
      <c r="AA79" s="628"/>
      <c r="AB79" s="629"/>
      <c r="AC79" s="629"/>
      <c r="AD79" s="629"/>
      <c r="AE79" s="629"/>
      <c r="AF79" s="629"/>
      <c r="AG79" s="629"/>
      <c r="AH79" s="629"/>
      <c r="AI79" s="629"/>
      <c r="AJ79" s="629"/>
      <c r="AK79" s="629"/>
      <c r="AL79" s="629"/>
      <c r="AM79" s="629"/>
      <c r="AN79" s="629"/>
      <c r="AO79" s="629"/>
      <c r="AP79" s="629"/>
      <c r="AQ79" s="629"/>
      <c r="AR79" s="629"/>
      <c r="AS79" s="629"/>
      <c r="AT79" s="629"/>
      <c r="AU79" s="629"/>
      <c r="AV79" s="629"/>
      <c r="AW79" s="629"/>
      <c r="AX79" s="629"/>
      <c r="AY79" s="629"/>
      <c r="AZ79" s="629"/>
      <c r="BA79" s="629"/>
      <c r="BB79" s="629"/>
      <c r="BC79" s="629"/>
      <c r="BD79" s="629"/>
      <c r="BE79" s="630"/>
      <c r="BF79" s="904"/>
      <c r="BG79" s="905"/>
      <c r="BH79" s="904"/>
      <c r="BI79" s="905"/>
      <c r="BJ79" s="904"/>
      <c r="BK79" s="905"/>
      <c r="BL79" s="904"/>
      <c r="BM79" s="905"/>
      <c r="BN79" s="904"/>
      <c r="BO79" s="905"/>
      <c r="BP79" s="904"/>
      <c r="BQ79" s="905"/>
      <c r="BR79" s="904"/>
      <c r="BS79" s="905"/>
      <c r="BT79" s="904"/>
      <c r="BU79" s="905"/>
      <c r="BV79" s="904"/>
      <c r="BW79" s="905"/>
      <c r="BX79" s="904"/>
      <c r="BY79" s="905"/>
      <c r="BZ79" s="898"/>
      <c r="CA79" s="899"/>
      <c r="CB79" s="904"/>
      <c r="CC79" s="905"/>
      <c r="CD79" s="5"/>
      <c r="CE79" s="5"/>
    </row>
    <row r="80" spans="1:83" ht="12" customHeight="1">
      <c r="A80" s="3"/>
      <c r="B80" s="3"/>
      <c r="C80" s="3"/>
      <c r="D80" s="3"/>
      <c r="E80" s="5"/>
      <c r="F80" s="34"/>
      <c r="G80" s="3"/>
      <c r="H80" s="3"/>
      <c r="I80" s="3"/>
      <c r="J80" s="3"/>
      <c r="K80" s="33"/>
      <c r="L80" s="34"/>
      <c r="M80" s="3"/>
      <c r="N80" s="3"/>
      <c r="O80" s="3"/>
      <c r="P80" s="3"/>
      <c r="Q80" s="3"/>
      <c r="R80" s="3"/>
      <c r="S80" s="3"/>
      <c r="T80" s="3"/>
      <c r="U80" s="3"/>
      <c r="V80" s="261" t="s">
        <v>560</v>
      </c>
      <c r="W80" s="262"/>
      <c r="X80" s="262"/>
      <c r="Y80" s="262"/>
      <c r="Z80" s="263"/>
      <c r="AA80" s="628"/>
      <c r="AB80" s="629"/>
      <c r="AC80" s="629"/>
      <c r="AD80" s="629"/>
      <c r="AE80" s="629"/>
      <c r="AF80" s="629"/>
      <c r="AG80" s="629"/>
      <c r="AH80" s="629"/>
      <c r="AI80" s="629"/>
      <c r="AJ80" s="629"/>
      <c r="AK80" s="629"/>
      <c r="AL80" s="629"/>
      <c r="AM80" s="629"/>
      <c r="AN80" s="629"/>
      <c r="AO80" s="629"/>
      <c r="AP80" s="629"/>
      <c r="AQ80" s="629"/>
      <c r="AR80" s="629"/>
      <c r="AS80" s="629"/>
      <c r="AT80" s="629"/>
      <c r="AU80" s="629"/>
      <c r="AV80" s="629"/>
      <c r="AW80" s="629"/>
      <c r="AX80" s="629"/>
      <c r="AY80" s="629"/>
      <c r="AZ80" s="629"/>
      <c r="BA80" s="629"/>
      <c r="BB80" s="629"/>
      <c r="BC80" s="629"/>
      <c r="BD80" s="629"/>
      <c r="BE80" s="630"/>
      <c r="BF80" s="904"/>
      <c r="BG80" s="905"/>
      <c r="BH80" s="904"/>
      <c r="BI80" s="905"/>
      <c r="BJ80" s="904"/>
      <c r="BK80" s="905"/>
      <c r="BL80" s="904"/>
      <c r="BM80" s="905"/>
      <c r="BN80" s="904"/>
      <c r="BO80" s="905"/>
      <c r="BP80" s="904"/>
      <c r="BQ80" s="905"/>
      <c r="BR80" s="904"/>
      <c r="BS80" s="905"/>
      <c r="BT80" s="904"/>
      <c r="BU80" s="905"/>
      <c r="BV80" s="904"/>
      <c r="BW80" s="905"/>
      <c r="BX80" s="904"/>
      <c r="BY80" s="905"/>
      <c r="BZ80" s="898" t="s">
        <v>520</v>
      </c>
      <c r="CA80" s="899"/>
      <c r="CB80" s="904"/>
      <c r="CC80" s="905"/>
      <c r="CD80" s="5"/>
      <c r="CE80" s="5"/>
    </row>
    <row r="81" spans="1:83" ht="12" customHeight="1">
      <c r="A81" s="3"/>
      <c r="B81" s="3"/>
      <c r="C81" s="3"/>
      <c r="D81" s="3"/>
      <c r="E81" s="5"/>
      <c r="F81" s="32"/>
      <c r="G81" s="31"/>
      <c r="H81" s="31"/>
      <c r="I81" s="31"/>
      <c r="J81" s="31"/>
      <c r="K81" s="30"/>
      <c r="L81" s="32"/>
      <c r="M81" s="31"/>
      <c r="N81" s="31"/>
      <c r="O81" s="31"/>
      <c r="P81" s="31"/>
      <c r="Q81" s="31"/>
      <c r="R81" s="31"/>
      <c r="S81" s="31"/>
      <c r="T81" s="31"/>
      <c r="U81" s="31"/>
      <c r="V81" s="32"/>
      <c r="W81" s="31"/>
      <c r="X81" s="31"/>
      <c r="Y81" s="31"/>
      <c r="Z81" s="30"/>
      <c r="AA81" s="625"/>
      <c r="AB81" s="626"/>
      <c r="AC81" s="626"/>
      <c r="AD81" s="626"/>
      <c r="AE81" s="626"/>
      <c r="AF81" s="626"/>
      <c r="AG81" s="626"/>
      <c r="AH81" s="626"/>
      <c r="AI81" s="626"/>
      <c r="AJ81" s="626"/>
      <c r="AK81" s="626"/>
      <c r="AL81" s="626"/>
      <c r="AM81" s="626"/>
      <c r="AN81" s="626"/>
      <c r="AO81" s="626"/>
      <c r="AP81" s="626"/>
      <c r="AQ81" s="626"/>
      <c r="AR81" s="626"/>
      <c r="AS81" s="626"/>
      <c r="AT81" s="626"/>
      <c r="AU81" s="626"/>
      <c r="AV81" s="626"/>
      <c r="AW81" s="626"/>
      <c r="AX81" s="626"/>
      <c r="AY81" s="626"/>
      <c r="AZ81" s="626"/>
      <c r="BA81" s="626"/>
      <c r="BB81" s="626"/>
      <c r="BC81" s="626"/>
      <c r="BD81" s="626"/>
      <c r="BE81" s="627"/>
      <c r="BF81" s="906"/>
      <c r="BG81" s="907"/>
      <c r="BH81" s="906"/>
      <c r="BI81" s="907"/>
      <c r="BJ81" s="906"/>
      <c r="BK81" s="907"/>
      <c r="BL81" s="906"/>
      <c r="BM81" s="907"/>
      <c r="BN81" s="906"/>
      <c r="BO81" s="907"/>
      <c r="BP81" s="906"/>
      <c r="BQ81" s="907"/>
      <c r="BR81" s="906"/>
      <c r="BS81" s="907"/>
      <c r="BT81" s="906"/>
      <c r="BU81" s="907"/>
      <c r="BV81" s="906"/>
      <c r="BW81" s="907"/>
      <c r="BX81" s="906"/>
      <c r="BY81" s="907"/>
      <c r="BZ81" s="900"/>
      <c r="CA81" s="901"/>
      <c r="CB81" s="906"/>
      <c r="CC81" s="907"/>
      <c r="CD81" s="5"/>
      <c r="CE81" s="5"/>
    </row>
    <row r="82" spans="1:83" ht="12" customHeight="1">
      <c r="A82" s="3"/>
      <c r="B82" s="3"/>
      <c r="C82" s="3"/>
      <c r="D82" s="3"/>
      <c r="E82" s="5"/>
      <c r="F82" s="162" t="s">
        <v>485</v>
      </c>
      <c r="G82" s="163"/>
      <c r="H82" s="163"/>
      <c r="I82" s="163"/>
      <c r="J82" s="163"/>
      <c r="K82" s="164"/>
      <c r="L82" s="162" t="s">
        <v>566</v>
      </c>
      <c r="M82" s="163"/>
      <c r="N82" s="163"/>
      <c r="O82" s="163"/>
      <c r="P82" s="163"/>
      <c r="Q82" s="163"/>
      <c r="R82" s="163"/>
      <c r="S82" s="163"/>
      <c r="T82" s="163"/>
      <c r="U82" s="163"/>
      <c r="V82" s="162" t="s">
        <v>559</v>
      </c>
      <c r="W82" s="163"/>
      <c r="X82" s="163"/>
      <c r="Y82" s="163"/>
      <c r="Z82" s="164"/>
      <c r="AA82" s="622" t="s">
        <v>513</v>
      </c>
      <c r="AB82" s="623"/>
      <c r="AC82" s="623"/>
      <c r="AD82" s="623"/>
      <c r="AE82" s="623"/>
      <c r="AF82" s="623"/>
      <c r="AG82" s="623"/>
      <c r="AH82" s="623"/>
      <c r="AI82" s="623"/>
      <c r="AJ82" s="623"/>
      <c r="AK82" s="623"/>
      <c r="AL82" s="623"/>
      <c r="AM82" s="623"/>
      <c r="AN82" s="623"/>
      <c r="AO82" s="623"/>
      <c r="AP82" s="623"/>
      <c r="AQ82" s="623"/>
      <c r="AR82" s="623"/>
      <c r="AS82" s="623"/>
      <c r="AT82" s="623"/>
      <c r="AU82" s="623"/>
      <c r="AV82" s="623"/>
      <c r="AW82" s="623"/>
      <c r="AX82" s="623"/>
      <c r="AY82" s="623"/>
      <c r="AZ82" s="623"/>
      <c r="BA82" s="623"/>
      <c r="BB82" s="623"/>
      <c r="BC82" s="623"/>
      <c r="BD82" s="623"/>
      <c r="BE82" s="624"/>
      <c r="BF82" s="902" t="s">
        <v>507</v>
      </c>
      <c r="BG82" s="903"/>
      <c r="BH82" s="902" t="s">
        <v>507</v>
      </c>
      <c r="BI82" s="903"/>
      <c r="BJ82" s="902" t="s">
        <v>507</v>
      </c>
      <c r="BK82" s="903"/>
      <c r="BL82" s="902" t="s">
        <v>507</v>
      </c>
      <c r="BM82" s="903"/>
      <c r="BN82" s="902" t="s">
        <v>507</v>
      </c>
      <c r="BO82" s="903"/>
      <c r="BP82" s="902" t="s">
        <v>507</v>
      </c>
      <c r="BQ82" s="903"/>
      <c r="BR82" s="902" t="s">
        <v>507</v>
      </c>
      <c r="BS82" s="903"/>
      <c r="BT82" s="902" t="s">
        <v>507</v>
      </c>
      <c r="BU82" s="903"/>
      <c r="BV82" s="902" t="s">
        <v>507</v>
      </c>
      <c r="BW82" s="903"/>
      <c r="BX82" s="902" t="s">
        <v>507</v>
      </c>
      <c r="BY82" s="903"/>
      <c r="BZ82" s="896" t="s">
        <v>507</v>
      </c>
      <c r="CA82" s="897"/>
      <c r="CB82" s="902" t="s">
        <v>507</v>
      </c>
      <c r="CC82" s="903"/>
      <c r="CD82" s="5"/>
      <c r="CE82" s="5"/>
    </row>
    <row r="83" spans="1:83" ht="12" customHeight="1">
      <c r="A83" s="3"/>
      <c r="B83" s="3"/>
      <c r="C83" s="3"/>
      <c r="D83" s="3"/>
      <c r="E83" s="5"/>
      <c r="F83" s="34"/>
      <c r="G83" s="3"/>
      <c r="H83" s="3"/>
      <c r="I83" s="3"/>
      <c r="J83" s="3"/>
      <c r="K83" s="33"/>
      <c r="L83" s="34" t="s">
        <v>564</v>
      </c>
      <c r="M83" s="3"/>
      <c r="N83" s="3"/>
      <c r="O83" s="3"/>
      <c r="P83" s="3"/>
      <c r="Q83" s="3"/>
      <c r="R83" s="3"/>
      <c r="S83" s="3"/>
      <c r="T83" s="3"/>
      <c r="U83" s="3"/>
      <c r="V83" s="255"/>
      <c r="W83" s="256"/>
      <c r="X83" s="256"/>
      <c r="Y83" s="256"/>
      <c r="Z83" s="257"/>
      <c r="AA83" s="628"/>
      <c r="AB83" s="629"/>
      <c r="AC83" s="629"/>
      <c r="AD83" s="629"/>
      <c r="AE83" s="629"/>
      <c r="AF83" s="629"/>
      <c r="AG83" s="629"/>
      <c r="AH83" s="629"/>
      <c r="AI83" s="629"/>
      <c r="AJ83" s="629"/>
      <c r="AK83" s="629"/>
      <c r="AL83" s="629"/>
      <c r="AM83" s="629"/>
      <c r="AN83" s="629"/>
      <c r="AO83" s="629"/>
      <c r="AP83" s="629"/>
      <c r="AQ83" s="629"/>
      <c r="AR83" s="629"/>
      <c r="AS83" s="629"/>
      <c r="AT83" s="629"/>
      <c r="AU83" s="629"/>
      <c r="AV83" s="629"/>
      <c r="AW83" s="629"/>
      <c r="AX83" s="629"/>
      <c r="AY83" s="629"/>
      <c r="AZ83" s="629"/>
      <c r="BA83" s="629"/>
      <c r="BB83" s="629"/>
      <c r="BC83" s="629"/>
      <c r="BD83" s="629"/>
      <c r="BE83" s="630"/>
      <c r="BF83" s="904"/>
      <c r="BG83" s="905"/>
      <c r="BH83" s="904"/>
      <c r="BI83" s="905"/>
      <c r="BJ83" s="904"/>
      <c r="BK83" s="905"/>
      <c r="BL83" s="904"/>
      <c r="BM83" s="905"/>
      <c r="BN83" s="904"/>
      <c r="BO83" s="905"/>
      <c r="BP83" s="904"/>
      <c r="BQ83" s="905"/>
      <c r="BR83" s="904"/>
      <c r="BS83" s="905"/>
      <c r="BT83" s="904"/>
      <c r="BU83" s="905"/>
      <c r="BV83" s="904"/>
      <c r="BW83" s="905"/>
      <c r="BX83" s="904"/>
      <c r="BY83" s="905"/>
      <c r="BZ83" s="898"/>
      <c r="CA83" s="899"/>
      <c r="CB83" s="904"/>
      <c r="CC83" s="905"/>
      <c r="CD83" s="5"/>
      <c r="CE83" s="5"/>
    </row>
    <row r="84" spans="1:83" ht="12" customHeight="1">
      <c r="A84" s="3"/>
      <c r="B84" s="3"/>
      <c r="C84" s="3"/>
      <c r="D84" s="3"/>
      <c r="E84" s="5"/>
      <c r="F84" s="34"/>
      <c r="G84" s="3"/>
      <c r="H84" s="3"/>
      <c r="I84" s="3"/>
      <c r="J84" s="3"/>
      <c r="K84" s="33"/>
      <c r="L84" s="34"/>
      <c r="M84" s="3"/>
      <c r="N84" s="3"/>
      <c r="O84" s="3"/>
      <c r="P84" s="3"/>
      <c r="Q84" s="3"/>
      <c r="R84" s="3"/>
      <c r="S84" s="3"/>
      <c r="T84" s="3"/>
      <c r="U84" s="3"/>
      <c r="V84" s="261" t="s">
        <v>560</v>
      </c>
      <c r="W84" s="262"/>
      <c r="X84" s="262"/>
      <c r="Y84" s="262"/>
      <c r="Z84" s="263"/>
      <c r="AA84" s="628"/>
      <c r="AB84" s="629"/>
      <c r="AC84" s="629"/>
      <c r="AD84" s="629"/>
      <c r="AE84" s="629"/>
      <c r="AF84" s="629"/>
      <c r="AG84" s="629"/>
      <c r="AH84" s="629"/>
      <c r="AI84" s="629"/>
      <c r="AJ84" s="629"/>
      <c r="AK84" s="629"/>
      <c r="AL84" s="629"/>
      <c r="AM84" s="629"/>
      <c r="AN84" s="629"/>
      <c r="AO84" s="629"/>
      <c r="AP84" s="629"/>
      <c r="AQ84" s="629"/>
      <c r="AR84" s="629"/>
      <c r="AS84" s="629"/>
      <c r="AT84" s="629"/>
      <c r="AU84" s="629"/>
      <c r="AV84" s="629"/>
      <c r="AW84" s="629"/>
      <c r="AX84" s="629"/>
      <c r="AY84" s="629"/>
      <c r="AZ84" s="629"/>
      <c r="BA84" s="629"/>
      <c r="BB84" s="629"/>
      <c r="BC84" s="629"/>
      <c r="BD84" s="629"/>
      <c r="BE84" s="630"/>
      <c r="BF84" s="904"/>
      <c r="BG84" s="905"/>
      <c r="BH84" s="904"/>
      <c r="BI84" s="905"/>
      <c r="BJ84" s="904"/>
      <c r="BK84" s="905"/>
      <c r="BL84" s="904"/>
      <c r="BM84" s="905"/>
      <c r="BN84" s="904"/>
      <c r="BO84" s="905"/>
      <c r="BP84" s="904"/>
      <c r="BQ84" s="905"/>
      <c r="BR84" s="904"/>
      <c r="BS84" s="905"/>
      <c r="BT84" s="904"/>
      <c r="BU84" s="905"/>
      <c r="BV84" s="904"/>
      <c r="BW84" s="905"/>
      <c r="BX84" s="904"/>
      <c r="BY84" s="905"/>
      <c r="BZ84" s="898" t="s">
        <v>520</v>
      </c>
      <c r="CA84" s="899"/>
      <c r="CB84" s="904"/>
      <c r="CC84" s="905"/>
      <c r="CD84" s="5"/>
      <c r="CE84" s="5"/>
    </row>
    <row r="85" spans="1:83" ht="12" customHeight="1">
      <c r="A85" s="3"/>
      <c r="B85" s="3"/>
      <c r="C85" s="3"/>
      <c r="D85" s="3"/>
      <c r="E85" s="5"/>
      <c r="F85" s="32"/>
      <c r="G85" s="31"/>
      <c r="H85" s="31"/>
      <c r="I85" s="31"/>
      <c r="J85" s="31"/>
      <c r="K85" s="30"/>
      <c r="L85" s="32"/>
      <c r="M85" s="31"/>
      <c r="N85" s="31"/>
      <c r="O85" s="31"/>
      <c r="P85" s="31"/>
      <c r="Q85" s="31"/>
      <c r="R85" s="31"/>
      <c r="S85" s="31"/>
      <c r="T85" s="31"/>
      <c r="U85" s="31"/>
      <c r="V85" s="32"/>
      <c r="W85" s="31"/>
      <c r="X85" s="31"/>
      <c r="Y85" s="31"/>
      <c r="Z85" s="30"/>
      <c r="AA85" s="625"/>
      <c r="AB85" s="626"/>
      <c r="AC85" s="626"/>
      <c r="AD85" s="626"/>
      <c r="AE85" s="626"/>
      <c r="AF85" s="626"/>
      <c r="AG85" s="626"/>
      <c r="AH85" s="626"/>
      <c r="AI85" s="626"/>
      <c r="AJ85" s="626"/>
      <c r="AK85" s="626"/>
      <c r="AL85" s="626"/>
      <c r="AM85" s="626"/>
      <c r="AN85" s="626"/>
      <c r="AO85" s="626"/>
      <c r="AP85" s="626"/>
      <c r="AQ85" s="626"/>
      <c r="AR85" s="626"/>
      <c r="AS85" s="626"/>
      <c r="AT85" s="626"/>
      <c r="AU85" s="626"/>
      <c r="AV85" s="626"/>
      <c r="AW85" s="626"/>
      <c r="AX85" s="626"/>
      <c r="AY85" s="626"/>
      <c r="AZ85" s="626"/>
      <c r="BA85" s="626"/>
      <c r="BB85" s="626"/>
      <c r="BC85" s="626"/>
      <c r="BD85" s="626"/>
      <c r="BE85" s="627"/>
      <c r="BF85" s="906"/>
      <c r="BG85" s="907"/>
      <c r="BH85" s="906"/>
      <c r="BI85" s="907"/>
      <c r="BJ85" s="906"/>
      <c r="BK85" s="907"/>
      <c r="BL85" s="906"/>
      <c r="BM85" s="907"/>
      <c r="BN85" s="906"/>
      <c r="BO85" s="907"/>
      <c r="BP85" s="906"/>
      <c r="BQ85" s="907"/>
      <c r="BR85" s="906"/>
      <c r="BS85" s="907"/>
      <c r="BT85" s="906"/>
      <c r="BU85" s="907"/>
      <c r="BV85" s="906"/>
      <c r="BW85" s="907"/>
      <c r="BX85" s="906"/>
      <c r="BY85" s="907"/>
      <c r="BZ85" s="900"/>
      <c r="CA85" s="901"/>
      <c r="CB85" s="906"/>
      <c r="CC85" s="907"/>
      <c r="CD85" s="5"/>
      <c r="CE85" s="5"/>
    </row>
    <row r="86" spans="1:83" ht="12" customHeight="1">
      <c r="A86" s="3"/>
      <c r="B86" s="3"/>
      <c r="C86" s="3"/>
      <c r="D86" s="3"/>
      <c r="E86" s="5"/>
      <c r="F86" s="162" t="s">
        <v>486</v>
      </c>
      <c r="G86" s="163"/>
      <c r="H86" s="163"/>
      <c r="I86" s="163"/>
      <c r="J86" s="163"/>
      <c r="K86" s="164"/>
      <c r="L86" s="162" t="s">
        <v>567</v>
      </c>
      <c r="M86" s="163"/>
      <c r="N86" s="163"/>
      <c r="O86" s="163"/>
      <c r="P86" s="163"/>
      <c r="Q86" s="163"/>
      <c r="R86" s="163"/>
      <c r="S86" s="163"/>
      <c r="T86" s="163"/>
      <c r="U86" s="163"/>
      <c r="V86" s="162" t="s">
        <v>559</v>
      </c>
      <c r="W86" s="163"/>
      <c r="X86" s="163"/>
      <c r="Y86" s="163"/>
      <c r="Z86" s="164"/>
      <c r="AA86" s="622" t="s">
        <v>514</v>
      </c>
      <c r="AB86" s="623"/>
      <c r="AC86" s="623"/>
      <c r="AD86" s="623"/>
      <c r="AE86" s="623"/>
      <c r="AF86" s="623"/>
      <c r="AG86" s="623"/>
      <c r="AH86" s="623"/>
      <c r="AI86" s="623"/>
      <c r="AJ86" s="623"/>
      <c r="AK86" s="623"/>
      <c r="AL86" s="623"/>
      <c r="AM86" s="623"/>
      <c r="AN86" s="623"/>
      <c r="AO86" s="623"/>
      <c r="AP86" s="623"/>
      <c r="AQ86" s="623"/>
      <c r="AR86" s="623"/>
      <c r="AS86" s="623"/>
      <c r="AT86" s="623"/>
      <c r="AU86" s="623"/>
      <c r="AV86" s="623"/>
      <c r="AW86" s="623"/>
      <c r="AX86" s="623"/>
      <c r="AY86" s="623"/>
      <c r="AZ86" s="623"/>
      <c r="BA86" s="623"/>
      <c r="BB86" s="623"/>
      <c r="BC86" s="623"/>
      <c r="BD86" s="623"/>
      <c r="BE86" s="624"/>
      <c r="BF86" s="902" t="s">
        <v>507</v>
      </c>
      <c r="BG86" s="903"/>
      <c r="BH86" s="902" t="s">
        <v>508</v>
      </c>
      <c r="BI86" s="903"/>
      <c r="BJ86" s="902" t="s">
        <v>508</v>
      </c>
      <c r="BK86" s="903"/>
      <c r="BL86" s="902" t="s">
        <v>508</v>
      </c>
      <c r="BM86" s="903"/>
      <c r="BN86" s="902" t="s">
        <v>508</v>
      </c>
      <c r="BO86" s="903"/>
      <c r="BP86" s="902" t="s">
        <v>508</v>
      </c>
      <c r="BQ86" s="903"/>
      <c r="BR86" s="902" t="s">
        <v>508</v>
      </c>
      <c r="BS86" s="903"/>
      <c r="BT86" s="902" t="s">
        <v>508</v>
      </c>
      <c r="BU86" s="903"/>
      <c r="BV86" s="902" t="s">
        <v>508</v>
      </c>
      <c r="BW86" s="903"/>
      <c r="BX86" s="902" t="s">
        <v>508</v>
      </c>
      <c r="BY86" s="903"/>
      <c r="BZ86" s="896" t="s">
        <v>508</v>
      </c>
      <c r="CA86" s="897"/>
      <c r="CB86" s="902" t="s">
        <v>508</v>
      </c>
      <c r="CC86" s="903"/>
      <c r="CD86" s="5"/>
      <c r="CE86" s="5"/>
    </row>
    <row r="87" spans="1:83" ht="12" customHeight="1">
      <c r="A87" s="3"/>
      <c r="B87" s="3"/>
      <c r="C87" s="3"/>
      <c r="D87" s="3"/>
      <c r="E87" s="5"/>
      <c r="F87" s="34"/>
      <c r="G87" s="3"/>
      <c r="H87" s="3"/>
      <c r="I87" s="3"/>
      <c r="J87" s="3"/>
      <c r="K87" s="33"/>
      <c r="L87" s="34"/>
      <c r="M87" s="3"/>
      <c r="N87" s="3"/>
      <c r="O87" s="3"/>
      <c r="P87" s="3"/>
      <c r="Q87" s="3"/>
      <c r="R87" s="3"/>
      <c r="S87" s="3"/>
      <c r="T87" s="3"/>
      <c r="U87" s="3"/>
      <c r="V87" s="255"/>
      <c r="W87" s="256"/>
      <c r="X87" s="256"/>
      <c r="Y87" s="256"/>
      <c r="Z87" s="257"/>
      <c r="AA87" s="628"/>
      <c r="AB87" s="629"/>
      <c r="AC87" s="629"/>
      <c r="AD87" s="629"/>
      <c r="AE87" s="629"/>
      <c r="AF87" s="629"/>
      <c r="AG87" s="629"/>
      <c r="AH87" s="629"/>
      <c r="AI87" s="629"/>
      <c r="AJ87" s="629"/>
      <c r="AK87" s="629"/>
      <c r="AL87" s="629"/>
      <c r="AM87" s="629"/>
      <c r="AN87" s="629"/>
      <c r="AO87" s="629"/>
      <c r="AP87" s="629"/>
      <c r="AQ87" s="629"/>
      <c r="AR87" s="629"/>
      <c r="AS87" s="629"/>
      <c r="AT87" s="629"/>
      <c r="AU87" s="629"/>
      <c r="AV87" s="629"/>
      <c r="AW87" s="629"/>
      <c r="AX87" s="629"/>
      <c r="AY87" s="629"/>
      <c r="AZ87" s="629"/>
      <c r="BA87" s="629"/>
      <c r="BB87" s="629"/>
      <c r="BC87" s="629"/>
      <c r="BD87" s="629"/>
      <c r="BE87" s="630"/>
      <c r="BF87" s="904"/>
      <c r="BG87" s="905"/>
      <c r="BH87" s="904"/>
      <c r="BI87" s="905"/>
      <c r="BJ87" s="904"/>
      <c r="BK87" s="905"/>
      <c r="BL87" s="904"/>
      <c r="BM87" s="905"/>
      <c r="BN87" s="904"/>
      <c r="BO87" s="905"/>
      <c r="BP87" s="904"/>
      <c r="BQ87" s="905"/>
      <c r="BR87" s="904"/>
      <c r="BS87" s="905"/>
      <c r="BT87" s="904"/>
      <c r="BU87" s="905"/>
      <c r="BV87" s="904"/>
      <c r="BW87" s="905"/>
      <c r="BX87" s="904"/>
      <c r="BY87" s="905"/>
      <c r="BZ87" s="898"/>
      <c r="CA87" s="899"/>
      <c r="CB87" s="904"/>
      <c r="CC87" s="905"/>
      <c r="CD87" s="5"/>
      <c r="CE87" s="5"/>
    </row>
    <row r="88" spans="1:83" ht="12" customHeight="1">
      <c r="A88" s="3"/>
      <c r="B88" s="3"/>
      <c r="C88" s="3"/>
      <c r="D88" s="3"/>
      <c r="E88" s="5"/>
      <c r="F88" s="34"/>
      <c r="G88" s="3"/>
      <c r="H88" s="3"/>
      <c r="I88" s="3"/>
      <c r="J88" s="3"/>
      <c r="K88" s="33"/>
      <c r="L88" s="34"/>
      <c r="M88" s="3"/>
      <c r="N88" s="3"/>
      <c r="O88" s="3"/>
      <c r="P88" s="3"/>
      <c r="Q88" s="3"/>
      <c r="R88" s="3"/>
      <c r="S88" s="3"/>
      <c r="T88" s="3"/>
      <c r="U88" s="3"/>
      <c r="V88" s="261" t="s">
        <v>560</v>
      </c>
      <c r="W88" s="262"/>
      <c r="X88" s="262"/>
      <c r="Y88" s="262"/>
      <c r="Z88" s="263"/>
      <c r="AA88" s="628"/>
      <c r="AB88" s="629"/>
      <c r="AC88" s="629"/>
      <c r="AD88" s="629"/>
      <c r="AE88" s="629"/>
      <c r="AF88" s="629"/>
      <c r="AG88" s="629"/>
      <c r="AH88" s="629"/>
      <c r="AI88" s="629"/>
      <c r="AJ88" s="629"/>
      <c r="AK88" s="629"/>
      <c r="AL88" s="629"/>
      <c r="AM88" s="629"/>
      <c r="AN88" s="629"/>
      <c r="AO88" s="629"/>
      <c r="AP88" s="629"/>
      <c r="AQ88" s="629"/>
      <c r="AR88" s="629"/>
      <c r="AS88" s="629"/>
      <c r="AT88" s="629"/>
      <c r="AU88" s="629"/>
      <c r="AV88" s="629"/>
      <c r="AW88" s="629"/>
      <c r="AX88" s="629"/>
      <c r="AY88" s="629"/>
      <c r="AZ88" s="629"/>
      <c r="BA88" s="629"/>
      <c r="BB88" s="629"/>
      <c r="BC88" s="629"/>
      <c r="BD88" s="629"/>
      <c r="BE88" s="630"/>
      <c r="BF88" s="904"/>
      <c r="BG88" s="905"/>
      <c r="BH88" s="904"/>
      <c r="BI88" s="905"/>
      <c r="BJ88" s="904"/>
      <c r="BK88" s="905"/>
      <c r="BL88" s="904"/>
      <c r="BM88" s="905"/>
      <c r="BN88" s="904"/>
      <c r="BO88" s="905"/>
      <c r="BP88" s="904"/>
      <c r="BQ88" s="905"/>
      <c r="BR88" s="904"/>
      <c r="BS88" s="905"/>
      <c r="BT88" s="904"/>
      <c r="BU88" s="905"/>
      <c r="BV88" s="904"/>
      <c r="BW88" s="905"/>
      <c r="BX88" s="904"/>
      <c r="BY88" s="905"/>
      <c r="BZ88" s="898" t="s">
        <v>520</v>
      </c>
      <c r="CA88" s="899"/>
      <c r="CB88" s="904"/>
      <c r="CC88" s="905"/>
      <c r="CD88" s="5"/>
      <c r="CE88" s="5"/>
    </row>
    <row r="89" spans="1:83" ht="12" customHeight="1">
      <c r="A89" s="3"/>
      <c r="B89" s="3"/>
      <c r="C89" s="3"/>
      <c r="D89" s="3"/>
      <c r="E89" s="5"/>
      <c r="F89" s="34"/>
      <c r="G89" s="3"/>
      <c r="H89" s="3"/>
      <c r="I89" s="3"/>
      <c r="J89" s="3"/>
      <c r="K89" s="33"/>
      <c r="L89" s="32"/>
      <c r="M89" s="31"/>
      <c r="N89" s="31"/>
      <c r="O89" s="31"/>
      <c r="P89" s="31"/>
      <c r="Q89" s="31"/>
      <c r="R89" s="31"/>
      <c r="S89" s="31"/>
      <c r="T89" s="31"/>
      <c r="U89" s="31"/>
      <c r="V89" s="32"/>
      <c r="W89" s="31"/>
      <c r="X89" s="31"/>
      <c r="Y89" s="31"/>
      <c r="Z89" s="30"/>
      <c r="AA89" s="625"/>
      <c r="AB89" s="626"/>
      <c r="AC89" s="626"/>
      <c r="AD89" s="626"/>
      <c r="AE89" s="626"/>
      <c r="AF89" s="626"/>
      <c r="AG89" s="626"/>
      <c r="AH89" s="626"/>
      <c r="AI89" s="626"/>
      <c r="AJ89" s="626"/>
      <c r="AK89" s="626"/>
      <c r="AL89" s="626"/>
      <c r="AM89" s="626"/>
      <c r="AN89" s="626"/>
      <c r="AO89" s="626"/>
      <c r="AP89" s="626"/>
      <c r="AQ89" s="626"/>
      <c r="AR89" s="626"/>
      <c r="AS89" s="626"/>
      <c r="AT89" s="626"/>
      <c r="AU89" s="626"/>
      <c r="AV89" s="626"/>
      <c r="AW89" s="626"/>
      <c r="AX89" s="626"/>
      <c r="AY89" s="626"/>
      <c r="AZ89" s="626"/>
      <c r="BA89" s="626"/>
      <c r="BB89" s="626"/>
      <c r="BC89" s="626"/>
      <c r="BD89" s="626"/>
      <c r="BE89" s="627"/>
      <c r="BF89" s="906"/>
      <c r="BG89" s="907"/>
      <c r="BH89" s="906"/>
      <c r="BI89" s="907"/>
      <c r="BJ89" s="906"/>
      <c r="BK89" s="907"/>
      <c r="BL89" s="906"/>
      <c r="BM89" s="907"/>
      <c r="BN89" s="906"/>
      <c r="BO89" s="907"/>
      <c r="BP89" s="906"/>
      <c r="BQ89" s="907"/>
      <c r="BR89" s="906"/>
      <c r="BS89" s="907"/>
      <c r="BT89" s="906"/>
      <c r="BU89" s="907"/>
      <c r="BV89" s="906"/>
      <c r="BW89" s="907"/>
      <c r="BX89" s="906"/>
      <c r="BY89" s="907"/>
      <c r="BZ89" s="900"/>
      <c r="CA89" s="901"/>
      <c r="CB89" s="906"/>
      <c r="CC89" s="907"/>
      <c r="CD89" s="5"/>
      <c r="CE89" s="5"/>
    </row>
    <row r="90" spans="1:83" ht="12" customHeight="1">
      <c r="A90" s="3"/>
      <c r="B90" s="3"/>
      <c r="C90" s="3"/>
      <c r="D90" s="3"/>
      <c r="E90" s="5"/>
      <c r="F90" s="34"/>
      <c r="G90" s="3"/>
      <c r="H90" s="3"/>
      <c r="I90" s="3"/>
      <c r="J90" s="3"/>
      <c r="K90" s="33"/>
      <c r="L90" s="162" t="s">
        <v>568</v>
      </c>
      <c r="M90" s="163"/>
      <c r="N90" s="163"/>
      <c r="O90" s="163"/>
      <c r="P90" s="163"/>
      <c r="Q90" s="163"/>
      <c r="R90" s="163"/>
      <c r="S90" s="163"/>
      <c r="T90" s="163"/>
      <c r="U90" s="163"/>
      <c r="V90" s="162" t="s">
        <v>559</v>
      </c>
      <c r="W90" s="163"/>
      <c r="X90" s="163"/>
      <c r="Y90" s="163"/>
      <c r="Z90" s="164"/>
      <c r="AA90" s="622" t="s">
        <v>515</v>
      </c>
      <c r="AB90" s="623"/>
      <c r="AC90" s="623"/>
      <c r="AD90" s="623"/>
      <c r="AE90" s="623"/>
      <c r="AF90" s="623"/>
      <c r="AG90" s="623"/>
      <c r="AH90" s="623"/>
      <c r="AI90" s="623"/>
      <c r="AJ90" s="623"/>
      <c r="AK90" s="623"/>
      <c r="AL90" s="623"/>
      <c r="AM90" s="623"/>
      <c r="AN90" s="623"/>
      <c r="AO90" s="623"/>
      <c r="AP90" s="623"/>
      <c r="AQ90" s="623"/>
      <c r="AR90" s="623"/>
      <c r="AS90" s="623"/>
      <c r="AT90" s="623"/>
      <c r="AU90" s="623"/>
      <c r="AV90" s="623"/>
      <c r="AW90" s="623"/>
      <c r="AX90" s="623"/>
      <c r="AY90" s="623"/>
      <c r="AZ90" s="623"/>
      <c r="BA90" s="623"/>
      <c r="BB90" s="623"/>
      <c r="BC90" s="623"/>
      <c r="BD90" s="623"/>
      <c r="BE90" s="623"/>
      <c r="BF90" s="902" t="s">
        <v>508</v>
      </c>
      <c r="BG90" s="903"/>
      <c r="BH90" s="902" t="s">
        <v>507</v>
      </c>
      <c r="BI90" s="903"/>
      <c r="BJ90" s="902" t="s">
        <v>508</v>
      </c>
      <c r="BK90" s="903"/>
      <c r="BL90" s="902" t="s">
        <v>507</v>
      </c>
      <c r="BM90" s="903"/>
      <c r="BN90" s="902" t="s">
        <v>508</v>
      </c>
      <c r="BO90" s="903"/>
      <c r="BP90" s="902" t="s">
        <v>507</v>
      </c>
      <c r="BQ90" s="903"/>
      <c r="BR90" s="902" t="s">
        <v>508</v>
      </c>
      <c r="BS90" s="903"/>
      <c r="BT90" s="902" t="s">
        <v>508</v>
      </c>
      <c r="BU90" s="903"/>
      <c r="BV90" s="902" t="s">
        <v>508</v>
      </c>
      <c r="BW90" s="903"/>
      <c r="BX90" s="902" t="s">
        <v>507</v>
      </c>
      <c r="BY90" s="903"/>
      <c r="BZ90" s="896" t="s">
        <v>508</v>
      </c>
      <c r="CA90" s="897"/>
      <c r="CB90" s="902" t="s">
        <v>508</v>
      </c>
      <c r="CC90" s="903"/>
      <c r="CD90" s="5"/>
      <c r="CE90" s="5"/>
    </row>
    <row r="91" spans="1:83" ht="12" customHeight="1">
      <c r="A91" s="3"/>
      <c r="B91" s="3"/>
      <c r="C91" s="3"/>
      <c r="D91" s="3"/>
      <c r="E91" s="5"/>
      <c r="F91" s="34"/>
      <c r="G91" s="3"/>
      <c r="H91" s="3"/>
      <c r="I91" s="3"/>
      <c r="J91" s="3"/>
      <c r="K91" s="33"/>
      <c r="L91" s="34"/>
      <c r="M91" s="3"/>
      <c r="N91" s="3"/>
      <c r="O91" s="3"/>
      <c r="P91" s="3"/>
      <c r="Q91" s="3"/>
      <c r="R91" s="3"/>
      <c r="S91" s="3"/>
      <c r="T91" s="3"/>
      <c r="U91" s="3"/>
      <c r="V91" s="255"/>
      <c r="W91" s="256"/>
      <c r="X91" s="256"/>
      <c r="Y91" s="256"/>
      <c r="Z91" s="257"/>
      <c r="AA91" s="628"/>
      <c r="AB91" s="629"/>
      <c r="AC91" s="629"/>
      <c r="AD91" s="629"/>
      <c r="AE91" s="629"/>
      <c r="AF91" s="629"/>
      <c r="AG91" s="629"/>
      <c r="AH91" s="629"/>
      <c r="AI91" s="629"/>
      <c r="AJ91" s="629"/>
      <c r="AK91" s="629"/>
      <c r="AL91" s="629"/>
      <c r="AM91" s="629"/>
      <c r="AN91" s="629"/>
      <c r="AO91" s="629"/>
      <c r="AP91" s="629"/>
      <c r="AQ91" s="629"/>
      <c r="AR91" s="629"/>
      <c r="AS91" s="629"/>
      <c r="AT91" s="629"/>
      <c r="AU91" s="629"/>
      <c r="AV91" s="629"/>
      <c r="AW91" s="629"/>
      <c r="AX91" s="629"/>
      <c r="AY91" s="629"/>
      <c r="AZ91" s="629"/>
      <c r="BA91" s="629"/>
      <c r="BB91" s="629"/>
      <c r="BC91" s="629"/>
      <c r="BD91" s="629"/>
      <c r="BE91" s="629"/>
      <c r="BF91" s="904"/>
      <c r="BG91" s="905"/>
      <c r="BH91" s="904"/>
      <c r="BI91" s="905"/>
      <c r="BJ91" s="904"/>
      <c r="BK91" s="905"/>
      <c r="BL91" s="904"/>
      <c r="BM91" s="905"/>
      <c r="BN91" s="904"/>
      <c r="BO91" s="905"/>
      <c r="BP91" s="904"/>
      <c r="BQ91" s="905"/>
      <c r="BR91" s="904"/>
      <c r="BS91" s="905"/>
      <c r="BT91" s="904"/>
      <c r="BU91" s="905"/>
      <c r="BV91" s="904"/>
      <c r="BW91" s="905"/>
      <c r="BX91" s="904"/>
      <c r="BY91" s="905"/>
      <c r="BZ91" s="898"/>
      <c r="CA91" s="899"/>
      <c r="CB91" s="904"/>
      <c r="CC91" s="905"/>
      <c r="CD91" s="5"/>
      <c r="CE91" s="5"/>
    </row>
    <row r="92" spans="1:83" ht="12" customHeight="1">
      <c r="A92" s="3"/>
      <c r="B92" s="3"/>
      <c r="C92" s="3"/>
      <c r="D92" s="3"/>
      <c r="E92" s="5"/>
      <c r="F92" s="34"/>
      <c r="G92" s="3"/>
      <c r="H92" s="3"/>
      <c r="I92" s="3"/>
      <c r="J92" s="3"/>
      <c r="K92" s="33"/>
      <c r="L92" s="34"/>
      <c r="M92" s="3"/>
      <c r="N92" s="3"/>
      <c r="O92" s="3"/>
      <c r="P92" s="3"/>
      <c r="Q92" s="3"/>
      <c r="R92" s="3"/>
      <c r="S92" s="3"/>
      <c r="T92" s="3"/>
      <c r="U92" s="3"/>
      <c r="V92" s="261" t="s">
        <v>560</v>
      </c>
      <c r="W92" s="262"/>
      <c r="X92" s="262"/>
      <c r="Y92" s="262"/>
      <c r="Z92" s="263"/>
      <c r="AA92" s="628"/>
      <c r="AB92" s="629"/>
      <c r="AC92" s="629"/>
      <c r="AD92" s="629"/>
      <c r="AE92" s="629"/>
      <c r="AF92" s="629"/>
      <c r="AG92" s="629"/>
      <c r="AH92" s="629"/>
      <c r="AI92" s="629"/>
      <c r="AJ92" s="629"/>
      <c r="AK92" s="629"/>
      <c r="AL92" s="629"/>
      <c r="AM92" s="629"/>
      <c r="AN92" s="629"/>
      <c r="AO92" s="629"/>
      <c r="AP92" s="629"/>
      <c r="AQ92" s="629"/>
      <c r="AR92" s="629"/>
      <c r="AS92" s="629"/>
      <c r="AT92" s="629"/>
      <c r="AU92" s="629"/>
      <c r="AV92" s="629"/>
      <c r="AW92" s="629"/>
      <c r="AX92" s="629"/>
      <c r="AY92" s="629"/>
      <c r="AZ92" s="629"/>
      <c r="BA92" s="629"/>
      <c r="BB92" s="629"/>
      <c r="BC92" s="629"/>
      <c r="BD92" s="629"/>
      <c r="BE92" s="629"/>
      <c r="BF92" s="904"/>
      <c r="BG92" s="905"/>
      <c r="BH92" s="904"/>
      <c r="BI92" s="905"/>
      <c r="BJ92" s="904"/>
      <c r="BK92" s="905"/>
      <c r="BL92" s="904"/>
      <c r="BM92" s="905"/>
      <c r="BN92" s="904"/>
      <c r="BO92" s="905"/>
      <c r="BP92" s="904"/>
      <c r="BQ92" s="905"/>
      <c r="BR92" s="904"/>
      <c r="BS92" s="905"/>
      <c r="BT92" s="904"/>
      <c r="BU92" s="905"/>
      <c r="BV92" s="904"/>
      <c r="BW92" s="905"/>
      <c r="BX92" s="904"/>
      <c r="BY92" s="905"/>
      <c r="BZ92" s="898" t="s">
        <v>520</v>
      </c>
      <c r="CA92" s="899"/>
      <c r="CB92" s="904"/>
      <c r="CC92" s="905"/>
      <c r="CD92" s="5"/>
      <c r="CE92" s="5"/>
    </row>
    <row r="93" spans="1:83" ht="12" customHeight="1">
      <c r="A93" s="3"/>
      <c r="B93" s="3"/>
      <c r="C93" s="3"/>
      <c r="D93" s="3"/>
      <c r="E93" s="5"/>
      <c r="F93" s="32"/>
      <c r="G93" s="31"/>
      <c r="H93" s="31"/>
      <c r="I93" s="31"/>
      <c r="J93" s="31"/>
      <c r="K93" s="30"/>
      <c r="L93" s="32"/>
      <c r="M93" s="31"/>
      <c r="N93" s="31"/>
      <c r="O93" s="31"/>
      <c r="P93" s="31"/>
      <c r="Q93" s="31"/>
      <c r="R93" s="31"/>
      <c r="S93" s="31"/>
      <c r="T93" s="31"/>
      <c r="U93" s="31"/>
      <c r="V93" s="32"/>
      <c r="W93" s="31"/>
      <c r="X93" s="31"/>
      <c r="Y93" s="31"/>
      <c r="Z93" s="30"/>
      <c r="AA93" s="625"/>
      <c r="AB93" s="626"/>
      <c r="AC93" s="626"/>
      <c r="AD93" s="626"/>
      <c r="AE93" s="626"/>
      <c r="AF93" s="626"/>
      <c r="AG93" s="626"/>
      <c r="AH93" s="626"/>
      <c r="AI93" s="626"/>
      <c r="AJ93" s="626"/>
      <c r="AK93" s="626"/>
      <c r="AL93" s="626"/>
      <c r="AM93" s="626"/>
      <c r="AN93" s="626"/>
      <c r="AO93" s="626"/>
      <c r="AP93" s="626"/>
      <c r="AQ93" s="626"/>
      <c r="AR93" s="626"/>
      <c r="AS93" s="626"/>
      <c r="AT93" s="626"/>
      <c r="AU93" s="626"/>
      <c r="AV93" s="626"/>
      <c r="AW93" s="626"/>
      <c r="AX93" s="626"/>
      <c r="AY93" s="626"/>
      <c r="AZ93" s="626"/>
      <c r="BA93" s="626"/>
      <c r="BB93" s="626"/>
      <c r="BC93" s="626"/>
      <c r="BD93" s="626"/>
      <c r="BE93" s="626"/>
      <c r="BF93" s="906"/>
      <c r="BG93" s="907"/>
      <c r="BH93" s="906"/>
      <c r="BI93" s="907"/>
      <c r="BJ93" s="906"/>
      <c r="BK93" s="907"/>
      <c r="BL93" s="906"/>
      <c r="BM93" s="907"/>
      <c r="BN93" s="906"/>
      <c r="BO93" s="907"/>
      <c r="BP93" s="906"/>
      <c r="BQ93" s="907"/>
      <c r="BR93" s="906"/>
      <c r="BS93" s="907"/>
      <c r="BT93" s="906"/>
      <c r="BU93" s="907"/>
      <c r="BV93" s="906"/>
      <c r="BW93" s="907"/>
      <c r="BX93" s="906"/>
      <c r="BY93" s="907"/>
      <c r="BZ93" s="900"/>
      <c r="CA93" s="901"/>
      <c r="CB93" s="906"/>
      <c r="CC93" s="907"/>
      <c r="CD93" s="5"/>
      <c r="CE93" s="5"/>
    </row>
    <row r="94" spans="1:83" ht="12" customHeight="1">
      <c r="A94" s="3"/>
      <c r="B94" s="3"/>
      <c r="C94" s="3"/>
      <c r="D94" s="3"/>
      <c r="E94" s="5"/>
      <c r="F94" s="3" t="s">
        <v>517</v>
      </c>
      <c r="G94" s="3"/>
      <c r="H94" s="3"/>
      <c r="I94" s="3"/>
      <c r="J94" s="3"/>
      <c r="K94" s="3"/>
      <c r="L94" s="3"/>
      <c r="M94" s="3"/>
      <c r="N94" s="3"/>
      <c r="O94" s="3"/>
      <c r="P94" s="3"/>
      <c r="Q94" s="3"/>
      <c r="R94" s="3"/>
      <c r="S94" s="3"/>
      <c r="T94" s="3"/>
      <c r="U94" s="3"/>
      <c r="V94" s="3"/>
      <c r="W94" s="3"/>
      <c r="X94" s="3"/>
      <c r="Y94" s="3"/>
      <c r="Z94" s="147"/>
      <c r="AA94" s="147"/>
      <c r="AB94" s="147"/>
      <c r="AC94" s="147"/>
      <c r="AD94" s="147"/>
      <c r="AE94" s="147"/>
      <c r="AF94" s="147"/>
      <c r="AG94" s="147"/>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14"/>
      <c r="BE94" s="114"/>
      <c r="BF94" s="114"/>
      <c r="BG94" s="114"/>
      <c r="BH94" s="114"/>
      <c r="BI94" s="114"/>
      <c r="BJ94" s="114"/>
      <c r="BK94" s="114"/>
      <c r="BL94" s="114"/>
      <c r="BM94" s="114"/>
      <c r="BN94" s="114"/>
      <c r="BO94" s="114"/>
      <c r="BP94" s="114"/>
      <c r="BQ94" s="114"/>
      <c r="BR94" s="114"/>
      <c r="BS94" s="114"/>
      <c r="BT94" s="114"/>
      <c r="BU94" s="114"/>
      <c r="BV94" s="114"/>
      <c r="BW94" s="114"/>
      <c r="BX94" s="114"/>
      <c r="BY94" s="114"/>
      <c r="BZ94" s="114"/>
      <c r="CA94" s="114"/>
      <c r="CB94" s="5"/>
      <c r="CC94" s="5"/>
      <c r="CD94" s="5"/>
      <c r="CE94" s="5"/>
    </row>
    <row r="95" spans="1:83" ht="12" customHeight="1">
      <c r="A95" s="3"/>
      <c r="B95" s="3"/>
      <c r="C95" s="3"/>
      <c r="D95" s="3"/>
      <c r="E95" s="5"/>
      <c r="F95" s="3" t="s">
        <v>518</v>
      </c>
      <c r="G95" s="3"/>
      <c r="H95" s="3"/>
      <c r="I95" s="3"/>
      <c r="J95" s="3"/>
      <c r="K95" s="3"/>
      <c r="L95" s="3"/>
      <c r="M95" s="3"/>
      <c r="N95" s="3"/>
      <c r="O95" s="3"/>
      <c r="P95" s="3"/>
      <c r="Q95" s="3"/>
      <c r="R95" s="3"/>
      <c r="S95" s="3"/>
      <c r="T95" s="3"/>
      <c r="U95" s="3"/>
      <c r="V95" s="3"/>
      <c r="W95" s="3"/>
      <c r="X95" s="3"/>
      <c r="Y95" s="3"/>
      <c r="Z95" s="147"/>
      <c r="AA95" s="147"/>
      <c r="AB95" s="147"/>
      <c r="AC95" s="147"/>
      <c r="AD95" s="147"/>
      <c r="AE95" s="147"/>
      <c r="AF95" s="147"/>
      <c r="AG95" s="147"/>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14"/>
      <c r="BE95" s="114"/>
      <c r="BF95" s="114"/>
      <c r="BG95" s="114"/>
      <c r="BH95" s="114"/>
      <c r="BI95" s="114"/>
      <c r="BJ95" s="114"/>
      <c r="BK95" s="114"/>
      <c r="BL95" s="114"/>
      <c r="BM95" s="114"/>
      <c r="BN95" s="114"/>
      <c r="BO95" s="114"/>
      <c r="BP95" s="114"/>
      <c r="BQ95" s="114"/>
      <c r="BR95" s="114"/>
      <c r="BS95" s="114"/>
      <c r="BT95" s="114"/>
      <c r="BU95" s="114"/>
      <c r="BV95" s="114"/>
      <c r="BW95" s="114"/>
      <c r="BX95" s="114"/>
      <c r="BY95" s="114"/>
      <c r="BZ95" s="114"/>
      <c r="CA95" s="114"/>
      <c r="CB95" s="5"/>
      <c r="CC95" s="5"/>
      <c r="CD95" s="5"/>
      <c r="CE95" s="5"/>
    </row>
    <row r="96" spans="1:83" ht="12" customHeight="1">
      <c r="A96" s="3"/>
      <c r="B96" s="3"/>
      <c r="C96" s="3"/>
      <c r="D96" s="3"/>
      <c r="E96" s="5"/>
      <c r="F96" s="5" t="s">
        <v>571</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row>
    <row r="97" spans="1:83" ht="12" customHeight="1">
      <c r="A97" s="3"/>
      <c r="B97" s="3"/>
      <c r="C97" s="3"/>
      <c r="D97" s="3"/>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row>
    <row r="98" spans="1:83" ht="12" customHeight="1">
      <c r="A98" s="3"/>
      <c r="B98" s="3"/>
      <c r="C98" s="3"/>
      <c r="D98" s="3"/>
      <c r="E98" s="5" t="s">
        <v>204</v>
      </c>
      <c r="F98" s="5" t="s">
        <v>646</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row>
    <row r="99" spans="1:83" ht="12" customHeight="1" thickBot="1">
      <c r="A99" s="3"/>
      <c r="B99" s="3"/>
      <c r="C99" s="3"/>
      <c r="D99" s="3"/>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row>
    <row r="100" spans="1:83" ht="12" customHeight="1">
      <c r="A100" s="3"/>
      <c r="B100" s="3"/>
      <c r="C100" s="3"/>
      <c r="D100" s="3"/>
      <c r="E100" s="5"/>
      <c r="Z100" s="908" t="s">
        <v>621</v>
      </c>
      <c r="AA100" s="909"/>
      <c r="AB100" s="909"/>
      <c r="AC100" s="910"/>
      <c r="AD100" s="913" t="s">
        <v>621</v>
      </c>
      <c r="AE100" s="909"/>
      <c r="AF100" s="909"/>
      <c r="AG100" s="914"/>
      <c r="AH100" s="908" t="s">
        <v>621</v>
      </c>
      <c r="AI100" s="909"/>
      <c r="AJ100" s="909"/>
      <c r="AK100" s="914"/>
      <c r="AL100" s="908" t="s">
        <v>621</v>
      </c>
      <c r="AM100" s="909"/>
      <c r="AN100" s="909"/>
      <c r="AO100" s="910"/>
      <c r="AP100" s="913" t="s">
        <v>621</v>
      </c>
      <c r="AQ100" s="909"/>
      <c r="AR100" s="909"/>
      <c r="AS100" s="910"/>
      <c r="AT100" s="913" t="s">
        <v>621</v>
      </c>
      <c r="AU100" s="909"/>
      <c r="AV100" s="909"/>
      <c r="AW100" s="914"/>
      <c r="AX100" s="908" t="s">
        <v>621</v>
      </c>
      <c r="AY100" s="909"/>
      <c r="AZ100" s="909"/>
      <c r="BA100" s="910"/>
      <c r="BB100" s="913" t="s">
        <v>621</v>
      </c>
      <c r="BC100" s="909"/>
      <c r="BD100" s="909"/>
      <c r="BE100" s="914"/>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row>
    <row r="101" spans="1:83" ht="12" customHeight="1" thickBot="1">
      <c r="A101" s="3"/>
      <c r="B101" s="3"/>
      <c r="C101" s="3"/>
      <c r="D101" s="3"/>
      <c r="E101" s="5"/>
      <c r="Z101" s="911"/>
      <c r="AA101" s="912"/>
      <c r="AB101" s="912"/>
      <c r="AC101" s="905"/>
      <c r="AD101" s="904"/>
      <c r="AE101" s="912"/>
      <c r="AF101" s="912"/>
      <c r="AG101" s="915"/>
      <c r="AH101" s="911"/>
      <c r="AI101" s="912"/>
      <c r="AJ101" s="912"/>
      <c r="AK101" s="915"/>
      <c r="AL101" s="911"/>
      <c r="AM101" s="912"/>
      <c r="AN101" s="912"/>
      <c r="AO101" s="905"/>
      <c r="AP101" s="904"/>
      <c r="AQ101" s="912"/>
      <c r="AR101" s="912"/>
      <c r="AS101" s="905"/>
      <c r="AT101" s="904"/>
      <c r="AU101" s="912"/>
      <c r="AV101" s="912"/>
      <c r="AW101" s="915"/>
      <c r="AX101" s="911"/>
      <c r="AY101" s="912"/>
      <c r="AZ101" s="912"/>
      <c r="BA101" s="905"/>
      <c r="BB101" s="904"/>
      <c r="BC101" s="912"/>
      <c r="BD101" s="912"/>
      <c r="BE101" s="91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row>
    <row r="102" spans="1:83" ht="12" customHeight="1">
      <c r="A102" s="3"/>
      <c r="B102" s="3"/>
      <c r="C102" s="3"/>
      <c r="D102" s="3"/>
      <c r="E102" s="5"/>
      <c r="Z102" s="916" t="s">
        <v>617</v>
      </c>
      <c r="AA102" s="917"/>
      <c r="AB102" s="917"/>
      <c r="AC102" s="917"/>
      <c r="AD102" s="917"/>
      <c r="AE102" s="917"/>
      <c r="AF102" s="917"/>
      <c r="AG102" s="918"/>
      <c r="AH102" s="916" t="s">
        <v>618</v>
      </c>
      <c r="AI102" s="917"/>
      <c r="AJ102" s="917"/>
      <c r="AK102" s="918"/>
      <c r="AL102" s="916" t="s">
        <v>619</v>
      </c>
      <c r="AM102" s="917"/>
      <c r="AN102" s="917"/>
      <c r="AO102" s="917"/>
      <c r="AP102" s="917"/>
      <c r="AQ102" s="917"/>
      <c r="AR102" s="917"/>
      <c r="AS102" s="917"/>
      <c r="AT102" s="917"/>
      <c r="AU102" s="917"/>
      <c r="AV102" s="917"/>
      <c r="AW102" s="918"/>
      <c r="AX102" s="916" t="s">
        <v>620</v>
      </c>
      <c r="AY102" s="917"/>
      <c r="AZ102" s="917"/>
      <c r="BA102" s="917"/>
      <c r="BB102" s="917"/>
      <c r="BC102" s="917"/>
      <c r="BD102" s="917"/>
      <c r="BE102" s="918"/>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row>
    <row r="103" spans="1:83" ht="12" customHeight="1">
      <c r="A103" s="3"/>
      <c r="B103" s="3"/>
      <c r="C103" s="3"/>
      <c r="D103" s="3"/>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row>
    <row r="104" spans="1:83" ht="12" customHeight="1">
      <c r="A104" s="3"/>
      <c r="B104" s="3"/>
      <c r="C104" s="3"/>
      <c r="D104" s="3"/>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row>
    <row r="105" spans="1:83" ht="12" customHeight="1">
      <c r="A105" s="3"/>
      <c r="B105" s="3"/>
      <c r="C105" s="3"/>
      <c r="D105" s="3"/>
      <c r="E105" s="5"/>
      <c r="F105" s="171" t="s">
        <v>643</v>
      </c>
      <c r="G105" s="172"/>
      <c r="H105" s="172"/>
      <c r="I105" s="172"/>
      <c r="J105" s="172"/>
      <c r="K105" s="172"/>
      <c r="L105" s="172"/>
      <c r="M105" s="172"/>
      <c r="N105" s="172"/>
      <c r="O105" s="172"/>
      <c r="P105" s="172"/>
      <c r="Q105" s="172"/>
      <c r="R105" s="172"/>
      <c r="S105" s="172"/>
      <c r="T105" s="172"/>
      <c r="U105" s="172"/>
      <c r="V105" s="172"/>
      <c r="W105" s="172"/>
      <c r="X105" s="173"/>
      <c r="Y105" s="5"/>
      <c r="Z105" s="5"/>
      <c r="AA105" s="5"/>
      <c r="AB105" s="171" t="s">
        <v>622</v>
      </c>
      <c r="AC105" s="172"/>
      <c r="AD105" s="172"/>
      <c r="AE105" s="172"/>
      <c r="AF105" s="172"/>
      <c r="AG105" s="172"/>
      <c r="AH105" s="172"/>
      <c r="AI105" s="172"/>
      <c r="AJ105" s="172"/>
      <c r="AK105" s="172"/>
      <c r="AL105" s="172"/>
      <c r="AM105" s="172"/>
      <c r="AN105" s="172"/>
      <c r="AO105" s="172"/>
      <c r="AP105" s="172"/>
      <c r="AQ105" s="173"/>
      <c r="AT105" s="5"/>
      <c r="AU105" s="171" t="s">
        <v>634</v>
      </c>
      <c r="AV105" s="172"/>
      <c r="AW105" s="172"/>
      <c r="AX105" s="172"/>
      <c r="AY105" s="172"/>
      <c r="AZ105" s="172"/>
      <c r="BA105" s="172"/>
      <c r="BB105" s="172"/>
      <c r="BC105" s="172"/>
      <c r="BD105" s="172"/>
      <c r="BE105" s="172"/>
      <c r="BF105" s="172"/>
      <c r="BG105" s="172"/>
      <c r="BH105" s="172"/>
      <c r="BI105" s="172"/>
      <c r="BJ105" s="172"/>
      <c r="BK105" s="172"/>
      <c r="BL105" s="173"/>
      <c r="BM105" s="5"/>
      <c r="BN105" s="5"/>
      <c r="BO105" s="5"/>
      <c r="BP105" s="171" t="s">
        <v>623</v>
      </c>
      <c r="BQ105" s="172"/>
      <c r="BR105" s="172"/>
      <c r="BS105" s="172"/>
      <c r="BT105" s="172"/>
      <c r="BU105" s="172"/>
      <c r="BV105" s="172"/>
      <c r="BW105" s="172"/>
      <c r="BX105" s="172"/>
      <c r="BY105" s="172"/>
      <c r="BZ105" s="172"/>
      <c r="CA105" s="172"/>
      <c r="CB105" s="172"/>
      <c r="CC105" s="173"/>
      <c r="CD105" s="5"/>
      <c r="CE105" s="5"/>
    </row>
    <row r="106" spans="1:83" ht="12" customHeight="1">
      <c r="A106" s="3"/>
      <c r="B106" s="3"/>
      <c r="C106" s="3"/>
      <c r="D106" s="3"/>
      <c r="E106" s="5"/>
      <c r="F106" s="58" t="s">
        <v>624</v>
      </c>
      <c r="G106" s="57"/>
      <c r="H106" s="57"/>
      <c r="I106" s="57"/>
      <c r="J106" s="57"/>
      <c r="K106" s="57"/>
      <c r="L106" s="57"/>
      <c r="M106" s="57"/>
      <c r="N106" s="57"/>
      <c r="O106" s="57"/>
      <c r="P106" s="57"/>
      <c r="Q106" s="57"/>
      <c r="R106" s="57"/>
      <c r="S106" s="58" t="s">
        <v>629</v>
      </c>
      <c r="T106" s="57"/>
      <c r="U106" s="57"/>
      <c r="V106" s="57"/>
      <c r="W106" s="57"/>
      <c r="X106" s="56"/>
      <c r="Y106" s="5"/>
      <c r="Z106" s="5"/>
      <c r="AA106" s="5"/>
      <c r="AB106" s="58" t="s">
        <v>631</v>
      </c>
      <c r="AC106" s="57"/>
      <c r="AD106" s="57"/>
      <c r="AE106" s="57"/>
      <c r="AF106" s="57"/>
      <c r="AG106" s="57"/>
      <c r="AH106" s="57"/>
      <c r="AI106" s="57"/>
      <c r="AJ106" s="57"/>
      <c r="AK106" s="57"/>
      <c r="AL106" s="58" t="s">
        <v>630</v>
      </c>
      <c r="AM106" s="57"/>
      <c r="AN106" s="57"/>
      <c r="AO106" s="57"/>
      <c r="AP106" s="57"/>
      <c r="AQ106" s="56"/>
      <c r="AT106" s="5"/>
      <c r="AU106" s="58" t="s">
        <v>491</v>
      </c>
      <c r="AV106" s="57"/>
      <c r="AW106" s="57"/>
      <c r="AX106" s="57"/>
      <c r="AY106" s="57"/>
      <c r="AZ106" s="57"/>
      <c r="BA106" s="57"/>
      <c r="BB106" s="57"/>
      <c r="BC106" s="57"/>
      <c r="BD106" s="57"/>
      <c r="BE106" s="57"/>
      <c r="BF106" s="56"/>
      <c r="BG106" s="58" t="s">
        <v>630</v>
      </c>
      <c r="BH106" s="57"/>
      <c r="BI106" s="57"/>
      <c r="BJ106" s="57"/>
      <c r="BK106" s="57"/>
      <c r="BL106" s="56"/>
      <c r="BP106" s="58" t="s">
        <v>640</v>
      </c>
      <c r="BQ106" s="57"/>
      <c r="BR106" s="57"/>
      <c r="BS106" s="57"/>
      <c r="BT106" s="57"/>
      <c r="BU106" s="57"/>
      <c r="BV106" s="56"/>
      <c r="BW106" s="57" t="s">
        <v>641</v>
      </c>
      <c r="BX106" s="57"/>
      <c r="BY106" s="57"/>
      <c r="BZ106" s="57"/>
      <c r="CA106" s="57"/>
      <c r="CB106" s="57"/>
      <c r="CC106" s="56"/>
    </row>
    <row r="107" spans="1:83" ht="12" customHeight="1">
      <c r="A107" s="3"/>
      <c r="B107" s="3"/>
      <c r="C107" s="3"/>
      <c r="D107" s="3"/>
      <c r="E107" s="5"/>
      <c r="F107" s="165" t="s">
        <v>626</v>
      </c>
      <c r="G107" s="166"/>
      <c r="H107" s="166"/>
      <c r="I107" s="166"/>
      <c r="J107" s="166"/>
      <c r="K107" s="166"/>
      <c r="L107" s="166"/>
      <c r="M107" s="166"/>
      <c r="N107" s="166"/>
      <c r="O107" s="166"/>
      <c r="P107" s="166"/>
      <c r="Q107" s="166"/>
      <c r="R107" s="166"/>
      <c r="S107" s="165" t="s">
        <v>628</v>
      </c>
      <c r="T107" s="166"/>
      <c r="U107" s="166"/>
      <c r="V107" s="166"/>
      <c r="W107" s="166"/>
      <c r="X107" s="167"/>
      <c r="Y107" s="5"/>
      <c r="Z107" s="5"/>
      <c r="AA107" s="5"/>
      <c r="AB107" s="165" t="s">
        <v>632</v>
      </c>
      <c r="AC107" s="166"/>
      <c r="AD107" s="166"/>
      <c r="AE107" s="166"/>
      <c r="AF107" s="166"/>
      <c r="AG107" s="166"/>
      <c r="AH107" s="166"/>
      <c r="AI107" s="166"/>
      <c r="AJ107" s="166"/>
      <c r="AK107" s="166"/>
      <c r="AL107" s="165" t="s">
        <v>647</v>
      </c>
      <c r="AM107" s="166"/>
      <c r="AN107" s="166"/>
      <c r="AO107" s="166"/>
      <c r="AP107" s="166"/>
      <c r="AQ107" s="167"/>
      <c r="AT107" s="5"/>
      <c r="AU107" s="165" t="s">
        <v>635</v>
      </c>
      <c r="AV107" s="166"/>
      <c r="AW107" s="166"/>
      <c r="AX107" s="166"/>
      <c r="AY107" s="166"/>
      <c r="AZ107" s="166"/>
      <c r="BA107" s="166"/>
      <c r="BB107" s="166"/>
      <c r="BC107" s="166"/>
      <c r="BD107" s="166"/>
      <c r="BE107" s="166"/>
      <c r="BF107" s="167"/>
      <c r="BG107" s="165" t="s">
        <v>644</v>
      </c>
      <c r="BH107" s="166"/>
      <c r="BI107" s="166"/>
      <c r="BJ107" s="166"/>
      <c r="BK107" s="166"/>
      <c r="BL107" s="167"/>
      <c r="BP107" s="32" t="s">
        <v>642</v>
      </c>
      <c r="BQ107" s="31"/>
      <c r="BR107" s="31"/>
      <c r="BS107" s="31"/>
      <c r="BT107" s="31"/>
      <c r="BU107" s="31"/>
      <c r="BV107" s="30"/>
      <c r="BW107" s="31" t="s">
        <v>642</v>
      </c>
      <c r="BX107" s="31"/>
      <c r="BY107" s="31"/>
      <c r="BZ107" s="31"/>
      <c r="CA107" s="31"/>
      <c r="CB107" s="31"/>
      <c r="CC107" s="30"/>
    </row>
    <row r="108" spans="1:83" ht="12" customHeight="1">
      <c r="A108" s="3"/>
      <c r="B108" s="3"/>
      <c r="C108" s="3"/>
      <c r="D108" s="3"/>
      <c r="E108" s="5"/>
      <c r="F108" s="165" t="s">
        <v>625</v>
      </c>
      <c r="G108" s="166"/>
      <c r="H108" s="166"/>
      <c r="I108" s="166"/>
      <c r="J108" s="166"/>
      <c r="K108" s="166"/>
      <c r="L108" s="166"/>
      <c r="M108" s="166"/>
      <c r="N108" s="166"/>
      <c r="O108" s="166"/>
      <c r="P108" s="166"/>
      <c r="Q108" s="166"/>
      <c r="R108" s="166"/>
      <c r="S108" s="165" t="s">
        <v>627</v>
      </c>
      <c r="T108" s="166"/>
      <c r="U108" s="166"/>
      <c r="V108" s="166"/>
      <c r="W108" s="166"/>
      <c r="X108" s="167"/>
      <c r="Y108" s="5"/>
      <c r="Z108" s="5"/>
      <c r="AA108" s="5"/>
      <c r="AT108" s="5"/>
      <c r="AU108" s="165" t="s">
        <v>636</v>
      </c>
      <c r="AV108" s="166"/>
      <c r="AW108" s="166"/>
      <c r="AX108" s="166"/>
      <c r="AY108" s="166"/>
      <c r="AZ108" s="166"/>
      <c r="BA108" s="166"/>
      <c r="BB108" s="166"/>
      <c r="BC108" s="166"/>
      <c r="BD108" s="166"/>
      <c r="BE108" s="166"/>
      <c r="BF108" s="167"/>
      <c r="BG108" s="165" t="s">
        <v>645</v>
      </c>
      <c r="BH108" s="166"/>
      <c r="BI108" s="166"/>
      <c r="BJ108" s="166"/>
      <c r="BK108" s="166"/>
      <c r="BL108" s="167"/>
    </row>
    <row r="109" spans="1:83" ht="12" customHeight="1">
      <c r="A109" s="3"/>
      <c r="B109" s="3"/>
      <c r="C109" s="3"/>
      <c r="D109" s="3"/>
      <c r="E109" s="5"/>
      <c r="Y109" s="5"/>
      <c r="Z109" s="5"/>
      <c r="AA109" s="5"/>
      <c r="AT109" s="5"/>
      <c r="AU109" s="165" t="s">
        <v>637</v>
      </c>
      <c r="AV109" s="166"/>
      <c r="AW109" s="166"/>
      <c r="AX109" s="166"/>
      <c r="AY109" s="166"/>
      <c r="AZ109" s="166"/>
      <c r="BA109" s="166"/>
      <c r="BB109" s="166"/>
      <c r="BC109" s="166"/>
      <c r="BD109" s="166"/>
      <c r="BE109" s="166"/>
      <c r="BF109" s="167"/>
      <c r="BG109" s="165" t="s">
        <v>638</v>
      </c>
      <c r="BH109" s="166"/>
      <c r="BI109" s="166"/>
      <c r="BJ109" s="166"/>
      <c r="BK109" s="166"/>
      <c r="BL109" s="167"/>
    </row>
    <row r="110" spans="1:83" ht="12" customHeight="1">
      <c r="A110" s="3"/>
      <c r="B110" s="3"/>
      <c r="C110" s="3"/>
      <c r="D110" s="3"/>
      <c r="E110" s="5"/>
      <c r="V110" s="5"/>
      <c r="W110" s="5"/>
      <c r="X110" s="5"/>
      <c r="Y110" s="5"/>
      <c r="Z110" s="5"/>
      <c r="AA110" s="5"/>
      <c r="AT110" s="5"/>
      <c r="AU110" s="165" t="s">
        <v>648</v>
      </c>
      <c r="AV110" s="166"/>
      <c r="AW110" s="166"/>
      <c r="AX110" s="166"/>
      <c r="AY110" s="166"/>
      <c r="AZ110" s="166"/>
      <c r="BA110" s="166"/>
      <c r="BB110" s="166"/>
      <c r="BC110" s="166"/>
      <c r="BD110" s="166"/>
      <c r="BE110" s="166"/>
      <c r="BF110" s="167"/>
      <c r="BG110" s="165" t="s">
        <v>639</v>
      </c>
      <c r="BH110" s="166"/>
      <c r="BI110" s="166"/>
      <c r="BJ110" s="166"/>
      <c r="BK110" s="166"/>
      <c r="BL110" s="167"/>
    </row>
    <row r="111" spans="1:83" ht="12" customHeight="1">
      <c r="A111" s="3"/>
      <c r="B111" s="3"/>
      <c r="C111" s="3"/>
      <c r="D111" s="3"/>
      <c r="E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row>
    <row r="112" spans="1:83" ht="12" customHeight="1">
      <c r="A112" s="3"/>
      <c r="B112" s="3"/>
      <c r="C112" s="3"/>
      <c r="D112" s="3"/>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row>
    <row r="113" spans="1:85" ht="12" customHeight="1">
      <c r="A113" s="3"/>
      <c r="B113" s="3"/>
      <c r="C113" s="3"/>
      <c r="D113" s="3"/>
      <c r="E113" s="5" t="s">
        <v>204</v>
      </c>
      <c r="F113" s="5" t="s">
        <v>649</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row>
    <row r="114" spans="1:85" ht="12" customHeight="1">
      <c r="A114" s="3"/>
      <c r="B114" s="3"/>
      <c r="C114" s="3"/>
      <c r="D114" s="3"/>
      <c r="E114" s="5" t="s">
        <v>204</v>
      </c>
      <c r="F114" s="5" t="s">
        <v>650</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row>
    <row r="115" spans="1:85" ht="12" customHeight="1">
      <c r="A115" s="3"/>
      <c r="B115" s="3"/>
      <c r="C115" s="3"/>
      <c r="D115" s="3"/>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row>
    <row r="116" spans="1:85" ht="12" customHeight="1">
      <c r="A116" s="3"/>
      <c r="B116" s="3"/>
      <c r="C116" s="3"/>
      <c r="D116" s="3"/>
      <c r="E116" s="5"/>
      <c r="F116" s="877" t="s">
        <v>483</v>
      </c>
      <c r="G116" s="878"/>
      <c r="H116" s="878"/>
      <c r="I116" s="878"/>
      <c r="J116" s="878"/>
      <c r="K116" s="879"/>
      <c r="L116" s="877" t="s">
        <v>491</v>
      </c>
      <c r="M116" s="878"/>
      <c r="N116" s="878"/>
      <c r="O116" s="878"/>
      <c r="P116" s="878"/>
      <c r="Q116" s="878"/>
      <c r="R116" s="878"/>
      <c r="S116" s="878"/>
      <c r="T116" s="878"/>
      <c r="U116" s="878"/>
      <c r="V116" s="878"/>
      <c r="W116" s="878"/>
      <c r="X116" s="878"/>
      <c r="Y116" s="878"/>
      <c r="Z116" s="878"/>
      <c r="AA116" s="616" t="s">
        <v>612</v>
      </c>
      <c r="AB116" s="878"/>
      <c r="AC116" s="878"/>
      <c r="AD116" s="878"/>
      <c r="AE116" s="878"/>
      <c r="AF116" s="878"/>
      <c r="AG116" s="878"/>
      <c r="AH116" s="878"/>
      <c r="AI116" s="879"/>
      <c r="AJ116" s="632" t="s">
        <v>511</v>
      </c>
      <c r="AK116" s="632"/>
      <c r="AL116" s="632"/>
      <c r="AM116" s="632"/>
      <c r="AN116" s="632"/>
      <c r="AO116" s="632"/>
      <c r="AP116" s="632"/>
      <c r="AQ116" s="632"/>
      <c r="AR116" s="632"/>
      <c r="AS116" s="632"/>
      <c r="AT116" s="632"/>
      <c r="AU116" s="632"/>
      <c r="AV116" s="632"/>
      <c r="AW116" s="632"/>
      <c r="AX116" s="632"/>
      <c r="AY116" s="632"/>
      <c r="AZ116" s="632"/>
      <c r="BA116" s="632"/>
      <c r="BB116" s="632"/>
      <c r="BC116" s="632"/>
      <c r="BD116" s="632"/>
      <c r="BE116" s="632"/>
      <c r="BF116" s="632"/>
      <c r="BG116" s="633"/>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row>
    <row r="117" spans="1:85" ht="12" customHeight="1">
      <c r="A117" s="3"/>
      <c r="B117" s="3"/>
      <c r="C117" s="3"/>
      <c r="D117" s="3"/>
      <c r="E117" s="5"/>
      <c r="F117" s="883"/>
      <c r="G117" s="884"/>
      <c r="H117" s="884"/>
      <c r="I117" s="884"/>
      <c r="J117" s="884"/>
      <c r="K117" s="885"/>
      <c r="L117" s="883"/>
      <c r="M117" s="884"/>
      <c r="N117" s="884"/>
      <c r="O117" s="884"/>
      <c r="P117" s="884"/>
      <c r="Q117" s="884"/>
      <c r="R117" s="884"/>
      <c r="S117" s="884"/>
      <c r="T117" s="884"/>
      <c r="U117" s="884"/>
      <c r="V117" s="884"/>
      <c r="W117" s="884"/>
      <c r="X117" s="884"/>
      <c r="Y117" s="884"/>
      <c r="Z117" s="884"/>
      <c r="AA117" s="883"/>
      <c r="AB117" s="884"/>
      <c r="AC117" s="884"/>
      <c r="AD117" s="884"/>
      <c r="AE117" s="884"/>
      <c r="AF117" s="884"/>
      <c r="AG117" s="884"/>
      <c r="AH117" s="884"/>
      <c r="AI117" s="885"/>
      <c r="AJ117" s="632" t="s">
        <v>489</v>
      </c>
      <c r="AK117" s="632"/>
      <c r="AL117" s="632"/>
      <c r="AM117" s="632"/>
      <c r="AN117" s="632"/>
      <c r="AO117" s="633"/>
      <c r="AP117" s="631" t="s">
        <v>50</v>
      </c>
      <c r="AQ117" s="632"/>
      <c r="AR117" s="632"/>
      <c r="AS117" s="632"/>
      <c r="AT117" s="632"/>
      <c r="AU117" s="633"/>
      <c r="AV117" s="631" t="s">
        <v>490</v>
      </c>
      <c r="AW117" s="632"/>
      <c r="AX117" s="632"/>
      <c r="AY117" s="632"/>
      <c r="AZ117" s="632"/>
      <c r="BA117" s="633"/>
      <c r="BB117" s="631" t="s">
        <v>237</v>
      </c>
      <c r="BC117" s="632"/>
      <c r="BD117" s="632"/>
      <c r="BE117" s="632"/>
      <c r="BF117" s="632"/>
      <c r="BG117" s="633"/>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row>
    <row r="118" spans="1:85" ht="12" customHeight="1">
      <c r="A118" s="3"/>
      <c r="B118" s="3"/>
      <c r="C118" s="3"/>
      <c r="D118" s="3"/>
      <c r="E118" s="5"/>
      <c r="F118" s="34" t="s">
        <v>492</v>
      </c>
      <c r="G118" s="3"/>
      <c r="H118" s="3"/>
      <c r="I118" s="3"/>
      <c r="J118" s="3"/>
      <c r="K118" s="33"/>
      <c r="L118" s="34" t="s">
        <v>563</v>
      </c>
      <c r="M118" s="3"/>
      <c r="N118" s="3"/>
      <c r="O118" s="3"/>
      <c r="P118" s="3"/>
      <c r="Q118" s="3"/>
      <c r="R118" s="3"/>
      <c r="S118" s="3"/>
      <c r="T118" s="3"/>
      <c r="U118" s="3"/>
      <c r="V118" s="31"/>
      <c r="W118" s="31"/>
      <c r="X118" s="31"/>
      <c r="Y118" s="31"/>
      <c r="Z118" s="30"/>
      <c r="AA118" s="32" t="s">
        <v>611</v>
      </c>
      <c r="AB118" s="31"/>
      <c r="AC118" s="31"/>
      <c r="AD118" s="31"/>
      <c r="AE118" s="31"/>
      <c r="AF118" s="31"/>
      <c r="AG118" s="31"/>
      <c r="AH118" s="31"/>
      <c r="AI118" s="31"/>
      <c r="AJ118" s="893">
        <v>20</v>
      </c>
      <c r="AK118" s="894"/>
      <c r="AL118" s="894"/>
      <c r="AM118" s="894"/>
      <c r="AN118" s="894"/>
      <c r="AO118" s="895"/>
      <c r="AP118" s="893">
        <v>20</v>
      </c>
      <c r="AQ118" s="894"/>
      <c r="AR118" s="894"/>
      <c r="AS118" s="894"/>
      <c r="AT118" s="894"/>
      <c r="AU118" s="895"/>
      <c r="AV118" s="893">
        <v>20</v>
      </c>
      <c r="AW118" s="894"/>
      <c r="AX118" s="894"/>
      <c r="AY118" s="894"/>
      <c r="AZ118" s="894"/>
      <c r="BA118" s="895"/>
      <c r="BB118" s="893">
        <v>10</v>
      </c>
      <c r="BC118" s="894"/>
      <c r="BD118" s="894"/>
      <c r="BE118" s="894"/>
      <c r="BF118" s="894"/>
      <c r="BG118" s="89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row>
    <row r="119" spans="1:85" ht="12" customHeight="1">
      <c r="A119" s="3"/>
      <c r="B119" s="3"/>
      <c r="C119" s="3"/>
      <c r="D119" s="3"/>
      <c r="E119" s="5"/>
      <c r="F119" s="32"/>
      <c r="G119" s="31"/>
      <c r="H119" s="31"/>
      <c r="I119" s="31"/>
      <c r="J119" s="31"/>
      <c r="K119" s="30"/>
      <c r="L119" s="32"/>
      <c r="M119" s="31"/>
      <c r="N119" s="31"/>
      <c r="O119" s="31"/>
      <c r="P119" s="31"/>
      <c r="Q119" s="31"/>
      <c r="R119" s="31"/>
      <c r="S119" s="31"/>
      <c r="T119" s="31"/>
      <c r="U119" s="30"/>
      <c r="V119" s="165" t="s">
        <v>607</v>
      </c>
      <c r="W119" s="166"/>
      <c r="X119" s="166"/>
      <c r="Y119" s="166"/>
      <c r="Z119" s="167"/>
      <c r="AA119" s="165" t="s">
        <v>614</v>
      </c>
      <c r="AB119" s="166"/>
      <c r="AC119" s="166"/>
      <c r="AD119" s="166"/>
      <c r="AE119" s="166"/>
      <c r="AF119" s="166"/>
      <c r="AG119" s="166"/>
      <c r="AH119" s="166"/>
      <c r="AI119" s="166"/>
      <c r="AJ119" s="893">
        <v>10</v>
      </c>
      <c r="AK119" s="894"/>
      <c r="AL119" s="894"/>
      <c r="AM119" s="894"/>
      <c r="AN119" s="894"/>
      <c r="AO119" s="895"/>
      <c r="AP119" s="893">
        <v>10</v>
      </c>
      <c r="AQ119" s="894"/>
      <c r="AR119" s="894"/>
      <c r="AS119" s="894"/>
      <c r="AT119" s="894"/>
      <c r="AU119" s="895"/>
      <c r="AV119" s="893">
        <v>10</v>
      </c>
      <c r="AW119" s="894"/>
      <c r="AX119" s="894"/>
      <c r="AY119" s="894"/>
      <c r="AZ119" s="894"/>
      <c r="BA119" s="895"/>
      <c r="BB119" s="893">
        <v>10</v>
      </c>
      <c r="BC119" s="894"/>
      <c r="BD119" s="894"/>
      <c r="BE119" s="894"/>
      <c r="BF119" s="894"/>
      <c r="BG119" s="89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row>
    <row r="120" spans="1:85" ht="12" customHeight="1">
      <c r="A120" s="3"/>
      <c r="B120" s="3"/>
      <c r="C120" s="3"/>
      <c r="D120" s="3"/>
      <c r="E120" s="5"/>
      <c r="F120" s="162" t="s">
        <v>493</v>
      </c>
      <c r="G120" s="163"/>
      <c r="H120" s="163"/>
      <c r="I120" s="163"/>
      <c r="J120" s="163"/>
      <c r="K120" s="164"/>
      <c r="L120" s="162" t="s">
        <v>562</v>
      </c>
      <c r="M120" s="163"/>
      <c r="N120" s="163"/>
      <c r="O120" s="163"/>
      <c r="P120" s="163"/>
      <c r="Q120" s="163"/>
      <c r="R120" s="163"/>
      <c r="S120" s="163"/>
      <c r="T120" s="163"/>
      <c r="U120" s="163"/>
      <c r="V120" s="166"/>
      <c r="W120" s="166"/>
      <c r="X120" s="166"/>
      <c r="Y120" s="166"/>
      <c r="Z120" s="167"/>
      <c r="AA120" s="165" t="s">
        <v>608</v>
      </c>
      <c r="AB120" s="166"/>
      <c r="AC120" s="166"/>
      <c r="AD120" s="166"/>
      <c r="AE120" s="166"/>
      <c r="AF120" s="166"/>
      <c r="AG120" s="166"/>
      <c r="AH120" s="166"/>
      <c r="AI120" s="166"/>
      <c r="AJ120" s="893">
        <v>20</v>
      </c>
      <c r="AK120" s="894"/>
      <c r="AL120" s="894"/>
      <c r="AM120" s="894"/>
      <c r="AN120" s="894"/>
      <c r="AO120" s="895"/>
      <c r="AP120" s="893">
        <v>20</v>
      </c>
      <c r="AQ120" s="894"/>
      <c r="AR120" s="894"/>
      <c r="AS120" s="894"/>
      <c r="AT120" s="894"/>
      <c r="AU120" s="895"/>
      <c r="AV120" s="893">
        <v>20</v>
      </c>
      <c r="AW120" s="894"/>
      <c r="AX120" s="894"/>
      <c r="AY120" s="894"/>
      <c r="AZ120" s="894"/>
      <c r="BA120" s="895"/>
      <c r="BB120" s="893">
        <v>10</v>
      </c>
      <c r="BC120" s="894"/>
      <c r="BD120" s="894"/>
      <c r="BE120" s="894"/>
      <c r="BF120" s="894"/>
      <c r="BG120" s="89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row>
    <row r="121" spans="1:85" ht="12" customHeight="1">
      <c r="A121" s="3"/>
      <c r="B121" s="3"/>
      <c r="C121" s="3"/>
      <c r="D121" s="3"/>
      <c r="E121" s="5"/>
      <c r="F121" s="32"/>
      <c r="G121" s="31"/>
      <c r="H121" s="31"/>
      <c r="I121" s="31"/>
      <c r="J121" s="31"/>
      <c r="K121" s="30"/>
      <c r="L121" s="32"/>
      <c r="M121" s="31"/>
      <c r="N121" s="31"/>
      <c r="O121" s="31"/>
      <c r="P121" s="31"/>
      <c r="Q121" s="31"/>
      <c r="R121" s="31"/>
      <c r="S121" s="31"/>
      <c r="T121" s="31"/>
      <c r="U121" s="30"/>
      <c r="V121" s="165" t="s">
        <v>607</v>
      </c>
      <c r="W121" s="166"/>
      <c r="X121" s="166"/>
      <c r="Y121" s="166"/>
      <c r="Z121" s="167"/>
      <c r="AA121" s="165" t="s">
        <v>615</v>
      </c>
      <c r="AB121" s="166"/>
      <c r="AC121" s="166"/>
      <c r="AD121" s="166"/>
      <c r="AE121" s="166"/>
      <c r="AF121" s="166"/>
      <c r="AG121" s="166"/>
      <c r="AH121" s="166"/>
      <c r="AI121" s="166"/>
      <c r="AJ121" s="893">
        <v>10</v>
      </c>
      <c r="AK121" s="894"/>
      <c r="AL121" s="894"/>
      <c r="AM121" s="894"/>
      <c r="AN121" s="894"/>
      <c r="AO121" s="895"/>
      <c r="AP121" s="893">
        <v>10</v>
      </c>
      <c r="AQ121" s="894"/>
      <c r="AR121" s="894"/>
      <c r="AS121" s="894"/>
      <c r="AT121" s="894"/>
      <c r="AU121" s="895"/>
      <c r="AV121" s="893">
        <v>10</v>
      </c>
      <c r="AW121" s="894"/>
      <c r="AX121" s="894"/>
      <c r="AY121" s="894"/>
      <c r="AZ121" s="894"/>
      <c r="BA121" s="895"/>
      <c r="BB121" s="893">
        <v>10</v>
      </c>
      <c r="BC121" s="894"/>
      <c r="BD121" s="894"/>
      <c r="BE121" s="894"/>
      <c r="BF121" s="894"/>
      <c r="BG121" s="89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row>
    <row r="122" spans="1:85" ht="12" customHeight="1">
      <c r="A122" s="3"/>
      <c r="B122" s="3"/>
      <c r="C122" s="3"/>
      <c r="D122" s="3"/>
      <c r="E122" s="5"/>
      <c r="F122" s="162" t="s">
        <v>494</v>
      </c>
      <c r="G122" s="163"/>
      <c r="H122" s="163"/>
      <c r="I122" s="163"/>
      <c r="J122" s="163"/>
      <c r="K122" s="164"/>
      <c r="L122" s="166" t="s">
        <v>487</v>
      </c>
      <c r="M122" s="166"/>
      <c r="N122" s="166"/>
      <c r="O122" s="166"/>
      <c r="P122" s="166"/>
      <c r="Q122" s="166"/>
      <c r="R122" s="166"/>
      <c r="S122" s="166"/>
      <c r="T122" s="166"/>
      <c r="U122" s="166"/>
      <c r="V122" s="166"/>
      <c r="W122" s="166"/>
      <c r="X122" s="166"/>
      <c r="Y122" s="166"/>
      <c r="Z122" s="167"/>
      <c r="AA122" s="165" t="s">
        <v>609</v>
      </c>
      <c r="AB122" s="166"/>
      <c r="AC122" s="166"/>
      <c r="AD122" s="166"/>
      <c r="AE122" s="166"/>
      <c r="AF122" s="166"/>
      <c r="AG122" s="166"/>
      <c r="AH122" s="166"/>
      <c r="AI122" s="166"/>
      <c r="AJ122" s="893">
        <v>10</v>
      </c>
      <c r="AK122" s="894"/>
      <c r="AL122" s="894"/>
      <c r="AM122" s="894"/>
      <c r="AN122" s="894"/>
      <c r="AO122" s="895"/>
      <c r="AP122" s="893">
        <v>10</v>
      </c>
      <c r="AQ122" s="894"/>
      <c r="AR122" s="894"/>
      <c r="AS122" s="894"/>
      <c r="AT122" s="894"/>
      <c r="AU122" s="895"/>
      <c r="AV122" s="893">
        <v>10</v>
      </c>
      <c r="AW122" s="894"/>
      <c r="AX122" s="894"/>
      <c r="AY122" s="894"/>
      <c r="AZ122" s="894"/>
      <c r="BA122" s="895"/>
      <c r="BB122" s="893">
        <v>10</v>
      </c>
      <c r="BC122" s="894"/>
      <c r="BD122" s="894"/>
      <c r="BE122" s="894"/>
      <c r="BF122" s="894"/>
      <c r="BG122" s="89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row>
    <row r="123" spans="1:85" ht="12" customHeight="1">
      <c r="A123" s="3"/>
      <c r="B123" s="3"/>
      <c r="C123" s="3"/>
      <c r="D123" s="3"/>
      <c r="E123" s="5"/>
      <c r="F123" s="32"/>
      <c r="G123" s="31"/>
      <c r="H123" s="31"/>
      <c r="I123" s="31"/>
      <c r="J123" s="31"/>
      <c r="K123" s="30"/>
      <c r="L123" s="166" t="s">
        <v>488</v>
      </c>
      <c r="M123" s="166"/>
      <c r="N123" s="166"/>
      <c r="O123" s="166"/>
      <c r="P123" s="166"/>
      <c r="Q123" s="166"/>
      <c r="R123" s="166"/>
      <c r="S123" s="166"/>
      <c r="T123" s="166"/>
      <c r="U123" s="166"/>
      <c r="V123" s="166"/>
      <c r="W123" s="166"/>
      <c r="X123" s="166"/>
      <c r="Y123" s="166"/>
      <c r="Z123" s="167"/>
      <c r="AA123" s="165" t="s">
        <v>610</v>
      </c>
      <c r="AB123" s="166"/>
      <c r="AC123" s="166"/>
      <c r="AD123" s="166"/>
      <c r="AE123" s="166"/>
      <c r="AF123" s="166"/>
      <c r="AG123" s="166"/>
      <c r="AH123" s="166"/>
      <c r="AI123" s="166"/>
      <c r="AJ123" s="893">
        <v>10</v>
      </c>
      <c r="AK123" s="894"/>
      <c r="AL123" s="894"/>
      <c r="AM123" s="894"/>
      <c r="AN123" s="894"/>
      <c r="AO123" s="895"/>
      <c r="AP123" s="893">
        <v>10</v>
      </c>
      <c r="AQ123" s="894"/>
      <c r="AR123" s="894"/>
      <c r="AS123" s="894"/>
      <c r="AT123" s="894"/>
      <c r="AU123" s="895"/>
      <c r="AV123" s="893">
        <v>10</v>
      </c>
      <c r="AW123" s="894"/>
      <c r="AX123" s="894"/>
      <c r="AY123" s="894"/>
      <c r="AZ123" s="894"/>
      <c r="BA123" s="895"/>
      <c r="BB123" s="893">
        <v>10</v>
      </c>
      <c r="BC123" s="894"/>
      <c r="BD123" s="894"/>
      <c r="BE123" s="894"/>
      <c r="BF123" s="894"/>
      <c r="BG123" s="89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row>
    <row r="124" spans="1:85" ht="12" customHeight="1">
      <c r="A124" s="3"/>
      <c r="B124" s="3"/>
      <c r="C124" s="3"/>
      <c r="D124" s="3"/>
      <c r="E124" s="5"/>
      <c r="F124" s="5" t="s">
        <v>613</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row>
    <row r="125" spans="1:85" ht="12" customHeight="1">
      <c r="A125" s="3"/>
      <c r="B125" s="3"/>
      <c r="C125" s="3"/>
      <c r="D125" s="3"/>
      <c r="E125" s="5"/>
      <c r="F125" s="5" t="s">
        <v>616</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row>
    <row r="126" spans="1:85" ht="12" customHeight="1">
      <c r="A126" s="3"/>
      <c r="B126" s="3"/>
      <c r="C126" s="3"/>
      <c r="D126" s="3"/>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row>
    <row r="127" spans="1:85" ht="12" customHeight="1">
      <c r="A127" s="3"/>
      <c r="B127" s="3"/>
      <c r="C127" s="3"/>
      <c r="D127" s="3" t="s">
        <v>540</v>
      </c>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3"/>
      <c r="B128" s="3"/>
      <c r="C128" s="3"/>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3"/>
      <c r="B129" s="3"/>
      <c r="C129" s="3"/>
      <c r="D129" s="3"/>
      <c r="E129" s="3" t="s">
        <v>354</v>
      </c>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3"/>
      <c r="B130" s="3"/>
      <c r="C130" s="3"/>
      <c r="D130" s="3"/>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3"/>
      <c r="B131" s="3"/>
      <c r="C131" s="3"/>
      <c r="D131" s="5"/>
      <c r="E131" s="3" t="s">
        <v>353</v>
      </c>
      <c r="F131" s="3"/>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c r="CG131" s="3"/>
    </row>
    <row r="132" spans="1:85" ht="12" customHeight="1">
      <c r="A132" s="3"/>
      <c r="B132" s="3"/>
      <c r="C132" s="3"/>
      <c r="D132" s="5"/>
      <c r="E132" s="5"/>
      <c r="F132" s="49" t="s">
        <v>541</v>
      </c>
      <c r="G132" s="5"/>
      <c r="H132" s="5" t="s">
        <v>352</v>
      </c>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c r="CG132" s="3"/>
    </row>
    <row r="133" spans="1:85" ht="12" customHeight="1">
      <c r="A133" s="3"/>
      <c r="B133" s="3"/>
      <c r="C133" s="3"/>
      <c r="D133" s="5"/>
      <c r="E133" s="5"/>
      <c r="F133" s="5"/>
      <c r="G133" s="5"/>
      <c r="H133" s="5" t="s">
        <v>542</v>
      </c>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c r="CG133" s="3"/>
    </row>
    <row r="134" spans="1:85" ht="12" customHeight="1">
      <c r="A134" s="3"/>
      <c r="B134" s="3"/>
      <c r="C134" s="3"/>
      <c r="D134" s="5"/>
      <c r="E134" s="5"/>
      <c r="F134" s="49" t="s">
        <v>543</v>
      </c>
      <c r="G134" s="5"/>
      <c r="H134" s="3" t="s">
        <v>351</v>
      </c>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3"/>
      <c r="CA134" s="3"/>
      <c r="CB134" s="3"/>
      <c r="CC134" s="5"/>
      <c r="CD134" s="3"/>
      <c r="CE134" s="3"/>
      <c r="CF134" s="3"/>
      <c r="CG134" s="3"/>
    </row>
    <row r="135" spans="1:85" ht="12" customHeight="1">
      <c r="A135" s="3"/>
      <c r="B135" s="3"/>
      <c r="C135" s="3"/>
      <c r="D135" s="5"/>
      <c r="E135" s="5"/>
      <c r="F135" s="5"/>
      <c r="G135" s="5"/>
      <c r="H135" s="3" t="s">
        <v>544</v>
      </c>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3"/>
      <c r="CA135" s="3"/>
      <c r="CB135" s="3"/>
      <c r="CC135" s="5"/>
      <c r="CD135" s="3"/>
      <c r="CE135" s="3"/>
      <c r="CF135" s="3"/>
      <c r="CG135" s="3"/>
    </row>
    <row r="136" spans="1:85" ht="12" customHeight="1">
      <c r="A136" s="3"/>
      <c r="B136" s="3"/>
      <c r="C136" s="3"/>
      <c r="D136" s="5"/>
      <c r="E136" s="5"/>
      <c r="F136" s="5"/>
      <c r="G136" s="5"/>
      <c r="H136" s="3" t="s">
        <v>350</v>
      </c>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3"/>
      <c r="CA136" s="3"/>
      <c r="CB136" s="3"/>
      <c r="CC136" s="5"/>
      <c r="CD136" s="3"/>
      <c r="CE136" s="3"/>
      <c r="CF136" s="3"/>
      <c r="CG136" s="3"/>
    </row>
    <row r="137" spans="1:85" ht="12" customHeight="1">
      <c r="A137" s="3"/>
      <c r="B137" s="3"/>
      <c r="C137" s="3"/>
      <c r="D137" s="5"/>
      <c r="E137" s="3"/>
      <c r="F137" s="49" t="s">
        <v>545</v>
      </c>
      <c r="G137" s="5"/>
      <c r="H137" s="3" t="s">
        <v>546</v>
      </c>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3"/>
      <c r="CA137" s="3"/>
      <c r="CB137" s="3"/>
      <c r="CC137" s="5"/>
      <c r="CD137" s="3"/>
      <c r="CE137" s="3"/>
      <c r="CF137" s="3"/>
      <c r="CG137" s="3"/>
    </row>
    <row r="138" spans="1:85" ht="12" customHeight="1">
      <c r="A138" s="3"/>
      <c r="B138" s="3"/>
      <c r="C138" s="3"/>
      <c r="D138" s="5"/>
      <c r="E138" s="3"/>
      <c r="F138" s="49" t="s">
        <v>547</v>
      </c>
      <c r="G138" s="5"/>
      <c r="H138" s="3" t="s">
        <v>548</v>
      </c>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3"/>
      <c r="CA138" s="3"/>
      <c r="CB138" s="3"/>
      <c r="CC138" s="5"/>
      <c r="CD138" s="3"/>
      <c r="CE138" s="3"/>
      <c r="CF138" s="3"/>
      <c r="CG138" s="3"/>
    </row>
    <row r="139" spans="1:85" ht="12" customHeight="1">
      <c r="A139" s="3"/>
      <c r="B139" s="3"/>
      <c r="C139" s="3"/>
      <c r="D139" s="5"/>
      <c r="E139" s="3"/>
      <c r="F139" s="49" t="s">
        <v>531</v>
      </c>
      <c r="G139" s="3"/>
      <c r="H139" s="5" t="s">
        <v>349</v>
      </c>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3"/>
      <c r="CA139" s="3"/>
      <c r="CB139" s="3"/>
      <c r="CC139" s="5"/>
      <c r="CD139" s="3"/>
      <c r="CE139" s="3"/>
      <c r="CF139" s="3"/>
      <c r="CG139" s="3"/>
    </row>
    <row r="140" spans="1:85" ht="12" customHeight="1">
      <c r="A140" s="3"/>
      <c r="B140" s="3"/>
      <c r="C140" s="3"/>
      <c r="D140" s="5"/>
      <c r="E140" s="3"/>
      <c r="F140" s="49" t="s">
        <v>549</v>
      </c>
      <c r="G140" s="3"/>
      <c r="H140" s="5" t="s">
        <v>348</v>
      </c>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c r="CG140" s="3"/>
    </row>
    <row r="141" spans="1:85" ht="12"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5"/>
      <c r="CA141" s="5"/>
      <c r="CB141" s="5"/>
      <c r="CC141" s="5"/>
      <c r="CD141" s="3"/>
      <c r="CE141" s="3"/>
      <c r="CF141" s="3"/>
      <c r="CG141" s="3"/>
    </row>
    <row r="142" spans="1:85" ht="12" customHeight="1">
      <c r="A142" s="360"/>
      <c r="B142" s="360"/>
      <c r="C142" s="360"/>
      <c r="D142" s="360"/>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60"/>
      <c r="CA142" s="360"/>
      <c r="CB142" s="360"/>
      <c r="CC142" s="5"/>
      <c r="CD142" s="360"/>
      <c r="CE142" s="360"/>
      <c r="CF142" s="360"/>
    </row>
    <row r="143" spans="1:85" ht="12" customHeight="1">
      <c r="A143" s="460"/>
      <c r="B143" s="460"/>
      <c r="C143" s="460"/>
      <c r="D143" s="460"/>
      <c r="E143" s="462" t="s">
        <v>957</v>
      </c>
      <c r="F143" s="460"/>
      <c r="G143" s="462"/>
      <c r="H143" s="462"/>
      <c r="I143" s="462"/>
      <c r="J143" s="462"/>
      <c r="K143" s="462"/>
      <c r="L143" s="462"/>
      <c r="M143" s="462"/>
      <c r="N143" s="462"/>
      <c r="O143" s="462"/>
      <c r="P143" s="462"/>
      <c r="Q143" s="462"/>
      <c r="R143" s="462"/>
      <c r="S143" s="462"/>
      <c r="T143" s="462"/>
      <c r="U143" s="462"/>
      <c r="V143" s="462"/>
      <c r="W143" s="462"/>
      <c r="X143" s="462"/>
      <c r="Y143" s="462"/>
      <c r="Z143" s="462"/>
      <c r="AA143" s="462"/>
      <c r="AB143" s="462"/>
      <c r="AC143" s="462"/>
      <c r="AD143" s="462"/>
      <c r="AE143" s="462"/>
      <c r="AF143" s="462"/>
      <c r="AG143" s="462"/>
      <c r="AH143" s="462"/>
      <c r="AI143" s="462"/>
      <c r="AJ143" s="462"/>
      <c r="AK143" s="462"/>
      <c r="AL143" s="462"/>
      <c r="AM143" s="462"/>
      <c r="AN143" s="462"/>
      <c r="AO143" s="462"/>
      <c r="AP143" s="462"/>
      <c r="AQ143" s="462"/>
      <c r="AR143" s="462"/>
      <c r="AS143" s="462"/>
      <c r="AT143" s="462"/>
      <c r="AU143" s="462"/>
      <c r="AV143" s="462"/>
      <c r="AW143" s="462"/>
      <c r="AX143" s="462"/>
      <c r="AY143" s="462"/>
      <c r="AZ143" s="462"/>
      <c r="BA143" s="462"/>
      <c r="BB143" s="462"/>
      <c r="BC143" s="462"/>
      <c r="BD143" s="462"/>
      <c r="BE143" s="462"/>
      <c r="BF143" s="462"/>
      <c r="BG143" s="462"/>
      <c r="BH143" s="462"/>
      <c r="BI143" s="462"/>
      <c r="BJ143" s="462"/>
      <c r="BK143" s="462"/>
      <c r="BL143" s="462"/>
      <c r="BM143" s="462"/>
      <c r="BN143" s="462"/>
      <c r="BO143" s="462"/>
      <c r="BP143" s="462"/>
      <c r="BQ143" s="462"/>
      <c r="BR143" s="462"/>
      <c r="BS143" s="462"/>
      <c r="BT143" s="462"/>
      <c r="BU143" s="462"/>
      <c r="BV143" s="462"/>
      <c r="BW143" s="462"/>
      <c r="BX143" s="462"/>
      <c r="BY143" s="462"/>
      <c r="BZ143" s="460"/>
      <c r="CA143" s="460"/>
      <c r="CB143" s="460"/>
      <c r="CC143" s="462"/>
      <c r="CD143" s="460"/>
      <c r="CE143" s="460"/>
      <c r="CF143" s="360"/>
    </row>
    <row r="144" spans="1:85" ht="12" customHeight="1">
      <c r="A144" s="460"/>
      <c r="B144" s="460"/>
      <c r="C144" s="460"/>
      <c r="D144" s="460"/>
      <c r="E144" s="462"/>
      <c r="F144" s="460"/>
      <c r="G144" s="462"/>
      <c r="H144" s="462"/>
      <c r="I144" s="462"/>
      <c r="J144" s="462"/>
      <c r="K144" s="462"/>
      <c r="L144" s="462"/>
      <c r="M144" s="462"/>
      <c r="N144" s="462"/>
      <c r="O144" s="462"/>
      <c r="P144" s="462"/>
      <c r="Q144" s="462"/>
      <c r="R144" s="462"/>
      <c r="S144" s="462"/>
      <c r="T144" s="462"/>
      <c r="U144" s="462"/>
      <c r="V144" s="462"/>
      <c r="W144" s="462"/>
      <c r="X144" s="462"/>
      <c r="Y144" s="462"/>
      <c r="Z144" s="462"/>
      <c r="AA144" s="462"/>
      <c r="AB144" s="462"/>
      <c r="AC144" s="462"/>
      <c r="AD144" s="462"/>
      <c r="AE144" s="462"/>
      <c r="AF144" s="462"/>
      <c r="AG144" s="462"/>
      <c r="AH144" s="462"/>
      <c r="AI144" s="462"/>
      <c r="AJ144" s="462"/>
      <c r="AK144" s="462"/>
      <c r="AL144" s="462"/>
      <c r="AM144" s="462"/>
      <c r="AN144" s="462"/>
      <c r="AO144" s="462"/>
      <c r="AP144" s="462"/>
      <c r="AQ144" s="462"/>
      <c r="AR144" s="462"/>
      <c r="AS144" s="462"/>
      <c r="AT144" s="462"/>
      <c r="AU144" s="462"/>
      <c r="AV144" s="462"/>
      <c r="AW144" s="462"/>
      <c r="AX144" s="462"/>
      <c r="AY144" s="462"/>
      <c r="AZ144" s="462"/>
      <c r="BA144" s="462"/>
      <c r="BB144" s="462"/>
      <c r="BC144" s="462"/>
      <c r="BD144" s="462"/>
      <c r="BE144" s="462"/>
      <c r="BF144" s="462"/>
      <c r="BG144" s="462"/>
      <c r="BH144" s="462"/>
      <c r="BI144" s="462"/>
      <c r="BJ144" s="462"/>
      <c r="BK144" s="462"/>
      <c r="BL144" s="462"/>
      <c r="BM144" s="462"/>
      <c r="BN144" s="462"/>
      <c r="BO144" s="462"/>
      <c r="BP144" s="462"/>
      <c r="BQ144" s="462"/>
      <c r="BR144" s="462"/>
      <c r="BS144" s="462"/>
      <c r="BT144" s="462"/>
      <c r="BU144" s="462"/>
      <c r="BV144" s="462"/>
      <c r="BW144" s="462"/>
      <c r="BX144" s="462"/>
      <c r="BY144" s="462"/>
      <c r="BZ144" s="460"/>
      <c r="CA144" s="460"/>
      <c r="CB144" s="460"/>
      <c r="CC144" s="462"/>
      <c r="CD144" s="460"/>
      <c r="CE144" s="460"/>
      <c r="CF144" s="367"/>
    </row>
    <row r="145" spans="1:84" ht="12" customHeight="1">
      <c r="A145" s="460"/>
      <c r="B145" s="460"/>
      <c r="C145" s="460"/>
      <c r="D145" s="460"/>
      <c r="E145" s="462"/>
      <c r="F145" s="460" t="s">
        <v>1219</v>
      </c>
      <c r="G145" s="462"/>
      <c r="H145" s="462"/>
      <c r="I145" s="462"/>
      <c r="J145" s="462"/>
      <c r="K145" s="462"/>
      <c r="L145" s="462"/>
      <c r="M145" s="462"/>
      <c r="N145" s="462"/>
      <c r="O145" s="462"/>
      <c r="P145" s="462"/>
      <c r="Q145" s="462"/>
      <c r="R145" s="462"/>
      <c r="S145" s="462"/>
      <c r="T145" s="462"/>
      <c r="U145" s="462"/>
      <c r="V145" s="462"/>
      <c r="W145" s="462"/>
      <c r="X145" s="462"/>
      <c r="Y145" s="462"/>
      <c r="Z145" s="462"/>
      <c r="AA145" s="462"/>
      <c r="AB145" s="462"/>
      <c r="AC145" s="462"/>
      <c r="AD145" s="462"/>
      <c r="AE145" s="462"/>
      <c r="AF145" s="462"/>
      <c r="AG145" s="462"/>
      <c r="AH145" s="462"/>
      <c r="AI145" s="462"/>
      <c r="AJ145" s="462"/>
      <c r="AK145" s="462"/>
      <c r="AL145" s="462"/>
      <c r="AM145" s="462"/>
      <c r="AN145" s="462"/>
      <c r="AO145" s="462"/>
      <c r="AP145" s="462"/>
      <c r="AQ145" s="462"/>
      <c r="AR145" s="462"/>
      <c r="AS145" s="462"/>
      <c r="AT145" s="462"/>
      <c r="AU145" s="462"/>
      <c r="AV145" s="462"/>
      <c r="AW145" s="462"/>
      <c r="AX145" s="462"/>
      <c r="AY145" s="462"/>
      <c r="AZ145" s="462"/>
      <c r="BA145" s="462"/>
      <c r="BB145" s="462"/>
      <c r="BC145" s="462"/>
      <c r="BD145" s="462"/>
      <c r="BE145" s="462"/>
      <c r="BF145" s="462"/>
      <c r="BG145" s="462"/>
      <c r="BH145" s="462"/>
      <c r="BI145" s="462"/>
      <c r="BJ145" s="462"/>
      <c r="BK145" s="462"/>
      <c r="BL145" s="462"/>
      <c r="BM145" s="462"/>
      <c r="BN145" s="462"/>
      <c r="BO145" s="462"/>
      <c r="BP145" s="462"/>
      <c r="BQ145" s="462"/>
      <c r="BR145" s="462"/>
      <c r="BS145" s="462"/>
      <c r="BT145" s="462"/>
      <c r="BU145" s="462"/>
      <c r="BV145" s="462"/>
      <c r="BW145" s="462"/>
      <c r="BX145" s="462"/>
      <c r="BY145" s="462"/>
      <c r="BZ145" s="460"/>
      <c r="CA145" s="460"/>
      <c r="CB145" s="460"/>
      <c r="CC145" s="462"/>
      <c r="CD145" s="460"/>
      <c r="CE145" s="460"/>
      <c r="CF145" s="360"/>
    </row>
    <row r="146" spans="1:84" ht="12" customHeight="1">
      <c r="A146" s="55"/>
      <c r="B146" s="391"/>
      <c r="C146" s="391"/>
      <c r="D146" s="391"/>
      <c r="E146" s="5"/>
      <c r="F146" s="415" t="s">
        <v>1229</v>
      </c>
      <c r="G146" s="462"/>
      <c r="H146" s="462"/>
      <c r="I146" s="462"/>
      <c r="J146" s="462"/>
      <c r="K146" s="462"/>
      <c r="L146" s="462"/>
      <c r="M146" s="462"/>
      <c r="N146" s="462"/>
      <c r="O146" s="462"/>
      <c r="P146" s="462"/>
      <c r="Q146" s="462"/>
      <c r="R146" s="462"/>
      <c r="S146" s="462"/>
      <c r="T146" s="462"/>
      <c r="U146" s="462"/>
      <c r="V146" s="462"/>
      <c r="W146" s="462"/>
      <c r="X146" s="462"/>
      <c r="Y146" s="462"/>
      <c r="Z146" s="462"/>
      <c r="AA146" s="462"/>
      <c r="AB146" s="462"/>
      <c r="AC146" s="462"/>
      <c r="AD146" s="462"/>
      <c r="AE146" s="462"/>
      <c r="AF146" s="462"/>
      <c r="AG146" s="462"/>
      <c r="AH146" s="462"/>
      <c r="AI146" s="462"/>
      <c r="AJ146" s="462"/>
      <c r="AK146" s="462"/>
      <c r="AL146" s="462"/>
      <c r="AM146" s="462"/>
      <c r="AN146" s="462"/>
      <c r="AO146" s="462"/>
      <c r="AP146" s="462"/>
      <c r="AQ146" s="462"/>
      <c r="AR146" s="462"/>
      <c r="AS146" s="462"/>
      <c r="AT146" s="462"/>
      <c r="AU146" s="462"/>
      <c r="AV146" s="462"/>
      <c r="AW146" s="462"/>
      <c r="AX146" s="462"/>
      <c r="AY146" s="462"/>
      <c r="AZ146" s="462"/>
      <c r="BA146" s="462"/>
      <c r="BB146" s="462"/>
      <c r="BC146" s="462"/>
      <c r="BD146" s="462"/>
      <c r="BE146" s="462"/>
      <c r="BF146" s="462"/>
      <c r="BG146" s="462"/>
      <c r="BH146" s="462"/>
      <c r="BI146" s="462"/>
      <c r="BJ146" s="462"/>
      <c r="BK146" s="462"/>
      <c r="BL146" s="462"/>
      <c r="BM146" s="462"/>
      <c r="BN146" s="462"/>
      <c r="BO146" s="462"/>
      <c r="BP146" s="462"/>
      <c r="BQ146" s="462"/>
      <c r="BR146" s="462"/>
      <c r="BS146" s="462"/>
      <c r="BT146" s="462"/>
      <c r="BU146" s="462"/>
      <c r="BV146" s="462"/>
      <c r="BW146" s="462"/>
      <c r="BX146" s="462"/>
      <c r="BY146" s="462"/>
      <c r="BZ146" s="460"/>
      <c r="CA146" s="460"/>
      <c r="CB146" s="460"/>
      <c r="CC146" s="462"/>
      <c r="CD146" s="460"/>
      <c r="CE146" s="460"/>
      <c r="CF146" s="367"/>
    </row>
    <row r="147" spans="1:84" ht="12" customHeight="1">
      <c r="A147" s="460"/>
      <c r="B147" s="460"/>
      <c r="C147" s="460"/>
      <c r="D147" s="460"/>
      <c r="E147" s="462"/>
      <c r="F147" s="460"/>
      <c r="G147" s="462"/>
      <c r="H147" s="462"/>
      <c r="I147" s="462"/>
      <c r="J147" s="462"/>
      <c r="K147" s="462"/>
      <c r="L147" s="462"/>
      <c r="M147" s="462"/>
      <c r="N147" s="462"/>
      <c r="O147" s="462"/>
      <c r="P147" s="462"/>
      <c r="Q147" s="462"/>
      <c r="R147" s="462"/>
      <c r="S147" s="462"/>
      <c r="T147" s="462"/>
      <c r="U147" s="462"/>
      <c r="V147" s="462"/>
      <c r="W147" s="462"/>
      <c r="X147" s="462"/>
      <c r="Y147" s="462"/>
      <c r="Z147" s="462"/>
      <c r="AA147" s="462"/>
      <c r="AB147" s="462"/>
      <c r="AC147" s="462"/>
      <c r="AD147" s="462"/>
      <c r="AE147" s="462"/>
      <c r="AF147" s="462"/>
      <c r="AG147" s="462"/>
      <c r="AH147" s="462"/>
      <c r="AI147" s="462"/>
      <c r="AJ147" s="462"/>
      <c r="AK147" s="462"/>
      <c r="AL147" s="462"/>
      <c r="AM147" s="462"/>
      <c r="AN147" s="462"/>
      <c r="AO147" s="462"/>
      <c r="AP147" s="462"/>
      <c r="AQ147" s="462"/>
      <c r="AR147" s="462"/>
      <c r="AS147" s="462"/>
      <c r="AT147" s="462"/>
      <c r="AU147" s="462"/>
      <c r="AV147" s="462"/>
      <c r="AW147" s="462"/>
      <c r="AX147" s="462"/>
      <c r="AY147" s="462"/>
      <c r="AZ147" s="462"/>
      <c r="BA147" s="462"/>
      <c r="BB147" s="462"/>
      <c r="BC147" s="462"/>
      <c r="BD147" s="462"/>
      <c r="BE147" s="462"/>
      <c r="BF147" s="462"/>
      <c r="BG147" s="462"/>
      <c r="BH147" s="462"/>
      <c r="BI147" s="462"/>
      <c r="BJ147" s="462"/>
      <c r="BK147" s="462"/>
      <c r="BL147" s="462"/>
      <c r="BM147" s="462"/>
      <c r="BN147" s="462"/>
      <c r="BO147" s="462"/>
      <c r="BP147" s="462"/>
      <c r="BQ147" s="462"/>
      <c r="BR147" s="462"/>
      <c r="BS147" s="462"/>
      <c r="BT147" s="462"/>
      <c r="BU147" s="462"/>
      <c r="BV147" s="462"/>
      <c r="BW147" s="462"/>
      <c r="BX147" s="462"/>
      <c r="BY147" s="462"/>
      <c r="BZ147" s="460"/>
      <c r="CA147" s="460"/>
      <c r="CB147" s="460"/>
      <c r="CC147" s="462"/>
      <c r="CD147" s="460"/>
      <c r="CE147" s="460"/>
      <c r="CF147" s="360"/>
    </row>
    <row r="148" spans="1:84" ht="12" customHeight="1">
      <c r="A148" s="460"/>
      <c r="B148" s="460"/>
      <c r="C148" s="460"/>
      <c r="D148" s="460"/>
      <c r="E148" s="462"/>
      <c r="F148" s="929" t="s">
        <v>958</v>
      </c>
      <c r="G148" s="930"/>
      <c r="H148" s="930"/>
      <c r="I148" s="930"/>
      <c r="J148" s="930"/>
      <c r="K148" s="930"/>
      <c r="L148" s="930"/>
      <c r="M148" s="930"/>
      <c r="N148" s="931"/>
      <c r="O148" s="929" t="s">
        <v>959</v>
      </c>
      <c r="P148" s="930"/>
      <c r="Q148" s="930"/>
      <c r="R148" s="930"/>
      <c r="S148" s="930"/>
      <c r="T148" s="930"/>
      <c r="U148" s="931"/>
      <c r="V148" s="929" t="s">
        <v>89</v>
      </c>
      <c r="W148" s="930"/>
      <c r="X148" s="930"/>
      <c r="Y148" s="930"/>
      <c r="Z148" s="931"/>
      <c r="AA148" s="929" t="s">
        <v>355</v>
      </c>
      <c r="AB148" s="930"/>
      <c r="AC148" s="930"/>
      <c r="AD148" s="930"/>
      <c r="AE148" s="930"/>
      <c r="AF148" s="930"/>
      <c r="AG148" s="930"/>
      <c r="AH148" s="930"/>
      <c r="AI148" s="930"/>
      <c r="AJ148" s="930"/>
      <c r="AK148" s="930"/>
      <c r="AL148" s="930"/>
      <c r="AM148" s="930"/>
      <c r="AN148" s="930"/>
      <c r="AO148" s="930"/>
      <c r="AP148" s="930"/>
      <c r="AQ148" s="930"/>
      <c r="AR148" s="930"/>
      <c r="AS148" s="930"/>
      <c r="AT148" s="930"/>
      <c r="AU148" s="930"/>
      <c r="AV148" s="930"/>
      <c r="AW148" s="930"/>
      <c r="AX148" s="931"/>
      <c r="AY148" s="938" t="s">
        <v>960</v>
      </c>
      <c r="AZ148" s="890"/>
      <c r="BA148" s="890" t="s">
        <v>961</v>
      </c>
      <c r="BB148" s="890"/>
      <c r="BC148" s="890" t="s">
        <v>503</v>
      </c>
      <c r="BD148" s="890"/>
      <c r="BE148" s="890" t="s">
        <v>962</v>
      </c>
      <c r="BF148" s="890"/>
      <c r="BG148" s="890" t="s">
        <v>963</v>
      </c>
      <c r="BH148" s="890"/>
      <c r="BI148" s="890" t="s">
        <v>510</v>
      </c>
      <c r="BJ148" s="890"/>
      <c r="BK148" s="890" t="s">
        <v>964</v>
      </c>
      <c r="BL148" s="890"/>
      <c r="BM148" s="890" t="s">
        <v>965</v>
      </c>
      <c r="BN148" s="890"/>
      <c r="BO148" s="890" t="s">
        <v>966</v>
      </c>
      <c r="BP148" s="890"/>
      <c r="BQ148" s="462"/>
      <c r="BR148" s="460"/>
      <c r="BS148" s="460"/>
      <c r="BT148" s="460"/>
      <c r="BU148" s="461"/>
      <c r="BV148" s="461"/>
      <c r="BW148" s="461"/>
      <c r="BX148" s="461"/>
      <c r="BY148" s="461"/>
      <c r="BZ148" s="461"/>
      <c r="CA148" s="461"/>
      <c r="CB148" s="461"/>
      <c r="CC148" s="461"/>
      <c r="CD148" s="461"/>
      <c r="CE148" s="461"/>
    </row>
    <row r="149" spans="1:84" ht="12" customHeight="1">
      <c r="A149" s="460"/>
      <c r="B149" s="460"/>
      <c r="C149" s="460"/>
      <c r="D149" s="460"/>
      <c r="E149" s="462"/>
      <c r="F149" s="932"/>
      <c r="G149" s="933"/>
      <c r="H149" s="933"/>
      <c r="I149" s="933"/>
      <c r="J149" s="933"/>
      <c r="K149" s="933"/>
      <c r="L149" s="933"/>
      <c r="M149" s="933"/>
      <c r="N149" s="934"/>
      <c r="O149" s="932"/>
      <c r="P149" s="933"/>
      <c r="Q149" s="933"/>
      <c r="R149" s="933"/>
      <c r="S149" s="933"/>
      <c r="T149" s="933"/>
      <c r="U149" s="934"/>
      <c r="V149" s="932"/>
      <c r="W149" s="933"/>
      <c r="X149" s="933"/>
      <c r="Y149" s="933"/>
      <c r="Z149" s="934"/>
      <c r="AA149" s="932"/>
      <c r="AB149" s="933"/>
      <c r="AC149" s="933"/>
      <c r="AD149" s="933"/>
      <c r="AE149" s="933"/>
      <c r="AF149" s="933"/>
      <c r="AG149" s="933"/>
      <c r="AH149" s="933"/>
      <c r="AI149" s="933"/>
      <c r="AJ149" s="933"/>
      <c r="AK149" s="933"/>
      <c r="AL149" s="933"/>
      <c r="AM149" s="933"/>
      <c r="AN149" s="933"/>
      <c r="AO149" s="933"/>
      <c r="AP149" s="933"/>
      <c r="AQ149" s="933"/>
      <c r="AR149" s="933"/>
      <c r="AS149" s="933"/>
      <c r="AT149" s="933"/>
      <c r="AU149" s="933"/>
      <c r="AV149" s="933"/>
      <c r="AW149" s="933"/>
      <c r="AX149" s="934"/>
      <c r="AY149" s="939"/>
      <c r="AZ149" s="891"/>
      <c r="BA149" s="891"/>
      <c r="BB149" s="891"/>
      <c r="BC149" s="891"/>
      <c r="BD149" s="891"/>
      <c r="BE149" s="891"/>
      <c r="BF149" s="891"/>
      <c r="BG149" s="891"/>
      <c r="BH149" s="891"/>
      <c r="BI149" s="891"/>
      <c r="BJ149" s="891"/>
      <c r="BK149" s="891"/>
      <c r="BL149" s="891"/>
      <c r="BM149" s="891"/>
      <c r="BN149" s="891"/>
      <c r="BO149" s="891"/>
      <c r="BP149" s="891"/>
      <c r="BQ149" s="462"/>
      <c r="BR149" s="460"/>
      <c r="BS149" s="460"/>
      <c r="BT149" s="460"/>
      <c r="BU149" s="461"/>
      <c r="BV149" s="461"/>
      <c r="BW149" s="461"/>
      <c r="BX149" s="461"/>
      <c r="BY149" s="461"/>
      <c r="BZ149" s="461"/>
      <c r="CA149" s="461"/>
      <c r="CB149" s="461"/>
      <c r="CC149" s="461"/>
      <c r="CD149" s="461"/>
      <c r="CE149" s="461"/>
    </row>
    <row r="150" spans="1:84" ht="12" customHeight="1">
      <c r="A150" s="460"/>
      <c r="B150" s="460"/>
      <c r="C150" s="460"/>
      <c r="D150" s="460"/>
      <c r="E150" s="462"/>
      <c r="F150" s="932"/>
      <c r="G150" s="933"/>
      <c r="H150" s="933"/>
      <c r="I150" s="933"/>
      <c r="J150" s="933"/>
      <c r="K150" s="933"/>
      <c r="L150" s="933"/>
      <c r="M150" s="933"/>
      <c r="N150" s="934"/>
      <c r="O150" s="932"/>
      <c r="P150" s="933"/>
      <c r="Q150" s="933"/>
      <c r="R150" s="933"/>
      <c r="S150" s="933"/>
      <c r="T150" s="933"/>
      <c r="U150" s="934"/>
      <c r="V150" s="932"/>
      <c r="W150" s="933"/>
      <c r="X150" s="933"/>
      <c r="Y150" s="933"/>
      <c r="Z150" s="934"/>
      <c r="AA150" s="932"/>
      <c r="AB150" s="933"/>
      <c r="AC150" s="933"/>
      <c r="AD150" s="933"/>
      <c r="AE150" s="933"/>
      <c r="AF150" s="933"/>
      <c r="AG150" s="933"/>
      <c r="AH150" s="933"/>
      <c r="AI150" s="933"/>
      <c r="AJ150" s="933"/>
      <c r="AK150" s="933"/>
      <c r="AL150" s="933"/>
      <c r="AM150" s="933"/>
      <c r="AN150" s="933"/>
      <c r="AO150" s="933"/>
      <c r="AP150" s="933"/>
      <c r="AQ150" s="933"/>
      <c r="AR150" s="933"/>
      <c r="AS150" s="933"/>
      <c r="AT150" s="933"/>
      <c r="AU150" s="933"/>
      <c r="AV150" s="933"/>
      <c r="AW150" s="933"/>
      <c r="AX150" s="934"/>
      <c r="AY150" s="939"/>
      <c r="AZ150" s="891"/>
      <c r="BA150" s="891"/>
      <c r="BB150" s="891"/>
      <c r="BC150" s="891"/>
      <c r="BD150" s="891"/>
      <c r="BE150" s="891"/>
      <c r="BF150" s="891"/>
      <c r="BG150" s="891"/>
      <c r="BH150" s="891"/>
      <c r="BI150" s="891"/>
      <c r="BJ150" s="891"/>
      <c r="BK150" s="891"/>
      <c r="BL150" s="891"/>
      <c r="BM150" s="891"/>
      <c r="BN150" s="891"/>
      <c r="BO150" s="891"/>
      <c r="BP150" s="891"/>
      <c r="BQ150" s="462"/>
      <c r="BR150" s="460"/>
      <c r="BS150" s="460"/>
      <c r="BT150" s="460"/>
      <c r="BU150" s="461"/>
      <c r="BV150" s="461"/>
      <c r="BW150" s="461"/>
      <c r="BX150" s="461"/>
      <c r="BY150" s="461"/>
      <c r="BZ150" s="461"/>
      <c r="CA150" s="461"/>
      <c r="CB150" s="461"/>
      <c r="CC150" s="461"/>
      <c r="CD150" s="461"/>
      <c r="CE150" s="461"/>
    </row>
    <row r="151" spans="1:84" ht="12" customHeight="1">
      <c r="A151" s="460"/>
      <c r="B151" s="460"/>
      <c r="C151" s="460"/>
      <c r="D151" s="460"/>
      <c r="E151" s="462"/>
      <c r="F151" s="932"/>
      <c r="G151" s="933"/>
      <c r="H151" s="933"/>
      <c r="I151" s="933"/>
      <c r="J151" s="933"/>
      <c r="K151" s="933"/>
      <c r="L151" s="933"/>
      <c r="M151" s="933"/>
      <c r="N151" s="934"/>
      <c r="O151" s="932"/>
      <c r="P151" s="933"/>
      <c r="Q151" s="933"/>
      <c r="R151" s="933"/>
      <c r="S151" s="933"/>
      <c r="T151" s="933"/>
      <c r="U151" s="934"/>
      <c r="V151" s="932"/>
      <c r="W151" s="933"/>
      <c r="X151" s="933"/>
      <c r="Y151" s="933"/>
      <c r="Z151" s="934"/>
      <c r="AA151" s="932"/>
      <c r="AB151" s="933"/>
      <c r="AC151" s="933"/>
      <c r="AD151" s="933"/>
      <c r="AE151" s="933"/>
      <c r="AF151" s="933"/>
      <c r="AG151" s="933"/>
      <c r="AH151" s="933"/>
      <c r="AI151" s="933"/>
      <c r="AJ151" s="933"/>
      <c r="AK151" s="933"/>
      <c r="AL151" s="933"/>
      <c r="AM151" s="933"/>
      <c r="AN151" s="933"/>
      <c r="AO151" s="933"/>
      <c r="AP151" s="933"/>
      <c r="AQ151" s="933"/>
      <c r="AR151" s="933"/>
      <c r="AS151" s="933"/>
      <c r="AT151" s="933"/>
      <c r="AU151" s="933"/>
      <c r="AV151" s="933"/>
      <c r="AW151" s="933"/>
      <c r="AX151" s="934"/>
      <c r="AY151" s="939"/>
      <c r="AZ151" s="891"/>
      <c r="BA151" s="891"/>
      <c r="BB151" s="891"/>
      <c r="BC151" s="891"/>
      <c r="BD151" s="891"/>
      <c r="BE151" s="891"/>
      <c r="BF151" s="891"/>
      <c r="BG151" s="891"/>
      <c r="BH151" s="891"/>
      <c r="BI151" s="891"/>
      <c r="BJ151" s="891"/>
      <c r="BK151" s="891"/>
      <c r="BL151" s="891"/>
      <c r="BM151" s="891"/>
      <c r="BN151" s="891"/>
      <c r="BO151" s="891"/>
      <c r="BP151" s="891"/>
      <c r="BQ151" s="462"/>
      <c r="BR151" s="460"/>
      <c r="BS151" s="460"/>
      <c r="BT151" s="460"/>
      <c r="BU151" s="461"/>
      <c r="BV151" s="461"/>
      <c r="BW151" s="461"/>
      <c r="BX151" s="461"/>
      <c r="BY151" s="461"/>
      <c r="BZ151" s="461"/>
      <c r="CA151" s="461"/>
      <c r="CB151" s="461"/>
      <c r="CC151" s="461"/>
      <c r="CD151" s="461"/>
      <c r="CE151" s="461"/>
    </row>
    <row r="152" spans="1:84" ht="12" customHeight="1">
      <c r="A152" s="460"/>
      <c r="B152" s="460"/>
      <c r="C152" s="460"/>
      <c r="D152" s="460"/>
      <c r="E152" s="462"/>
      <c r="F152" s="932"/>
      <c r="G152" s="933"/>
      <c r="H152" s="933"/>
      <c r="I152" s="933"/>
      <c r="J152" s="933"/>
      <c r="K152" s="933"/>
      <c r="L152" s="933"/>
      <c r="M152" s="933"/>
      <c r="N152" s="934"/>
      <c r="O152" s="932"/>
      <c r="P152" s="933"/>
      <c r="Q152" s="933"/>
      <c r="R152" s="933"/>
      <c r="S152" s="933"/>
      <c r="T152" s="933"/>
      <c r="U152" s="934"/>
      <c r="V152" s="932"/>
      <c r="W152" s="933"/>
      <c r="X152" s="933"/>
      <c r="Y152" s="933"/>
      <c r="Z152" s="934"/>
      <c r="AA152" s="932"/>
      <c r="AB152" s="933"/>
      <c r="AC152" s="933"/>
      <c r="AD152" s="933"/>
      <c r="AE152" s="933"/>
      <c r="AF152" s="933"/>
      <c r="AG152" s="933"/>
      <c r="AH152" s="933"/>
      <c r="AI152" s="933"/>
      <c r="AJ152" s="933"/>
      <c r="AK152" s="933"/>
      <c r="AL152" s="933"/>
      <c r="AM152" s="933"/>
      <c r="AN152" s="933"/>
      <c r="AO152" s="933"/>
      <c r="AP152" s="933"/>
      <c r="AQ152" s="933"/>
      <c r="AR152" s="933"/>
      <c r="AS152" s="933"/>
      <c r="AT152" s="933"/>
      <c r="AU152" s="933"/>
      <c r="AV152" s="933"/>
      <c r="AW152" s="933"/>
      <c r="AX152" s="934"/>
      <c r="AY152" s="939"/>
      <c r="AZ152" s="891"/>
      <c r="BA152" s="891"/>
      <c r="BB152" s="891"/>
      <c r="BC152" s="891"/>
      <c r="BD152" s="891"/>
      <c r="BE152" s="891"/>
      <c r="BF152" s="891"/>
      <c r="BG152" s="891"/>
      <c r="BH152" s="891"/>
      <c r="BI152" s="891"/>
      <c r="BJ152" s="891"/>
      <c r="BK152" s="891"/>
      <c r="BL152" s="891"/>
      <c r="BM152" s="891"/>
      <c r="BN152" s="891"/>
      <c r="BO152" s="891"/>
      <c r="BP152" s="891"/>
      <c r="BQ152" s="462"/>
      <c r="BR152" s="460"/>
      <c r="BS152" s="460"/>
      <c r="BT152" s="460"/>
      <c r="BU152" s="461"/>
      <c r="BV152" s="461"/>
      <c r="BW152" s="461"/>
      <c r="BX152" s="461"/>
      <c r="BY152" s="461"/>
      <c r="BZ152" s="461"/>
      <c r="CA152" s="461"/>
      <c r="CB152" s="461"/>
      <c r="CC152" s="461"/>
      <c r="CD152" s="461"/>
      <c r="CE152" s="461"/>
    </row>
    <row r="153" spans="1:84" ht="12" customHeight="1">
      <c r="A153" s="460"/>
      <c r="B153" s="460"/>
      <c r="C153" s="460"/>
      <c r="D153" s="460"/>
      <c r="E153" s="462"/>
      <c r="F153" s="932"/>
      <c r="G153" s="933"/>
      <c r="H153" s="933"/>
      <c r="I153" s="933"/>
      <c r="J153" s="933"/>
      <c r="K153" s="933"/>
      <c r="L153" s="933"/>
      <c r="M153" s="933"/>
      <c r="N153" s="934"/>
      <c r="O153" s="932"/>
      <c r="P153" s="933"/>
      <c r="Q153" s="933"/>
      <c r="R153" s="933"/>
      <c r="S153" s="933"/>
      <c r="T153" s="933"/>
      <c r="U153" s="934"/>
      <c r="V153" s="932"/>
      <c r="W153" s="933"/>
      <c r="X153" s="933"/>
      <c r="Y153" s="933"/>
      <c r="Z153" s="934"/>
      <c r="AA153" s="932"/>
      <c r="AB153" s="933"/>
      <c r="AC153" s="933"/>
      <c r="AD153" s="933"/>
      <c r="AE153" s="933"/>
      <c r="AF153" s="933"/>
      <c r="AG153" s="933"/>
      <c r="AH153" s="933"/>
      <c r="AI153" s="933"/>
      <c r="AJ153" s="933"/>
      <c r="AK153" s="933"/>
      <c r="AL153" s="933"/>
      <c r="AM153" s="933"/>
      <c r="AN153" s="933"/>
      <c r="AO153" s="933"/>
      <c r="AP153" s="933"/>
      <c r="AQ153" s="933"/>
      <c r="AR153" s="933"/>
      <c r="AS153" s="933"/>
      <c r="AT153" s="933"/>
      <c r="AU153" s="933"/>
      <c r="AV153" s="933"/>
      <c r="AW153" s="933"/>
      <c r="AX153" s="934"/>
      <c r="AY153" s="939"/>
      <c r="AZ153" s="891"/>
      <c r="BA153" s="891"/>
      <c r="BB153" s="891"/>
      <c r="BC153" s="891"/>
      <c r="BD153" s="891"/>
      <c r="BE153" s="891"/>
      <c r="BF153" s="891"/>
      <c r="BG153" s="891"/>
      <c r="BH153" s="891"/>
      <c r="BI153" s="891"/>
      <c r="BJ153" s="891"/>
      <c r="BK153" s="891"/>
      <c r="BL153" s="891"/>
      <c r="BM153" s="891"/>
      <c r="BN153" s="891"/>
      <c r="BO153" s="891"/>
      <c r="BP153" s="891"/>
      <c r="BQ153" s="462"/>
      <c r="BR153" s="460"/>
      <c r="BS153" s="460"/>
      <c r="BT153" s="460"/>
      <c r="BU153" s="461"/>
      <c r="BV153" s="461"/>
      <c r="BW153" s="461"/>
      <c r="BX153" s="461"/>
      <c r="BY153" s="461"/>
      <c r="BZ153" s="461"/>
      <c r="CA153" s="461"/>
      <c r="CB153" s="461"/>
      <c r="CC153" s="461"/>
      <c r="CD153" s="461"/>
      <c r="CE153" s="461"/>
    </row>
    <row r="154" spans="1:84" ht="12" customHeight="1">
      <c r="A154" s="460"/>
      <c r="B154" s="460"/>
      <c r="C154" s="460"/>
      <c r="D154" s="460"/>
      <c r="E154" s="462"/>
      <c r="F154" s="932"/>
      <c r="G154" s="933"/>
      <c r="H154" s="933"/>
      <c r="I154" s="933"/>
      <c r="J154" s="933"/>
      <c r="K154" s="933"/>
      <c r="L154" s="933"/>
      <c r="M154" s="933"/>
      <c r="N154" s="934"/>
      <c r="O154" s="932"/>
      <c r="P154" s="933"/>
      <c r="Q154" s="933"/>
      <c r="R154" s="933"/>
      <c r="S154" s="933"/>
      <c r="T154" s="933"/>
      <c r="U154" s="934"/>
      <c r="V154" s="932"/>
      <c r="W154" s="933"/>
      <c r="X154" s="933"/>
      <c r="Y154" s="933"/>
      <c r="Z154" s="934"/>
      <c r="AA154" s="932"/>
      <c r="AB154" s="933"/>
      <c r="AC154" s="933"/>
      <c r="AD154" s="933"/>
      <c r="AE154" s="933"/>
      <c r="AF154" s="933"/>
      <c r="AG154" s="933"/>
      <c r="AH154" s="933"/>
      <c r="AI154" s="933"/>
      <c r="AJ154" s="933"/>
      <c r="AK154" s="933"/>
      <c r="AL154" s="933"/>
      <c r="AM154" s="933"/>
      <c r="AN154" s="933"/>
      <c r="AO154" s="933"/>
      <c r="AP154" s="933"/>
      <c r="AQ154" s="933"/>
      <c r="AR154" s="933"/>
      <c r="AS154" s="933"/>
      <c r="AT154" s="933"/>
      <c r="AU154" s="933"/>
      <c r="AV154" s="933"/>
      <c r="AW154" s="933"/>
      <c r="AX154" s="934"/>
      <c r="AY154" s="939"/>
      <c r="AZ154" s="891"/>
      <c r="BA154" s="891"/>
      <c r="BB154" s="891"/>
      <c r="BC154" s="891"/>
      <c r="BD154" s="891"/>
      <c r="BE154" s="891"/>
      <c r="BF154" s="891"/>
      <c r="BG154" s="891"/>
      <c r="BH154" s="891"/>
      <c r="BI154" s="891"/>
      <c r="BJ154" s="891"/>
      <c r="BK154" s="891"/>
      <c r="BL154" s="891"/>
      <c r="BM154" s="891"/>
      <c r="BN154" s="891"/>
      <c r="BO154" s="891"/>
      <c r="BP154" s="891"/>
      <c r="BQ154" s="462"/>
      <c r="BR154" s="460"/>
      <c r="BS154" s="460"/>
      <c r="BT154" s="460"/>
      <c r="BU154" s="461"/>
      <c r="BV154" s="461"/>
      <c r="BW154" s="461"/>
      <c r="BX154" s="461"/>
      <c r="BY154" s="461"/>
      <c r="BZ154" s="461"/>
      <c r="CA154" s="461"/>
      <c r="CB154" s="461"/>
      <c r="CC154" s="461"/>
      <c r="CD154" s="461"/>
      <c r="CE154" s="461"/>
    </row>
    <row r="155" spans="1:84" ht="12" customHeight="1">
      <c r="A155" s="460"/>
      <c r="B155" s="460"/>
      <c r="C155" s="460"/>
      <c r="D155" s="460"/>
      <c r="E155" s="462"/>
      <c r="F155" s="932"/>
      <c r="G155" s="933"/>
      <c r="H155" s="933"/>
      <c r="I155" s="933"/>
      <c r="J155" s="933"/>
      <c r="K155" s="933"/>
      <c r="L155" s="933"/>
      <c r="M155" s="933"/>
      <c r="N155" s="934"/>
      <c r="O155" s="932"/>
      <c r="P155" s="933"/>
      <c r="Q155" s="933"/>
      <c r="R155" s="933"/>
      <c r="S155" s="933"/>
      <c r="T155" s="933"/>
      <c r="U155" s="934"/>
      <c r="V155" s="932"/>
      <c r="W155" s="933"/>
      <c r="X155" s="933"/>
      <c r="Y155" s="933"/>
      <c r="Z155" s="934"/>
      <c r="AA155" s="932"/>
      <c r="AB155" s="933"/>
      <c r="AC155" s="933"/>
      <c r="AD155" s="933"/>
      <c r="AE155" s="933"/>
      <c r="AF155" s="933"/>
      <c r="AG155" s="933"/>
      <c r="AH155" s="933"/>
      <c r="AI155" s="933"/>
      <c r="AJ155" s="933"/>
      <c r="AK155" s="933"/>
      <c r="AL155" s="933"/>
      <c r="AM155" s="933"/>
      <c r="AN155" s="933"/>
      <c r="AO155" s="933"/>
      <c r="AP155" s="933"/>
      <c r="AQ155" s="933"/>
      <c r="AR155" s="933"/>
      <c r="AS155" s="933"/>
      <c r="AT155" s="933"/>
      <c r="AU155" s="933"/>
      <c r="AV155" s="933"/>
      <c r="AW155" s="933"/>
      <c r="AX155" s="934"/>
      <c r="AY155" s="939"/>
      <c r="AZ155" s="891"/>
      <c r="BA155" s="891"/>
      <c r="BB155" s="891"/>
      <c r="BC155" s="891"/>
      <c r="BD155" s="891"/>
      <c r="BE155" s="891"/>
      <c r="BF155" s="891"/>
      <c r="BG155" s="891"/>
      <c r="BH155" s="891"/>
      <c r="BI155" s="891"/>
      <c r="BJ155" s="891"/>
      <c r="BK155" s="891"/>
      <c r="BL155" s="891"/>
      <c r="BM155" s="891"/>
      <c r="BN155" s="891"/>
      <c r="BO155" s="891"/>
      <c r="BP155" s="891"/>
      <c r="BQ155" s="462"/>
      <c r="BR155" s="460"/>
      <c r="BS155" s="460"/>
      <c r="BT155" s="460"/>
      <c r="BU155" s="461"/>
      <c r="BV155" s="461"/>
      <c r="BW155" s="461"/>
      <c r="BX155" s="461"/>
      <c r="BY155" s="461"/>
      <c r="BZ155" s="461"/>
      <c r="CA155" s="461"/>
      <c r="CB155" s="461"/>
      <c r="CC155" s="461"/>
      <c r="CD155" s="461"/>
      <c r="CE155" s="461"/>
    </row>
    <row r="156" spans="1:84" ht="12" customHeight="1">
      <c r="A156" s="460"/>
      <c r="B156" s="460"/>
      <c r="C156" s="460"/>
      <c r="D156" s="460"/>
      <c r="E156" s="462"/>
      <c r="F156" s="932"/>
      <c r="G156" s="933"/>
      <c r="H156" s="933"/>
      <c r="I156" s="933"/>
      <c r="J156" s="933"/>
      <c r="K156" s="933"/>
      <c r="L156" s="933"/>
      <c r="M156" s="933"/>
      <c r="N156" s="934"/>
      <c r="O156" s="932"/>
      <c r="P156" s="933"/>
      <c r="Q156" s="933"/>
      <c r="R156" s="933"/>
      <c r="S156" s="933"/>
      <c r="T156" s="933"/>
      <c r="U156" s="934"/>
      <c r="V156" s="932"/>
      <c r="W156" s="933"/>
      <c r="X156" s="933"/>
      <c r="Y156" s="933"/>
      <c r="Z156" s="934"/>
      <c r="AA156" s="932"/>
      <c r="AB156" s="933"/>
      <c r="AC156" s="933"/>
      <c r="AD156" s="933"/>
      <c r="AE156" s="933"/>
      <c r="AF156" s="933"/>
      <c r="AG156" s="933"/>
      <c r="AH156" s="933"/>
      <c r="AI156" s="933"/>
      <c r="AJ156" s="933"/>
      <c r="AK156" s="933"/>
      <c r="AL156" s="933"/>
      <c r="AM156" s="933"/>
      <c r="AN156" s="933"/>
      <c r="AO156" s="933"/>
      <c r="AP156" s="933"/>
      <c r="AQ156" s="933"/>
      <c r="AR156" s="933"/>
      <c r="AS156" s="933"/>
      <c r="AT156" s="933"/>
      <c r="AU156" s="933"/>
      <c r="AV156" s="933"/>
      <c r="AW156" s="933"/>
      <c r="AX156" s="934"/>
      <c r="AY156" s="939"/>
      <c r="AZ156" s="891"/>
      <c r="BA156" s="891"/>
      <c r="BB156" s="891"/>
      <c r="BC156" s="891"/>
      <c r="BD156" s="891"/>
      <c r="BE156" s="891"/>
      <c r="BF156" s="891"/>
      <c r="BG156" s="891"/>
      <c r="BH156" s="891"/>
      <c r="BI156" s="891"/>
      <c r="BJ156" s="891"/>
      <c r="BK156" s="891"/>
      <c r="BL156" s="891"/>
      <c r="BM156" s="891"/>
      <c r="BN156" s="891"/>
      <c r="BO156" s="891"/>
      <c r="BP156" s="891"/>
      <c r="BQ156" s="462"/>
      <c r="BR156" s="460"/>
      <c r="BS156" s="460"/>
      <c r="BT156" s="460"/>
      <c r="BU156" s="461"/>
      <c r="BV156" s="461"/>
      <c r="BW156" s="461"/>
      <c r="BX156" s="461"/>
      <c r="BY156" s="461"/>
      <c r="BZ156" s="461"/>
      <c r="CA156" s="461"/>
      <c r="CB156" s="461"/>
      <c r="CC156" s="461"/>
      <c r="CD156" s="461"/>
      <c r="CE156" s="461"/>
    </row>
    <row r="157" spans="1:84" ht="12" customHeight="1">
      <c r="A157" s="460"/>
      <c r="B157" s="460"/>
      <c r="C157" s="460"/>
      <c r="D157" s="460"/>
      <c r="E157" s="462"/>
      <c r="F157" s="932"/>
      <c r="G157" s="933"/>
      <c r="H157" s="933"/>
      <c r="I157" s="933"/>
      <c r="J157" s="933"/>
      <c r="K157" s="933"/>
      <c r="L157" s="933"/>
      <c r="M157" s="933"/>
      <c r="N157" s="934"/>
      <c r="O157" s="932"/>
      <c r="P157" s="933"/>
      <c r="Q157" s="933"/>
      <c r="R157" s="933"/>
      <c r="S157" s="933"/>
      <c r="T157" s="933"/>
      <c r="U157" s="934"/>
      <c r="V157" s="932"/>
      <c r="W157" s="933"/>
      <c r="X157" s="933"/>
      <c r="Y157" s="933"/>
      <c r="Z157" s="934"/>
      <c r="AA157" s="932"/>
      <c r="AB157" s="933"/>
      <c r="AC157" s="933"/>
      <c r="AD157" s="933"/>
      <c r="AE157" s="933"/>
      <c r="AF157" s="933"/>
      <c r="AG157" s="933"/>
      <c r="AH157" s="933"/>
      <c r="AI157" s="933"/>
      <c r="AJ157" s="933"/>
      <c r="AK157" s="933"/>
      <c r="AL157" s="933"/>
      <c r="AM157" s="933"/>
      <c r="AN157" s="933"/>
      <c r="AO157" s="933"/>
      <c r="AP157" s="933"/>
      <c r="AQ157" s="933"/>
      <c r="AR157" s="933"/>
      <c r="AS157" s="933"/>
      <c r="AT157" s="933"/>
      <c r="AU157" s="933"/>
      <c r="AV157" s="933"/>
      <c r="AW157" s="933"/>
      <c r="AX157" s="934"/>
      <c r="AY157" s="939"/>
      <c r="AZ157" s="891"/>
      <c r="BA157" s="891"/>
      <c r="BB157" s="891"/>
      <c r="BC157" s="891"/>
      <c r="BD157" s="891"/>
      <c r="BE157" s="891"/>
      <c r="BF157" s="891"/>
      <c r="BG157" s="891"/>
      <c r="BH157" s="891"/>
      <c r="BI157" s="891"/>
      <c r="BJ157" s="891"/>
      <c r="BK157" s="891"/>
      <c r="BL157" s="891"/>
      <c r="BM157" s="891"/>
      <c r="BN157" s="891"/>
      <c r="BO157" s="891"/>
      <c r="BP157" s="891"/>
      <c r="BQ157" s="462"/>
      <c r="BR157" s="460"/>
      <c r="BS157" s="460"/>
      <c r="BT157" s="460"/>
      <c r="BU157" s="461"/>
      <c r="BV157" s="461"/>
      <c r="BW157" s="461"/>
      <c r="BX157" s="461"/>
      <c r="BY157" s="461"/>
      <c r="BZ157" s="461"/>
      <c r="CA157" s="461"/>
      <c r="CB157" s="461"/>
      <c r="CC157" s="461"/>
      <c r="CD157" s="461"/>
      <c r="CE157" s="461"/>
    </row>
    <row r="158" spans="1:84" ht="12" customHeight="1">
      <c r="A158" s="460"/>
      <c r="B158" s="460"/>
      <c r="C158" s="460"/>
      <c r="D158" s="460"/>
      <c r="E158" s="462"/>
      <c r="F158" s="932"/>
      <c r="G158" s="933"/>
      <c r="H158" s="933"/>
      <c r="I158" s="933"/>
      <c r="J158" s="933"/>
      <c r="K158" s="933"/>
      <c r="L158" s="933"/>
      <c r="M158" s="933"/>
      <c r="N158" s="934"/>
      <c r="O158" s="932"/>
      <c r="P158" s="933"/>
      <c r="Q158" s="933"/>
      <c r="R158" s="933"/>
      <c r="S158" s="933"/>
      <c r="T158" s="933"/>
      <c r="U158" s="934"/>
      <c r="V158" s="932"/>
      <c r="W158" s="933"/>
      <c r="X158" s="933"/>
      <c r="Y158" s="933"/>
      <c r="Z158" s="934"/>
      <c r="AA158" s="932"/>
      <c r="AB158" s="933"/>
      <c r="AC158" s="933"/>
      <c r="AD158" s="933"/>
      <c r="AE158" s="933"/>
      <c r="AF158" s="933"/>
      <c r="AG158" s="933"/>
      <c r="AH158" s="933"/>
      <c r="AI158" s="933"/>
      <c r="AJ158" s="933"/>
      <c r="AK158" s="933"/>
      <c r="AL158" s="933"/>
      <c r="AM158" s="933"/>
      <c r="AN158" s="933"/>
      <c r="AO158" s="933"/>
      <c r="AP158" s="933"/>
      <c r="AQ158" s="933"/>
      <c r="AR158" s="933"/>
      <c r="AS158" s="933"/>
      <c r="AT158" s="933"/>
      <c r="AU158" s="933"/>
      <c r="AV158" s="933"/>
      <c r="AW158" s="933"/>
      <c r="AX158" s="934"/>
      <c r="AY158" s="939"/>
      <c r="AZ158" s="891"/>
      <c r="BA158" s="891"/>
      <c r="BB158" s="891"/>
      <c r="BC158" s="891"/>
      <c r="BD158" s="891"/>
      <c r="BE158" s="891"/>
      <c r="BF158" s="891"/>
      <c r="BG158" s="891"/>
      <c r="BH158" s="891"/>
      <c r="BI158" s="891"/>
      <c r="BJ158" s="891"/>
      <c r="BK158" s="891"/>
      <c r="BL158" s="891"/>
      <c r="BM158" s="891"/>
      <c r="BN158" s="891"/>
      <c r="BO158" s="891"/>
      <c r="BP158" s="891"/>
      <c r="BQ158" s="462"/>
      <c r="BR158" s="460"/>
      <c r="BS158" s="460"/>
      <c r="BT158" s="460"/>
      <c r="BU158" s="461"/>
      <c r="BV158" s="461"/>
      <c r="BW158" s="461"/>
      <c r="BX158" s="461"/>
      <c r="BY158" s="461"/>
      <c r="BZ158" s="461"/>
      <c r="CA158" s="461"/>
      <c r="CB158" s="461"/>
      <c r="CC158" s="461"/>
      <c r="CD158" s="461"/>
      <c r="CE158" s="461"/>
    </row>
    <row r="159" spans="1:84" ht="12" customHeight="1">
      <c r="A159" s="460"/>
      <c r="B159" s="460"/>
      <c r="C159" s="460"/>
      <c r="D159" s="460"/>
      <c r="E159" s="462"/>
      <c r="F159" s="932"/>
      <c r="G159" s="933"/>
      <c r="H159" s="933"/>
      <c r="I159" s="933"/>
      <c r="J159" s="933"/>
      <c r="K159" s="933"/>
      <c r="L159" s="933"/>
      <c r="M159" s="933"/>
      <c r="N159" s="934"/>
      <c r="O159" s="932"/>
      <c r="P159" s="933"/>
      <c r="Q159" s="933"/>
      <c r="R159" s="933"/>
      <c r="S159" s="933"/>
      <c r="T159" s="933"/>
      <c r="U159" s="934"/>
      <c r="V159" s="932"/>
      <c r="W159" s="933"/>
      <c r="X159" s="933"/>
      <c r="Y159" s="933"/>
      <c r="Z159" s="934"/>
      <c r="AA159" s="932"/>
      <c r="AB159" s="933"/>
      <c r="AC159" s="933"/>
      <c r="AD159" s="933"/>
      <c r="AE159" s="933"/>
      <c r="AF159" s="933"/>
      <c r="AG159" s="933"/>
      <c r="AH159" s="933"/>
      <c r="AI159" s="933"/>
      <c r="AJ159" s="933"/>
      <c r="AK159" s="933"/>
      <c r="AL159" s="933"/>
      <c r="AM159" s="933"/>
      <c r="AN159" s="933"/>
      <c r="AO159" s="933"/>
      <c r="AP159" s="933"/>
      <c r="AQ159" s="933"/>
      <c r="AR159" s="933"/>
      <c r="AS159" s="933"/>
      <c r="AT159" s="933"/>
      <c r="AU159" s="933"/>
      <c r="AV159" s="933"/>
      <c r="AW159" s="933"/>
      <c r="AX159" s="934"/>
      <c r="AY159" s="939"/>
      <c r="AZ159" s="891"/>
      <c r="BA159" s="891"/>
      <c r="BB159" s="891"/>
      <c r="BC159" s="891"/>
      <c r="BD159" s="891"/>
      <c r="BE159" s="891"/>
      <c r="BF159" s="891"/>
      <c r="BG159" s="891"/>
      <c r="BH159" s="891"/>
      <c r="BI159" s="891"/>
      <c r="BJ159" s="891"/>
      <c r="BK159" s="891"/>
      <c r="BL159" s="891"/>
      <c r="BM159" s="891"/>
      <c r="BN159" s="891"/>
      <c r="BO159" s="891"/>
      <c r="BP159" s="891"/>
      <c r="BQ159" s="462"/>
      <c r="BR159" s="460"/>
      <c r="BS159" s="460"/>
      <c r="BT159" s="460"/>
      <c r="BU159" s="461"/>
      <c r="BV159" s="461"/>
      <c r="BW159" s="461"/>
      <c r="BX159" s="461"/>
      <c r="BY159" s="461"/>
      <c r="BZ159" s="461"/>
      <c r="CA159" s="461"/>
      <c r="CB159" s="461"/>
      <c r="CC159" s="461"/>
      <c r="CD159" s="461"/>
      <c r="CE159" s="461"/>
    </row>
    <row r="160" spans="1:84" ht="12" customHeight="1">
      <c r="A160" s="460"/>
      <c r="B160" s="460"/>
      <c r="C160" s="460"/>
      <c r="D160" s="460"/>
      <c r="E160" s="462"/>
      <c r="F160" s="935"/>
      <c r="G160" s="936"/>
      <c r="H160" s="936"/>
      <c r="I160" s="936"/>
      <c r="J160" s="936"/>
      <c r="K160" s="936"/>
      <c r="L160" s="936"/>
      <c r="M160" s="936"/>
      <c r="N160" s="937"/>
      <c r="O160" s="935"/>
      <c r="P160" s="936"/>
      <c r="Q160" s="936"/>
      <c r="R160" s="936"/>
      <c r="S160" s="936"/>
      <c r="T160" s="936"/>
      <c r="U160" s="937"/>
      <c r="V160" s="935"/>
      <c r="W160" s="936"/>
      <c r="X160" s="936"/>
      <c r="Y160" s="936"/>
      <c r="Z160" s="937"/>
      <c r="AA160" s="935"/>
      <c r="AB160" s="936"/>
      <c r="AC160" s="936"/>
      <c r="AD160" s="936"/>
      <c r="AE160" s="936"/>
      <c r="AF160" s="936"/>
      <c r="AG160" s="936"/>
      <c r="AH160" s="936"/>
      <c r="AI160" s="936"/>
      <c r="AJ160" s="936"/>
      <c r="AK160" s="936"/>
      <c r="AL160" s="936"/>
      <c r="AM160" s="936"/>
      <c r="AN160" s="936"/>
      <c r="AO160" s="936"/>
      <c r="AP160" s="936"/>
      <c r="AQ160" s="936"/>
      <c r="AR160" s="936"/>
      <c r="AS160" s="936"/>
      <c r="AT160" s="936"/>
      <c r="AU160" s="936"/>
      <c r="AV160" s="936"/>
      <c r="AW160" s="936"/>
      <c r="AX160" s="937"/>
      <c r="AY160" s="940"/>
      <c r="AZ160" s="892"/>
      <c r="BA160" s="892"/>
      <c r="BB160" s="892"/>
      <c r="BC160" s="892"/>
      <c r="BD160" s="892"/>
      <c r="BE160" s="892"/>
      <c r="BF160" s="892"/>
      <c r="BG160" s="892"/>
      <c r="BH160" s="892"/>
      <c r="BI160" s="892"/>
      <c r="BJ160" s="892"/>
      <c r="BK160" s="892"/>
      <c r="BL160" s="892"/>
      <c r="BM160" s="892"/>
      <c r="BN160" s="892"/>
      <c r="BO160" s="892"/>
      <c r="BP160" s="892"/>
      <c r="BQ160" s="462"/>
      <c r="BR160" s="460"/>
      <c r="BS160" s="460"/>
      <c r="BT160" s="460"/>
      <c r="BU160" s="461"/>
      <c r="BV160" s="461"/>
      <c r="BW160" s="461"/>
      <c r="BX160" s="461"/>
      <c r="BY160" s="461"/>
      <c r="BZ160" s="461"/>
      <c r="CA160" s="461"/>
      <c r="CB160" s="461"/>
      <c r="CC160" s="461"/>
      <c r="CD160" s="461"/>
      <c r="CE160" s="461"/>
    </row>
    <row r="161" spans="1:85" ht="12" customHeight="1">
      <c r="A161" s="460"/>
      <c r="B161" s="460"/>
      <c r="C161" s="460"/>
      <c r="D161" s="460"/>
      <c r="E161" s="462"/>
      <c r="F161" s="919" t="s">
        <v>967</v>
      </c>
      <c r="G161" s="920"/>
      <c r="H161" s="920"/>
      <c r="I161" s="920"/>
      <c r="J161" s="920"/>
      <c r="K161" s="920"/>
      <c r="L161" s="920"/>
      <c r="M161" s="920"/>
      <c r="N161" s="921"/>
      <c r="O161" s="919" t="s">
        <v>968</v>
      </c>
      <c r="P161" s="920"/>
      <c r="Q161" s="920"/>
      <c r="R161" s="920"/>
      <c r="S161" s="920"/>
      <c r="T161" s="920"/>
      <c r="U161" s="921"/>
      <c r="V161" s="919" t="s">
        <v>969</v>
      </c>
      <c r="W161" s="920"/>
      <c r="X161" s="920"/>
      <c r="Y161" s="920"/>
      <c r="Z161" s="921"/>
      <c r="AA161" s="919" t="s">
        <v>970</v>
      </c>
      <c r="AB161" s="920"/>
      <c r="AC161" s="920"/>
      <c r="AD161" s="920"/>
      <c r="AE161" s="920"/>
      <c r="AF161" s="920"/>
      <c r="AG161" s="920"/>
      <c r="AH161" s="920"/>
      <c r="AI161" s="920"/>
      <c r="AJ161" s="920"/>
      <c r="AK161" s="920"/>
      <c r="AL161" s="920"/>
      <c r="AM161" s="920"/>
      <c r="AN161" s="920"/>
      <c r="AO161" s="920"/>
      <c r="AP161" s="920"/>
      <c r="AQ161" s="920"/>
      <c r="AR161" s="920"/>
      <c r="AS161" s="920"/>
      <c r="AT161" s="920"/>
      <c r="AU161" s="920"/>
      <c r="AV161" s="920"/>
      <c r="AW161" s="920"/>
      <c r="AX161" s="921"/>
      <c r="AY161" s="925" t="s">
        <v>971</v>
      </c>
      <c r="AZ161" s="926"/>
      <c r="BA161" s="925" t="s">
        <v>972</v>
      </c>
      <c r="BB161" s="926"/>
      <c r="BC161" s="925" t="s">
        <v>971</v>
      </c>
      <c r="BD161" s="926"/>
      <c r="BE161" s="925" t="s">
        <v>973</v>
      </c>
      <c r="BF161" s="926"/>
      <c r="BG161" s="925" t="s">
        <v>974</v>
      </c>
      <c r="BH161" s="926"/>
      <c r="BI161" s="925" t="s">
        <v>975</v>
      </c>
      <c r="BJ161" s="926"/>
      <c r="BK161" s="925" t="s">
        <v>976</v>
      </c>
      <c r="BL161" s="926"/>
      <c r="BM161" s="925" t="s">
        <v>977</v>
      </c>
      <c r="BN161" s="926"/>
      <c r="BO161" s="925" t="s">
        <v>978</v>
      </c>
      <c r="BP161" s="926"/>
      <c r="BQ161" s="462"/>
      <c r="BR161" s="460"/>
      <c r="BS161" s="460"/>
      <c r="BT161" s="460"/>
      <c r="BU161" s="461"/>
      <c r="BV161" s="461"/>
      <c r="BW161" s="461"/>
      <c r="BX161" s="461"/>
      <c r="BY161" s="461"/>
      <c r="BZ161" s="461"/>
      <c r="CA161" s="461"/>
      <c r="CB161" s="461"/>
      <c r="CC161" s="461"/>
      <c r="CD161" s="461"/>
      <c r="CE161" s="461"/>
    </row>
    <row r="162" spans="1:85" ht="12" customHeight="1">
      <c r="A162" s="460"/>
      <c r="B162" s="460"/>
      <c r="C162" s="460"/>
      <c r="D162" s="460"/>
      <c r="E162" s="462"/>
      <c r="F162" s="922"/>
      <c r="G162" s="923"/>
      <c r="H162" s="923"/>
      <c r="I162" s="923"/>
      <c r="J162" s="923"/>
      <c r="K162" s="923"/>
      <c r="L162" s="923"/>
      <c r="M162" s="923"/>
      <c r="N162" s="924"/>
      <c r="O162" s="922"/>
      <c r="P162" s="923"/>
      <c r="Q162" s="923"/>
      <c r="R162" s="923"/>
      <c r="S162" s="923"/>
      <c r="T162" s="923"/>
      <c r="U162" s="924"/>
      <c r="V162" s="922"/>
      <c r="W162" s="923"/>
      <c r="X162" s="923"/>
      <c r="Y162" s="923"/>
      <c r="Z162" s="924"/>
      <c r="AA162" s="922"/>
      <c r="AB162" s="923"/>
      <c r="AC162" s="923"/>
      <c r="AD162" s="923"/>
      <c r="AE162" s="923"/>
      <c r="AF162" s="923"/>
      <c r="AG162" s="923"/>
      <c r="AH162" s="923"/>
      <c r="AI162" s="923"/>
      <c r="AJ162" s="923"/>
      <c r="AK162" s="923"/>
      <c r="AL162" s="923"/>
      <c r="AM162" s="923"/>
      <c r="AN162" s="923"/>
      <c r="AO162" s="923"/>
      <c r="AP162" s="923"/>
      <c r="AQ162" s="923"/>
      <c r="AR162" s="923"/>
      <c r="AS162" s="923"/>
      <c r="AT162" s="923"/>
      <c r="AU162" s="923"/>
      <c r="AV162" s="923"/>
      <c r="AW162" s="923"/>
      <c r="AX162" s="924"/>
      <c r="AY162" s="927"/>
      <c r="AZ162" s="928"/>
      <c r="BA162" s="927"/>
      <c r="BB162" s="928"/>
      <c r="BC162" s="927"/>
      <c r="BD162" s="928"/>
      <c r="BE162" s="927"/>
      <c r="BF162" s="928"/>
      <c r="BG162" s="927"/>
      <c r="BH162" s="928"/>
      <c r="BI162" s="927"/>
      <c r="BJ162" s="928"/>
      <c r="BK162" s="927"/>
      <c r="BL162" s="928"/>
      <c r="BM162" s="927"/>
      <c r="BN162" s="928"/>
      <c r="BO162" s="927"/>
      <c r="BP162" s="928"/>
      <c r="BQ162" s="462"/>
      <c r="BR162" s="460"/>
      <c r="BS162" s="460"/>
      <c r="BT162" s="460"/>
      <c r="BU162" s="461"/>
      <c r="BV162" s="461"/>
      <c r="BW162" s="461"/>
      <c r="BX162" s="461"/>
      <c r="BY162" s="461"/>
      <c r="BZ162" s="461"/>
      <c r="CA162" s="461"/>
      <c r="CB162" s="461"/>
      <c r="CC162" s="461"/>
      <c r="CD162" s="461"/>
      <c r="CE162" s="461"/>
    </row>
    <row r="163" spans="1:85" ht="12" customHeight="1">
      <c r="A163" s="460"/>
      <c r="B163" s="460"/>
      <c r="C163" s="460"/>
      <c r="D163" s="460"/>
      <c r="E163" s="462"/>
      <c r="F163" s="919" t="s">
        <v>979</v>
      </c>
      <c r="G163" s="920"/>
      <c r="H163" s="920"/>
      <c r="I163" s="920"/>
      <c r="J163" s="920"/>
      <c r="K163" s="920"/>
      <c r="L163" s="920"/>
      <c r="M163" s="920"/>
      <c r="N163" s="921"/>
      <c r="O163" s="919" t="s">
        <v>980</v>
      </c>
      <c r="P163" s="920"/>
      <c r="Q163" s="920"/>
      <c r="R163" s="920"/>
      <c r="S163" s="920"/>
      <c r="T163" s="920"/>
      <c r="U163" s="921"/>
      <c r="V163" s="919" t="s">
        <v>559</v>
      </c>
      <c r="W163" s="920"/>
      <c r="X163" s="920"/>
      <c r="Y163" s="920"/>
      <c r="Z163" s="921"/>
      <c r="AA163" s="919" t="s">
        <v>981</v>
      </c>
      <c r="AB163" s="920"/>
      <c r="AC163" s="920"/>
      <c r="AD163" s="920"/>
      <c r="AE163" s="920"/>
      <c r="AF163" s="920"/>
      <c r="AG163" s="920"/>
      <c r="AH163" s="920"/>
      <c r="AI163" s="920"/>
      <c r="AJ163" s="920"/>
      <c r="AK163" s="920"/>
      <c r="AL163" s="920"/>
      <c r="AM163" s="920"/>
      <c r="AN163" s="920"/>
      <c r="AO163" s="920"/>
      <c r="AP163" s="920"/>
      <c r="AQ163" s="920"/>
      <c r="AR163" s="920"/>
      <c r="AS163" s="920"/>
      <c r="AT163" s="920"/>
      <c r="AU163" s="920"/>
      <c r="AV163" s="920"/>
      <c r="AW163" s="920"/>
      <c r="AX163" s="921"/>
      <c r="AY163" s="925" t="s">
        <v>972</v>
      </c>
      <c r="AZ163" s="926"/>
      <c r="BA163" s="925" t="s">
        <v>971</v>
      </c>
      <c r="BB163" s="926"/>
      <c r="BC163" s="925" t="s">
        <v>971</v>
      </c>
      <c r="BD163" s="926"/>
      <c r="BE163" s="925" t="s">
        <v>1081</v>
      </c>
      <c r="BF163" s="926"/>
      <c r="BG163" s="925" t="s">
        <v>974</v>
      </c>
      <c r="BH163" s="926"/>
      <c r="BI163" s="925" t="s">
        <v>982</v>
      </c>
      <c r="BJ163" s="926"/>
      <c r="BK163" s="925" t="s">
        <v>983</v>
      </c>
      <c r="BL163" s="926"/>
      <c r="BM163" s="925" t="s">
        <v>977</v>
      </c>
      <c r="BN163" s="926"/>
      <c r="BO163" s="925" t="s">
        <v>984</v>
      </c>
      <c r="BP163" s="926"/>
      <c r="BQ163" s="462"/>
      <c r="BR163" s="460"/>
      <c r="BS163" s="460"/>
      <c r="BT163" s="460"/>
      <c r="BU163" s="461"/>
      <c r="BV163" s="461"/>
      <c r="BW163" s="461"/>
      <c r="BX163" s="461"/>
      <c r="BY163" s="461"/>
      <c r="BZ163" s="461"/>
      <c r="CA163" s="461"/>
      <c r="CB163" s="461"/>
      <c r="CC163" s="461"/>
      <c r="CD163" s="461"/>
      <c r="CE163" s="461"/>
    </row>
    <row r="164" spans="1:85" ht="12" customHeight="1">
      <c r="A164" s="460"/>
      <c r="B164" s="460"/>
      <c r="C164" s="460"/>
      <c r="D164" s="460"/>
      <c r="E164" s="462"/>
      <c r="F164" s="922"/>
      <c r="G164" s="923"/>
      <c r="H164" s="923"/>
      <c r="I164" s="923"/>
      <c r="J164" s="923"/>
      <c r="K164" s="923"/>
      <c r="L164" s="923"/>
      <c r="M164" s="923"/>
      <c r="N164" s="924"/>
      <c r="O164" s="922"/>
      <c r="P164" s="923"/>
      <c r="Q164" s="923"/>
      <c r="R164" s="923"/>
      <c r="S164" s="923"/>
      <c r="T164" s="923"/>
      <c r="U164" s="924"/>
      <c r="V164" s="922"/>
      <c r="W164" s="923"/>
      <c r="X164" s="923"/>
      <c r="Y164" s="923"/>
      <c r="Z164" s="924"/>
      <c r="AA164" s="922"/>
      <c r="AB164" s="923"/>
      <c r="AC164" s="923"/>
      <c r="AD164" s="923"/>
      <c r="AE164" s="923"/>
      <c r="AF164" s="923"/>
      <c r="AG164" s="923"/>
      <c r="AH164" s="923"/>
      <c r="AI164" s="923"/>
      <c r="AJ164" s="923"/>
      <c r="AK164" s="923"/>
      <c r="AL164" s="923"/>
      <c r="AM164" s="923"/>
      <c r="AN164" s="923"/>
      <c r="AO164" s="923"/>
      <c r="AP164" s="923"/>
      <c r="AQ164" s="923"/>
      <c r="AR164" s="923"/>
      <c r="AS164" s="923"/>
      <c r="AT164" s="923"/>
      <c r="AU164" s="923"/>
      <c r="AV164" s="923"/>
      <c r="AW164" s="923"/>
      <c r="AX164" s="924"/>
      <c r="AY164" s="927"/>
      <c r="AZ164" s="928"/>
      <c r="BA164" s="927"/>
      <c r="BB164" s="928"/>
      <c r="BC164" s="927"/>
      <c r="BD164" s="928"/>
      <c r="BE164" s="927"/>
      <c r="BF164" s="928"/>
      <c r="BG164" s="927"/>
      <c r="BH164" s="928"/>
      <c r="BI164" s="927"/>
      <c r="BJ164" s="928"/>
      <c r="BK164" s="927"/>
      <c r="BL164" s="928"/>
      <c r="BM164" s="927"/>
      <c r="BN164" s="928"/>
      <c r="BO164" s="927"/>
      <c r="BP164" s="928"/>
      <c r="BQ164" s="462"/>
      <c r="BR164" s="460"/>
      <c r="BS164" s="460"/>
      <c r="BT164" s="460"/>
      <c r="BU164" s="461"/>
      <c r="BV164" s="461"/>
      <c r="BW164" s="461"/>
      <c r="BX164" s="461"/>
      <c r="BY164" s="461"/>
      <c r="BZ164" s="461"/>
      <c r="CA164" s="461"/>
      <c r="CB164" s="461"/>
      <c r="CC164" s="461"/>
      <c r="CD164" s="461"/>
      <c r="CE164" s="461"/>
    </row>
    <row r="165" spans="1:85" ht="12" customHeight="1">
      <c r="A165" s="55"/>
      <c r="B165" s="55"/>
      <c r="C165" s="391"/>
      <c r="D165" s="391"/>
      <c r="E165" s="5"/>
      <c r="F165" s="953" t="s">
        <v>1208</v>
      </c>
      <c r="G165" s="954"/>
      <c r="H165" s="954"/>
      <c r="I165" s="954"/>
      <c r="J165" s="954"/>
      <c r="K165" s="954"/>
      <c r="L165" s="954"/>
      <c r="M165" s="954"/>
      <c r="N165" s="955"/>
      <c r="O165" s="953" t="s">
        <v>1209</v>
      </c>
      <c r="P165" s="954"/>
      <c r="Q165" s="954"/>
      <c r="R165" s="954"/>
      <c r="S165" s="954"/>
      <c r="T165" s="954"/>
      <c r="U165" s="955"/>
      <c r="V165" s="953" t="s">
        <v>551</v>
      </c>
      <c r="W165" s="954"/>
      <c r="X165" s="954"/>
      <c r="Y165" s="954"/>
      <c r="Z165" s="955"/>
      <c r="AA165" s="953" t="s">
        <v>1210</v>
      </c>
      <c r="AB165" s="954"/>
      <c r="AC165" s="954"/>
      <c r="AD165" s="954"/>
      <c r="AE165" s="954"/>
      <c r="AF165" s="954"/>
      <c r="AG165" s="954"/>
      <c r="AH165" s="954"/>
      <c r="AI165" s="954"/>
      <c r="AJ165" s="954"/>
      <c r="AK165" s="954"/>
      <c r="AL165" s="954"/>
      <c r="AM165" s="954"/>
      <c r="AN165" s="954"/>
      <c r="AO165" s="954"/>
      <c r="AP165" s="954"/>
      <c r="AQ165" s="954"/>
      <c r="AR165" s="954"/>
      <c r="AS165" s="954"/>
      <c r="AT165" s="954"/>
      <c r="AU165" s="954"/>
      <c r="AV165" s="954"/>
      <c r="AW165" s="954"/>
      <c r="AX165" s="955"/>
      <c r="AY165" s="956" t="s">
        <v>1211</v>
      </c>
      <c r="AZ165" s="957"/>
      <c r="BA165" s="956" t="s">
        <v>754</v>
      </c>
      <c r="BB165" s="957"/>
      <c r="BC165" s="956" t="s">
        <v>1212</v>
      </c>
      <c r="BD165" s="957"/>
      <c r="BE165" s="956" t="s">
        <v>1213</v>
      </c>
      <c r="BF165" s="957"/>
      <c r="BG165" s="956" t="s">
        <v>552</v>
      </c>
      <c r="BH165" s="957"/>
      <c r="BI165" s="956" t="s">
        <v>754</v>
      </c>
      <c r="BJ165" s="957"/>
      <c r="BK165" s="956" t="s">
        <v>1213</v>
      </c>
      <c r="BL165" s="957"/>
      <c r="BM165" s="956" t="s">
        <v>1214</v>
      </c>
      <c r="BN165" s="957"/>
      <c r="BO165" s="956" t="s">
        <v>1211</v>
      </c>
      <c r="BP165" s="957"/>
      <c r="BQ165" s="5"/>
      <c r="BR165" s="391"/>
      <c r="BS165" s="391"/>
      <c r="BT165" s="391"/>
    </row>
    <row r="166" spans="1:85" ht="12" customHeight="1">
      <c r="A166" s="55"/>
      <c r="B166" s="55"/>
      <c r="C166" s="391"/>
      <c r="D166" s="391"/>
      <c r="E166" s="5"/>
      <c r="F166" s="958"/>
      <c r="G166" s="959"/>
      <c r="H166" s="959"/>
      <c r="I166" s="959"/>
      <c r="J166" s="959"/>
      <c r="K166" s="959"/>
      <c r="L166" s="959"/>
      <c r="M166" s="959"/>
      <c r="N166" s="960"/>
      <c r="O166" s="958"/>
      <c r="P166" s="959"/>
      <c r="Q166" s="959"/>
      <c r="R166" s="959"/>
      <c r="S166" s="959"/>
      <c r="T166" s="959"/>
      <c r="U166" s="960"/>
      <c r="V166" s="958"/>
      <c r="W166" s="959"/>
      <c r="X166" s="959"/>
      <c r="Y166" s="959"/>
      <c r="Z166" s="960"/>
      <c r="AA166" s="958"/>
      <c r="AB166" s="959"/>
      <c r="AC166" s="959"/>
      <c r="AD166" s="959"/>
      <c r="AE166" s="959"/>
      <c r="AF166" s="959"/>
      <c r="AG166" s="959"/>
      <c r="AH166" s="959"/>
      <c r="AI166" s="959"/>
      <c r="AJ166" s="959"/>
      <c r="AK166" s="959"/>
      <c r="AL166" s="959"/>
      <c r="AM166" s="959"/>
      <c r="AN166" s="959"/>
      <c r="AO166" s="959"/>
      <c r="AP166" s="959"/>
      <c r="AQ166" s="959"/>
      <c r="AR166" s="959"/>
      <c r="AS166" s="959"/>
      <c r="AT166" s="959"/>
      <c r="AU166" s="959"/>
      <c r="AV166" s="959"/>
      <c r="AW166" s="959"/>
      <c r="AX166" s="960"/>
      <c r="AY166" s="961"/>
      <c r="AZ166" s="962"/>
      <c r="BA166" s="961"/>
      <c r="BB166" s="962"/>
      <c r="BC166" s="961"/>
      <c r="BD166" s="962"/>
      <c r="BE166" s="961"/>
      <c r="BF166" s="962"/>
      <c r="BG166" s="961"/>
      <c r="BH166" s="962"/>
      <c r="BI166" s="961"/>
      <c r="BJ166" s="962"/>
      <c r="BK166" s="961"/>
      <c r="BL166" s="962"/>
      <c r="BM166" s="961"/>
      <c r="BN166" s="962"/>
      <c r="BO166" s="961"/>
      <c r="BP166" s="962"/>
      <c r="BQ166" s="5"/>
      <c r="BR166" s="391"/>
      <c r="BS166" s="391"/>
      <c r="BT166" s="391"/>
    </row>
    <row r="167" spans="1:85" ht="12" customHeight="1">
      <c r="A167" s="55"/>
      <c r="B167" s="55"/>
      <c r="C167" s="391"/>
      <c r="D167" s="391"/>
      <c r="E167" s="5"/>
      <c r="F167" s="953" t="s">
        <v>1215</v>
      </c>
      <c r="G167" s="954"/>
      <c r="H167" s="954"/>
      <c r="I167" s="954"/>
      <c r="J167" s="954"/>
      <c r="K167" s="954"/>
      <c r="L167" s="954"/>
      <c r="M167" s="954"/>
      <c r="N167" s="955"/>
      <c r="O167" s="953" t="s">
        <v>1216</v>
      </c>
      <c r="P167" s="954"/>
      <c r="Q167" s="954"/>
      <c r="R167" s="954"/>
      <c r="S167" s="954"/>
      <c r="T167" s="954"/>
      <c r="U167" s="955"/>
      <c r="V167" s="953" t="s">
        <v>390</v>
      </c>
      <c r="W167" s="954"/>
      <c r="X167" s="954"/>
      <c r="Y167" s="954"/>
      <c r="Z167" s="955"/>
      <c r="AA167" s="953" t="s">
        <v>1217</v>
      </c>
      <c r="AB167" s="954"/>
      <c r="AC167" s="954"/>
      <c r="AD167" s="954"/>
      <c r="AE167" s="954"/>
      <c r="AF167" s="954"/>
      <c r="AG167" s="954"/>
      <c r="AH167" s="954"/>
      <c r="AI167" s="954"/>
      <c r="AJ167" s="954"/>
      <c r="AK167" s="954"/>
      <c r="AL167" s="954"/>
      <c r="AM167" s="954"/>
      <c r="AN167" s="954"/>
      <c r="AO167" s="954"/>
      <c r="AP167" s="954"/>
      <c r="AQ167" s="954"/>
      <c r="AR167" s="954"/>
      <c r="AS167" s="954"/>
      <c r="AT167" s="954"/>
      <c r="AU167" s="954"/>
      <c r="AV167" s="954"/>
      <c r="AW167" s="954"/>
      <c r="AX167" s="955"/>
      <c r="AY167" s="956" t="s">
        <v>1218</v>
      </c>
      <c r="AZ167" s="957"/>
      <c r="BA167" s="956" t="s">
        <v>1211</v>
      </c>
      <c r="BB167" s="957"/>
      <c r="BC167" s="956" t="s">
        <v>1211</v>
      </c>
      <c r="BD167" s="957"/>
      <c r="BE167" s="956" t="s">
        <v>1213</v>
      </c>
      <c r="BF167" s="957"/>
      <c r="BG167" s="956" t="s">
        <v>552</v>
      </c>
      <c r="BH167" s="957"/>
      <c r="BI167" s="956" t="s">
        <v>1211</v>
      </c>
      <c r="BJ167" s="957"/>
      <c r="BK167" s="956" t="s">
        <v>520</v>
      </c>
      <c r="BL167" s="957"/>
      <c r="BM167" s="956" t="s">
        <v>1213</v>
      </c>
      <c r="BN167" s="957"/>
      <c r="BO167" s="956" t="s">
        <v>754</v>
      </c>
      <c r="BP167" s="957"/>
      <c r="BQ167" s="5"/>
      <c r="BR167" s="391"/>
      <c r="BS167" s="391"/>
      <c r="BT167" s="391"/>
    </row>
    <row r="168" spans="1:85" ht="12" customHeight="1">
      <c r="A168" s="55"/>
      <c r="B168" s="55"/>
      <c r="C168" s="391"/>
      <c r="D168" s="391"/>
      <c r="E168" s="5"/>
      <c r="F168" s="958"/>
      <c r="G168" s="959"/>
      <c r="H168" s="959"/>
      <c r="I168" s="959"/>
      <c r="J168" s="959"/>
      <c r="K168" s="959"/>
      <c r="L168" s="959"/>
      <c r="M168" s="959"/>
      <c r="N168" s="960"/>
      <c r="O168" s="958"/>
      <c r="P168" s="959"/>
      <c r="Q168" s="959"/>
      <c r="R168" s="959"/>
      <c r="S168" s="959"/>
      <c r="T168" s="959"/>
      <c r="U168" s="960"/>
      <c r="V168" s="958"/>
      <c r="W168" s="959"/>
      <c r="X168" s="959"/>
      <c r="Y168" s="959"/>
      <c r="Z168" s="960"/>
      <c r="AA168" s="958"/>
      <c r="AB168" s="959"/>
      <c r="AC168" s="959"/>
      <c r="AD168" s="959"/>
      <c r="AE168" s="959"/>
      <c r="AF168" s="959"/>
      <c r="AG168" s="959"/>
      <c r="AH168" s="959"/>
      <c r="AI168" s="959"/>
      <c r="AJ168" s="959"/>
      <c r="AK168" s="959"/>
      <c r="AL168" s="959"/>
      <c r="AM168" s="959"/>
      <c r="AN168" s="959"/>
      <c r="AO168" s="959"/>
      <c r="AP168" s="959"/>
      <c r="AQ168" s="959"/>
      <c r="AR168" s="959"/>
      <c r="AS168" s="959"/>
      <c r="AT168" s="959"/>
      <c r="AU168" s="959"/>
      <c r="AV168" s="959"/>
      <c r="AW168" s="959"/>
      <c r="AX168" s="960"/>
      <c r="AY168" s="961"/>
      <c r="AZ168" s="962"/>
      <c r="BA168" s="961"/>
      <c r="BB168" s="962"/>
      <c r="BC168" s="961"/>
      <c r="BD168" s="962"/>
      <c r="BE168" s="961"/>
      <c r="BF168" s="962"/>
      <c r="BG168" s="961"/>
      <c r="BH168" s="962"/>
      <c r="BI168" s="961"/>
      <c r="BJ168" s="962"/>
      <c r="BK168" s="961"/>
      <c r="BL168" s="962"/>
      <c r="BM168" s="961"/>
      <c r="BN168" s="962"/>
      <c r="BO168" s="961"/>
      <c r="BP168" s="962"/>
      <c r="BQ168" s="5"/>
      <c r="BR168" s="391"/>
      <c r="BS168" s="391"/>
      <c r="BT168" s="391"/>
    </row>
    <row r="169" spans="1:85" ht="12" customHeight="1">
      <c r="A169" s="460"/>
      <c r="B169" s="460"/>
      <c r="C169" s="460"/>
      <c r="D169" s="460"/>
      <c r="E169" s="462"/>
      <c r="F169" s="460" t="s">
        <v>517</v>
      </c>
      <c r="G169" s="460"/>
      <c r="H169" s="460"/>
      <c r="I169" s="460"/>
      <c r="J169" s="460"/>
      <c r="K169" s="460"/>
      <c r="L169" s="460"/>
      <c r="M169" s="460"/>
      <c r="N169" s="460"/>
      <c r="O169" s="460"/>
      <c r="P169" s="460"/>
      <c r="Q169" s="460"/>
      <c r="R169" s="460"/>
      <c r="S169" s="460"/>
      <c r="T169" s="460"/>
      <c r="U169" s="460"/>
      <c r="V169" s="460"/>
      <c r="W169" s="460"/>
      <c r="X169" s="460"/>
      <c r="Y169" s="460"/>
      <c r="Z169" s="464"/>
      <c r="AA169" s="464"/>
      <c r="AB169" s="464"/>
      <c r="AC169" s="464"/>
      <c r="AD169" s="464"/>
      <c r="AE169" s="464"/>
      <c r="AF169" s="464"/>
      <c r="AG169" s="464"/>
      <c r="AH169" s="464"/>
      <c r="AI169" s="464"/>
      <c r="AJ169" s="464"/>
      <c r="AK169" s="464"/>
      <c r="AL169" s="464"/>
      <c r="AM169" s="464"/>
      <c r="AN169" s="464"/>
      <c r="AO169" s="464"/>
      <c r="AP169" s="464"/>
      <c r="AQ169" s="464"/>
      <c r="AR169" s="464"/>
      <c r="AS169" s="464"/>
      <c r="AT169" s="464"/>
      <c r="AU169" s="464"/>
      <c r="AV169" s="464"/>
      <c r="AW169" s="464"/>
      <c r="AX169" s="464"/>
      <c r="AY169" s="464"/>
      <c r="AZ169" s="464"/>
      <c r="BA169" s="464"/>
      <c r="BB169" s="464"/>
      <c r="BC169" s="464"/>
      <c r="BD169" s="465"/>
      <c r="BE169" s="465"/>
      <c r="BF169" s="465"/>
      <c r="BG169" s="465"/>
      <c r="BH169" s="465"/>
      <c r="BI169" s="465"/>
      <c r="BJ169" s="465"/>
      <c r="BK169" s="465"/>
      <c r="BL169" s="465"/>
      <c r="BM169" s="465"/>
      <c r="BN169" s="465"/>
      <c r="BO169" s="465"/>
      <c r="BP169" s="465"/>
      <c r="BQ169" s="465"/>
      <c r="BR169" s="465"/>
      <c r="BS169" s="465"/>
      <c r="BT169" s="465"/>
      <c r="BU169" s="465"/>
      <c r="BV169" s="465"/>
      <c r="BW169" s="465"/>
      <c r="BX169" s="465"/>
      <c r="BY169" s="465"/>
      <c r="BZ169" s="465"/>
      <c r="CA169" s="465"/>
      <c r="CB169" s="462"/>
      <c r="CC169" s="462"/>
      <c r="CD169" s="462"/>
      <c r="CE169" s="462"/>
    </row>
    <row r="170" spans="1:85" ht="12" customHeight="1">
      <c r="A170" s="460"/>
      <c r="B170" s="460"/>
      <c r="C170" s="460"/>
      <c r="D170" s="460"/>
      <c r="E170" s="462"/>
      <c r="F170" s="460" t="s">
        <v>985</v>
      </c>
      <c r="G170" s="460"/>
      <c r="H170" s="460"/>
      <c r="I170" s="460"/>
      <c r="J170" s="460"/>
      <c r="K170" s="460"/>
      <c r="L170" s="460"/>
      <c r="M170" s="460"/>
      <c r="N170" s="460"/>
      <c r="O170" s="460"/>
      <c r="P170" s="460"/>
      <c r="Q170" s="460"/>
      <c r="R170" s="460"/>
      <c r="S170" s="460"/>
      <c r="T170" s="460"/>
      <c r="U170" s="460"/>
      <c r="V170" s="460"/>
      <c r="W170" s="460"/>
      <c r="X170" s="460"/>
      <c r="Y170" s="460"/>
      <c r="Z170" s="464"/>
      <c r="AA170" s="464"/>
      <c r="AB170" s="464"/>
      <c r="AC170" s="464"/>
      <c r="AD170" s="464"/>
      <c r="AE170" s="464"/>
      <c r="AF170" s="464"/>
      <c r="AG170" s="464"/>
      <c r="AH170" s="464"/>
      <c r="AI170" s="464"/>
      <c r="AJ170" s="464"/>
      <c r="AK170" s="464"/>
      <c r="AL170" s="464"/>
      <c r="AM170" s="464"/>
      <c r="AN170" s="464"/>
      <c r="AO170" s="464"/>
      <c r="AP170" s="464"/>
      <c r="AQ170" s="464"/>
      <c r="AR170" s="464"/>
      <c r="AS170" s="464"/>
      <c r="AT170" s="464"/>
      <c r="AU170" s="464"/>
      <c r="AV170" s="464"/>
      <c r="AW170" s="464"/>
      <c r="AX170" s="464"/>
      <c r="AY170" s="464"/>
      <c r="AZ170" s="464"/>
      <c r="BA170" s="464"/>
      <c r="BB170" s="464"/>
      <c r="BC170" s="464"/>
      <c r="BD170" s="465"/>
      <c r="BE170" s="465"/>
      <c r="BF170" s="465"/>
      <c r="BG170" s="465"/>
      <c r="BH170" s="465"/>
      <c r="BI170" s="465"/>
      <c r="BJ170" s="465"/>
      <c r="BK170" s="465"/>
      <c r="BL170" s="465"/>
      <c r="BM170" s="465"/>
      <c r="BN170" s="465"/>
      <c r="BO170" s="465"/>
      <c r="BP170" s="465"/>
      <c r="BQ170" s="465"/>
      <c r="BR170" s="465"/>
      <c r="BS170" s="465"/>
      <c r="BT170" s="465"/>
      <c r="BU170" s="465"/>
      <c r="BV170" s="465"/>
      <c r="BW170" s="465"/>
      <c r="BX170" s="465"/>
      <c r="BY170" s="465"/>
      <c r="BZ170" s="465"/>
      <c r="CA170" s="465"/>
      <c r="CB170" s="462"/>
      <c r="CC170" s="462"/>
      <c r="CD170" s="462"/>
      <c r="CE170" s="462"/>
    </row>
    <row r="171" spans="1:85" ht="12" customHeight="1">
      <c r="A171" s="460"/>
      <c r="B171" s="460"/>
      <c r="C171" s="460"/>
      <c r="D171" s="460"/>
      <c r="E171" s="460"/>
      <c r="F171" s="460"/>
      <c r="G171" s="460"/>
      <c r="H171" s="460"/>
      <c r="I171" s="460"/>
      <c r="J171" s="460"/>
      <c r="K171" s="460"/>
      <c r="L171" s="460"/>
      <c r="M171" s="460"/>
      <c r="N171" s="460"/>
      <c r="O171" s="460"/>
      <c r="P171" s="460"/>
      <c r="Q171" s="460"/>
      <c r="R171" s="460"/>
      <c r="S171" s="460"/>
      <c r="T171" s="460"/>
      <c r="U171" s="460"/>
      <c r="V171" s="460"/>
      <c r="W171" s="460"/>
      <c r="X171" s="460"/>
      <c r="Y171" s="460"/>
      <c r="Z171" s="460"/>
      <c r="AA171" s="460"/>
      <c r="AB171" s="460"/>
      <c r="AC171" s="460"/>
      <c r="AD171" s="460"/>
      <c r="AE171" s="460"/>
      <c r="AF171" s="460"/>
      <c r="AG171" s="460"/>
      <c r="AH171" s="460"/>
      <c r="AI171" s="460"/>
      <c r="AJ171" s="460"/>
      <c r="AK171" s="460"/>
      <c r="AL171" s="460"/>
      <c r="AM171" s="460"/>
      <c r="AN171" s="460"/>
      <c r="AO171" s="460"/>
      <c r="AP171" s="460"/>
      <c r="AQ171" s="460"/>
      <c r="AR171" s="460"/>
      <c r="AS171" s="460"/>
      <c r="AT171" s="460"/>
      <c r="AU171" s="460"/>
      <c r="AV171" s="460"/>
      <c r="AW171" s="460"/>
      <c r="AX171" s="460"/>
      <c r="AY171" s="460"/>
      <c r="AZ171" s="460"/>
      <c r="BA171" s="460"/>
      <c r="BB171" s="460"/>
      <c r="BC171" s="460"/>
      <c r="BD171" s="460"/>
      <c r="BE171" s="460"/>
      <c r="BF171" s="460"/>
      <c r="BG171" s="460"/>
      <c r="BH171" s="460"/>
      <c r="BI171" s="460"/>
      <c r="BJ171" s="460"/>
      <c r="BK171" s="460"/>
      <c r="BL171" s="460"/>
      <c r="BM171" s="460"/>
      <c r="BN171" s="460"/>
      <c r="BO171" s="460"/>
      <c r="BP171" s="460"/>
      <c r="BQ171" s="460"/>
      <c r="BR171" s="460"/>
      <c r="BS171" s="460"/>
      <c r="BT171" s="460"/>
      <c r="BU171" s="460"/>
      <c r="BV171" s="460"/>
      <c r="BW171" s="460"/>
      <c r="BX171" s="460"/>
      <c r="BY171" s="460"/>
      <c r="BZ171" s="462"/>
      <c r="CA171" s="462"/>
      <c r="CB171" s="462"/>
      <c r="CC171" s="462"/>
      <c r="CD171" s="460"/>
      <c r="CE171" s="460"/>
      <c r="CF171" s="3"/>
      <c r="CG171" s="3"/>
    </row>
    <row r="172" spans="1:85" ht="12" customHeight="1">
      <c r="A172" s="460"/>
      <c r="B172" s="460"/>
      <c r="C172" s="460"/>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5"/>
      <c r="CA172" s="5"/>
      <c r="CB172" s="5"/>
      <c r="CC172" s="5"/>
      <c r="CD172" s="3"/>
      <c r="CE172" s="3"/>
      <c r="CF172" s="3"/>
      <c r="CG172" s="3"/>
    </row>
    <row r="173" spans="1:85" ht="12" customHeight="1">
      <c r="A173" s="460"/>
      <c r="B173" s="460"/>
      <c r="C173" s="460" t="s">
        <v>1005</v>
      </c>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3"/>
      <c r="CE173" s="3"/>
      <c r="CF173" s="3"/>
      <c r="CG173" s="3"/>
    </row>
    <row r="174" spans="1:85" ht="12"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5"/>
      <c r="BH174" s="5"/>
      <c r="BI174" s="5"/>
      <c r="BJ174" s="5"/>
      <c r="BK174" s="5"/>
      <c r="BL174" s="5"/>
      <c r="BM174" s="5"/>
      <c r="BN174" s="5"/>
      <c r="BO174" s="5"/>
      <c r="BP174" s="5"/>
      <c r="BQ174" s="5"/>
      <c r="BR174" s="5"/>
      <c r="BS174" s="5"/>
      <c r="BT174" s="5"/>
      <c r="BU174" s="5"/>
      <c r="BV174" s="5"/>
      <c r="BW174" s="5"/>
      <c r="BX174" s="5"/>
      <c r="BY174" s="5"/>
      <c r="BZ174" s="3"/>
      <c r="CA174" s="3"/>
      <c r="CB174" s="3"/>
      <c r="CC174" s="5"/>
      <c r="CD174" s="3"/>
      <c r="CE174" s="3"/>
      <c r="CF174" s="3"/>
      <c r="CG174" s="3"/>
    </row>
    <row r="175" spans="1:85" ht="12" customHeight="1">
      <c r="A175" s="3"/>
      <c r="B175" s="3"/>
      <c r="C175" s="3"/>
      <c r="D175" s="3" t="s">
        <v>477</v>
      </c>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5"/>
      <c r="BH175" s="5"/>
      <c r="BI175" s="5"/>
      <c r="BJ175" s="5"/>
      <c r="BK175" s="5"/>
      <c r="BL175" s="5"/>
      <c r="BM175" s="5"/>
      <c r="BN175" s="5"/>
      <c r="BO175" s="5"/>
      <c r="BP175" s="5"/>
      <c r="BQ175" s="5"/>
      <c r="BR175" s="5"/>
      <c r="BS175" s="5"/>
      <c r="BT175" s="5"/>
      <c r="BU175" s="5"/>
      <c r="BV175" s="5"/>
      <c r="BW175" s="5"/>
      <c r="BX175" s="5"/>
      <c r="BY175" s="5"/>
      <c r="BZ175" s="3"/>
      <c r="CA175" s="3"/>
      <c r="CB175" s="3"/>
      <c r="CC175" s="5"/>
      <c r="CD175" s="3"/>
      <c r="CE175" s="3"/>
      <c r="CF175" s="3"/>
      <c r="CG175" s="3"/>
    </row>
    <row r="176" spans="1:85" ht="12"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5"/>
      <c r="BH176" s="5"/>
      <c r="BI176" s="5"/>
      <c r="BJ176" s="5"/>
      <c r="BK176" s="5"/>
      <c r="BL176" s="5"/>
      <c r="BM176" s="5"/>
      <c r="BN176" s="5"/>
      <c r="BO176" s="5"/>
      <c r="BP176" s="5"/>
      <c r="BQ176" s="5"/>
      <c r="BR176" s="5"/>
      <c r="BS176" s="5"/>
      <c r="BT176" s="5"/>
      <c r="BU176" s="5"/>
      <c r="BV176" s="5"/>
      <c r="BW176" s="5"/>
      <c r="BX176" s="5"/>
      <c r="BY176" s="5"/>
      <c r="BZ176" s="3"/>
      <c r="CA176" s="3"/>
      <c r="CB176" s="3"/>
      <c r="CC176" s="5"/>
      <c r="CD176" s="3"/>
      <c r="CE176" s="3"/>
      <c r="CF176" s="3"/>
      <c r="CG176" s="3"/>
    </row>
    <row r="177" spans="1:88" ht="12" customHeight="1">
      <c r="A177" s="3"/>
      <c r="B177" s="3"/>
      <c r="C177" s="3"/>
      <c r="D177" s="3"/>
      <c r="E177" s="3" t="s">
        <v>394</v>
      </c>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5"/>
      <c r="BH177" s="5"/>
      <c r="BI177" s="5"/>
      <c r="BJ177" s="5"/>
      <c r="BK177" s="5"/>
      <c r="BL177" s="5"/>
      <c r="BM177" s="5"/>
      <c r="BN177" s="5"/>
      <c r="BO177" s="5"/>
      <c r="BP177" s="5"/>
      <c r="BQ177" s="5"/>
      <c r="BR177" s="5"/>
      <c r="BS177" s="5"/>
      <c r="BT177" s="5"/>
      <c r="BU177" s="5"/>
      <c r="BV177" s="5"/>
      <c r="BW177" s="5"/>
      <c r="BX177" s="5"/>
      <c r="BY177" s="5"/>
      <c r="BZ177" s="3"/>
      <c r="CA177" s="3"/>
      <c r="CB177" s="3"/>
      <c r="CC177" s="5"/>
      <c r="CD177" s="3"/>
      <c r="CE177" s="3"/>
      <c r="CF177" s="3"/>
      <c r="CG177" s="3"/>
    </row>
    <row r="178" spans="1:88" ht="12"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5"/>
      <c r="BH178" s="5"/>
      <c r="BI178" s="5"/>
      <c r="BJ178" s="5"/>
      <c r="BK178" s="5"/>
      <c r="BL178" s="5"/>
      <c r="BM178" s="5"/>
      <c r="BN178" s="5"/>
      <c r="BO178" s="5"/>
      <c r="BP178" s="5"/>
      <c r="BQ178" s="5"/>
      <c r="BR178" s="5"/>
      <c r="BS178" s="5"/>
      <c r="BT178" s="5"/>
      <c r="BU178" s="5"/>
      <c r="BV178" s="5"/>
      <c r="BW178" s="5"/>
      <c r="BX178" s="5"/>
      <c r="BY178" s="5"/>
      <c r="BZ178" s="3"/>
      <c r="CA178" s="3"/>
      <c r="CB178" s="3"/>
      <c r="CC178" s="5"/>
      <c r="CD178" s="3"/>
      <c r="CE178" s="3"/>
      <c r="CF178" s="3"/>
      <c r="CG178" s="3"/>
    </row>
    <row r="179" spans="1:88" ht="12" customHeight="1">
      <c r="A179" s="3"/>
      <c r="B179" s="3"/>
      <c r="C179" s="3"/>
      <c r="D179" s="3" t="s">
        <v>478</v>
      </c>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5"/>
      <c r="BH179" s="5"/>
      <c r="BI179" s="5"/>
      <c r="BJ179" s="5"/>
      <c r="BK179" s="5"/>
      <c r="BL179" s="5"/>
      <c r="BM179" s="5"/>
      <c r="BN179" s="5"/>
      <c r="BO179" s="5"/>
      <c r="BP179" s="5"/>
      <c r="BQ179" s="5"/>
      <c r="BR179" s="5"/>
      <c r="BS179" s="5"/>
      <c r="BT179" s="5"/>
      <c r="BU179" s="5"/>
      <c r="BV179" s="5"/>
      <c r="BW179" s="5"/>
      <c r="BX179" s="5"/>
      <c r="BY179" s="5"/>
      <c r="BZ179" s="3"/>
      <c r="CA179" s="3"/>
      <c r="CB179" s="3"/>
      <c r="CC179" s="5"/>
      <c r="CD179" s="3"/>
      <c r="CE179" s="3"/>
      <c r="CF179" s="3"/>
      <c r="CG179" s="3"/>
    </row>
    <row r="180" spans="1:88" ht="12"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5"/>
      <c r="BH180" s="5"/>
      <c r="BI180" s="5"/>
      <c r="BJ180" s="5"/>
      <c r="BK180" s="5"/>
      <c r="BL180" s="5"/>
      <c r="BM180" s="5"/>
      <c r="BN180" s="5"/>
      <c r="BO180" s="5"/>
      <c r="BP180" s="5"/>
      <c r="BQ180" s="5"/>
      <c r="BR180" s="5"/>
      <c r="BS180" s="5"/>
      <c r="BT180" s="5"/>
      <c r="BU180" s="5"/>
      <c r="BV180" s="5"/>
      <c r="BW180" s="5"/>
      <c r="BX180" s="5"/>
      <c r="BY180" s="5"/>
      <c r="BZ180" s="3"/>
      <c r="CA180" s="3"/>
      <c r="CB180" s="3"/>
      <c r="CC180" s="5"/>
      <c r="CD180" s="3"/>
      <c r="CE180" s="3"/>
      <c r="CF180" s="3"/>
      <c r="CG180" s="3"/>
    </row>
    <row r="181" spans="1:88" ht="12" customHeight="1">
      <c r="A181" s="3"/>
      <c r="B181" s="3"/>
      <c r="C181" s="3"/>
      <c r="D181" s="3"/>
      <c r="E181" s="3" t="s">
        <v>396</v>
      </c>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5"/>
      <c r="BH181" s="5"/>
      <c r="BI181" s="5"/>
      <c r="BJ181" s="5"/>
      <c r="BK181" s="5"/>
      <c r="BL181" s="5"/>
      <c r="BM181" s="5"/>
      <c r="BN181" s="5"/>
      <c r="BO181" s="5"/>
      <c r="BP181" s="5"/>
      <c r="BQ181" s="5"/>
      <c r="BR181" s="5"/>
      <c r="BS181" s="5"/>
      <c r="BT181" s="5"/>
      <c r="BU181" s="5"/>
      <c r="BV181" s="5"/>
      <c r="BW181" s="5"/>
      <c r="BX181" s="5"/>
      <c r="BY181" s="5"/>
      <c r="BZ181" s="3"/>
      <c r="CA181" s="3"/>
      <c r="CB181" s="3"/>
      <c r="CC181" s="5"/>
      <c r="CD181" s="3"/>
      <c r="CE181" s="3"/>
      <c r="CF181" s="3"/>
      <c r="CG181" s="3"/>
    </row>
    <row r="182" spans="1:88" ht="12" customHeight="1">
      <c r="A182" s="3"/>
      <c r="B182" s="3"/>
      <c r="C182" s="3"/>
      <c r="D182" s="3"/>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t="s">
        <v>404</v>
      </c>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3"/>
      <c r="CC182" s="5"/>
      <c r="CD182" s="3"/>
      <c r="CE182" s="3"/>
      <c r="CF182" s="3"/>
      <c r="CG182" s="3"/>
    </row>
    <row r="183" spans="1:88" ht="12" customHeight="1">
      <c r="A183" s="3"/>
      <c r="B183" s="3"/>
      <c r="C183" s="3"/>
      <c r="D183" s="3"/>
      <c r="E183" s="171" t="s">
        <v>56</v>
      </c>
      <c r="F183" s="172"/>
      <c r="G183" s="172"/>
      <c r="H183" s="172"/>
      <c r="I183" s="172"/>
      <c r="J183" s="172"/>
      <c r="K183" s="171" t="s">
        <v>304</v>
      </c>
      <c r="L183" s="172"/>
      <c r="M183" s="172"/>
      <c r="N183" s="172"/>
      <c r="O183" s="173"/>
      <c r="P183" s="171" t="s">
        <v>403</v>
      </c>
      <c r="Q183" s="172"/>
      <c r="R183" s="173"/>
      <c r="S183" s="172" t="s">
        <v>395</v>
      </c>
      <c r="T183" s="172"/>
      <c r="U183" s="172"/>
      <c r="V183" s="172"/>
      <c r="W183" s="172"/>
      <c r="X183" s="172"/>
      <c r="Y183" s="172"/>
      <c r="Z183" s="172"/>
      <c r="AA183" s="172"/>
      <c r="AB183" s="172"/>
      <c r="AC183" s="172"/>
      <c r="AD183" s="172"/>
      <c r="AE183" s="172"/>
      <c r="AF183" s="172"/>
      <c r="AG183" s="172"/>
      <c r="AH183" s="172"/>
      <c r="AI183" s="172"/>
      <c r="AJ183" s="172"/>
      <c r="AK183" s="172"/>
      <c r="AL183" s="172"/>
      <c r="AM183" s="172"/>
      <c r="AN183" s="172"/>
      <c r="AO183" s="172"/>
      <c r="AP183" s="172"/>
      <c r="AQ183" s="172"/>
      <c r="AR183" s="172"/>
      <c r="AS183" s="172"/>
      <c r="AT183" s="172"/>
      <c r="AU183" s="172"/>
      <c r="AV183" s="172"/>
      <c r="AW183" s="172"/>
      <c r="AX183" s="172"/>
      <c r="AY183" s="172"/>
      <c r="AZ183" s="172"/>
      <c r="BA183" s="172"/>
      <c r="BB183" s="172"/>
      <c r="BC183" s="172"/>
      <c r="BD183" s="172"/>
      <c r="BE183" s="172"/>
      <c r="BF183" s="172"/>
      <c r="BG183" s="172"/>
      <c r="BH183" s="172"/>
      <c r="BI183" s="172"/>
      <c r="BJ183" s="173"/>
      <c r="BK183" s="5"/>
      <c r="BL183" s="5"/>
      <c r="BM183" s="5"/>
      <c r="BN183" s="5"/>
      <c r="BO183" s="5"/>
      <c r="BP183" s="5"/>
      <c r="BQ183" s="5"/>
      <c r="BR183" s="5"/>
      <c r="BS183" s="5"/>
      <c r="BT183" s="5"/>
      <c r="BU183" s="5"/>
      <c r="BV183" s="5"/>
      <c r="BW183" s="5"/>
      <c r="BX183" s="5"/>
      <c r="BY183" s="5"/>
      <c r="BZ183" s="5"/>
      <c r="CA183" s="5"/>
      <c r="CB183" s="5"/>
      <c r="CC183" s="5"/>
      <c r="CD183" s="5"/>
      <c r="CE183" s="3"/>
      <c r="CF183" s="5"/>
      <c r="CG183" s="3"/>
      <c r="CH183" s="3"/>
      <c r="CI183" s="3"/>
      <c r="CJ183" s="3"/>
    </row>
    <row r="184" spans="1:88" ht="12" customHeight="1">
      <c r="A184" s="3"/>
      <c r="B184" s="3"/>
      <c r="C184" s="3"/>
      <c r="D184" s="3"/>
      <c r="E184" s="165" t="s">
        <v>550</v>
      </c>
      <c r="F184" s="166"/>
      <c r="G184" s="166"/>
      <c r="H184" s="166"/>
      <c r="I184" s="166"/>
      <c r="J184" s="167"/>
      <c r="K184" s="34" t="s">
        <v>551</v>
      </c>
      <c r="L184" s="3"/>
      <c r="M184" s="3"/>
      <c r="N184" s="3"/>
      <c r="O184" s="33"/>
      <c r="P184" s="34" t="s">
        <v>552</v>
      </c>
      <c r="Q184" s="3"/>
      <c r="R184" s="33"/>
      <c r="S184" s="629" t="s">
        <v>553</v>
      </c>
      <c r="T184" s="629"/>
      <c r="U184" s="629"/>
      <c r="V184" s="629"/>
      <c r="W184" s="629"/>
      <c r="X184" s="629"/>
      <c r="Y184" s="629"/>
      <c r="Z184" s="629"/>
      <c r="AA184" s="629"/>
      <c r="AB184" s="629"/>
      <c r="AC184" s="629"/>
      <c r="AD184" s="629"/>
      <c r="AE184" s="629"/>
      <c r="AF184" s="629"/>
      <c r="AG184" s="629"/>
      <c r="AH184" s="629"/>
      <c r="AI184" s="629"/>
      <c r="AJ184" s="629"/>
      <c r="AK184" s="629"/>
      <c r="AL184" s="629"/>
      <c r="AM184" s="629"/>
      <c r="AN184" s="629"/>
      <c r="AO184" s="629"/>
      <c r="AP184" s="629"/>
      <c r="AQ184" s="629"/>
      <c r="AR184" s="629"/>
      <c r="AS184" s="629"/>
      <c r="AT184" s="629"/>
      <c r="AU184" s="629"/>
      <c r="AV184" s="629"/>
      <c r="AW184" s="629"/>
      <c r="AX184" s="629"/>
      <c r="AY184" s="629"/>
      <c r="AZ184" s="629"/>
      <c r="BA184" s="629"/>
      <c r="BB184" s="629"/>
      <c r="BC184" s="629"/>
      <c r="BD184" s="629"/>
      <c r="BE184" s="629"/>
      <c r="BF184" s="629"/>
      <c r="BG184" s="629"/>
      <c r="BH184" s="629"/>
      <c r="BI184" s="629"/>
      <c r="BJ184" s="630"/>
      <c r="BK184" s="5"/>
      <c r="BL184" s="5"/>
      <c r="BM184" s="5"/>
      <c r="BN184" s="5"/>
      <c r="BO184" s="5"/>
      <c r="BP184" s="5"/>
      <c r="BQ184" s="5"/>
      <c r="BR184" s="5"/>
      <c r="BS184" s="5"/>
      <c r="BT184" s="5"/>
      <c r="BU184" s="5"/>
      <c r="BV184" s="5"/>
      <c r="BW184" s="5"/>
      <c r="BX184" s="5"/>
      <c r="BY184" s="5"/>
      <c r="BZ184" s="5"/>
      <c r="CA184" s="5"/>
      <c r="CB184" s="5"/>
      <c r="CC184" s="5"/>
      <c r="CD184" s="5"/>
      <c r="CE184" s="3"/>
      <c r="CF184" s="5"/>
      <c r="CG184" s="3"/>
      <c r="CH184" s="3"/>
      <c r="CI184" s="3"/>
      <c r="CJ184" s="3"/>
    </row>
    <row r="185" spans="1:88" ht="12" customHeight="1">
      <c r="A185" s="3"/>
      <c r="B185" s="3"/>
      <c r="C185" s="3"/>
      <c r="D185" s="3"/>
      <c r="E185" s="165" t="s">
        <v>554</v>
      </c>
      <c r="F185" s="166"/>
      <c r="G185" s="166"/>
      <c r="H185" s="166"/>
      <c r="I185" s="166"/>
      <c r="J185" s="167"/>
      <c r="K185" s="34"/>
      <c r="L185" s="3"/>
      <c r="M185" s="3"/>
      <c r="N185" s="3"/>
      <c r="O185" s="33"/>
      <c r="P185" s="34"/>
      <c r="Q185" s="3"/>
      <c r="R185" s="33"/>
      <c r="S185" s="629"/>
      <c r="T185" s="629"/>
      <c r="U185" s="629"/>
      <c r="V185" s="629"/>
      <c r="W185" s="629"/>
      <c r="X185" s="629"/>
      <c r="Y185" s="629"/>
      <c r="Z185" s="629"/>
      <c r="AA185" s="629"/>
      <c r="AB185" s="629"/>
      <c r="AC185" s="629"/>
      <c r="AD185" s="629"/>
      <c r="AE185" s="629"/>
      <c r="AF185" s="629"/>
      <c r="AG185" s="629"/>
      <c r="AH185" s="629"/>
      <c r="AI185" s="629"/>
      <c r="AJ185" s="629"/>
      <c r="AK185" s="629"/>
      <c r="AL185" s="629"/>
      <c r="AM185" s="629"/>
      <c r="AN185" s="629"/>
      <c r="AO185" s="629"/>
      <c r="AP185" s="629"/>
      <c r="AQ185" s="629"/>
      <c r="AR185" s="629"/>
      <c r="AS185" s="629"/>
      <c r="AT185" s="629"/>
      <c r="AU185" s="629"/>
      <c r="AV185" s="629"/>
      <c r="AW185" s="629"/>
      <c r="AX185" s="629"/>
      <c r="AY185" s="629"/>
      <c r="AZ185" s="629"/>
      <c r="BA185" s="629"/>
      <c r="BB185" s="629"/>
      <c r="BC185" s="629"/>
      <c r="BD185" s="629"/>
      <c r="BE185" s="629"/>
      <c r="BF185" s="629"/>
      <c r="BG185" s="629"/>
      <c r="BH185" s="629"/>
      <c r="BI185" s="629"/>
      <c r="BJ185" s="630"/>
      <c r="BK185" s="5"/>
      <c r="BL185" s="5"/>
      <c r="BM185" s="5"/>
      <c r="BN185" s="5"/>
      <c r="BO185" s="5"/>
      <c r="BP185" s="5"/>
      <c r="BQ185" s="5"/>
      <c r="BR185" s="5"/>
      <c r="BS185" s="5"/>
      <c r="BT185" s="5"/>
      <c r="BU185" s="5"/>
      <c r="BV185" s="5"/>
      <c r="BW185" s="5"/>
      <c r="BX185" s="5"/>
      <c r="BY185" s="5"/>
      <c r="BZ185" s="5"/>
      <c r="CA185" s="5"/>
      <c r="CB185" s="5"/>
      <c r="CC185" s="5"/>
      <c r="CD185" s="5"/>
      <c r="CE185" s="3"/>
      <c r="CF185" s="5"/>
      <c r="CG185" s="3"/>
      <c r="CH185" s="3"/>
      <c r="CI185" s="3"/>
      <c r="CJ185" s="3"/>
    </row>
    <row r="186" spans="1:88" ht="12" customHeight="1">
      <c r="A186" s="3"/>
      <c r="B186" s="3"/>
      <c r="C186" s="3"/>
      <c r="D186" s="3"/>
      <c r="E186" s="165" t="s">
        <v>555</v>
      </c>
      <c r="F186" s="166"/>
      <c r="G186" s="166"/>
      <c r="H186" s="166"/>
      <c r="I186" s="166"/>
      <c r="J186" s="167"/>
      <c r="K186" s="32"/>
      <c r="L186" s="31"/>
      <c r="M186" s="31"/>
      <c r="N186" s="31"/>
      <c r="O186" s="30"/>
      <c r="P186" s="32"/>
      <c r="Q186" s="31"/>
      <c r="R186" s="30"/>
      <c r="S186" s="626"/>
      <c r="T186" s="626"/>
      <c r="U186" s="626"/>
      <c r="V186" s="626"/>
      <c r="W186" s="626"/>
      <c r="X186" s="626"/>
      <c r="Y186" s="626"/>
      <c r="Z186" s="626"/>
      <c r="AA186" s="626"/>
      <c r="AB186" s="626"/>
      <c r="AC186" s="626"/>
      <c r="AD186" s="626"/>
      <c r="AE186" s="626"/>
      <c r="AF186" s="626"/>
      <c r="AG186" s="626"/>
      <c r="AH186" s="626"/>
      <c r="AI186" s="626"/>
      <c r="AJ186" s="626"/>
      <c r="AK186" s="626"/>
      <c r="AL186" s="626"/>
      <c r="AM186" s="626"/>
      <c r="AN186" s="626"/>
      <c r="AO186" s="626"/>
      <c r="AP186" s="626"/>
      <c r="AQ186" s="626"/>
      <c r="AR186" s="626"/>
      <c r="AS186" s="626"/>
      <c r="AT186" s="626"/>
      <c r="AU186" s="626"/>
      <c r="AV186" s="626"/>
      <c r="AW186" s="626"/>
      <c r="AX186" s="626"/>
      <c r="AY186" s="626"/>
      <c r="AZ186" s="626"/>
      <c r="BA186" s="626"/>
      <c r="BB186" s="626"/>
      <c r="BC186" s="626"/>
      <c r="BD186" s="626"/>
      <c r="BE186" s="626"/>
      <c r="BF186" s="626"/>
      <c r="BG186" s="626"/>
      <c r="BH186" s="626"/>
      <c r="BI186" s="626"/>
      <c r="BJ186" s="627"/>
      <c r="BK186" s="5"/>
      <c r="BL186" s="5"/>
      <c r="BM186" s="5"/>
      <c r="BN186" s="5"/>
      <c r="BO186" s="5"/>
      <c r="BP186" s="5"/>
      <c r="BQ186" s="5"/>
      <c r="BR186" s="5"/>
      <c r="BS186" s="5"/>
      <c r="BT186" s="5"/>
      <c r="BU186" s="5"/>
      <c r="BV186" s="5"/>
      <c r="BW186" s="5"/>
      <c r="BX186" s="5"/>
      <c r="BY186" s="5"/>
      <c r="BZ186" s="5"/>
      <c r="CA186" s="5"/>
      <c r="CB186" s="5"/>
      <c r="CC186" s="5"/>
      <c r="CD186" s="5"/>
      <c r="CE186" s="3"/>
      <c r="CF186" s="5"/>
      <c r="CG186" s="3"/>
      <c r="CH186" s="3"/>
      <c r="CI186" s="3"/>
      <c r="CJ186" s="3"/>
    </row>
    <row r="187" spans="1:88" ht="12" customHeight="1">
      <c r="A187" s="3"/>
      <c r="B187" s="3"/>
      <c r="C187" s="3"/>
      <c r="D187" s="3"/>
      <c r="E187" s="34" t="s">
        <v>237</v>
      </c>
      <c r="F187" s="3"/>
      <c r="G187" s="3"/>
      <c r="H187" s="3"/>
      <c r="I187" s="3"/>
      <c r="J187" s="3"/>
      <c r="K187" s="34" t="s">
        <v>556</v>
      </c>
      <c r="L187" s="3"/>
      <c r="M187" s="3"/>
      <c r="N187" s="3"/>
      <c r="O187" s="33"/>
      <c r="P187" s="34" t="s">
        <v>557</v>
      </c>
      <c r="Q187" s="3"/>
      <c r="R187" s="33"/>
      <c r="S187" s="629" t="s">
        <v>1020</v>
      </c>
      <c r="T187" s="629"/>
      <c r="U187" s="629"/>
      <c r="V187" s="629"/>
      <c r="W187" s="629"/>
      <c r="X187" s="629"/>
      <c r="Y187" s="629"/>
      <c r="Z187" s="629"/>
      <c r="AA187" s="629"/>
      <c r="AB187" s="629"/>
      <c r="AC187" s="629"/>
      <c r="AD187" s="629"/>
      <c r="AE187" s="629"/>
      <c r="AF187" s="629"/>
      <c r="AG187" s="629"/>
      <c r="AH187" s="629"/>
      <c r="AI187" s="629"/>
      <c r="AJ187" s="629"/>
      <c r="AK187" s="629"/>
      <c r="AL187" s="629"/>
      <c r="AM187" s="629"/>
      <c r="AN187" s="629"/>
      <c r="AO187" s="629"/>
      <c r="AP187" s="629"/>
      <c r="AQ187" s="629"/>
      <c r="AR187" s="629"/>
      <c r="AS187" s="629"/>
      <c r="AT187" s="629"/>
      <c r="AU187" s="629"/>
      <c r="AV187" s="629"/>
      <c r="AW187" s="629"/>
      <c r="AX187" s="629"/>
      <c r="AY187" s="629"/>
      <c r="AZ187" s="629"/>
      <c r="BA187" s="629"/>
      <c r="BB187" s="629"/>
      <c r="BC187" s="629"/>
      <c r="BD187" s="629"/>
      <c r="BE187" s="629"/>
      <c r="BF187" s="629"/>
      <c r="BG187" s="629"/>
      <c r="BH187" s="629"/>
      <c r="BI187" s="629"/>
      <c r="BJ187" s="630"/>
      <c r="BK187" s="5"/>
      <c r="BL187" s="5"/>
      <c r="BM187" s="5"/>
      <c r="BN187" s="5"/>
      <c r="BO187" s="5"/>
      <c r="BP187" s="5"/>
      <c r="BQ187" s="5"/>
      <c r="BR187" s="5"/>
      <c r="BS187" s="5"/>
      <c r="BT187" s="5"/>
      <c r="BU187" s="5"/>
      <c r="BV187" s="5"/>
      <c r="BW187" s="5"/>
      <c r="BX187" s="5"/>
      <c r="BY187" s="5"/>
      <c r="BZ187" s="5"/>
      <c r="CA187" s="5"/>
      <c r="CB187" s="5"/>
      <c r="CC187" s="5"/>
      <c r="CD187" s="5"/>
      <c r="CE187" s="3"/>
      <c r="CF187" s="5"/>
      <c r="CG187" s="3"/>
      <c r="CH187" s="3"/>
      <c r="CI187" s="3"/>
      <c r="CJ187" s="3"/>
    </row>
    <row r="188" spans="1:88" ht="12" customHeight="1">
      <c r="A188" s="3"/>
      <c r="B188" s="3"/>
      <c r="C188" s="3"/>
      <c r="D188" s="3"/>
      <c r="E188" s="32"/>
      <c r="F188" s="31"/>
      <c r="G188" s="31"/>
      <c r="H188" s="31"/>
      <c r="I188" s="31"/>
      <c r="J188" s="31"/>
      <c r="K188" s="32"/>
      <c r="L188" s="31"/>
      <c r="M188" s="31"/>
      <c r="N188" s="31"/>
      <c r="O188" s="30"/>
      <c r="P188" s="32"/>
      <c r="Q188" s="31"/>
      <c r="R188" s="30"/>
      <c r="S188" s="626"/>
      <c r="T188" s="626"/>
      <c r="U188" s="626"/>
      <c r="V188" s="626"/>
      <c r="W188" s="626"/>
      <c r="X188" s="626"/>
      <c r="Y188" s="626"/>
      <c r="Z188" s="626"/>
      <c r="AA188" s="626"/>
      <c r="AB188" s="626"/>
      <c r="AC188" s="626"/>
      <c r="AD188" s="626"/>
      <c r="AE188" s="626"/>
      <c r="AF188" s="626"/>
      <c r="AG188" s="626"/>
      <c r="AH188" s="626"/>
      <c r="AI188" s="626"/>
      <c r="AJ188" s="626"/>
      <c r="AK188" s="626"/>
      <c r="AL188" s="626"/>
      <c r="AM188" s="626"/>
      <c r="AN188" s="626"/>
      <c r="AO188" s="626"/>
      <c r="AP188" s="626"/>
      <c r="AQ188" s="626"/>
      <c r="AR188" s="626"/>
      <c r="AS188" s="626"/>
      <c r="AT188" s="626"/>
      <c r="AU188" s="626"/>
      <c r="AV188" s="626"/>
      <c r="AW188" s="626"/>
      <c r="AX188" s="626"/>
      <c r="AY188" s="626"/>
      <c r="AZ188" s="626"/>
      <c r="BA188" s="626"/>
      <c r="BB188" s="626"/>
      <c r="BC188" s="626"/>
      <c r="BD188" s="626"/>
      <c r="BE188" s="626"/>
      <c r="BF188" s="626"/>
      <c r="BG188" s="626"/>
      <c r="BH188" s="626"/>
      <c r="BI188" s="626"/>
      <c r="BJ188" s="627"/>
      <c r="BK188" s="5"/>
      <c r="BL188" s="5"/>
      <c r="BM188" s="5"/>
      <c r="BN188" s="5"/>
      <c r="BO188" s="5"/>
      <c r="BP188" s="5"/>
      <c r="BQ188" s="5"/>
      <c r="BR188" s="5"/>
      <c r="BS188" s="5"/>
      <c r="BT188" s="5"/>
      <c r="BU188" s="5"/>
      <c r="BV188" s="5"/>
      <c r="BW188" s="5"/>
      <c r="BX188" s="5"/>
      <c r="BY188" s="5"/>
      <c r="BZ188" s="5"/>
      <c r="CA188" s="5"/>
      <c r="CB188" s="5"/>
      <c r="CC188" s="3"/>
      <c r="CD188" s="3"/>
      <c r="CE188" s="3"/>
      <c r="CF188" s="5"/>
      <c r="CG188" s="3"/>
      <c r="CH188" s="3"/>
      <c r="CI188" s="3"/>
      <c r="CJ188" s="3"/>
    </row>
    <row r="189" spans="1:88" ht="12"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5"/>
      <c r="BH189" s="5"/>
      <c r="BI189" s="5"/>
      <c r="BJ189" s="5"/>
      <c r="BK189" s="5"/>
      <c r="BL189" s="5"/>
      <c r="BM189" s="5"/>
      <c r="BN189" s="5"/>
      <c r="BO189" s="5"/>
      <c r="BP189" s="5"/>
      <c r="BQ189" s="5"/>
      <c r="BR189" s="5"/>
      <c r="BS189" s="5"/>
      <c r="BT189" s="5"/>
      <c r="BU189" s="5"/>
      <c r="BV189" s="5"/>
      <c r="BW189" s="5"/>
      <c r="BX189" s="5"/>
      <c r="BY189" s="5"/>
      <c r="BZ189" s="3"/>
      <c r="CA189" s="3"/>
      <c r="CB189" s="3"/>
      <c r="CC189" s="5"/>
      <c r="CD189" s="3"/>
      <c r="CE189" s="3"/>
      <c r="CF189" s="3"/>
      <c r="CG189" s="3"/>
    </row>
    <row r="190" spans="1:88" ht="12" customHeight="1">
      <c r="A190" s="3"/>
      <c r="B190" s="3"/>
      <c r="C190" s="3"/>
      <c r="D190" s="3" t="s">
        <v>479</v>
      </c>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5"/>
      <c r="BH190" s="5"/>
      <c r="BI190" s="5"/>
      <c r="BJ190" s="5"/>
      <c r="BK190" s="5"/>
      <c r="BL190" s="5"/>
      <c r="BM190" s="5"/>
      <c r="BN190" s="5"/>
      <c r="BO190" s="5"/>
      <c r="BP190" s="5"/>
      <c r="BQ190" s="5"/>
      <c r="BR190" s="5"/>
      <c r="BS190" s="5"/>
      <c r="BT190" s="5"/>
      <c r="BU190" s="5"/>
      <c r="BV190" s="5"/>
      <c r="BW190" s="5"/>
      <c r="BX190" s="5"/>
      <c r="BY190" s="5"/>
      <c r="BZ190" s="3"/>
      <c r="CA190" s="3"/>
      <c r="CB190" s="3"/>
      <c r="CC190" s="5"/>
      <c r="CD190" s="3"/>
      <c r="CE190" s="3"/>
      <c r="CF190" s="3"/>
      <c r="CG190" s="3"/>
    </row>
    <row r="191" spans="1:88" ht="12"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5"/>
      <c r="BH191" s="5"/>
      <c r="BI191" s="5"/>
      <c r="BJ191" s="5"/>
      <c r="BK191" s="5"/>
      <c r="BL191" s="5"/>
      <c r="BM191" s="5"/>
      <c r="BN191" s="5"/>
      <c r="BO191" s="5"/>
      <c r="BP191" s="5"/>
      <c r="BQ191" s="5"/>
      <c r="BR191" s="5"/>
      <c r="BS191" s="5"/>
      <c r="BT191" s="5"/>
      <c r="BU191" s="5"/>
      <c r="BV191" s="5"/>
      <c r="BW191" s="5"/>
      <c r="BX191" s="5"/>
      <c r="BY191" s="5"/>
      <c r="BZ191" s="3"/>
      <c r="CA191" s="3"/>
      <c r="CB191" s="3"/>
      <c r="CC191" s="5"/>
      <c r="CD191" s="3"/>
      <c r="CE191" s="3"/>
      <c r="CF191" s="3"/>
      <c r="CG191" s="3"/>
    </row>
    <row r="192" spans="1:88" ht="12" customHeight="1">
      <c r="A192" s="3"/>
      <c r="B192" s="3"/>
      <c r="C192" s="3"/>
      <c r="D192" s="3"/>
      <c r="E192" s="3" t="s">
        <v>402</v>
      </c>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5"/>
      <c r="BH192" s="5"/>
      <c r="BI192" s="5"/>
      <c r="BJ192" s="5"/>
      <c r="BK192" s="5"/>
      <c r="BL192" s="5"/>
      <c r="BM192" s="5"/>
      <c r="BN192" s="5"/>
      <c r="BO192" s="5"/>
      <c r="BP192" s="5"/>
      <c r="BQ192" s="5"/>
      <c r="BR192" s="5"/>
      <c r="BS192" s="5"/>
      <c r="BT192" s="5"/>
      <c r="BU192" s="5"/>
      <c r="BV192" s="5"/>
      <c r="BW192" s="5"/>
      <c r="BX192" s="5"/>
      <c r="BY192" s="5"/>
      <c r="BZ192" s="3"/>
      <c r="CA192" s="3"/>
      <c r="CB192" s="3"/>
      <c r="CC192" s="5"/>
      <c r="CD192" s="3"/>
      <c r="CE192" s="3"/>
      <c r="CF192" s="3"/>
      <c r="CG192" s="3"/>
    </row>
    <row r="193" spans="1:86" ht="12"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5"/>
      <c r="BH193" s="5"/>
      <c r="BI193" s="5"/>
      <c r="BJ193" s="5"/>
      <c r="BK193" s="5"/>
      <c r="BL193" s="5"/>
      <c r="BM193" s="5"/>
      <c r="BN193" s="5"/>
      <c r="BO193" s="5"/>
      <c r="BP193" s="5"/>
      <c r="BQ193" s="5"/>
      <c r="BR193" s="5"/>
      <c r="BS193" s="5"/>
      <c r="BT193" s="5"/>
      <c r="BU193" s="5"/>
      <c r="BV193" s="5"/>
      <c r="BW193" s="5"/>
      <c r="BX193" s="5"/>
      <c r="BY193" s="5"/>
      <c r="BZ193" s="3"/>
      <c r="CA193" s="3"/>
      <c r="CB193" s="3"/>
      <c r="CC193" s="5"/>
      <c r="CD193" s="3"/>
      <c r="CE193" s="3"/>
      <c r="CF193" s="3"/>
      <c r="CG193" s="3"/>
    </row>
    <row r="194" spans="1:86" ht="12" customHeight="1">
      <c r="A194" s="55"/>
      <c r="B194" s="3"/>
      <c r="C194" s="3"/>
      <c r="D194" s="3"/>
      <c r="E194" s="171" t="s">
        <v>397</v>
      </c>
      <c r="F194" s="466"/>
      <c r="G194" s="466"/>
      <c r="H194" s="466"/>
      <c r="I194" s="466"/>
      <c r="J194" s="466"/>
      <c r="K194" s="466"/>
      <c r="L194" s="466"/>
      <c r="M194" s="466"/>
      <c r="N194" s="466"/>
      <c r="O194" s="466"/>
      <c r="P194" s="467"/>
      <c r="Q194" s="468" t="s">
        <v>334</v>
      </c>
      <c r="R194" s="466"/>
      <c r="S194" s="466"/>
      <c r="T194" s="466"/>
      <c r="U194" s="466"/>
      <c r="V194" s="467"/>
      <c r="W194" s="466" t="s">
        <v>355</v>
      </c>
      <c r="X194" s="466"/>
      <c r="Y194" s="466"/>
      <c r="Z194" s="466"/>
      <c r="AA194" s="466"/>
      <c r="AB194" s="466"/>
      <c r="AC194" s="466"/>
      <c r="AD194" s="466"/>
      <c r="AE194" s="466"/>
      <c r="AF194" s="466"/>
      <c r="AG194" s="466"/>
      <c r="AH194" s="466"/>
      <c r="AI194" s="466"/>
      <c r="AJ194" s="466"/>
      <c r="AK194" s="466"/>
      <c r="AL194" s="466"/>
      <c r="AM194" s="466"/>
      <c r="AN194" s="466"/>
      <c r="AO194" s="466"/>
      <c r="AP194" s="466"/>
      <c r="AQ194" s="466"/>
      <c r="AR194" s="466"/>
      <c r="AS194" s="466"/>
      <c r="AT194" s="466"/>
      <c r="AU194" s="466"/>
      <c r="AV194" s="466"/>
      <c r="AW194" s="466"/>
      <c r="AX194" s="466"/>
      <c r="AY194" s="466"/>
      <c r="AZ194" s="466"/>
      <c r="BA194" s="466"/>
      <c r="BB194" s="466"/>
      <c r="BC194" s="466"/>
      <c r="BD194" s="466"/>
      <c r="BE194" s="466"/>
      <c r="BF194" s="466"/>
      <c r="BG194" s="466"/>
      <c r="BH194" s="466"/>
      <c r="BI194" s="466"/>
      <c r="BJ194" s="466"/>
      <c r="BK194" s="466"/>
      <c r="BL194" s="466"/>
      <c r="BM194" s="466"/>
      <c r="BN194" s="466"/>
      <c r="BO194" s="466"/>
      <c r="BP194" s="466"/>
      <c r="BQ194" s="466"/>
      <c r="BR194" s="466"/>
      <c r="BS194" s="466"/>
      <c r="BT194" s="466"/>
      <c r="BU194" s="466"/>
      <c r="BV194" s="466"/>
      <c r="BW194" s="466"/>
      <c r="BX194" s="466"/>
      <c r="BY194" s="466"/>
      <c r="BZ194" s="466"/>
      <c r="CA194" s="467"/>
      <c r="CB194" s="5"/>
      <c r="CC194" s="5"/>
      <c r="CD194" s="5"/>
      <c r="CE194" s="3"/>
      <c r="CF194" s="3"/>
      <c r="CG194" s="3"/>
      <c r="CH194" s="3"/>
    </row>
    <row r="195" spans="1:86" ht="12" customHeight="1">
      <c r="A195" s="55"/>
      <c r="B195" s="3"/>
      <c r="C195" s="3"/>
      <c r="D195" s="3"/>
      <c r="E195" s="162" t="s">
        <v>1016</v>
      </c>
      <c r="F195" s="469"/>
      <c r="G195" s="469"/>
      <c r="H195" s="469"/>
      <c r="I195" s="469"/>
      <c r="J195" s="469"/>
      <c r="K195" s="469"/>
      <c r="L195" s="469"/>
      <c r="M195" s="469"/>
      <c r="N195" s="469"/>
      <c r="O195" s="469"/>
      <c r="P195" s="470"/>
      <c r="Q195" s="471" t="s">
        <v>1017</v>
      </c>
      <c r="R195" s="472"/>
      <c r="S195" s="472"/>
      <c r="T195" s="472"/>
      <c r="U195" s="472"/>
      <c r="V195" s="473"/>
      <c r="W195" s="868" t="s">
        <v>1018</v>
      </c>
      <c r="X195" s="869"/>
      <c r="Y195" s="869"/>
      <c r="Z195" s="869"/>
      <c r="AA195" s="869"/>
      <c r="AB195" s="869"/>
      <c r="AC195" s="869"/>
      <c r="AD195" s="869"/>
      <c r="AE195" s="869"/>
      <c r="AF195" s="869"/>
      <c r="AG195" s="869"/>
      <c r="AH195" s="869"/>
      <c r="AI195" s="869"/>
      <c r="AJ195" s="869"/>
      <c r="AK195" s="869"/>
      <c r="AL195" s="869"/>
      <c r="AM195" s="869"/>
      <c r="AN195" s="869"/>
      <c r="AO195" s="869"/>
      <c r="AP195" s="869"/>
      <c r="AQ195" s="869"/>
      <c r="AR195" s="869"/>
      <c r="AS195" s="869"/>
      <c r="AT195" s="869"/>
      <c r="AU195" s="869"/>
      <c r="AV195" s="869"/>
      <c r="AW195" s="869"/>
      <c r="AX195" s="869"/>
      <c r="AY195" s="869"/>
      <c r="AZ195" s="869"/>
      <c r="BA195" s="869"/>
      <c r="BB195" s="869"/>
      <c r="BC195" s="869"/>
      <c r="BD195" s="869"/>
      <c r="BE195" s="869"/>
      <c r="BF195" s="869"/>
      <c r="BG195" s="869"/>
      <c r="BH195" s="869"/>
      <c r="BI195" s="869"/>
      <c r="BJ195" s="869"/>
      <c r="BK195" s="869"/>
      <c r="BL195" s="869"/>
      <c r="BM195" s="869"/>
      <c r="BN195" s="869"/>
      <c r="BO195" s="869"/>
      <c r="BP195" s="869"/>
      <c r="BQ195" s="869"/>
      <c r="BR195" s="869"/>
      <c r="BS195" s="869"/>
      <c r="BT195" s="869"/>
      <c r="BU195" s="869"/>
      <c r="BV195" s="869"/>
      <c r="BW195" s="869"/>
      <c r="BX195" s="869"/>
      <c r="BY195" s="869"/>
      <c r="BZ195" s="869"/>
      <c r="CA195" s="870"/>
      <c r="CB195" s="5"/>
      <c r="CC195" s="5"/>
      <c r="CD195" s="5"/>
      <c r="CE195" s="3"/>
      <c r="CF195" s="3"/>
      <c r="CG195" s="3"/>
      <c r="CH195" s="3"/>
    </row>
    <row r="196" spans="1:86" ht="12" customHeight="1">
      <c r="A196" s="55"/>
      <c r="B196" s="3"/>
      <c r="C196" s="3"/>
      <c r="D196" s="3"/>
      <c r="E196" s="361"/>
      <c r="F196" s="415"/>
      <c r="G196" s="415"/>
      <c r="H196" s="415"/>
      <c r="I196" s="415"/>
      <c r="J196" s="415"/>
      <c r="K196" s="415"/>
      <c r="L196" s="415"/>
      <c r="M196" s="415"/>
      <c r="N196" s="415"/>
      <c r="O196" s="415"/>
      <c r="P196" s="474"/>
      <c r="Q196" s="475"/>
      <c r="R196" s="476"/>
      <c r="S196" s="476"/>
      <c r="T196" s="476"/>
      <c r="U196" s="476"/>
      <c r="V196" s="477"/>
      <c r="W196" s="871"/>
      <c r="X196" s="872"/>
      <c r="Y196" s="872"/>
      <c r="Z196" s="872"/>
      <c r="AA196" s="872"/>
      <c r="AB196" s="872"/>
      <c r="AC196" s="872"/>
      <c r="AD196" s="872"/>
      <c r="AE196" s="872"/>
      <c r="AF196" s="872"/>
      <c r="AG196" s="872"/>
      <c r="AH196" s="872"/>
      <c r="AI196" s="872"/>
      <c r="AJ196" s="872"/>
      <c r="AK196" s="872"/>
      <c r="AL196" s="872"/>
      <c r="AM196" s="872"/>
      <c r="AN196" s="872"/>
      <c r="AO196" s="872"/>
      <c r="AP196" s="872"/>
      <c r="AQ196" s="872"/>
      <c r="AR196" s="872"/>
      <c r="AS196" s="872"/>
      <c r="AT196" s="872"/>
      <c r="AU196" s="872"/>
      <c r="AV196" s="872"/>
      <c r="AW196" s="872"/>
      <c r="AX196" s="872"/>
      <c r="AY196" s="872"/>
      <c r="AZ196" s="872"/>
      <c r="BA196" s="872"/>
      <c r="BB196" s="872"/>
      <c r="BC196" s="872"/>
      <c r="BD196" s="872"/>
      <c r="BE196" s="872"/>
      <c r="BF196" s="872"/>
      <c r="BG196" s="872"/>
      <c r="BH196" s="872"/>
      <c r="BI196" s="872"/>
      <c r="BJ196" s="872"/>
      <c r="BK196" s="872"/>
      <c r="BL196" s="872"/>
      <c r="BM196" s="872"/>
      <c r="BN196" s="872"/>
      <c r="BO196" s="872"/>
      <c r="BP196" s="872"/>
      <c r="BQ196" s="872"/>
      <c r="BR196" s="872"/>
      <c r="BS196" s="872"/>
      <c r="BT196" s="872"/>
      <c r="BU196" s="872"/>
      <c r="BV196" s="872"/>
      <c r="BW196" s="872"/>
      <c r="BX196" s="872"/>
      <c r="BY196" s="872"/>
      <c r="BZ196" s="872"/>
      <c r="CA196" s="873"/>
      <c r="CB196" s="5"/>
      <c r="CC196" s="5"/>
      <c r="CD196" s="5"/>
      <c r="CE196" s="3"/>
      <c r="CF196" s="3"/>
      <c r="CG196" s="3"/>
      <c r="CH196" s="3"/>
    </row>
    <row r="197" spans="1:86" ht="12" customHeight="1">
      <c r="A197" s="55"/>
      <c r="B197" s="3"/>
      <c r="C197" s="3"/>
      <c r="D197" s="3"/>
      <c r="E197" s="361"/>
      <c r="F197" s="415"/>
      <c r="G197" s="415"/>
      <c r="H197" s="415"/>
      <c r="I197" s="415"/>
      <c r="J197" s="415"/>
      <c r="K197" s="415"/>
      <c r="L197" s="415"/>
      <c r="M197" s="415"/>
      <c r="N197" s="415"/>
      <c r="O197" s="415"/>
      <c r="P197" s="474"/>
      <c r="Q197" s="475"/>
      <c r="R197" s="476"/>
      <c r="S197" s="476"/>
      <c r="T197" s="476"/>
      <c r="U197" s="476"/>
      <c r="V197" s="477"/>
      <c r="W197" s="871"/>
      <c r="X197" s="872"/>
      <c r="Y197" s="872"/>
      <c r="Z197" s="872"/>
      <c r="AA197" s="872"/>
      <c r="AB197" s="872"/>
      <c r="AC197" s="872"/>
      <c r="AD197" s="872"/>
      <c r="AE197" s="872"/>
      <c r="AF197" s="872"/>
      <c r="AG197" s="872"/>
      <c r="AH197" s="872"/>
      <c r="AI197" s="872"/>
      <c r="AJ197" s="872"/>
      <c r="AK197" s="872"/>
      <c r="AL197" s="872"/>
      <c r="AM197" s="872"/>
      <c r="AN197" s="872"/>
      <c r="AO197" s="872"/>
      <c r="AP197" s="872"/>
      <c r="AQ197" s="872"/>
      <c r="AR197" s="872"/>
      <c r="AS197" s="872"/>
      <c r="AT197" s="872"/>
      <c r="AU197" s="872"/>
      <c r="AV197" s="872"/>
      <c r="AW197" s="872"/>
      <c r="AX197" s="872"/>
      <c r="AY197" s="872"/>
      <c r="AZ197" s="872"/>
      <c r="BA197" s="872"/>
      <c r="BB197" s="872"/>
      <c r="BC197" s="872"/>
      <c r="BD197" s="872"/>
      <c r="BE197" s="872"/>
      <c r="BF197" s="872"/>
      <c r="BG197" s="872"/>
      <c r="BH197" s="872"/>
      <c r="BI197" s="872"/>
      <c r="BJ197" s="872"/>
      <c r="BK197" s="872"/>
      <c r="BL197" s="872"/>
      <c r="BM197" s="872"/>
      <c r="BN197" s="872"/>
      <c r="BO197" s="872"/>
      <c r="BP197" s="872"/>
      <c r="BQ197" s="872"/>
      <c r="BR197" s="872"/>
      <c r="BS197" s="872"/>
      <c r="BT197" s="872"/>
      <c r="BU197" s="872"/>
      <c r="BV197" s="872"/>
      <c r="BW197" s="872"/>
      <c r="BX197" s="872"/>
      <c r="BY197" s="872"/>
      <c r="BZ197" s="872"/>
      <c r="CA197" s="873"/>
      <c r="CB197" s="5"/>
      <c r="CC197" s="5"/>
      <c r="CD197" s="5"/>
      <c r="CE197" s="3"/>
      <c r="CF197" s="3"/>
      <c r="CG197" s="3"/>
      <c r="CH197" s="3"/>
    </row>
    <row r="198" spans="1:86" ht="12" customHeight="1">
      <c r="A198" s="55"/>
      <c r="B198" s="3"/>
      <c r="C198" s="3"/>
      <c r="D198" s="3"/>
      <c r="E198" s="363"/>
      <c r="F198" s="436"/>
      <c r="G198" s="436"/>
      <c r="H198" s="436"/>
      <c r="I198" s="436"/>
      <c r="J198" s="436"/>
      <c r="K198" s="436"/>
      <c r="L198" s="436"/>
      <c r="M198" s="436"/>
      <c r="N198" s="436"/>
      <c r="O198" s="436"/>
      <c r="P198" s="437"/>
      <c r="Q198" s="478"/>
      <c r="R198" s="479"/>
      <c r="S198" s="479"/>
      <c r="T198" s="479"/>
      <c r="U198" s="479"/>
      <c r="V198" s="480"/>
      <c r="W198" s="874"/>
      <c r="X198" s="875"/>
      <c r="Y198" s="875"/>
      <c r="Z198" s="875"/>
      <c r="AA198" s="875"/>
      <c r="AB198" s="875"/>
      <c r="AC198" s="875"/>
      <c r="AD198" s="875"/>
      <c r="AE198" s="875"/>
      <c r="AF198" s="875"/>
      <c r="AG198" s="875"/>
      <c r="AH198" s="875"/>
      <c r="AI198" s="875"/>
      <c r="AJ198" s="875"/>
      <c r="AK198" s="875"/>
      <c r="AL198" s="875"/>
      <c r="AM198" s="875"/>
      <c r="AN198" s="875"/>
      <c r="AO198" s="875"/>
      <c r="AP198" s="875"/>
      <c r="AQ198" s="875"/>
      <c r="AR198" s="875"/>
      <c r="AS198" s="875"/>
      <c r="AT198" s="875"/>
      <c r="AU198" s="875"/>
      <c r="AV198" s="875"/>
      <c r="AW198" s="875"/>
      <c r="AX198" s="875"/>
      <c r="AY198" s="875"/>
      <c r="AZ198" s="875"/>
      <c r="BA198" s="875"/>
      <c r="BB198" s="875"/>
      <c r="BC198" s="875"/>
      <c r="BD198" s="875"/>
      <c r="BE198" s="875"/>
      <c r="BF198" s="875"/>
      <c r="BG198" s="875"/>
      <c r="BH198" s="875"/>
      <c r="BI198" s="875"/>
      <c r="BJ198" s="875"/>
      <c r="BK198" s="875"/>
      <c r="BL198" s="875"/>
      <c r="BM198" s="875"/>
      <c r="BN198" s="875"/>
      <c r="BO198" s="875"/>
      <c r="BP198" s="875"/>
      <c r="BQ198" s="875"/>
      <c r="BR198" s="875"/>
      <c r="BS198" s="875"/>
      <c r="BT198" s="875"/>
      <c r="BU198" s="875"/>
      <c r="BV198" s="875"/>
      <c r="BW198" s="875"/>
      <c r="BX198" s="875"/>
      <c r="BY198" s="875"/>
      <c r="BZ198" s="875"/>
      <c r="CA198" s="876"/>
      <c r="CB198" s="5"/>
      <c r="CC198" s="5"/>
      <c r="CD198" s="5"/>
      <c r="CE198" s="3"/>
      <c r="CF198" s="3"/>
      <c r="CG198" s="3"/>
      <c r="CH198" s="3"/>
    </row>
    <row r="199" spans="1:86" ht="12" customHeight="1">
      <c r="A199" s="55"/>
      <c r="B199" s="3"/>
      <c r="C199" s="3"/>
      <c r="D199" s="3"/>
      <c r="E199" s="162" t="s">
        <v>398</v>
      </c>
      <c r="F199" s="469"/>
      <c r="G199" s="469"/>
      <c r="H199" s="469"/>
      <c r="I199" s="469"/>
      <c r="J199" s="469"/>
      <c r="K199" s="469"/>
      <c r="L199" s="469"/>
      <c r="M199" s="469"/>
      <c r="N199" s="469"/>
      <c r="O199" s="469"/>
      <c r="P199" s="470"/>
      <c r="Q199" s="471" t="s">
        <v>1019</v>
      </c>
      <c r="R199" s="472"/>
      <c r="S199" s="472"/>
      <c r="T199" s="472"/>
      <c r="U199" s="472"/>
      <c r="V199" s="473"/>
      <c r="W199" s="868" t="s">
        <v>1162</v>
      </c>
      <c r="X199" s="869"/>
      <c r="Y199" s="869"/>
      <c r="Z199" s="869"/>
      <c r="AA199" s="869"/>
      <c r="AB199" s="869"/>
      <c r="AC199" s="869"/>
      <c r="AD199" s="869"/>
      <c r="AE199" s="869"/>
      <c r="AF199" s="869"/>
      <c r="AG199" s="869"/>
      <c r="AH199" s="869"/>
      <c r="AI199" s="869"/>
      <c r="AJ199" s="869"/>
      <c r="AK199" s="869"/>
      <c r="AL199" s="869"/>
      <c r="AM199" s="869"/>
      <c r="AN199" s="869"/>
      <c r="AO199" s="869"/>
      <c r="AP199" s="869"/>
      <c r="AQ199" s="869"/>
      <c r="AR199" s="869"/>
      <c r="AS199" s="869"/>
      <c r="AT199" s="869"/>
      <c r="AU199" s="869"/>
      <c r="AV199" s="869"/>
      <c r="AW199" s="869"/>
      <c r="AX199" s="869"/>
      <c r="AY199" s="869"/>
      <c r="AZ199" s="869"/>
      <c r="BA199" s="869"/>
      <c r="BB199" s="869"/>
      <c r="BC199" s="869"/>
      <c r="BD199" s="869"/>
      <c r="BE199" s="869"/>
      <c r="BF199" s="869"/>
      <c r="BG199" s="869"/>
      <c r="BH199" s="869"/>
      <c r="BI199" s="869"/>
      <c r="BJ199" s="869"/>
      <c r="BK199" s="869"/>
      <c r="BL199" s="869"/>
      <c r="BM199" s="869"/>
      <c r="BN199" s="869"/>
      <c r="BO199" s="869"/>
      <c r="BP199" s="869"/>
      <c r="BQ199" s="869"/>
      <c r="BR199" s="869"/>
      <c r="BS199" s="869"/>
      <c r="BT199" s="869"/>
      <c r="BU199" s="869"/>
      <c r="BV199" s="869"/>
      <c r="BW199" s="869"/>
      <c r="BX199" s="869"/>
      <c r="BY199" s="869"/>
      <c r="BZ199" s="869"/>
      <c r="CA199" s="870"/>
      <c r="CB199" s="5"/>
      <c r="CC199" s="5"/>
      <c r="CD199" s="5"/>
      <c r="CE199" s="3"/>
      <c r="CF199" s="3"/>
      <c r="CG199" s="3"/>
      <c r="CH199" s="3"/>
    </row>
    <row r="200" spans="1:86" ht="12" customHeight="1">
      <c r="A200" s="55"/>
      <c r="B200" s="362"/>
      <c r="C200" s="362"/>
      <c r="D200" s="362"/>
      <c r="E200" s="361"/>
      <c r="F200" s="415"/>
      <c r="G200" s="415"/>
      <c r="H200" s="415"/>
      <c r="I200" s="415"/>
      <c r="J200" s="415"/>
      <c r="K200" s="415"/>
      <c r="L200" s="415"/>
      <c r="M200" s="415"/>
      <c r="N200" s="415"/>
      <c r="O200" s="415"/>
      <c r="P200" s="474"/>
      <c r="Q200" s="475"/>
      <c r="R200" s="476"/>
      <c r="S200" s="476"/>
      <c r="T200" s="476"/>
      <c r="U200" s="476"/>
      <c r="V200" s="477"/>
      <c r="W200" s="871"/>
      <c r="X200" s="872"/>
      <c r="Y200" s="872"/>
      <c r="Z200" s="872"/>
      <c r="AA200" s="872"/>
      <c r="AB200" s="872"/>
      <c r="AC200" s="872"/>
      <c r="AD200" s="872"/>
      <c r="AE200" s="872"/>
      <c r="AF200" s="872"/>
      <c r="AG200" s="872"/>
      <c r="AH200" s="872"/>
      <c r="AI200" s="872"/>
      <c r="AJ200" s="872"/>
      <c r="AK200" s="872"/>
      <c r="AL200" s="872"/>
      <c r="AM200" s="872"/>
      <c r="AN200" s="872"/>
      <c r="AO200" s="872"/>
      <c r="AP200" s="872"/>
      <c r="AQ200" s="872"/>
      <c r="AR200" s="872"/>
      <c r="AS200" s="872"/>
      <c r="AT200" s="872"/>
      <c r="AU200" s="872"/>
      <c r="AV200" s="872"/>
      <c r="AW200" s="872"/>
      <c r="AX200" s="872"/>
      <c r="AY200" s="872"/>
      <c r="AZ200" s="872"/>
      <c r="BA200" s="872"/>
      <c r="BB200" s="872"/>
      <c r="BC200" s="872"/>
      <c r="BD200" s="872"/>
      <c r="BE200" s="872"/>
      <c r="BF200" s="872"/>
      <c r="BG200" s="872"/>
      <c r="BH200" s="872"/>
      <c r="BI200" s="872"/>
      <c r="BJ200" s="872"/>
      <c r="BK200" s="872"/>
      <c r="BL200" s="872"/>
      <c r="BM200" s="872"/>
      <c r="BN200" s="872"/>
      <c r="BO200" s="872"/>
      <c r="BP200" s="872"/>
      <c r="BQ200" s="872"/>
      <c r="BR200" s="872"/>
      <c r="BS200" s="872"/>
      <c r="BT200" s="872"/>
      <c r="BU200" s="872"/>
      <c r="BV200" s="872"/>
      <c r="BW200" s="872"/>
      <c r="BX200" s="872"/>
      <c r="BY200" s="872"/>
      <c r="BZ200" s="872"/>
      <c r="CA200" s="873"/>
      <c r="CB200" s="5"/>
      <c r="CC200" s="5"/>
      <c r="CD200" s="5"/>
      <c r="CE200" s="362"/>
      <c r="CF200" s="362"/>
      <c r="CG200" s="362"/>
      <c r="CH200" s="362"/>
    </row>
    <row r="201" spans="1:86" ht="12" customHeight="1">
      <c r="A201" s="55"/>
      <c r="B201" s="3"/>
      <c r="C201" s="3"/>
      <c r="D201" s="3"/>
      <c r="E201" s="363"/>
      <c r="F201" s="436"/>
      <c r="G201" s="436"/>
      <c r="H201" s="436"/>
      <c r="I201" s="436"/>
      <c r="J201" s="436"/>
      <c r="K201" s="436"/>
      <c r="L201" s="436"/>
      <c r="M201" s="436"/>
      <c r="N201" s="436"/>
      <c r="O201" s="436"/>
      <c r="P201" s="437"/>
      <c r="Q201" s="478"/>
      <c r="R201" s="479"/>
      <c r="S201" s="479"/>
      <c r="T201" s="479"/>
      <c r="U201" s="479"/>
      <c r="V201" s="480"/>
      <c r="W201" s="874"/>
      <c r="X201" s="875"/>
      <c r="Y201" s="875"/>
      <c r="Z201" s="875"/>
      <c r="AA201" s="875"/>
      <c r="AB201" s="875"/>
      <c r="AC201" s="875"/>
      <c r="AD201" s="875"/>
      <c r="AE201" s="875"/>
      <c r="AF201" s="875"/>
      <c r="AG201" s="875"/>
      <c r="AH201" s="875"/>
      <c r="AI201" s="875"/>
      <c r="AJ201" s="875"/>
      <c r="AK201" s="875"/>
      <c r="AL201" s="875"/>
      <c r="AM201" s="875"/>
      <c r="AN201" s="875"/>
      <c r="AO201" s="875"/>
      <c r="AP201" s="875"/>
      <c r="AQ201" s="875"/>
      <c r="AR201" s="875"/>
      <c r="AS201" s="875"/>
      <c r="AT201" s="875"/>
      <c r="AU201" s="875"/>
      <c r="AV201" s="875"/>
      <c r="AW201" s="875"/>
      <c r="AX201" s="875"/>
      <c r="AY201" s="875"/>
      <c r="AZ201" s="875"/>
      <c r="BA201" s="875"/>
      <c r="BB201" s="875"/>
      <c r="BC201" s="875"/>
      <c r="BD201" s="875"/>
      <c r="BE201" s="875"/>
      <c r="BF201" s="875"/>
      <c r="BG201" s="875"/>
      <c r="BH201" s="875"/>
      <c r="BI201" s="875"/>
      <c r="BJ201" s="875"/>
      <c r="BK201" s="875"/>
      <c r="BL201" s="875"/>
      <c r="BM201" s="875"/>
      <c r="BN201" s="875"/>
      <c r="BO201" s="875"/>
      <c r="BP201" s="875"/>
      <c r="BQ201" s="875"/>
      <c r="BR201" s="875"/>
      <c r="BS201" s="875"/>
      <c r="BT201" s="875"/>
      <c r="BU201" s="875"/>
      <c r="BV201" s="875"/>
      <c r="BW201" s="875"/>
      <c r="BX201" s="875"/>
      <c r="BY201" s="875"/>
      <c r="BZ201" s="875"/>
      <c r="CA201" s="876"/>
      <c r="CB201" s="5"/>
      <c r="CC201" s="5"/>
      <c r="CD201" s="5"/>
      <c r="CE201" s="3"/>
      <c r="CF201" s="3"/>
      <c r="CG201" s="3"/>
      <c r="CH201" s="3"/>
    </row>
    <row r="202" spans="1:86" ht="12"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5"/>
      <c r="BH202" s="5"/>
      <c r="BI202" s="5"/>
      <c r="BJ202" s="5"/>
      <c r="BK202" s="5"/>
      <c r="BL202" s="5"/>
      <c r="BM202" s="5"/>
      <c r="BN202" s="5"/>
      <c r="BO202" s="5"/>
      <c r="BP202" s="5"/>
      <c r="BQ202" s="5"/>
      <c r="BR202" s="5"/>
      <c r="BS202" s="5"/>
      <c r="BT202" s="5"/>
      <c r="BU202" s="5"/>
      <c r="BV202" s="5"/>
      <c r="BW202" s="5"/>
      <c r="BX202" s="5"/>
      <c r="BY202" s="5"/>
      <c r="BZ202" s="3"/>
      <c r="CA202" s="3"/>
      <c r="CB202" s="3"/>
      <c r="CC202" s="5"/>
      <c r="CD202" s="3"/>
      <c r="CE202" s="3"/>
      <c r="CF202" s="3"/>
      <c r="CG202" s="3"/>
    </row>
    <row r="203" spans="1:86" ht="12" customHeight="1">
      <c r="A203" s="3"/>
      <c r="B203" s="3"/>
      <c r="C203" s="3"/>
      <c r="D203" s="3" t="s">
        <v>480</v>
      </c>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5"/>
      <c r="BH203" s="5"/>
      <c r="BI203" s="5"/>
      <c r="BJ203" s="5"/>
      <c r="BK203" s="5"/>
      <c r="BL203" s="5"/>
      <c r="BM203" s="5"/>
      <c r="BN203" s="5"/>
      <c r="BO203" s="5"/>
      <c r="BP203" s="5"/>
      <c r="BQ203" s="5"/>
      <c r="BR203" s="5"/>
      <c r="BS203" s="5"/>
      <c r="BT203" s="5"/>
      <c r="BU203" s="5"/>
      <c r="BV203" s="5"/>
      <c r="BW203" s="5"/>
      <c r="BX203" s="5"/>
      <c r="BY203" s="5"/>
      <c r="BZ203" s="3"/>
      <c r="CA203" s="3"/>
      <c r="CB203" s="3"/>
      <c r="CC203" s="5"/>
      <c r="CD203" s="3"/>
      <c r="CE203" s="3"/>
      <c r="CF203" s="3"/>
      <c r="CG203" s="3"/>
    </row>
    <row r="204" spans="1:86" ht="12"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5"/>
      <c r="BH204" s="5"/>
      <c r="BI204" s="5"/>
      <c r="BJ204" s="5"/>
      <c r="BK204" s="5"/>
      <c r="BL204" s="5"/>
      <c r="BM204" s="5"/>
      <c r="BN204" s="5"/>
      <c r="BO204" s="5"/>
      <c r="BP204" s="5"/>
      <c r="BQ204" s="5"/>
      <c r="BR204" s="5"/>
      <c r="BS204" s="5"/>
      <c r="BT204" s="5"/>
      <c r="BU204" s="5"/>
      <c r="BV204" s="5"/>
      <c r="BW204" s="5"/>
      <c r="BX204" s="5"/>
      <c r="BY204" s="5"/>
      <c r="BZ204" s="3"/>
      <c r="CA204" s="3"/>
      <c r="CB204" s="3"/>
      <c r="CC204" s="5"/>
      <c r="CD204" s="3"/>
      <c r="CE204" s="3"/>
      <c r="CF204" s="3"/>
      <c r="CG204" s="3"/>
    </row>
    <row r="205" spans="1:86" ht="12" customHeight="1">
      <c r="A205" s="3"/>
      <c r="B205" s="3"/>
      <c r="C205" s="3"/>
      <c r="D205" s="3"/>
      <c r="E205" s="3" t="s">
        <v>399</v>
      </c>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c r="CG205" s="3"/>
    </row>
    <row r="206" spans="1:86" ht="12"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c r="CG206" s="3"/>
    </row>
    <row r="207" spans="1:86" ht="12"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5"/>
      <c r="BH207" s="5"/>
      <c r="BI207" s="5"/>
      <c r="BJ207" s="5"/>
      <c r="BK207" s="5"/>
      <c r="BL207" s="5"/>
      <c r="BM207" s="5"/>
      <c r="BN207" s="5"/>
      <c r="BO207" s="5"/>
      <c r="BP207" s="5"/>
      <c r="BQ207" s="5"/>
      <c r="BR207" s="5"/>
      <c r="BS207" s="5"/>
      <c r="BT207" s="5"/>
      <c r="BU207" s="5"/>
      <c r="BV207" s="5"/>
      <c r="BW207" s="5"/>
      <c r="BX207" s="5"/>
      <c r="BY207" s="5"/>
      <c r="BZ207" s="3"/>
      <c r="CA207" s="3"/>
      <c r="CB207" s="3"/>
      <c r="CC207" s="5"/>
      <c r="CD207" s="3"/>
      <c r="CE207" s="3"/>
      <c r="CF207" s="3"/>
      <c r="CG207" s="3"/>
    </row>
    <row r="208" spans="1:86" ht="12"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5"/>
      <c r="BH208" s="5"/>
      <c r="BI208" s="5"/>
      <c r="BJ208" s="5"/>
      <c r="BK208" s="5"/>
      <c r="BL208" s="5"/>
      <c r="BM208" s="5"/>
      <c r="BN208" s="5"/>
      <c r="BO208" s="5"/>
      <c r="BP208" s="5"/>
      <c r="BQ208" s="5"/>
      <c r="BR208" s="5"/>
      <c r="BS208" s="5"/>
      <c r="BT208" s="5"/>
      <c r="BU208" s="5"/>
      <c r="BV208" s="5"/>
      <c r="BW208" s="5"/>
      <c r="BX208" s="5"/>
      <c r="BY208" s="5"/>
      <c r="BZ208" s="3"/>
      <c r="CA208" s="3"/>
      <c r="CB208" s="3"/>
      <c r="CC208" s="5"/>
      <c r="CD208" s="3"/>
      <c r="CE208" s="3"/>
      <c r="CF208" s="3"/>
      <c r="CG208" s="3"/>
    </row>
    <row r="209" spans="1:85" ht="12"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5"/>
      <c r="BH209" s="5"/>
      <c r="BI209" s="5"/>
      <c r="BJ209" s="5"/>
      <c r="BK209" s="5"/>
      <c r="BL209" s="5"/>
      <c r="BM209" s="5"/>
      <c r="BN209" s="5"/>
      <c r="BO209" s="5"/>
      <c r="BP209" s="5"/>
      <c r="BQ209" s="5"/>
      <c r="BR209" s="5"/>
      <c r="BS209" s="5"/>
      <c r="BT209" s="5"/>
      <c r="BU209" s="5"/>
      <c r="BV209" s="5"/>
      <c r="BW209" s="5"/>
      <c r="BX209" s="5"/>
      <c r="BY209" s="5"/>
      <c r="BZ209" s="3"/>
      <c r="CA209" s="3"/>
      <c r="CB209" s="3"/>
      <c r="CC209" s="5"/>
      <c r="CD209" s="3"/>
      <c r="CE209" s="3"/>
      <c r="CF209" s="3"/>
      <c r="CG209" s="3"/>
    </row>
    <row r="210" spans="1:85" ht="12"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5"/>
      <c r="BH210" s="5"/>
      <c r="BI210" s="5"/>
      <c r="BJ210" s="5"/>
      <c r="BK210" s="5"/>
      <c r="BL210" s="5"/>
      <c r="BM210" s="5"/>
      <c r="BN210" s="5"/>
      <c r="BO210" s="5"/>
      <c r="BP210" s="5"/>
      <c r="BQ210" s="5"/>
      <c r="BR210" s="5"/>
      <c r="BS210" s="5"/>
      <c r="BT210" s="5"/>
      <c r="BU210" s="5"/>
      <c r="BV210" s="5"/>
      <c r="BW210" s="5"/>
      <c r="BX210" s="5"/>
      <c r="BY210" s="5"/>
      <c r="BZ210" s="3"/>
      <c r="CA210" s="3"/>
      <c r="CB210" s="3"/>
      <c r="CC210" s="5"/>
      <c r="CD210" s="3"/>
      <c r="CE210" s="3"/>
      <c r="CF210" s="3"/>
      <c r="CG210" s="3"/>
    </row>
    <row r="211" spans="1:85" ht="12"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5"/>
      <c r="BH211" s="5"/>
      <c r="BI211" s="5"/>
      <c r="BJ211" s="5"/>
      <c r="BK211" s="5"/>
      <c r="BL211" s="5"/>
      <c r="BM211" s="5"/>
      <c r="BN211" s="5"/>
      <c r="BO211" s="5"/>
      <c r="BP211" s="5"/>
      <c r="BQ211" s="5"/>
      <c r="BR211" s="5"/>
      <c r="BS211" s="5"/>
      <c r="BT211" s="5"/>
      <c r="BU211" s="5"/>
      <c r="BV211" s="5"/>
      <c r="BW211" s="5"/>
      <c r="BX211" s="5"/>
      <c r="BY211" s="5"/>
      <c r="BZ211" s="3"/>
      <c r="CA211" s="3"/>
      <c r="CB211" s="3"/>
      <c r="CC211" s="5"/>
      <c r="CD211" s="3"/>
      <c r="CE211" s="3"/>
      <c r="CF211" s="3"/>
      <c r="CG211" s="3"/>
    </row>
    <row r="212" spans="1:85"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5"/>
      <c r="BH212" s="5"/>
      <c r="BI212" s="5"/>
      <c r="BJ212" s="5"/>
      <c r="BK212" s="5"/>
      <c r="BL212" s="5"/>
      <c r="BM212" s="5"/>
      <c r="BN212" s="5"/>
      <c r="BO212" s="5"/>
      <c r="BP212" s="5"/>
      <c r="BQ212" s="5"/>
      <c r="BR212" s="5"/>
      <c r="BS212" s="5"/>
      <c r="BT212" s="5"/>
      <c r="BU212" s="5"/>
      <c r="BV212" s="5"/>
      <c r="BW212" s="5"/>
      <c r="BX212" s="5"/>
      <c r="BY212" s="5"/>
      <c r="BZ212" s="3"/>
      <c r="CA212" s="3"/>
      <c r="CB212" s="3"/>
      <c r="CC212" s="5"/>
      <c r="CD212" s="3"/>
      <c r="CE212" s="3"/>
      <c r="CF212" s="3"/>
      <c r="CG212" s="3"/>
    </row>
    <row r="213" spans="1:85"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5"/>
      <c r="BH213" s="5"/>
      <c r="BI213" s="5"/>
      <c r="BJ213" s="5"/>
      <c r="BK213" s="5"/>
      <c r="BL213" s="5"/>
      <c r="BM213" s="5"/>
      <c r="BN213" s="5"/>
      <c r="BO213" s="5"/>
      <c r="BP213" s="5"/>
      <c r="BQ213" s="5"/>
      <c r="BR213" s="5"/>
      <c r="BS213" s="5"/>
      <c r="BT213" s="5"/>
      <c r="BU213" s="5"/>
      <c r="BV213" s="5"/>
      <c r="BW213" s="5"/>
      <c r="BX213" s="5"/>
      <c r="BY213" s="5"/>
      <c r="BZ213" s="3"/>
      <c r="CA213" s="3"/>
      <c r="CB213" s="3"/>
      <c r="CC213" s="5"/>
      <c r="CD213" s="3"/>
      <c r="CE213" s="3"/>
      <c r="CF213" s="3"/>
      <c r="CG213" s="3"/>
    </row>
    <row r="214" spans="1:85"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5"/>
      <c r="BH214" s="5"/>
      <c r="BI214" s="5"/>
      <c r="BJ214" s="5"/>
      <c r="BK214" s="5"/>
      <c r="BL214" s="5"/>
      <c r="BM214" s="5"/>
      <c r="BN214" s="5"/>
      <c r="BO214" s="5"/>
      <c r="BP214" s="5"/>
      <c r="BQ214" s="5"/>
      <c r="BR214" s="5"/>
      <c r="BS214" s="5"/>
      <c r="BT214" s="5"/>
      <c r="BU214" s="5"/>
      <c r="BV214" s="5"/>
      <c r="BW214" s="5"/>
      <c r="BX214" s="5"/>
      <c r="BY214" s="5"/>
      <c r="BZ214" s="3"/>
      <c r="CA214" s="3"/>
      <c r="CB214" s="3"/>
      <c r="CC214" s="5"/>
      <c r="CD214" s="3"/>
      <c r="CE214" s="3"/>
      <c r="CF214" s="3"/>
      <c r="CG214" s="3"/>
    </row>
    <row r="215" spans="1:85"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c r="CG215" s="3"/>
    </row>
    <row r="216" spans="1:85" ht="1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c r="CG216" s="3"/>
    </row>
    <row r="217" spans="1:85" ht="1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c r="CG217" s="3"/>
    </row>
    <row r="218" spans="1:85" ht="12"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c r="CG218" s="3"/>
    </row>
    <row r="219" spans="1:85" ht="12"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c r="CG219" s="3"/>
    </row>
    <row r="220" spans="1:85" ht="12"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c r="CG220" s="3"/>
    </row>
    <row r="221" spans="1:85" ht="12" customHeight="1">
      <c r="A221" s="460"/>
      <c r="B221" s="460"/>
      <c r="C221" s="460" t="s">
        <v>1006</v>
      </c>
      <c r="D221" s="462"/>
      <c r="E221" s="462"/>
      <c r="F221" s="462"/>
      <c r="G221" s="462"/>
      <c r="H221" s="462"/>
      <c r="I221" s="462"/>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c r="CG221" s="3"/>
    </row>
    <row r="222" spans="1:85" ht="12" customHeight="1">
      <c r="A222" s="460"/>
      <c r="B222" s="460"/>
      <c r="C222" s="460"/>
      <c r="D222" s="462"/>
      <c r="E222" s="462"/>
      <c r="F222" s="462"/>
      <c r="G222" s="462"/>
      <c r="H222" s="462"/>
      <c r="I222" s="462"/>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3"/>
      <c r="CA222" s="3"/>
      <c r="CB222" s="3"/>
      <c r="CC222" s="5"/>
      <c r="CD222" s="3"/>
      <c r="CE222" s="3"/>
      <c r="CF222" s="3"/>
      <c r="CG222" s="3"/>
    </row>
    <row r="223" spans="1:85" ht="12" customHeight="1">
      <c r="A223" s="460"/>
      <c r="B223" s="460"/>
      <c r="C223" s="460"/>
      <c r="D223" s="462" t="s">
        <v>347</v>
      </c>
      <c r="E223" s="462"/>
      <c r="F223" s="462"/>
      <c r="G223" s="462"/>
      <c r="H223" s="462"/>
      <c r="I223" s="462"/>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3"/>
      <c r="CA223" s="3"/>
      <c r="CB223" s="3"/>
      <c r="CC223" s="5"/>
      <c r="CD223" s="3"/>
      <c r="CE223" s="3"/>
      <c r="CF223" s="3"/>
      <c r="CG223" s="3"/>
    </row>
    <row r="224" spans="1:85" ht="12" customHeight="1">
      <c r="A224" s="460"/>
      <c r="B224" s="460"/>
      <c r="C224" s="460"/>
      <c r="D224" s="462" t="s">
        <v>1021</v>
      </c>
      <c r="E224" s="462"/>
      <c r="F224" s="462"/>
      <c r="G224" s="462"/>
      <c r="H224" s="462"/>
      <c r="I224" s="462"/>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3"/>
      <c r="CA224" s="3"/>
      <c r="CB224" s="3"/>
      <c r="CC224" s="5"/>
      <c r="CD224" s="3"/>
      <c r="CE224" s="3"/>
      <c r="CF224" s="3"/>
      <c r="CG224" s="3"/>
    </row>
    <row r="225" spans="1:85" ht="12" customHeight="1">
      <c r="A225" s="460"/>
      <c r="B225" s="460"/>
      <c r="C225" s="460"/>
      <c r="D225" s="462" t="s">
        <v>1163</v>
      </c>
      <c r="E225" s="462"/>
      <c r="F225" s="462"/>
      <c r="G225" s="462"/>
      <c r="H225" s="462"/>
      <c r="I225" s="462"/>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3"/>
      <c r="CA225" s="3"/>
      <c r="CB225" s="3"/>
      <c r="CC225" s="5"/>
      <c r="CD225" s="3"/>
      <c r="CE225" s="3"/>
      <c r="CF225" s="3"/>
      <c r="CG225" s="3"/>
    </row>
    <row r="226" spans="1:85" ht="12" customHeight="1">
      <c r="A226" s="460"/>
      <c r="B226" s="460"/>
      <c r="C226" s="460"/>
      <c r="D226" s="462" t="s">
        <v>346</v>
      </c>
      <c r="E226" s="462"/>
      <c r="F226" s="462"/>
      <c r="G226" s="462"/>
      <c r="H226" s="462"/>
      <c r="I226" s="462"/>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3"/>
      <c r="CA226" s="3"/>
      <c r="CB226" s="3"/>
      <c r="CC226" s="5"/>
      <c r="CD226" s="3"/>
      <c r="CE226" s="3"/>
      <c r="CF226" s="3"/>
      <c r="CG226" s="3"/>
    </row>
    <row r="227" spans="1:85" ht="12" customHeight="1">
      <c r="A227" s="460"/>
      <c r="B227" s="460"/>
      <c r="C227" s="460"/>
      <c r="D227" s="462"/>
      <c r="E227" s="462"/>
      <c r="F227" s="462"/>
      <c r="G227" s="462"/>
      <c r="H227" s="462"/>
      <c r="I227" s="462"/>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3"/>
      <c r="CA227" s="3"/>
      <c r="CB227" s="3"/>
      <c r="CC227" s="5"/>
      <c r="CD227" s="3"/>
      <c r="CE227" s="3"/>
      <c r="CF227" s="3"/>
      <c r="CG227" s="3"/>
    </row>
    <row r="228" spans="1:85" ht="12" customHeight="1">
      <c r="A228" s="460"/>
      <c r="B228" s="460"/>
      <c r="C228" s="460"/>
      <c r="D228" s="462"/>
      <c r="E228" s="462"/>
      <c r="F228" s="462"/>
      <c r="G228" s="462"/>
      <c r="H228" s="462"/>
      <c r="I228" s="462"/>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3"/>
      <c r="CA228" s="3"/>
      <c r="CB228" s="3"/>
      <c r="CC228" s="5"/>
      <c r="CD228" s="3"/>
      <c r="CE228" s="3"/>
      <c r="CF228" s="3"/>
      <c r="CG228" s="3"/>
    </row>
    <row r="229" spans="1:85" ht="12" customHeight="1">
      <c r="A229" s="460"/>
      <c r="B229" s="460"/>
      <c r="C229" s="460" t="s">
        <v>1007</v>
      </c>
      <c r="D229" s="460"/>
      <c r="E229" s="460"/>
      <c r="F229" s="462"/>
      <c r="G229" s="462"/>
      <c r="H229" s="462"/>
      <c r="I229" s="462"/>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c r="CG229" s="3"/>
    </row>
    <row r="230" spans="1:85" ht="12" customHeight="1">
      <c r="A230" s="460"/>
      <c r="B230" s="460"/>
      <c r="C230" s="460"/>
      <c r="D230" s="460"/>
      <c r="E230" s="460"/>
      <c r="F230" s="462"/>
      <c r="G230" s="462"/>
      <c r="H230" s="462"/>
      <c r="I230" s="462"/>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c r="CG230" s="3"/>
    </row>
    <row r="231" spans="1:85" ht="12" customHeight="1">
      <c r="A231" s="460"/>
      <c r="B231" s="460"/>
      <c r="C231" s="460"/>
      <c r="D231" s="460" t="s">
        <v>345</v>
      </c>
      <c r="E231" s="462"/>
      <c r="F231" s="462"/>
      <c r="G231" s="462"/>
      <c r="H231" s="462"/>
      <c r="I231" s="462"/>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c r="CG231" s="3"/>
    </row>
    <row r="232" spans="1:85" ht="12" customHeight="1">
      <c r="A232" s="460"/>
      <c r="B232" s="460"/>
      <c r="C232" s="460"/>
      <c r="D232" s="460"/>
      <c r="E232" s="462"/>
      <c r="F232" s="462"/>
      <c r="G232" s="462"/>
      <c r="H232" s="462"/>
      <c r="I232" s="462"/>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c r="CG232" s="3"/>
    </row>
    <row r="233" spans="1:85" ht="12" customHeight="1">
      <c r="A233" s="460"/>
      <c r="B233" s="460"/>
      <c r="C233" s="460"/>
      <c r="D233" s="462"/>
      <c r="E233" s="462"/>
      <c r="F233" s="462"/>
      <c r="G233" s="462"/>
      <c r="H233" s="462"/>
      <c r="I233" s="462"/>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c r="CG233" s="3"/>
    </row>
    <row r="234" spans="1:85" ht="12" customHeight="1">
      <c r="A234" s="460"/>
      <c r="B234" s="460"/>
      <c r="C234" s="460" t="s">
        <v>1164</v>
      </c>
      <c r="D234" s="460"/>
      <c r="E234" s="460"/>
      <c r="F234" s="462"/>
      <c r="G234" s="462"/>
      <c r="H234" s="462"/>
      <c r="I234" s="462"/>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c r="CG234" s="3"/>
    </row>
    <row r="235" spans="1:85" ht="12" customHeight="1">
      <c r="A235" s="460"/>
      <c r="B235" s="460"/>
      <c r="C235" s="460"/>
      <c r="D235" s="460"/>
      <c r="E235" s="460"/>
      <c r="F235" s="462"/>
      <c r="G235" s="462"/>
      <c r="H235" s="462"/>
      <c r="I235" s="462"/>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c r="CG235" s="3"/>
    </row>
    <row r="236" spans="1:85" ht="12" customHeight="1">
      <c r="A236" s="460"/>
      <c r="B236" s="460"/>
      <c r="C236" s="460"/>
      <c r="D236" s="460" t="s">
        <v>344</v>
      </c>
      <c r="E236" s="460"/>
      <c r="F236" s="462"/>
      <c r="G236" s="462"/>
      <c r="H236" s="462"/>
      <c r="I236" s="462"/>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c r="CG236" s="3"/>
    </row>
    <row r="237" spans="1:85" ht="12" customHeight="1">
      <c r="A237" s="3"/>
      <c r="B237" s="3"/>
      <c r="C237" s="3"/>
      <c r="D237" s="3" t="s">
        <v>343</v>
      </c>
      <c r="E237" s="3"/>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c r="CG237" s="3"/>
    </row>
    <row r="238" spans="1:85" ht="12" customHeight="1">
      <c r="A238" s="3"/>
      <c r="B238" s="3"/>
      <c r="C238" s="3"/>
      <c r="D238" s="3"/>
      <c r="E238" s="3"/>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c r="CG238" s="3"/>
    </row>
    <row r="239" spans="1:85" ht="12" customHeight="1">
      <c r="A239" s="3"/>
      <c r="B239" s="3"/>
      <c r="C239" s="3"/>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c r="CG239" s="3"/>
    </row>
    <row r="240" spans="1:85" ht="12" customHeight="1">
      <c r="A240" s="3"/>
      <c r="B240" s="3"/>
      <c r="C240" s="3"/>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c r="CG240" s="3"/>
    </row>
    <row r="241" spans="1:85" ht="12" customHeight="1">
      <c r="A241" s="3"/>
      <c r="B241" s="3"/>
      <c r="C241" s="3"/>
      <c r="D241" s="3"/>
      <c r="E241" s="3"/>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c r="CG241" s="3"/>
    </row>
    <row r="242" spans="1:85" ht="12" customHeight="1">
      <c r="A242" s="3"/>
      <c r="B242" s="3"/>
      <c r="C242" s="3"/>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c r="CG242" s="3"/>
    </row>
    <row r="243" spans="1:85" ht="12" customHeight="1">
      <c r="A243" s="3"/>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c r="CG243" s="3"/>
    </row>
    <row r="244" spans="1:85" ht="12" customHeight="1">
      <c r="A244" s="3"/>
      <c r="B244" s="3"/>
      <c r="C244" s="3"/>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c r="CG244" s="3"/>
    </row>
    <row r="245" spans="1:85" ht="12" customHeight="1">
      <c r="A245" s="3"/>
      <c r="B245" s="3"/>
      <c r="C245" s="3"/>
      <c r="D245" s="3"/>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c r="CG245" s="3"/>
    </row>
    <row r="246" spans="1:85" ht="12" customHeight="1">
      <c r="A246" s="3"/>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c r="CG246" s="3"/>
    </row>
    <row r="247" spans="1:85" ht="12" customHeight="1">
      <c r="A247" s="3"/>
      <c r="B247" s="3"/>
      <c r="C247" s="3"/>
      <c r="D247" s="3"/>
      <c r="E247" s="3"/>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c r="CG247" s="3"/>
    </row>
    <row r="248" spans="1:85" ht="12" customHeight="1">
      <c r="A248" s="3"/>
      <c r="B248" s="3"/>
      <c r="C248" s="3"/>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c r="CG248" s="3"/>
    </row>
    <row r="249" spans="1:85" ht="12" customHeight="1">
      <c r="A249" s="3"/>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c r="CG249" s="3"/>
    </row>
    <row r="250" spans="1:85" ht="12" customHeight="1">
      <c r="A250" s="3"/>
      <c r="B250" s="3"/>
      <c r="C250" s="3"/>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c r="CG250" s="3"/>
    </row>
    <row r="251" spans="1:85" ht="12" customHeight="1">
      <c r="A251" s="3"/>
      <c r="B251" s="3"/>
      <c r="C251" s="3"/>
      <c r="D251" s="3"/>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c r="CG251" s="3"/>
    </row>
    <row r="252" spans="1:85" ht="12" customHeight="1">
      <c r="A252" s="3"/>
      <c r="B252" s="3"/>
      <c r="C252" s="3"/>
      <c r="D252" s="3"/>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c r="CG252" s="3"/>
    </row>
    <row r="253" spans="1:85" ht="12" customHeight="1">
      <c r="A253" s="3"/>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c r="CG253" s="3"/>
    </row>
    <row r="254" spans="1:85" ht="12" customHeight="1">
      <c r="A254" s="3"/>
      <c r="B254" s="3"/>
      <c r="C254" s="3"/>
      <c r="D254" s="3"/>
      <c r="E254" s="3"/>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3"/>
      <c r="CA254" s="3"/>
      <c r="CB254" s="3"/>
      <c r="CC254" s="5"/>
      <c r="CD254" s="3"/>
      <c r="CE254" s="3"/>
      <c r="CF254" s="3"/>
      <c r="CG254" s="3"/>
    </row>
    <row r="255" spans="1:85" ht="12" customHeight="1">
      <c r="A255" s="3"/>
      <c r="B255" s="3"/>
      <c r="C255" s="3"/>
      <c r="D255" s="3"/>
      <c r="E255" s="3"/>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3"/>
      <c r="CA255" s="3"/>
      <c r="CB255" s="3"/>
      <c r="CC255" s="5"/>
      <c r="CD255" s="3"/>
      <c r="CE255" s="3"/>
      <c r="CF255" s="3"/>
      <c r="CG255" s="3"/>
    </row>
    <row r="256" spans="1:85" ht="12" customHeight="1">
      <c r="A256" s="3"/>
      <c r="B256" s="3"/>
      <c r="C256" s="3"/>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3"/>
      <c r="CA256" s="3"/>
      <c r="CB256" s="3"/>
      <c r="CC256" s="5"/>
      <c r="CD256" s="3"/>
      <c r="CE256" s="3"/>
      <c r="CF256" s="3"/>
      <c r="CG256" s="3"/>
    </row>
    <row r="257" spans="1:85" ht="12" customHeight="1">
      <c r="A257" s="3"/>
      <c r="B257" s="3"/>
      <c r="C257" s="3"/>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3"/>
      <c r="CA257" s="3"/>
      <c r="CB257" s="3"/>
      <c r="CC257" s="5"/>
      <c r="CD257" s="3"/>
      <c r="CE257" s="3"/>
      <c r="CF257" s="3"/>
      <c r="CG257" s="3"/>
    </row>
    <row r="258" spans="1:85" ht="12" customHeight="1">
      <c r="A258" s="3"/>
      <c r="B258" s="3"/>
      <c r="C258" s="3"/>
      <c r="D258" s="3"/>
      <c r="E258" s="3"/>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3"/>
      <c r="CA258" s="3"/>
      <c r="CB258" s="3"/>
      <c r="CC258" s="5"/>
      <c r="CD258" s="3"/>
      <c r="CE258" s="3"/>
      <c r="CF258" s="3"/>
      <c r="CG258" s="3"/>
    </row>
    <row r="259" spans="1:85" ht="12" customHeight="1">
      <c r="A259" s="3"/>
      <c r="B259" s="3"/>
      <c r="C259" s="3"/>
      <c r="D259" s="3"/>
      <c r="E259" s="3"/>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3"/>
      <c r="CA259" s="3"/>
      <c r="CB259" s="3"/>
      <c r="CC259" s="5"/>
      <c r="CD259" s="3"/>
      <c r="CE259" s="3"/>
      <c r="CF259" s="3"/>
      <c r="CG259" s="3"/>
    </row>
    <row r="260" spans="1:85" ht="12" customHeight="1">
      <c r="A260" s="3"/>
      <c r="B260" s="3"/>
      <c r="C260" s="3"/>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3"/>
      <c r="CA260" s="3"/>
      <c r="CB260" s="3"/>
      <c r="CC260" s="5"/>
      <c r="CD260" s="3"/>
      <c r="CE260" s="3"/>
      <c r="CF260" s="3"/>
      <c r="CG260" s="3"/>
    </row>
    <row r="261" spans="1:85" ht="12" customHeight="1">
      <c r="A261" s="3"/>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c r="CG261" s="3"/>
    </row>
    <row r="262" spans="1:85" ht="12" customHeight="1">
      <c r="A262" s="3"/>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c r="CG262" s="3"/>
    </row>
    <row r="263" spans="1:85" ht="12" customHeight="1">
      <c r="A263" s="3"/>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c r="CG263" s="3"/>
    </row>
    <row r="264" spans="1:85" ht="12" customHeight="1">
      <c r="A264" s="3"/>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c r="CG264" s="3"/>
    </row>
    <row r="265" spans="1:85" ht="12" customHeight="1">
      <c r="A265" s="3"/>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c r="CG265" s="3"/>
    </row>
    <row r="266" spans="1:85" ht="12" customHeight="1">
      <c r="A266" s="3"/>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c r="CG266" s="3"/>
    </row>
    <row r="267" spans="1:85" ht="12" customHeight="1">
      <c r="A267" s="3"/>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c r="CG267" s="3"/>
    </row>
    <row r="268" spans="1:85" ht="12" customHeight="1">
      <c r="A268" s="3"/>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c r="CG268" s="3"/>
    </row>
    <row r="269" spans="1:85" ht="12" customHeight="1">
      <c r="A269" s="3"/>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c r="CG269" s="3"/>
    </row>
    <row r="270" spans="1:85" ht="12" customHeight="1">
      <c r="A270" s="3"/>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c r="CG270" s="3"/>
    </row>
    <row r="271" spans="1:85" ht="12" customHeight="1">
      <c r="A271" s="3"/>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c r="CG271" s="3"/>
    </row>
    <row r="272" spans="1:85" ht="12" customHeight="1">
      <c r="A272" s="3"/>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c r="CG272" s="3"/>
    </row>
    <row r="273" spans="1:85" ht="12" customHeight="1">
      <c r="A273" s="3"/>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c r="CG273" s="3"/>
    </row>
    <row r="274" spans="1:85" ht="12" customHeight="1">
      <c r="A274" s="3"/>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c r="CG274" s="3"/>
    </row>
    <row r="275" spans="1:85" ht="12" customHeight="1">
      <c r="A275" s="3"/>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c r="CG275" s="3"/>
    </row>
    <row r="276" spans="1:85" ht="12" customHeight="1">
      <c r="A276" s="3"/>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c r="CG276" s="3"/>
    </row>
    <row r="277" spans="1:85" ht="12" customHeight="1">
      <c r="A277" s="3"/>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c r="CG277" s="3"/>
    </row>
    <row r="278" spans="1:85" ht="12" customHeight="1">
      <c r="A278" s="3"/>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c r="CG278" s="3"/>
    </row>
    <row r="279" spans="1:85" ht="12" customHeight="1">
      <c r="A279" s="3"/>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c r="CG279" s="3"/>
    </row>
    <row r="280" spans="1:85" ht="12" customHeight="1">
      <c r="A280" s="3"/>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c r="CG280" s="3"/>
    </row>
    <row r="281" spans="1:85" ht="12" customHeight="1">
      <c r="A281" s="3"/>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c r="CG281" s="3"/>
    </row>
    <row r="282" spans="1:85" ht="12" customHeight="1">
      <c r="A282" s="3"/>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c r="CG282" s="3"/>
    </row>
    <row r="283" spans="1:85" ht="12" customHeight="1">
      <c r="A283" s="3"/>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c r="CG283" s="3"/>
    </row>
    <row r="284" spans="1:85" ht="12" customHeight="1">
      <c r="A284" s="3"/>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c r="CG284" s="3"/>
    </row>
    <row r="285" spans="1:85" ht="12" customHeight="1">
      <c r="A285" s="3"/>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c r="CG285" s="3"/>
    </row>
    <row r="286" spans="1:85" ht="12" customHeight="1">
      <c r="A286" s="3"/>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c r="CG286" s="3"/>
    </row>
    <row r="287" spans="1:85" ht="12" customHeight="1">
      <c r="A287" s="3"/>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c r="CG287" s="3"/>
    </row>
    <row r="288" spans="1:85" ht="12" customHeight="1">
      <c r="A288" s="3"/>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c r="CG288" s="3"/>
    </row>
    <row r="289" spans="1:85" ht="12" customHeight="1">
      <c r="A289" s="3"/>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c r="CG289" s="3"/>
    </row>
    <row r="290" spans="1:85" ht="12" customHeight="1">
      <c r="A290" s="3"/>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c r="CG290" s="3"/>
    </row>
    <row r="291" spans="1:85" ht="12" customHeight="1">
      <c r="A291" s="3"/>
      <c r="B291" s="3"/>
      <c r="C291" s="3"/>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3"/>
      <c r="CA291" s="3"/>
      <c r="CB291" s="3"/>
      <c r="CC291" s="5"/>
      <c r="CD291" s="3"/>
      <c r="CE291" s="3"/>
      <c r="CF291" s="3"/>
      <c r="CG291" s="3"/>
    </row>
    <row r="292" spans="1:85" ht="12" customHeight="1">
      <c r="A292" s="3"/>
      <c r="B292" s="3"/>
      <c r="C292" s="3"/>
      <c r="D292" s="3"/>
      <c r="E292" s="3"/>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3"/>
      <c r="CA292" s="3"/>
      <c r="CB292" s="3"/>
      <c r="CC292" s="5"/>
      <c r="CD292" s="3"/>
      <c r="CE292" s="3"/>
      <c r="CF292" s="3"/>
      <c r="CG292" s="3"/>
    </row>
    <row r="293" spans="1:85" ht="12" customHeight="1">
      <c r="A293" s="3"/>
      <c r="B293" s="3"/>
      <c r="C293" s="3"/>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3"/>
      <c r="CA293" s="3"/>
      <c r="CB293" s="3"/>
      <c r="CC293" s="5"/>
      <c r="CD293" s="3"/>
      <c r="CE293" s="3"/>
      <c r="CF293" s="3"/>
      <c r="CG293" s="3"/>
    </row>
    <row r="294" spans="1:85" ht="12" customHeight="1">
      <c r="A294" s="3"/>
      <c r="B294" s="3"/>
      <c r="C294" s="3"/>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3"/>
      <c r="CA294" s="3"/>
      <c r="CB294" s="3"/>
      <c r="CC294" s="5"/>
      <c r="CD294" s="3"/>
      <c r="CE294" s="3"/>
      <c r="CF294" s="3"/>
      <c r="CG294" s="3"/>
    </row>
    <row r="295" spans="1:85" ht="12" customHeight="1">
      <c r="A295" s="3"/>
      <c r="B295" s="3"/>
      <c r="C295" s="3"/>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3"/>
      <c r="CA295" s="3"/>
      <c r="CB295" s="3"/>
      <c r="CC295" s="5"/>
      <c r="CD295" s="3"/>
      <c r="CE295" s="3"/>
      <c r="CF295" s="3"/>
      <c r="CG295" s="3"/>
    </row>
    <row r="296" spans="1:85" ht="12" customHeight="1">
      <c r="A296" s="3"/>
      <c r="B296" s="3"/>
      <c r="C296" s="3"/>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3"/>
      <c r="CA296" s="3"/>
      <c r="CB296" s="3"/>
      <c r="CC296" s="5"/>
      <c r="CD296" s="3"/>
      <c r="CE296" s="3"/>
      <c r="CF296" s="3"/>
      <c r="CG296" s="3"/>
    </row>
    <row r="297" spans="1:85" ht="12" customHeight="1">
      <c r="A297" s="3"/>
      <c r="B297" s="3"/>
      <c r="C297" s="3"/>
      <c r="D297" s="3"/>
      <c r="E297" s="3"/>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3"/>
      <c r="CA297" s="3"/>
      <c r="CB297" s="3"/>
      <c r="CC297" s="5"/>
      <c r="CD297" s="3"/>
      <c r="CE297" s="3"/>
      <c r="CF297" s="3"/>
      <c r="CG297" s="3"/>
    </row>
    <row r="298" spans="1:85" ht="12" customHeight="1">
      <c r="A298" s="3"/>
      <c r="B298" s="3"/>
      <c r="C298" s="3"/>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3"/>
      <c r="CA298" s="3"/>
      <c r="CB298" s="3"/>
      <c r="CC298" s="5"/>
      <c r="CD298" s="3"/>
      <c r="CE298" s="3"/>
      <c r="CF298" s="3"/>
      <c r="CG298" s="3"/>
    </row>
    <row r="299" spans="1:85" ht="12" customHeight="1">
      <c r="A299" s="3"/>
      <c r="B299" s="3"/>
      <c r="C299" s="3"/>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3"/>
      <c r="CA299" s="3"/>
      <c r="CB299" s="3"/>
      <c r="CC299" s="5"/>
      <c r="CD299" s="3"/>
      <c r="CE299" s="3"/>
      <c r="CF299" s="3"/>
      <c r="CG299" s="3"/>
    </row>
    <row r="300" spans="1:85" ht="12" customHeight="1">
      <c r="A300" s="3"/>
      <c r="B300" s="3"/>
      <c r="C300" s="3"/>
      <c r="D300" s="3"/>
      <c r="E300" s="3"/>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3"/>
      <c r="CA300" s="3"/>
      <c r="CB300" s="3"/>
      <c r="CC300" s="5"/>
      <c r="CD300" s="3"/>
      <c r="CE300" s="3"/>
      <c r="CF300" s="3"/>
      <c r="CG300" s="3"/>
    </row>
    <row r="301" spans="1:85" ht="12" customHeight="1">
      <c r="A301" s="3"/>
      <c r="B301" s="3"/>
      <c r="C301" s="3"/>
      <c r="D301" s="3"/>
      <c r="E301" s="3"/>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3"/>
      <c r="CA301" s="3"/>
      <c r="CB301" s="3"/>
      <c r="CC301" s="5"/>
      <c r="CD301" s="3"/>
      <c r="CE301" s="3"/>
      <c r="CF301" s="3"/>
      <c r="CG301" s="3"/>
    </row>
    <row r="302" spans="1:85" ht="12" customHeight="1">
      <c r="A302" s="3"/>
      <c r="B302" s="3"/>
      <c r="C302" s="3"/>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3"/>
      <c r="CA302" s="3"/>
      <c r="CB302" s="3"/>
      <c r="CC302" s="5"/>
      <c r="CD302" s="3"/>
      <c r="CE302" s="3"/>
      <c r="CF302" s="3"/>
      <c r="CG302" s="3"/>
    </row>
    <row r="303" spans="1:85" ht="12" customHeight="1">
      <c r="A303" s="3"/>
      <c r="B303" s="3"/>
      <c r="C303" s="3"/>
      <c r="D303" s="3"/>
      <c r="E303" s="3"/>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3"/>
      <c r="CA303" s="3"/>
      <c r="CB303" s="3"/>
      <c r="CC303" s="5"/>
      <c r="CD303" s="3"/>
      <c r="CE303" s="3"/>
      <c r="CF303" s="3"/>
      <c r="CG303" s="3"/>
    </row>
    <row r="304" spans="1:85" ht="12" customHeight="1">
      <c r="A304" s="3"/>
      <c r="B304" s="3"/>
      <c r="C304" s="3"/>
      <c r="D304" s="3"/>
      <c r="E304" s="3"/>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3"/>
      <c r="CA304" s="3"/>
      <c r="CB304" s="3"/>
      <c r="CC304" s="5"/>
      <c r="CD304" s="3"/>
      <c r="CE304" s="3"/>
      <c r="CF304" s="3"/>
      <c r="CG304" s="3"/>
    </row>
    <row r="305" spans="1:85" ht="12" customHeight="1">
      <c r="A305" s="3"/>
      <c r="B305" s="3"/>
      <c r="C305" s="3"/>
      <c r="D305" s="3"/>
      <c r="E305" s="3"/>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3"/>
      <c r="CA305" s="3"/>
      <c r="CB305" s="3"/>
      <c r="CC305" s="5"/>
      <c r="CD305" s="3"/>
      <c r="CE305" s="3"/>
      <c r="CF305" s="3"/>
      <c r="CG305" s="3"/>
    </row>
    <row r="306" spans="1:85" ht="12" customHeight="1">
      <c r="A306" s="3"/>
      <c r="B306" s="3"/>
      <c r="C306" s="3"/>
      <c r="D306" s="3"/>
      <c r="E306" s="3"/>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3"/>
      <c r="CA306" s="3"/>
      <c r="CB306" s="3"/>
      <c r="CC306" s="5"/>
      <c r="CD306" s="3"/>
      <c r="CE306" s="3"/>
      <c r="CF306" s="3"/>
      <c r="CG306" s="3"/>
    </row>
    <row r="307" spans="1:85" ht="12" customHeight="1">
      <c r="A307" s="3"/>
      <c r="B307" s="3"/>
      <c r="C307" s="3"/>
      <c r="D307" s="3"/>
      <c r="E307" s="3"/>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3"/>
      <c r="CA307" s="3"/>
      <c r="CB307" s="3"/>
      <c r="CC307" s="5"/>
      <c r="CD307" s="3"/>
      <c r="CE307" s="3"/>
      <c r="CF307" s="3"/>
      <c r="CG307" s="3"/>
    </row>
    <row r="308" spans="1:85" ht="12" customHeight="1">
      <c r="A308" s="3"/>
      <c r="B308" s="3"/>
      <c r="C308" s="3"/>
      <c r="D308" s="3"/>
      <c r="E308" s="3"/>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3"/>
      <c r="CA308" s="3"/>
      <c r="CB308" s="3"/>
      <c r="CC308" s="5"/>
      <c r="CD308" s="3"/>
      <c r="CE308" s="3"/>
      <c r="CF308" s="3"/>
      <c r="CG308" s="3"/>
    </row>
    <row r="309" spans="1:85" ht="12" customHeight="1">
      <c r="A309" s="3"/>
      <c r="B309" s="3"/>
      <c r="C309" s="3"/>
      <c r="D309" s="3"/>
      <c r="E309" s="3"/>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3"/>
      <c r="CA309" s="3"/>
      <c r="CB309" s="3"/>
      <c r="CC309" s="5"/>
      <c r="CD309" s="3"/>
      <c r="CE309" s="3"/>
      <c r="CF309" s="3"/>
      <c r="CG309" s="3"/>
    </row>
    <row r="310" spans="1:85" ht="12" customHeight="1">
      <c r="A310" s="3"/>
      <c r="B310" s="3"/>
      <c r="C310" s="3"/>
      <c r="D310" s="3"/>
      <c r="E310" s="3"/>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3"/>
      <c r="CA310" s="3"/>
      <c r="CB310" s="3"/>
      <c r="CC310" s="5"/>
      <c r="CD310" s="3"/>
      <c r="CE310" s="3"/>
      <c r="CF310" s="3"/>
      <c r="CG310" s="3"/>
    </row>
    <row r="311" spans="1:85" ht="12" customHeight="1">
      <c r="A311" s="3"/>
      <c r="B311" s="3"/>
      <c r="C311" s="3"/>
      <c r="D311" s="3"/>
      <c r="E311" s="3"/>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3"/>
      <c r="CA311" s="3"/>
      <c r="CB311" s="3"/>
      <c r="CC311" s="5"/>
      <c r="CD311" s="3"/>
      <c r="CE311" s="3"/>
      <c r="CF311" s="3"/>
      <c r="CG311" s="3"/>
    </row>
    <row r="312" spans="1:85" ht="12" customHeight="1">
      <c r="A312" s="3"/>
      <c r="B312" s="3"/>
      <c r="C312" s="3"/>
      <c r="D312" s="3"/>
      <c r="E312" s="3"/>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3"/>
      <c r="CA312" s="3"/>
      <c r="CB312" s="3"/>
      <c r="CC312" s="5"/>
      <c r="CD312" s="3"/>
      <c r="CE312" s="3"/>
      <c r="CF312" s="3"/>
      <c r="CG312" s="3"/>
    </row>
    <row r="313" spans="1:85" ht="12" customHeight="1">
      <c r="A313" s="3"/>
      <c r="B313" s="3"/>
      <c r="C313" s="3"/>
      <c r="D313" s="3"/>
      <c r="E313" s="3"/>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3"/>
      <c r="CA313" s="3"/>
      <c r="CB313" s="3"/>
      <c r="CC313" s="5"/>
      <c r="CD313" s="3"/>
      <c r="CE313" s="3"/>
      <c r="CF313" s="3"/>
      <c r="CG313" s="3"/>
    </row>
    <row r="314" spans="1:85" ht="12" customHeight="1">
      <c r="A314" s="3"/>
      <c r="B314" s="3"/>
      <c r="C314" s="3"/>
      <c r="D314" s="3"/>
      <c r="E314" s="3"/>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3"/>
      <c r="CA314" s="3"/>
      <c r="CB314" s="3"/>
      <c r="CC314" s="5"/>
      <c r="CD314" s="3"/>
      <c r="CE314" s="3"/>
      <c r="CF314" s="3"/>
      <c r="CG314" s="3"/>
    </row>
    <row r="315" spans="1:85" ht="12" customHeight="1">
      <c r="A315" s="3"/>
      <c r="B315" s="3"/>
      <c r="C315" s="3"/>
      <c r="D315" s="3"/>
      <c r="E315" s="3"/>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3"/>
      <c r="CA315" s="3"/>
      <c r="CB315" s="3"/>
      <c r="CC315" s="5"/>
      <c r="CD315" s="3"/>
      <c r="CE315" s="3"/>
      <c r="CF315" s="3"/>
      <c r="CG315" s="3"/>
    </row>
    <row r="316" spans="1:85" ht="12" customHeight="1">
      <c r="A316" s="3"/>
      <c r="B316" s="3"/>
      <c r="C316" s="3"/>
      <c r="D316" s="3"/>
      <c r="E316" s="3"/>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3"/>
      <c r="CA316" s="3"/>
      <c r="CB316" s="3"/>
      <c r="CC316" s="5"/>
      <c r="CD316" s="3"/>
      <c r="CE316" s="3"/>
      <c r="CF316" s="3"/>
      <c r="CG316" s="3"/>
    </row>
    <row r="317" spans="1:85" ht="12" customHeight="1">
      <c r="A317" s="3"/>
      <c r="B317" s="3"/>
      <c r="C317" s="3"/>
      <c r="D317" s="3"/>
      <c r="E317" s="3"/>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3"/>
      <c r="CA317" s="3"/>
      <c r="CB317" s="3"/>
      <c r="CC317" s="5"/>
      <c r="CD317" s="3"/>
      <c r="CE317" s="3"/>
      <c r="CF317" s="3"/>
      <c r="CG317" s="3"/>
    </row>
    <row r="318" spans="1:85" ht="12" customHeight="1">
      <c r="A318" s="3"/>
      <c r="B318" s="3"/>
      <c r="C318" s="3"/>
      <c r="D318" s="3"/>
      <c r="E318" s="3"/>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3"/>
      <c r="CA318" s="3"/>
      <c r="CB318" s="3"/>
      <c r="CC318" s="5"/>
      <c r="CD318" s="3"/>
      <c r="CE318" s="3"/>
      <c r="CF318" s="3"/>
      <c r="CG318" s="3"/>
    </row>
    <row r="319" spans="1:85" ht="12" customHeight="1">
      <c r="A319" s="3"/>
      <c r="B319" s="3"/>
      <c r="C319" s="3"/>
      <c r="D319" s="3"/>
      <c r="E319" s="3"/>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3"/>
      <c r="CA319" s="3"/>
      <c r="CB319" s="3"/>
      <c r="CC319" s="5"/>
      <c r="CD319" s="3"/>
      <c r="CE319" s="3"/>
      <c r="CF319" s="3"/>
      <c r="CG319" s="3"/>
    </row>
    <row r="320" spans="1:85" ht="12" customHeight="1">
      <c r="A320" s="3"/>
      <c r="B320" s="3"/>
      <c r="C320" s="3"/>
      <c r="D320" s="3"/>
      <c r="E320" s="3"/>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3"/>
      <c r="CA320" s="3"/>
      <c r="CB320" s="3"/>
      <c r="CC320" s="5"/>
      <c r="CD320" s="3"/>
      <c r="CE320" s="3"/>
      <c r="CF320" s="3"/>
      <c r="CG320" s="3"/>
    </row>
    <row r="321" spans="1:85" ht="12" customHeight="1">
      <c r="A321" s="3"/>
      <c r="B321" s="3"/>
      <c r="C321" s="3"/>
      <c r="D321" s="3"/>
      <c r="E321" s="3"/>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3"/>
      <c r="CA321" s="3"/>
      <c r="CB321" s="3"/>
      <c r="CC321" s="5"/>
      <c r="CD321" s="3"/>
      <c r="CE321" s="3"/>
      <c r="CF321" s="3"/>
      <c r="CG321" s="3"/>
    </row>
    <row r="322" spans="1:85" ht="12" customHeight="1">
      <c r="A322" s="3"/>
      <c r="B322" s="3"/>
      <c r="C322" s="3"/>
      <c r="D322" s="3"/>
      <c r="E322" s="3"/>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3"/>
      <c r="CA322" s="3"/>
      <c r="CB322" s="3"/>
      <c r="CC322" s="5"/>
      <c r="CD322" s="3"/>
      <c r="CE322" s="3"/>
      <c r="CF322" s="3"/>
      <c r="CG322" s="3"/>
    </row>
    <row r="323" spans="1:85" ht="12" customHeight="1">
      <c r="A323" s="3"/>
      <c r="B323" s="3"/>
      <c r="C323" s="3"/>
      <c r="D323" s="3"/>
      <c r="E323" s="3"/>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3"/>
      <c r="CA323" s="3"/>
      <c r="CB323" s="3"/>
      <c r="CC323" s="5"/>
      <c r="CD323" s="3"/>
      <c r="CE323" s="3"/>
      <c r="CF323" s="3"/>
      <c r="CG323" s="3"/>
    </row>
    <row r="324" spans="1:85" ht="12" customHeight="1">
      <c r="A324" s="3"/>
      <c r="B324" s="3"/>
      <c r="C324" s="3"/>
      <c r="D324" s="3"/>
      <c r="E324" s="3"/>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3"/>
      <c r="CA324" s="3"/>
      <c r="CB324" s="3"/>
      <c r="CC324" s="5"/>
      <c r="CD324" s="3"/>
      <c r="CE324" s="3"/>
      <c r="CF324" s="3"/>
      <c r="CG324" s="3"/>
    </row>
    <row r="325" spans="1:85" ht="12" customHeight="1">
      <c r="A325" s="3"/>
      <c r="B325" s="3"/>
      <c r="C325" s="3"/>
      <c r="D325" s="3"/>
      <c r="E325" s="3"/>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3"/>
      <c r="CA325" s="3"/>
      <c r="CB325" s="3"/>
      <c r="CC325" s="5"/>
      <c r="CD325" s="3"/>
      <c r="CE325" s="3"/>
      <c r="CF325" s="3"/>
      <c r="CG325" s="3"/>
    </row>
    <row r="326" spans="1:85" ht="12" customHeight="1">
      <c r="A326" s="3"/>
      <c r="B326" s="3"/>
      <c r="C326" s="3"/>
      <c r="D326" s="3"/>
      <c r="E326" s="3"/>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3"/>
      <c r="CA326" s="3"/>
      <c r="CB326" s="3"/>
      <c r="CC326" s="5"/>
      <c r="CD326" s="3"/>
      <c r="CE326" s="3"/>
      <c r="CF326" s="3"/>
      <c r="CG326" s="3"/>
    </row>
    <row r="327" spans="1:85" ht="12" customHeight="1">
      <c r="A327" s="3"/>
      <c r="B327" s="3"/>
      <c r="C327" s="3"/>
      <c r="D327" s="3"/>
      <c r="E327" s="3"/>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3"/>
      <c r="CA327" s="3"/>
      <c r="CB327" s="3"/>
      <c r="CC327" s="5"/>
      <c r="CD327" s="3"/>
      <c r="CE327" s="3"/>
      <c r="CF327" s="3"/>
      <c r="CG327" s="3"/>
    </row>
    <row r="328" spans="1:85" ht="12" customHeight="1">
      <c r="A328" s="3"/>
      <c r="B328" s="3"/>
      <c r="C328" s="3"/>
      <c r="D328" s="3"/>
      <c r="E328" s="3"/>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3"/>
      <c r="CA328" s="3"/>
      <c r="CB328" s="3"/>
      <c r="CC328" s="5"/>
      <c r="CD328" s="3"/>
      <c r="CE328" s="3"/>
      <c r="CF328" s="3"/>
      <c r="CG328" s="3"/>
    </row>
    <row r="329" spans="1:85" ht="12" customHeight="1">
      <c r="A329" s="3"/>
      <c r="B329" s="3"/>
      <c r="C329" s="3"/>
      <c r="D329" s="3"/>
      <c r="E329" s="3"/>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3"/>
      <c r="CA329" s="3"/>
      <c r="CB329" s="3"/>
      <c r="CC329" s="5"/>
      <c r="CD329" s="3"/>
      <c r="CE329" s="3"/>
      <c r="CF329" s="3"/>
      <c r="CG329" s="3"/>
    </row>
    <row r="330" spans="1:85" ht="12" customHeight="1">
      <c r="A330" s="3"/>
      <c r="B330" s="3"/>
      <c r="C330" s="3"/>
      <c r="D330" s="3"/>
      <c r="E330" s="3"/>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3"/>
      <c r="CA330" s="3"/>
      <c r="CB330" s="3"/>
      <c r="CC330" s="5"/>
      <c r="CD330" s="3"/>
      <c r="CE330" s="3"/>
      <c r="CF330" s="3"/>
      <c r="CG330" s="3"/>
    </row>
    <row r="331" spans="1:85" ht="12" customHeight="1">
      <c r="A331" s="3"/>
      <c r="B331" s="3"/>
      <c r="C331" s="3"/>
      <c r="D331" s="3"/>
      <c r="E331" s="3"/>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3"/>
      <c r="CA331" s="3"/>
      <c r="CB331" s="3"/>
      <c r="CC331" s="5"/>
      <c r="CD331" s="3"/>
      <c r="CE331" s="3"/>
      <c r="CF331" s="3"/>
      <c r="CG331" s="3"/>
    </row>
    <row r="332" spans="1:85" ht="12" customHeight="1">
      <c r="A332" s="3"/>
      <c r="B332" s="3"/>
      <c r="C332" s="3"/>
      <c r="D332" s="3"/>
      <c r="E332" s="3"/>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3"/>
      <c r="CA332" s="3"/>
      <c r="CB332" s="3"/>
      <c r="CC332" s="5"/>
      <c r="CD332" s="3"/>
      <c r="CE332" s="3"/>
      <c r="CF332" s="3"/>
      <c r="CG332" s="3"/>
    </row>
    <row r="333" spans="1:85" ht="12" customHeight="1">
      <c r="A333" s="3"/>
      <c r="B333" s="3"/>
      <c r="C333" s="3"/>
      <c r="D333" s="3"/>
      <c r="E333" s="3"/>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3"/>
      <c r="CA333" s="3"/>
      <c r="CB333" s="3"/>
      <c r="CC333" s="5"/>
      <c r="CD333" s="3"/>
      <c r="CE333" s="3"/>
      <c r="CF333" s="3"/>
      <c r="CG333" s="3"/>
    </row>
    <row r="334" spans="1:85" ht="12" customHeight="1">
      <c r="A334" s="3"/>
      <c r="B334" s="3"/>
      <c r="C334" s="3"/>
      <c r="D334" s="3"/>
      <c r="E334" s="3"/>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3"/>
      <c r="CA334" s="3"/>
      <c r="CB334" s="3"/>
      <c r="CC334" s="5"/>
      <c r="CD334" s="3"/>
      <c r="CE334" s="3"/>
      <c r="CF334" s="3"/>
      <c r="CG334" s="3"/>
    </row>
    <row r="335" spans="1:85" ht="12" customHeight="1">
      <c r="A335" s="3"/>
      <c r="B335" s="3"/>
      <c r="C335" s="3"/>
      <c r="BZ335" s="3"/>
      <c r="CA335" s="3"/>
      <c r="CB335" s="3"/>
      <c r="CC335" s="3"/>
      <c r="CD335" s="3"/>
      <c r="CE335" s="3"/>
    </row>
    <row r="336" spans="1:85" ht="12" customHeight="1">
      <c r="A336" s="3"/>
      <c r="B336" s="3"/>
      <c r="C336" s="3"/>
      <c r="BZ336" s="3"/>
      <c r="CA336" s="3"/>
      <c r="CB336" s="3"/>
      <c r="CC336" s="3"/>
      <c r="CD336" s="3"/>
      <c r="CE336" s="3"/>
    </row>
    <row r="337" spans="1:83" ht="12" customHeight="1">
      <c r="A337" s="3"/>
      <c r="B337" s="3"/>
      <c r="C337" s="3"/>
      <c r="BZ337" s="3"/>
      <c r="CA337" s="3"/>
      <c r="CB337" s="3"/>
      <c r="CC337" s="3"/>
      <c r="CD337" s="3"/>
      <c r="CE337" s="3"/>
    </row>
    <row r="338" spans="1:83" ht="12" customHeight="1">
      <c r="A338" s="3"/>
      <c r="B338" s="3"/>
      <c r="C338" s="3"/>
      <c r="BZ338" s="3"/>
      <c r="CA338" s="3"/>
      <c r="CB338" s="3"/>
      <c r="CC338" s="3"/>
      <c r="CD338" s="3"/>
      <c r="CE338" s="3"/>
    </row>
    <row r="339" spans="1:83" ht="12" customHeight="1">
      <c r="A339" s="3"/>
      <c r="B339" s="3"/>
      <c r="C339" s="3"/>
      <c r="BZ339" s="3"/>
      <c r="CA339" s="3"/>
      <c r="CB339" s="3"/>
      <c r="CC339" s="3"/>
      <c r="CD339" s="3"/>
      <c r="CE339" s="3"/>
    </row>
    <row r="340" spans="1:83" ht="12" customHeight="1">
      <c r="A340" s="3"/>
      <c r="B340" s="3"/>
      <c r="C340" s="3"/>
      <c r="BZ340" s="3"/>
      <c r="CA340" s="3"/>
      <c r="CB340" s="3"/>
      <c r="CC340" s="3"/>
      <c r="CD340" s="3"/>
      <c r="CE340" s="3"/>
    </row>
    <row r="341" spans="1:83" ht="12" customHeight="1">
      <c r="A341" s="3"/>
      <c r="B341" s="3"/>
      <c r="C341" s="3"/>
      <c r="BZ341" s="3"/>
      <c r="CA341" s="3"/>
      <c r="CB341" s="3"/>
      <c r="CC341" s="3"/>
      <c r="CD341" s="3"/>
      <c r="CE341" s="3"/>
    </row>
    <row r="342" spans="1:83" ht="12" customHeight="1">
      <c r="A342" s="3"/>
      <c r="B342" s="3"/>
      <c r="C342" s="3"/>
      <c r="BZ342" s="3"/>
      <c r="CA342" s="3"/>
      <c r="CB342" s="3"/>
      <c r="CC342" s="3"/>
      <c r="CD342" s="3"/>
      <c r="CE342" s="3"/>
    </row>
    <row r="343" spans="1:83" ht="12" customHeight="1">
      <c r="A343" s="3"/>
      <c r="B343" s="3"/>
      <c r="C343" s="2"/>
      <c r="BZ343" s="2"/>
      <c r="CA343" s="2"/>
      <c r="CB343" s="2"/>
      <c r="CC343" s="3"/>
      <c r="CD343" s="3"/>
      <c r="CE343" s="3"/>
    </row>
    <row r="344" spans="1:83" ht="12" customHeight="1">
      <c r="A344" s="3"/>
      <c r="B344" s="3"/>
      <c r="CC344" s="3"/>
      <c r="CD344" s="3"/>
      <c r="CE344" s="3"/>
    </row>
    <row r="345" spans="1:83" ht="12" customHeight="1">
      <c r="A345" s="3"/>
      <c r="B345" s="3"/>
      <c r="CC345" s="3"/>
      <c r="CD345" s="3"/>
      <c r="CE345" s="3"/>
    </row>
    <row r="346" spans="1:83" ht="12" customHeight="1">
      <c r="A346" s="3"/>
      <c r="B346" s="3"/>
      <c r="CC346" s="3"/>
      <c r="CD346" s="3"/>
      <c r="CE346" s="3"/>
    </row>
    <row r="347" spans="1:83" ht="12" customHeight="1">
      <c r="A347" s="3"/>
      <c r="B347" s="3"/>
      <c r="CC347" s="3"/>
      <c r="CD347" s="3"/>
      <c r="CE347" s="3"/>
    </row>
    <row r="348" spans="1:83" ht="12" customHeight="1">
      <c r="A348" s="3"/>
      <c r="B348" s="3"/>
      <c r="CC348" s="3"/>
      <c r="CD348" s="3"/>
      <c r="CE348" s="3"/>
    </row>
    <row r="349" spans="1:83" ht="12" customHeight="1">
      <c r="A349" s="3"/>
      <c r="B349" s="3"/>
      <c r="CC349" s="3"/>
      <c r="CD349" s="3"/>
      <c r="CE349" s="3"/>
    </row>
    <row r="350" spans="1:83" ht="12" customHeight="1">
      <c r="A350" s="3"/>
      <c r="B350" s="3"/>
      <c r="CC350" s="3"/>
      <c r="CD350" s="3"/>
      <c r="CE350" s="3"/>
    </row>
    <row r="351" spans="1:83" ht="12" customHeight="1">
      <c r="A351" s="3"/>
      <c r="B351" s="3"/>
      <c r="CC351" s="3"/>
      <c r="CD351" s="3"/>
      <c r="CE351" s="3"/>
    </row>
    <row r="352" spans="1:83" ht="12" customHeight="1">
      <c r="A352" s="3"/>
      <c r="B352" s="3"/>
      <c r="CC352" s="3"/>
      <c r="CD352" s="3"/>
      <c r="CE352" s="3"/>
    </row>
    <row r="353" spans="1:107" ht="12" customHeight="1">
      <c r="A353" s="3"/>
      <c r="B353" s="3"/>
      <c r="CC353" s="3"/>
      <c r="CD353" s="3"/>
      <c r="CE353" s="3"/>
    </row>
    <row r="354" spans="1:107" ht="12" customHeight="1">
      <c r="A354" s="3"/>
      <c r="B354" s="3"/>
      <c r="CC354" s="3"/>
      <c r="CD354" s="3"/>
      <c r="CE354" s="3"/>
    </row>
    <row r="355" spans="1:107" ht="12" customHeight="1">
      <c r="A355" s="3"/>
      <c r="B355" s="3"/>
      <c r="CC355" s="3"/>
      <c r="CD355" s="3"/>
      <c r="CE355" s="3"/>
    </row>
    <row r="356" spans="1:107" ht="12" customHeight="1">
      <c r="A356" s="2"/>
      <c r="B356" s="3"/>
      <c r="CC356" s="3"/>
      <c r="CD356" s="3"/>
      <c r="CE356" s="2"/>
      <c r="CY356" s="2"/>
      <c r="CZ356" s="2"/>
      <c r="DA356" s="2"/>
      <c r="DB356" s="2"/>
      <c r="DC356" s="2"/>
    </row>
    <row r="357" spans="1:107" ht="12" customHeight="1">
      <c r="A357" s="2"/>
      <c r="B357" s="3"/>
      <c r="CC357" s="3"/>
      <c r="CD357" s="3"/>
      <c r="CE357" s="2"/>
      <c r="CY357" s="2"/>
      <c r="CZ357" s="2"/>
      <c r="DA357" s="2"/>
      <c r="DB357" s="2"/>
      <c r="DC357" s="2"/>
    </row>
    <row r="358" spans="1:107" ht="12" customHeight="1">
      <c r="A358" s="2"/>
      <c r="B358" s="3"/>
      <c r="CC358" s="3"/>
      <c r="CD358" s="3"/>
      <c r="CE358" s="2"/>
      <c r="DC358" s="2"/>
    </row>
    <row r="359" spans="1:107" ht="12" customHeight="1">
      <c r="A359" s="2"/>
      <c r="B359" s="3"/>
      <c r="CC359" s="3"/>
      <c r="CD359" s="3"/>
      <c r="CE359" s="2"/>
    </row>
    <row r="360" spans="1:107" ht="12" customHeight="1">
      <c r="A360" s="2"/>
      <c r="B360" s="3"/>
      <c r="CC360" s="3"/>
      <c r="CD360" s="3"/>
      <c r="CE360" s="2"/>
    </row>
    <row r="361" spans="1:107" ht="12" customHeight="1">
      <c r="A361" s="2"/>
      <c r="B361" s="3"/>
      <c r="CC361" s="3"/>
      <c r="CD361" s="3"/>
      <c r="CE361" s="2"/>
    </row>
    <row r="362" spans="1:107" ht="12" customHeight="1">
      <c r="A362" s="2"/>
      <c r="B362" s="3"/>
      <c r="CC362" s="3"/>
      <c r="CD362" s="3"/>
      <c r="CE362" s="2"/>
    </row>
    <row r="363" spans="1:107" ht="12" customHeight="1">
      <c r="A363" s="2"/>
      <c r="B363" s="3"/>
      <c r="CC363" s="3"/>
      <c r="CD363" s="3"/>
      <c r="CE363" s="2"/>
    </row>
    <row r="364" spans="1:107" ht="12" customHeight="1">
      <c r="A364" s="2"/>
      <c r="B364" s="3"/>
      <c r="CC364" s="3"/>
      <c r="CD364" s="3"/>
      <c r="CE364" s="2"/>
    </row>
    <row r="365" spans="1:107" ht="12" customHeight="1">
      <c r="A365" s="2"/>
      <c r="B365" s="2"/>
      <c r="CC365" s="2"/>
      <c r="CD365" s="2"/>
      <c r="CE365" s="2"/>
    </row>
  </sheetData>
  <mergeCells count="221">
    <mergeCell ref="BI163:BJ164"/>
    <mergeCell ref="BK163:BL164"/>
    <mergeCell ref="BM163:BN164"/>
    <mergeCell ref="BO163:BP164"/>
    <mergeCell ref="F163:N164"/>
    <mergeCell ref="O163:U164"/>
    <mergeCell ref="V163:Z164"/>
    <mergeCell ref="AA163:AX164"/>
    <mergeCell ref="AY163:AZ164"/>
    <mergeCell ref="BA163:BB164"/>
    <mergeCell ref="BC163:BD164"/>
    <mergeCell ref="BE163:BF164"/>
    <mergeCell ref="BG163:BH164"/>
    <mergeCell ref="BI161:BJ162"/>
    <mergeCell ref="BK161:BL162"/>
    <mergeCell ref="BM161:BN162"/>
    <mergeCell ref="BO161:BP162"/>
    <mergeCell ref="F148:N160"/>
    <mergeCell ref="O148:U160"/>
    <mergeCell ref="V148:Z160"/>
    <mergeCell ref="AA148:AX160"/>
    <mergeCell ref="AY148:AZ160"/>
    <mergeCell ref="BA148:BB160"/>
    <mergeCell ref="BC148:BD160"/>
    <mergeCell ref="F161:N162"/>
    <mergeCell ref="O161:U162"/>
    <mergeCell ref="V161:Z162"/>
    <mergeCell ref="AA161:AX162"/>
    <mergeCell ref="AY161:AZ162"/>
    <mergeCell ref="BA161:BB162"/>
    <mergeCell ref="BC161:BD162"/>
    <mergeCell ref="BE161:BF162"/>
    <mergeCell ref="BG161:BH162"/>
    <mergeCell ref="BZ86:CA87"/>
    <mergeCell ref="BZ88:CA89"/>
    <mergeCell ref="BV86:BW89"/>
    <mergeCell ref="BX86:BY89"/>
    <mergeCell ref="BV78:BW81"/>
    <mergeCell ref="BX78:BY81"/>
    <mergeCell ref="BI148:BJ160"/>
    <mergeCell ref="BK148:BL160"/>
    <mergeCell ref="BM148:BN160"/>
    <mergeCell ref="BO148:BP160"/>
    <mergeCell ref="CB86:CC89"/>
    <mergeCell ref="AA90:BE93"/>
    <mergeCell ref="BF90:BG93"/>
    <mergeCell ref="BH90:BI93"/>
    <mergeCell ref="BJ90:BK93"/>
    <mergeCell ref="BL90:BM93"/>
    <mergeCell ref="BN90:BO93"/>
    <mergeCell ref="CB82:CC85"/>
    <mergeCell ref="AA86:BE89"/>
    <mergeCell ref="BF86:BG89"/>
    <mergeCell ref="BH86:BI89"/>
    <mergeCell ref="BJ86:BK89"/>
    <mergeCell ref="BL86:BM89"/>
    <mergeCell ref="BN86:BO89"/>
    <mergeCell ref="BP86:BQ89"/>
    <mergeCell ref="BR86:BS89"/>
    <mergeCell ref="BT86:BU89"/>
    <mergeCell ref="BP82:BQ85"/>
    <mergeCell ref="BR82:BS85"/>
    <mergeCell ref="BT82:BU85"/>
    <mergeCell ref="BV82:BW85"/>
    <mergeCell ref="BX82:BY85"/>
    <mergeCell ref="CB90:CC93"/>
    <mergeCell ref="BT90:BU93"/>
    <mergeCell ref="BH82:BI85"/>
    <mergeCell ref="BJ82:BK85"/>
    <mergeCell ref="BL82:BM85"/>
    <mergeCell ref="BN82:BO85"/>
    <mergeCell ref="CB74:CC77"/>
    <mergeCell ref="AA78:BE81"/>
    <mergeCell ref="BF78:BG81"/>
    <mergeCell ref="BH78:BI81"/>
    <mergeCell ref="BJ78:BK81"/>
    <mergeCell ref="BL78:BM81"/>
    <mergeCell ref="BN78:BO81"/>
    <mergeCell ref="BP78:BQ81"/>
    <mergeCell ref="BR78:BS81"/>
    <mergeCell ref="BT78:BU81"/>
    <mergeCell ref="BP74:BQ77"/>
    <mergeCell ref="BR74:BS77"/>
    <mergeCell ref="BT74:BU77"/>
    <mergeCell ref="BV74:BW77"/>
    <mergeCell ref="BX74:BY77"/>
    <mergeCell ref="BZ74:CA75"/>
    <mergeCell ref="BZ78:CA79"/>
    <mergeCell ref="BZ80:CA81"/>
    <mergeCell ref="BZ82:CA83"/>
    <mergeCell ref="BZ84:CA85"/>
    <mergeCell ref="AJ119:AO119"/>
    <mergeCell ref="AP119:AU119"/>
    <mergeCell ref="AV119:BA119"/>
    <mergeCell ref="BB119:BG119"/>
    <mergeCell ref="BV90:BW93"/>
    <mergeCell ref="BZ76:CA77"/>
    <mergeCell ref="CB61:CC73"/>
    <mergeCell ref="BF74:BG77"/>
    <mergeCell ref="BH74:BI77"/>
    <mergeCell ref="BJ74:BK77"/>
    <mergeCell ref="BL74:BM77"/>
    <mergeCell ref="BN74:BO77"/>
    <mergeCell ref="BH61:BI73"/>
    <mergeCell ref="BJ61:BK73"/>
    <mergeCell ref="BL61:BM73"/>
    <mergeCell ref="BN61:BO73"/>
    <mergeCell ref="BP61:BQ73"/>
    <mergeCell ref="BR61:BS73"/>
    <mergeCell ref="BV61:BW73"/>
    <mergeCell ref="BX61:BY73"/>
    <mergeCell ref="BZ61:CA73"/>
    <mergeCell ref="CB78:CC81"/>
    <mergeCell ref="AA82:BE85"/>
    <mergeCell ref="BF82:BG85"/>
    <mergeCell ref="F116:K117"/>
    <mergeCell ref="AA116:AI117"/>
    <mergeCell ref="L116:Z117"/>
    <mergeCell ref="Z100:AC101"/>
    <mergeCell ref="AD100:AG101"/>
    <mergeCell ref="AH100:AK101"/>
    <mergeCell ref="AL100:AO101"/>
    <mergeCell ref="AP100:AS101"/>
    <mergeCell ref="AT100:AW101"/>
    <mergeCell ref="Z102:AG102"/>
    <mergeCell ref="AH102:AK102"/>
    <mergeCell ref="AL102:AW102"/>
    <mergeCell ref="BZ90:CA91"/>
    <mergeCell ref="BZ92:CA93"/>
    <mergeCell ref="AJ123:AO123"/>
    <mergeCell ref="AP123:AU123"/>
    <mergeCell ref="AV123:BA123"/>
    <mergeCell ref="BB123:BG123"/>
    <mergeCell ref="AJ120:AO120"/>
    <mergeCell ref="AP120:AU120"/>
    <mergeCell ref="AV120:BA120"/>
    <mergeCell ref="BB120:BG120"/>
    <mergeCell ref="AJ116:BG116"/>
    <mergeCell ref="AJ117:AO117"/>
    <mergeCell ref="AP117:AU117"/>
    <mergeCell ref="AV117:BA117"/>
    <mergeCell ref="BR90:BS93"/>
    <mergeCell ref="BP90:BQ93"/>
    <mergeCell ref="AX100:BA101"/>
    <mergeCell ref="BB100:BE101"/>
    <mergeCell ref="AX102:BE102"/>
    <mergeCell ref="BX90:BY93"/>
    <mergeCell ref="AJ121:AO121"/>
    <mergeCell ref="AP121:AU121"/>
    <mergeCell ref="AV121:BA121"/>
    <mergeCell ref="BB121:BG121"/>
    <mergeCell ref="Y45:CC46"/>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BE165:BF166"/>
    <mergeCell ref="BG165:BH166"/>
    <mergeCell ref="W195:CA198"/>
    <mergeCell ref="W199:CA201"/>
    <mergeCell ref="F60:K73"/>
    <mergeCell ref="L60:U73"/>
    <mergeCell ref="V60:Z73"/>
    <mergeCell ref="AA60:BE73"/>
    <mergeCell ref="BF60:CC60"/>
    <mergeCell ref="S184:BJ186"/>
    <mergeCell ref="S187:BJ188"/>
    <mergeCell ref="BF61:BG73"/>
    <mergeCell ref="BT61:BU73"/>
    <mergeCell ref="BE148:BF160"/>
    <mergeCell ref="BG148:BH160"/>
    <mergeCell ref="AJ122:AO122"/>
    <mergeCell ref="AP122:AU122"/>
    <mergeCell ref="AV122:BA122"/>
    <mergeCell ref="BB122:BG122"/>
    <mergeCell ref="BB117:BG117"/>
    <mergeCell ref="AJ118:AO118"/>
    <mergeCell ref="AP118:AU118"/>
    <mergeCell ref="AV118:BA118"/>
    <mergeCell ref="BB118:BG118"/>
    <mergeCell ref="BI165:BJ166"/>
    <mergeCell ref="BK165:BL166"/>
    <mergeCell ref="BM165:BN166"/>
    <mergeCell ref="BO165:BP166"/>
    <mergeCell ref="F167:N168"/>
    <mergeCell ref="O167:U168"/>
    <mergeCell ref="V167:Z168"/>
    <mergeCell ref="AA167:AX168"/>
    <mergeCell ref="AY167:AZ168"/>
    <mergeCell ref="BA167:BB168"/>
    <mergeCell ref="BC167:BD168"/>
    <mergeCell ref="BE167:BF168"/>
    <mergeCell ref="BG167:BH168"/>
    <mergeCell ref="BI167:BJ168"/>
    <mergeCell ref="BK167:BL168"/>
    <mergeCell ref="BM167:BN168"/>
    <mergeCell ref="BO167:BP168"/>
    <mergeCell ref="F165:N166"/>
    <mergeCell ref="O165:U166"/>
    <mergeCell ref="V165:Z166"/>
    <mergeCell ref="AA165:AX166"/>
    <mergeCell ref="AY165:AZ166"/>
    <mergeCell ref="BA165:BB166"/>
    <mergeCell ref="BC165:BD166"/>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8" max="82" man="1"/>
    <brk id="96" max="82" man="1"/>
    <brk id="141" max="16383" man="1"/>
    <brk id="171" max="82" man="1"/>
    <brk id="219" max="82" man="1"/>
    <brk id="365" max="82" man="1"/>
  </rowBreaks>
  <colBreaks count="3" manualBreakCount="3">
    <brk id="1" max="232" man="1"/>
    <brk id="2" max="232" man="1"/>
    <brk id="3" max="232"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DK80"/>
  <sheetViews>
    <sheetView showGridLines="0" view="pageBreakPreview" zoomScale="85" zoomScaleNormal="55" zoomScaleSheetLayoutView="85" workbookViewId="0">
      <selection sqref="A1:CE1"/>
    </sheetView>
  </sheetViews>
  <sheetFormatPr defaultColWidth="1.625" defaultRowHeight="12" customHeight="1"/>
  <cols>
    <col min="1" max="1" width="1.625" style="1" customWidth="1"/>
    <col min="2" max="48" width="1.625" style="1"/>
    <col min="49" max="49" width="1.5" style="1" customWidth="1"/>
    <col min="50" max="16384" width="1.625" style="1"/>
  </cols>
  <sheetData>
    <row r="1" spans="1:115" ht="17.25" customHeight="1">
      <c r="A1" s="613" t="s">
        <v>209</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115" ht="4.5" customHeight="1"/>
    <row r="3" spans="1:115" ht="12" customHeight="1">
      <c r="A3" s="592" t="s">
        <v>8</v>
      </c>
      <c r="B3" s="592"/>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t="s">
        <v>1</v>
      </c>
      <c r="AE3" s="592"/>
      <c r="AF3" s="592"/>
      <c r="AG3" s="592"/>
      <c r="AH3" s="592"/>
      <c r="AI3" s="592"/>
      <c r="AJ3" s="592"/>
      <c r="AK3" s="592"/>
      <c r="AL3" s="592"/>
      <c r="AM3" s="594" t="s">
        <v>11</v>
      </c>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6"/>
      <c r="BR3" s="693" t="s">
        <v>6</v>
      </c>
      <c r="BS3" s="693"/>
      <c r="BT3" s="601" t="s">
        <v>756</v>
      </c>
      <c r="BU3" s="593"/>
      <c r="BV3" s="593"/>
      <c r="BW3" s="593"/>
      <c r="BX3" s="593"/>
      <c r="BY3" s="693" t="s">
        <v>7</v>
      </c>
      <c r="BZ3" s="693"/>
      <c r="CA3" s="601" t="s">
        <v>757</v>
      </c>
      <c r="CB3" s="593"/>
      <c r="CC3" s="593"/>
      <c r="CD3" s="593"/>
      <c r="CE3" s="593"/>
    </row>
    <row r="4" spans="1:115" ht="12" customHeight="1">
      <c r="A4" s="592" t="s">
        <v>9</v>
      </c>
      <c r="B4" s="592"/>
      <c r="C4" s="592"/>
      <c r="D4" s="592"/>
      <c r="E4" s="592"/>
      <c r="F4" s="592"/>
      <c r="G4" s="592"/>
      <c r="H4" s="592"/>
      <c r="I4" s="591" t="s">
        <v>10</v>
      </c>
      <c r="J4" s="592"/>
      <c r="K4" s="592"/>
      <c r="L4" s="592"/>
      <c r="M4" s="592"/>
      <c r="N4" s="592"/>
      <c r="O4" s="592"/>
      <c r="P4" s="592"/>
      <c r="Q4" s="592"/>
      <c r="R4" s="592"/>
      <c r="S4" s="592"/>
      <c r="T4" s="592"/>
      <c r="U4" s="592"/>
      <c r="V4" s="592"/>
      <c r="W4" s="592"/>
      <c r="X4" s="592"/>
      <c r="Y4" s="592"/>
      <c r="Z4" s="592"/>
      <c r="AA4" s="592"/>
      <c r="AB4" s="592"/>
      <c r="AC4" s="592"/>
      <c r="AD4" s="592" t="s">
        <v>0</v>
      </c>
      <c r="AE4" s="592"/>
      <c r="AF4" s="592"/>
      <c r="AG4" s="592"/>
      <c r="AH4" s="592"/>
      <c r="AI4" s="592"/>
      <c r="AJ4" s="592"/>
      <c r="AK4" s="592"/>
      <c r="AL4" s="592"/>
      <c r="AM4" s="594" t="s">
        <v>17</v>
      </c>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6"/>
      <c r="BR4" s="693"/>
      <c r="BS4" s="693"/>
      <c r="BT4" s="593"/>
      <c r="BU4" s="593"/>
      <c r="BV4" s="593"/>
      <c r="BW4" s="593"/>
      <c r="BX4" s="593"/>
      <c r="BY4" s="693"/>
      <c r="BZ4" s="693"/>
      <c r="CA4" s="593"/>
      <c r="CB4" s="593"/>
      <c r="CC4" s="593"/>
      <c r="CD4" s="593"/>
      <c r="CE4" s="593"/>
    </row>
    <row r="5" spans="1:115" ht="12" customHeight="1">
      <c r="A5" s="592"/>
      <c r="B5" s="592"/>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t="s">
        <v>2</v>
      </c>
      <c r="AE5" s="592"/>
      <c r="AF5" s="592"/>
      <c r="AG5" s="592"/>
      <c r="AH5" s="604">
        <v>43503</v>
      </c>
      <c r="AI5" s="604"/>
      <c r="AJ5" s="604"/>
      <c r="AK5" s="604"/>
      <c r="AL5" s="604"/>
      <c r="AM5" s="604"/>
      <c r="AN5" s="604"/>
      <c r="AO5" s="592" t="s">
        <v>3</v>
      </c>
      <c r="AP5" s="592"/>
      <c r="AQ5" s="592"/>
      <c r="AR5" s="592"/>
      <c r="AS5" s="692"/>
      <c r="AT5" s="692"/>
      <c r="AU5" s="692"/>
      <c r="AV5" s="692"/>
      <c r="AW5" s="692"/>
      <c r="AX5" s="692"/>
      <c r="AY5" s="692"/>
      <c r="AZ5" s="592" t="s">
        <v>4</v>
      </c>
      <c r="BA5" s="592"/>
      <c r="BB5" s="592"/>
      <c r="BC5" s="592"/>
      <c r="BD5" s="692"/>
      <c r="BE5" s="692"/>
      <c r="BF5" s="692"/>
      <c r="BG5" s="692"/>
      <c r="BH5" s="692"/>
      <c r="BI5" s="692"/>
      <c r="BJ5" s="692"/>
      <c r="BK5" s="592" t="s">
        <v>5</v>
      </c>
      <c r="BL5" s="592"/>
      <c r="BM5" s="592"/>
      <c r="BN5" s="691"/>
      <c r="BO5" s="691"/>
      <c r="BP5" s="691"/>
      <c r="BQ5" s="691"/>
      <c r="BR5" s="693"/>
      <c r="BS5" s="693"/>
      <c r="BT5" s="593"/>
      <c r="BU5" s="593"/>
      <c r="BV5" s="593"/>
      <c r="BW5" s="593"/>
      <c r="BX5" s="593"/>
      <c r="BY5" s="693"/>
      <c r="BZ5" s="693"/>
      <c r="CA5" s="593"/>
      <c r="CB5" s="593"/>
      <c r="CC5" s="593"/>
      <c r="CD5" s="593"/>
      <c r="CE5" s="593"/>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60"/>
      <c r="B9" s="460" t="s">
        <v>1165</v>
      </c>
      <c r="C9" s="460"/>
      <c r="D9" s="460"/>
      <c r="E9" s="460"/>
      <c r="F9" s="460"/>
      <c r="G9" s="460"/>
      <c r="H9" s="460"/>
      <c r="I9" s="460"/>
      <c r="J9" s="460"/>
      <c r="K9" s="460"/>
      <c r="L9" s="460"/>
      <c r="M9" s="460"/>
      <c r="N9" s="460"/>
      <c r="O9" s="460"/>
      <c r="P9" s="460"/>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60"/>
      <c r="B10" s="460"/>
      <c r="C10" s="460"/>
      <c r="D10" s="460"/>
      <c r="E10" s="460"/>
      <c r="F10" s="460"/>
      <c r="G10" s="460"/>
      <c r="H10" s="460"/>
      <c r="I10" s="460"/>
      <c r="J10" s="460"/>
      <c r="K10" s="460"/>
      <c r="L10" s="460"/>
      <c r="M10" s="460"/>
      <c r="N10" s="460"/>
      <c r="O10" s="460"/>
      <c r="P10" s="460"/>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60"/>
      <c r="B11" s="460"/>
      <c r="C11" s="460" t="s">
        <v>1166</v>
      </c>
      <c r="D11" s="460"/>
      <c r="E11" s="460"/>
      <c r="F11" s="460"/>
      <c r="G11" s="460"/>
      <c r="H11" s="460"/>
      <c r="I11" s="460"/>
      <c r="J11" s="460"/>
      <c r="K11" s="460"/>
      <c r="L11" s="460"/>
      <c r="M11" s="460"/>
      <c r="N11" s="460"/>
      <c r="O11" s="460"/>
      <c r="P11" s="460"/>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60"/>
      <c r="B12" s="460"/>
      <c r="C12" s="460"/>
      <c r="D12" s="460"/>
      <c r="E12" s="460"/>
      <c r="F12" s="460"/>
      <c r="G12" s="460"/>
      <c r="H12" s="460"/>
      <c r="I12" s="460"/>
      <c r="J12" s="460"/>
      <c r="K12" s="460"/>
      <c r="L12" s="460"/>
      <c r="M12" s="460"/>
      <c r="N12" s="460"/>
      <c r="O12" s="460"/>
      <c r="P12" s="460"/>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60"/>
      <c r="B13" s="460"/>
      <c r="C13" s="460"/>
      <c r="D13" s="460" t="s">
        <v>208</v>
      </c>
      <c r="E13" s="460"/>
      <c r="F13" s="460"/>
      <c r="G13" s="460"/>
      <c r="H13" s="460"/>
      <c r="I13" s="460"/>
      <c r="J13" s="460"/>
      <c r="K13" s="460"/>
      <c r="L13" s="460"/>
      <c r="M13" s="460"/>
      <c r="N13" s="460"/>
      <c r="O13" s="460"/>
      <c r="P13" s="460"/>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60"/>
      <c r="B14" s="460"/>
      <c r="C14" s="460"/>
      <c r="D14" s="460"/>
      <c r="E14" s="460"/>
      <c r="F14" s="460"/>
      <c r="G14" s="460"/>
      <c r="H14" s="460"/>
      <c r="I14" s="460"/>
      <c r="J14" s="460"/>
      <c r="K14" s="460"/>
      <c r="L14" s="460"/>
      <c r="M14" s="460"/>
      <c r="N14" s="460"/>
      <c r="O14" s="460"/>
      <c r="P14" s="460"/>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460"/>
      <c r="B15" s="460"/>
      <c r="C15" s="460"/>
      <c r="D15" s="460"/>
      <c r="E15" s="460"/>
      <c r="F15" s="460"/>
      <c r="G15" s="460"/>
      <c r="H15" s="460"/>
      <c r="I15" s="460"/>
      <c r="J15" s="460"/>
      <c r="K15" s="460"/>
      <c r="L15" s="460"/>
      <c r="M15" s="460"/>
      <c r="N15" s="460"/>
      <c r="O15" s="460"/>
      <c r="P15" s="460"/>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60"/>
      <c r="B16" s="460"/>
      <c r="C16" s="460" t="s">
        <v>1167</v>
      </c>
      <c r="D16" s="460"/>
      <c r="E16" s="460"/>
      <c r="F16" s="460"/>
      <c r="G16" s="460"/>
      <c r="H16" s="460"/>
      <c r="I16" s="460"/>
      <c r="J16" s="460"/>
      <c r="K16" s="460"/>
      <c r="L16" s="460"/>
      <c r="M16" s="460"/>
      <c r="N16" s="460"/>
      <c r="O16" s="460"/>
      <c r="P16" s="460"/>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60"/>
      <c r="B17" s="460"/>
      <c r="C17" s="460"/>
      <c r="D17" s="460"/>
      <c r="E17" s="460"/>
      <c r="F17" s="460"/>
      <c r="G17" s="460"/>
      <c r="H17" s="460"/>
      <c r="I17" s="460"/>
      <c r="J17" s="460"/>
      <c r="K17" s="460"/>
      <c r="L17" s="460"/>
      <c r="M17" s="460"/>
      <c r="N17" s="460"/>
      <c r="O17" s="460"/>
      <c r="P17" s="460"/>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60"/>
      <c r="B18" s="460"/>
      <c r="C18" s="460"/>
      <c r="D18" s="460" t="s">
        <v>207</v>
      </c>
      <c r="E18" s="460"/>
      <c r="F18" s="460"/>
      <c r="G18" s="460"/>
      <c r="H18" s="460"/>
      <c r="I18" s="460"/>
      <c r="J18" s="460"/>
      <c r="K18" s="460"/>
      <c r="L18" s="460"/>
      <c r="M18" s="460"/>
      <c r="N18" s="460"/>
      <c r="O18" s="460"/>
      <c r="P18" s="460"/>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98" ht="12" customHeight="1">
      <c r="A20" s="3"/>
      <c r="B20" s="3"/>
      <c r="C20" s="3"/>
      <c r="E20" s="40" t="s">
        <v>56</v>
      </c>
      <c r="F20" s="39"/>
      <c r="G20" s="39"/>
      <c r="H20" s="39"/>
      <c r="I20" s="39"/>
      <c r="J20" s="39"/>
      <c r="K20" s="38"/>
      <c r="L20" s="39" t="s">
        <v>206</v>
      </c>
      <c r="M20" s="62"/>
      <c r="N20" s="39"/>
      <c r="O20" s="62"/>
      <c r="P20" s="39"/>
      <c r="Q20" s="39"/>
      <c r="R20" s="39"/>
      <c r="S20" s="39"/>
      <c r="T20" s="39"/>
      <c r="U20" s="39"/>
      <c r="V20" s="39"/>
      <c r="W20" s="39"/>
      <c r="X20" s="39"/>
      <c r="Y20" s="39"/>
      <c r="Z20" s="39"/>
      <c r="AA20" s="39"/>
      <c r="AB20" s="39"/>
      <c r="AC20" s="39"/>
      <c r="AD20" s="40" t="s">
        <v>205</v>
      </c>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53"/>
      <c r="BS20" s="53"/>
      <c r="BT20" s="53"/>
      <c r="BU20" s="53"/>
      <c r="BV20" s="53"/>
      <c r="BW20" s="53"/>
      <c r="BX20" s="53"/>
      <c r="BY20" s="53"/>
      <c r="BZ20" s="53"/>
      <c r="CA20" s="52"/>
      <c r="CB20" s="3"/>
      <c r="CC20" s="3"/>
      <c r="CD20" s="3"/>
      <c r="CE20" s="3"/>
      <c r="CF20" s="3"/>
      <c r="CG20" s="3"/>
      <c r="CH20" s="3"/>
      <c r="CI20" s="3"/>
      <c r="CJ20" s="3"/>
      <c r="CK20" s="3"/>
      <c r="CL20" s="3"/>
      <c r="CM20" s="3"/>
      <c r="CN20" s="3"/>
      <c r="CO20" s="3"/>
      <c r="CP20" s="3"/>
      <c r="CQ20" s="3"/>
      <c r="CR20" s="3"/>
      <c r="CS20" s="3"/>
      <c r="CT20" s="3"/>
    </row>
    <row r="21" spans="1:98" ht="12" customHeight="1">
      <c r="A21" s="3"/>
      <c r="B21" s="3"/>
      <c r="C21" s="3"/>
      <c r="E21" s="37" t="s">
        <v>53</v>
      </c>
      <c r="F21" s="36"/>
      <c r="G21" s="36"/>
      <c r="H21" s="36"/>
      <c r="I21" s="36"/>
      <c r="J21" s="36"/>
      <c r="K21" s="35"/>
      <c r="L21" s="622" t="s">
        <v>1050</v>
      </c>
      <c r="M21" s="623"/>
      <c r="N21" s="623"/>
      <c r="O21" s="623"/>
      <c r="P21" s="623"/>
      <c r="Q21" s="623"/>
      <c r="R21" s="623"/>
      <c r="S21" s="623"/>
      <c r="T21" s="623"/>
      <c r="U21" s="623"/>
      <c r="V21" s="623"/>
      <c r="W21" s="623"/>
      <c r="X21" s="623"/>
      <c r="Y21" s="623"/>
      <c r="Z21" s="623"/>
      <c r="AA21" s="623"/>
      <c r="AB21" s="623"/>
      <c r="AC21" s="624"/>
      <c r="AD21" s="37" t="s">
        <v>109</v>
      </c>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5"/>
      <c r="CB21" s="3"/>
      <c r="CC21" s="3"/>
      <c r="CD21" s="3"/>
      <c r="CE21" s="3"/>
      <c r="CF21" s="3"/>
      <c r="CG21" s="3"/>
      <c r="CH21" s="3"/>
      <c r="CI21" s="3"/>
      <c r="CJ21" s="3"/>
      <c r="CK21" s="3"/>
      <c r="CL21" s="3"/>
      <c r="CM21" s="3"/>
      <c r="CN21" s="3"/>
      <c r="CO21" s="3"/>
      <c r="CP21" s="3"/>
      <c r="CQ21" s="3"/>
      <c r="CR21" s="3"/>
      <c r="CS21" s="3"/>
      <c r="CT21" s="3"/>
    </row>
    <row r="22" spans="1:98" ht="12" customHeight="1">
      <c r="A22" s="3"/>
      <c r="B22" s="3"/>
      <c r="C22" s="3"/>
      <c r="E22" s="32"/>
      <c r="F22" s="31"/>
      <c r="G22" s="31"/>
      <c r="H22" s="31"/>
      <c r="I22" s="31"/>
      <c r="J22" s="31"/>
      <c r="K22" s="30"/>
      <c r="L22" s="628"/>
      <c r="M22" s="629"/>
      <c r="N22" s="629"/>
      <c r="O22" s="629"/>
      <c r="P22" s="629"/>
      <c r="Q22" s="629"/>
      <c r="R22" s="629"/>
      <c r="S22" s="629"/>
      <c r="T22" s="629"/>
      <c r="U22" s="629"/>
      <c r="V22" s="629"/>
      <c r="W22" s="629"/>
      <c r="X22" s="629"/>
      <c r="Y22" s="629"/>
      <c r="Z22" s="629"/>
      <c r="AA22" s="629"/>
      <c r="AB22" s="629"/>
      <c r="AC22" s="630"/>
      <c r="AD22" s="32"/>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0"/>
      <c r="CB22" s="3"/>
      <c r="CC22" s="3"/>
      <c r="CD22" s="3"/>
      <c r="CE22" s="3"/>
      <c r="CF22" s="3"/>
      <c r="CG22" s="3"/>
      <c r="CH22" s="3"/>
      <c r="CI22" s="3"/>
      <c r="CJ22" s="3"/>
      <c r="CK22" s="3"/>
      <c r="CL22" s="3"/>
      <c r="CM22" s="3"/>
      <c r="CN22" s="3"/>
      <c r="CO22" s="3"/>
      <c r="CP22" s="3"/>
      <c r="CQ22" s="3"/>
      <c r="CR22" s="3"/>
      <c r="CS22" s="3"/>
      <c r="CT22" s="3"/>
    </row>
    <row r="23" spans="1:98" ht="12" customHeight="1">
      <c r="A23" s="3"/>
      <c r="B23" s="3"/>
      <c r="C23" s="3"/>
      <c r="E23" s="37" t="s">
        <v>50</v>
      </c>
      <c r="F23" s="36"/>
      <c r="G23" s="36"/>
      <c r="H23" s="36"/>
      <c r="I23" s="36"/>
      <c r="J23" s="36"/>
      <c r="K23" s="35"/>
      <c r="L23" s="628"/>
      <c r="M23" s="629"/>
      <c r="N23" s="629"/>
      <c r="O23" s="629"/>
      <c r="P23" s="629"/>
      <c r="Q23" s="629"/>
      <c r="R23" s="629"/>
      <c r="S23" s="629"/>
      <c r="T23" s="629"/>
      <c r="U23" s="629"/>
      <c r="V23" s="629"/>
      <c r="W23" s="629"/>
      <c r="X23" s="629"/>
      <c r="Y23" s="629"/>
      <c r="Z23" s="629"/>
      <c r="AA23" s="629"/>
      <c r="AB23" s="629"/>
      <c r="AC23" s="630"/>
      <c r="AD23" s="37" t="s">
        <v>109</v>
      </c>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5"/>
      <c r="CB23" s="3"/>
      <c r="CC23" s="3"/>
      <c r="CD23" s="3"/>
      <c r="CE23" s="3"/>
      <c r="CF23" s="3"/>
      <c r="CG23" s="3"/>
      <c r="CH23" s="3"/>
      <c r="CI23" s="3"/>
      <c r="CJ23" s="3"/>
      <c r="CK23" s="3"/>
      <c r="CL23" s="3"/>
      <c r="CM23" s="3"/>
      <c r="CN23" s="3"/>
      <c r="CO23" s="3"/>
      <c r="CP23" s="3"/>
      <c r="CQ23" s="3"/>
      <c r="CR23" s="3"/>
      <c r="CS23" s="3"/>
      <c r="CT23" s="3"/>
    </row>
    <row r="24" spans="1:98" ht="12" customHeight="1">
      <c r="A24" s="3"/>
      <c r="B24" s="3"/>
      <c r="E24" s="32"/>
      <c r="F24" s="31"/>
      <c r="G24" s="31"/>
      <c r="H24" s="31"/>
      <c r="I24" s="31"/>
      <c r="J24" s="31"/>
      <c r="K24" s="30"/>
      <c r="L24" s="628"/>
      <c r="M24" s="629"/>
      <c r="N24" s="629"/>
      <c r="O24" s="629"/>
      <c r="P24" s="629"/>
      <c r="Q24" s="629"/>
      <c r="R24" s="629"/>
      <c r="S24" s="629"/>
      <c r="T24" s="629"/>
      <c r="U24" s="629"/>
      <c r="V24" s="629"/>
      <c r="W24" s="629"/>
      <c r="X24" s="629"/>
      <c r="Y24" s="629"/>
      <c r="Z24" s="629"/>
      <c r="AA24" s="629"/>
      <c r="AB24" s="629"/>
      <c r="AC24" s="630"/>
      <c r="AD24" s="32"/>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0"/>
      <c r="CB24" s="3"/>
      <c r="CC24" s="3"/>
      <c r="CD24" s="3"/>
      <c r="CE24" s="3"/>
      <c r="CF24" s="3"/>
      <c r="CG24" s="3"/>
      <c r="CH24" s="3"/>
      <c r="CI24" s="3"/>
      <c r="CJ24" s="3"/>
      <c r="CK24" s="3"/>
      <c r="CL24" s="3"/>
      <c r="CM24" s="3"/>
      <c r="CN24" s="3"/>
      <c r="CO24" s="3"/>
      <c r="CP24" s="3"/>
      <c r="CQ24" s="3"/>
      <c r="CR24" s="3"/>
      <c r="CS24" s="3"/>
      <c r="CT24" s="3"/>
    </row>
    <row r="25" spans="1:98" ht="12" customHeight="1">
      <c r="A25" s="3"/>
      <c r="B25" s="3"/>
      <c r="E25" s="37" t="s">
        <v>63</v>
      </c>
      <c r="F25" s="36"/>
      <c r="G25" s="36"/>
      <c r="H25" s="36"/>
      <c r="I25" s="36"/>
      <c r="J25" s="36"/>
      <c r="K25" s="35"/>
      <c r="L25" s="628"/>
      <c r="M25" s="629"/>
      <c r="N25" s="629"/>
      <c r="O25" s="629"/>
      <c r="P25" s="629"/>
      <c r="Q25" s="629"/>
      <c r="R25" s="629"/>
      <c r="S25" s="629"/>
      <c r="T25" s="629"/>
      <c r="U25" s="629"/>
      <c r="V25" s="629"/>
      <c r="W25" s="629"/>
      <c r="X25" s="629"/>
      <c r="Y25" s="629"/>
      <c r="Z25" s="629"/>
      <c r="AA25" s="629"/>
      <c r="AB25" s="629"/>
      <c r="AC25" s="630"/>
      <c r="AD25" s="37" t="s">
        <v>109</v>
      </c>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5"/>
      <c r="CB25" s="3"/>
      <c r="CC25" s="3"/>
      <c r="CD25" s="3"/>
      <c r="CE25" s="3"/>
      <c r="CF25" s="3"/>
      <c r="CG25" s="3"/>
      <c r="CH25" s="3"/>
      <c r="CI25" s="3"/>
      <c r="CJ25" s="3"/>
      <c r="CK25" s="3"/>
      <c r="CL25" s="3"/>
      <c r="CM25" s="3"/>
      <c r="CN25" s="3"/>
      <c r="CO25" s="3"/>
      <c r="CP25" s="3"/>
      <c r="CQ25" s="3"/>
      <c r="CR25" s="3"/>
      <c r="CS25" s="3"/>
      <c r="CT25" s="3"/>
    </row>
    <row r="26" spans="1:98" ht="12" customHeight="1">
      <c r="A26" s="3"/>
      <c r="B26" s="3"/>
      <c r="E26" s="32"/>
      <c r="F26" s="31"/>
      <c r="G26" s="31"/>
      <c r="H26" s="31"/>
      <c r="I26" s="31"/>
      <c r="J26" s="31"/>
      <c r="K26" s="30"/>
      <c r="L26" s="628"/>
      <c r="M26" s="629"/>
      <c r="N26" s="629"/>
      <c r="O26" s="629"/>
      <c r="P26" s="629"/>
      <c r="Q26" s="629"/>
      <c r="R26" s="629"/>
      <c r="S26" s="629"/>
      <c r="T26" s="629"/>
      <c r="U26" s="629"/>
      <c r="V26" s="629"/>
      <c r="W26" s="629"/>
      <c r="X26" s="629"/>
      <c r="Y26" s="629"/>
      <c r="Z26" s="629"/>
      <c r="AA26" s="629"/>
      <c r="AB26" s="629"/>
      <c r="AC26" s="630"/>
      <c r="AD26" s="32"/>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0"/>
      <c r="CB26" s="3"/>
      <c r="CC26" s="3"/>
      <c r="CD26" s="3"/>
      <c r="CE26" s="3"/>
      <c r="CF26" s="3"/>
      <c r="CG26" s="3"/>
      <c r="CH26" s="3"/>
      <c r="CI26" s="3"/>
      <c r="CJ26" s="3"/>
      <c r="CK26" s="3"/>
      <c r="CL26" s="3"/>
      <c r="CM26" s="3"/>
      <c r="CN26" s="3"/>
      <c r="CO26" s="3"/>
      <c r="CP26" s="3"/>
      <c r="CQ26" s="3"/>
      <c r="CR26" s="3"/>
      <c r="CS26" s="3"/>
      <c r="CT26" s="3"/>
    </row>
    <row r="27" spans="1:98" ht="12" customHeight="1">
      <c r="A27" s="3"/>
      <c r="B27" s="3"/>
      <c r="C27" s="3"/>
      <c r="D27" s="3"/>
      <c r="E27" s="162" t="s">
        <v>459</v>
      </c>
      <c r="F27" s="163"/>
      <c r="G27" s="163"/>
      <c r="H27" s="163"/>
      <c r="I27" s="163"/>
      <c r="J27" s="163"/>
      <c r="K27" s="164"/>
      <c r="L27" s="628"/>
      <c r="M27" s="629"/>
      <c r="N27" s="629"/>
      <c r="O27" s="629"/>
      <c r="P27" s="629"/>
      <c r="Q27" s="629"/>
      <c r="R27" s="629"/>
      <c r="S27" s="629"/>
      <c r="T27" s="629"/>
      <c r="U27" s="629"/>
      <c r="V27" s="629"/>
      <c r="W27" s="629"/>
      <c r="X27" s="629"/>
      <c r="Y27" s="629"/>
      <c r="Z27" s="629"/>
      <c r="AA27" s="629"/>
      <c r="AB27" s="629"/>
      <c r="AC27" s="630"/>
      <c r="AD27" s="37" t="s">
        <v>103</v>
      </c>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5"/>
      <c r="CB27" s="3"/>
      <c r="CC27" s="3"/>
      <c r="CD27" s="3"/>
      <c r="CE27" s="3"/>
    </row>
    <row r="28" spans="1:98" ht="12" customHeight="1">
      <c r="A28" s="3"/>
      <c r="B28" s="3"/>
      <c r="C28" s="3"/>
      <c r="D28" s="3"/>
      <c r="E28" s="32"/>
      <c r="F28" s="31"/>
      <c r="G28" s="31"/>
      <c r="H28" s="31"/>
      <c r="I28" s="31"/>
      <c r="J28" s="31"/>
      <c r="K28" s="30"/>
      <c r="L28" s="625"/>
      <c r="M28" s="626"/>
      <c r="N28" s="626"/>
      <c r="O28" s="626"/>
      <c r="P28" s="626"/>
      <c r="Q28" s="626"/>
      <c r="R28" s="626"/>
      <c r="S28" s="626"/>
      <c r="T28" s="626"/>
      <c r="U28" s="626"/>
      <c r="V28" s="626"/>
      <c r="W28" s="626"/>
      <c r="X28" s="626"/>
      <c r="Y28" s="626"/>
      <c r="Z28" s="626"/>
      <c r="AA28" s="626"/>
      <c r="AB28" s="626"/>
      <c r="AC28" s="627"/>
      <c r="AD28" s="32"/>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0"/>
      <c r="CB28" s="3"/>
      <c r="CC28" s="3"/>
      <c r="CD28" s="3"/>
      <c r="CE28" s="3"/>
    </row>
    <row r="29" spans="1:98" ht="12"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98" ht="12"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98" ht="12"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98" ht="12"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115"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115"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115"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115"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115"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115"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115" ht="12" customHeight="1">
      <c r="A71" s="2"/>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2"/>
      <c r="CY71" s="2"/>
      <c r="CZ71" s="2"/>
      <c r="DA71" s="2"/>
      <c r="DB71" s="2"/>
      <c r="DC71" s="2"/>
      <c r="DD71" s="2"/>
      <c r="DE71" s="2"/>
      <c r="DF71" s="2"/>
      <c r="DG71" s="2"/>
      <c r="DH71" s="2"/>
      <c r="DI71" s="2"/>
      <c r="DJ71" s="2"/>
      <c r="DK71" s="2"/>
    </row>
    <row r="72" spans="1:115" ht="12" customHeight="1">
      <c r="A72" s="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2"/>
      <c r="CY72" s="2"/>
      <c r="CZ72" s="2"/>
      <c r="DA72" s="2"/>
      <c r="DB72" s="2"/>
      <c r="DC72" s="2"/>
      <c r="DD72" s="2"/>
      <c r="DE72" s="2"/>
      <c r="DF72" s="2"/>
      <c r="DG72" s="2"/>
      <c r="DH72" s="2"/>
      <c r="DI72" s="2"/>
      <c r="DJ72" s="2"/>
      <c r="DK72" s="2"/>
    </row>
    <row r="73" spans="1:115" ht="12" customHeight="1">
      <c r="A73" s="2"/>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2"/>
      <c r="DK73" s="2"/>
    </row>
    <row r="74" spans="1:115" ht="12" customHeight="1">
      <c r="A74" s="2"/>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2"/>
    </row>
    <row r="75" spans="1:115" ht="12" customHeight="1">
      <c r="A75" s="2"/>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2"/>
    </row>
    <row r="76" spans="1:115" ht="12" customHeight="1">
      <c r="A76" s="2"/>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2"/>
    </row>
    <row r="77" spans="1:115" ht="12" customHeight="1">
      <c r="A77" s="2"/>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2"/>
    </row>
    <row r="78" spans="1:115" ht="12"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2"/>
      <c r="BH78" s="2"/>
      <c r="BI78" s="2"/>
      <c r="BJ78" s="2"/>
      <c r="BK78" s="2"/>
      <c r="BL78" s="2"/>
      <c r="BM78" s="2"/>
      <c r="BN78" s="2"/>
      <c r="BO78" s="2"/>
      <c r="BP78" s="2"/>
      <c r="BQ78" s="2"/>
      <c r="BR78" s="2"/>
      <c r="BS78" s="2"/>
      <c r="BT78" s="2"/>
      <c r="BU78" s="2"/>
      <c r="BV78" s="2"/>
      <c r="BW78" s="2"/>
      <c r="BX78" s="2"/>
      <c r="BY78" s="2"/>
      <c r="BZ78" s="3"/>
      <c r="CA78" s="3"/>
      <c r="CB78" s="3"/>
      <c r="CC78" s="3"/>
      <c r="CD78" s="3"/>
      <c r="CE78" s="2"/>
    </row>
    <row r="79" spans="1:115" ht="12"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Z79" s="3"/>
      <c r="CA79" s="3"/>
      <c r="CB79" s="3"/>
      <c r="CC79" s="3"/>
      <c r="CD79" s="3"/>
      <c r="CE79" s="2"/>
    </row>
    <row r="80" spans="1:115"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Z80" s="2"/>
      <c r="CA80" s="2"/>
      <c r="CB80" s="2"/>
      <c r="CC80" s="2"/>
      <c r="CD80" s="2"/>
      <c r="CE80" s="2"/>
    </row>
  </sheetData>
  <mergeCells count="22">
    <mergeCell ref="L21:AC28"/>
    <mergeCell ref="A1:CE1"/>
    <mergeCell ref="A3:H3"/>
    <mergeCell ref="I3:AC3"/>
    <mergeCell ref="AD3:AL3"/>
    <mergeCell ref="AM3:BQ3"/>
    <mergeCell ref="BR3:BS5"/>
    <mergeCell ref="BT3:BX5"/>
    <mergeCell ref="BY3:BZ5"/>
    <mergeCell ref="CA3:CE5"/>
    <mergeCell ref="AS5:AY5"/>
    <mergeCell ref="AZ5:BC5"/>
    <mergeCell ref="A4:H5"/>
    <mergeCell ref="BN5:BQ5"/>
    <mergeCell ref="I4:AC5"/>
    <mergeCell ref="AD4:AL4"/>
    <mergeCell ref="AM4:BQ4"/>
    <mergeCell ref="BD5:BJ5"/>
    <mergeCell ref="BK5:BM5"/>
    <mergeCell ref="AD5:AG5"/>
    <mergeCell ref="AH5:AN5"/>
    <mergeCell ref="AO5:AR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80" max="82" man="1"/>
  </rowBreaks>
  <colBreaks count="3" manualBreakCount="3">
    <brk id="1" max="48" man="1"/>
    <brk id="2" max="48" man="1"/>
    <brk id="3" max="48"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DC80"/>
  <sheetViews>
    <sheetView showGridLines="0" view="pageBreakPreview" zoomScale="85" zoomScaleNormal="55" zoomScaleSheetLayoutView="85" workbookViewId="0">
      <selection sqref="A1:CE1"/>
    </sheetView>
  </sheetViews>
  <sheetFormatPr defaultColWidth="1.625" defaultRowHeight="12" customHeight="1"/>
  <cols>
    <col min="1" max="1" width="1.625" style="1" customWidth="1"/>
    <col min="2" max="48" width="1.625" style="1"/>
    <col min="49" max="49" width="1.5" style="1" customWidth="1"/>
    <col min="50" max="16384" width="1.625" style="1"/>
  </cols>
  <sheetData>
    <row r="1" spans="1:107" ht="17.25" customHeight="1">
      <c r="A1" s="613" t="s">
        <v>212</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row>
    <row r="2" spans="1:107" ht="4.5" customHeight="1"/>
    <row r="3" spans="1:107" ht="12" customHeight="1">
      <c r="A3" s="592" t="s">
        <v>8</v>
      </c>
      <c r="B3" s="592"/>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t="s">
        <v>1</v>
      </c>
      <c r="AE3" s="592"/>
      <c r="AF3" s="592"/>
      <c r="AG3" s="592"/>
      <c r="AH3" s="592"/>
      <c r="AI3" s="592"/>
      <c r="AJ3" s="592"/>
      <c r="AK3" s="592"/>
      <c r="AL3" s="592"/>
      <c r="AM3" s="594" t="s">
        <v>11</v>
      </c>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6"/>
      <c r="BR3" s="693" t="s">
        <v>6</v>
      </c>
      <c r="BS3" s="693"/>
      <c r="BT3" s="601" t="s">
        <v>756</v>
      </c>
      <c r="BU3" s="593"/>
      <c r="BV3" s="593"/>
      <c r="BW3" s="593"/>
      <c r="BX3" s="593"/>
      <c r="BY3" s="693" t="s">
        <v>7</v>
      </c>
      <c r="BZ3" s="693"/>
      <c r="CA3" s="601" t="s">
        <v>757</v>
      </c>
      <c r="CB3" s="593"/>
      <c r="CC3" s="593"/>
      <c r="CD3" s="593"/>
      <c r="CE3" s="593"/>
    </row>
    <row r="4" spans="1:107" ht="12" customHeight="1">
      <c r="A4" s="592" t="s">
        <v>9</v>
      </c>
      <c r="B4" s="592"/>
      <c r="C4" s="592"/>
      <c r="D4" s="592"/>
      <c r="E4" s="592"/>
      <c r="F4" s="592"/>
      <c r="G4" s="592"/>
      <c r="H4" s="592"/>
      <c r="I4" s="591" t="s">
        <v>10</v>
      </c>
      <c r="J4" s="592"/>
      <c r="K4" s="592"/>
      <c r="L4" s="592"/>
      <c r="M4" s="592"/>
      <c r="N4" s="592"/>
      <c r="O4" s="592"/>
      <c r="P4" s="592"/>
      <c r="Q4" s="592"/>
      <c r="R4" s="592"/>
      <c r="S4" s="592"/>
      <c r="T4" s="592"/>
      <c r="U4" s="592"/>
      <c r="V4" s="592"/>
      <c r="W4" s="592"/>
      <c r="X4" s="592"/>
      <c r="Y4" s="592"/>
      <c r="Z4" s="592"/>
      <c r="AA4" s="592"/>
      <c r="AB4" s="592"/>
      <c r="AC4" s="592"/>
      <c r="AD4" s="592" t="s">
        <v>0</v>
      </c>
      <c r="AE4" s="592"/>
      <c r="AF4" s="592"/>
      <c r="AG4" s="592"/>
      <c r="AH4" s="592"/>
      <c r="AI4" s="592"/>
      <c r="AJ4" s="592"/>
      <c r="AK4" s="592"/>
      <c r="AL4" s="592"/>
      <c r="AM4" s="594" t="s">
        <v>17</v>
      </c>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6"/>
      <c r="BR4" s="693"/>
      <c r="BS4" s="693"/>
      <c r="BT4" s="593"/>
      <c r="BU4" s="593"/>
      <c r="BV4" s="593"/>
      <c r="BW4" s="593"/>
      <c r="BX4" s="593"/>
      <c r="BY4" s="693"/>
      <c r="BZ4" s="693"/>
      <c r="CA4" s="593"/>
      <c r="CB4" s="593"/>
      <c r="CC4" s="593"/>
      <c r="CD4" s="593"/>
      <c r="CE4" s="593"/>
    </row>
    <row r="5" spans="1:107" ht="12" customHeight="1">
      <c r="A5" s="592"/>
      <c r="B5" s="592"/>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t="s">
        <v>2</v>
      </c>
      <c r="AE5" s="592"/>
      <c r="AF5" s="592"/>
      <c r="AG5" s="592"/>
      <c r="AH5" s="604">
        <v>43503</v>
      </c>
      <c r="AI5" s="604"/>
      <c r="AJ5" s="604"/>
      <c r="AK5" s="604"/>
      <c r="AL5" s="604"/>
      <c r="AM5" s="604"/>
      <c r="AN5" s="604"/>
      <c r="AO5" s="592" t="s">
        <v>3</v>
      </c>
      <c r="AP5" s="592"/>
      <c r="AQ5" s="592"/>
      <c r="AR5" s="592"/>
      <c r="AS5" s="692"/>
      <c r="AT5" s="692"/>
      <c r="AU5" s="692"/>
      <c r="AV5" s="692"/>
      <c r="AW5" s="692"/>
      <c r="AX5" s="692"/>
      <c r="AY5" s="692"/>
      <c r="AZ5" s="592" t="s">
        <v>4</v>
      </c>
      <c r="BA5" s="592"/>
      <c r="BB5" s="592"/>
      <c r="BC5" s="592"/>
      <c r="BD5" s="692"/>
      <c r="BE5" s="692"/>
      <c r="BF5" s="692"/>
      <c r="BG5" s="692"/>
      <c r="BH5" s="692"/>
      <c r="BI5" s="692"/>
      <c r="BJ5" s="692"/>
      <c r="BK5" s="592" t="s">
        <v>5</v>
      </c>
      <c r="BL5" s="592"/>
      <c r="BM5" s="592"/>
      <c r="BN5" s="691"/>
      <c r="BO5" s="691"/>
      <c r="BP5" s="691"/>
      <c r="BQ5" s="691"/>
      <c r="BR5" s="693"/>
      <c r="BS5" s="693"/>
      <c r="BT5" s="593"/>
      <c r="BU5" s="593"/>
      <c r="BV5" s="593"/>
      <c r="BW5" s="593"/>
      <c r="BX5" s="593"/>
      <c r="BY5" s="693"/>
      <c r="BZ5" s="693"/>
      <c r="CA5" s="593"/>
      <c r="CB5" s="593"/>
      <c r="CC5" s="593"/>
      <c r="CD5" s="593"/>
      <c r="CE5" s="593"/>
    </row>
    <row r="6" spans="1:107" ht="5.0999999999999996"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60"/>
      <c r="B9" s="460" t="s">
        <v>1168</v>
      </c>
      <c r="C9" s="460"/>
      <c r="D9" s="460"/>
      <c r="E9" s="460"/>
      <c r="F9" s="460"/>
      <c r="G9" s="460"/>
      <c r="H9" s="460"/>
      <c r="I9" s="460"/>
      <c r="J9" s="460"/>
      <c r="K9" s="460"/>
      <c r="L9" s="460"/>
      <c r="M9" s="460"/>
      <c r="N9" s="460"/>
      <c r="O9" s="460"/>
      <c r="P9" s="460"/>
      <c r="Q9" s="460"/>
      <c r="R9" s="460"/>
      <c r="S9" s="460"/>
      <c r="T9" s="460"/>
      <c r="U9" s="460"/>
      <c r="V9" s="460"/>
      <c r="W9" s="460"/>
      <c r="X9" s="460"/>
      <c r="Y9" s="460"/>
      <c r="Z9" s="460"/>
      <c r="AA9" s="460"/>
      <c r="AB9" s="460"/>
      <c r="AC9" s="460"/>
      <c r="AD9" s="460"/>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60"/>
      <c r="B10" s="460"/>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460"/>
      <c r="AB10" s="460"/>
      <c r="AC10" s="460"/>
      <c r="AD10" s="460"/>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60"/>
      <c r="B11" s="460"/>
      <c r="C11" s="460" t="s">
        <v>1169</v>
      </c>
      <c r="D11" s="460"/>
      <c r="E11" s="460"/>
      <c r="F11" s="460"/>
      <c r="G11" s="460"/>
      <c r="H11" s="460"/>
      <c r="I11" s="460"/>
      <c r="J11" s="460"/>
      <c r="K11" s="460"/>
      <c r="L11" s="460"/>
      <c r="M11" s="460"/>
      <c r="N11" s="460"/>
      <c r="O11" s="460"/>
      <c r="P11" s="460"/>
      <c r="Q11" s="460"/>
      <c r="R11" s="460"/>
      <c r="S11" s="460"/>
      <c r="T11" s="460"/>
      <c r="U11" s="460"/>
      <c r="V11" s="460"/>
      <c r="W11" s="460"/>
      <c r="X11" s="460"/>
      <c r="Y11" s="460"/>
      <c r="Z11" s="460"/>
      <c r="AA11" s="460"/>
      <c r="AB11" s="460"/>
      <c r="AC11" s="460"/>
      <c r="AD11" s="460"/>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60"/>
      <c r="B12" s="460"/>
      <c r="C12" s="460"/>
      <c r="D12" s="460"/>
      <c r="E12" s="460"/>
      <c r="F12" s="460"/>
      <c r="G12" s="460"/>
      <c r="H12" s="460"/>
      <c r="I12" s="460"/>
      <c r="J12" s="460"/>
      <c r="K12" s="460"/>
      <c r="L12" s="460"/>
      <c r="M12" s="460"/>
      <c r="N12" s="460"/>
      <c r="O12" s="460"/>
      <c r="P12" s="460"/>
      <c r="Q12" s="460"/>
      <c r="R12" s="460"/>
      <c r="S12" s="460"/>
      <c r="T12" s="460"/>
      <c r="U12" s="460"/>
      <c r="V12" s="460"/>
      <c r="W12" s="460"/>
      <c r="X12" s="460"/>
      <c r="Y12" s="460"/>
      <c r="Z12" s="460"/>
      <c r="AA12" s="460"/>
      <c r="AB12" s="460"/>
      <c r="AC12" s="460"/>
      <c r="AD12" s="460"/>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60"/>
      <c r="B13" s="460"/>
      <c r="C13" s="460"/>
      <c r="D13" s="460" t="s">
        <v>1202</v>
      </c>
      <c r="E13" s="462"/>
      <c r="F13" s="460"/>
      <c r="G13" s="460"/>
      <c r="H13" s="460"/>
      <c r="I13" s="460"/>
      <c r="J13" s="460"/>
      <c r="K13" s="460"/>
      <c r="L13" s="460"/>
      <c r="M13" s="460"/>
      <c r="N13" s="460"/>
      <c r="O13" s="460"/>
      <c r="P13" s="460"/>
      <c r="Q13" s="460"/>
      <c r="R13" s="460"/>
      <c r="S13" s="460"/>
      <c r="T13" s="460"/>
      <c r="U13" s="460"/>
      <c r="V13" s="460"/>
      <c r="W13" s="460"/>
      <c r="X13" s="460"/>
      <c r="Y13" s="460"/>
      <c r="Z13" s="460"/>
      <c r="AA13" s="460"/>
      <c r="AB13" s="460"/>
      <c r="AC13" s="460"/>
      <c r="AD13" s="460"/>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ht="12" customHeight="1">
      <c r="A14" s="460"/>
      <c r="B14" s="460"/>
      <c r="C14" s="460"/>
      <c r="D14" s="461"/>
      <c r="E14" s="460" t="s">
        <v>604</v>
      </c>
      <c r="F14" s="460"/>
      <c r="G14" s="460"/>
      <c r="H14" s="460"/>
      <c r="I14" s="460"/>
      <c r="J14" s="460"/>
      <c r="K14" s="460"/>
      <c r="L14" s="460"/>
      <c r="M14" s="460"/>
      <c r="N14" s="460"/>
      <c r="O14" s="460"/>
      <c r="P14" s="460"/>
      <c r="Q14" s="460"/>
      <c r="R14" s="460"/>
      <c r="S14" s="460"/>
      <c r="T14" s="460"/>
      <c r="U14" s="460"/>
      <c r="V14" s="460"/>
      <c r="W14" s="460"/>
      <c r="X14" s="460"/>
      <c r="Y14" s="460"/>
      <c r="Z14" s="460"/>
      <c r="AA14" s="460"/>
      <c r="AB14" s="460"/>
      <c r="AC14" s="460"/>
      <c r="AD14" s="460"/>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row>
    <row r="15" spans="1:107" ht="12" customHeight="1">
      <c r="A15" s="460"/>
      <c r="B15" s="460"/>
      <c r="C15" s="460"/>
      <c r="D15" s="460"/>
      <c r="E15" s="460"/>
      <c r="F15" s="460"/>
      <c r="G15" s="460"/>
      <c r="H15" s="460"/>
      <c r="I15" s="460"/>
      <c r="J15" s="460"/>
      <c r="K15" s="460"/>
      <c r="L15" s="460"/>
      <c r="M15" s="460"/>
      <c r="N15" s="460"/>
      <c r="O15" s="460"/>
      <c r="P15" s="460"/>
      <c r="Q15" s="460"/>
      <c r="R15" s="460"/>
      <c r="S15" s="460"/>
      <c r="T15" s="460"/>
      <c r="U15" s="460"/>
      <c r="V15" s="460"/>
      <c r="W15" s="460"/>
      <c r="X15" s="460"/>
      <c r="Y15" s="460"/>
      <c r="Z15" s="460"/>
      <c r="AA15" s="460"/>
      <c r="AB15" s="460"/>
      <c r="AC15" s="460"/>
      <c r="AD15" s="460"/>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row>
    <row r="16" spans="1:107" ht="12" customHeight="1">
      <c r="A16" s="460"/>
      <c r="B16" s="460"/>
      <c r="C16" s="460"/>
      <c r="D16" s="460"/>
      <c r="E16" s="460"/>
      <c r="F16" s="460"/>
      <c r="G16" s="460"/>
      <c r="H16" s="460"/>
      <c r="I16" s="460"/>
      <c r="J16" s="460"/>
      <c r="K16" s="460"/>
      <c r="L16" s="460"/>
      <c r="M16" s="460"/>
      <c r="N16" s="460"/>
      <c r="O16" s="460"/>
      <c r="P16" s="460"/>
      <c r="Q16" s="460"/>
      <c r="R16" s="460"/>
      <c r="S16" s="460"/>
      <c r="T16" s="460"/>
      <c r="U16" s="460"/>
      <c r="V16" s="460"/>
      <c r="W16" s="460"/>
      <c r="X16" s="460"/>
      <c r="Y16" s="460"/>
      <c r="Z16" s="460"/>
      <c r="AA16" s="460"/>
      <c r="AB16" s="460"/>
      <c r="AC16" s="460"/>
      <c r="AD16" s="460"/>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5" ht="12" customHeight="1">
      <c r="A17" s="460"/>
      <c r="B17" s="460"/>
      <c r="C17" s="460" t="s">
        <v>1170</v>
      </c>
      <c r="D17" s="460"/>
      <c r="E17" s="460"/>
      <c r="F17" s="460"/>
      <c r="G17" s="460"/>
      <c r="H17" s="460"/>
      <c r="I17" s="460"/>
      <c r="J17" s="460"/>
      <c r="K17" s="460"/>
      <c r="L17" s="460"/>
      <c r="M17" s="460"/>
      <c r="N17" s="460"/>
      <c r="O17" s="460"/>
      <c r="P17" s="460"/>
      <c r="Q17" s="460"/>
      <c r="R17" s="460"/>
      <c r="S17" s="460"/>
      <c r="T17" s="460"/>
      <c r="U17" s="460"/>
      <c r="V17" s="460"/>
      <c r="W17" s="460"/>
      <c r="X17" s="460"/>
      <c r="Y17" s="460"/>
      <c r="Z17" s="460"/>
      <c r="AA17" s="460"/>
      <c r="AB17" s="460"/>
      <c r="AC17" s="460"/>
      <c r="AD17" s="460"/>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5" ht="12" customHeight="1">
      <c r="A18" s="460"/>
      <c r="B18" s="460"/>
      <c r="C18" s="460"/>
      <c r="D18" s="460"/>
      <c r="E18" s="460"/>
      <c r="F18" s="460"/>
      <c r="G18" s="460"/>
      <c r="H18" s="460"/>
      <c r="I18" s="460"/>
      <c r="J18" s="460"/>
      <c r="K18" s="460"/>
      <c r="L18" s="460"/>
      <c r="M18" s="460"/>
      <c r="N18" s="460"/>
      <c r="O18" s="460"/>
      <c r="P18" s="460"/>
      <c r="Q18" s="460"/>
      <c r="R18" s="460"/>
      <c r="S18" s="460"/>
      <c r="T18" s="460"/>
      <c r="U18" s="460"/>
      <c r="V18" s="460"/>
      <c r="W18" s="460"/>
      <c r="X18" s="460"/>
      <c r="Y18" s="460"/>
      <c r="Z18" s="460"/>
      <c r="AA18" s="460"/>
      <c r="AB18" s="460"/>
      <c r="AC18" s="460"/>
      <c r="AD18" s="460"/>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85" ht="12" customHeight="1">
      <c r="A19" s="460"/>
      <c r="B19" s="460"/>
      <c r="C19" s="460"/>
      <c r="D19" s="460" t="s">
        <v>1171</v>
      </c>
      <c r="E19" s="460"/>
      <c r="F19" s="460"/>
      <c r="G19" s="460"/>
      <c r="H19" s="460"/>
      <c r="I19" s="460"/>
      <c r="J19" s="460"/>
      <c r="K19" s="460"/>
      <c r="L19" s="460"/>
      <c r="M19" s="460"/>
      <c r="N19" s="460"/>
      <c r="O19" s="460"/>
      <c r="P19" s="460"/>
      <c r="Q19" s="460"/>
      <c r="R19" s="460"/>
      <c r="S19" s="460"/>
      <c r="T19" s="460"/>
      <c r="U19" s="460"/>
      <c r="V19" s="460"/>
      <c r="W19" s="460"/>
      <c r="X19" s="460"/>
      <c r="Y19" s="460"/>
      <c r="Z19" s="460"/>
      <c r="AA19" s="460"/>
      <c r="AB19" s="460"/>
      <c r="AC19" s="460"/>
      <c r="AD19" s="460"/>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85" ht="12" customHeight="1">
      <c r="A20" s="460"/>
      <c r="B20" s="460"/>
      <c r="C20" s="460"/>
      <c r="D20" s="460"/>
      <c r="E20" s="460"/>
      <c r="F20" s="460"/>
      <c r="G20" s="460"/>
      <c r="H20" s="460"/>
      <c r="I20" s="460"/>
      <c r="J20" s="460"/>
      <c r="K20" s="460"/>
      <c r="L20" s="460"/>
      <c r="M20" s="460"/>
      <c r="N20" s="460"/>
      <c r="O20" s="460"/>
      <c r="P20" s="460"/>
      <c r="Q20" s="460"/>
      <c r="R20" s="460"/>
      <c r="S20" s="460"/>
      <c r="T20" s="460"/>
      <c r="U20" s="460"/>
      <c r="V20" s="460"/>
      <c r="W20" s="460"/>
      <c r="X20" s="460"/>
      <c r="Y20" s="460"/>
      <c r="Z20" s="460"/>
      <c r="AA20" s="460"/>
      <c r="AB20" s="460"/>
      <c r="AC20" s="460"/>
      <c r="AD20" s="460"/>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row>
    <row r="21" spans="1:85" ht="12" customHeight="1">
      <c r="A21" s="55"/>
      <c r="B21" s="3"/>
      <c r="C21" s="3"/>
      <c r="D21" s="5"/>
      <c r="E21" s="40" t="s">
        <v>56</v>
      </c>
      <c r="F21" s="39"/>
      <c r="G21" s="39"/>
      <c r="H21" s="39"/>
      <c r="I21" s="39"/>
      <c r="J21" s="39"/>
      <c r="K21" s="38"/>
      <c r="L21" s="481" t="s">
        <v>1172</v>
      </c>
      <c r="M21" s="39"/>
      <c r="N21" s="39"/>
      <c r="O21" s="39"/>
      <c r="P21" s="39"/>
      <c r="Q21" s="39"/>
      <c r="R21" s="39"/>
      <c r="S21" s="39"/>
      <c r="T21" s="39"/>
      <c r="U21" s="39"/>
      <c r="V21" s="39"/>
      <c r="W21" s="39"/>
      <c r="X21" s="39"/>
      <c r="Y21" s="39"/>
      <c r="Z21" s="39"/>
      <c r="AA21" s="39"/>
      <c r="AB21" s="39"/>
      <c r="AC21" s="39"/>
      <c r="AD21" s="54" t="s">
        <v>211</v>
      </c>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2"/>
      <c r="CB21" s="5"/>
      <c r="CC21" s="5"/>
      <c r="CD21" s="3"/>
      <c r="CE21" s="3"/>
      <c r="CF21" s="3"/>
      <c r="CG21" s="3"/>
    </row>
    <row r="22" spans="1:85" ht="12" customHeight="1">
      <c r="A22" s="3"/>
      <c r="B22" s="3"/>
      <c r="C22" s="3"/>
      <c r="D22" s="5"/>
      <c r="E22" s="37" t="s">
        <v>53</v>
      </c>
      <c r="F22" s="36"/>
      <c r="G22" s="36"/>
      <c r="H22" s="36"/>
      <c r="I22" s="36"/>
      <c r="J22" s="36"/>
      <c r="K22" s="163"/>
      <c r="L22" s="622" t="s">
        <v>1203</v>
      </c>
      <c r="M22" s="623"/>
      <c r="N22" s="623"/>
      <c r="O22" s="623"/>
      <c r="P22" s="623"/>
      <c r="Q22" s="623"/>
      <c r="R22" s="623"/>
      <c r="S22" s="623"/>
      <c r="T22" s="623"/>
      <c r="U22" s="623"/>
      <c r="V22" s="623"/>
      <c r="W22" s="623"/>
      <c r="X22" s="623"/>
      <c r="Y22" s="623"/>
      <c r="Z22" s="623"/>
      <c r="AA22" s="623"/>
      <c r="AB22" s="623"/>
      <c r="AC22" s="624"/>
      <c r="AD22" s="163" t="s">
        <v>210</v>
      </c>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5"/>
      <c r="CB22" s="5"/>
      <c r="CC22" s="5"/>
      <c r="CD22" s="3"/>
      <c r="CE22" s="3"/>
      <c r="CF22" s="3"/>
      <c r="CG22" s="3"/>
    </row>
    <row r="23" spans="1:85" ht="12" customHeight="1">
      <c r="A23" s="3"/>
      <c r="B23" s="3"/>
      <c r="C23" s="3"/>
      <c r="D23" s="5"/>
      <c r="E23" s="32"/>
      <c r="F23" s="31"/>
      <c r="G23" s="31"/>
      <c r="H23" s="31"/>
      <c r="I23" s="31"/>
      <c r="J23" s="31"/>
      <c r="K23" s="31"/>
      <c r="L23" s="628"/>
      <c r="M23" s="629"/>
      <c r="N23" s="629"/>
      <c r="O23" s="629"/>
      <c r="P23" s="629"/>
      <c r="Q23" s="629"/>
      <c r="R23" s="629"/>
      <c r="S23" s="629"/>
      <c r="T23" s="629"/>
      <c r="U23" s="629"/>
      <c r="V23" s="629"/>
      <c r="W23" s="629"/>
      <c r="X23" s="629"/>
      <c r="Y23" s="629"/>
      <c r="Z23" s="629"/>
      <c r="AA23" s="629"/>
      <c r="AB23" s="629"/>
      <c r="AC23" s="630"/>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0"/>
      <c r="CB23" s="5"/>
      <c r="CC23" s="5"/>
      <c r="CD23" s="3"/>
      <c r="CE23" s="3"/>
      <c r="CF23" s="3"/>
      <c r="CG23" s="3"/>
    </row>
    <row r="24" spans="1:85" ht="12" customHeight="1">
      <c r="A24" s="3"/>
      <c r="B24" s="3"/>
      <c r="C24" s="3"/>
      <c r="D24" s="5"/>
      <c r="E24" s="37" t="s">
        <v>50</v>
      </c>
      <c r="F24" s="36"/>
      <c r="G24" s="36"/>
      <c r="H24" s="36"/>
      <c r="I24" s="36"/>
      <c r="J24" s="36"/>
      <c r="K24" s="163"/>
      <c r="L24" s="628"/>
      <c r="M24" s="629"/>
      <c r="N24" s="629"/>
      <c r="O24" s="629"/>
      <c r="P24" s="629"/>
      <c r="Q24" s="629"/>
      <c r="R24" s="629"/>
      <c r="S24" s="629"/>
      <c r="T24" s="629"/>
      <c r="U24" s="629"/>
      <c r="V24" s="629"/>
      <c r="W24" s="629"/>
      <c r="X24" s="629"/>
      <c r="Y24" s="629"/>
      <c r="Z24" s="629"/>
      <c r="AA24" s="629"/>
      <c r="AB24" s="629"/>
      <c r="AC24" s="630"/>
      <c r="AD24" s="163" t="s">
        <v>210</v>
      </c>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5"/>
      <c r="CB24" s="5"/>
      <c r="CC24" s="5"/>
      <c r="CD24" s="3"/>
      <c r="CE24" s="3"/>
      <c r="CF24" s="3"/>
      <c r="CG24" s="3"/>
    </row>
    <row r="25" spans="1:85" ht="12" customHeight="1">
      <c r="A25" s="3"/>
      <c r="B25" s="3"/>
      <c r="C25" s="3"/>
      <c r="D25" s="5"/>
      <c r="E25" s="32"/>
      <c r="F25" s="31"/>
      <c r="G25" s="31"/>
      <c r="H25" s="31"/>
      <c r="I25" s="31"/>
      <c r="J25" s="31"/>
      <c r="K25" s="31"/>
      <c r="L25" s="628"/>
      <c r="M25" s="629"/>
      <c r="N25" s="629"/>
      <c r="O25" s="629"/>
      <c r="P25" s="629"/>
      <c r="Q25" s="629"/>
      <c r="R25" s="629"/>
      <c r="S25" s="629"/>
      <c r="T25" s="629"/>
      <c r="U25" s="629"/>
      <c r="V25" s="629"/>
      <c r="W25" s="629"/>
      <c r="X25" s="629"/>
      <c r="Y25" s="629"/>
      <c r="Z25" s="629"/>
      <c r="AA25" s="629"/>
      <c r="AB25" s="629"/>
      <c r="AC25" s="630"/>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0"/>
      <c r="CB25" s="5"/>
      <c r="CC25" s="5"/>
      <c r="CD25" s="3"/>
      <c r="CE25" s="3"/>
      <c r="CF25" s="3"/>
      <c r="CG25" s="3"/>
    </row>
    <row r="26" spans="1:85" ht="12" customHeight="1">
      <c r="A26" s="3"/>
      <c r="B26" s="3"/>
      <c r="C26" s="3"/>
      <c r="D26" s="5"/>
      <c r="E26" s="37" t="s">
        <v>63</v>
      </c>
      <c r="F26" s="36"/>
      <c r="G26" s="36"/>
      <c r="H26" s="36"/>
      <c r="I26" s="36"/>
      <c r="J26" s="36"/>
      <c r="K26" s="163"/>
      <c r="L26" s="628"/>
      <c r="M26" s="629"/>
      <c r="N26" s="629"/>
      <c r="O26" s="629"/>
      <c r="P26" s="629"/>
      <c r="Q26" s="629"/>
      <c r="R26" s="629"/>
      <c r="S26" s="629"/>
      <c r="T26" s="629"/>
      <c r="U26" s="629"/>
      <c r="V26" s="629"/>
      <c r="W26" s="629"/>
      <c r="X26" s="629"/>
      <c r="Y26" s="629"/>
      <c r="Z26" s="629"/>
      <c r="AA26" s="629"/>
      <c r="AB26" s="629"/>
      <c r="AC26" s="630"/>
      <c r="AD26" s="623" t="s">
        <v>669</v>
      </c>
      <c r="AE26" s="655"/>
      <c r="AF26" s="655"/>
      <c r="AG26" s="655"/>
      <c r="AH26" s="655"/>
      <c r="AI26" s="655"/>
      <c r="AJ26" s="655"/>
      <c r="AK26" s="655"/>
      <c r="AL26" s="655"/>
      <c r="AM26" s="655"/>
      <c r="AN26" s="655"/>
      <c r="AO26" s="655"/>
      <c r="AP26" s="655"/>
      <c r="AQ26" s="655"/>
      <c r="AR26" s="655"/>
      <c r="AS26" s="655"/>
      <c r="AT26" s="655"/>
      <c r="AU26" s="655"/>
      <c r="AV26" s="655"/>
      <c r="AW26" s="655"/>
      <c r="AX26" s="655"/>
      <c r="AY26" s="655"/>
      <c r="AZ26" s="655"/>
      <c r="BA26" s="655"/>
      <c r="BB26" s="655"/>
      <c r="BC26" s="655"/>
      <c r="BD26" s="655"/>
      <c r="BE26" s="655"/>
      <c r="BF26" s="655"/>
      <c r="BG26" s="655"/>
      <c r="BH26" s="655"/>
      <c r="BI26" s="655"/>
      <c r="BJ26" s="655"/>
      <c r="BK26" s="655"/>
      <c r="BL26" s="655"/>
      <c r="BM26" s="655"/>
      <c r="BN26" s="655"/>
      <c r="BO26" s="655"/>
      <c r="BP26" s="655"/>
      <c r="BQ26" s="655"/>
      <c r="BR26" s="655"/>
      <c r="BS26" s="655"/>
      <c r="BT26" s="655"/>
      <c r="BU26" s="655"/>
      <c r="BV26" s="655"/>
      <c r="BW26" s="655"/>
      <c r="BX26" s="655"/>
      <c r="BY26" s="655"/>
      <c r="BZ26" s="655"/>
      <c r="CA26" s="941"/>
      <c r="CB26" s="5"/>
      <c r="CC26" s="5"/>
      <c r="CD26" s="3"/>
      <c r="CE26" s="3"/>
      <c r="CF26" s="3"/>
      <c r="CG26" s="3"/>
    </row>
    <row r="27" spans="1:85" ht="12" customHeight="1">
      <c r="A27" s="3"/>
      <c r="B27" s="3"/>
      <c r="C27" s="3"/>
      <c r="D27" s="5"/>
      <c r="E27" s="34"/>
      <c r="F27" s="3"/>
      <c r="G27" s="3"/>
      <c r="H27" s="3"/>
      <c r="I27" s="3"/>
      <c r="J27" s="3"/>
      <c r="K27" s="3"/>
      <c r="L27" s="628"/>
      <c r="M27" s="629"/>
      <c r="N27" s="629"/>
      <c r="O27" s="629"/>
      <c r="P27" s="629"/>
      <c r="Q27" s="629"/>
      <c r="R27" s="629"/>
      <c r="S27" s="629"/>
      <c r="T27" s="629"/>
      <c r="U27" s="629"/>
      <c r="V27" s="629"/>
      <c r="W27" s="629"/>
      <c r="X27" s="629"/>
      <c r="Y27" s="629"/>
      <c r="Z27" s="629"/>
      <c r="AA27" s="629"/>
      <c r="AB27" s="629"/>
      <c r="AC27" s="630"/>
      <c r="AD27" s="629"/>
      <c r="AE27" s="629"/>
      <c r="AF27" s="629"/>
      <c r="AG27" s="629"/>
      <c r="AH27" s="629"/>
      <c r="AI27" s="629"/>
      <c r="AJ27" s="629"/>
      <c r="AK27" s="629"/>
      <c r="AL27" s="629"/>
      <c r="AM27" s="629"/>
      <c r="AN27" s="629"/>
      <c r="AO27" s="629"/>
      <c r="AP27" s="629"/>
      <c r="AQ27" s="629"/>
      <c r="AR27" s="629"/>
      <c r="AS27" s="629"/>
      <c r="AT27" s="629"/>
      <c r="AU27" s="629"/>
      <c r="AV27" s="629"/>
      <c r="AW27" s="629"/>
      <c r="AX27" s="629"/>
      <c r="AY27" s="629"/>
      <c r="AZ27" s="629"/>
      <c r="BA27" s="629"/>
      <c r="BB27" s="629"/>
      <c r="BC27" s="629"/>
      <c r="BD27" s="629"/>
      <c r="BE27" s="629"/>
      <c r="BF27" s="629"/>
      <c r="BG27" s="629"/>
      <c r="BH27" s="629"/>
      <c r="BI27" s="629"/>
      <c r="BJ27" s="629"/>
      <c r="BK27" s="629"/>
      <c r="BL27" s="629"/>
      <c r="BM27" s="629"/>
      <c r="BN27" s="629"/>
      <c r="BO27" s="629"/>
      <c r="BP27" s="629"/>
      <c r="BQ27" s="629"/>
      <c r="BR27" s="629"/>
      <c r="BS27" s="629"/>
      <c r="BT27" s="629"/>
      <c r="BU27" s="629"/>
      <c r="BV27" s="629"/>
      <c r="BW27" s="629"/>
      <c r="BX27" s="629"/>
      <c r="BY27" s="629"/>
      <c r="BZ27" s="629"/>
      <c r="CA27" s="630"/>
      <c r="CB27" s="5"/>
      <c r="CC27" s="5"/>
      <c r="CD27" s="3"/>
      <c r="CE27" s="3"/>
      <c r="CF27" s="3"/>
      <c r="CG27" s="3"/>
    </row>
    <row r="28" spans="1:85" ht="12" customHeight="1">
      <c r="A28" s="3"/>
      <c r="B28" s="3"/>
      <c r="C28" s="3"/>
      <c r="D28" s="5"/>
      <c r="E28" s="34"/>
      <c r="F28" s="3"/>
      <c r="G28" s="3"/>
      <c r="H28" s="3"/>
      <c r="I28" s="3"/>
      <c r="J28" s="3"/>
      <c r="K28" s="3"/>
      <c r="L28" s="628"/>
      <c r="M28" s="629"/>
      <c r="N28" s="629"/>
      <c r="O28" s="629"/>
      <c r="P28" s="629"/>
      <c r="Q28" s="629"/>
      <c r="R28" s="629"/>
      <c r="S28" s="629"/>
      <c r="T28" s="629"/>
      <c r="U28" s="629"/>
      <c r="V28" s="629"/>
      <c r="W28" s="629"/>
      <c r="X28" s="629"/>
      <c r="Y28" s="629"/>
      <c r="Z28" s="629"/>
      <c r="AA28" s="629"/>
      <c r="AB28" s="629"/>
      <c r="AC28" s="630"/>
      <c r="AD28" s="629"/>
      <c r="AE28" s="629"/>
      <c r="AF28" s="629"/>
      <c r="AG28" s="629"/>
      <c r="AH28" s="629"/>
      <c r="AI28" s="629"/>
      <c r="AJ28" s="629"/>
      <c r="AK28" s="629"/>
      <c r="AL28" s="629"/>
      <c r="AM28" s="629"/>
      <c r="AN28" s="629"/>
      <c r="AO28" s="629"/>
      <c r="AP28" s="629"/>
      <c r="AQ28" s="629"/>
      <c r="AR28" s="629"/>
      <c r="AS28" s="629"/>
      <c r="AT28" s="629"/>
      <c r="AU28" s="629"/>
      <c r="AV28" s="629"/>
      <c r="AW28" s="629"/>
      <c r="AX28" s="629"/>
      <c r="AY28" s="629"/>
      <c r="AZ28" s="629"/>
      <c r="BA28" s="629"/>
      <c r="BB28" s="629"/>
      <c r="BC28" s="629"/>
      <c r="BD28" s="629"/>
      <c r="BE28" s="629"/>
      <c r="BF28" s="629"/>
      <c r="BG28" s="629"/>
      <c r="BH28" s="629"/>
      <c r="BI28" s="629"/>
      <c r="BJ28" s="629"/>
      <c r="BK28" s="629"/>
      <c r="BL28" s="629"/>
      <c r="BM28" s="629"/>
      <c r="BN28" s="629"/>
      <c r="BO28" s="629"/>
      <c r="BP28" s="629"/>
      <c r="BQ28" s="629"/>
      <c r="BR28" s="629"/>
      <c r="BS28" s="629"/>
      <c r="BT28" s="629"/>
      <c r="BU28" s="629"/>
      <c r="BV28" s="629"/>
      <c r="BW28" s="629"/>
      <c r="BX28" s="629"/>
      <c r="BY28" s="629"/>
      <c r="BZ28" s="629"/>
      <c r="CA28" s="630"/>
      <c r="CB28" s="5"/>
      <c r="CC28" s="5"/>
      <c r="CD28" s="3"/>
      <c r="CE28" s="3"/>
      <c r="CF28" s="3"/>
      <c r="CG28" s="3"/>
    </row>
    <row r="29" spans="1:85" ht="12" customHeight="1">
      <c r="A29" s="3"/>
      <c r="B29" s="3"/>
      <c r="C29" s="3"/>
      <c r="D29" s="5"/>
      <c r="E29" s="34"/>
      <c r="F29" s="3"/>
      <c r="G29" s="3"/>
      <c r="H29" s="3"/>
      <c r="I29" s="3"/>
      <c r="J29" s="3"/>
      <c r="K29" s="3"/>
      <c r="L29" s="628"/>
      <c r="M29" s="629"/>
      <c r="N29" s="629"/>
      <c r="O29" s="629"/>
      <c r="P29" s="629"/>
      <c r="Q29" s="629"/>
      <c r="R29" s="629"/>
      <c r="S29" s="629"/>
      <c r="T29" s="629"/>
      <c r="U29" s="629"/>
      <c r="V29" s="629"/>
      <c r="W29" s="629"/>
      <c r="X29" s="629"/>
      <c r="Y29" s="629"/>
      <c r="Z29" s="629"/>
      <c r="AA29" s="629"/>
      <c r="AB29" s="629"/>
      <c r="AC29" s="630"/>
      <c r="AD29" s="629"/>
      <c r="AE29" s="629"/>
      <c r="AF29" s="629"/>
      <c r="AG29" s="629"/>
      <c r="AH29" s="629"/>
      <c r="AI29" s="629"/>
      <c r="AJ29" s="629"/>
      <c r="AK29" s="629"/>
      <c r="AL29" s="629"/>
      <c r="AM29" s="629"/>
      <c r="AN29" s="629"/>
      <c r="AO29" s="629"/>
      <c r="AP29" s="629"/>
      <c r="AQ29" s="629"/>
      <c r="AR29" s="629"/>
      <c r="AS29" s="629"/>
      <c r="AT29" s="629"/>
      <c r="AU29" s="629"/>
      <c r="AV29" s="629"/>
      <c r="AW29" s="629"/>
      <c r="AX29" s="629"/>
      <c r="AY29" s="629"/>
      <c r="AZ29" s="629"/>
      <c r="BA29" s="629"/>
      <c r="BB29" s="629"/>
      <c r="BC29" s="629"/>
      <c r="BD29" s="629"/>
      <c r="BE29" s="629"/>
      <c r="BF29" s="629"/>
      <c r="BG29" s="629"/>
      <c r="BH29" s="629"/>
      <c r="BI29" s="629"/>
      <c r="BJ29" s="629"/>
      <c r="BK29" s="629"/>
      <c r="BL29" s="629"/>
      <c r="BM29" s="629"/>
      <c r="BN29" s="629"/>
      <c r="BO29" s="629"/>
      <c r="BP29" s="629"/>
      <c r="BQ29" s="629"/>
      <c r="BR29" s="629"/>
      <c r="BS29" s="629"/>
      <c r="BT29" s="629"/>
      <c r="BU29" s="629"/>
      <c r="BV29" s="629"/>
      <c r="BW29" s="629"/>
      <c r="BX29" s="629"/>
      <c r="BY29" s="629"/>
      <c r="BZ29" s="629"/>
      <c r="CA29" s="630"/>
      <c r="CB29" s="5"/>
      <c r="CC29" s="5"/>
      <c r="CD29" s="3"/>
      <c r="CE29" s="3"/>
      <c r="CF29" s="3"/>
      <c r="CG29" s="3"/>
    </row>
    <row r="30" spans="1:85" ht="12" customHeight="1">
      <c r="A30" s="3"/>
      <c r="B30" s="3"/>
      <c r="C30" s="3"/>
      <c r="D30" s="5"/>
      <c r="E30" s="34"/>
      <c r="F30" s="3"/>
      <c r="G30" s="3"/>
      <c r="H30" s="3"/>
      <c r="I30" s="3"/>
      <c r="J30" s="3"/>
      <c r="K30" s="3"/>
      <c r="L30" s="628"/>
      <c r="M30" s="629"/>
      <c r="N30" s="629"/>
      <c r="O30" s="629"/>
      <c r="P30" s="629"/>
      <c r="Q30" s="629"/>
      <c r="R30" s="629"/>
      <c r="S30" s="629"/>
      <c r="T30" s="629"/>
      <c r="U30" s="629"/>
      <c r="V30" s="629"/>
      <c r="W30" s="629"/>
      <c r="X30" s="629"/>
      <c r="Y30" s="629"/>
      <c r="Z30" s="629"/>
      <c r="AA30" s="629"/>
      <c r="AB30" s="629"/>
      <c r="AC30" s="630"/>
      <c r="AD30" s="629"/>
      <c r="AE30" s="629"/>
      <c r="AF30" s="629"/>
      <c r="AG30" s="629"/>
      <c r="AH30" s="629"/>
      <c r="AI30" s="629"/>
      <c r="AJ30" s="629"/>
      <c r="AK30" s="629"/>
      <c r="AL30" s="629"/>
      <c r="AM30" s="629"/>
      <c r="AN30" s="629"/>
      <c r="AO30" s="629"/>
      <c r="AP30" s="629"/>
      <c r="AQ30" s="629"/>
      <c r="AR30" s="629"/>
      <c r="AS30" s="629"/>
      <c r="AT30" s="629"/>
      <c r="AU30" s="629"/>
      <c r="AV30" s="629"/>
      <c r="AW30" s="629"/>
      <c r="AX30" s="629"/>
      <c r="AY30" s="629"/>
      <c r="AZ30" s="629"/>
      <c r="BA30" s="629"/>
      <c r="BB30" s="629"/>
      <c r="BC30" s="629"/>
      <c r="BD30" s="629"/>
      <c r="BE30" s="629"/>
      <c r="BF30" s="629"/>
      <c r="BG30" s="629"/>
      <c r="BH30" s="629"/>
      <c r="BI30" s="629"/>
      <c r="BJ30" s="629"/>
      <c r="BK30" s="629"/>
      <c r="BL30" s="629"/>
      <c r="BM30" s="629"/>
      <c r="BN30" s="629"/>
      <c r="BO30" s="629"/>
      <c r="BP30" s="629"/>
      <c r="BQ30" s="629"/>
      <c r="BR30" s="629"/>
      <c r="BS30" s="629"/>
      <c r="BT30" s="629"/>
      <c r="BU30" s="629"/>
      <c r="BV30" s="629"/>
      <c r="BW30" s="629"/>
      <c r="BX30" s="629"/>
      <c r="BY30" s="629"/>
      <c r="BZ30" s="629"/>
      <c r="CA30" s="630"/>
      <c r="CB30" s="5"/>
      <c r="CC30" s="5"/>
      <c r="CD30" s="3"/>
      <c r="CE30" s="3"/>
      <c r="CF30" s="3"/>
      <c r="CG30" s="3"/>
    </row>
    <row r="31" spans="1:85" ht="12" customHeight="1">
      <c r="A31" s="3"/>
      <c r="B31" s="3"/>
      <c r="C31" s="3"/>
      <c r="D31" s="5"/>
      <c r="E31" s="32"/>
      <c r="F31" s="31"/>
      <c r="G31" s="31"/>
      <c r="H31" s="31"/>
      <c r="I31" s="31"/>
      <c r="J31" s="31"/>
      <c r="K31" s="31"/>
      <c r="L31" s="628"/>
      <c r="M31" s="629"/>
      <c r="N31" s="629"/>
      <c r="O31" s="629"/>
      <c r="P31" s="629"/>
      <c r="Q31" s="629"/>
      <c r="R31" s="629"/>
      <c r="S31" s="629"/>
      <c r="T31" s="629"/>
      <c r="U31" s="629"/>
      <c r="V31" s="629"/>
      <c r="W31" s="629"/>
      <c r="X31" s="629"/>
      <c r="Y31" s="629"/>
      <c r="Z31" s="629"/>
      <c r="AA31" s="629"/>
      <c r="AB31" s="629"/>
      <c r="AC31" s="630"/>
      <c r="AD31" s="626"/>
      <c r="AE31" s="626"/>
      <c r="AF31" s="626"/>
      <c r="AG31" s="626"/>
      <c r="AH31" s="626"/>
      <c r="AI31" s="626"/>
      <c r="AJ31" s="626"/>
      <c r="AK31" s="626"/>
      <c r="AL31" s="626"/>
      <c r="AM31" s="626"/>
      <c r="AN31" s="626"/>
      <c r="AO31" s="626"/>
      <c r="AP31" s="626"/>
      <c r="AQ31" s="626"/>
      <c r="AR31" s="626"/>
      <c r="AS31" s="626"/>
      <c r="AT31" s="626"/>
      <c r="AU31" s="626"/>
      <c r="AV31" s="626"/>
      <c r="AW31" s="626"/>
      <c r="AX31" s="626"/>
      <c r="AY31" s="626"/>
      <c r="AZ31" s="626"/>
      <c r="BA31" s="626"/>
      <c r="BB31" s="626"/>
      <c r="BC31" s="626"/>
      <c r="BD31" s="626"/>
      <c r="BE31" s="626"/>
      <c r="BF31" s="626"/>
      <c r="BG31" s="626"/>
      <c r="BH31" s="626"/>
      <c r="BI31" s="626"/>
      <c r="BJ31" s="626"/>
      <c r="BK31" s="626"/>
      <c r="BL31" s="626"/>
      <c r="BM31" s="626"/>
      <c r="BN31" s="626"/>
      <c r="BO31" s="626"/>
      <c r="BP31" s="626"/>
      <c r="BQ31" s="626"/>
      <c r="BR31" s="626"/>
      <c r="BS31" s="626"/>
      <c r="BT31" s="626"/>
      <c r="BU31" s="626"/>
      <c r="BV31" s="626"/>
      <c r="BW31" s="626"/>
      <c r="BX31" s="626"/>
      <c r="BY31" s="626"/>
      <c r="BZ31" s="626"/>
      <c r="CA31" s="627"/>
      <c r="CB31" s="5"/>
      <c r="CC31" s="5"/>
      <c r="CD31" s="3"/>
      <c r="CE31" s="3"/>
      <c r="CF31" s="3"/>
      <c r="CG31" s="3"/>
    </row>
    <row r="32" spans="1:85" ht="12" customHeight="1">
      <c r="A32" s="3"/>
      <c r="B32" s="3"/>
      <c r="C32" s="3"/>
      <c r="D32" s="5"/>
      <c r="E32" s="162" t="s">
        <v>460</v>
      </c>
      <c r="F32" s="163"/>
      <c r="G32" s="163"/>
      <c r="H32" s="163"/>
      <c r="I32" s="163"/>
      <c r="J32" s="163"/>
      <c r="K32" s="163"/>
      <c r="L32" s="628"/>
      <c r="M32" s="629"/>
      <c r="N32" s="629"/>
      <c r="O32" s="629"/>
      <c r="P32" s="629"/>
      <c r="Q32" s="629"/>
      <c r="R32" s="629"/>
      <c r="S32" s="629"/>
      <c r="T32" s="629"/>
      <c r="U32" s="629"/>
      <c r="V32" s="629"/>
      <c r="W32" s="629"/>
      <c r="X32" s="629"/>
      <c r="Y32" s="629"/>
      <c r="Z32" s="629"/>
      <c r="AA32" s="629"/>
      <c r="AB32" s="629"/>
      <c r="AC32" s="630"/>
      <c r="AD32" s="163" t="s">
        <v>210</v>
      </c>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c r="BI32" s="163"/>
      <c r="BJ32" s="163"/>
      <c r="BK32" s="163"/>
      <c r="BL32" s="163"/>
      <c r="BM32" s="163"/>
      <c r="BN32" s="163"/>
      <c r="BO32" s="163"/>
      <c r="BP32" s="163"/>
      <c r="BQ32" s="163"/>
      <c r="BR32" s="163"/>
      <c r="BS32" s="163"/>
      <c r="BT32" s="163"/>
      <c r="BU32" s="163"/>
      <c r="BV32" s="163"/>
      <c r="BW32" s="163"/>
      <c r="BX32" s="163"/>
      <c r="BY32" s="163"/>
      <c r="BZ32" s="163"/>
      <c r="CA32" s="164"/>
      <c r="CB32" s="5"/>
      <c r="CC32" s="5"/>
      <c r="CD32" s="3"/>
      <c r="CE32" s="3"/>
      <c r="CF32" s="3"/>
      <c r="CG32" s="3"/>
    </row>
    <row r="33" spans="1:85" ht="12" customHeight="1">
      <c r="A33" s="3"/>
      <c r="B33" s="3"/>
      <c r="C33" s="3"/>
      <c r="D33" s="5"/>
      <c r="E33" s="32"/>
      <c r="F33" s="31"/>
      <c r="G33" s="31"/>
      <c r="H33" s="31"/>
      <c r="I33" s="31"/>
      <c r="J33" s="31"/>
      <c r="K33" s="31"/>
      <c r="L33" s="625"/>
      <c r="M33" s="626"/>
      <c r="N33" s="626"/>
      <c r="O33" s="626"/>
      <c r="P33" s="626"/>
      <c r="Q33" s="626"/>
      <c r="R33" s="626"/>
      <c r="S33" s="626"/>
      <c r="T33" s="626"/>
      <c r="U33" s="626"/>
      <c r="V33" s="626"/>
      <c r="W33" s="626"/>
      <c r="X33" s="626"/>
      <c r="Y33" s="626"/>
      <c r="Z33" s="626"/>
      <c r="AA33" s="626"/>
      <c r="AB33" s="626"/>
      <c r="AC33" s="627"/>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0"/>
      <c r="CB33" s="5"/>
      <c r="CC33" s="5"/>
      <c r="CD33" s="3"/>
      <c r="CE33" s="3"/>
      <c r="CF33" s="3"/>
      <c r="CG33" s="3"/>
    </row>
    <row r="34" spans="1:85" ht="12" customHeight="1">
      <c r="A34" s="3"/>
      <c r="B34" s="3"/>
      <c r="C34" s="3"/>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3"/>
      <c r="BR34" s="3"/>
      <c r="BS34" s="3"/>
      <c r="BT34" s="3"/>
      <c r="BU34" s="3"/>
      <c r="BV34" s="3"/>
      <c r="BW34" s="3"/>
      <c r="BX34" s="3"/>
      <c r="BY34" s="3"/>
      <c r="BZ34" s="5"/>
      <c r="CA34" s="5"/>
      <c r="CB34" s="5"/>
      <c r="CC34" s="5"/>
      <c r="CD34" s="3"/>
      <c r="CE34" s="3"/>
      <c r="CF34" s="3"/>
      <c r="CG34" s="3"/>
    </row>
    <row r="35" spans="1:85" ht="12" customHeight="1">
      <c r="A35" s="3"/>
      <c r="B35" s="3"/>
      <c r="C35" s="3"/>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3"/>
      <c r="BR35" s="3"/>
      <c r="BS35" s="3"/>
      <c r="BT35" s="3"/>
      <c r="BU35" s="3"/>
      <c r="BV35" s="3"/>
      <c r="BW35" s="3"/>
      <c r="BX35" s="3"/>
      <c r="BY35" s="3"/>
      <c r="BZ35" s="5"/>
      <c r="CA35" s="5"/>
      <c r="CB35" s="5"/>
      <c r="CC35" s="5"/>
      <c r="CD35" s="3"/>
      <c r="CE35" s="3"/>
      <c r="CF35" s="3"/>
      <c r="CG35" s="3"/>
    </row>
    <row r="36" spans="1:85" ht="12" customHeight="1">
      <c r="A36" s="3"/>
      <c r="B36" s="3"/>
      <c r="C36" s="3"/>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3"/>
      <c r="BR36" s="3"/>
      <c r="BS36" s="3"/>
      <c r="BT36" s="3"/>
      <c r="BU36" s="3"/>
      <c r="BV36" s="3"/>
      <c r="BW36" s="3"/>
      <c r="BX36" s="3"/>
      <c r="BY36" s="3"/>
      <c r="BZ36" s="5"/>
      <c r="CA36" s="5"/>
      <c r="CB36" s="5"/>
      <c r="CC36" s="5"/>
      <c r="CD36" s="3"/>
      <c r="CE36" s="3"/>
      <c r="CF36" s="3"/>
      <c r="CG36" s="3"/>
    </row>
    <row r="37" spans="1:85" ht="12" customHeight="1">
      <c r="A37" s="3"/>
      <c r="B37" s="3"/>
      <c r="C37" s="3"/>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3"/>
      <c r="BR37" s="3"/>
      <c r="BS37" s="3"/>
      <c r="BT37" s="3"/>
      <c r="BU37" s="3"/>
      <c r="BV37" s="3"/>
      <c r="BW37" s="3"/>
      <c r="BX37" s="3"/>
      <c r="BY37" s="3"/>
      <c r="BZ37" s="5"/>
      <c r="CA37" s="5"/>
      <c r="CB37" s="5"/>
      <c r="CC37" s="5"/>
      <c r="CD37" s="3"/>
      <c r="CE37" s="3"/>
      <c r="CF37" s="3"/>
      <c r="CG37" s="3"/>
    </row>
    <row r="38" spans="1:85" ht="12" customHeight="1">
      <c r="A38" s="3"/>
      <c r="B38" s="3"/>
      <c r="C38" s="3"/>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3"/>
      <c r="BR38" s="3"/>
      <c r="BS38" s="3"/>
      <c r="BT38" s="3"/>
      <c r="BU38" s="3"/>
      <c r="BV38" s="3"/>
      <c r="BW38" s="3"/>
      <c r="BX38" s="3"/>
      <c r="BY38" s="3"/>
      <c r="BZ38" s="5"/>
      <c r="CA38" s="5"/>
      <c r="CB38" s="5"/>
      <c r="CC38" s="5"/>
      <c r="CD38" s="3"/>
      <c r="CE38" s="3"/>
      <c r="CF38" s="3"/>
      <c r="CG38" s="3"/>
    </row>
    <row r="39" spans="1:85" ht="12" customHeight="1">
      <c r="A39" s="3"/>
      <c r="B39" s="3"/>
      <c r="C39" s="3"/>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3"/>
      <c r="BR39" s="3"/>
      <c r="BS39" s="3"/>
      <c r="BT39" s="3"/>
      <c r="BU39" s="3"/>
      <c r="BV39" s="3"/>
      <c r="BW39" s="3"/>
      <c r="BX39" s="3"/>
      <c r="BY39" s="3"/>
      <c r="BZ39" s="5"/>
      <c r="CA39" s="5"/>
      <c r="CB39" s="5"/>
      <c r="CC39" s="5"/>
      <c r="CD39" s="3"/>
      <c r="CE39" s="3"/>
      <c r="CF39" s="3"/>
      <c r="CG39" s="3"/>
    </row>
    <row r="40" spans="1:85" ht="12" customHeight="1">
      <c r="A40" s="3"/>
      <c r="B40" s="3"/>
      <c r="C40" s="3"/>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3"/>
      <c r="BS40" s="3"/>
      <c r="BT40" s="3"/>
      <c r="BU40" s="3"/>
      <c r="BV40" s="3"/>
      <c r="BW40" s="3"/>
      <c r="BX40" s="3"/>
      <c r="BY40" s="3"/>
      <c r="BZ40" s="5"/>
      <c r="CA40" s="5"/>
      <c r="CB40" s="5"/>
      <c r="CC40" s="5"/>
      <c r="CD40" s="3"/>
      <c r="CE40" s="3"/>
      <c r="CF40" s="3"/>
      <c r="CG40" s="3"/>
    </row>
    <row r="41" spans="1:85" ht="12" customHeight="1">
      <c r="A41" s="3"/>
      <c r="B41" s="3"/>
      <c r="C41" s="3"/>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3"/>
      <c r="BS41" s="3"/>
      <c r="BT41" s="3"/>
      <c r="BU41" s="3"/>
      <c r="BV41" s="3"/>
      <c r="BW41" s="3"/>
      <c r="BX41" s="3"/>
      <c r="BY41" s="3"/>
      <c r="BZ41" s="5"/>
      <c r="CA41" s="5"/>
      <c r="CB41" s="5"/>
      <c r="CC41" s="5"/>
      <c r="CD41" s="3"/>
      <c r="CE41" s="3"/>
      <c r="CF41" s="3"/>
      <c r="CG41" s="3"/>
    </row>
    <row r="42" spans="1:85" ht="12" customHeight="1">
      <c r="A42" s="3"/>
      <c r="B42" s="3"/>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3"/>
      <c r="BS42" s="3"/>
      <c r="BT42" s="3"/>
      <c r="BU42" s="3"/>
      <c r="BV42" s="3"/>
      <c r="BW42" s="3"/>
      <c r="BX42" s="3"/>
      <c r="BY42" s="3"/>
      <c r="BZ42" s="5"/>
      <c r="CA42" s="5"/>
      <c r="CB42" s="5"/>
      <c r="CC42" s="5"/>
      <c r="CD42" s="3"/>
      <c r="CE42" s="3"/>
      <c r="CF42" s="3"/>
      <c r="CG42" s="3"/>
    </row>
    <row r="43" spans="1:85" ht="12" customHeight="1">
      <c r="A43" s="3"/>
      <c r="B43" s="3"/>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3"/>
      <c r="BS43" s="3"/>
      <c r="BT43" s="3"/>
      <c r="BU43" s="3"/>
      <c r="BV43" s="3"/>
      <c r="BW43" s="3"/>
      <c r="BX43" s="3"/>
      <c r="BY43" s="3"/>
      <c r="BZ43" s="5"/>
      <c r="CA43" s="5"/>
      <c r="CB43" s="5"/>
      <c r="CC43" s="5"/>
      <c r="CD43" s="3"/>
      <c r="CE43" s="3"/>
      <c r="CF43" s="3"/>
      <c r="CG43" s="3"/>
    </row>
    <row r="44" spans="1:85" ht="12" customHeight="1">
      <c r="A44" s="3"/>
      <c r="B44" s="3"/>
      <c r="C44" s="5"/>
      <c r="D44" s="3"/>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3"/>
      <c r="BS44" s="3"/>
      <c r="BT44" s="3"/>
      <c r="BU44" s="3"/>
      <c r="BV44" s="3"/>
      <c r="BW44" s="3"/>
      <c r="BX44" s="3"/>
      <c r="BY44" s="3"/>
      <c r="BZ44" s="5"/>
      <c r="CA44" s="5"/>
      <c r="CB44" s="5"/>
      <c r="CC44" s="5"/>
      <c r="CD44" s="3"/>
      <c r="CE44" s="3"/>
      <c r="CF44" s="3"/>
      <c r="CG44" s="3"/>
    </row>
    <row r="45" spans="1:85" ht="12" customHeight="1">
      <c r="A45" s="3"/>
      <c r="B45" s="3"/>
      <c r="C45" s="5"/>
      <c r="D45" s="3"/>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3"/>
      <c r="BS45" s="3"/>
      <c r="BT45" s="3"/>
      <c r="BU45" s="3"/>
      <c r="BV45" s="3"/>
      <c r="BW45" s="3"/>
      <c r="BX45" s="3"/>
      <c r="BY45" s="3"/>
      <c r="BZ45" s="5"/>
      <c r="CA45" s="5"/>
      <c r="CB45" s="5"/>
      <c r="CC45" s="5"/>
      <c r="CD45" s="3"/>
      <c r="CE45" s="3"/>
      <c r="CF45" s="3"/>
      <c r="CG45" s="3"/>
    </row>
    <row r="46" spans="1:85" ht="12" customHeight="1">
      <c r="A46" s="3"/>
      <c r="B46" s="3"/>
      <c r="C46" s="5"/>
      <c r="D46" s="3"/>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3"/>
      <c r="BS46" s="3"/>
      <c r="BT46" s="3"/>
      <c r="BU46" s="3"/>
      <c r="BV46" s="3"/>
      <c r="BW46" s="3"/>
      <c r="BX46" s="3"/>
      <c r="BY46" s="3"/>
      <c r="BZ46" s="5"/>
      <c r="CA46" s="5"/>
      <c r="CB46" s="5"/>
      <c r="CC46" s="5"/>
      <c r="CD46" s="3"/>
      <c r="CE46" s="3"/>
      <c r="CF46" s="3"/>
      <c r="CG46" s="3"/>
    </row>
    <row r="47" spans="1:85" ht="12" customHeight="1">
      <c r="A47" s="3"/>
      <c r="B47" s="3"/>
      <c r="C47" s="3"/>
      <c r="D47" s="3"/>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3"/>
      <c r="BS47" s="3"/>
      <c r="BT47" s="3"/>
      <c r="BU47" s="3"/>
      <c r="BV47" s="3"/>
      <c r="BW47" s="3"/>
      <c r="BX47" s="3"/>
      <c r="BY47" s="3"/>
      <c r="BZ47" s="5"/>
      <c r="CA47" s="5"/>
      <c r="CB47" s="5"/>
      <c r="CC47" s="5"/>
      <c r="CD47" s="3"/>
      <c r="CE47" s="3"/>
      <c r="CF47" s="3"/>
      <c r="CG47" s="3"/>
    </row>
    <row r="48" spans="1:85" ht="12" customHeight="1">
      <c r="A48" s="3"/>
      <c r="B48" s="3"/>
      <c r="C48" s="3"/>
      <c r="D48" s="3"/>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3"/>
      <c r="BS48" s="3"/>
      <c r="BT48" s="3"/>
      <c r="BU48" s="3"/>
      <c r="BV48" s="3"/>
      <c r="BW48" s="3"/>
      <c r="BX48" s="3"/>
      <c r="BY48" s="3"/>
      <c r="BZ48" s="5"/>
      <c r="CA48" s="5"/>
      <c r="CB48" s="5"/>
      <c r="CC48" s="5"/>
      <c r="CD48" s="3"/>
      <c r="CE48" s="3"/>
      <c r="CF48" s="3"/>
      <c r="CG48" s="3"/>
    </row>
    <row r="49" spans="1:85"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5"/>
      <c r="CA49" s="5"/>
      <c r="CB49" s="5"/>
      <c r="CC49" s="5"/>
      <c r="CD49" s="3"/>
      <c r="CE49" s="3"/>
      <c r="CF49" s="3"/>
      <c r="CG49" s="3"/>
    </row>
    <row r="50" spans="1:85" ht="12" customHeight="1">
      <c r="A50" s="3"/>
      <c r="B50" s="3"/>
      <c r="C50" s="3"/>
      <c r="BZ50" s="3"/>
      <c r="CA50" s="3"/>
      <c r="CB50" s="3"/>
      <c r="CC50" s="3"/>
      <c r="CD50" s="3"/>
      <c r="CE50" s="3"/>
    </row>
    <row r="51" spans="1:85" ht="12" customHeight="1">
      <c r="A51" s="3"/>
      <c r="B51" s="3"/>
      <c r="C51" s="3"/>
      <c r="BZ51" s="3"/>
      <c r="CA51" s="3"/>
      <c r="CB51" s="3"/>
      <c r="CC51" s="3"/>
      <c r="CD51" s="3"/>
      <c r="CE51" s="3"/>
    </row>
    <row r="52" spans="1:85" ht="12" customHeight="1">
      <c r="A52" s="3"/>
      <c r="B52" s="3"/>
      <c r="C52" s="3"/>
      <c r="BZ52" s="3"/>
      <c r="CA52" s="3"/>
      <c r="CB52" s="3"/>
      <c r="CC52" s="3"/>
      <c r="CD52" s="3"/>
      <c r="CE52" s="3"/>
    </row>
    <row r="53" spans="1:85" ht="12" customHeight="1">
      <c r="A53" s="3"/>
      <c r="B53" s="3"/>
      <c r="C53" s="3"/>
      <c r="BZ53" s="3"/>
      <c r="CA53" s="3"/>
      <c r="CB53" s="3"/>
      <c r="CC53" s="3"/>
      <c r="CD53" s="3"/>
      <c r="CE53" s="3"/>
    </row>
    <row r="54" spans="1:85" ht="12" customHeight="1">
      <c r="A54" s="3"/>
      <c r="B54" s="3"/>
      <c r="C54" s="3"/>
      <c r="BZ54" s="3"/>
      <c r="CA54" s="3"/>
      <c r="CB54" s="3"/>
      <c r="CC54" s="3"/>
      <c r="CD54" s="3"/>
      <c r="CE54" s="3"/>
    </row>
    <row r="55" spans="1:85" ht="12" customHeight="1">
      <c r="A55" s="3"/>
      <c r="B55" s="3"/>
      <c r="C55" s="3"/>
      <c r="BZ55" s="3"/>
      <c r="CA55" s="3"/>
      <c r="CB55" s="3"/>
      <c r="CC55" s="3"/>
      <c r="CD55" s="3"/>
      <c r="CE55" s="3"/>
    </row>
    <row r="56" spans="1:85" ht="12" customHeight="1">
      <c r="A56" s="3"/>
      <c r="B56" s="3"/>
      <c r="C56" s="3"/>
      <c r="BZ56" s="3"/>
      <c r="CA56" s="3"/>
      <c r="CB56" s="3"/>
      <c r="CC56" s="3"/>
      <c r="CD56" s="3"/>
      <c r="CE56" s="3"/>
    </row>
    <row r="57" spans="1:85" ht="12" customHeight="1">
      <c r="A57" s="3"/>
      <c r="B57" s="3"/>
      <c r="C57" s="3"/>
      <c r="BZ57" s="3"/>
      <c r="CA57" s="3"/>
      <c r="CB57" s="3"/>
      <c r="CC57" s="3"/>
      <c r="CD57" s="3"/>
      <c r="CE57" s="3"/>
    </row>
    <row r="58" spans="1:85" ht="12" customHeight="1">
      <c r="A58" s="3"/>
      <c r="B58" s="3"/>
      <c r="C58" s="3"/>
      <c r="BZ58" s="3"/>
      <c r="CA58" s="3"/>
      <c r="CB58" s="3"/>
      <c r="CC58" s="3"/>
      <c r="CD58" s="3"/>
      <c r="CE58" s="3"/>
    </row>
    <row r="59" spans="1:85" ht="12" customHeight="1">
      <c r="A59" s="3"/>
      <c r="B59" s="3"/>
      <c r="C59" s="3"/>
      <c r="BZ59" s="3"/>
      <c r="CA59" s="3"/>
      <c r="CB59" s="3"/>
      <c r="CC59" s="3"/>
      <c r="CD59" s="3"/>
      <c r="CE59" s="3"/>
    </row>
    <row r="60" spans="1:85" ht="12" customHeight="1">
      <c r="A60" s="3"/>
      <c r="B60" s="3"/>
      <c r="C60" s="3"/>
      <c r="BZ60" s="3"/>
      <c r="CA60" s="3"/>
      <c r="CB60" s="3"/>
      <c r="CC60" s="3"/>
      <c r="CD60" s="3"/>
      <c r="CE60" s="3"/>
    </row>
    <row r="61" spans="1:85" ht="12" customHeight="1">
      <c r="A61" s="3"/>
      <c r="B61" s="3"/>
      <c r="C61" s="3"/>
      <c r="BZ61" s="3"/>
      <c r="CA61" s="3"/>
      <c r="CB61" s="3"/>
      <c r="CC61" s="3"/>
      <c r="CD61" s="3"/>
      <c r="CE61" s="3"/>
    </row>
    <row r="62" spans="1:85" ht="12" customHeight="1">
      <c r="A62" s="3"/>
      <c r="B62" s="3"/>
      <c r="C62" s="3"/>
      <c r="BZ62" s="3"/>
      <c r="CA62" s="3"/>
      <c r="CB62" s="3"/>
      <c r="CC62" s="3"/>
      <c r="CD62" s="3"/>
      <c r="CE62" s="3"/>
    </row>
    <row r="63" spans="1:85" ht="12" customHeight="1">
      <c r="A63" s="3"/>
      <c r="B63" s="3"/>
      <c r="C63" s="3"/>
      <c r="BZ63" s="3"/>
      <c r="CA63" s="3"/>
      <c r="CB63" s="3"/>
      <c r="CC63" s="3"/>
      <c r="CD63" s="3"/>
      <c r="CE63" s="3"/>
    </row>
    <row r="64" spans="1:85" ht="12" customHeight="1">
      <c r="A64" s="3"/>
      <c r="B64" s="3"/>
      <c r="C64" s="3"/>
      <c r="BZ64" s="3"/>
      <c r="CA64" s="3"/>
      <c r="CB64" s="3"/>
      <c r="CC64" s="3"/>
      <c r="CD64" s="3"/>
      <c r="CE64" s="3"/>
    </row>
    <row r="65" spans="1:107" ht="12" customHeight="1">
      <c r="A65" s="3"/>
      <c r="B65" s="3"/>
      <c r="C65" s="3"/>
      <c r="BZ65" s="3"/>
      <c r="CA65" s="3"/>
      <c r="CB65" s="3"/>
      <c r="CC65" s="3"/>
      <c r="CD65" s="3"/>
      <c r="CE65" s="3"/>
    </row>
    <row r="66" spans="1:107" ht="12" customHeight="1">
      <c r="A66" s="3"/>
      <c r="B66" s="3"/>
      <c r="C66" s="3"/>
      <c r="BZ66" s="3"/>
      <c r="CA66" s="3"/>
      <c r="CB66" s="3"/>
      <c r="CC66" s="3"/>
      <c r="CD66" s="3"/>
      <c r="CE66" s="3"/>
    </row>
    <row r="67" spans="1:107" ht="12" customHeight="1">
      <c r="A67" s="3"/>
      <c r="B67" s="3"/>
      <c r="C67" s="3"/>
      <c r="BZ67" s="3"/>
      <c r="CA67" s="3"/>
      <c r="CB67" s="3"/>
      <c r="CC67" s="3"/>
      <c r="CD67" s="3"/>
      <c r="CE67" s="3"/>
    </row>
    <row r="68" spans="1:107" ht="12" customHeight="1">
      <c r="A68" s="3"/>
      <c r="B68" s="3"/>
      <c r="C68" s="3"/>
      <c r="BZ68" s="3"/>
      <c r="CA68" s="3"/>
      <c r="CB68" s="3"/>
      <c r="CC68" s="3"/>
      <c r="CD68" s="3"/>
      <c r="CE68" s="3"/>
    </row>
    <row r="69" spans="1:107" ht="12" customHeight="1">
      <c r="A69" s="3"/>
      <c r="B69" s="3"/>
      <c r="C69" s="3"/>
      <c r="BZ69" s="3"/>
      <c r="CA69" s="3"/>
      <c r="CB69" s="3"/>
      <c r="CC69" s="3"/>
      <c r="CD69" s="3"/>
      <c r="CE69" s="3"/>
    </row>
    <row r="70" spans="1:107" ht="12" customHeight="1">
      <c r="A70" s="3"/>
      <c r="B70" s="3"/>
      <c r="C70" s="3"/>
      <c r="BZ70" s="3"/>
      <c r="CA70" s="3"/>
      <c r="CB70" s="3"/>
      <c r="CC70" s="3"/>
      <c r="CD70" s="3"/>
      <c r="CE70" s="3"/>
    </row>
    <row r="71" spans="1:107" ht="12" customHeight="1">
      <c r="A71" s="2"/>
      <c r="B71" s="3"/>
      <c r="C71" s="3"/>
      <c r="BZ71" s="3"/>
      <c r="CA71" s="3"/>
      <c r="CB71" s="3"/>
      <c r="CC71" s="3"/>
      <c r="CD71" s="3"/>
      <c r="CE71" s="2"/>
      <c r="CY71" s="2"/>
      <c r="CZ71" s="2"/>
      <c r="DA71" s="2"/>
      <c r="DB71" s="2"/>
      <c r="DC71" s="2"/>
    </row>
    <row r="72" spans="1:107" ht="12" customHeight="1">
      <c r="A72" s="2"/>
      <c r="B72" s="3"/>
      <c r="C72" s="3"/>
      <c r="BZ72" s="3"/>
      <c r="CA72" s="3"/>
      <c r="CB72" s="3"/>
      <c r="CC72" s="3"/>
      <c r="CD72" s="3"/>
      <c r="CE72" s="2"/>
      <c r="CY72" s="2"/>
      <c r="CZ72" s="2"/>
      <c r="DA72" s="2"/>
      <c r="DB72" s="2"/>
      <c r="DC72" s="2"/>
    </row>
    <row r="73" spans="1:107" ht="12" customHeight="1">
      <c r="A73" s="2"/>
      <c r="B73" s="3"/>
      <c r="C73" s="3"/>
      <c r="BZ73" s="3"/>
      <c r="CA73" s="3"/>
      <c r="CB73" s="3"/>
      <c r="CC73" s="3"/>
      <c r="CD73" s="3"/>
      <c r="CE73" s="2"/>
      <c r="DC73" s="2"/>
    </row>
    <row r="74" spans="1:107" ht="12" customHeight="1">
      <c r="A74" s="2"/>
      <c r="B74" s="3"/>
      <c r="C74" s="3"/>
      <c r="BZ74" s="3"/>
      <c r="CA74" s="3"/>
      <c r="CB74" s="3"/>
      <c r="CC74" s="3"/>
      <c r="CD74" s="3"/>
      <c r="CE74" s="2"/>
    </row>
    <row r="75" spans="1:107" ht="12" customHeight="1">
      <c r="A75" s="2"/>
      <c r="B75" s="3"/>
      <c r="C75" s="3"/>
      <c r="BZ75" s="3"/>
      <c r="CA75" s="3"/>
      <c r="CB75" s="3"/>
      <c r="CC75" s="3"/>
      <c r="CD75" s="3"/>
      <c r="CE75" s="2"/>
    </row>
    <row r="76" spans="1:107" ht="12" customHeight="1">
      <c r="A76" s="2"/>
      <c r="B76" s="3"/>
      <c r="C76" s="3"/>
      <c r="BZ76" s="3"/>
      <c r="CA76" s="3"/>
      <c r="CB76" s="3"/>
      <c r="CC76" s="3"/>
      <c r="CD76" s="3"/>
      <c r="CE76" s="2"/>
    </row>
    <row r="77" spans="1:107" ht="12" customHeight="1">
      <c r="A77" s="2"/>
      <c r="B77" s="3"/>
      <c r="C77" s="3"/>
      <c r="BZ77" s="3"/>
      <c r="CA77" s="3"/>
      <c r="CB77" s="3"/>
      <c r="CC77" s="3"/>
      <c r="CD77" s="3"/>
      <c r="CE77" s="2"/>
    </row>
    <row r="78" spans="1:107" ht="12" customHeight="1">
      <c r="A78" s="2"/>
      <c r="B78" s="3"/>
      <c r="C78" s="3"/>
      <c r="BZ78" s="3"/>
      <c r="CA78" s="3"/>
      <c r="CB78" s="3"/>
      <c r="CC78" s="3"/>
      <c r="CD78" s="3"/>
      <c r="CE78" s="2"/>
    </row>
    <row r="79" spans="1:107" ht="12" customHeight="1">
      <c r="A79" s="2"/>
      <c r="B79" s="3"/>
      <c r="C79" s="3"/>
      <c r="BZ79" s="3"/>
      <c r="CA79" s="3"/>
      <c r="CB79" s="3"/>
      <c r="CC79" s="3"/>
      <c r="CD79" s="3"/>
      <c r="CE79" s="2"/>
    </row>
    <row r="80" spans="1:107" ht="12" customHeight="1">
      <c r="A80" s="2"/>
      <c r="B80" s="2"/>
      <c r="C80" s="2"/>
      <c r="BZ80" s="2"/>
      <c r="CA80" s="2"/>
      <c r="CB80" s="2"/>
      <c r="CC80" s="2"/>
      <c r="CD80" s="2"/>
      <c r="CE80" s="2"/>
    </row>
  </sheetData>
  <mergeCells count="23">
    <mergeCell ref="AD26:CA31"/>
    <mergeCell ref="AO5:AR5"/>
    <mergeCell ref="AS5:AY5"/>
    <mergeCell ref="AZ5:BC5"/>
    <mergeCell ref="BD5:BJ5"/>
    <mergeCell ref="BK5:BM5"/>
    <mergeCell ref="BN5:BQ5"/>
    <mergeCell ref="L22:AC33"/>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1" manualBreakCount="1">
    <brk id="80" max="82" man="1"/>
  </rowBreaks>
  <colBreaks count="3" manualBreakCount="3">
    <brk id="1" max="48" man="1"/>
    <brk id="2" max="48" man="1"/>
    <brk id="3" max="4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'4.ミドルウェア設計'!Print_Area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明久</dc:creator>
  <cp:lastModifiedBy>多度 彰人</cp:lastModifiedBy>
  <cp:lastPrinted>2019-02-22T09:35:26Z</cp:lastPrinted>
  <dcterms:created xsi:type="dcterms:W3CDTF">2016-01-13T10:00:56Z</dcterms:created>
  <dcterms:modified xsi:type="dcterms:W3CDTF">2019-04-22T01:35:50Z</dcterms:modified>
</cp:coreProperties>
</file>